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activeTab="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D5" i="6" l="1"/>
  <c r="D6" i="6"/>
  <c r="J22" i="6"/>
  <c r="J14" i="6"/>
  <c r="J21" i="6"/>
  <c r="J20" i="6"/>
  <c r="J12" i="6"/>
  <c r="J10" i="6"/>
  <c r="J9" i="6"/>
  <c r="J15" i="6"/>
  <c r="J19" i="6"/>
  <c r="J11" i="6"/>
  <c r="J18" i="6"/>
  <c r="J17" i="6"/>
  <c r="J16" i="6"/>
  <c r="J13" i="6"/>
  <c r="J8" i="6"/>
  <c r="J7" i="6"/>
  <c r="J6" i="6"/>
  <c r="E6" i="6"/>
  <c r="F6" i="6"/>
  <c r="D7" i="6"/>
  <c r="E7" i="6"/>
  <c r="F7" i="6"/>
  <c r="D8" i="6"/>
  <c r="E8" i="6"/>
  <c r="F8" i="6"/>
  <c r="D9" i="6"/>
  <c r="E9" i="6"/>
  <c r="F9" i="6"/>
  <c r="D10" i="6"/>
  <c r="E10" i="6"/>
  <c r="F10" i="6"/>
  <c r="D11" i="6"/>
  <c r="E11" i="6"/>
  <c r="F11" i="6"/>
  <c r="D12" i="6"/>
  <c r="E12" i="6"/>
  <c r="F12" i="6"/>
  <c r="C13" i="6"/>
  <c r="D13" i="6"/>
  <c r="E13" i="6"/>
  <c r="F13" i="6"/>
  <c r="C14" i="6"/>
  <c r="D14" i="6"/>
  <c r="E14" i="6"/>
  <c r="F14" i="6"/>
  <c r="C15" i="6"/>
  <c r="D15" i="6"/>
  <c r="E15" i="6"/>
  <c r="F15" i="6"/>
  <c r="C16" i="6"/>
  <c r="D16" i="6"/>
  <c r="E16" i="6"/>
  <c r="F16" i="6"/>
  <c r="C17" i="6"/>
  <c r="D17" i="6" s="1"/>
  <c r="E17" i="6"/>
  <c r="F17" i="6"/>
  <c r="D18" i="6"/>
  <c r="E18" i="6"/>
  <c r="F18" i="6"/>
  <c r="D19" i="6"/>
  <c r="E19" i="6"/>
  <c r="F19" i="6"/>
  <c r="D20" i="6"/>
  <c r="E20" i="6"/>
  <c r="F20" i="6"/>
  <c r="D21" i="6"/>
  <c r="E21" i="6"/>
  <c r="F21" i="6"/>
  <c r="D22" i="6"/>
  <c r="E22" i="6"/>
  <c r="F22" i="6"/>
  <c r="S2" i="6" l="1"/>
  <c r="S8" i="6" s="1"/>
  <c r="Y2"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D9" i="67"/>
  <c r="G18" i="73"/>
  <c r="G7" i="73"/>
  <c r="G9" i="73"/>
  <c r="G8" i="73"/>
  <c r="G15" i="73"/>
  <c r="G11" i="73"/>
  <c r="G13" i="73"/>
  <c r="G12" i="73"/>
  <c r="G6" i="73"/>
  <c r="G17" i="73"/>
  <c r="G16" i="73"/>
  <c r="G14" i="73"/>
  <c r="G10" i="73"/>
  <c r="G4" i="73"/>
  <c r="G5"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7" i="73"/>
  <c r="K11" i="73"/>
  <c r="K9" i="73"/>
  <c r="G9" i="72"/>
  <c r="G12" i="72"/>
  <c r="K10" i="73"/>
  <c r="K7" i="73"/>
  <c r="G16" i="72"/>
  <c r="G17" i="72"/>
  <c r="K8" i="73"/>
  <c r="K4" i="73"/>
  <c r="K18" i="73"/>
  <c r="G10" i="72"/>
  <c r="K14" i="73"/>
  <c r="K5" i="73"/>
  <c r="G14" i="72"/>
  <c r="G6" i="72"/>
  <c r="K6" i="72" s="1"/>
  <c r="K12" i="72"/>
  <c r="G5" i="72"/>
  <c r="G7" i="72"/>
  <c r="K9" i="72"/>
  <c r="K16" i="73"/>
  <c r="K13" i="73"/>
  <c r="K12" i="73"/>
  <c r="K15" i="73"/>
  <c r="G13" i="72"/>
  <c r="K13" i="72" s="1"/>
  <c r="G8" i="72"/>
  <c r="K6" i="73"/>
  <c r="G15" i="72"/>
  <c r="G18" i="72"/>
  <c r="G11" i="72"/>
  <c r="G4"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4" i="72"/>
  <c r="K10" i="72"/>
  <c r="G18" i="71"/>
  <c r="H4" i="73"/>
  <c r="K18" i="71"/>
  <c r="G15" i="71"/>
  <c r="H16" i="73"/>
  <c r="K8" i="72"/>
  <c r="G9" i="71"/>
  <c r="K7" i="72"/>
  <c r="K14" i="72"/>
  <c r="H12" i="72"/>
  <c r="H13" i="72"/>
  <c r="H6" i="73"/>
  <c r="H13" i="73"/>
  <c r="K18" i="72"/>
  <c r="G7" i="71"/>
  <c r="K17" i="72"/>
  <c r="G13" i="71"/>
  <c r="K15" i="72"/>
  <c r="G17" i="71"/>
  <c r="K11" i="72"/>
  <c r="H11" i="73"/>
  <c r="H9" i="73"/>
  <c r="H17" i="73"/>
  <c r="G5" i="71"/>
  <c r="H15" i="73"/>
  <c r="H8" i="73"/>
  <c r="G4" i="71"/>
  <c r="H18" i="73"/>
  <c r="K16" i="72"/>
  <c r="G16" i="71"/>
  <c r="K16" i="71" s="1"/>
  <c r="G10" i="71"/>
  <c r="G14" i="71"/>
  <c r="H9" i="72"/>
  <c r="H6" i="72"/>
  <c r="K9" i="71"/>
  <c r="K7" i="71"/>
  <c r="K5" i="72"/>
  <c r="H5" i="73"/>
  <c r="H7" i="73"/>
  <c r="G12" i="71"/>
  <c r="H14" i="73"/>
  <c r="H12" i="73"/>
  <c r="G8" i="71"/>
  <c r="G11" i="71"/>
  <c r="H10" i="73"/>
  <c r="G6" i="71"/>
  <c r="K6" i="71" s="1"/>
  <c r="D3" i="70"/>
  <c r="L16" i="73" l="1"/>
  <c r="L6" i="73"/>
  <c r="L12" i="73"/>
  <c r="L7" i="73"/>
  <c r="L17" i="73"/>
  <c r="L9" i="73"/>
  <c r="M9" i="73" s="1"/>
  <c r="O9" i="73" s="1"/>
  <c r="L8" i="73"/>
  <c r="M8" i="73" s="1"/>
  <c r="O8" i="73" s="1"/>
  <c r="L11" i="73"/>
  <c r="L4" i="73"/>
  <c r="M4" i="73" s="1"/>
  <c r="O4" i="73" s="1"/>
  <c r="L14" i="73"/>
  <c r="L18" i="73"/>
  <c r="M18" i="73" s="1"/>
  <c r="O18" i="73" s="1"/>
  <c r="L5" i="73"/>
  <c r="M5" i="73" s="1"/>
  <c r="O5" i="73" s="1"/>
  <c r="L15" i="73"/>
  <c r="L10" i="73"/>
  <c r="L13" i="73"/>
  <c r="M13" i="73" s="1"/>
  <c r="O13" i="73" s="1"/>
  <c r="M16" i="73"/>
  <c r="O16" i="73" s="1"/>
  <c r="M17" i="73"/>
  <c r="O17" i="73" s="1"/>
  <c r="M14" i="73"/>
  <c r="O14" i="73" s="1"/>
  <c r="D4" i="70"/>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3" i="72"/>
  <c r="L9" i="72"/>
  <c r="L6" i="72"/>
  <c r="L12" i="72"/>
  <c r="K8" i="71"/>
  <c r="H8" i="72"/>
  <c r="H18" i="72"/>
  <c r="N9" i="73"/>
  <c r="N6" i="73"/>
  <c r="G5" i="70"/>
  <c r="K12" i="71"/>
  <c r="H4" i="72"/>
  <c r="N14" i="73"/>
  <c r="H11" i="72"/>
  <c r="K11" i="71"/>
  <c r="N11" i="73"/>
  <c r="H17" i="72"/>
  <c r="H7" i="72"/>
  <c r="H9" i="71"/>
  <c r="K4" i="71"/>
  <c r="H5" i="72"/>
  <c r="N5" i="73"/>
  <c r="N13" i="73"/>
  <c r="H18" i="71"/>
  <c r="N18" i="73"/>
  <c r="H16" i="71"/>
  <c r="H10" i="72"/>
  <c r="K15" i="71"/>
  <c r="G9" i="70"/>
  <c r="N12" i="73"/>
  <c r="H15" i="72"/>
  <c r="G4" i="70"/>
  <c r="N7" i="73"/>
  <c r="G17" i="70"/>
  <c r="G15" i="70"/>
  <c r="K9" i="70"/>
  <c r="N13" i="72"/>
  <c r="H14" i="72"/>
  <c r="K5" i="71"/>
  <c r="G14" i="70"/>
  <c r="H6" i="71"/>
  <c r="N15" i="73"/>
  <c r="K10" i="71"/>
  <c r="G10" i="70"/>
  <c r="K10" i="70" s="1"/>
  <c r="G7" i="70"/>
  <c r="G16" i="70"/>
  <c r="G11" i="70"/>
  <c r="K14" i="71"/>
  <c r="G6" i="70"/>
  <c r="N6" i="72"/>
  <c r="H16" i="72"/>
  <c r="G13" i="70"/>
  <c r="K13" i="70" s="1"/>
  <c r="K15" i="70"/>
  <c r="N10" i="73"/>
  <c r="N4" i="73"/>
  <c r="H7" i="71"/>
  <c r="G18" i="70"/>
  <c r="K18" i="70" s="1"/>
  <c r="N9" i="72"/>
  <c r="K13" i="71"/>
  <c r="G12" i="70"/>
  <c r="K7" i="70"/>
  <c r="N12" i="72"/>
  <c r="N16" i="73"/>
  <c r="N8" i="73"/>
  <c r="K17" i="71"/>
  <c r="G8" i="70"/>
  <c r="N17" i="73"/>
  <c r="D3" i="69"/>
  <c r="L16" i="72" l="1"/>
  <c r="L14" i="72"/>
  <c r="L15" i="72"/>
  <c r="L5" i="72"/>
  <c r="L4" i="72"/>
  <c r="L8" i="72"/>
  <c r="L7" i="72"/>
  <c r="L10" i="72"/>
  <c r="L17" i="72"/>
  <c r="L11" i="72"/>
  <c r="L18" i="72"/>
  <c r="M10" i="73"/>
  <c r="O10" i="73" s="1"/>
  <c r="M12" i="73"/>
  <c r="O12" i="73" s="1"/>
  <c r="M7" i="73"/>
  <c r="O7" i="73" s="1"/>
  <c r="M2" i="73" s="1"/>
  <c r="M11" i="73"/>
  <c r="O11" i="73" s="1"/>
  <c r="M15" i="73"/>
  <c r="O15" i="73" s="1"/>
  <c r="M6" i="73"/>
  <c r="O6" i="73" s="1"/>
  <c r="M17" i="72"/>
  <c r="O17" i="72" s="1"/>
  <c r="M13" i="72"/>
  <c r="O13" i="72" s="1"/>
  <c r="M9" i="72"/>
  <c r="O9" i="72" s="1"/>
  <c r="M15" i="72"/>
  <c r="O15" i="72" s="1"/>
  <c r="M16" i="72"/>
  <c r="O16" i="72" s="1"/>
  <c r="M5" i="72"/>
  <c r="O5" i="72" s="1"/>
  <c r="M12" i="72"/>
  <c r="O12" i="72" s="1"/>
  <c r="M6" i="72"/>
  <c r="O6" i="72" s="1"/>
  <c r="M4" i="72"/>
  <c r="O4" i="72" s="1"/>
  <c r="M10" i="72"/>
  <c r="O10" i="72" s="1"/>
  <c r="H10" i="70"/>
  <c r="L10" i="70" s="1"/>
  <c r="H15" i="70"/>
  <c r="L15" i="70" s="1"/>
  <c r="M15" i="70" s="1"/>
  <c r="O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6" i="71"/>
  <c r="L18" i="71"/>
  <c r="L7" i="71"/>
  <c r="L6" i="71"/>
  <c r="L9" i="71"/>
  <c r="K8" i="70"/>
  <c r="N15" i="72"/>
  <c r="H7" i="70"/>
  <c r="H14" i="71"/>
  <c r="G16" i="69"/>
  <c r="N6" i="71"/>
  <c r="H13" i="71"/>
  <c r="N5" i="72"/>
  <c r="N7" i="71"/>
  <c r="K14" i="70"/>
  <c r="G12" i="69"/>
  <c r="H5" i="71"/>
  <c r="K12" i="70"/>
  <c r="N6" i="70"/>
  <c r="N16" i="72"/>
  <c r="N4" i="72"/>
  <c r="G15" i="69"/>
  <c r="N18" i="71"/>
  <c r="N15" i="70"/>
  <c r="G5" i="69"/>
  <c r="H18" i="70"/>
  <c r="G7" i="69"/>
  <c r="N10" i="70"/>
  <c r="H15" i="71"/>
  <c r="G4" i="69"/>
  <c r="H8" i="71"/>
  <c r="G18" i="69"/>
  <c r="H9" i="70"/>
  <c r="N9" i="71"/>
  <c r="K17" i="70"/>
  <c r="G17" i="69"/>
  <c r="N18" i="72"/>
  <c r="N13" i="70"/>
  <c r="N16" i="71"/>
  <c r="K6" i="70"/>
  <c r="H12" i="71"/>
  <c r="N17" i="72"/>
  <c r="G13" i="69"/>
  <c r="N16" i="70"/>
  <c r="G6" i="69"/>
  <c r="G10" i="69"/>
  <c r="N14" i="70"/>
  <c r="K11" i="70"/>
  <c r="K5" i="70"/>
  <c r="N11" i="70"/>
  <c r="K18" i="69"/>
  <c r="N7" i="72"/>
  <c r="N17" i="70"/>
  <c r="G14" i="69"/>
  <c r="H10" i="71"/>
  <c r="N8" i="72"/>
  <c r="N10" i="72"/>
  <c r="H17" i="71"/>
  <c r="N14" i="72"/>
  <c r="H4" i="71"/>
  <c r="G9" i="69"/>
  <c r="K9" i="69" s="1"/>
  <c r="G11" i="69"/>
  <c r="H11" i="71"/>
  <c r="K4" i="70"/>
  <c r="N11" i="72"/>
  <c r="K16" i="70"/>
  <c r="G8" i="69"/>
  <c r="K8" i="69" s="1"/>
  <c r="L10" i="71" l="1"/>
  <c r="L12" i="71"/>
  <c r="L8" i="71"/>
  <c r="L13" i="71"/>
  <c r="M11" i="70"/>
  <c r="O11" i="70" s="1"/>
  <c r="M14" i="72"/>
  <c r="O14" i="72" s="1"/>
  <c r="M8" i="72"/>
  <c r="O8" i="72" s="1"/>
  <c r="L17" i="71"/>
  <c r="L15" i="71"/>
  <c r="L5" i="71"/>
  <c r="L14" i="71"/>
  <c r="M14" i="71" s="1"/>
  <c r="O14" i="71" s="1"/>
  <c r="L11" i="71"/>
  <c r="M11" i="71" s="1"/>
  <c r="O11" i="71" s="1"/>
  <c r="L4" i="71"/>
  <c r="M14" i="70"/>
  <c r="O14" i="70" s="1"/>
  <c r="M16" i="70"/>
  <c r="O16" i="70" s="1"/>
  <c r="M7" i="72"/>
  <c r="O7" i="72" s="1"/>
  <c r="M18" i="72"/>
  <c r="O18" i="72" s="1"/>
  <c r="M11" i="72"/>
  <c r="O11" i="72" s="1"/>
  <c r="M5" i="71"/>
  <c r="O5" i="71" s="1"/>
  <c r="M8" i="71"/>
  <c r="O8" i="71" s="1"/>
  <c r="M4" i="71"/>
  <c r="O4" i="71" s="1"/>
  <c r="M16" i="71"/>
  <c r="O16" i="71" s="1"/>
  <c r="M12" i="71"/>
  <c r="O12" i="71" s="1"/>
  <c r="M7" i="71"/>
  <c r="O7" i="71" s="1"/>
  <c r="M6" i="71"/>
  <c r="O6" i="71" s="1"/>
  <c r="M18" i="71"/>
  <c r="O18" i="71" s="1"/>
  <c r="M13" i="71"/>
  <c r="O13" i="71" s="1"/>
  <c r="M10" i="71"/>
  <c r="O10" i="71" s="1"/>
  <c r="M9" i="71"/>
  <c r="O9" i="71" s="1"/>
  <c r="M17" i="71"/>
  <c r="O17" i="71" s="1"/>
  <c r="M13" i="70"/>
  <c r="O13" i="70" s="1"/>
  <c r="M17" i="70"/>
  <c r="O17" i="70" s="1"/>
  <c r="M6" i="70"/>
  <c r="O6" i="70" s="1"/>
  <c r="M10" i="70"/>
  <c r="O10" i="70" s="1"/>
  <c r="L7" i="70"/>
  <c r="L9" i="70"/>
  <c r="L18" i="70"/>
  <c r="K11" i="69"/>
  <c r="H8" i="69"/>
  <c r="N18" i="70"/>
  <c r="H9" i="69"/>
  <c r="K14" i="69"/>
  <c r="K7" i="69"/>
  <c r="H5" i="70"/>
  <c r="N14" i="71"/>
  <c r="N5" i="71"/>
  <c r="H4" i="70"/>
  <c r="K12" i="69"/>
  <c r="K13" i="69"/>
  <c r="N4" i="71"/>
  <c r="H12" i="70"/>
  <c r="N10" i="71"/>
  <c r="N17" i="71"/>
  <c r="K16" i="69"/>
  <c r="N8" i="71"/>
  <c r="K10" i="69"/>
  <c r="K5" i="69"/>
  <c r="N7" i="70"/>
  <c r="N13" i="71"/>
  <c r="K6" i="69"/>
  <c r="K15" i="69"/>
  <c r="N12" i="71"/>
  <c r="N9" i="70"/>
  <c r="N15" i="71"/>
  <c r="N11" i="71"/>
  <c r="K17" i="69"/>
  <c r="K4" i="69"/>
  <c r="H18" i="69"/>
  <c r="H8" i="70"/>
  <c r="L8" i="70" l="1"/>
  <c r="L5" i="70"/>
  <c r="M2" i="72"/>
  <c r="L12" i="70"/>
  <c r="M12" i="70" s="1"/>
  <c r="O12" i="70" s="1"/>
  <c r="L4" i="70"/>
  <c r="M15" i="71"/>
  <c r="O15" i="71" s="1"/>
  <c r="M2" i="71" s="1"/>
  <c r="M18" i="70"/>
  <c r="O18" i="70" s="1"/>
  <c r="M9" i="70"/>
  <c r="O9" i="70" s="1"/>
  <c r="M8" i="70"/>
  <c r="O8" i="70" s="1"/>
  <c r="M7" i="70"/>
  <c r="O7" i="70" s="1"/>
  <c r="M5" i="70"/>
  <c r="O5" i="70" s="1"/>
  <c r="M4" i="70"/>
  <c r="O4" i="70" s="1"/>
  <c r="L8" i="69"/>
  <c r="L9" i="69"/>
  <c r="L18" i="69"/>
  <c r="N8" i="70"/>
  <c r="N18" i="69"/>
  <c r="H5" i="69"/>
  <c r="H13" i="69"/>
  <c r="H7" i="69"/>
  <c r="H16" i="69"/>
  <c r="H11" i="69"/>
  <c r="H12" i="69"/>
  <c r="N8" i="69"/>
  <c r="H14" i="69"/>
  <c r="H6" i="69"/>
  <c r="H4" i="69"/>
  <c r="H17" i="69"/>
  <c r="N5" i="70"/>
  <c r="N9" i="69"/>
  <c r="N4" i="70"/>
  <c r="H15" i="69"/>
  <c r="N12" i="70"/>
  <c r="H10" i="69"/>
  <c r="L11" i="69" l="1"/>
  <c r="L5" i="69"/>
  <c r="L15" i="69"/>
  <c r="L14" i="69"/>
  <c r="L7" i="69"/>
  <c r="L17" i="69"/>
  <c r="L4" i="69"/>
  <c r="L6" i="69"/>
  <c r="M6" i="69" s="1"/>
  <c r="O6" i="69" s="1"/>
  <c r="L12" i="69"/>
  <c r="M12" i="69" s="1"/>
  <c r="O12" i="69" s="1"/>
  <c r="L16" i="69"/>
  <c r="L13" i="69"/>
  <c r="L10" i="69"/>
  <c r="M2" i="70"/>
  <c r="M7" i="69"/>
  <c r="O7" i="69" s="1"/>
  <c r="M5" i="69"/>
  <c r="O5" i="69" s="1"/>
  <c r="M14" i="69"/>
  <c r="O14" i="69" s="1"/>
  <c r="M8" i="69"/>
  <c r="O8" i="69" s="1"/>
  <c r="M9" i="69"/>
  <c r="O9" i="69" s="1"/>
  <c r="M18" i="69"/>
  <c r="O18" i="69" s="1"/>
  <c r="M16" i="69"/>
  <c r="O16" i="69" s="1"/>
  <c r="M13" i="69"/>
  <c r="O13" i="69" s="1"/>
  <c r="M4" i="69"/>
  <c r="O4" i="69" s="1"/>
  <c r="N5" i="69"/>
  <c r="N14" i="69"/>
  <c r="N15" i="69"/>
  <c r="N7" i="69"/>
  <c r="N12" i="69"/>
  <c r="N16" i="69"/>
  <c r="N13" i="69"/>
  <c r="N10" i="69"/>
  <c r="N4" i="69"/>
  <c r="N17" i="69"/>
  <c r="N11" i="69"/>
  <c r="N6" i="69"/>
  <c r="M11" i="69" l="1"/>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6" i="22"/>
  <c r="X22" i="22"/>
  <c r="X24" i="22"/>
  <c r="X27" i="22"/>
  <c r="X10" i="22"/>
  <c r="X19" i="22"/>
  <c r="X11" i="22"/>
  <c r="X18" i="22"/>
  <c r="X7" i="22"/>
  <c r="X8" i="22"/>
  <c r="X32" i="22"/>
  <c r="X6" i="22"/>
  <c r="X25" i="22"/>
  <c r="X28" i="22"/>
  <c r="X20" i="22"/>
  <c r="X31" i="22"/>
  <c r="X33" i="22"/>
  <c r="X21" i="22"/>
  <c r="X15" i="22"/>
  <c r="X12" i="22"/>
  <c r="X29" i="22"/>
  <c r="X14" i="22"/>
  <c r="X17" i="22"/>
  <c r="X13" i="22"/>
  <c r="X16" i="22"/>
  <c r="X9" i="22"/>
  <c r="X30" i="22"/>
  <c r="X5" i="22"/>
  <c r="X23" i="22"/>
  <c r="AG6" i="23" l="1"/>
  <c r="N7" i="23"/>
  <c r="U7" i="23"/>
  <c r="AG7" i="23" l="1"/>
  <c r="N8" i="23"/>
  <c r="U8" i="23"/>
  <c r="AG8" i="23" l="1"/>
  <c r="N9" i="23"/>
  <c r="U9" i="23"/>
  <c r="AG9" i="23" l="1"/>
  <c r="N10" i="23"/>
  <c r="U10" i="23"/>
  <c r="AG10" i="23" l="1"/>
  <c r="N11" i="23"/>
  <c r="N12" i="23"/>
  <c r="N13" i="23"/>
  <c r="N14" i="23"/>
  <c r="N15" i="23"/>
  <c r="N16" i="23"/>
  <c r="N17" i="23"/>
  <c r="U12" i="23"/>
  <c r="U11" i="23"/>
  <c r="U14" i="23"/>
  <c r="U16" i="23"/>
  <c r="U17" i="23"/>
  <c r="U13"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1" i="24"/>
  <c r="U35" i="24"/>
  <c r="U26" i="24"/>
  <c r="U44" i="24"/>
  <c r="U36" i="24"/>
  <c r="U20" i="24"/>
  <c r="U24" i="24"/>
  <c r="U45" i="24"/>
  <c r="U29" i="24"/>
  <c r="U12" i="24"/>
  <c r="U46" i="24"/>
  <c r="U48" i="24"/>
  <c r="U19" i="24"/>
  <c r="U38" i="24"/>
  <c r="U31" i="24"/>
  <c r="U18" i="24"/>
  <c r="U33" i="24"/>
  <c r="U41" i="24"/>
  <c r="U47" i="24"/>
  <c r="U34" i="24"/>
  <c r="U40" i="24"/>
  <c r="U39" i="24"/>
  <c r="U16" i="24"/>
  <c r="U13" i="24"/>
  <c r="U30" i="24"/>
  <c r="U37" i="24"/>
  <c r="U32" i="24"/>
  <c r="U27" i="24"/>
  <c r="U15" i="24"/>
  <c r="U43" i="24"/>
  <c r="U28" i="24"/>
  <c r="U14" i="24"/>
  <c r="U22" i="24"/>
  <c r="U25" i="24"/>
  <c r="U23" i="24"/>
  <c r="U42" i="24"/>
  <c r="U17"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7" i="25"/>
  <c r="U8" i="25"/>
  <c r="U6" i="25"/>
  <c r="U9" i="25"/>
  <c r="N6" i="25" a="1"/>
  <c r="N8" i="25" l="1"/>
  <c r="N6" i="25"/>
  <c r="N7" i="25"/>
  <c r="N9" i="25"/>
  <c r="O9" i="25"/>
  <c r="O7" i="25"/>
  <c r="O8" i="25"/>
  <c r="Z6" i="25" a="1"/>
  <c r="Z9" i="25" s="1"/>
  <c r="Z6" i="25" l="1"/>
  <c r="Z7" i="25"/>
  <c r="Z8" i="25"/>
  <c r="AD9" i="25"/>
  <c r="H5" i="26"/>
  <c r="N5" i="29"/>
  <c r="X5" i="29" s="1"/>
  <c r="N6" i="29"/>
  <c r="T6" i="29"/>
  <c r="T5"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8" i="29"/>
  <c r="Z10" i="29"/>
  <c r="Z13" i="29"/>
  <c r="Z6" i="29"/>
  <c r="Z9" i="29"/>
  <c r="Z14" i="29"/>
  <c r="Z12" i="29"/>
  <c r="Z5" i="29"/>
  <c r="Z7" i="29"/>
  <c r="Z11"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10" i="30"/>
  <c r="Z5" i="30"/>
  <c r="Z9" i="30"/>
  <c r="Z8" i="30"/>
  <c r="Z7"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0" i="31"/>
  <c r="X21"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2" i="31"/>
  <c r="X33"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6" i="31"/>
  <c r="X37"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42" i="31"/>
  <c r="AD13" i="31"/>
  <c r="AD21" i="31"/>
  <c r="AD7" i="31"/>
  <c r="AD30" i="31"/>
  <c r="AD12" i="31"/>
  <c r="AD8" i="31"/>
  <c r="AD27" i="31"/>
  <c r="AD16" i="31"/>
  <c r="AD6" i="31"/>
  <c r="AD40" i="31"/>
  <c r="AD14" i="31"/>
  <c r="AD39" i="31"/>
  <c r="AD33" i="31"/>
  <c r="AD41" i="31"/>
  <c r="AD5" i="31"/>
  <c r="AD36" i="31"/>
  <c r="AD9" i="31"/>
  <c r="AD26" i="31"/>
  <c r="AD20" i="31"/>
  <c r="AD25" i="31"/>
  <c r="AD35" i="31"/>
  <c r="AD24" i="31"/>
  <c r="AD31" i="31"/>
  <c r="AD17" i="31"/>
  <c r="AD15" i="31"/>
  <c r="AD34" i="31"/>
  <c r="AD19" i="31"/>
  <c r="AD23" i="31"/>
  <c r="AD32" i="31"/>
  <c r="AD29" i="31"/>
  <c r="AD38" i="31"/>
  <c r="AD18" i="31"/>
  <c r="AD28" i="31"/>
  <c r="AD11" i="31"/>
  <c r="AD37" i="31"/>
  <c r="AD22" i="31"/>
  <c r="AD10"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2" i="28"/>
  <c r="Y53" i="28"/>
  <c r="Y51" i="28"/>
  <c r="Y50" i="28"/>
  <c r="Y54" i="28"/>
  <c r="J8" i="67" l="1"/>
  <c r="E5" i="6"/>
  <c r="F5" i="6" s="1"/>
  <c r="D12"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25" i="50"/>
  <c r="J20" i="48"/>
  <c r="J17" i="50"/>
  <c r="J8" i="50"/>
  <c r="J4" i="47"/>
  <c r="J21" i="47"/>
  <c r="J34" i="49"/>
  <c r="J38" i="50"/>
  <c r="J27" i="48"/>
  <c r="J23" i="48"/>
  <c r="J30" i="47"/>
  <c r="J14" i="48"/>
  <c r="J7" i="49"/>
  <c r="J9" i="49"/>
  <c r="J39" i="48"/>
  <c r="J25" i="47"/>
  <c r="J38" i="48"/>
  <c r="J11" i="48"/>
  <c r="J23" i="50"/>
  <c r="J5" i="50"/>
  <c r="J22" i="49"/>
  <c r="J23" i="49"/>
  <c r="J17" i="49"/>
  <c r="J3" i="47"/>
  <c r="J19" i="47"/>
  <c r="J27" i="47"/>
  <c r="J22" i="47"/>
  <c r="J14" i="49"/>
  <c r="J12" i="49"/>
  <c r="J20" i="50"/>
  <c r="J30" i="50"/>
  <c r="J37" i="47"/>
  <c r="J10" i="50"/>
  <c r="J20" i="49"/>
  <c r="J28" i="50"/>
  <c r="J6" i="50"/>
  <c r="J21" i="49"/>
  <c r="J8" i="47"/>
  <c r="J14" i="50"/>
  <c r="J38" i="47"/>
  <c r="J14" i="47"/>
  <c r="J15" i="50"/>
  <c r="J13" i="50"/>
  <c r="J38" i="49"/>
  <c r="J9" i="48"/>
  <c r="J36" i="48"/>
  <c r="J3" i="48"/>
  <c r="J33" i="48"/>
  <c r="J21" i="48"/>
  <c r="J27" i="50"/>
  <c r="J35" i="50"/>
  <c r="J16" i="47"/>
  <c r="J5" i="48"/>
  <c r="J28" i="47"/>
  <c r="J9" i="50"/>
  <c r="J32" i="48"/>
  <c r="J10" i="49"/>
  <c r="J39" i="47"/>
  <c r="J15" i="48"/>
  <c r="J15" i="49"/>
  <c r="J18" i="47"/>
  <c r="J34" i="47"/>
  <c r="J21" i="50"/>
  <c r="J13" i="47"/>
  <c r="J10" i="48"/>
  <c r="J26" i="49"/>
  <c r="J28" i="48"/>
  <c r="J36" i="49"/>
  <c r="J6" i="49"/>
  <c r="J18" i="50"/>
  <c r="J11" i="47"/>
  <c r="J6" i="47"/>
  <c r="J3" i="49"/>
  <c r="J28" i="49"/>
  <c r="J24" i="50"/>
  <c r="J8" i="49"/>
  <c r="J39" i="49"/>
  <c r="J30" i="49"/>
  <c r="J29" i="49"/>
  <c r="J16" i="50"/>
  <c r="J32" i="49"/>
  <c r="J3" i="50"/>
  <c r="J37" i="50"/>
  <c r="J27" i="49"/>
  <c r="J29" i="47"/>
  <c r="J7" i="50"/>
  <c r="J12" i="48"/>
  <c r="J24" i="49"/>
  <c r="J35" i="49"/>
  <c r="J18" i="48"/>
  <c r="J18" i="49"/>
  <c r="J5" i="49"/>
  <c r="J34" i="50"/>
  <c r="J4" i="50"/>
  <c r="J11" i="49"/>
  <c r="J8" i="48"/>
  <c r="J23" i="47"/>
  <c r="J31" i="47"/>
  <c r="J33" i="47"/>
  <c r="J26" i="50"/>
  <c r="J32" i="50"/>
  <c r="J39" i="50"/>
  <c r="J19" i="48"/>
  <c r="J12" i="47"/>
  <c r="J6" i="48"/>
  <c r="J7" i="47"/>
  <c r="J20" i="47"/>
  <c r="J34" i="48"/>
  <c r="J25" i="48"/>
  <c r="J33" i="50"/>
  <c r="J10" i="47"/>
  <c r="J12" i="50"/>
  <c r="J30" i="48"/>
  <c r="J9" i="47"/>
  <c r="J37" i="48"/>
  <c r="J7" i="48"/>
  <c r="J4" i="48"/>
  <c r="J26" i="48"/>
  <c r="J15" i="47"/>
  <c r="J33" i="49"/>
  <c r="J13" i="49"/>
  <c r="J17" i="48"/>
  <c r="J35" i="47"/>
  <c r="J31" i="49"/>
  <c r="J16" i="48"/>
  <c r="J37" i="49"/>
  <c r="J17" i="47"/>
  <c r="J25" i="49"/>
  <c r="J24" i="47"/>
  <c r="J5" i="47"/>
  <c r="J36" i="47"/>
  <c r="J31" i="48"/>
  <c r="J29" i="50"/>
  <c r="J35" i="48"/>
  <c r="J32" i="47"/>
  <c r="J22" i="48"/>
  <c r="J16" i="49"/>
  <c r="J4" i="49"/>
  <c r="J31" i="50"/>
  <c r="J29" i="48"/>
  <c r="J19" i="50"/>
  <c r="J36" i="50"/>
  <c r="J24" i="48"/>
  <c r="J26" i="47"/>
  <c r="J22" i="50"/>
  <c r="J13" i="48"/>
  <c r="J19" i="49"/>
  <c r="K8" i="48"/>
  <c r="K23" i="47"/>
  <c r="K11" i="50"/>
  <c r="K24" i="48"/>
  <c r="K29" i="50"/>
  <c r="K35" i="50"/>
  <c r="K19" i="48"/>
  <c r="K7" i="49"/>
  <c r="K14" i="50"/>
  <c r="K16" i="48"/>
  <c r="K18" i="48"/>
  <c r="K22" i="50"/>
  <c r="K28" i="47"/>
  <c r="K24" i="50"/>
  <c r="J2" i="48"/>
  <c r="K12" i="50"/>
  <c r="K24" i="47"/>
  <c r="K27" i="48"/>
  <c r="K10" i="49"/>
  <c r="K18" i="49"/>
  <c r="K39" i="47"/>
  <c r="K37" i="47"/>
  <c r="K20" i="49"/>
  <c r="K22" i="48"/>
  <c r="K19" i="50"/>
  <c r="K32" i="49"/>
  <c r="K18" i="50"/>
  <c r="K27" i="49"/>
  <c r="K21" i="47"/>
  <c r="K12" i="47"/>
  <c r="K13" i="48"/>
  <c r="K7" i="50"/>
  <c r="K34" i="48"/>
  <c r="K6" i="48"/>
  <c r="K38" i="48"/>
  <c r="K25" i="49"/>
  <c r="K21" i="50"/>
  <c r="J2" i="49"/>
  <c r="K4" i="47"/>
  <c r="K27" i="50"/>
  <c r="K7" i="48"/>
  <c r="K36" i="48"/>
  <c r="K15" i="48"/>
  <c r="K29" i="47"/>
  <c r="K11" i="47"/>
  <c r="K25" i="47"/>
  <c r="K30" i="49"/>
  <c r="K7" i="47"/>
  <c r="K31" i="50"/>
  <c r="K28" i="49"/>
  <c r="K20" i="47"/>
  <c r="K13" i="47"/>
  <c r="K30" i="50"/>
  <c r="K5" i="48"/>
  <c r="K23" i="48"/>
  <c r="K19" i="47"/>
  <c r="K13" i="49"/>
  <c r="K17" i="49"/>
  <c r="K37" i="49"/>
  <c r="K31" i="48"/>
  <c r="K3" i="50"/>
  <c r="K34" i="47"/>
  <c r="K12" i="48"/>
  <c r="J2" i="47"/>
  <c r="K25" i="48"/>
  <c r="K17" i="47"/>
  <c r="K25" i="50"/>
  <c r="K26" i="50"/>
  <c r="K26" i="48"/>
  <c r="K38" i="50"/>
  <c r="K9" i="49"/>
  <c r="K8" i="49"/>
  <c r="K16" i="47"/>
  <c r="K9" i="50"/>
  <c r="K10" i="47"/>
  <c r="K23" i="50"/>
  <c r="J2" i="50"/>
  <c r="K39" i="48"/>
  <c r="K33" i="48"/>
  <c r="K32" i="47"/>
  <c r="K37" i="48"/>
  <c r="K9" i="48"/>
  <c r="K16" i="49"/>
  <c r="K17" i="50"/>
  <c r="K14"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8" i="41"/>
  <c r="L17" i="42"/>
  <c r="L21" i="41"/>
  <c r="L3" i="40"/>
  <c r="L26" i="42"/>
  <c r="L8" i="41"/>
  <c r="L19" i="42"/>
  <c r="L23" i="41"/>
  <c r="L35" i="41"/>
  <c r="L20" i="42"/>
  <c r="L16" i="41"/>
  <c r="L10" i="42"/>
  <c r="L5" i="42"/>
  <c r="L25" i="42"/>
  <c r="L17" i="41"/>
  <c r="L25" i="41"/>
  <c r="L14" i="41"/>
  <c r="L27" i="42"/>
  <c r="L7" i="42"/>
  <c r="L4" i="41"/>
  <c r="L22" i="41"/>
  <c r="L35" i="42"/>
  <c r="L3" i="43"/>
  <c r="L10" i="41"/>
  <c r="L28" i="42"/>
  <c r="L29" i="42"/>
  <c r="L34" i="41"/>
  <c r="L19" i="41"/>
  <c r="L7" i="41"/>
  <c r="L20" i="41"/>
  <c r="L24" i="41"/>
  <c r="L18" i="41"/>
  <c r="L12" i="41"/>
  <c r="L11" i="41"/>
  <c r="L12" i="42"/>
  <c r="L31" i="41"/>
  <c r="L3" i="41"/>
  <c r="L16" i="42"/>
  <c r="L32" i="42"/>
  <c r="L21" i="42"/>
  <c r="L13" i="41"/>
  <c r="L30" i="41"/>
  <c r="L13" i="42"/>
  <c r="L6" i="41"/>
  <c r="L18" i="42"/>
  <c r="L32" i="41"/>
  <c r="L5" i="41"/>
  <c r="L15" i="41"/>
  <c r="L11" i="42"/>
  <c r="L15" i="42"/>
  <c r="L4" i="42"/>
  <c r="L24" i="42"/>
  <c r="L30" i="42"/>
  <c r="L8" i="42"/>
  <c r="L36" i="42"/>
  <c r="L9" i="41"/>
  <c r="L27" i="41"/>
  <c r="L29" i="41"/>
  <c r="L9" i="42"/>
  <c r="L3" i="42"/>
  <c r="L31" i="42"/>
  <c r="L26" i="41"/>
  <c r="L6" i="42"/>
  <c r="L34" i="42"/>
  <c r="L36" i="41"/>
  <c r="L14" i="42"/>
  <c r="L33" i="41"/>
  <c r="L23" i="42"/>
  <c r="L22" i="42"/>
  <c r="L33" i="42"/>
  <c r="K39" i="50"/>
  <c r="K28" i="50"/>
  <c r="K30" i="48"/>
  <c r="K34" i="49"/>
  <c r="K15" i="50"/>
  <c r="K30" i="47"/>
  <c r="K38" i="49"/>
  <c r="K26" i="47"/>
  <c r="K3" i="48"/>
  <c r="K2" i="48"/>
  <c r="K27" i="47"/>
  <c r="K34" i="50"/>
  <c r="K20" i="50"/>
  <c r="K4" i="48"/>
  <c r="K15" i="47"/>
  <c r="K28" i="48"/>
  <c r="K36" i="50"/>
  <c r="K22" i="47"/>
  <c r="K35" i="47"/>
  <c r="K36" i="47"/>
  <c r="K31" i="47"/>
  <c r="K2" i="49"/>
  <c r="K11" i="48"/>
  <c r="K36" i="49"/>
  <c r="K5" i="50"/>
  <c r="K22" i="49"/>
  <c r="K33" i="47"/>
  <c r="K8" i="50"/>
  <c r="K24" i="49"/>
  <c r="K33" i="49"/>
  <c r="K18" i="47"/>
  <c r="K35" i="49"/>
  <c r="K14" i="47"/>
  <c r="K29" i="48"/>
  <c r="K26" i="49"/>
  <c r="K11" i="49"/>
  <c r="K10" i="48"/>
  <c r="K23" i="49"/>
  <c r="K29" i="49"/>
  <c r="K5" i="47"/>
  <c r="K6" i="50"/>
  <c r="K8" i="47"/>
  <c r="K15" i="49"/>
  <c r="K38" i="47"/>
  <c r="K3" i="49"/>
  <c r="K4" i="50"/>
  <c r="K4" i="49"/>
  <c r="K21" i="49"/>
  <c r="K12" i="49"/>
  <c r="K10" i="50"/>
  <c r="K39" i="49"/>
  <c r="K3" i="47"/>
  <c r="K31" i="49"/>
  <c r="K6" i="47"/>
  <c r="K32" i="50"/>
  <c r="K14" i="48"/>
  <c r="K35" i="48"/>
  <c r="K20" i="48"/>
  <c r="K2" i="50"/>
  <c r="K16" i="50"/>
  <c r="K21" i="48"/>
  <c r="K32" i="48"/>
  <c r="K13" i="50"/>
  <c r="K5" i="49"/>
  <c r="K6" i="49"/>
  <c r="K9" i="47"/>
  <c r="K2" i="47"/>
  <c r="K19" i="49"/>
  <c r="K37" i="50"/>
  <c r="K33" i="50"/>
  <c r="K17" i="48"/>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3" i="40"/>
  <c r="K34" i="43"/>
  <c r="K24" i="40"/>
  <c r="K29" i="43"/>
  <c r="K20" i="43"/>
  <c r="K6" i="40"/>
  <c r="K11" i="43"/>
  <c r="K9" i="43"/>
  <c r="K18" i="43"/>
  <c r="K26" i="43"/>
  <c r="K17" i="40"/>
  <c r="K32" i="40"/>
  <c r="K14" i="43"/>
  <c r="K5" i="43"/>
  <c r="K33" i="43"/>
  <c r="K21" i="40"/>
  <c r="K20" i="40"/>
  <c r="K31" i="43"/>
  <c r="K27" i="43"/>
  <c r="K19" i="43"/>
  <c r="K15" i="40"/>
  <c r="K27" i="40"/>
  <c r="K21" i="43"/>
  <c r="K16" i="40"/>
  <c r="K36" i="43"/>
  <c r="K4" i="40"/>
  <c r="K10" i="43"/>
  <c r="K29" i="40"/>
  <c r="K28" i="40"/>
  <c r="K15" i="43"/>
  <c r="K36" i="40"/>
  <c r="K23" i="43"/>
  <c r="K28" i="43"/>
  <c r="K12" i="43"/>
  <c r="K9" i="40"/>
  <c r="K26" i="40"/>
  <c r="K34" i="40"/>
  <c r="K7" i="40"/>
  <c r="K25" i="40"/>
  <c r="K19" i="40"/>
  <c r="K35" i="43"/>
  <c r="K4" i="43"/>
  <c r="K22" i="40"/>
  <c r="K16" i="43"/>
  <c r="K24" i="43"/>
  <c r="K10" i="40"/>
  <c r="K11" i="40"/>
  <c r="K23" i="40"/>
  <c r="K5" i="40"/>
  <c r="K22" i="43"/>
  <c r="K17" i="43"/>
  <c r="K7" i="43"/>
  <c r="K35" i="40"/>
  <c r="K13" i="43"/>
  <c r="K18" i="40"/>
  <c r="K12" i="40"/>
  <c r="K8" i="43"/>
  <c r="K31" i="40"/>
  <c r="K33" i="40"/>
  <c r="K8" i="40"/>
  <c r="K25" i="43"/>
  <c r="K30" i="40"/>
  <c r="K32" i="43"/>
  <c r="K30" i="43"/>
  <c r="K14" i="40"/>
  <c r="K6" i="43"/>
  <c r="K2" i="40"/>
  <c r="K2" i="41"/>
  <c r="J2" i="42" l="1"/>
  <c r="J2" i="43"/>
  <c r="C1" i="38"/>
  <c r="L15" i="40"/>
  <c r="L7" i="43"/>
  <c r="L28" i="40"/>
  <c r="L4" i="40"/>
  <c r="L17" i="43"/>
  <c r="L32" i="40"/>
  <c r="L21" i="40"/>
  <c r="L34" i="40"/>
  <c r="L11" i="40"/>
  <c r="L17" i="40"/>
  <c r="L26" i="43"/>
  <c r="L13" i="40"/>
  <c r="L16" i="40"/>
  <c r="L25" i="40"/>
  <c r="L33" i="43"/>
  <c r="L9" i="40"/>
  <c r="L34" i="43"/>
  <c r="L24" i="43"/>
  <c r="L8" i="40"/>
  <c r="L14" i="43"/>
  <c r="L29" i="40"/>
  <c r="L16" i="43"/>
  <c r="L4" i="43"/>
  <c r="L27" i="40"/>
  <c r="L35" i="40"/>
  <c r="K2" i="42"/>
  <c r="L19" i="40"/>
  <c r="L13" i="43"/>
  <c r="L6" i="43"/>
  <c r="L22" i="40"/>
  <c r="L18" i="43"/>
  <c r="L5" i="40"/>
  <c r="L15" i="43"/>
  <c r="L19" i="43"/>
  <c r="L11" i="43"/>
  <c r="L27" i="43"/>
  <c r="L12" i="43"/>
  <c r="L10" i="43"/>
  <c r="L25" i="43"/>
  <c r="L31" i="40"/>
  <c r="L8" i="43"/>
  <c r="L36" i="40"/>
  <c r="L35" i="43"/>
  <c r="L20" i="40"/>
  <c r="L7" i="40"/>
  <c r="L30" i="43"/>
  <c r="L2" i="41"/>
  <c r="L24" i="40"/>
  <c r="L14" i="40"/>
  <c r="L28" i="43"/>
  <c r="L23" i="43"/>
  <c r="L20" i="43"/>
  <c r="L21" i="43"/>
  <c r="L2" i="40"/>
  <c r="L26" i="40"/>
  <c r="L9" i="43"/>
  <c r="L33" i="40"/>
  <c r="L6" i="40"/>
  <c r="L23" i="40"/>
  <c r="L29" i="43"/>
  <c r="L5" i="43"/>
  <c r="L12" i="40"/>
  <c r="K2" i="43"/>
  <c r="L36" i="43"/>
  <c r="L18" i="40"/>
  <c r="L22" i="43"/>
  <c r="L31" i="43"/>
  <c r="L32" i="43"/>
  <c r="L10" i="40"/>
  <c r="L30"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8" i="38"/>
  <c r="D23" i="38"/>
  <c r="D36" i="38"/>
  <c r="D18" i="38"/>
  <c r="D56" i="38"/>
  <c r="D30" i="38"/>
  <c r="D5" i="38"/>
  <c r="D42" i="38"/>
  <c r="D24" i="38"/>
  <c r="D49" i="38"/>
  <c r="D35" i="38"/>
  <c r="D54" i="38"/>
  <c r="D38" i="38"/>
  <c r="D34" i="38"/>
  <c r="D59" i="38"/>
  <c r="D17" i="38"/>
  <c r="D29" i="38"/>
  <c r="D40" i="38"/>
  <c r="D32" i="38"/>
  <c r="D44" i="38"/>
  <c r="D39" i="38"/>
  <c r="D14" i="38"/>
  <c r="D53" i="38"/>
  <c r="D60" i="38"/>
  <c r="D10" i="38"/>
  <c r="D27" i="38"/>
  <c r="D33" i="38"/>
  <c r="D61" i="38"/>
  <c r="D25" i="38"/>
  <c r="D4" i="38"/>
  <c r="D13" i="38"/>
  <c r="D41" i="38"/>
  <c r="D62" i="38"/>
  <c r="D64" i="38"/>
  <c r="D3" i="38"/>
  <c r="D52" i="38"/>
  <c r="D22" i="38"/>
  <c r="D11" i="38"/>
  <c r="D6" i="38"/>
  <c r="D43" i="38"/>
  <c r="D46" i="38"/>
  <c r="D57" i="38"/>
  <c r="D50" i="38"/>
  <c r="D7" i="38"/>
  <c r="D63" i="38"/>
  <c r="D26" i="38"/>
  <c r="D19" i="38"/>
  <c r="D12" i="38"/>
  <c r="D8" i="38"/>
  <c r="D37" i="38"/>
  <c r="D51" i="38"/>
  <c r="D31" i="38"/>
  <c r="D55" i="38"/>
  <c r="D47" i="38"/>
  <c r="D15" i="38"/>
  <c r="D20" i="38"/>
  <c r="D48" i="38"/>
  <c r="D9" i="38"/>
  <c r="D16" i="38"/>
  <c r="D58" i="38"/>
  <c r="D21" i="38"/>
  <c r="D45" i="38"/>
  <c r="L2" i="42"/>
  <c r="L2" i="43"/>
  <c r="C2" i="37" l="1"/>
  <c r="C3" i="37"/>
  <c r="C4" i="37"/>
  <c r="C5" i="37"/>
  <c r="C6" i="37"/>
  <c r="C7" i="37"/>
  <c r="C8" i="37"/>
  <c r="C9" i="37"/>
  <c r="C10" i="37"/>
  <c r="C11" i="37"/>
  <c r="C12" i="37"/>
  <c r="C13" i="37"/>
  <c r="C14" i="37"/>
  <c r="C15" i="37"/>
  <c r="C16" i="37"/>
  <c r="C1" i="36"/>
  <c r="E53" i="38"/>
  <c r="E30" i="38"/>
  <c r="E51" i="38"/>
  <c r="E20" i="38"/>
  <c r="E11" i="38"/>
  <c r="E8" i="38"/>
  <c r="E19" i="38"/>
  <c r="E6" i="38"/>
  <c r="D9" i="37"/>
  <c r="E44" i="38"/>
  <c r="E39" i="38"/>
  <c r="E32" i="38"/>
  <c r="D12" i="37"/>
  <c r="E45" i="38"/>
  <c r="E57" i="38"/>
  <c r="E50" i="38"/>
  <c r="E25" i="38"/>
  <c r="E3" i="38"/>
  <c r="E58" i="38"/>
  <c r="E5" i="38"/>
  <c r="E13" i="38"/>
  <c r="E23" i="38"/>
  <c r="E61" i="38"/>
  <c r="E18" i="38"/>
  <c r="E49" i="38"/>
  <c r="E36" i="38"/>
  <c r="E12" i="38"/>
  <c r="E10" i="38"/>
  <c r="E26" i="38"/>
  <c r="D15" i="37"/>
  <c r="E15" i="38"/>
  <c r="E59" i="38"/>
  <c r="E42" i="38"/>
  <c r="E4" i="38"/>
  <c r="E46" i="38"/>
  <c r="D8" i="37"/>
  <c r="E29" i="38"/>
  <c r="E52" i="38"/>
  <c r="E54" i="38"/>
  <c r="E55" i="38"/>
  <c r="D13" i="37"/>
  <c r="E64" i="38"/>
  <c r="E28" i="38"/>
  <c r="E17" i="38"/>
  <c r="E48" i="38"/>
  <c r="E16" i="38"/>
  <c r="D11" i="37"/>
  <c r="D3" i="37"/>
  <c r="E34" i="38"/>
  <c r="E9" i="38"/>
  <c r="E31" i="38"/>
  <c r="E63" i="38"/>
  <c r="E41" i="38"/>
  <c r="E43" i="38"/>
  <c r="E14" i="38"/>
  <c r="D16" i="37"/>
  <c r="D6" i="37"/>
  <c r="D4" i="37"/>
  <c r="D10" i="37"/>
  <c r="E56" i="38"/>
  <c r="E37" i="38"/>
  <c r="E33" i="38"/>
  <c r="E21" i="38"/>
  <c r="D5" i="37"/>
  <c r="E38" i="38"/>
  <c r="E35" i="38"/>
  <c r="E40" i="38"/>
  <c r="E24" i="38"/>
  <c r="E22" i="38"/>
  <c r="E62" i="38"/>
  <c r="E7" i="38"/>
  <c r="E60" i="38"/>
  <c r="D7" i="37"/>
  <c r="E27" i="38"/>
  <c r="E47" i="38"/>
  <c r="D14" i="37"/>
  <c r="C2" i="36" l="1"/>
  <c r="C3" i="36"/>
  <c r="C4" i="36"/>
  <c r="C5" i="36"/>
  <c r="C6" i="36"/>
  <c r="C7" i="36"/>
  <c r="C8" i="36"/>
  <c r="C9" i="36"/>
  <c r="C10" i="36"/>
  <c r="C11" i="36"/>
  <c r="C12" i="36"/>
  <c r="C13" i="36"/>
  <c r="C1" i="35"/>
  <c r="E9" i="37"/>
  <c r="E16" i="37"/>
  <c r="E12" i="37"/>
  <c r="D11" i="36"/>
  <c r="D10" i="36"/>
  <c r="E5" i="37"/>
  <c r="E4" i="37"/>
  <c r="E14" i="37"/>
  <c r="D9" i="36"/>
  <c r="D7" i="36"/>
  <c r="D4" i="36"/>
  <c r="D5" i="36"/>
  <c r="E11" i="37"/>
  <c r="E8" i="37"/>
  <c r="E10" i="37"/>
  <c r="E3" i="37"/>
  <c r="E13" i="37"/>
  <c r="D12" i="36"/>
  <c r="D6" i="36"/>
  <c r="D13" i="36"/>
  <c r="E15" i="37"/>
  <c r="D3" i="36"/>
  <c r="E7" i="37"/>
  <c r="D8" i="36"/>
  <c r="E6" i="37"/>
  <c r="C2" i="35" l="1"/>
  <c r="C3" i="35"/>
  <c r="C4" i="35"/>
  <c r="C5" i="35"/>
  <c r="C6" i="35"/>
  <c r="C7" i="35"/>
  <c r="C8" i="35"/>
  <c r="C9" i="35"/>
  <c r="C10" i="35"/>
  <c r="C11" i="35"/>
  <c r="C2" i="34"/>
  <c r="C3" i="34"/>
  <c r="C4" i="34"/>
  <c r="E9" i="36"/>
  <c r="D3" i="34"/>
  <c r="D3" i="35"/>
  <c r="E10" i="36"/>
  <c r="D11" i="35"/>
  <c r="D6" i="35"/>
  <c r="E11" i="36"/>
  <c r="E12" i="36"/>
  <c r="E7" i="36"/>
  <c r="D4" i="35"/>
  <c r="D10" i="35"/>
  <c r="E6" i="36"/>
  <c r="E4" i="36"/>
  <c r="E13" i="36"/>
  <c r="E5" i="36"/>
  <c r="D5" i="35"/>
  <c r="D7" i="35"/>
  <c r="D9" i="35"/>
  <c r="D4" i="34"/>
  <c r="E8" i="36"/>
  <c r="E3" i="36"/>
  <c r="D8" i="35"/>
  <c r="D2" i="36"/>
  <c r="D2" i="38"/>
  <c r="D2" i="35"/>
  <c r="D2" i="34"/>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9" i="28"/>
  <c r="D42" i="28"/>
  <c r="F30" i="28"/>
  <c r="E4" i="34"/>
  <c r="F25" i="28"/>
  <c r="F14" i="29"/>
  <c r="F13" i="29"/>
  <c r="F5" i="30"/>
  <c r="E10" i="35"/>
  <c r="F11" i="30"/>
  <c r="E4" i="35"/>
  <c r="F18" i="28"/>
  <c r="F20" i="28"/>
  <c r="F31" i="28"/>
  <c r="F6" i="29"/>
  <c r="E11" i="35"/>
  <c r="F40" i="28"/>
  <c r="F19" i="28"/>
  <c r="F24" i="28"/>
  <c r="F12" i="29"/>
  <c r="E3" i="35"/>
  <c r="F13" i="28"/>
  <c r="F39" i="28"/>
  <c r="F21" i="28"/>
  <c r="F7" i="28"/>
  <c r="F10" i="28"/>
  <c r="E5" i="35"/>
  <c r="F15" i="28"/>
  <c r="F34" i="28"/>
  <c r="F28" i="28"/>
  <c r="F33" i="28"/>
  <c r="F26" i="28"/>
  <c r="F16" i="28"/>
  <c r="F11" i="29"/>
  <c r="F6" i="30"/>
  <c r="F12" i="28"/>
  <c r="F23" i="28"/>
  <c r="F27" i="28"/>
  <c r="F11" i="28"/>
  <c r="E9" i="35"/>
  <c r="F8" i="30"/>
  <c r="E6" i="35"/>
  <c r="F9" i="28"/>
  <c r="E8" i="35"/>
  <c r="F7" i="29"/>
  <c r="F9" i="30"/>
  <c r="F8" i="29"/>
  <c r="E7" i="35"/>
  <c r="F17" i="28"/>
  <c r="F14" i="28"/>
  <c r="F10" i="30"/>
  <c r="F5" i="29"/>
  <c r="F37" i="28"/>
  <c r="F15" i="29"/>
  <c r="E3" i="34"/>
  <c r="F22" i="28"/>
  <c r="F10" i="29"/>
  <c r="F35" i="28"/>
  <c r="F32" i="28"/>
  <c r="F7" i="30"/>
  <c r="F5" i="28"/>
  <c r="F9" i="29"/>
  <c r="F8" i="28"/>
  <c r="F38" i="28"/>
  <c r="F36" i="28"/>
  <c r="F6" i="28"/>
  <c r="E2" i="37"/>
  <c r="E2" i="36"/>
  <c r="E2" i="38"/>
  <c r="E2" i="34"/>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D43" i="28"/>
  <c r="Y27" i="28"/>
  <c r="G33" i="28"/>
  <c r="G6" i="30"/>
  <c r="G12" i="29"/>
  <c r="Y14" i="28"/>
  <c r="G27" i="28"/>
  <c r="Y38" i="28"/>
  <c r="Y31" i="28"/>
  <c r="F42" i="28"/>
  <c r="G7" i="28"/>
  <c r="G22" i="28"/>
  <c r="Y19" i="28"/>
  <c r="Y13" i="28"/>
  <c r="F32" i="31"/>
  <c r="G30" i="28"/>
  <c r="Y8" i="28"/>
  <c r="G38" i="28"/>
  <c r="Y22" i="28"/>
  <c r="G15" i="28"/>
  <c r="G8" i="29"/>
  <c r="G39" i="28"/>
  <c r="G35" i="28"/>
  <c r="Y9" i="28"/>
  <c r="G10" i="29"/>
  <c r="Y24" i="28"/>
  <c r="G8" i="28"/>
  <c r="Y30" i="28"/>
  <c r="Y25" i="28"/>
  <c r="Y26" i="28"/>
  <c r="G21" i="28"/>
  <c r="Y36" i="28"/>
  <c r="G11" i="28"/>
  <c r="G6" i="28"/>
  <c r="G28" i="28"/>
  <c r="F27" i="32"/>
  <c r="Y5" i="28"/>
  <c r="G5" i="28"/>
  <c r="G11" i="29"/>
  <c r="F11" i="32"/>
  <c r="G37" i="28"/>
  <c r="G36" i="28"/>
  <c r="Y11" i="28"/>
  <c r="G17" i="28"/>
  <c r="Y29" i="28"/>
  <c r="F19" i="31"/>
  <c r="G18" i="28"/>
  <c r="G13" i="29"/>
  <c r="Y20" i="28"/>
  <c r="F16" i="31"/>
  <c r="G16" i="28"/>
  <c r="F35" i="31"/>
  <c r="Y18" i="28"/>
  <c r="F19" i="32"/>
  <c r="Y39" i="28"/>
  <c r="G7" i="29"/>
  <c r="G23" i="28"/>
  <c r="F24" i="31"/>
  <c r="F30" i="32"/>
  <c r="Y21" i="28"/>
  <c r="G24" i="28"/>
  <c r="G13" i="28"/>
  <c r="G14" i="29"/>
  <c r="Y23" i="28"/>
  <c r="G5" i="30"/>
  <c r="G15" i="29"/>
  <c r="Y40" i="28"/>
  <c r="G9" i="29"/>
  <c r="Y37" i="28"/>
  <c r="G10" i="28"/>
  <c r="G25" i="28"/>
  <c r="G9" i="28"/>
  <c r="G8" i="30"/>
  <c r="Y16" i="28"/>
  <c r="Y12" i="28"/>
  <c r="G10" i="30"/>
  <c r="G11" i="30"/>
  <c r="G9" i="30"/>
  <c r="F35" i="32"/>
  <c r="G29" i="28"/>
  <c r="Y15" i="28"/>
  <c r="G7" i="30"/>
  <c r="G6" i="29"/>
  <c r="Y33" i="28"/>
  <c r="G20" i="28"/>
  <c r="Y28" i="28"/>
  <c r="Y35" i="28"/>
  <c r="F38" i="31"/>
  <c r="G40" i="28"/>
  <c r="F22" i="32"/>
  <c r="F27" i="31"/>
  <c r="F30" i="31"/>
  <c r="G14" i="28"/>
  <c r="Y6" i="28"/>
  <c r="G19" i="28"/>
  <c r="F38" i="32"/>
  <c r="G34" i="28"/>
  <c r="G12" i="28"/>
  <c r="G5" i="29"/>
  <c r="Y7" i="28"/>
  <c r="F22" i="31"/>
  <c r="Y17" i="28"/>
  <c r="Y32" i="28"/>
  <c r="G32" i="28"/>
  <c r="Y34" i="28"/>
  <c r="G31" i="28"/>
  <c r="Y10" i="28"/>
  <c r="G26"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9" i="32"/>
  <c r="G27" i="31"/>
  <c r="F32" i="32"/>
  <c r="F24" i="32"/>
  <c r="F36" i="31"/>
  <c r="F20" i="31"/>
  <c r="G32" i="31"/>
  <c r="G38" i="32"/>
  <c r="F6" i="32"/>
  <c r="F7" i="31"/>
  <c r="F10" i="31"/>
  <c r="AC30" i="32"/>
  <c r="F10" i="32"/>
  <c r="F21" i="31"/>
  <c r="F34" i="32"/>
  <c r="F14" i="31"/>
  <c r="F37" i="31"/>
  <c r="AC35" i="32"/>
  <c r="F40" i="31"/>
  <c r="AC11" i="32"/>
  <c r="G19" i="32"/>
  <c r="F31" i="31"/>
  <c r="G16" i="31"/>
  <c r="F41" i="32"/>
  <c r="F42" i="32"/>
  <c r="F28" i="31"/>
  <c r="F9" i="31"/>
  <c r="F15" i="31"/>
  <c r="G24" i="31"/>
  <c r="F16" i="32"/>
  <c r="F20" i="32"/>
  <c r="F17" i="32"/>
  <c r="AC19" i="32"/>
  <c r="AC22" i="32"/>
  <c r="F34" i="31"/>
  <c r="F7" i="32"/>
  <c r="F8" i="32"/>
  <c r="G19" i="31"/>
  <c r="F31" i="32"/>
  <c r="G35" i="32"/>
  <c r="G42" i="28"/>
  <c r="G38" i="31"/>
  <c r="F33" i="32"/>
  <c r="F26" i="32"/>
  <c r="AC38" i="32"/>
  <c r="F8" i="31"/>
  <c r="F39" i="32"/>
  <c r="F39" i="31"/>
  <c r="F21" i="32"/>
  <c r="F36" i="32"/>
  <c r="F17" i="31"/>
  <c r="G22" i="31"/>
  <c r="F15" i="32"/>
  <c r="F28" i="32"/>
  <c r="G22" i="32"/>
  <c r="F18" i="31"/>
  <c r="G11" i="32"/>
  <c r="F29" i="31"/>
  <c r="F29" i="32"/>
  <c r="F23" i="32"/>
  <c r="AC27" i="32"/>
  <c r="F12" i="31"/>
  <c r="F25" i="31"/>
  <c r="F42" i="31"/>
  <c r="F37" i="32"/>
  <c r="G35" i="31"/>
  <c r="F11" i="31"/>
  <c r="F43" i="28"/>
  <c r="F12" i="32"/>
  <c r="G27" i="32"/>
  <c r="F6" i="31"/>
  <c r="G30" i="31"/>
  <c r="F25" i="32"/>
  <c r="F13" i="32"/>
  <c r="F13" i="31"/>
  <c r="F23" i="31"/>
  <c r="F40" i="32"/>
  <c r="F26" i="31"/>
  <c r="G30" i="32"/>
  <c r="F33" i="31"/>
  <c r="F41" i="31"/>
  <c r="F14" i="32"/>
  <c r="F18" i="32"/>
  <c r="D44" i="28"/>
  <c r="E44" i="28" l="1"/>
  <c r="G37" i="32"/>
  <c r="G6" i="32"/>
  <c r="G12" i="31"/>
  <c r="G16" i="32"/>
  <c r="AC33" i="32"/>
  <c r="G10" i="32"/>
  <c r="G39" i="32"/>
  <c r="G7" i="32"/>
  <c r="G23" i="32"/>
  <c r="AC7" i="32"/>
  <c r="G23" i="31"/>
  <c r="G25" i="31"/>
  <c r="AC12" i="32"/>
  <c r="AC32" i="32"/>
  <c r="G33" i="32"/>
  <c r="G7" i="31"/>
  <c r="AC20" i="32"/>
  <c r="G28" i="31"/>
  <c r="G9" i="32"/>
  <c r="AC37" i="32"/>
  <c r="G29" i="32"/>
  <c r="G33" i="31"/>
  <c r="AC42" i="32"/>
  <c r="G12" i="32"/>
  <c r="AC31" i="32"/>
  <c r="AC39" i="32"/>
  <c r="G42" i="31"/>
  <c r="AC14" i="32"/>
  <c r="AC8" i="32"/>
  <c r="G32" i="32"/>
  <c r="G17" i="31"/>
  <c r="AC9" i="32"/>
  <c r="G14" i="32"/>
  <c r="F44" i="28"/>
  <c r="AC13" i="32"/>
  <c r="AC23" i="32"/>
  <c r="G31" i="31"/>
  <c r="G25" i="32"/>
  <c r="AC18" i="32"/>
  <c r="G40" i="32"/>
  <c r="G13" i="31"/>
  <c r="AC10" i="32"/>
  <c r="G34" i="31"/>
  <c r="AC16" i="32"/>
  <c r="G15" i="32"/>
  <c r="AC34" i="32"/>
  <c r="G40" i="31"/>
  <c r="G42" i="32"/>
  <c r="AC29" i="32"/>
  <c r="G17" i="32"/>
  <c r="G34" i="32"/>
  <c r="AC41" i="32"/>
  <c r="G24" i="32"/>
  <c r="G11" i="31"/>
  <c r="AC26" i="32"/>
  <c r="G41" i="31"/>
  <c r="AC6" i="32"/>
  <c r="AC17" i="32"/>
  <c r="G31" i="32"/>
  <c r="AC15" i="32"/>
  <c r="G15" i="31"/>
  <c r="G8" i="31"/>
  <c r="G36" i="31"/>
  <c r="G8" i="32"/>
  <c r="AC21" i="32"/>
  <c r="D45" i="28"/>
  <c r="AC40" i="32"/>
  <c r="G39" i="31"/>
  <c r="G26" i="32"/>
  <c r="G41" i="32"/>
  <c r="G9" i="31"/>
  <c r="G28" i="32"/>
  <c r="G21" i="32"/>
  <c r="G37" i="31"/>
  <c r="AC36" i="32"/>
  <c r="G10" i="31"/>
  <c r="G26" i="31"/>
  <c r="G6" i="31"/>
  <c r="G43" i="28"/>
  <c r="G29" i="31"/>
  <c r="AC25" i="32"/>
  <c r="G36" i="32"/>
  <c r="G18" i="32"/>
  <c r="AC24" i="32"/>
  <c r="G20" i="32"/>
  <c r="G21" i="31"/>
  <c r="AC28" i="32"/>
  <c r="G14" i="31"/>
  <c r="G20" i="31"/>
  <c r="G18" i="31"/>
  <c r="G13" i="32"/>
  <c r="E45" i="28" l="1"/>
  <c r="F45" i="28"/>
  <c r="G44" i="28"/>
  <c r="D46" i="28"/>
  <c r="E46" i="28" l="1"/>
  <c r="F46" i="28"/>
  <c r="G45" i="28"/>
  <c r="D47" i="28"/>
  <c r="E47" i="28" l="1"/>
  <c r="G46" i="28"/>
  <c r="D48" i="28"/>
  <c r="F47" i="28"/>
  <c r="E48" i="28" l="1"/>
  <c r="G47" i="28"/>
  <c r="F48" i="28"/>
  <c r="D49" i="28"/>
  <c r="E49" i="28" l="1"/>
  <c r="D50" i="28"/>
  <c r="D51" i="28"/>
  <c r="G48" i="28"/>
  <c r="F49" i="28"/>
  <c r="E51" i="28" l="1"/>
  <c r="E50" i="28"/>
  <c r="D52" i="28"/>
  <c r="D53" i="28"/>
  <c r="F50" i="28"/>
  <c r="F51" i="28"/>
  <c r="G49" i="28"/>
  <c r="E52" i="28" l="1"/>
  <c r="E53" i="28"/>
  <c r="D54" i="28"/>
  <c r="F52" i="28"/>
  <c r="D55" i="28"/>
  <c r="D56" i="28"/>
  <c r="F53" i="28"/>
  <c r="G50" i="28"/>
  <c r="G52" i="28"/>
  <c r="G51" i="28"/>
  <c r="E55" i="28" l="1"/>
  <c r="E54" i="28"/>
  <c r="E56" i="28"/>
  <c r="G53" i="28"/>
  <c r="F54" i="28"/>
  <c r="D57" i="28"/>
  <c r="D58" i="28"/>
  <c r="F56" i="28"/>
  <c r="F55" i="28"/>
  <c r="G56" i="28"/>
  <c r="G54" i="28"/>
  <c r="G55" i="28"/>
  <c r="E57" i="28" l="1"/>
  <c r="E58" i="28"/>
  <c r="F57" i="28"/>
  <c r="D59" i="28"/>
  <c r="F58" i="28"/>
  <c r="G57" i="28"/>
  <c r="G58" i="28"/>
  <c r="E59" i="28" l="1"/>
  <c r="D60" i="28"/>
  <c r="F59" i="28"/>
  <c r="D61" i="28"/>
  <c r="G59" i="28"/>
  <c r="E60" i="28" l="1"/>
  <c r="E61" i="28"/>
  <c r="F60" i="28"/>
  <c r="F61" i="28"/>
  <c r="D62" i="28"/>
  <c r="D63" i="28" s="1"/>
  <c r="G60" i="28"/>
  <c r="G61" i="28"/>
  <c r="E62" i="28" l="1"/>
  <c r="E63" i="28"/>
  <c r="F63" i="28"/>
  <c r="F62" i="28"/>
  <c r="D64" i="28"/>
  <c r="G62" i="28"/>
  <c r="G63" i="28"/>
  <c r="E64" i="28" l="1"/>
  <c r="D65" i="28"/>
  <c r="D66" i="28"/>
  <c r="F64" i="28"/>
  <c r="G64" i="28"/>
  <c r="E65" i="28" l="1"/>
  <c r="E66" i="28"/>
  <c r="F65" i="28"/>
  <c r="F66" i="28"/>
  <c r="D67" i="28"/>
  <c r="G65" i="28"/>
  <c r="G66" i="28"/>
  <c r="E67" i="28" l="1"/>
  <c r="F67" i="28"/>
  <c r="D68" i="28"/>
  <c r="G67" i="28"/>
  <c r="E68" i="28" l="1"/>
  <c r="F68" i="28"/>
  <c r="D69" i="28"/>
  <c r="F4" i="30"/>
  <c r="F5" i="31"/>
  <c r="F4" i="29"/>
  <c r="G68" i="28"/>
  <c r="F5" i="32"/>
  <c r="E69" i="28" l="1"/>
  <c r="B4" i="26"/>
  <c r="B5" i="26"/>
  <c r="B6" i="26"/>
  <c r="E4"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70" i="28"/>
  <c r="E5" i="22"/>
  <c r="D21" i="21"/>
  <c r="E6" i="22"/>
  <c r="D20" i="21"/>
  <c r="E35" i="22"/>
  <c r="E3" i="22"/>
  <c r="E11" i="22"/>
  <c r="D11" i="21"/>
  <c r="E4" i="22"/>
  <c r="D15" i="21"/>
  <c r="D10" i="21"/>
  <c r="E12" i="22"/>
  <c r="D5" i="21"/>
  <c r="E18" i="22"/>
  <c r="E25" i="22"/>
  <c r="E9" i="22"/>
  <c r="E19" i="22"/>
  <c r="E32" i="22"/>
  <c r="E29" i="22"/>
  <c r="E34" i="22"/>
  <c r="E33" i="22"/>
  <c r="D14" i="21"/>
  <c r="E10" i="22"/>
  <c r="E7" i="22"/>
  <c r="D13" i="21"/>
  <c r="C6" i="26"/>
  <c r="E17" i="22"/>
  <c r="D5" i="25" a="1"/>
  <c r="E23" i="22"/>
  <c r="D22" i="21"/>
  <c r="E26" i="22"/>
  <c r="E13" i="22"/>
  <c r="D9" i="21"/>
  <c r="D16" i="21"/>
  <c r="D18" i="21"/>
  <c r="E27" i="22"/>
  <c r="E21" i="22"/>
  <c r="D17" i="21"/>
  <c r="D12" i="21"/>
  <c r="E15" i="22"/>
  <c r="E14" i="22"/>
  <c r="E8" i="22"/>
  <c r="C5" i="26"/>
  <c r="D7" i="21"/>
  <c r="E28" i="22"/>
  <c r="E22" i="22"/>
  <c r="D6" i="23" a="1"/>
  <c r="E24" i="22"/>
  <c r="E31" i="22"/>
  <c r="D8" i="21"/>
  <c r="E16" i="22"/>
  <c r="E30" i="22"/>
  <c r="F69" i="28"/>
  <c r="D6" i="21"/>
  <c r="E20" i="22"/>
  <c r="D19" i="21"/>
  <c r="AC5" i="32"/>
  <c r="G4" i="29"/>
  <c r="G69" i="28"/>
  <c r="G5" i="32"/>
  <c r="G4" i="30"/>
  <c r="G5" i="31"/>
  <c r="E70"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39" i="25"/>
  <c r="F12" i="25"/>
  <c r="F11" i="23"/>
  <c r="F88" i="25"/>
  <c r="F70" i="25"/>
  <c r="F21" i="23"/>
  <c r="F46" i="25"/>
  <c r="F32" i="25"/>
  <c r="F53" i="25"/>
  <c r="F5" i="25"/>
  <c r="F31" i="25"/>
  <c r="F106" i="25"/>
  <c r="F64" i="25"/>
  <c r="P19" i="21"/>
  <c r="F100" i="23"/>
  <c r="F41" i="23"/>
  <c r="F124" i="23"/>
  <c r="F75" i="25"/>
  <c r="F111" i="23"/>
  <c r="P11" i="21"/>
  <c r="F120" i="25"/>
  <c r="F69" i="25"/>
  <c r="E14" i="21"/>
  <c r="F14" i="25"/>
  <c r="F19" i="23"/>
  <c r="F50" i="25"/>
  <c r="F38" i="25"/>
  <c r="F26" i="25"/>
  <c r="P21" i="21"/>
  <c r="F7" i="23"/>
  <c r="F28" i="25"/>
  <c r="F108" i="23"/>
  <c r="F52" i="25"/>
  <c r="F28" i="22"/>
  <c r="F38" i="23"/>
  <c r="P16" i="21"/>
  <c r="F13" i="22"/>
  <c r="F65" i="25"/>
  <c r="F103" i="25"/>
  <c r="E12" i="21"/>
  <c r="P5" i="21"/>
  <c r="F29" i="22"/>
  <c r="E5" i="21"/>
  <c r="F86" i="23"/>
  <c r="F18" i="25"/>
  <c r="F16" i="25"/>
  <c r="F84" i="25"/>
  <c r="F40" i="25"/>
  <c r="F45" i="23"/>
  <c r="F110" i="23"/>
  <c r="F56" i="23"/>
  <c r="F102" i="25"/>
  <c r="F77" i="25"/>
  <c r="Q5" i="26"/>
  <c r="F35" i="25"/>
  <c r="F14" i="23"/>
  <c r="F6" i="22"/>
  <c r="F27" i="25"/>
  <c r="F88" i="23"/>
  <c r="F75" i="23"/>
  <c r="F90" i="25"/>
  <c r="F90" i="23"/>
  <c r="E22" i="21"/>
  <c r="F10" i="25"/>
  <c r="F117" i="25"/>
  <c r="F115" i="25"/>
  <c r="F118" i="25"/>
  <c r="F108" i="25"/>
  <c r="F72" i="25"/>
  <c r="F105" i="23"/>
  <c r="F34" i="25"/>
  <c r="F44" i="23"/>
  <c r="F26" i="23"/>
  <c r="F91" i="25"/>
  <c r="F114" i="25"/>
  <c r="F9" i="22"/>
  <c r="P17" i="21"/>
  <c r="F28" i="23"/>
  <c r="F23" i="22"/>
  <c r="F11" i="22"/>
  <c r="F73" i="23"/>
  <c r="F4" i="22"/>
  <c r="F11" i="25"/>
  <c r="F25" i="22"/>
  <c r="D5" i="26"/>
  <c r="F113" i="25"/>
  <c r="F62" i="25"/>
  <c r="F23" i="25"/>
  <c r="F119" i="25"/>
  <c r="F61" i="23"/>
  <c r="F33" i="23"/>
  <c r="F63" i="23"/>
  <c r="F43" i="23"/>
  <c r="F42" i="25"/>
  <c r="F17" i="22"/>
  <c r="E7" i="21"/>
  <c r="D6" i="26"/>
  <c r="F59" i="25"/>
  <c r="F92" i="23"/>
  <c r="F24" i="23"/>
  <c r="P8" i="21"/>
  <c r="F64" i="23"/>
  <c r="F117" i="23"/>
  <c r="F77" i="23"/>
  <c r="F71" i="25"/>
  <c r="F24" i="25"/>
  <c r="F109" i="25"/>
  <c r="F8" i="23"/>
  <c r="F29" i="23"/>
  <c r="F51" i="23"/>
  <c r="F104" i="25"/>
  <c r="F49" i="25"/>
  <c r="F118" i="23"/>
  <c r="F107" i="25"/>
  <c r="E16" i="21"/>
  <c r="F26" i="22"/>
  <c r="F45" i="25"/>
  <c r="F91" i="23"/>
  <c r="P18" i="21"/>
  <c r="P10" i="21"/>
  <c r="P6" i="21"/>
  <c r="F33" i="25"/>
  <c r="E15" i="21"/>
  <c r="F76" i="23"/>
  <c r="F114" i="23"/>
  <c r="F81" i="25"/>
  <c r="F116" i="25"/>
  <c r="F112" i="23"/>
  <c r="F82" i="23"/>
  <c r="F102" i="23"/>
  <c r="P15" i="21"/>
  <c r="F16" i="22"/>
  <c r="F84" i="23"/>
  <c r="F8" i="22"/>
  <c r="F65" i="23"/>
  <c r="F107" i="23"/>
  <c r="F56" i="25"/>
  <c r="F27" i="23"/>
  <c r="F8" i="25"/>
  <c r="F87" i="25"/>
  <c r="F93" i="23"/>
  <c r="F99" i="23"/>
  <c r="P22" i="21"/>
  <c r="F79" i="25"/>
  <c r="E10" i="21"/>
  <c r="F37" i="25"/>
  <c r="F98" i="23"/>
  <c r="F30" i="22"/>
  <c r="F57" i="25"/>
  <c r="F14" i="22"/>
  <c r="E21" i="21"/>
  <c r="F89" i="25"/>
  <c r="F57" i="23"/>
  <c r="F103" i="23"/>
  <c r="F109" i="23"/>
  <c r="F86" i="25"/>
  <c r="F111" i="25"/>
  <c r="D71" i="28"/>
  <c r="F97" i="25"/>
  <c r="F42" i="23"/>
  <c r="F58" i="25"/>
  <c r="E8" i="21"/>
  <c r="F58" i="23"/>
  <c r="F7" i="22"/>
  <c r="E6" i="21"/>
  <c r="F44" i="25"/>
  <c r="F36" i="25"/>
  <c r="F74" i="25"/>
  <c r="F87" i="23"/>
  <c r="F49" i="23"/>
  <c r="F94" i="25"/>
  <c r="E13" i="21"/>
  <c r="F78" i="25"/>
  <c r="F62" i="23"/>
  <c r="F17" i="23"/>
  <c r="F18" i="23"/>
  <c r="F95" i="25"/>
  <c r="F15" i="25"/>
  <c r="F19" i="22"/>
  <c r="F124" i="25"/>
  <c r="F31" i="23"/>
  <c r="F20" i="25"/>
  <c r="F43" i="25"/>
  <c r="F23" i="23"/>
  <c r="F125" i="23"/>
  <c r="F15" i="23"/>
  <c r="P20" i="21"/>
  <c r="E17" i="21"/>
  <c r="F101" i="23"/>
  <c r="F106" i="23"/>
  <c r="F68" i="25"/>
  <c r="F69" i="23"/>
  <c r="F17" i="25"/>
  <c r="F115" i="23"/>
  <c r="F73" i="25"/>
  <c r="F12" i="22"/>
  <c r="F35" i="23"/>
  <c r="F41" i="25"/>
  <c r="E9" i="21"/>
  <c r="F66" i="25"/>
  <c r="F98" i="25"/>
  <c r="F48" i="23"/>
  <c r="F13" i="25"/>
  <c r="P14" i="21"/>
  <c r="F121" i="25"/>
  <c r="P7" i="21"/>
  <c r="F20" i="23"/>
  <c r="F48" i="25"/>
  <c r="F39" i="23"/>
  <c r="F34" i="23"/>
  <c r="F10" i="23"/>
  <c r="F83" i="23"/>
  <c r="F89" i="23"/>
  <c r="F20" i="22"/>
  <c r="F33" i="22"/>
  <c r="F63" i="25"/>
  <c r="F35" i="22"/>
  <c r="F100" i="25"/>
  <c r="P9" i="21"/>
  <c r="F80" i="23"/>
  <c r="F34" i="22"/>
  <c r="F22" i="25"/>
  <c r="E19" i="21"/>
  <c r="F25" i="23"/>
  <c r="F123" i="25"/>
  <c r="F10" i="22"/>
  <c r="F54" i="25"/>
  <c r="F122" i="23"/>
  <c r="F24" i="22"/>
  <c r="F110" i="25"/>
  <c r="F54" i="23"/>
  <c r="F97" i="23"/>
  <c r="F119" i="23"/>
  <c r="F19" i="25"/>
  <c r="P13" i="21"/>
  <c r="F70" i="23"/>
  <c r="F21" i="25"/>
  <c r="F32" i="22"/>
  <c r="F9" i="23"/>
  <c r="F81" i="23"/>
  <c r="F22" i="22"/>
  <c r="P12" i="21"/>
  <c r="F21" i="22"/>
  <c r="F9" i="25"/>
  <c r="F123" i="23"/>
  <c r="F60" i="25"/>
  <c r="F6" i="25"/>
  <c r="F16" i="23"/>
  <c r="F37" i="23"/>
  <c r="F13" i="23"/>
  <c r="F67" i="25"/>
  <c r="F51" i="25"/>
  <c r="F50" i="23"/>
  <c r="F121" i="23"/>
  <c r="F5" i="22"/>
  <c r="F55" i="25"/>
  <c r="F85" i="23"/>
  <c r="F47" i="23"/>
  <c r="F31" i="22"/>
  <c r="F30" i="23"/>
  <c r="F96" i="25"/>
  <c r="F59" i="23"/>
  <c r="F92" i="25"/>
  <c r="F104" i="23"/>
  <c r="F36" i="23"/>
  <c r="F12" i="23"/>
  <c r="F96" i="23"/>
  <c r="F93" i="25"/>
  <c r="F101" i="25"/>
  <c r="F79" i="23"/>
  <c r="F99" i="25"/>
  <c r="F3" i="22"/>
  <c r="E11" i="21"/>
  <c r="F94" i="23"/>
  <c r="F67" i="23"/>
  <c r="F85" i="25"/>
  <c r="F32" i="23"/>
  <c r="F71" i="23"/>
  <c r="E18" i="21"/>
  <c r="F95" i="23"/>
  <c r="F66" i="23"/>
  <c r="F78" i="23"/>
  <c r="F68" i="23"/>
  <c r="F112" i="25"/>
  <c r="F30" i="25"/>
  <c r="F27" i="22"/>
  <c r="F29" i="25"/>
  <c r="E20" i="21"/>
  <c r="F60" i="23"/>
  <c r="F40" i="23"/>
  <c r="F74" i="23"/>
  <c r="F46" i="23"/>
  <c r="F22" i="23"/>
  <c r="F52" i="23"/>
  <c r="F25" i="25"/>
  <c r="F80" i="25"/>
  <c r="F70" i="28"/>
  <c r="F83" i="25"/>
  <c r="F7" i="25"/>
  <c r="F120" i="23"/>
  <c r="F61" i="25"/>
  <c r="F82" i="25"/>
  <c r="F47" i="25"/>
  <c r="F122" i="25"/>
  <c r="F15" i="22"/>
  <c r="F76" i="25"/>
  <c r="F113" i="23"/>
  <c r="F105" i="25"/>
  <c r="F116" i="23"/>
  <c r="F6" i="23"/>
  <c r="Q6" i="26"/>
  <c r="F72" i="23"/>
  <c r="F18" i="22"/>
  <c r="F53" i="23"/>
  <c r="F55" i="23"/>
  <c r="F4" i="25"/>
  <c r="G70" i="28"/>
  <c r="F5" i="23"/>
  <c r="D4" i="21"/>
  <c r="E2" i="22"/>
  <c r="C4" i="26"/>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 i="23"/>
  <c r="G5" i="25"/>
  <c r="G56" i="25"/>
  <c r="G74" i="23"/>
  <c r="G114" i="23"/>
  <c r="G36" i="23"/>
  <c r="G59" i="25"/>
  <c r="G76" i="25"/>
  <c r="G55" i="25"/>
  <c r="G124" i="23"/>
  <c r="G77" i="23"/>
  <c r="G25" i="25"/>
  <c r="G71" i="25"/>
  <c r="G121" i="23"/>
  <c r="G73" i="23"/>
  <c r="G91" i="25"/>
  <c r="G70" i="23"/>
  <c r="G97" i="23"/>
  <c r="G113" i="23"/>
  <c r="G18" i="25"/>
  <c r="G37" i="25"/>
  <c r="G52" i="25"/>
  <c r="G108" i="23"/>
  <c r="G50" i="25"/>
  <c r="G75" i="25"/>
  <c r="G71" i="23"/>
  <c r="G38" i="23"/>
  <c r="G6" i="23"/>
  <c r="G10" i="23"/>
  <c r="G14" i="23"/>
  <c r="G13" i="25"/>
  <c r="G120" i="23"/>
  <c r="G29" i="25"/>
  <c r="G96" i="23"/>
  <c r="G81" i="25"/>
  <c r="G60" i="23"/>
  <c r="G109" i="23"/>
  <c r="G61" i="25"/>
  <c r="G51" i="25"/>
  <c r="G32" i="23"/>
  <c r="G76" i="23"/>
  <c r="G112" i="23"/>
  <c r="G18" i="23"/>
  <c r="G8" i="25"/>
  <c r="G123" i="25"/>
  <c r="G107" i="25"/>
  <c r="G20" i="23"/>
  <c r="G101" i="23"/>
  <c r="G110" i="25"/>
  <c r="G15" i="23"/>
  <c r="G57" i="25"/>
  <c r="G95" i="25"/>
  <c r="G30" i="25"/>
  <c r="G22" i="23"/>
  <c r="G89" i="23"/>
  <c r="G92" i="25"/>
  <c r="G113" i="25"/>
  <c r="G124" i="25"/>
  <c r="G97" i="25"/>
  <c r="G7" i="23"/>
  <c r="G106" i="25"/>
  <c r="G41" i="23"/>
  <c r="G64" i="23"/>
  <c r="G41" i="25"/>
  <c r="G10" i="25"/>
  <c r="G106" i="23"/>
  <c r="G21" i="25"/>
  <c r="G94" i="23"/>
  <c r="G40" i="25"/>
  <c r="G45" i="23"/>
  <c r="G104" i="25"/>
  <c r="G44" i="25"/>
  <c r="G15" i="25"/>
  <c r="G23" i="23"/>
  <c r="G58" i="25"/>
  <c r="G16" i="23"/>
  <c r="G115" i="25"/>
  <c r="G34" i="23"/>
  <c r="G23" i="25"/>
  <c r="G108" i="25"/>
  <c r="G103" i="23"/>
  <c r="G104" i="23"/>
  <c r="G72" i="25"/>
  <c r="D72" i="28"/>
  <c r="G112" i="25"/>
  <c r="G48" i="25"/>
  <c r="G105" i="23"/>
  <c r="G33" i="25"/>
  <c r="G8" i="23"/>
  <c r="G83" i="25"/>
  <c r="G96" i="25"/>
  <c r="G27" i="25"/>
  <c r="G13" i="23"/>
  <c r="G103" i="25"/>
  <c r="G86" i="25"/>
  <c r="G90" i="23"/>
  <c r="G100" i="25"/>
  <c r="G66" i="23"/>
  <c r="G102" i="25"/>
  <c r="G28" i="25"/>
  <c r="G85" i="23"/>
  <c r="G22" i="25"/>
  <c r="G116" i="25"/>
  <c r="G43" i="25"/>
  <c r="G67" i="23"/>
  <c r="G42" i="23"/>
  <c r="G62" i="25"/>
  <c r="G88" i="23"/>
  <c r="G119" i="23"/>
  <c r="G82" i="25"/>
  <c r="G31" i="23"/>
  <c r="G48" i="23"/>
  <c r="G61" i="23"/>
  <c r="G101" i="25"/>
  <c r="G114" i="25"/>
  <c r="G30" i="23"/>
  <c r="G77" i="25"/>
  <c r="G80" i="25"/>
  <c r="G65" i="23"/>
  <c r="G9" i="25"/>
  <c r="G115" i="23"/>
  <c r="G19" i="25"/>
  <c r="G110" i="23"/>
  <c r="G69" i="23"/>
  <c r="G12" i="25"/>
  <c r="G21" i="23"/>
  <c r="G19" i="23"/>
  <c r="G38" i="25"/>
  <c r="G88" i="25"/>
  <c r="G56" i="23"/>
  <c r="G47" i="23"/>
  <c r="G107" i="23"/>
  <c r="G47" i="25"/>
  <c r="G52" i="23"/>
  <c r="G118" i="25"/>
  <c r="G54" i="25"/>
  <c r="G12" i="23"/>
  <c r="G58" i="23"/>
  <c r="G69" i="25"/>
  <c r="G50" i="23"/>
  <c r="G55" i="23"/>
  <c r="G111" i="25"/>
  <c r="G82" i="23"/>
  <c r="G62" i="23"/>
  <c r="G37" i="23"/>
  <c r="G78" i="23"/>
  <c r="G125" i="23"/>
  <c r="G60" i="25"/>
  <c r="G122" i="25"/>
  <c r="G39" i="25"/>
  <c r="G42" i="25"/>
  <c r="G86" i="23"/>
  <c r="G92" i="23"/>
  <c r="G93" i="23"/>
  <c r="F71" i="28"/>
  <c r="G98" i="23"/>
  <c r="G94" i="25"/>
  <c r="G24" i="23"/>
  <c r="G119" i="25"/>
  <c r="G59" i="23"/>
  <c r="G34" i="25"/>
  <c r="G99" i="23"/>
  <c r="G90" i="25"/>
  <c r="G7" i="25"/>
  <c r="G31" i="25"/>
  <c r="G95" i="23"/>
  <c r="G51" i="23"/>
  <c r="G80" i="23"/>
  <c r="G64" i="25"/>
  <c r="G79" i="23"/>
  <c r="G57" i="23"/>
  <c r="G120" i="25"/>
  <c r="G20" i="25"/>
  <c r="G17" i="23"/>
  <c r="G98" i="25"/>
  <c r="G87" i="23"/>
  <c r="G45" i="25"/>
  <c r="G24" i="25"/>
  <c r="G28" i="23"/>
  <c r="G53" i="25"/>
  <c r="G35" i="25"/>
  <c r="G84" i="25"/>
  <c r="G32" i="25"/>
  <c r="G36" i="25"/>
  <c r="G40" i="23"/>
  <c r="G74" i="25"/>
  <c r="G54" i="23"/>
  <c r="G14" i="25"/>
  <c r="G89" i="25"/>
  <c r="G68" i="23"/>
  <c r="G93" i="25"/>
  <c r="G78" i="25"/>
  <c r="G44" i="23"/>
  <c r="G100" i="23"/>
  <c r="G111" i="23"/>
  <c r="G65" i="25"/>
  <c r="G102" i="23"/>
  <c r="G17" i="25"/>
  <c r="G73" i="25"/>
  <c r="G35" i="23"/>
  <c r="G75" i="23"/>
  <c r="Q3" i="26"/>
  <c r="G84" i="23"/>
  <c r="G6" i="25"/>
  <c r="G46" i="23"/>
  <c r="G99" i="25"/>
  <c r="G26" i="25"/>
  <c r="G63" i="23"/>
  <c r="G39" i="23"/>
  <c r="G91" i="23"/>
  <c r="G85" i="25"/>
  <c r="G72" i="23"/>
  <c r="G46" i="25"/>
  <c r="G123" i="23"/>
  <c r="G87" i="25"/>
  <c r="G26" i="23"/>
  <c r="G27" i="23"/>
  <c r="G53" i="23"/>
  <c r="G122" i="23"/>
  <c r="G11" i="25"/>
  <c r="G121" i="25"/>
  <c r="G49" i="25"/>
  <c r="G81" i="23"/>
  <c r="G63" i="25"/>
  <c r="G16" i="25"/>
  <c r="G79" i="25"/>
  <c r="G66" i="25"/>
  <c r="G67" i="25"/>
  <c r="G25" i="23"/>
  <c r="G83" i="23"/>
  <c r="G109" i="25"/>
  <c r="G33" i="23"/>
  <c r="G68" i="25"/>
  <c r="G43" i="23"/>
  <c r="G117" i="23"/>
  <c r="G49" i="23"/>
  <c r="G70" i="25"/>
  <c r="G117" i="25"/>
  <c r="G29" i="23"/>
  <c r="G118" i="23"/>
  <c r="G116" i="23"/>
  <c r="G9" i="23"/>
  <c r="G105" i="25"/>
  <c r="E4" i="21"/>
  <c r="F2" i="22"/>
  <c r="G5" i="23"/>
  <c r="G4" i="25"/>
  <c r="G71" i="28"/>
  <c r="D4" i="26"/>
  <c r="E72" i="28" l="1"/>
  <c r="E5" i="17"/>
  <c r="E5" i="19"/>
  <c r="C6" i="19"/>
  <c r="E5" i="18"/>
  <c r="E4" i="18"/>
  <c r="C7" i="18"/>
  <c r="E6" i="18"/>
  <c r="C6" i="17"/>
  <c r="F5" i="19"/>
  <c r="F6" i="18"/>
  <c r="F72" i="28"/>
  <c r="D73" i="28"/>
  <c r="D74" i="28" s="1"/>
  <c r="F5" i="17"/>
  <c r="F5" i="18"/>
  <c r="G72" i="28"/>
  <c r="E73" i="28" l="1"/>
  <c r="E74" i="28"/>
  <c r="C7" i="19"/>
  <c r="E6" i="19"/>
  <c r="E7" i="18"/>
  <c r="C8" i="18"/>
  <c r="E4" i="17"/>
  <c r="C7" i="17"/>
  <c r="E6" i="17"/>
  <c r="F74" i="28"/>
  <c r="D75" i="28"/>
  <c r="F6" i="19"/>
  <c r="G5" i="19"/>
  <c r="G5" i="18"/>
  <c r="F7" i="18"/>
  <c r="F73" i="28"/>
  <c r="F6" i="17"/>
  <c r="G5" i="17"/>
  <c r="G6" i="18"/>
  <c r="G73" i="28"/>
  <c r="G74" i="28"/>
  <c r="E75" i="28" l="1"/>
  <c r="E7" i="19"/>
  <c r="C8" i="19"/>
  <c r="E8" i="18"/>
  <c r="C9" i="18"/>
  <c r="C8" i="17"/>
  <c r="E7" i="17"/>
  <c r="F8" i="18"/>
  <c r="D76" i="28"/>
  <c r="G7" i="18"/>
  <c r="F7" i="17"/>
  <c r="F75" i="28"/>
  <c r="G6" i="17"/>
  <c r="F7" i="19"/>
  <c r="G6" i="19"/>
  <c r="G75" i="28"/>
  <c r="E76" i="28" l="1"/>
  <c r="E8" i="19"/>
  <c r="C9" i="19"/>
  <c r="C10" i="18"/>
  <c r="E9" i="18"/>
  <c r="E8" i="17"/>
  <c r="C9" i="17"/>
  <c r="F76" i="28"/>
  <c r="F8" i="19"/>
  <c r="G7" i="17"/>
  <c r="D77" i="28"/>
  <c r="G8" i="18"/>
  <c r="F8" i="17"/>
  <c r="F9" i="18"/>
  <c r="G7" i="19"/>
  <c r="G76" i="28"/>
  <c r="E77" i="28" l="1"/>
  <c r="E4" i="19"/>
  <c r="C10" i="19"/>
  <c r="E9" i="19"/>
  <c r="E10" i="18"/>
  <c r="C11" i="18"/>
  <c r="C10" i="17"/>
  <c r="E9" i="17"/>
  <c r="F10" i="18"/>
  <c r="G8" i="19"/>
  <c r="F9" i="19"/>
  <c r="G8" i="17"/>
  <c r="G9" i="18"/>
  <c r="F9" i="17"/>
  <c r="F77" i="28"/>
  <c r="G77" i="28"/>
  <c r="F4" i="28"/>
  <c r="E10" i="19" l="1"/>
  <c r="C11" i="19"/>
  <c r="E11" i="18"/>
  <c r="C12" i="18"/>
  <c r="E10" i="17"/>
  <c r="C11" i="17"/>
  <c r="G10" i="18"/>
  <c r="F11" i="18"/>
  <c r="G9" i="17"/>
  <c r="F10" i="17"/>
  <c r="G9" i="19"/>
  <c r="F10" i="19"/>
  <c r="G4" i="28"/>
  <c r="C12" i="19" l="1"/>
  <c r="E11" i="19"/>
  <c r="C13" i="18"/>
  <c r="E12" i="18"/>
  <c r="C12" i="17"/>
  <c r="E11" i="17"/>
  <c r="F11" i="17"/>
  <c r="F12" i="18"/>
  <c r="G10" i="17"/>
  <c r="G11" i="18"/>
  <c r="G10" i="19"/>
  <c r="F11" i="19"/>
  <c r="E12" i="19" l="1"/>
  <c r="C13" i="19"/>
  <c r="E13" i="18"/>
  <c r="C14" i="18"/>
  <c r="E12" i="17"/>
  <c r="C13" i="17"/>
  <c r="G12" i="18"/>
  <c r="G11" i="17"/>
  <c r="G11" i="19"/>
  <c r="F12" i="19"/>
  <c r="F13" i="18"/>
  <c r="F12" i="17"/>
  <c r="E13" i="19" l="1"/>
  <c r="C14" i="19"/>
  <c r="C15" i="18"/>
  <c r="E14" i="18"/>
  <c r="E13" i="17"/>
  <c r="C14" i="17"/>
  <c r="F13" i="19"/>
  <c r="F13" i="17"/>
  <c r="G12" i="17"/>
  <c r="G12" i="19"/>
  <c r="F14" i="18"/>
  <c r="G13" i="18"/>
  <c r="C15" i="19" l="1"/>
  <c r="E14" i="19"/>
  <c r="C16" i="18"/>
  <c r="E15" i="18"/>
  <c r="C15" i="17"/>
  <c r="E14" i="17"/>
  <c r="G14" i="18"/>
  <c r="G13" i="17"/>
  <c r="F14" i="17"/>
  <c r="G13" i="19"/>
  <c r="F15" i="18"/>
  <c r="F14" i="19"/>
  <c r="E15" i="19" l="1"/>
  <c r="C16" i="19"/>
  <c r="C17" i="18"/>
  <c r="E16" i="18"/>
  <c r="E15" i="17"/>
  <c r="C16" i="17"/>
  <c r="F16" i="18"/>
  <c r="G14" i="19"/>
  <c r="G14" i="17"/>
  <c r="G15" i="18"/>
  <c r="F15" i="17"/>
  <c r="F15" i="19"/>
  <c r="E16" i="19" l="1"/>
  <c r="C17" i="19"/>
  <c r="C18" i="18"/>
  <c r="E17" i="18"/>
  <c r="E16" i="17"/>
  <c r="C17" i="17"/>
  <c r="G15" i="17"/>
  <c r="F16" i="19"/>
  <c r="G16" i="18"/>
  <c r="G15" i="19"/>
  <c r="F17" i="18"/>
  <c r="F16" i="17"/>
  <c r="C18" i="19" l="1"/>
  <c r="E17" i="19"/>
  <c r="E18" i="18"/>
  <c r="C19" i="18"/>
  <c r="C18" i="17"/>
  <c r="E17" i="17"/>
  <c r="F18" i="18"/>
  <c r="G16" i="19"/>
  <c r="G17" i="18"/>
  <c r="G16" i="17"/>
  <c r="F17" i="19"/>
  <c r="F17" i="17"/>
  <c r="E18" i="19" l="1"/>
  <c r="C19" i="19"/>
  <c r="E19" i="18"/>
  <c r="C20" i="18"/>
  <c r="E18" i="17"/>
  <c r="C19" i="17"/>
  <c r="F18" i="17"/>
  <c r="F19" i="18"/>
  <c r="G17" i="19"/>
  <c r="G18" i="18"/>
  <c r="G17" i="17"/>
  <c r="F18" i="19"/>
  <c r="C20" i="19" l="1"/>
  <c r="E19" i="19"/>
  <c r="C21" i="18"/>
  <c r="E20" i="18"/>
  <c r="C20" i="17"/>
  <c r="E19" i="17"/>
  <c r="G19" i="18"/>
  <c r="G18" i="19"/>
  <c r="F19" i="17"/>
  <c r="F20" i="18"/>
  <c r="G18" i="17"/>
  <c r="F19" i="19"/>
  <c r="E20" i="19" l="1"/>
  <c r="C21" i="19"/>
  <c r="C22" i="18"/>
  <c r="E21" i="18"/>
  <c r="E20" i="17"/>
  <c r="C21" i="17"/>
  <c r="G19" i="19"/>
  <c r="F20" i="17"/>
  <c r="F21" i="18"/>
  <c r="G19" i="17"/>
  <c r="G20" i="18"/>
  <c r="F20" i="19"/>
  <c r="E21" i="19" l="1"/>
  <c r="C22" i="19"/>
  <c r="E22" i="18"/>
  <c r="C23" i="18"/>
  <c r="E21" i="17"/>
  <c r="C22" i="17"/>
  <c r="G21" i="18"/>
  <c r="F22" i="18"/>
  <c r="G20" i="17"/>
  <c r="F21" i="19"/>
  <c r="G20" i="19"/>
  <c r="F21" i="17"/>
  <c r="C23" i="19" l="1"/>
  <c r="E22" i="19"/>
  <c r="C24" i="18"/>
  <c r="E23" i="18"/>
  <c r="C23" i="17"/>
  <c r="E22" i="17"/>
  <c r="F22" i="19"/>
  <c r="G21" i="17"/>
  <c r="F23" i="18"/>
  <c r="G22" i="18"/>
  <c r="G21" i="19"/>
  <c r="F22" i="17"/>
  <c r="E23" i="19" l="1"/>
  <c r="C24" i="19"/>
  <c r="C25" i="18"/>
  <c r="E24" i="18"/>
  <c r="E23" i="17"/>
  <c r="C24" i="17"/>
  <c r="G23" i="18"/>
  <c r="F24" i="18"/>
  <c r="F23" i="19"/>
  <c r="G22" i="17"/>
  <c r="G22" i="19"/>
  <c r="F23" i="17"/>
  <c r="E24" i="19" l="1"/>
  <c r="C25" i="19"/>
  <c r="C26" i="18"/>
  <c r="E25" i="18"/>
  <c r="E24" i="17"/>
  <c r="C25" i="17"/>
  <c r="F24" i="17"/>
  <c r="G23" i="17"/>
  <c r="G24" i="18"/>
  <c r="F24" i="19"/>
  <c r="G23" i="19"/>
  <c r="F25" i="18"/>
  <c r="C26" i="19" l="1"/>
  <c r="E25" i="19"/>
  <c r="E26" i="18"/>
  <c r="C27" i="18"/>
  <c r="C26" i="17"/>
  <c r="E25" i="17"/>
  <c r="G24" i="19"/>
  <c r="G25" i="18"/>
  <c r="F25" i="19"/>
  <c r="F26" i="18"/>
  <c r="G24" i="17"/>
  <c r="F25" i="17"/>
  <c r="E26" i="19" l="1"/>
  <c r="C27" i="19"/>
  <c r="E27" i="18"/>
  <c r="C28" i="18"/>
  <c r="E26" i="17"/>
  <c r="C27" i="17"/>
  <c r="G25" i="19"/>
  <c r="G26" i="18"/>
  <c r="F27" i="18"/>
  <c r="F26" i="19"/>
  <c r="F26" i="17"/>
  <c r="G25" i="17"/>
  <c r="C28" i="19" l="1"/>
  <c r="E27" i="19"/>
  <c r="C29" i="18"/>
  <c r="E28" i="18"/>
  <c r="C28" i="17"/>
  <c r="E27" i="17"/>
  <c r="F28" i="18"/>
  <c r="F27" i="19"/>
  <c r="G27" i="18"/>
  <c r="G26" i="17"/>
  <c r="G26" i="19"/>
  <c r="F27" i="17"/>
  <c r="E28" i="19" l="1"/>
  <c r="C29" i="19"/>
  <c r="C30" i="18"/>
  <c r="E29" i="18"/>
  <c r="E28" i="17"/>
  <c r="C29" i="17"/>
  <c r="G28" i="18"/>
  <c r="F28" i="17"/>
  <c r="F28" i="19"/>
  <c r="G27" i="17"/>
  <c r="F29" i="18"/>
  <c r="G27" i="19"/>
  <c r="E29" i="19" l="1"/>
  <c r="C30" i="19"/>
  <c r="E30" i="18"/>
  <c r="C31" i="18"/>
  <c r="E29" i="17"/>
  <c r="C30" i="17"/>
  <c r="F29" i="17"/>
  <c r="G29" i="18"/>
  <c r="F29" i="19"/>
  <c r="G28" i="19"/>
  <c r="G28" i="17"/>
  <c r="F30" i="18"/>
  <c r="C31" i="19" l="1"/>
  <c r="E30" i="19"/>
  <c r="E31" i="18"/>
  <c r="C32" i="18"/>
  <c r="C31" i="17"/>
  <c r="E30" i="17"/>
  <c r="G29" i="17"/>
  <c r="F30" i="19"/>
  <c r="G29" i="19"/>
  <c r="F31" i="18"/>
  <c r="G30" i="18"/>
  <c r="F30" i="17"/>
  <c r="E31" i="19" l="1"/>
  <c r="C32" i="19"/>
  <c r="C33" i="18"/>
  <c r="E32" i="18"/>
  <c r="C32" i="17"/>
  <c r="E31" i="17"/>
  <c r="F31" i="19"/>
  <c r="G31" i="18"/>
  <c r="F32" i="18"/>
  <c r="G30" i="19"/>
  <c r="F31" i="17"/>
  <c r="G30" i="17"/>
  <c r="E32" i="19" l="1"/>
  <c r="C33" i="19"/>
  <c r="C34" i="18"/>
  <c r="E33" i="18"/>
  <c r="E32" i="17"/>
  <c r="C33" i="17"/>
  <c r="G31" i="17"/>
  <c r="G32" i="18"/>
  <c r="G31" i="19"/>
  <c r="F33" i="18"/>
  <c r="F32" i="17"/>
  <c r="F32" i="19"/>
  <c r="C34" i="19" l="1"/>
  <c r="E33" i="19"/>
  <c r="E34" i="18"/>
  <c r="C35" i="18"/>
  <c r="C34" i="17"/>
  <c r="E33" i="17"/>
  <c r="G33" i="18"/>
  <c r="F34" i="18"/>
  <c r="F33" i="17"/>
  <c r="G32" i="17"/>
  <c r="F33" i="19"/>
  <c r="G32" i="19"/>
  <c r="E34" i="19" l="1"/>
  <c r="C35" i="19"/>
  <c r="E35" i="18"/>
  <c r="C36" i="18"/>
  <c r="E34" i="17"/>
  <c r="C35" i="17"/>
  <c r="F34" i="19"/>
  <c r="F34" i="17"/>
  <c r="G33" i="17"/>
  <c r="G34" i="18"/>
  <c r="G33" i="19"/>
  <c r="F35" i="18"/>
  <c r="C36" i="19" l="1"/>
  <c r="E35" i="19"/>
  <c r="C37" i="18"/>
  <c r="E36" i="18"/>
  <c r="C36" i="17"/>
  <c r="E35" i="17"/>
  <c r="F35" i="17"/>
  <c r="F36" i="18"/>
  <c r="F35" i="19"/>
  <c r="G34" i="19"/>
  <c r="G35" i="18"/>
  <c r="G34" i="17"/>
  <c r="E36" i="19" l="1"/>
  <c r="C37" i="19"/>
  <c r="E37" i="18"/>
  <c r="C38" i="18"/>
  <c r="E36" i="17"/>
  <c r="C37" i="17"/>
  <c r="G35" i="19"/>
  <c r="G36" i="18"/>
  <c r="F36" i="19"/>
  <c r="F37" i="18"/>
  <c r="G35" i="17"/>
  <c r="F36" i="17"/>
  <c r="E37" i="19" l="1"/>
  <c r="C38" i="19"/>
  <c r="E38" i="18"/>
  <c r="C39" i="18"/>
  <c r="E37" i="17"/>
  <c r="C38" i="17"/>
  <c r="F37" i="17"/>
  <c r="F37" i="19"/>
  <c r="F38" i="18"/>
  <c r="G36" i="17"/>
  <c r="G37" i="18"/>
  <c r="G36" i="19"/>
  <c r="C39" i="19" l="1"/>
  <c r="E38" i="19"/>
  <c r="E39" i="18"/>
  <c r="C40" i="18"/>
  <c r="C39" i="17"/>
  <c r="E38" i="17"/>
  <c r="G37" i="17"/>
  <c r="F38" i="19"/>
  <c r="F38" i="17"/>
  <c r="G38" i="18"/>
  <c r="F39" i="18"/>
  <c r="G37" i="19"/>
  <c r="E39" i="19" l="1"/>
  <c r="C40" i="19"/>
  <c r="E40" i="18"/>
  <c r="C41" i="18"/>
  <c r="C40" i="17"/>
  <c r="E39" i="17"/>
  <c r="F39" i="19"/>
  <c r="F40" i="18"/>
  <c r="F39" i="17"/>
  <c r="G39" i="18"/>
  <c r="G38" i="19"/>
  <c r="G38" i="17"/>
  <c r="C41" i="19" l="1"/>
  <c r="E40" i="19"/>
  <c r="E41" i="18"/>
  <c r="C42" i="18"/>
  <c r="E42" i="18" s="1"/>
  <c r="E40" i="17"/>
  <c r="C41" i="17"/>
  <c r="F40" i="19"/>
  <c r="G39" i="19"/>
  <c r="F41" i="18"/>
  <c r="G39" i="17"/>
  <c r="F40" i="17"/>
  <c r="G40" i="18"/>
  <c r="F42"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4" i="13"/>
  <c r="G34" i="14"/>
  <c r="G61" i="14"/>
  <c r="G63" i="15"/>
  <c r="G59" i="13"/>
  <c r="G27" i="13"/>
  <c r="G17" i="13"/>
  <c r="G26" i="15"/>
  <c r="G28" i="13"/>
  <c r="G8" i="14"/>
  <c r="G23" i="13"/>
  <c r="G10" i="15"/>
  <c r="G66" i="13"/>
  <c r="G53" i="14"/>
  <c r="G46" i="14"/>
  <c r="G64" i="14"/>
  <c r="F16" i="12"/>
  <c r="G19" i="15"/>
  <c r="G14" i="13"/>
  <c r="G41" i="14"/>
  <c r="G55" i="14"/>
  <c r="G20" i="14"/>
  <c r="G51" i="14"/>
  <c r="F15" i="12"/>
  <c r="G34" i="13"/>
  <c r="G48" i="14"/>
  <c r="G51" i="13"/>
  <c r="G50" i="13"/>
  <c r="G12" i="14"/>
  <c r="G28" i="15"/>
  <c r="F13" i="12"/>
  <c r="G59" i="15"/>
  <c r="G30" i="13"/>
  <c r="G25" i="14"/>
  <c r="G57" i="13"/>
  <c r="F42" i="19"/>
  <c r="F17" i="12"/>
  <c r="F42" i="17"/>
  <c r="G9" i="13"/>
  <c r="G38" i="13"/>
  <c r="G8" i="13"/>
  <c r="G42" i="15"/>
  <c r="G32" i="14"/>
  <c r="G18" i="15"/>
  <c r="G24" i="15"/>
  <c r="G65" i="14"/>
  <c r="G27" i="15"/>
  <c r="G30" i="15"/>
  <c r="G17" i="15"/>
  <c r="G61" i="13"/>
  <c r="G31" i="13"/>
  <c r="G24" i="14"/>
  <c r="G35" i="13"/>
  <c r="G16" i="13"/>
  <c r="G24" i="13"/>
  <c r="G27" i="14"/>
  <c r="G44" i="15"/>
  <c r="G8" i="15"/>
  <c r="G22" i="13"/>
  <c r="F10" i="12"/>
  <c r="G58" i="15"/>
  <c r="G41" i="15"/>
  <c r="G7" i="14"/>
  <c r="G32" i="15"/>
  <c r="G43" i="14"/>
  <c r="F19" i="12"/>
  <c r="F11" i="12"/>
  <c r="G37" i="13"/>
  <c r="G29" i="15"/>
  <c r="G33" i="14"/>
  <c r="G46" i="15"/>
  <c r="G22" i="15"/>
  <c r="G39" i="13"/>
  <c r="G41" i="13"/>
  <c r="G56" i="14"/>
  <c r="G12" i="15"/>
  <c r="G47" i="15"/>
  <c r="G49" i="15"/>
  <c r="G66" i="15"/>
  <c r="G23" i="14"/>
  <c r="G26" i="14"/>
  <c r="G54" i="15"/>
  <c r="G64" i="13"/>
  <c r="G36" i="14"/>
  <c r="G32" i="13"/>
  <c r="G39" i="14"/>
  <c r="G40" i="17"/>
  <c r="G37" i="15"/>
  <c r="G43" i="15"/>
  <c r="G25" i="15"/>
  <c r="G62" i="13"/>
  <c r="G56" i="13"/>
  <c r="G15" i="14"/>
  <c r="G30" i="14"/>
  <c r="G40" i="19"/>
  <c r="G62" i="14"/>
  <c r="G62" i="15"/>
  <c r="F8" i="12"/>
  <c r="G60" i="13"/>
  <c r="G11" i="15"/>
  <c r="G35" i="14"/>
  <c r="F12" i="12"/>
  <c r="G59" i="14"/>
  <c r="F14" i="12"/>
  <c r="G55" i="15"/>
  <c r="G48" i="13"/>
  <c r="G36" i="13"/>
  <c r="G56" i="15"/>
  <c r="G42" i="18"/>
  <c r="G20" i="13"/>
  <c r="G21" i="15"/>
  <c r="F7" i="12"/>
  <c r="G19" i="14"/>
  <c r="G11" i="14"/>
  <c r="G25" i="13"/>
  <c r="G42" i="13"/>
  <c r="G10" i="13"/>
  <c r="G29" i="14"/>
  <c r="G48" i="15"/>
  <c r="G39" i="15"/>
  <c r="G54" i="14"/>
  <c r="F18" i="12"/>
  <c r="G57" i="14"/>
  <c r="G44" i="14"/>
  <c r="G23" i="15"/>
  <c r="G15" i="15"/>
  <c r="G21" i="13"/>
  <c r="G31" i="14"/>
  <c r="G20" i="15"/>
  <c r="G61" i="15"/>
  <c r="G49" i="14"/>
  <c r="G52" i="14"/>
  <c r="F41" i="17"/>
  <c r="G26" i="13"/>
  <c r="G38" i="15"/>
  <c r="G63" i="13"/>
  <c r="G57" i="15"/>
  <c r="G33" i="13"/>
  <c r="G46" i="13"/>
  <c r="G36" i="15"/>
  <c r="G65" i="15"/>
  <c r="G45" i="15"/>
  <c r="G52" i="15"/>
  <c r="G28" i="14"/>
  <c r="G44" i="13"/>
  <c r="G60" i="14"/>
  <c r="G9" i="15"/>
  <c r="G13" i="15"/>
  <c r="G7" i="13"/>
  <c r="G17" i="14"/>
  <c r="G52" i="13"/>
  <c r="F6" i="12"/>
  <c r="G58" i="13"/>
  <c r="G16" i="15"/>
  <c r="G51" i="15"/>
  <c r="G45" i="14"/>
  <c r="G41" i="18"/>
  <c r="G19" i="13"/>
  <c r="G14" i="15"/>
  <c r="G37" i="14"/>
  <c r="G12" i="13"/>
  <c r="G64" i="15"/>
  <c r="G16" i="14"/>
  <c r="G50" i="15"/>
  <c r="G22" i="14"/>
  <c r="G34" i="15"/>
  <c r="G50" i="14"/>
  <c r="G14" i="14"/>
  <c r="G43" i="13"/>
  <c r="G13" i="14"/>
  <c r="G18" i="13"/>
  <c r="G55" i="13"/>
  <c r="G9" i="14"/>
  <c r="F41" i="19"/>
  <c r="G40" i="15"/>
  <c r="G29" i="13"/>
  <c r="F9" i="12"/>
  <c r="G47" i="14"/>
  <c r="G10" i="14"/>
  <c r="G49" i="13"/>
  <c r="G40" i="14"/>
  <c r="G21" i="14"/>
  <c r="G33" i="15"/>
  <c r="G53" i="13"/>
  <c r="G65" i="13"/>
  <c r="G15" i="13"/>
  <c r="G66" i="14"/>
  <c r="G35" i="15"/>
  <c r="G38" i="14"/>
  <c r="G31" i="15"/>
  <c r="G11" i="13"/>
  <c r="G47" i="13"/>
  <c r="G60" i="15"/>
  <c r="G40" i="13"/>
  <c r="G58" i="14"/>
  <c r="G45" i="13"/>
  <c r="G18" i="14"/>
  <c r="G63" i="14"/>
  <c r="G13" i="13"/>
  <c r="G53" i="15"/>
  <c r="G7" i="15"/>
  <c r="G42" i="14"/>
  <c r="F20" i="12"/>
  <c r="F4" i="19"/>
  <c r="G6" i="14"/>
  <c r="G4" i="18"/>
  <c r="F4" i="17"/>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G53" i="9"/>
  <c r="G13" i="10"/>
  <c r="G33" i="8"/>
  <c r="G62" i="10"/>
  <c r="G46" i="10"/>
  <c r="G60" i="9"/>
  <c r="G34" i="8"/>
  <c r="G28" i="9"/>
  <c r="G24" i="8"/>
  <c r="G17" i="8"/>
  <c r="G35" i="8"/>
  <c r="G23" i="8"/>
  <c r="G53" i="8"/>
  <c r="G52" i="9"/>
  <c r="G17" i="10"/>
  <c r="F12" i="7"/>
  <c r="G57" i="9"/>
  <c r="G60" i="8"/>
  <c r="G47" i="10"/>
  <c r="G19" i="9"/>
  <c r="G62" i="8"/>
  <c r="G19" i="10"/>
  <c r="G40" i="8"/>
  <c r="G22" i="9"/>
  <c r="F7" i="7"/>
  <c r="G46" i="8"/>
  <c r="G65" i="10"/>
  <c r="G10" i="8"/>
  <c r="G44" i="8"/>
  <c r="G42" i="10"/>
  <c r="G11" i="9"/>
  <c r="F11" i="7"/>
  <c r="G37" i="10"/>
  <c r="G16" i="10"/>
  <c r="G56" i="8"/>
  <c r="G18" i="10"/>
  <c r="G55" i="10"/>
  <c r="G8" i="10"/>
  <c r="G24" i="9"/>
  <c r="G33" i="9"/>
  <c r="G14" i="9"/>
  <c r="G10" i="9"/>
  <c r="G22" i="8"/>
  <c r="G33" i="10"/>
  <c r="G8" i="9"/>
  <c r="G14" i="10"/>
  <c r="G35" i="9"/>
  <c r="G44" i="9"/>
  <c r="G9" i="10"/>
  <c r="F16" i="7"/>
  <c r="G39" i="8"/>
  <c r="G30" i="8"/>
  <c r="G21" i="10"/>
  <c r="G50" i="10"/>
  <c r="F6" i="7"/>
  <c r="G9" i="8"/>
  <c r="G55" i="9"/>
  <c r="F8" i="7"/>
  <c r="G50" i="8"/>
  <c r="G38" i="10"/>
  <c r="G49" i="9"/>
  <c r="G43" i="8"/>
  <c r="G61" i="9"/>
  <c r="G47" i="8"/>
  <c r="G61" i="10"/>
  <c r="G63" i="8"/>
  <c r="G40" i="10"/>
  <c r="G30" i="10"/>
  <c r="G48" i="8"/>
  <c r="G46" i="9"/>
  <c r="G19" i="8"/>
  <c r="G35" i="10"/>
  <c r="G55" i="8"/>
  <c r="G15" i="8"/>
  <c r="G45" i="8"/>
  <c r="G12" i="10"/>
  <c r="G13" i="8"/>
  <c r="G10" i="10"/>
  <c r="G54" i="10"/>
  <c r="F17" i="7"/>
  <c r="G66" i="10"/>
  <c r="G16" i="9"/>
  <c r="G7" i="9"/>
  <c r="G58" i="8"/>
  <c r="G24" i="10"/>
  <c r="G13" i="9"/>
  <c r="G63" i="10"/>
  <c r="F15" i="7"/>
  <c r="G38" i="8"/>
  <c r="G15" i="9"/>
  <c r="F14" i="7"/>
  <c r="G29" i="8"/>
  <c r="G43" i="10"/>
  <c r="G59" i="8"/>
  <c r="G51" i="10"/>
  <c r="G32" i="9"/>
  <c r="G29" i="10"/>
  <c r="G40" i="9"/>
  <c r="G58" i="9"/>
  <c r="G52" i="8"/>
  <c r="G44" i="10"/>
  <c r="F9" i="7"/>
  <c r="G11" i="8"/>
  <c r="G64" i="8"/>
  <c r="G21" i="8"/>
  <c r="G18" i="8"/>
  <c r="G7" i="8"/>
  <c r="G41" i="8"/>
  <c r="F13" i="7"/>
  <c r="G64" i="9"/>
  <c r="G31" i="10"/>
  <c r="G41" i="9"/>
  <c r="G7" i="10"/>
  <c r="G17" i="9"/>
  <c r="G36" i="8"/>
  <c r="G41" i="19"/>
  <c r="G39" i="10"/>
  <c r="G52" i="10"/>
  <c r="G47" i="9"/>
  <c r="G59" i="10"/>
  <c r="G20" i="10"/>
  <c r="G37" i="9"/>
  <c r="G26" i="9"/>
  <c r="G27" i="8"/>
  <c r="G27" i="10"/>
  <c r="G54" i="9"/>
  <c r="G53" i="10"/>
  <c r="G65" i="8"/>
  <c r="G43" i="9"/>
  <c r="G23" i="9"/>
  <c r="G64" i="10"/>
  <c r="G34" i="10"/>
  <c r="G56" i="9"/>
  <c r="G26" i="10"/>
  <c r="G41" i="17"/>
  <c r="G36" i="10"/>
  <c r="G49" i="8"/>
  <c r="G15" i="10"/>
  <c r="G12" i="9"/>
  <c r="G8" i="8"/>
  <c r="G9" i="9"/>
  <c r="G42" i="9"/>
  <c r="G18" i="9"/>
  <c r="F19" i="7"/>
  <c r="F18" i="7"/>
  <c r="G60" i="10"/>
  <c r="F20" i="7"/>
  <c r="G37" i="8"/>
  <c r="G31" i="8"/>
  <c r="G12" i="8"/>
  <c r="G54" i="8"/>
  <c r="G20" i="9"/>
  <c r="G25" i="9"/>
  <c r="G16" i="8"/>
  <c r="G29" i="9"/>
  <c r="G51" i="9"/>
  <c r="G22" i="10"/>
  <c r="G27" i="9"/>
  <c r="G14" i="8"/>
  <c r="G61" i="8"/>
  <c r="G31" i="9"/>
  <c r="G66" i="9"/>
  <c r="G28" i="10"/>
  <c r="G26" i="8"/>
  <c r="G42" i="17"/>
  <c r="G25" i="10"/>
  <c r="G30" i="9"/>
  <c r="G48" i="10"/>
  <c r="F10" i="7"/>
  <c r="G11" i="10"/>
  <c r="G62" i="9"/>
  <c r="G57" i="10"/>
  <c r="G63" i="9"/>
  <c r="G51" i="8"/>
  <c r="G50" i="9"/>
  <c r="G48" i="9"/>
  <c r="G45" i="10"/>
  <c r="G66" i="8"/>
  <c r="G49" i="10"/>
  <c r="G34" i="9"/>
  <c r="G32" i="10"/>
  <c r="G28" i="8"/>
  <c r="G25" i="8"/>
  <c r="G36" i="9"/>
  <c r="G21" i="9"/>
  <c r="G23" i="10"/>
  <c r="G45" i="9"/>
  <c r="G59" i="9"/>
  <c r="G56" i="10"/>
  <c r="G32" i="8"/>
  <c r="G39" i="9"/>
  <c r="G57" i="8"/>
  <c r="G42" i="8"/>
  <c r="G38" i="9"/>
  <c r="G42" i="19"/>
  <c r="G58" i="10"/>
  <c r="G65" i="9"/>
  <c r="G41" i="10"/>
  <c r="G20" i="8"/>
  <c r="H65" i="15"/>
  <c r="H32" i="13"/>
  <c r="H31" i="13"/>
  <c r="H15" i="15"/>
  <c r="H47" i="13"/>
  <c r="H10" i="15"/>
  <c r="H47" i="14"/>
  <c r="H43" i="14"/>
  <c r="H12" i="14"/>
  <c r="H18" i="15"/>
  <c r="H46" i="13"/>
  <c r="H45" i="14"/>
  <c r="H20" i="14"/>
  <c r="H60" i="14"/>
  <c r="H31" i="15"/>
  <c r="H20" i="15"/>
  <c r="H12" i="13"/>
  <c r="H43" i="15"/>
  <c r="H11" i="14"/>
  <c r="H56" i="13"/>
  <c r="H8" i="14"/>
  <c r="H48" i="14"/>
  <c r="H7" i="15"/>
  <c r="H35" i="15"/>
  <c r="H34" i="13"/>
  <c r="F5" i="12"/>
  <c r="H61" i="13"/>
  <c r="G6" i="15"/>
  <c r="H25" i="15"/>
  <c r="H50" i="14"/>
  <c r="H32" i="15"/>
  <c r="G8" i="12"/>
  <c r="H41" i="15"/>
  <c r="F5" i="7"/>
  <c r="H37" i="13"/>
  <c r="H40" i="14"/>
  <c r="H57" i="13"/>
  <c r="H34" i="14"/>
  <c r="G9" i="12"/>
  <c r="H51" i="14"/>
  <c r="H45" i="15"/>
  <c r="H11" i="15"/>
  <c r="H46" i="14"/>
  <c r="H53" i="14"/>
  <c r="H48" i="13"/>
  <c r="H48" i="15"/>
  <c r="H57" i="15"/>
  <c r="H23" i="13"/>
  <c r="G10" i="12"/>
  <c r="H8" i="13"/>
  <c r="H60" i="15"/>
  <c r="H50" i="15"/>
  <c r="H10" i="14"/>
  <c r="H22" i="15"/>
  <c r="H52" i="14"/>
  <c r="H64" i="15"/>
  <c r="H50" i="13"/>
  <c r="G15" i="12"/>
  <c r="H42" i="15"/>
  <c r="H59" i="14"/>
  <c r="H28" i="13"/>
  <c r="H26" i="13"/>
  <c r="H58" i="13"/>
  <c r="H15" i="14"/>
  <c r="H7" i="14"/>
  <c r="H15" i="13"/>
  <c r="H9" i="13"/>
  <c r="H22" i="13"/>
  <c r="H35" i="14"/>
  <c r="H27" i="13"/>
  <c r="H19" i="15"/>
  <c r="H41" i="13"/>
  <c r="H8" i="15"/>
  <c r="H63" i="14"/>
  <c r="H7" i="13"/>
  <c r="H18" i="14"/>
  <c r="G20" i="12"/>
  <c r="H9" i="15"/>
  <c r="H23" i="14"/>
  <c r="H23" i="15"/>
  <c r="H58" i="14"/>
  <c r="G6" i="12"/>
  <c r="H65" i="14"/>
  <c r="H62" i="13"/>
  <c r="H33" i="15"/>
  <c r="H24" i="15"/>
  <c r="H13" i="15"/>
  <c r="G12" i="12"/>
  <c r="G18" i="12"/>
  <c r="H62" i="14"/>
  <c r="H43" i="13"/>
  <c r="H33" i="13"/>
  <c r="H40" i="15"/>
  <c r="H58" i="15"/>
  <c r="H39" i="15"/>
  <c r="H60" i="13"/>
  <c r="H24" i="13"/>
  <c r="H56" i="14"/>
  <c r="G17" i="12"/>
  <c r="H54" i="15"/>
  <c r="G6" i="13"/>
  <c r="H56" i="15"/>
  <c r="H36" i="14"/>
  <c r="H25" i="14"/>
  <c r="H57" i="14"/>
  <c r="H16" i="14"/>
  <c r="H29" i="15"/>
  <c r="H44" i="13"/>
  <c r="H52" i="13"/>
  <c r="H28" i="15"/>
  <c r="H30" i="15"/>
  <c r="H30" i="14"/>
  <c r="H42" i="13"/>
  <c r="H11" i="13"/>
  <c r="H20" i="13"/>
  <c r="H14" i="14"/>
  <c r="H39" i="13"/>
  <c r="H34" i="15"/>
  <c r="H25" i="13"/>
  <c r="H16" i="13"/>
  <c r="H36" i="15"/>
  <c r="G13" i="12"/>
  <c r="H38" i="14"/>
  <c r="H66" i="15"/>
  <c r="H65" i="13"/>
  <c r="H51" i="15"/>
  <c r="H37" i="15"/>
  <c r="H19" i="14"/>
  <c r="H27" i="14"/>
  <c r="H31" i="14"/>
  <c r="H63" i="15"/>
  <c r="H46" i="15"/>
  <c r="H64" i="13"/>
  <c r="H36" i="13"/>
  <c r="H53" i="15"/>
  <c r="H33" i="14"/>
  <c r="H32" i="14"/>
  <c r="H38" i="13"/>
  <c r="H37" i="14"/>
  <c r="H63" i="13"/>
  <c r="H19" i="13"/>
  <c r="H59" i="13"/>
  <c r="H44" i="15"/>
  <c r="H21" i="13"/>
  <c r="H52" i="15"/>
  <c r="G7" i="12"/>
  <c r="H12" i="15"/>
  <c r="G19" i="12"/>
  <c r="H49" i="15"/>
  <c r="H28" i="14"/>
  <c r="H21" i="15"/>
  <c r="H54" i="14"/>
  <c r="G11" i="12"/>
  <c r="H14" i="15"/>
  <c r="H53" i="13"/>
  <c r="H44" i="14"/>
  <c r="H61" i="14"/>
  <c r="H49" i="14"/>
  <c r="H61" i="15"/>
  <c r="H55" i="14"/>
  <c r="H26" i="15"/>
  <c r="H39" i="14"/>
  <c r="H38" i="15"/>
  <c r="H35" i="13"/>
  <c r="H29" i="14"/>
  <c r="H40" i="13"/>
  <c r="H47" i="15"/>
  <c r="H66" i="13"/>
  <c r="H24" i="14"/>
  <c r="G4" i="19"/>
  <c r="H62" i="15"/>
  <c r="H18" i="13"/>
  <c r="H45" i="13"/>
  <c r="H21" i="14"/>
  <c r="H41" i="14"/>
  <c r="H54" i="13"/>
  <c r="H13" i="14"/>
  <c r="H16" i="15"/>
  <c r="H14" i="13"/>
  <c r="G16" i="12"/>
  <c r="H64" i="14"/>
  <c r="H13" i="13"/>
  <c r="H30" i="13"/>
  <c r="H66" i="14"/>
  <c r="H55" i="13"/>
  <c r="G14" i="12"/>
  <c r="H26" i="14"/>
  <c r="H49" i="13"/>
  <c r="H42" i="14"/>
  <c r="H17" i="13"/>
  <c r="H17" i="15"/>
  <c r="H9" i="14"/>
  <c r="H59" i="15"/>
  <c r="H17" i="14"/>
  <c r="H51" i="13"/>
  <c r="H10" i="13"/>
  <c r="H27" i="15"/>
  <c r="H6" i="14"/>
  <c r="H29" i="13"/>
  <c r="H55" i="15"/>
  <c r="H22" i="14"/>
  <c r="G4" i="17"/>
  <c r="S3" i="19" l="1"/>
  <c r="X5" i="19" a="1"/>
  <c r="Y3" i="28"/>
  <c r="Y48" i="28"/>
  <c r="L6" i="6"/>
  <c r="H66" i="8"/>
  <c r="H64" i="9"/>
  <c r="H15" i="9"/>
  <c r="H45" i="10"/>
  <c r="H48" i="10"/>
  <c r="H20" i="9"/>
  <c r="H36" i="8"/>
  <c r="H62" i="9"/>
  <c r="H16" i="10"/>
  <c r="H66" i="10"/>
  <c r="H31" i="8"/>
  <c r="H59" i="8"/>
  <c r="H57" i="10"/>
  <c r="H36" i="10"/>
  <c r="H14" i="9"/>
  <c r="H22" i="9"/>
  <c r="G15" i="7"/>
  <c r="H13" i="9"/>
  <c r="H43" i="10"/>
  <c r="H57" i="9"/>
  <c r="H24" i="9"/>
  <c r="H6" i="15"/>
  <c r="H52" i="9"/>
  <c r="G5" i="12"/>
  <c r="H53" i="8"/>
  <c r="G11" i="7"/>
  <c r="H38" i="8"/>
  <c r="H22" i="10"/>
  <c r="H62" i="10"/>
  <c r="H29" i="8"/>
  <c r="G6" i="7"/>
  <c r="H13" i="8"/>
  <c r="H31" i="10"/>
  <c r="H55" i="9"/>
  <c r="H58" i="8"/>
  <c r="H17" i="8"/>
  <c r="H21" i="10"/>
  <c r="H34" i="9"/>
  <c r="H19" i="9"/>
  <c r="H14" i="8"/>
  <c r="H37" i="9"/>
  <c r="H22" i="8"/>
  <c r="H34" i="8"/>
  <c r="H7" i="10"/>
  <c r="H47" i="10"/>
  <c r="H15" i="10"/>
  <c r="H43" i="8"/>
  <c r="H53" i="9"/>
  <c r="H7" i="8"/>
  <c r="H13" i="10"/>
  <c r="H41" i="9"/>
  <c r="H44" i="9"/>
  <c r="H37" i="10"/>
  <c r="H29" i="10"/>
  <c r="H35" i="8"/>
  <c r="H39" i="8"/>
  <c r="H40" i="8"/>
  <c r="G9" i="7"/>
  <c r="H18" i="10"/>
  <c r="H50" i="8"/>
  <c r="H20" i="8"/>
  <c r="G8" i="7"/>
  <c r="H42" i="9"/>
  <c r="G6" i="8"/>
  <c r="H11" i="10"/>
  <c r="H12" i="10"/>
  <c r="H52" i="8"/>
  <c r="H21" i="9"/>
  <c r="H11" i="8"/>
  <c r="H40" i="9"/>
  <c r="H47" i="9"/>
  <c r="H38" i="9"/>
  <c r="H27" i="9"/>
  <c r="H45" i="8"/>
  <c r="H41" i="8"/>
  <c r="G12" i="7"/>
  <c r="H65" i="9"/>
  <c r="H51" i="8"/>
  <c r="H19" i="8"/>
  <c r="H62" i="8"/>
  <c r="H15" i="8"/>
  <c r="H31" i="9"/>
  <c r="G7" i="7"/>
  <c r="H30" i="8"/>
  <c r="H34" i="10"/>
  <c r="H8" i="8"/>
  <c r="H50" i="9"/>
  <c r="H55" i="8"/>
  <c r="H60" i="10"/>
  <c r="H27" i="8"/>
  <c r="H28" i="9"/>
  <c r="H32" i="10"/>
  <c r="H18" i="8"/>
  <c r="H51" i="10"/>
  <c r="H56" i="10"/>
  <c r="H32" i="8"/>
  <c r="H63" i="9"/>
  <c r="H40" i="10"/>
  <c r="H24" i="10"/>
  <c r="H33" i="9"/>
  <c r="H9" i="8"/>
  <c r="H61" i="8"/>
  <c r="H38" i="10"/>
  <c r="H50" i="10"/>
  <c r="H60" i="9"/>
  <c r="H64" i="8"/>
  <c r="H33" i="10"/>
  <c r="G14" i="7"/>
  <c r="H63" i="8"/>
  <c r="H44" i="10"/>
  <c r="H46" i="9"/>
  <c r="H25" i="10"/>
  <c r="H7" i="9"/>
  <c r="H19" i="10"/>
  <c r="H58" i="10"/>
  <c r="H44" i="8"/>
  <c r="H41" i="10"/>
  <c r="H30" i="10"/>
  <c r="H10" i="10"/>
  <c r="H23" i="10"/>
  <c r="H27" i="10"/>
  <c r="G16" i="7"/>
  <c r="H56" i="9"/>
  <c r="H54" i="8"/>
  <c r="H52" i="10"/>
  <c r="H49" i="8"/>
  <c r="H20" i="10"/>
  <c r="G10" i="7"/>
  <c r="H24" i="8"/>
  <c r="H36" i="9"/>
  <c r="H39" i="9"/>
  <c r="H12" i="9"/>
  <c r="H35" i="10"/>
  <c r="H46" i="8"/>
  <c r="H28" i="8"/>
  <c r="G5" i="7"/>
  <c r="H6" i="13"/>
  <c r="H25" i="8"/>
  <c r="G19" i="7"/>
  <c r="H10" i="8"/>
  <c r="H42" i="8"/>
  <c r="H14" i="10"/>
  <c r="H61" i="10"/>
  <c r="H59" i="10"/>
  <c r="H46" i="10"/>
  <c r="H11" i="9"/>
  <c r="H29" i="9"/>
  <c r="H63" i="10"/>
  <c r="H17" i="9"/>
  <c r="H49" i="9"/>
  <c r="G17" i="7"/>
  <c r="H47" i="8"/>
  <c r="H33" i="8"/>
  <c r="H9" i="9"/>
  <c r="H53" i="10"/>
  <c r="H55" i="10"/>
  <c r="G20" i="7"/>
  <c r="H65" i="10"/>
  <c r="H51" i="9"/>
  <c r="H17" i="10"/>
  <c r="G6" i="9"/>
  <c r="G13" i="7"/>
  <c r="H12" i="8"/>
  <c r="H8" i="10"/>
  <c r="H35" i="9"/>
  <c r="H8" i="9"/>
  <c r="H26" i="10"/>
  <c r="H30" i="9"/>
  <c r="H21" i="8"/>
  <c r="G18" i="7"/>
  <c r="H23" i="8"/>
  <c r="H26" i="9"/>
  <c r="H18" i="9"/>
  <c r="H37" i="8"/>
  <c r="H65" i="8"/>
  <c r="H49" i="10"/>
  <c r="H58" i="9"/>
  <c r="H16" i="8"/>
  <c r="H48" i="8"/>
  <c r="H39" i="10"/>
  <c r="H32" i="9"/>
  <c r="H56" i="8"/>
  <c r="G6" i="10"/>
  <c r="H61" i="9"/>
  <c r="H16" i="9"/>
  <c r="H66" i="9"/>
  <c r="H10" i="9"/>
  <c r="H43" i="9"/>
  <c r="H57" i="8"/>
  <c r="H42" i="10"/>
  <c r="H48" i="9"/>
  <c r="H25" i="9"/>
  <c r="H28" i="10"/>
  <c r="H54" i="10"/>
  <c r="H60" i="8"/>
  <c r="H9" i="10"/>
  <c r="H23" i="9"/>
  <c r="H59" i="9"/>
  <c r="H54" i="9"/>
  <c r="H26" i="8"/>
  <c r="H64" i="10"/>
  <c r="H45" i="9"/>
  <c r="Y9" i="6" l="1"/>
  <c r="X6" i="19"/>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L17" i="6"/>
  <c r="K19" i="6"/>
  <c r="K9" i="6"/>
  <c r="L13" i="6"/>
  <c r="Z9" i="6"/>
  <c r="K13" i="6"/>
  <c r="M9" i="6"/>
  <c r="L20" i="6"/>
  <c r="K7" i="6"/>
  <c r="L7" i="6"/>
  <c r="K11" i="6"/>
  <c r="L9" i="6"/>
  <c r="H6" i="8"/>
  <c r="H6" i="9"/>
  <c r="H6" i="10"/>
  <c r="K20" i="6"/>
  <c r="L11" i="6"/>
  <c r="L19" i="6"/>
  <c r="L14" i="6"/>
  <c r="Y14" i="6" l="1"/>
  <c r="Y10" i="6"/>
  <c r="Y21" i="6"/>
  <c r="Y15" i="6"/>
  <c r="Y22" i="6"/>
  <c r="Y13" i="6"/>
  <c r="Y19" i="6"/>
  <c r="Y8" i="6"/>
  <c r="Y11" i="6"/>
  <c r="Y17" i="6"/>
  <c r="Y20" i="6"/>
  <c r="Y12" i="6"/>
  <c r="Y18" i="6"/>
  <c r="Y16" i="6"/>
  <c r="Y38" i="19"/>
  <c r="AC5" i="19" a="1"/>
  <c r="AC42" i="19" s="1"/>
  <c r="S3" i="18"/>
  <c r="X5" i="18" s="1" a="1"/>
  <c r="Z14" i="6"/>
  <c r="Z13" i="6"/>
  <c r="K16" i="6"/>
  <c r="L15" i="6"/>
  <c r="K15" i="6"/>
  <c r="K21" i="6"/>
  <c r="L22" i="6"/>
  <c r="Z10" i="6"/>
  <c r="Z19" i="6"/>
  <c r="Z16" i="6"/>
  <c r="K14" i="6"/>
  <c r="L10" i="6"/>
  <c r="K17" i="6"/>
  <c r="L12" i="6"/>
  <c r="M20" i="6"/>
  <c r="Z15" i="6"/>
  <c r="K8" i="6"/>
  <c r="L16" i="6"/>
  <c r="Z12" i="6"/>
  <c r="M13" i="6"/>
  <c r="AD42" i="19"/>
  <c r="Z21" i="6"/>
  <c r="Z8" i="6"/>
  <c r="M16" i="6"/>
  <c r="Z11" i="6"/>
  <c r="K12" i="6"/>
  <c r="Z22" i="6"/>
  <c r="L21" i="6"/>
  <c r="W9" i="6"/>
  <c r="Z17" i="6"/>
  <c r="L8" i="6"/>
  <c r="M19" i="6"/>
  <c r="Z20" i="6"/>
  <c r="K10" i="6"/>
  <c r="M10" i="6" s="1"/>
  <c r="L18" i="6"/>
  <c r="M14" i="6"/>
  <c r="M7" i="6"/>
  <c r="K22" i="6"/>
  <c r="M22" i="6" s="1"/>
  <c r="K18" i="6"/>
  <c r="Z18" i="6"/>
  <c r="M11" i="6"/>
  <c r="J5" i="6"/>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36" i="19"/>
  <c r="W11" i="6"/>
  <c r="W15" i="6"/>
  <c r="M15" i="6"/>
  <c r="AD8" i="19"/>
  <c r="AD40" i="19"/>
  <c r="AD33" i="19"/>
  <c r="M8" i="6"/>
  <c r="AD39" i="19"/>
  <c r="W20" i="6"/>
  <c r="W13" i="6"/>
  <c r="AD14" i="19"/>
  <c r="AD7" i="19"/>
  <c r="AD29" i="19"/>
  <c r="AD25" i="19"/>
  <c r="AD18" i="19"/>
  <c r="W8" i="6"/>
  <c r="W16" i="6"/>
  <c r="AD17" i="19"/>
  <c r="AD22" i="19"/>
  <c r="AD34" i="19"/>
  <c r="AD30" i="19"/>
  <c r="W14" i="6"/>
  <c r="AD9" i="19"/>
  <c r="AD24" i="19"/>
  <c r="M17" i="6"/>
  <c r="W21" i="6"/>
  <c r="AD13" i="19"/>
  <c r="AD16" i="19"/>
  <c r="W17" i="6"/>
  <c r="AD5" i="19"/>
  <c r="AD41" i="19"/>
  <c r="AA9" i="6"/>
  <c r="AD37" i="19"/>
  <c r="M18" i="6"/>
  <c r="AD21" i="19"/>
  <c r="AD31" i="19"/>
  <c r="M21" i="6"/>
  <c r="W22" i="6"/>
  <c r="W12" i="6"/>
  <c r="W10" i="6"/>
  <c r="M12" i="6"/>
  <c r="AD10" i="19"/>
  <c r="AD15" i="19"/>
  <c r="AD35" i="19"/>
  <c r="AD27" i="19"/>
  <c r="AD19" i="19"/>
  <c r="W18" i="6"/>
  <c r="AD32" i="19"/>
  <c r="AD11" i="19"/>
  <c r="AD23" i="19"/>
  <c r="AD26" i="19"/>
  <c r="AD6" i="19"/>
  <c r="AD38" i="19"/>
  <c r="AD12" i="19"/>
  <c r="W19" i="6"/>
  <c r="AD20" i="19"/>
  <c r="AD28" i="19"/>
  <c r="L5" i="6"/>
  <c r="AC9" i="6"/>
  <c r="AB9" i="6" l="1"/>
  <c r="AD9" i="6" s="1"/>
  <c r="X9" i="18"/>
  <c r="X10" i="18"/>
  <c r="AA18" i="6"/>
  <c r="AA16" i="6"/>
  <c r="AD3" i="19"/>
  <c r="AA10" i="6"/>
  <c r="AA8" i="6"/>
  <c r="AA12" i="6"/>
  <c r="AA13" i="6"/>
  <c r="AA22" i="6"/>
  <c r="AA20" i="6"/>
  <c r="AA15" i="6"/>
  <c r="AA14" i="6"/>
  <c r="AA17" i="6"/>
  <c r="AA11" i="6"/>
  <c r="AA21" i="6"/>
  <c r="AA19" i="6"/>
  <c r="AC18" i="6"/>
  <c r="AC16" i="6"/>
  <c r="AC10" i="6"/>
  <c r="AC8" i="6"/>
  <c r="AC12" i="6"/>
  <c r="AC13" i="6"/>
  <c r="AC22" i="6"/>
  <c r="AC20" i="6"/>
  <c r="AC15" i="6"/>
  <c r="AC14" i="6"/>
  <c r="AC17" i="6"/>
  <c r="AC11" i="6"/>
  <c r="AC21" i="6"/>
  <c r="AC19" i="6"/>
  <c r="AB19" i="6" l="1"/>
  <c r="AD19" i="6" s="1"/>
  <c r="AB21" i="6"/>
  <c r="AD21" i="6" s="1"/>
  <c r="AB11" i="6"/>
  <c r="AD11" i="6" s="1"/>
  <c r="AB17" i="6"/>
  <c r="AD17" i="6" s="1"/>
  <c r="AB14" i="6"/>
  <c r="AD14" i="6" s="1"/>
  <c r="AB15" i="6"/>
  <c r="AD15" i="6" s="1"/>
  <c r="AB20" i="6"/>
  <c r="AD20" i="6" s="1"/>
  <c r="AB22" i="6"/>
  <c r="AD22" i="6" s="1"/>
  <c r="AB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K20" i="18" s="1"/>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12" i="18"/>
  <c r="AK7" i="18"/>
  <c r="S3" i="17"/>
  <c r="AD19" i="18"/>
  <c r="AD28" i="18"/>
  <c r="AD13" i="18"/>
  <c r="AD27" i="18"/>
  <c r="AD40" i="18"/>
  <c r="AD9" i="18"/>
  <c r="AD15" i="18"/>
  <c r="AD17" i="18"/>
  <c r="AD5" i="18"/>
  <c r="AD12" i="18"/>
  <c r="AD24" i="18"/>
  <c r="AD10" i="18"/>
  <c r="AD37" i="18"/>
  <c r="AD31" i="18"/>
  <c r="AD25" i="18"/>
  <c r="AD8" i="18"/>
  <c r="AD26" i="18"/>
  <c r="AD21" i="18"/>
  <c r="AD35" i="18"/>
  <c r="AD32" i="18"/>
  <c r="AD29" i="18"/>
  <c r="AD41" i="18"/>
  <c r="AD42" i="18"/>
  <c r="AD22" i="18"/>
  <c r="AD6" i="18"/>
  <c r="AD20" i="18"/>
  <c r="AD33" i="18"/>
  <c r="AD36" i="18"/>
  <c r="AD38" i="18"/>
  <c r="AD14" i="18"/>
  <c r="AD18" i="18"/>
  <c r="AD39" i="18"/>
  <c r="AD11" i="18"/>
  <c r="AD30" i="18"/>
  <c r="AD16" i="18"/>
  <c r="AD34" i="18"/>
  <c r="AD23"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M6" i="25" a="1"/>
  <c r="AD3" i="31"/>
  <c r="AD42" i="17"/>
  <c r="Z3" i="30"/>
  <c r="Z3" i="29"/>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1" i="17"/>
  <c r="AD9" i="17"/>
  <c r="AD28" i="17"/>
  <c r="AD41" i="17"/>
  <c r="AD33" i="17"/>
  <c r="AD11" i="17"/>
  <c r="AD13" i="17"/>
  <c r="AD25" i="17"/>
  <c r="AD7" i="17"/>
  <c r="AD17" i="17"/>
  <c r="AD38" i="17"/>
  <c r="AD12" i="17"/>
  <c r="AD32" i="17"/>
  <c r="AD27" i="17"/>
  <c r="AD29" i="17"/>
  <c r="AD40" i="17"/>
  <c r="AD23" i="17"/>
  <c r="AD39" i="17"/>
  <c r="AD34" i="17"/>
  <c r="AD26" i="17"/>
  <c r="AD5" i="17"/>
  <c r="AD8" i="17"/>
  <c r="AD19" i="17"/>
  <c r="AD24" i="17"/>
  <c r="AD37" i="17"/>
  <c r="AD21" i="17"/>
  <c r="AD6" i="17"/>
  <c r="AD15" i="17"/>
  <c r="AD22" i="17"/>
  <c r="AD36" i="17"/>
  <c r="AD20" i="17"/>
  <c r="AD14" i="17"/>
  <c r="AD35" i="17"/>
  <c r="AD30" i="17"/>
  <c r="AD10" i="17"/>
  <c r="AD18" i="17"/>
  <c r="AD16" i="17"/>
  <c r="M9" i="25" l="1"/>
  <c r="Y6" i="25" s="1" a="1"/>
  <c r="AD3" i="17"/>
  <c r="Y9" i="25" l="1"/>
  <c r="Y6" i="25"/>
  <c r="Y7" i="25"/>
  <c r="Y8" i="25"/>
  <c r="AA9" i="25"/>
  <c r="AA8" i="25"/>
  <c r="AA6" i="25"/>
  <c r="M7" i="24" a="1"/>
  <c r="AA7"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2" i="23"/>
  <c r="AA13" i="23"/>
  <c r="AA11" i="23"/>
  <c r="AA14" i="23"/>
  <c r="AA10" i="23"/>
  <c r="D7" i="24" a="1"/>
  <c r="AA16" i="23"/>
  <c r="X3" i="22"/>
  <c r="AA17" i="23"/>
  <c r="AA8" i="23"/>
  <c r="AA6" i="23"/>
  <c r="AA15" i="23"/>
  <c r="AA9" i="23"/>
  <c r="AA7"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4" i="24"/>
  <c r="F7" i="24"/>
  <c r="AA4" i="23"/>
  <c r="F34" i="24"/>
  <c r="F35" i="24"/>
  <c r="F47" i="24"/>
  <c r="F21" i="24"/>
  <c r="G21" i="24" s="1"/>
  <c r="F24" i="24"/>
  <c r="F18" i="24"/>
  <c r="F32" i="24"/>
  <c r="F41" i="24"/>
  <c r="F40" i="24"/>
  <c r="F26" i="24"/>
  <c r="F11" i="24"/>
  <c r="Z11" i="24" s="1"/>
  <c r="F38" i="24"/>
  <c r="Z14" i="24"/>
  <c r="F23" i="24"/>
  <c r="F36" i="24"/>
  <c r="F30" i="24"/>
  <c r="F9" i="24"/>
  <c r="G9" i="24" s="1"/>
  <c r="F27" i="24"/>
  <c r="G36" i="24"/>
  <c r="F42" i="24"/>
  <c r="G42" i="24" s="1"/>
  <c r="F45" i="24"/>
  <c r="G45" i="24"/>
  <c r="F22" i="24"/>
  <c r="Z26" i="24"/>
  <c r="F29" i="24"/>
  <c r="Z29" i="24" s="1"/>
  <c r="G29" i="24"/>
  <c r="F31" i="24"/>
  <c r="F46" i="24"/>
  <c r="F17" i="24"/>
  <c r="G17" i="24" s="1"/>
  <c r="G32" i="24"/>
  <c r="Z35" i="24"/>
  <c r="Z27" i="24"/>
  <c r="G14" i="24"/>
  <c r="G7" i="24"/>
  <c r="Z41" i="24"/>
  <c r="G46" i="24"/>
  <c r="AK7" i="24" a="1"/>
  <c r="F12" i="24"/>
  <c r="Z17" i="24"/>
  <c r="Z12" i="24"/>
  <c r="G18" i="24"/>
  <c r="F19" i="24"/>
  <c r="F28" i="24"/>
  <c r="F10" i="24"/>
  <c r="F44" i="24"/>
  <c r="F13" i="24"/>
  <c r="F8" i="24"/>
  <c r="Z8" i="24" s="1"/>
  <c r="F39" i="24"/>
  <c r="F33" i="24"/>
  <c r="F48" i="24"/>
  <c r="Z19" i="24"/>
  <c r="F20" i="24"/>
  <c r="F25" i="24"/>
  <c r="F37" i="24"/>
  <c r="F16" i="24"/>
  <c r="Z9" i="24"/>
  <c r="G37" i="24"/>
  <c r="F43" i="24"/>
  <c r="Z43" i="24" s="1"/>
  <c r="G35" i="24"/>
  <c r="Z16" i="24"/>
  <c r="G27" i="24"/>
  <c r="F15" i="24"/>
  <c r="Z22" i="24"/>
  <c r="G19" i="24"/>
  <c r="F6" i="24"/>
  <c r="G6" i="24"/>
  <c r="Z31" i="24"/>
  <c r="Z10" i="24"/>
  <c r="G10" i="24"/>
  <c r="G44" i="24"/>
  <c r="Z13" i="24"/>
  <c r="G13" i="24"/>
  <c r="Z33" i="24"/>
  <c r="Z48" i="24"/>
  <c r="G48" i="24"/>
  <c r="Z20" i="24"/>
  <c r="G20" i="24"/>
  <c r="G25" i="24"/>
  <c r="G15" i="24"/>
  <c r="Z15"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9" i="24"/>
  <c r="Z40" i="24"/>
  <c r="Z38" i="24"/>
  <c r="G40" i="24"/>
  <c r="G8" i="24"/>
  <c r="Z44" i="24"/>
  <c r="G41" i="24"/>
  <c r="Z23" i="24"/>
  <c r="G16" i="24"/>
  <c r="Z21" i="24"/>
  <c r="G28" i="24"/>
  <c r="Z24" i="24"/>
  <c r="Z42" i="24"/>
  <c r="G22" i="24"/>
  <c r="G47" i="24"/>
  <c r="G31" i="24"/>
  <c r="Z47" i="24"/>
  <c r="Z18" i="24"/>
  <c r="Z45" i="24"/>
  <c r="G24" i="24"/>
  <c r="G30" i="24"/>
  <c r="Z7" i="24"/>
  <c r="G11" i="24"/>
  <c r="Z36" i="24"/>
  <c r="Z37" i="24"/>
  <c r="G23" i="24"/>
  <c r="Z34" i="24"/>
  <c r="G43" i="24"/>
  <c r="Z46" i="24"/>
  <c r="Z25" i="24"/>
  <c r="G38" i="24"/>
  <c r="G34" i="24"/>
  <c r="Z39" i="24"/>
  <c r="Z30" i="24"/>
  <c r="G33" i="24"/>
  <c r="G26" i="24"/>
  <c r="Z32" i="24"/>
  <c r="Z28" i="24"/>
  <c r="G12"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3" i="24"/>
  <c r="AN47" i="24"/>
  <c r="AN34" i="24"/>
  <c r="Z5" i="24"/>
  <c r="AN41" i="24"/>
  <c r="AN31" i="24"/>
  <c r="AN9" i="24"/>
  <c r="AN15" i="24"/>
  <c r="AN33" i="24"/>
  <c r="AN21" i="24"/>
  <c r="AO21" i="24" s="1"/>
  <c r="AN35" i="24"/>
  <c r="AO35" i="24" s="1"/>
  <c r="AN40" i="24"/>
  <c r="AN10" i="24"/>
  <c r="AN29" i="24"/>
  <c r="AN12" i="24"/>
  <c r="AN20" i="24"/>
  <c r="AN38" i="24"/>
  <c r="AN28" i="24"/>
  <c r="AO28" i="24" s="1"/>
  <c r="AN23" i="24"/>
  <c r="AO9" i="24"/>
  <c r="AN46" i="24"/>
  <c r="AO15" i="24"/>
  <c r="AN36" i="24"/>
  <c r="AO12" i="24"/>
  <c r="AN7" i="24"/>
  <c r="AO7" i="24" s="1"/>
  <c r="AN14" i="24"/>
  <c r="AN18" i="24"/>
  <c r="AO33" i="24"/>
  <c r="AN22" i="24"/>
  <c r="AO22" i="24" s="1"/>
  <c r="AN37" i="24"/>
  <c r="AO37" i="24" s="1"/>
  <c r="AN30" i="24"/>
  <c r="AN11" i="24"/>
  <c r="AN27" i="24"/>
  <c r="AN26" i="24"/>
  <c r="AO26" i="24" s="1"/>
  <c r="AN45" i="24"/>
  <c r="AO18" i="24"/>
  <c r="AN25" i="24"/>
  <c r="AN39" i="24"/>
  <c r="AN44" i="24"/>
  <c r="AO36" i="24"/>
  <c r="AN48" i="24"/>
  <c r="AN16" i="24"/>
  <c r="AO16" i="24" s="1"/>
  <c r="AO45" i="24"/>
  <c r="AN19" i="24"/>
  <c r="AO19" i="24" s="1"/>
  <c r="AN17" i="24"/>
  <c r="AO17" i="24" s="1"/>
  <c r="AN24" i="24"/>
  <c r="AO24" i="24" s="1"/>
  <c r="AO47" i="24"/>
  <c r="AN13" i="24"/>
  <c r="AO25" i="24"/>
  <c r="AO48" i="24"/>
  <c r="AO43" i="24"/>
  <c r="AN8" i="24"/>
  <c r="AN42" i="24"/>
  <c r="AO42" i="24" s="1"/>
  <c r="AN32" i="24"/>
  <c r="AO32" i="24" s="1"/>
  <c r="D7" i="67"/>
  <c r="AN6" i="24"/>
  <c r="AO6" i="24" s="1"/>
  <c r="AO8" i="24"/>
  <c r="AO46" i="24"/>
  <c r="AO41" i="24"/>
  <c r="AO13" i="24"/>
  <c r="AO23" i="24"/>
  <c r="AO34" i="24"/>
  <c r="AO44" i="24"/>
  <c r="AO38" i="24"/>
  <c r="AO30" i="24"/>
  <c r="AO14" i="24"/>
  <c r="AO39" i="24"/>
  <c r="AO20" i="24"/>
  <c r="AO27" i="24"/>
  <c r="AO29" i="24"/>
  <c r="AO11" i="24"/>
  <c r="AO10" i="24"/>
  <c r="AO40" i="24"/>
  <c r="AO31" i="24"/>
</calcChain>
</file>

<file path=xl/sharedStrings.xml><?xml version="1.0" encoding="utf-8"?>
<sst xmlns="http://schemas.openxmlformats.org/spreadsheetml/2006/main" count="4165" uniqueCount="322">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</sst>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525">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20" t="s">
        <v>296</v>
      </c>
      <c r="C2" s="521"/>
      <c r="D2" s="521"/>
      <c r="E2" s="521"/>
      <c r="F2" s="522"/>
      <c r="H2" s="520" t="s">
        <v>20</v>
      </c>
      <c r="I2" s="521"/>
      <c r="J2" s="521"/>
      <c r="K2" s="522"/>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41627.713310185187</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_xll.ohTrigger(Deposits!P3,FRA!X3,Futures3M!Z5,FuturesHWConvAdj!Q3,Swaps1M!Z3,Swap3M!AD3,SwapsIMMDated!Z3,Swap6M!AC3,BasisSwap1MxM!AD3,BasisSwap3M6M!AD3,BasisSwapxM12M!AD3,OIS!Y3)</f>
        <v>18</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41627</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20" t="s">
        <v>136</v>
      </c>
      <c r="I13" s="521"/>
      <c r="J13" s="521"/>
      <c r="K13" s="522"/>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tabSelected="1" workbookViewId="0"/>
  </sheetViews>
  <sheetFormatPr defaultRowHeight="12.75" x14ac:dyDescent="0.2"/>
  <cols>
    <col min="1" max="2" width="2.7109375" style="1" customWidth="1"/>
    <col min="3" max="3" width="10.140625" style="1" bestFit="1" customWidth="1"/>
    <col min="4" max="4" width="24.7109375" style="1" bestFit="1" customWidth="1"/>
    <col min="5" max="5" width="17"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Currency&amp;C6</f>
        <v>EURYC</v>
      </c>
      <c r="E6" s="7" t="str">
        <f>_xll.qlRelinkableHandleYieldTermStructure(D6,,Permanent,Trigger,ObjectOverwrite)</f>
        <v>EurYC#0001</v>
      </c>
      <c r="F6" s="6" t="str">
        <f>_xll.ohRangeRetrieveError(E6)</f>
        <v/>
      </c>
      <c r="G6" s="25" t="s">
        <v>37</v>
      </c>
      <c r="H6" s="24" t="s">
        <v>11</v>
      </c>
      <c r="I6" s="28"/>
      <c r="J6" s="22" t="str">
        <f>_xll.qlEonia(G6,E6,Permanent,Trigger,ObjectOverwrite)</f>
        <v>Eonia2#0004</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Currency&amp;C7</f>
        <v>EURYCSTD</v>
      </c>
      <c r="E7" s="7" t="str">
        <f>_xll.qlRelinkableHandleYieldTermStructure(D7,,Permanent,Trigger,ObjectOverwrite)</f>
        <v>EurYCSTD#0001</v>
      </c>
      <c r="F7" s="6" t="str">
        <f>_xll.ohRangeRetrieveError(E7)</f>
        <v/>
      </c>
      <c r="G7" s="25" t="s">
        <v>36</v>
      </c>
      <c r="H7" s="24" t="s">
        <v>9</v>
      </c>
      <c r="I7" s="28" t="s">
        <v>36</v>
      </c>
      <c r="J7" s="22" t="str">
        <f>_xll.qlEonia(G7,E7,Permanent,Trigger,ObjectOverwrite)</f>
        <v>Eonia#0004</v>
      </c>
      <c r="K7" s="22" t="str">
        <f>_xll.qlLastFixingQuote(I7&amp;"LastFixing_Quote",J7,Permanent,Trigger,ObjectOverwrite)</f>
        <v>EoniaLastFixing_Quote#0004</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Currency&amp;C8</f>
        <v>EURiborYCON</v>
      </c>
      <c r="E8" s="7" t="str">
        <f>_xll.qlRelinkableHandleYieldTermStructure(D8,,Permanent,Trigger,ObjectOverwrite)</f>
        <v>EuriborYCON#0001</v>
      </c>
      <c r="F8" s="6" t="str">
        <f>_xll.ohRangeRetrieveError(E8)</f>
        <v/>
      </c>
      <c r="G8" s="25" t="s">
        <v>35</v>
      </c>
      <c r="H8" s="24" t="s">
        <v>9</v>
      </c>
      <c r="I8" s="23" t="str">
        <f t="shared" ref="I8:I22" si="0">PROPER(Currency)&amp;FamilyName&amp;$G8</f>
        <v>EuriborSW</v>
      </c>
      <c r="J8" s="22" t="str">
        <f>_xll.qlEuribor(I8,G8,E8,Permanent,Trigger,ObjectOverwrite)</f>
        <v>EuriborSW#0004</v>
      </c>
      <c r="K8" s="22" t="str">
        <f>_xll.qlLastFixingQuote(I8&amp;"LastFixing_Quote",J8,Permanent,Trigger,ObjectOverwrite)</f>
        <v>EuriborSWLastFixing_Quote#0004</v>
      </c>
      <c r="L8" s="7" t="str">
        <f>_xll.ohRangeRetrieveError(J8)</f>
        <v/>
      </c>
      <c r="M8" s="7" t="str">
        <f>_xll.ohRangeRetrieveError(K8)</f>
        <v/>
      </c>
      <c r="N8" s="5"/>
      <c r="P8" s="440"/>
      <c r="Q8" s="469"/>
      <c r="R8" s="477" t="s">
        <v>35</v>
      </c>
      <c r="S8" s="472" t="str">
        <f t="shared" ref="S8:S22" si="1">Currency&amp;$S$2&amp;$R8&amp;"D="</f>
        <v>EURIBORSWD=</v>
      </c>
      <c r="T8" s="476">
        <v>41479</v>
      </c>
      <c r="U8" s="475">
        <v>0.107</v>
      </c>
      <c r="V8" s="475" t="b">
        <f>IF(AND(ISNUMBER($U8),$U8&lt;&gt;0%,_xll.ohTrigger(Trigger)+1),TRUE,FALSE)</f>
        <v>1</v>
      </c>
      <c r="W8" s="474" t="b">
        <f>IF($V8,_xll.qlIndexAddFixings($Y8,$T8,$U8/100,TRUE,ISERROR($Z8)),NA())</f>
        <v>1</v>
      </c>
      <c r="X8" s="464"/>
      <c r="Y8" s="473" t="str">
        <f>J8</f>
        <v>EuriborSW#0004</v>
      </c>
      <c r="Z8" s="472">
        <f>_xll.qlIndexFixing($Y8,$T8,TRUE,$V8)</f>
        <v>1.07E-3</v>
      </c>
      <c r="AA8" s="472">
        <f>IF($W8,_xll.qlIndexFixing($Y8,$T8,FALSE,$V8),"-")</f>
        <v>1.07E-3</v>
      </c>
      <c r="AB8" s="472">
        <f t="shared" ref="AB8:AB22" si="2">Z8-AA8</f>
        <v>0</v>
      </c>
      <c r="AC8" s="471">
        <f>_xll.qlIndexFixing($Y8,$T8,TRUE,$AA8)</f>
        <v>1.07E-3</v>
      </c>
      <c r="AD8" s="470">
        <f t="shared" ref="AD8:AD22" si="3">IF(ISERROR(AB8),0,ABS(AB8))</f>
        <v>0</v>
      </c>
      <c r="AE8" s="459"/>
      <c r="AF8" s="440"/>
    </row>
    <row r="9" spans="1:32" s="21" customFormat="1" x14ac:dyDescent="0.2">
      <c r="B9" s="26"/>
      <c r="C9" s="8" t="s">
        <v>8</v>
      </c>
      <c r="D9" s="8" t="str">
        <f>Currency&amp;C9</f>
        <v>EURiborYC1M</v>
      </c>
      <c r="E9" s="7" t="str">
        <f>_xll.qlRelinkableHandleYieldTermStructure(D9,,Permanent,Trigger,ObjectOverwrite)</f>
        <v>EuriborYC1M#0001</v>
      </c>
      <c r="F9" s="6" t="str">
        <f>_xll.ohRangeRetrieveError(E9)</f>
        <v/>
      </c>
      <c r="G9" s="25" t="s">
        <v>34</v>
      </c>
      <c r="H9" s="24" t="s">
        <v>9</v>
      </c>
      <c r="I9" s="23" t="str">
        <f t="shared" si="0"/>
        <v>Euribor2W</v>
      </c>
      <c r="J9" s="22" t="str">
        <f>_xll.qlEuribor(I9,G9,E9,Permanent,Trigger,ObjectOverwrite)</f>
        <v>Euribor2W#0004</v>
      </c>
      <c r="K9" s="22" t="str">
        <f>_xll.qlLastFixingQuote(I9&amp;"LastFixing_Quote",J9,Permanent,Trigger,ObjectOverwrite)</f>
        <v>Euribor2WLastFixing_Quote#0004</v>
      </c>
      <c r="L9" s="7" t="str">
        <f>_xll.ohRangeRetrieveError(J9)</f>
        <v/>
      </c>
      <c r="M9" s="7" t="str">
        <f>_xll.ohRangeRetrieveError(K9)</f>
        <v/>
      </c>
      <c r="N9" s="5"/>
      <c r="P9" s="440"/>
      <c r="Q9" s="469"/>
      <c r="R9" s="477" t="s">
        <v>34</v>
      </c>
      <c r="S9" s="472" t="str">
        <f t="shared" si="1"/>
        <v>EURIBOR2WD=</v>
      </c>
      <c r="T9" s="476">
        <v>41479</v>
      </c>
      <c r="U9" s="475">
        <v>0.113</v>
      </c>
      <c r="V9" s="475" t="b">
        <f>IF(AND(ISNUMBER($U9),$U9&lt;&gt;0%,_xll.ohTrigger(Trigger)+1),TRUE,FALSE)</f>
        <v>1</v>
      </c>
      <c r="W9" s="474" t="b">
        <f>IF($V9,_xll.qlIndexAddFixings($Y9,$T9,$U9/100,TRUE,ISERROR($Z9)),NA())</f>
        <v>1</v>
      </c>
      <c r="X9" s="464"/>
      <c r="Y9" s="473" t="str">
        <f t="shared" ref="Y9:Y22" si="4">J9</f>
        <v>Euribor2W#0004</v>
      </c>
      <c r="Z9" s="472">
        <f>_xll.qlIndexFixing($Y9,$T9,TRUE,$V9)</f>
        <v>1.1299999999999999E-3</v>
      </c>
      <c r="AA9" s="472">
        <f>IF($W9,_xll.qlIndexFixing($Y9,$T9,FALSE,$V9),"-")</f>
        <v>1.1299999999999999E-3</v>
      </c>
      <c r="AB9" s="472">
        <f t="shared" si="2"/>
        <v>0</v>
      </c>
      <c r="AC9" s="471">
        <f>_xll.qlIndexFixing($Y9,$T9,TRUE,$AA9)</f>
        <v>1.1299999999999999E-3</v>
      </c>
      <c r="AD9" s="470">
        <f t="shared" si="3"/>
        <v>0</v>
      </c>
      <c r="AE9" s="459"/>
      <c r="AF9" s="440"/>
    </row>
    <row r="10" spans="1:32" s="21" customFormat="1" x14ac:dyDescent="0.2">
      <c r="B10" s="26"/>
      <c r="C10" s="8" t="s">
        <v>7</v>
      </c>
      <c r="D10" s="8" t="str">
        <f>Currency&amp;C10</f>
        <v>EURiborYC3M</v>
      </c>
      <c r="E10" s="7" t="str">
        <f>_xll.qlRelinkableHandleYieldTermStructure(D10,,Permanent,Trigger,ObjectOverwrite)</f>
        <v>EuriborYC3M#0001</v>
      </c>
      <c r="F10" s="6" t="str">
        <f>_xll.ohRangeRetrieveError(E10)</f>
        <v/>
      </c>
      <c r="G10" s="25" t="s">
        <v>33</v>
      </c>
      <c r="H10" s="24" t="s">
        <v>8</v>
      </c>
      <c r="I10" s="23" t="str">
        <f t="shared" si="0"/>
        <v>Euribor3W</v>
      </c>
      <c r="J10" s="22" t="str">
        <f>_xll.qlEuribor(I10,G10,E10,Permanent,Trigger,ObjectOverwrite)</f>
        <v>Euribor3W#0004</v>
      </c>
      <c r="K10" s="22" t="str">
        <f>_xll.qlLastFixingQuote(I10&amp;"LastFixing_Quote",J10,Permanent,Trigger,ObjectOverwrite)</f>
        <v>Euribor3WLastFixing_Quote#0004</v>
      </c>
      <c r="L10" s="7" t="str">
        <f>_xll.ohRangeRetrieveError(J10)</f>
        <v/>
      </c>
      <c r="M10" s="7" t="str">
        <f>_xll.ohRangeRetrieveError(K10)</f>
        <v/>
      </c>
      <c r="N10" s="5"/>
      <c r="P10" s="440"/>
      <c r="Q10" s="469"/>
      <c r="R10" s="477" t="s">
        <v>33</v>
      </c>
      <c r="S10" s="472" t="str">
        <f t="shared" si="1"/>
        <v>EURIBOR3WD=</v>
      </c>
      <c r="T10" s="476">
        <v>41479</v>
      </c>
      <c r="U10" s="475">
        <v>0.121</v>
      </c>
      <c r="V10" s="475" t="b">
        <f>IF(AND(ISNUMBER($U10),$U10&lt;&gt;0%,_xll.ohTrigger(Trigger)+1),TRUE,FALSE)</f>
        <v>1</v>
      </c>
      <c r="W10" s="474" t="b">
        <f>IF($V10,_xll.qlIndexAddFixings($Y10,$T10,$U10/100,TRUE,ISERROR($Z10)),NA())</f>
        <v>1</v>
      </c>
      <c r="X10" s="464"/>
      <c r="Y10" s="473" t="str">
        <f t="shared" si="4"/>
        <v>Euribor3W#0004</v>
      </c>
      <c r="Z10" s="472">
        <f>_xll.qlIndexFixing($Y10,$T10,TRUE,$V10)</f>
        <v>1.2099999999999999E-3</v>
      </c>
      <c r="AA10" s="472">
        <f>IF($W10,_xll.qlIndexFixing($Y10,$T10,FALSE,$V10),"-")</f>
        <v>1.2099999999999999E-3</v>
      </c>
      <c r="AB10" s="472">
        <f t="shared" si="2"/>
        <v>0</v>
      </c>
      <c r="AC10" s="471">
        <f>_xll.qlIndexFixing($Y10,$T10,TRUE,$AA10)</f>
        <v>1.2099999999999999E-3</v>
      </c>
      <c r="AD10" s="470">
        <f t="shared" si="3"/>
        <v>0</v>
      </c>
      <c r="AE10" s="459"/>
      <c r="AF10" s="440"/>
    </row>
    <row r="11" spans="1:32" s="21" customFormat="1" x14ac:dyDescent="0.2">
      <c r="B11" s="26"/>
      <c r="C11" s="8" t="s">
        <v>6</v>
      </c>
      <c r="D11" s="8" t="str">
        <f>Currency&amp;C11</f>
        <v>EURiborYC6M</v>
      </c>
      <c r="E11" s="7" t="str">
        <f>_xll.qlRelinkableHandleYieldTermStructure(D11,,Permanent,Trigger,ObjectOverwrite)</f>
        <v>EuriborYC6M#0001</v>
      </c>
      <c r="F11" s="6" t="str">
        <f>_xll.ohRangeRetrieveError(E11)</f>
        <v/>
      </c>
      <c r="G11" s="25" t="s">
        <v>32</v>
      </c>
      <c r="H11" s="24" t="s">
        <v>8</v>
      </c>
      <c r="I11" s="23" t="str">
        <f t="shared" si="0"/>
        <v>Euribor1M</v>
      </c>
      <c r="J11" s="22" t="str">
        <f>_xll.qlEuribor(I11,G11,E11,Permanent,Trigger,ObjectOverwrite)</f>
        <v>Euribor1M#0004</v>
      </c>
      <c r="K11" s="22" t="str">
        <f>_xll.qlLastFixingQuote(I11&amp;"LastFixing_Quote",J11,Permanent,Trigger,ObjectOverwrite)</f>
        <v>Euribor1MLastFixing_Quote#0004</v>
      </c>
      <c r="L11" s="7" t="str">
        <f>_xll.ohRangeRetrieveError(J11)</f>
        <v/>
      </c>
      <c r="M11" s="7" t="str">
        <f>_xll.ohRangeRetrieveError(K11)</f>
        <v/>
      </c>
      <c r="N11" s="5"/>
      <c r="P11" s="440"/>
      <c r="Q11" s="469"/>
      <c r="R11" s="477" t="s">
        <v>32</v>
      </c>
      <c r="S11" s="472" t="str">
        <f t="shared" si="1"/>
        <v>EURIBOR1MD=</v>
      </c>
      <c r="T11" s="476">
        <v>41479</v>
      </c>
      <c r="U11" s="475">
        <v>0.13100000000000001</v>
      </c>
      <c r="V11" s="475" t="b">
        <f>IF(AND(ISNUMBER($U11),$U11&lt;&gt;0%,_xll.ohTrigger(Trigger)+1),TRUE,FALSE)</f>
        <v>1</v>
      </c>
      <c r="W11" s="474" t="b">
        <f>IF($V11,_xll.qlIndexAddFixings($Y11,$T11,$U11/100,TRUE,ISERROR($Z11)),NA())</f>
        <v>1</v>
      </c>
      <c r="X11" s="464"/>
      <c r="Y11" s="473" t="str">
        <f t="shared" si="4"/>
        <v>Euribor1M#0004</v>
      </c>
      <c r="Z11" s="472">
        <f>_xll.qlIndexFixing($Y11,$T11,TRUE,$V11)</f>
        <v>1.31E-3</v>
      </c>
      <c r="AA11" s="472">
        <f>IF($W11,_xll.qlIndexFixing($Y11,$T11,FALSE,$V11),"-")</f>
        <v>1.31E-3</v>
      </c>
      <c r="AB11" s="472">
        <f t="shared" si="2"/>
        <v>0</v>
      </c>
      <c r="AC11" s="471">
        <f>_xll.qlIndexFixing($Y11,$T11,TRUE,$AA11)</f>
        <v>1.31E-3</v>
      </c>
      <c r="AD11" s="470">
        <f t="shared" si="3"/>
        <v>0</v>
      </c>
      <c r="AE11" s="459"/>
      <c r="AF11" s="440"/>
    </row>
    <row r="12" spans="1:32" s="21" customFormat="1" x14ac:dyDescent="0.2">
      <c r="B12" s="26"/>
      <c r="C12" s="8" t="s">
        <v>5</v>
      </c>
      <c r="D12" s="8" t="str">
        <f>Currency&amp;C12</f>
        <v>EURiborYC1Y</v>
      </c>
      <c r="E12" s="7" t="str">
        <f>_xll.qlRelinkableHandleYieldTermStructure(D12,,Permanent,Trigger,ObjectOverwrite)</f>
        <v>EuriborYC1Y#0001</v>
      </c>
      <c r="F12" s="6" t="str">
        <f>_xll.ohRangeRetrieveError(E12)</f>
        <v/>
      </c>
      <c r="G12" s="25" t="s">
        <v>31</v>
      </c>
      <c r="H12" s="24" t="s">
        <v>7</v>
      </c>
      <c r="I12" s="23" t="str">
        <f t="shared" si="0"/>
        <v>Euribor2M</v>
      </c>
      <c r="J12" s="22" t="str">
        <f>_xll.qlEuribor(I12,G12,E12,Permanent,Trigger,ObjectOverwrite)</f>
        <v>Euribor2M#0004</v>
      </c>
      <c r="K12" s="22" t="str">
        <f>_xll.qlLastFixingQuote(I12&amp;"LastFixing_Quote",J12,Permanent,Trigger,ObjectOverwrite)</f>
        <v>Euribor2MLastFixing_Quote#0004</v>
      </c>
      <c r="L12" s="7" t="str">
        <f>_xll.ohRangeRetrieveError(J12)</f>
        <v/>
      </c>
      <c r="M12" s="7" t="str">
        <f>_xll.ohRangeRetrieveError(K12)</f>
        <v/>
      </c>
      <c r="N12" s="5"/>
      <c r="P12" s="440"/>
      <c r="Q12" s="469"/>
      <c r="R12" s="477" t="s">
        <v>31</v>
      </c>
      <c r="S12" s="472" t="str">
        <f t="shared" si="1"/>
        <v>EURIBOR2MD=</v>
      </c>
      <c r="T12" s="476">
        <v>41479</v>
      </c>
      <c r="U12" s="475">
        <v>0.18099999999999999</v>
      </c>
      <c r="V12" s="475" t="b">
        <f>IF(AND(ISNUMBER($U12),$U12&lt;&gt;0%,_xll.ohTrigger(Trigger)+1),TRUE,FALSE)</f>
        <v>1</v>
      </c>
      <c r="W12" s="474" t="b">
        <f>IF($V12,_xll.qlIndexAddFixings($Y12,$T12,$U12/100,TRUE,ISERROR($Z12)),NA())</f>
        <v>1</v>
      </c>
      <c r="X12" s="464"/>
      <c r="Y12" s="473" t="str">
        <f t="shared" si="4"/>
        <v>Euribor2M#0004</v>
      </c>
      <c r="Z12" s="472">
        <f>_xll.qlIndexFixing($Y12,$T12,TRUE,$V12)</f>
        <v>1.81E-3</v>
      </c>
      <c r="AA12" s="472">
        <f>IF($W12,_xll.qlIndexFixing($Y12,$T12,FALSE,$V12),"-")</f>
        <v>1.81E-3</v>
      </c>
      <c r="AB12" s="472">
        <f t="shared" si="2"/>
        <v>0</v>
      </c>
      <c r="AC12" s="471">
        <f>_xll.qlIndexFixing($Y12,$T12,TRUE,$AA12)</f>
        <v>1.81E-3</v>
      </c>
      <c r="AD12" s="470">
        <f t="shared" si="3"/>
        <v>0</v>
      </c>
      <c r="AE12" s="459"/>
      <c r="AF12" s="440"/>
    </row>
    <row r="13" spans="1:32" s="21" customFormat="1" x14ac:dyDescent="0.2">
      <c r="B13" s="26"/>
      <c r="C13" s="8" t="str">
        <f>C8&amp;"-Mx"</f>
        <v>iborYCON-Mx</v>
      </c>
      <c r="D13" s="8" t="str">
        <f>Currency&amp;C13</f>
        <v>EURiborYCON-Mx</v>
      </c>
      <c r="E13" s="7" t="str">
        <f>_xll.qlRelinkableHandleYieldTermStructure(D13,,Permanent,Trigger,ObjectOverwrite)</f>
        <v>EuriborYCON-Mx#0001</v>
      </c>
      <c r="F13" s="6" t="str">
        <f>_xll.ohRangeRetrieveError(E13)</f>
        <v/>
      </c>
      <c r="G13" s="25" t="s">
        <v>30</v>
      </c>
      <c r="H13" s="24" t="s">
        <v>7</v>
      </c>
      <c r="I13" s="23" t="str">
        <f t="shared" si="0"/>
        <v>Euribor3M</v>
      </c>
      <c r="J13" s="22" t="str">
        <f>_xll.qlEuribor(I13,G13,E13,Permanent,Trigger,ObjectOverwrite)</f>
        <v>Euribor3M#0004</v>
      </c>
      <c r="K13" s="22" t="str">
        <f>_xll.qlLastFixingQuote(I13&amp;"LastFixing_Quote",J13,Permanent,Trigger,ObjectOverwrite)</f>
        <v>Euribor3MLastFixing_Quote#0004</v>
      </c>
      <c r="L13" s="7" t="str">
        <f>_xll.ohRangeRetrieveError(J13)</f>
        <v/>
      </c>
      <c r="M13" s="7" t="str">
        <f>_xll.ohRangeRetrieveError(K13)</f>
        <v/>
      </c>
      <c r="N13" s="5"/>
      <c r="P13" s="440"/>
      <c r="Q13" s="469"/>
      <c r="R13" s="477" t="s">
        <v>30</v>
      </c>
      <c r="S13" s="472" t="str">
        <f t="shared" si="1"/>
        <v>EURIBOR3MD=</v>
      </c>
      <c r="T13" s="476">
        <v>41479</v>
      </c>
      <c r="U13" s="475">
        <v>0.22500000000000001</v>
      </c>
      <c r="V13" s="475" t="b">
        <f>IF(AND(ISNUMBER($U13),$U13&lt;&gt;0%,_xll.ohTrigger(Trigger)+1),TRUE,FALSE)</f>
        <v>1</v>
      </c>
      <c r="W13" s="474" t="b">
        <f>IF($V13,_xll.qlIndexAddFixings($Y13,$T13,$U13/100,TRUE,ISERROR($Z13)),NA())</f>
        <v>1</v>
      </c>
      <c r="X13" s="464"/>
      <c r="Y13" s="473" t="str">
        <f t="shared" si="4"/>
        <v>Euribor3M#0004</v>
      </c>
      <c r="Z13" s="472">
        <f>_xll.qlIndexFixing($Y13,$T13,TRUE,$V13)</f>
        <v>2.2500000000000003E-3</v>
      </c>
      <c r="AA13" s="472">
        <f>IF($W13,_xll.qlIndexFixing($Y13,$T13,FALSE,$V13),"-")</f>
        <v>2.2500000000000003E-3</v>
      </c>
      <c r="AB13" s="472">
        <f t="shared" si="2"/>
        <v>0</v>
      </c>
      <c r="AC13" s="471">
        <f>_xll.qlIndexFixing($Y13,$T13,TRUE,$AA13)</f>
        <v>2.2500000000000003E-3</v>
      </c>
      <c r="AD13" s="470">
        <f t="shared" si="3"/>
        <v>0</v>
      </c>
      <c r="AE13" s="459"/>
      <c r="AF13" s="440"/>
    </row>
    <row r="14" spans="1:32" s="21" customFormat="1" x14ac:dyDescent="0.2">
      <c r="B14" s="26"/>
      <c r="C14" s="8" t="str">
        <f>C9&amp;"-Mx"</f>
        <v>iborYC1M-Mx</v>
      </c>
      <c r="D14" s="8" t="str">
        <f>Currency&amp;C14</f>
        <v>EURiborYC1M-Mx</v>
      </c>
      <c r="E14" s="7" t="str">
        <f>_xll.qlRelinkableHandleYieldTermStructure(D14,,Permanent,Trigger,ObjectOverwrite)</f>
        <v>EuriborYC1M-Mx#0001</v>
      </c>
      <c r="F14" s="6" t="str">
        <f>_xll.ohRangeRetrieveError(E14)</f>
        <v/>
      </c>
      <c r="G14" s="25" t="s">
        <v>29</v>
      </c>
      <c r="H14" s="24" t="s">
        <v>7</v>
      </c>
      <c r="I14" s="23" t="str">
        <f t="shared" si="0"/>
        <v>Euribor4M</v>
      </c>
      <c r="J14" s="22" t="str">
        <f>_xll.qlEuribor(I14,G14,E14,Permanent,Trigger,ObjectOverwrite)</f>
        <v>Euribor4M#0004</v>
      </c>
      <c r="K14" s="22" t="str">
        <f>_xll.qlLastFixingQuote(I14&amp;"LastFixing_Quote",J14,Permanent,Trigger,ObjectOverwrite)</f>
        <v>Euribor4MLastFixing_Quote#0004</v>
      </c>
      <c r="L14" s="7" t="str">
        <f>_xll.ohRangeRetrieveError(J14)</f>
        <v/>
      </c>
      <c r="M14" s="7" t="str">
        <f>_xll.ohRangeRetrieveError(K14)</f>
        <v/>
      </c>
      <c r="N14" s="5"/>
      <c r="P14" s="440"/>
      <c r="Q14" s="469"/>
      <c r="R14" s="477" t="s">
        <v>29</v>
      </c>
      <c r="S14" s="472" t="str">
        <f t="shared" si="1"/>
        <v>EURIBOR4MD=</v>
      </c>
      <c r="T14" s="476">
        <v>41479</v>
      </c>
      <c r="U14" s="475">
        <v>0.26500000000000001</v>
      </c>
      <c r="V14" s="475" t="b">
        <f>IF(AND(ISNUMBER($U14),$U14&lt;&gt;0%,_xll.ohTrigger(Trigger)+1),TRUE,FALSE)</f>
        <v>1</v>
      </c>
      <c r="W14" s="474" t="b">
        <f>IF($V14,_xll.qlIndexAddFixings($Y14,$T14,$U14/100,TRUE,ISERROR($Z14)),NA())</f>
        <v>1</v>
      </c>
      <c r="X14" s="464"/>
      <c r="Y14" s="473" t="str">
        <f t="shared" si="4"/>
        <v>Euribor4M#0004</v>
      </c>
      <c r="Z14" s="472">
        <f>_xll.qlIndexFixing($Y14,$T14,TRUE,$V14)</f>
        <v>2.65E-3</v>
      </c>
      <c r="AA14" s="472">
        <f>IF($W14,_xll.qlIndexFixing($Y14,$T14,FALSE,$V14),"-")</f>
        <v>2.65E-3</v>
      </c>
      <c r="AB14" s="472">
        <f t="shared" si="2"/>
        <v>0</v>
      </c>
      <c r="AC14" s="471">
        <f>_xll.qlIndexFixing($Y14,$T14,TRUE,$AA14)</f>
        <v>2.65E-3</v>
      </c>
      <c r="AD14" s="470">
        <f t="shared" si="3"/>
        <v>0</v>
      </c>
      <c r="AE14" s="459"/>
      <c r="AF14" s="440"/>
    </row>
    <row r="15" spans="1:32" s="21" customFormat="1" x14ac:dyDescent="0.2">
      <c r="B15" s="26"/>
      <c r="C15" s="8" t="str">
        <f>C10&amp;"-Mx"</f>
        <v>iborYC3M-Mx</v>
      </c>
      <c r="D15" s="8" t="str">
        <f>Currency&amp;C15</f>
        <v>EURiborYC3M-Mx</v>
      </c>
      <c r="E15" s="7" t="str">
        <f>_xll.qlRelinkableHandleYieldTermStructure(D15,,Permanent,Trigger,ObjectOverwrite)</f>
        <v>EuriborYC3M-Mx#0001</v>
      </c>
      <c r="F15" s="6" t="str">
        <f>_xll.ohRangeRetrieveError(E15)</f>
        <v/>
      </c>
      <c r="G15" s="25" t="s">
        <v>28</v>
      </c>
      <c r="H15" s="24" t="s">
        <v>6</v>
      </c>
      <c r="I15" s="23" t="str">
        <f t="shared" si="0"/>
        <v>Euribor5M</v>
      </c>
      <c r="J15" s="22" t="str">
        <f>_xll.qlEuribor(I15,G15,E15,Permanent,Trigger,ObjectOverwrite)</f>
        <v>Euribor5M#0004</v>
      </c>
      <c r="K15" s="22" t="str">
        <f>_xll.qlLastFixingQuote(I15&amp;"LastFixing_Quote",J15,Permanent,Trigger,ObjectOverwrite)</f>
        <v>Euribor5MLastFixing_Quote#0004</v>
      </c>
      <c r="L15" s="7" t="str">
        <f>_xll.ohRangeRetrieveError(J15)</f>
        <v/>
      </c>
      <c r="M15" s="7" t="str">
        <f>_xll.ohRangeRetrieveError(K15)</f>
        <v/>
      </c>
      <c r="N15" s="5"/>
      <c r="P15" s="440"/>
      <c r="Q15" s="469"/>
      <c r="R15" s="477" t="s">
        <v>28</v>
      </c>
      <c r="S15" s="472" t="str">
        <f t="shared" si="1"/>
        <v>EURIBOR5MD=</v>
      </c>
      <c r="T15" s="476">
        <v>41479</v>
      </c>
      <c r="U15" s="475">
        <v>0.29899999999999999</v>
      </c>
      <c r="V15" s="475" t="b">
        <f>IF(AND(ISNUMBER($U15),$U15&lt;&gt;0%,_xll.ohTrigger(Trigger)+1),TRUE,FALSE)</f>
        <v>1</v>
      </c>
      <c r="W15" s="474" t="b">
        <f>IF($V15,_xll.qlIndexAddFixings($Y15,$T15,$U15/100,TRUE,ISERROR($Z15)),NA())</f>
        <v>1</v>
      </c>
      <c r="X15" s="464"/>
      <c r="Y15" s="473" t="str">
        <f t="shared" si="4"/>
        <v>Euribor5M#0004</v>
      </c>
      <c r="Z15" s="472">
        <f>_xll.qlIndexFixing($Y15,$T15,TRUE,$V15)</f>
        <v>2.99E-3</v>
      </c>
      <c r="AA15" s="472">
        <f>IF($W15,_xll.qlIndexFixing($Y15,$T15,FALSE,$V15),"-")</f>
        <v>2.99E-3</v>
      </c>
      <c r="AB15" s="472">
        <f t="shared" si="2"/>
        <v>0</v>
      </c>
      <c r="AC15" s="471">
        <f>_xll.qlIndexFixing($Y15,$T15,TRUE,$AA15)</f>
        <v>2.99E-3</v>
      </c>
      <c r="AD15" s="470">
        <f t="shared" si="3"/>
        <v>0</v>
      </c>
      <c r="AE15" s="459"/>
      <c r="AF15" s="440"/>
    </row>
    <row r="16" spans="1:32" s="21" customFormat="1" x14ac:dyDescent="0.2">
      <c r="B16" s="26"/>
      <c r="C16" s="8" t="str">
        <f>C11&amp;"-Mx"</f>
        <v>iborYC6M-Mx</v>
      </c>
      <c r="D16" s="8" t="str">
        <f>Currency&amp;C16</f>
        <v>EURiborYC6M-Mx</v>
      </c>
      <c r="E16" s="7" t="str">
        <f>_xll.qlRelinkableHandleYieldTermStructure(D16,,Permanent,Trigger,ObjectOverwrite)</f>
        <v>EuriborYC6M-Mx#0001</v>
      </c>
      <c r="F16" s="6" t="str">
        <f>_xll.ohRangeRetrieveError(E16)</f>
        <v/>
      </c>
      <c r="G16" s="25" t="s">
        <v>27</v>
      </c>
      <c r="H16" s="24" t="s">
        <v>6</v>
      </c>
      <c r="I16" s="23" t="str">
        <f t="shared" si="0"/>
        <v>Euribor6M</v>
      </c>
      <c r="J16" s="22" t="str">
        <f>_xll.qlEuribor(I16,G16,E16,Permanent,Trigger,ObjectOverwrite)</f>
        <v>Euribor6M#0004</v>
      </c>
      <c r="K16" s="22" t="str">
        <f>_xll.qlLastFixingQuote(I16&amp;"LastFixing_Quote",J16,Permanent,Trigger,ObjectOverwrite)</f>
        <v>Euribor6MLastFixing_Quote#0004</v>
      </c>
      <c r="L16" s="7" t="str">
        <f>_xll.ohRangeRetrieveError(J16)</f>
        <v/>
      </c>
      <c r="M16" s="7" t="str">
        <f>_xll.ohRangeRetrieveError(K16)</f>
        <v/>
      </c>
      <c r="N16" s="5"/>
      <c r="P16" s="440"/>
      <c r="Q16" s="469"/>
      <c r="R16" s="477" t="s">
        <v>27</v>
      </c>
      <c r="S16" s="472" t="str">
        <f t="shared" si="1"/>
        <v>EURIBOR6MD=</v>
      </c>
      <c r="T16" s="476">
        <v>41479</v>
      </c>
      <c r="U16" s="475">
        <v>0.34300000000000003</v>
      </c>
      <c r="V16" s="475" t="b">
        <f>IF(AND(ISNUMBER($U16),$U16&lt;&gt;0%,_xll.ohTrigger(Trigger)+1),TRUE,FALSE)</f>
        <v>1</v>
      </c>
      <c r="W16" s="474" t="b">
        <f>IF($V16,_xll.qlIndexAddFixings($Y16,$T16,$U16/100,TRUE,ISERROR($Z16)),NA())</f>
        <v>1</v>
      </c>
      <c r="X16" s="464"/>
      <c r="Y16" s="473" t="str">
        <f t="shared" si="4"/>
        <v>Euribor6M#0004</v>
      </c>
      <c r="Z16" s="472">
        <f>_xll.qlIndexFixing($Y16,$T16,TRUE,$V16)</f>
        <v>3.4300000000000003E-3</v>
      </c>
      <c r="AA16" s="472">
        <f>IF($W16,_xll.qlIndexFixing($Y16,$T16,FALSE,$V16),"-")</f>
        <v>3.4300000000000003E-3</v>
      </c>
      <c r="AB16" s="472">
        <f t="shared" si="2"/>
        <v>0</v>
      </c>
      <c r="AC16" s="471">
        <f>_xll.qlIndexFixing($Y16,$T16,TRUE,$AA16)</f>
        <v>3.4300000000000003E-3</v>
      </c>
      <c r="AD16" s="470">
        <f t="shared" si="3"/>
        <v>0</v>
      </c>
      <c r="AE16" s="459"/>
      <c r="AF16" s="440"/>
    </row>
    <row r="17" spans="2:32" s="21" customFormat="1" x14ac:dyDescent="0.2">
      <c r="B17" s="26"/>
      <c r="C17" s="8" t="str">
        <f>C12&amp;"-Mx"</f>
        <v>iborYC1Y-Mx</v>
      </c>
      <c r="D17" s="8" t="str">
        <f>Currency&amp;C17</f>
        <v>EURiborYC1Y-Mx</v>
      </c>
      <c r="E17" s="7" t="str">
        <f>_xll.qlRelinkableHandleYieldTermStructure(D17,,Permanent,Trigger,ObjectOverwrite)</f>
        <v>EuriborYC1Y-Mx#0001</v>
      </c>
      <c r="F17" s="6" t="str">
        <f>_xll.ohRangeRetrieveError(E17)</f>
        <v/>
      </c>
      <c r="G17" s="25" t="s">
        <v>26</v>
      </c>
      <c r="H17" s="24" t="s">
        <v>6</v>
      </c>
      <c r="I17" s="23" t="str">
        <f t="shared" si="0"/>
        <v>Euribor7M</v>
      </c>
      <c r="J17" s="22" t="str">
        <f>_xll.qlEuribor(I17,G17,E17,Permanent,Trigger,ObjectOverwrite)</f>
        <v>Euribor7M#0004</v>
      </c>
      <c r="K17" s="22" t="str">
        <f>_xll.qlLastFixingQuote(I17&amp;"LastFixing_Quote",J17,Permanent,Trigger,ObjectOverwrite)</f>
        <v>Euribor7MLastFixing_Quote#0004</v>
      </c>
      <c r="L17" s="7" t="str">
        <f>_xll.ohRangeRetrieveError(J17)</f>
        <v/>
      </c>
      <c r="M17" s="7" t="str">
        <f>_xll.ohRangeRetrieveError(K17)</f>
        <v/>
      </c>
      <c r="N17" s="5"/>
      <c r="P17" s="440"/>
      <c r="Q17" s="469"/>
      <c r="R17" s="477" t="s">
        <v>26</v>
      </c>
      <c r="S17" s="472" t="str">
        <f t="shared" si="1"/>
        <v>EURIBOR7MD=</v>
      </c>
      <c r="T17" s="476">
        <v>41479</v>
      </c>
      <c r="U17" s="475">
        <v>0.377</v>
      </c>
      <c r="V17" s="475" t="b">
        <f>IF(AND(ISNUMBER($U17),$U17&lt;&gt;0%,_xll.ohTrigger(Trigger)+1),TRUE,FALSE)</f>
        <v>1</v>
      </c>
      <c r="W17" s="474" t="b">
        <f>IF($V17,_xll.qlIndexAddFixings($Y17,$T17,$U17/100,TRUE,ISERROR($Z17)),NA())</f>
        <v>1</v>
      </c>
      <c r="X17" s="464"/>
      <c r="Y17" s="473" t="str">
        <f t="shared" si="4"/>
        <v>Euribor7M#0004</v>
      </c>
      <c r="Z17" s="472">
        <f>_xll.qlIndexFixing($Y17,$T17,TRUE,$V17)</f>
        <v>3.7699999999999999E-3</v>
      </c>
      <c r="AA17" s="472">
        <f>IF($W17,_xll.qlIndexFixing($Y17,$T17,FALSE,$V17),"-")</f>
        <v>3.7699999999999999E-3</v>
      </c>
      <c r="AB17" s="472">
        <f t="shared" si="2"/>
        <v>0</v>
      </c>
      <c r="AC17" s="471">
        <f>_xll.qlIndexFixing($Y17,$T17,TRUE,$AA17)</f>
        <v>3.7699999999999999E-3</v>
      </c>
      <c r="AD17" s="470">
        <f t="shared" si="3"/>
        <v>0</v>
      </c>
      <c r="AE17" s="459"/>
      <c r="AF17" s="440"/>
    </row>
    <row r="18" spans="2:32" s="21" customFormat="1" x14ac:dyDescent="0.2">
      <c r="B18" s="26"/>
      <c r="C18" s="8" t="s">
        <v>4</v>
      </c>
      <c r="D18" s="8" t="str">
        <f>Currency&amp;C18</f>
        <v>EURLiborYCON</v>
      </c>
      <c r="E18" s="7" t="str">
        <f>_xll.qlRelinkableHandleYieldTermStructure(D18,,Permanent,Trigger,ObjectOverwrite)</f>
        <v>EurLiborYCON#0001</v>
      </c>
      <c r="F18" s="6" t="str">
        <f>_xll.ohRangeRetrieveError(E18)</f>
        <v/>
      </c>
      <c r="G18" s="25" t="s">
        <v>25</v>
      </c>
      <c r="H18" s="24" t="s">
        <v>6</v>
      </c>
      <c r="I18" s="23" t="str">
        <f t="shared" si="0"/>
        <v>Euribor8M</v>
      </c>
      <c r="J18" s="22" t="str">
        <f>_xll.qlEuribor(I18,G18,E18,Permanent,Trigger,ObjectOverwrite)</f>
        <v>Euribor8M#0004</v>
      </c>
      <c r="K18" s="22" t="str">
        <f>_xll.qlLastFixingQuote(I18&amp;"LastFixing_Quote",J18,Permanent,Trigger,ObjectOverwrite)</f>
        <v>Euribor8MLastFixing_Quote#0004</v>
      </c>
      <c r="L18" s="7" t="str">
        <f>_xll.ohRangeRetrieveError(J18)</f>
        <v/>
      </c>
      <c r="M18" s="7" t="str">
        <f>_xll.ohRangeRetrieveError(K18)</f>
        <v/>
      </c>
      <c r="N18" s="5"/>
      <c r="P18" s="440"/>
      <c r="Q18" s="469"/>
      <c r="R18" s="477" t="s">
        <v>25</v>
      </c>
      <c r="S18" s="472" t="str">
        <f t="shared" si="1"/>
        <v>EURIBOR8MD=</v>
      </c>
      <c r="T18" s="476">
        <v>41479</v>
      </c>
      <c r="U18" s="475">
        <v>0.41199999999999998</v>
      </c>
      <c r="V18" s="475" t="b">
        <f>IF(AND(ISNUMBER($U18),$U18&lt;&gt;0%,_xll.ohTrigger(Trigger)+1),TRUE,FALSE)</f>
        <v>1</v>
      </c>
      <c r="W18" s="474" t="b">
        <f>IF($V18,_xll.qlIndexAddFixings($Y18,$T18,$U18/100,TRUE,ISERROR($Z18)),NA())</f>
        <v>1</v>
      </c>
      <c r="X18" s="464"/>
      <c r="Y18" s="473" t="str">
        <f t="shared" si="4"/>
        <v>Euribor8M#0004</v>
      </c>
      <c r="Z18" s="472">
        <f>_xll.qlIndexFixing($Y18,$T18,TRUE,$V18)</f>
        <v>4.1199999999999995E-3</v>
      </c>
      <c r="AA18" s="472">
        <f>IF($W18,_xll.qlIndexFixing($Y18,$T18,FALSE,$V18),"-")</f>
        <v>4.1199999999999995E-3</v>
      </c>
      <c r="AB18" s="472">
        <f t="shared" si="2"/>
        <v>0</v>
      </c>
      <c r="AC18" s="471">
        <f>_xll.qlIndexFixing($Y18,$T18,TRUE,$AA18)</f>
        <v>4.1199999999999995E-3</v>
      </c>
      <c r="AD18" s="470">
        <f t="shared" si="3"/>
        <v>0</v>
      </c>
      <c r="AE18" s="459"/>
      <c r="AF18" s="440"/>
    </row>
    <row r="19" spans="2:32" s="21" customFormat="1" x14ac:dyDescent="0.2">
      <c r="B19" s="26"/>
      <c r="C19" s="8" t="s">
        <v>3</v>
      </c>
      <c r="D19" s="8" t="str">
        <f>Currency&amp;C19</f>
        <v>EURLiborYC1M</v>
      </c>
      <c r="E19" s="7" t="str">
        <f>_xll.qlRelinkableHandleYieldTermStructure(D19,,Permanent,Trigger,ObjectOverwrite)</f>
        <v>EurLiborYC1M#0001</v>
      </c>
      <c r="F19" s="6" t="str">
        <f>_xll.ohRangeRetrieveError(E19)</f>
        <v/>
      </c>
      <c r="G19" s="25" t="s">
        <v>24</v>
      </c>
      <c r="H19" s="24" t="s">
        <v>5</v>
      </c>
      <c r="I19" s="23" t="str">
        <f t="shared" si="0"/>
        <v>Euribor9M</v>
      </c>
      <c r="J19" s="22" t="str">
        <f>_xll.qlEuribor(I19,G19,E19,Permanent,Trigger,ObjectOverwrite)</f>
        <v>Euribor9M#0004</v>
      </c>
      <c r="K19" s="22" t="str">
        <f>_xll.qlLastFixingQuote(I19&amp;"LastFixing_Quote",J19,Permanent,Trigger,ObjectOverwrite)</f>
        <v>Euribor9MLastFixing_Quote#0004</v>
      </c>
      <c r="L19" s="7" t="str">
        <f>_xll.ohRangeRetrieveError(J19)</f>
        <v/>
      </c>
      <c r="M19" s="7" t="str">
        <f>_xll.ohRangeRetrieveError(K19)</f>
        <v/>
      </c>
      <c r="N19" s="5"/>
      <c r="P19" s="440"/>
      <c r="Q19" s="469"/>
      <c r="R19" s="477" t="s">
        <v>24</v>
      </c>
      <c r="S19" s="472" t="str">
        <f t="shared" si="1"/>
        <v>EURIBOR9MD=</v>
      </c>
      <c r="T19" s="476">
        <v>41479</v>
      </c>
      <c r="U19" s="475">
        <v>0.442</v>
      </c>
      <c r="V19" s="475" t="b">
        <f>IF(AND(ISNUMBER($U19),$U19&lt;&gt;0%,_xll.ohTrigger(Trigger)+1),TRUE,FALSE)</f>
        <v>1</v>
      </c>
      <c r="W19" s="474" t="b">
        <f>IF($V19,_xll.qlIndexAddFixings($Y19,$T19,$U19/100,TRUE,ISERROR($Z19)),NA())</f>
        <v>1</v>
      </c>
      <c r="X19" s="464"/>
      <c r="Y19" s="473" t="str">
        <f t="shared" si="4"/>
        <v>Euribor9M#0004</v>
      </c>
      <c r="Z19" s="472">
        <f>_xll.qlIndexFixing($Y19,$T19,TRUE,$V19)</f>
        <v>4.4200000000000003E-3</v>
      </c>
      <c r="AA19" s="472">
        <f>IF($W19,_xll.qlIndexFixing($Y19,$T19,FALSE,$V19),"-")</f>
        <v>4.4200000000000003E-3</v>
      </c>
      <c r="AB19" s="472">
        <f t="shared" si="2"/>
        <v>0</v>
      </c>
      <c r="AC19" s="471">
        <f>_xll.qlIndexFixing($Y19,$T19,TRUE,$AA19)</f>
        <v>4.4200000000000003E-3</v>
      </c>
      <c r="AD19" s="470">
        <f t="shared" si="3"/>
        <v>0</v>
      </c>
      <c r="AE19" s="459"/>
      <c r="AF19" s="440"/>
    </row>
    <row r="20" spans="2:32" s="21" customFormat="1" x14ac:dyDescent="0.2">
      <c r="B20" s="26"/>
      <c r="C20" s="8" t="s">
        <v>2</v>
      </c>
      <c r="D20" s="8" t="str">
        <f>Currency&amp;C20</f>
        <v>EURLiborYC3M</v>
      </c>
      <c r="E20" s="7" t="str">
        <f>_xll.qlRelinkableHandleYieldTermStructure(D20,,Permanent,Trigger,ObjectOverwrite)</f>
        <v>EurLiborYC3M#0001</v>
      </c>
      <c r="F20" s="6" t="str">
        <f>_xll.ohRangeRetrieveError(E20)</f>
        <v/>
      </c>
      <c r="G20" s="25" t="s">
        <v>23</v>
      </c>
      <c r="H20" s="24" t="s">
        <v>5</v>
      </c>
      <c r="I20" s="23" t="str">
        <f t="shared" si="0"/>
        <v>Euribor10M</v>
      </c>
      <c r="J20" s="22" t="str">
        <f>_xll.qlEuribor(I20,G20,E20,Permanent,Trigger,ObjectOverwrite)</f>
        <v>Euribor10M#0004</v>
      </c>
      <c r="K20" s="22" t="str">
        <f>_xll.qlLastFixingQuote(I20&amp;"LastFixing_Quote",J20,Permanent,Trigger,ObjectOverwrite)</f>
        <v>Euribor10MLastFixing_Quote#0004</v>
      </c>
      <c r="L20" s="7" t="str">
        <f>_xll.ohRangeRetrieveError(J20)</f>
        <v/>
      </c>
      <c r="M20" s="7" t="str">
        <f>_xll.ohRangeRetrieveError(K20)</f>
        <v/>
      </c>
      <c r="N20" s="5"/>
      <c r="P20" s="440"/>
      <c r="Q20" s="469"/>
      <c r="R20" s="477" t="s">
        <v>23</v>
      </c>
      <c r="S20" s="472" t="str">
        <f t="shared" si="1"/>
        <v>EURIBOR10MD=</v>
      </c>
      <c r="T20" s="476">
        <v>41479</v>
      </c>
      <c r="U20" s="475">
        <v>0.47299999999999998</v>
      </c>
      <c r="V20" s="475" t="b">
        <f>IF(AND(ISNUMBER($U20),$U20&lt;&gt;0%,_xll.ohTrigger(Trigger)+1),TRUE,FALSE)</f>
        <v>1</v>
      </c>
      <c r="W20" s="474" t="b">
        <f>IF($V20,_xll.qlIndexAddFixings($Y20,$T20,$U20/100,TRUE,ISERROR($Z20)),NA())</f>
        <v>1</v>
      </c>
      <c r="X20" s="464"/>
      <c r="Y20" s="473" t="str">
        <f t="shared" si="4"/>
        <v>Euribor10M#0004</v>
      </c>
      <c r="Z20" s="472">
        <f>_xll.qlIndexFixing($Y20,$T20,TRUE,$V20)</f>
        <v>4.7299999999999998E-3</v>
      </c>
      <c r="AA20" s="472">
        <f>IF($W20,_xll.qlIndexFixing($Y20,$T20,FALSE,$V20),"-")</f>
        <v>4.7299999999999998E-3</v>
      </c>
      <c r="AB20" s="472">
        <f t="shared" si="2"/>
        <v>0</v>
      </c>
      <c r="AC20" s="471">
        <f>_xll.qlIndexFixing($Y20,$T20,TRUE,$AA20)</f>
        <v>4.7299999999999998E-3</v>
      </c>
      <c r="AD20" s="470">
        <f t="shared" si="3"/>
        <v>0</v>
      </c>
      <c r="AE20" s="459"/>
      <c r="AF20" s="440"/>
    </row>
    <row r="21" spans="2:32" s="21" customFormat="1" x14ac:dyDescent="0.2">
      <c r="B21" s="26"/>
      <c r="C21" s="8" t="s">
        <v>1</v>
      </c>
      <c r="D21" s="8" t="str">
        <f>Currency&amp;C21</f>
        <v>EURLiborYC6M</v>
      </c>
      <c r="E21" s="7" t="str">
        <f>_xll.qlRelinkableHandleYieldTermStructure(D21,,Permanent,Trigger,ObjectOverwrite)</f>
        <v>EurLiborYC6M#0001</v>
      </c>
      <c r="F21" s="6" t="str">
        <f>_xll.ohRangeRetrieveError(E21)</f>
        <v/>
      </c>
      <c r="G21" s="25" t="s">
        <v>22</v>
      </c>
      <c r="H21" s="24" t="s">
        <v>5</v>
      </c>
      <c r="I21" s="23" t="str">
        <f t="shared" si="0"/>
        <v>Euribor11M</v>
      </c>
      <c r="J21" s="22" t="str">
        <f>_xll.qlEuribor(I21,G21,E21,Permanent,Trigger,ObjectOverwrite)</f>
        <v>Euribor11M#0004</v>
      </c>
      <c r="K21" s="22" t="str">
        <f>_xll.qlLastFixingQuote(I21&amp;"LastFixing_Quote",J21,Permanent,Trigger,ObjectOverwrite)</f>
        <v>Euribor11MLastFixing_Quote#0004</v>
      </c>
      <c r="L21" s="7" t="str">
        <f>_xll.ohRangeRetrieveError(J21)</f>
        <v/>
      </c>
      <c r="M21" s="7" t="str">
        <f>_xll.ohRangeRetrieveError(K21)</f>
        <v/>
      </c>
      <c r="N21" s="5"/>
      <c r="P21" s="440"/>
      <c r="Q21" s="469"/>
      <c r="R21" s="477" t="s">
        <v>22</v>
      </c>
      <c r="S21" s="472" t="str">
        <f t="shared" si="1"/>
        <v>EURIBOR11MD=</v>
      </c>
      <c r="T21" s="476">
        <v>41479</v>
      </c>
      <c r="U21" s="475">
        <v>0.503</v>
      </c>
      <c r="V21" s="475" t="b">
        <f>IF(AND(ISNUMBER($U21),$U21&lt;&gt;0%,_xll.ohTrigger(Trigger)+1),TRUE,FALSE)</f>
        <v>1</v>
      </c>
      <c r="W21" s="474" t="b">
        <f>IF($V21,_xll.qlIndexAddFixings($Y21,$T21,$U21/100,TRUE,ISERROR($Z21)),NA())</f>
        <v>1</v>
      </c>
      <c r="X21" s="464"/>
      <c r="Y21" s="473" t="str">
        <f t="shared" si="4"/>
        <v>Euribor11M#0004</v>
      </c>
      <c r="Z21" s="472">
        <f>_xll.qlIndexFixing($Y21,$T21,TRUE,$V21)</f>
        <v>5.0299999999999997E-3</v>
      </c>
      <c r="AA21" s="472">
        <f>IF($W21,_xll.qlIndexFixing($Y21,$T21,FALSE,$V21),"-")</f>
        <v>5.0299999999999997E-3</v>
      </c>
      <c r="AB21" s="472">
        <f t="shared" si="2"/>
        <v>0</v>
      </c>
      <c r="AC21" s="471">
        <f>_xll.qlIndexFixing($Y21,$T21,TRUE,$AA21)</f>
        <v>5.0299999999999997E-3</v>
      </c>
      <c r="AD21" s="470">
        <f t="shared" si="3"/>
        <v>0</v>
      </c>
      <c r="AE21" s="459"/>
      <c r="AF21" s="440"/>
    </row>
    <row r="22" spans="2:32" s="21" customFormat="1" x14ac:dyDescent="0.2">
      <c r="B22" s="26"/>
      <c r="C22" s="8" t="s">
        <v>0</v>
      </c>
      <c r="D22" s="8" t="str">
        <f>Currency&amp;C22</f>
        <v>EURLiborYC1Y</v>
      </c>
      <c r="E22" s="7" t="str">
        <f>_xll.qlRelinkableHandleYieldTermStructure(D22,,Permanent,Trigger,ObjectOverwrite)</f>
        <v>EurLiborYC1Y#0001</v>
      </c>
      <c r="F22" s="6" t="str">
        <f>_xll.ohRangeRetrieveError(E22)</f>
        <v/>
      </c>
      <c r="G22" s="25" t="s">
        <v>21</v>
      </c>
      <c r="H22" s="24" t="s">
        <v>5</v>
      </c>
      <c r="I22" s="23" t="str">
        <f t="shared" si="0"/>
        <v>Euribor1Y</v>
      </c>
      <c r="J22" s="22" t="str">
        <f>_xll.qlEuribor(I22,G22,E22,Permanent,Trigger,ObjectOverwrite)</f>
        <v>Euribor1Y#0004</v>
      </c>
      <c r="K22" s="22" t="str">
        <f>_xll.qlLastFixingQuote(I22&amp;"LastFixing_Quote",J22,Permanent,Trigger,ObjectOverwrite)</f>
        <v>Euribor1YLastFixing_Quote#0004</v>
      </c>
      <c r="L22" s="7" t="str">
        <f>_xll.ohRangeRetrieveError(J22)</f>
        <v/>
      </c>
      <c r="M22" s="7" t="str">
        <f>_xll.ohRangeRetrieveError(K22)</f>
        <v/>
      </c>
      <c r="N22" s="5"/>
      <c r="P22" s="440"/>
      <c r="Q22" s="469"/>
      <c r="R22" s="468" t="s">
        <v>21</v>
      </c>
      <c r="S22" s="462" t="str">
        <f t="shared" si="1"/>
        <v>EURIBOR1YD=</v>
      </c>
      <c r="T22" s="467">
        <v>41479</v>
      </c>
      <c r="U22" s="466">
        <v>0.53500000000000003</v>
      </c>
      <c r="V22" s="466" t="b">
        <f>IF(AND(ISNUMBER($U22),$U22&lt;&gt;0%,_xll.ohTrigger(Trigger)+1),TRUE,FALSE)</f>
        <v>1</v>
      </c>
      <c r="W22" s="465" t="b">
        <f>IF($V22,_xll.qlIndexAddFixings($Y22,$T22,$U22/100,TRUE,ISERROR($Z22)),NA())</f>
        <v>1</v>
      </c>
      <c r="X22" s="464"/>
      <c r="Y22" s="463" t="str">
        <f t="shared" si="4"/>
        <v>Euribor1Y#0004</v>
      </c>
      <c r="Z22" s="462">
        <f>_xll.qlIndexFixing($Y22,$T22,TRUE,$V22)</f>
        <v>5.3500000000000006E-3</v>
      </c>
      <c r="AA22" s="462">
        <f>IF($W22,_xll.qlIndexFixing($Y22,$T22,FALSE,$V22),"-")</f>
        <v>5.3500000000000006E-3</v>
      </c>
      <c r="AB22" s="462">
        <f t="shared" si="2"/>
        <v>0</v>
      </c>
      <c r="AC22" s="461">
        <f>_xll.qlIndexFixing($Y22,$T22,TRUE,$AA22)</f>
        <v>5.3500000000000006E-3</v>
      </c>
      <c r="AD22" s="460">
        <f t="shared" si="3"/>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27"/>
    </row>
    <row r="6" spans="1:8" s="21" customFormat="1" x14ac:dyDescent="0.2">
      <c r="B6" s="26"/>
      <c r="C6" s="44" t="s">
        <v>35</v>
      </c>
      <c r="D6" s="43" t="s">
        <v>9</v>
      </c>
      <c r="E6" s="42" t="str">
        <f t="shared" ref="E6:E20" si="0">PROPER(Currency)&amp;FamilyName&amp;$C6</f>
        <v>Euribor365SW</v>
      </c>
      <c r="F6" s="22" t="e">
        <f>_xll.qlEuribor365($E6,$C6,Currency&amp;$D6,Permanent,Trigger,ObjectOverwrite)</f>
        <v>#NUM!</v>
      </c>
      <c r="G6" s="7" t="str">
        <f ca="1">_xll.ohRangeRetrieveError(F6)</f>
        <v>qlEuribor365 - ObjectHandler error: attempt to retrieve object with unknown ID 'EURiborYCON'</v>
      </c>
      <c r="H6" s="5"/>
    </row>
    <row r="7" spans="1:8" s="21" customFormat="1" x14ac:dyDescent="0.2">
      <c r="B7" s="26"/>
      <c r="C7" s="44" t="s">
        <v>34</v>
      </c>
      <c r="D7" s="43" t="s">
        <v>9</v>
      </c>
      <c r="E7" s="42" t="str">
        <f t="shared" si="0"/>
        <v>Euribor3652W</v>
      </c>
      <c r="F7" s="22" t="e">
        <f>_xll.qlEuribor365($E7,$C7,Currency&amp;$D7,Permanent,Trigger,ObjectOverwrite)</f>
        <v>#NUM!</v>
      </c>
      <c r="G7" s="7" t="str">
        <f ca="1">_xll.ohRangeRetrieveError(F7)</f>
        <v>qlEuribor365 - ObjectHandler error: attempt to retrieve object with unknown ID 'EURiborYCON'</v>
      </c>
      <c r="H7" s="5"/>
    </row>
    <row r="8" spans="1:8" s="21" customFormat="1" x14ac:dyDescent="0.2">
      <c r="B8" s="26"/>
      <c r="C8" s="44" t="s">
        <v>33</v>
      </c>
      <c r="D8" s="43" t="s">
        <v>8</v>
      </c>
      <c r="E8" s="42" t="str">
        <f t="shared" si="0"/>
        <v>Euribor3653W</v>
      </c>
      <c r="F8" s="22" t="e">
        <f>_xll.qlEuribor365($E8,$C8,Currency&amp;$D8,Permanent,Trigger,ObjectOverwrite)</f>
        <v>#NUM!</v>
      </c>
      <c r="G8" s="7" t="str">
        <f ca="1">_xll.ohRangeRetrieveError(F8)</f>
        <v>qlEuribor365 - ObjectHandler error: attempt to retrieve object with unknown ID 'EURiborYC1M'</v>
      </c>
      <c r="H8" s="5"/>
    </row>
    <row r="9" spans="1:8" s="21" customFormat="1" x14ac:dyDescent="0.2">
      <c r="B9" s="26"/>
      <c r="C9" s="44" t="s">
        <v>32</v>
      </c>
      <c r="D9" s="43" t="s">
        <v>8</v>
      </c>
      <c r="E9" s="42" t="str">
        <f t="shared" si="0"/>
        <v>Euribor3651M</v>
      </c>
      <c r="F9" s="22" t="e">
        <f>_xll.qlEuribor365($E9,$C9,Currency&amp;$D9,Permanent,Trigger,ObjectOverwrite)</f>
        <v>#NUM!</v>
      </c>
      <c r="G9" s="7" t="str">
        <f ca="1">_xll.ohRangeRetrieveError(F9)</f>
        <v>qlEuribor365 - ObjectHandler error: attempt to retrieve object with unknown ID 'EURiborYC1M'</v>
      </c>
      <c r="H9" s="5"/>
    </row>
    <row r="10" spans="1:8" s="21" customFormat="1" x14ac:dyDescent="0.2">
      <c r="B10" s="26"/>
      <c r="C10" s="44" t="s">
        <v>31</v>
      </c>
      <c r="D10" s="43" t="s">
        <v>7</v>
      </c>
      <c r="E10" s="42" t="str">
        <f t="shared" si="0"/>
        <v>Euribor3652M</v>
      </c>
      <c r="F10" s="22" t="e">
        <f>_xll.qlEuribor365($E10,$C10,Currency&amp;$D10,Permanent,Trigger,ObjectOverwrite)</f>
        <v>#NUM!</v>
      </c>
      <c r="G10" s="7" t="str">
        <f ca="1">_xll.ohRangeRetrieveError(F10)</f>
        <v>qlEuribor365 - ObjectHandler error: attempt to retrieve object with unknown ID 'EURiborYC3M'</v>
      </c>
      <c r="H10" s="5"/>
    </row>
    <row r="11" spans="1:8" s="21" customFormat="1" x14ac:dyDescent="0.2">
      <c r="B11" s="26"/>
      <c r="C11" s="44" t="s">
        <v>30</v>
      </c>
      <c r="D11" s="43" t="s">
        <v>7</v>
      </c>
      <c r="E11" s="42" t="str">
        <f t="shared" si="0"/>
        <v>Euribor3653M</v>
      </c>
      <c r="F11" s="22" t="e">
        <f>_xll.qlEuribor365($E11,$C11,Currency&amp;$D11,Permanent,Trigger,ObjectOverwrite)</f>
        <v>#NUM!</v>
      </c>
      <c r="G11" s="7" t="str">
        <f ca="1">_xll.ohRangeRetrieveError(F11)</f>
        <v>qlEuribor365 - ObjectHandler error: attempt to retrieve object with unknown ID 'EURiborYC3M'</v>
      </c>
      <c r="H11" s="5"/>
    </row>
    <row r="12" spans="1:8" s="21" customFormat="1" x14ac:dyDescent="0.2">
      <c r="B12" s="26"/>
      <c r="C12" s="44" t="s">
        <v>29</v>
      </c>
      <c r="D12" s="43" t="s">
        <v>7</v>
      </c>
      <c r="E12" s="42" t="str">
        <f t="shared" si="0"/>
        <v>Euribor3654M</v>
      </c>
      <c r="F12" s="22" t="e">
        <f>_xll.qlEuribor365($E12,$C12,Currency&amp;$D12,Permanent,Trigger,ObjectOverwrite)</f>
        <v>#NUM!</v>
      </c>
      <c r="G12" s="7" t="str">
        <f ca="1">_xll.ohRangeRetrieveError(F12)</f>
        <v>qlEuribor365 - ObjectHandler error: attempt to retrieve object with unknown ID 'EURiborYC3M'</v>
      </c>
      <c r="H12" s="5"/>
    </row>
    <row r="13" spans="1:8" s="21" customFormat="1" x14ac:dyDescent="0.2">
      <c r="B13" s="26"/>
      <c r="C13" s="44" t="s">
        <v>28</v>
      </c>
      <c r="D13" s="43" t="s">
        <v>6</v>
      </c>
      <c r="E13" s="42" t="str">
        <f t="shared" si="0"/>
        <v>Euribor3655M</v>
      </c>
      <c r="F13" s="22" t="e">
        <f>_xll.qlEuribor365($E13,$C13,Currency&amp;$D13,Permanent,Trigger,ObjectOverwrite)</f>
        <v>#NUM!</v>
      </c>
      <c r="G13" s="7" t="str">
        <f ca="1">_xll.ohRangeRetrieveError(F13)</f>
        <v>qlEuribor365 - ObjectHandler error: attempt to retrieve object with unknown ID 'EURiborYC6M'</v>
      </c>
      <c r="H13" s="5"/>
    </row>
    <row r="14" spans="1:8" s="21" customFormat="1" x14ac:dyDescent="0.2">
      <c r="B14" s="26"/>
      <c r="C14" s="44" t="s">
        <v>27</v>
      </c>
      <c r="D14" s="43" t="s">
        <v>6</v>
      </c>
      <c r="E14" s="42" t="str">
        <f t="shared" si="0"/>
        <v>Euribor3656M</v>
      </c>
      <c r="F14" s="22" t="e">
        <f>_xll.qlEuribor365($E14,$C14,Currency&amp;$D14,Permanent,Trigger,ObjectOverwrite)</f>
        <v>#NUM!</v>
      </c>
      <c r="G14" s="7" t="str">
        <f ca="1">_xll.ohRangeRetrieveError(F14)</f>
        <v>qlEuribor365 - ObjectHandler error: attempt to retrieve object with unknown ID 'EURiborYC6M'</v>
      </c>
      <c r="H14" s="5"/>
    </row>
    <row r="15" spans="1:8" s="21" customFormat="1" x14ac:dyDescent="0.2">
      <c r="B15" s="26"/>
      <c r="C15" s="44" t="s">
        <v>26</v>
      </c>
      <c r="D15" s="43" t="s">
        <v>6</v>
      </c>
      <c r="E15" s="42" t="str">
        <f t="shared" si="0"/>
        <v>Euribor3657M</v>
      </c>
      <c r="F15" s="22" t="e">
        <f>_xll.qlEuribor365($E15,$C15,Currency&amp;$D15,Permanent,Trigger,ObjectOverwrite)</f>
        <v>#NUM!</v>
      </c>
      <c r="G15" s="7" t="str">
        <f ca="1">_xll.ohRangeRetrieveError(F15)</f>
        <v>qlEuribor365 - ObjectHandler error: attempt to retrieve object with unknown ID 'EURiborYC6M'</v>
      </c>
      <c r="H15" s="5"/>
    </row>
    <row r="16" spans="1:8" s="21" customFormat="1" x14ac:dyDescent="0.2">
      <c r="B16" s="26"/>
      <c r="C16" s="44" t="s">
        <v>25</v>
      </c>
      <c r="D16" s="43" t="s">
        <v>6</v>
      </c>
      <c r="E16" s="42" t="str">
        <f t="shared" si="0"/>
        <v>Euribor3658M</v>
      </c>
      <c r="F16" s="22" t="e">
        <f>_xll.qlEuribor365($E16,$C16,Currency&amp;$D16,Permanent,Trigger,ObjectOverwrite)</f>
        <v>#NUM!</v>
      </c>
      <c r="G16" s="7" t="str">
        <f ca="1">_xll.ohRangeRetrieveError(F16)</f>
        <v>qlEuribor365 - ObjectHandler error: attempt to retrieve object with unknown ID 'EURiborYC6M'</v>
      </c>
      <c r="H16" s="5"/>
    </row>
    <row r="17" spans="2:8" s="21" customFormat="1" x14ac:dyDescent="0.2">
      <c r="B17" s="26"/>
      <c r="C17" s="44" t="s">
        <v>24</v>
      </c>
      <c r="D17" s="43" t="s">
        <v>5</v>
      </c>
      <c r="E17" s="42" t="str">
        <f t="shared" si="0"/>
        <v>Euribor3659M</v>
      </c>
      <c r="F17" s="22" t="e">
        <f>_xll.qlEuribor365($E17,$C17,Currency&amp;$D17,Permanent,Trigger,ObjectOverwrite)</f>
        <v>#NUM!</v>
      </c>
      <c r="G17" s="7" t="str">
        <f ca="1">_xll.ohRangeRetrieveError(F17)</f>
        <v>qlEuribor365 - ObjectHandler error: attempt to retrieve object with unknown ID 'EURiborYC1Y'</v>
      </c>
      <c r="H17" s="5"/>
    </row>
    <row r="18" spans="2:8" s="21" customFormat="1" x14ac:dyDescent="0.2">
      <c r="B18" s="26"/>
      <c r="C18" s="44" t="s">
        <v>23</v>
      </c>
      <c r="D18" s="43" t="s">
        <v>5</v>
      </c>
      <c r="E18" s="42" t="str">
        <f t="shared" si="0"/>
        <v>Euribor36510M</v>
      </c>
      <c r="F18" s="22" t="e">
        <f>_xll.qlEuribor365($E18,$C18,Currency&amp;$D18,Permanent,Trigger,ObjectOverwrite)</f>
        <v>#NUM!</v>
      </c>
      <c r="G18" s="7" t="str">
        <f ca="1">_xll.ohRangeRetrieveError(F18)</f>
        <v>qlEuribor365 - ObjectHandler error: attempt to retrieve object with unknown ID 'EURiborYC1Y'</v>
      </c>
      <c r="H18" s="5"/>
    </row>
    <row r="19" spans="2:8" s="21" customFormat="1" x14ac:dyDescent="0.2">
      <c r="B19" s="26"/>
      <c r="C19" s="44" t="s">
        <v>22</v>
      </c>
      <c r="D19" s="43" t="s">
        <v>5</v>
      </c>
      <c r="E19" s="42" t="str">
        <f t="shared" si="0"/>
        <v>Euribor36511M</v>
      </c>
      <c r="F19" s="22" t="e">
        <f>_xll.qlEuribor365($E19,$C19,Currency&amp;$D19,Permanent,Trigger,ObjectOverwrite)</f>
        <v>#NUM!</v>
      </c>
      <c r="G19" s="7" t="str">
        <f ca="1">_xll.ohRangeRetrieveError(F19)</f>
        <v>qlEuribor365 - ObjectHandler error: attempt to retrieve object with unknown ID 'EURiborYC1Y'</v>
      </c>
      <c r="H19" s="5"/>
    </row>
    <row r="20" spans="2:8" s="21" customFormat="1" x14ac:dyDescent="0.2">
      <c r="B20" s="26"/>
      <c r="C20" s="44" t="s">
        <v>21</v>
      </c>
      <c r="D20" s="43" t="s">
        <v>5</v>
      </c>
      <c r="E20" s="42" t="str">
        <f t="shared" si="0"/>
        <v>Euribor3651Y</v>
      </c>
      <c r="F20" s="22" t="e">
        <f>_xll.qlEuribor365($E20,$C20,Currency&amp;$D20,Permanent,Trigger,ObjectOverwrite)</f>
        <v>#NUM!</v>
      </c>
      <c r="G20" s="7" t="str">
        <f ca="1">_xll.ohRangeRetrieveError(F20)</f>
        <v>qlEuribor365 - ObjectHandler error: attempt to retrieve object with unknown ID 'EURiborYC1Y'</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EuriborSwapIsdaFixA1Y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102</v>
      </c>
      <c r="D8" s="53" t="s">
        <v>6</v>
      </c>
      <c r="E8" s="53" t="s">
        <v>11</v>
      </c>
      <c r="F8" s="52" t="str">
        <f t="shared" si="0"/>
        <v>EuriborSwapIsdaFixA2Y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101</v>
      </c>
      <c r="D9" s="53" t="s">
        <v>6</v>
      </c>
      <c r="E9" s="53" t="s">
        <v>11</v>
      </c>
      <c r="F9" s="52" t="str">
        <f t="shared" si="0"/>
        <v>EuriborSwapIsdaFixA3Y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100</v>
      </c>
      <c r="D10" s="53" t="s">
        <v>6</v>
      </c>
      <c r="E10" s="53" t="s">
        <v>11</v>
      </c>
      <c r="F10" s="52" t="str">
        <f t="shared" si="0"/>
        <v>EuriborSwapIsdaFixA4Y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99</v>
      </c>
      <c r="D11" s="53" t="s">
        <v>6</v>
      </c>
      <c r="E11" s="53" t="s">
        <v>11</v>
      </c>
      <c r="F11" s="52" t="str">
        <f t="shared" si="0"/>
        <v>EuriborSwapIsdaFixA5Y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98</v>
      </c>
      <c r="D12" s="53" t="s">
        <v>6</v>
      </c>
      <c r="E12" s="53" t="s">
        <v>11</v>
      </c>
      <c r="F12" s="52" t="str">
        <f t="shared" si="0"/>
        <v>EuriborSwapIsdaFixA6Y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97</v>
      </c>
      <c r="D13" s="53" t="s">
        <v>6</v>
      </c>
      <c r="E13" s="53" t="s">
        <v>11</v>
      </c>
      <c r="F13" s="52" t="str">
        <f t="shared" si="0"/>
        <v>EuriborSwapIsdaFixA7Y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96</v>
      </c>
      <c r="D14" s="53" t="s">
        <v>6</v>
      </c>
      <c r="E14" s="53" t="s">
        <v>11</v>
      </c>
      <c r="F14" s="52" t="str">
        <f t="shared" si="0"/>
        <v>EuriborSwapIsdaFixA8Y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95</v>
      </c>
      <c r="D15" s="53" t="s">
        <v>6</v>
      </c>
      <c r="E15" s="53" t="s">
        <v>11</v>
      </c>
      <c r="F15" s="52" t="str">
        <f t="shared" si="0"/>
        <v>EuriborSwapIsdaFixA9Y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94</v>
      </c>
      <c r="D16" s="53" t="s">
        <v>6</v>
      </c>
      <c r="E16" s="53" t="s">
        <v>11</v>
      </c>
      <c r="F16" s="52" t="str">
        <f t="shared" si="0"/>
        <v>EuriborSwapIsdaFixA10Y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93</v>
      </c>
      <c r="D17" s="53" t="s">
        <v>6</v>
      </c>
      <c r="E17" s="53" t="s">
        <v>11</v>
      </c>
      <c r="F17" s="52" t="str">
        <f t="shared" si="0"/>
        <v>EuriborSwapIsdaFixA11Y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92</v>
      </c>
      <c r="D18" s="53" t="s">
        <v>6</v>
      </c>
      <c r="E18" s="53" t="s">
        <v>11</v>
      </c>
      <c r="F18" s="52" t="str">
        <f t="shared" si="0"/>
        <v>EuriborSwapIsdaFixA12Y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91</v>
      </c>
      <c r="D19" s="53" t="s">
        <v>6</v>
      </c>
      <c r="E19" s="53" t="s">
        <v>11</v>
      </c>
      <c r="F19" s="52" t="str">
        <f t="shared" si="0"/>
        <v>EuriborSwapIsdaFixA13Y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90</v>
      </c>
      <c r="D20" s="53" t="s">
        <v>6</v>
      </c>
      <c r="E20" s="53" t="s">
        <v>11</v>
      </c>
      <c r="F20" s="52" t="str">
        <f t="shared" si="0"/>
        <v>EuriborSwapIsdaFixA14Y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89</v>
      </c>
      <c r="D21" s="53" t="s">
        <v>6</v>
      </c>
      <c r="E21" s="53" t="s">
        <v>11</v>
      </c>
      <c r="F21" s="52" t="str">
        <f t="shared" si="0"/>
        <v>EuriborSwapIsdaFixA15Y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88</v>
      </c>
      <c r="D22" s="53" t="s">
        <v>6</v>
      </c>
      <c r="E22" s="53" t="s">
        <v>11</v>
      </c>
      <c r="F22" s="52" t="str">
        <f t="shared" si="0"/>
        <v>EuriborSwapIsdaFixA16Y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87</v>
      </c>
      <c r="D23" s="53" t="s">
        <v>6</v>
      </c>
      <c r="E23" s="53" t="s">
        <v>11</v>
      </c>
      <c r="F23" s="52" t="str">
        <f t="shared" si="0"/>
        <v>EuriborSwapIsdaFixA17Y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86</v>
      </c>
      <c r="D24" s="53" t="s">
        <v>6</v>
      </c>
      <c r="E24" s="53" t="s">
        <v>11</v>
      </c>
      <c r="F24" s="52" t="str">
        <f t="shared" si="0"/>
        <v>EuriborSwapIsdaFixA18Y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85</v>
      </c>
      <c r="D25" s="53" t="s">
        <v>6</v>
      </c>
      <c r="E25" s="53" t="s">
        <v>11</v>
      </c>
      <c r="F25" s="52" t="str">
        <f t="shared" si="0"/>
        <v>EuriborSwapIsdaFixA19Y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84</v>
      </c>
      <c r="D26" s="53" t="s">
        <v>6</v>
      </c>
      <c r="E26" s="53" t="s">
        <v>11</v>
      </c>
      <c r="F26" s="52" t="str">
        <f t="shared" si="0"/>
        <v>EuriborSwapIsdaFixA20Y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83</v>
      </c>
      <c r="D27" s="53" t="s">
        <v>6</v>
      </c>
      <c r="E27" s="53" t="s">
        <v>11</v>
      </c>
      <c r="F27" s="52" t="str">
        <f t="shared" si="0"/>
        <v>EuriborSwapIsdaFixA21Y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82</v>
      </c>
      <c r="D28" s="53" t="s">
        <v>6</v>
      </c>
      <c r="E28" s="53" t="s">
        <v>11</v>
      </c>
      <c r="F28" s="52" t="str">
        <f t="shared" si="0"/>
        <v>EuriborSwapIsdaFixA22Y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81</v>
      </c>
      <c r="D29" s="53" t="s">
        <v>6</v>
      </c>
      <c r="E29" s="53" t="s">
        <v>11</v>
      </c>
      <c r="F29" s="52" t="str">
        <f t="shared" si="0"/>
        <v>EuriborSwapIsdaFixA23Y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80</v>
      </c>
      <c r="D30" s="53" t="s">
        <v>6</v>
      </c>
      <c r="E30" s="53" t="s">
        <v>11</v>
      </c>
      <c r="F30" s="52" t="str">
        <f t="shared" si="0"/>
        <v>EuriborSwapIsdaFixA24Y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79</v>
      </c>
      <c r="D31" s="53" t="s">
        <v>6</v>
      </c>
      <c r="E31" s="53" t="s">
        <v>11</v>
      </c>
      <c r="F31" s="52" t="str">
        <f t="shared" si="0"/>
        <v>EuriborSwapIsdaFixA25Y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78</v>
      </c>
      <c r="D32" s="53" t="s">
        <v>6</v>
      </c>
      <c r="E32" s="53" t="s">
        <v>11</v>
      </c>
      <c r="F32" s="52" t="str">
        <f t="shared" si="0"/>
        <v>EuriborSwapIsdaFixA26Y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77</v>
      </c>
      <c r="D33" s="53" t="s">
        <v>6</v>
      </c>
      <c r="E33" s="53" t="s">
        <v>11</v>
      </c>
      <c r="F33" s="52" t="str">
        <f t="shared" si="0"/>
        <v>EuriborSwapIsdaFixA27Y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76</v>
      </c>
      <c r="D34" s="53" t="s">
        <v>6</v>
      </c>
      <c r="E34" s="53" t="s">
        <v>11</v>
      </c>
      <c r="F34" s="52" t="str">
        <f t="shared" si="0"/>
        <v>EuriborSwapIsdaFixA28Y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75</v>
      </c>
      <c r="D35" s="53" t="s">
        <v>6</v>
      </c>
      <c r="E35" s="53" t="s">
        <v>11</v>
      </c>
      <c r="F35" s="52" t="str">
        <f t="shared" si="0"/>
        <v>EuriborSwapIsdaFixA29Y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74</v>
      </c>
      <c r="D36" s="53" t="s">
        <v>6</v>
      </c>
      <c r="E36" s="53" t="s">
        <v>11</v>
      </c>
      <c r="F36" s="52" t="str">
        <f t="shared" si="0"/>
        <v>EuriborSwapIsdaFixA30Y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73</v>
      </c>
      <c r="D37" s="53" t="s">
        <v>6</v>
      </c>
      <c r="E37" s="53" t="s">
        <v>11</v>
      </c>
      <c r="F37" s="52" t="str">
        <f t="shared" si="0"/>
        <v>EuriborSwapIsdaFixA31Y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72</v>
      </c>
      <c r="D38" s="53" t="s">
        <v>6</v>
      </c>
      <c r="E38" s="53" t="s">
        <v>11</v>
      </c>
      <c r="F38" s="52" t="str">
        <f t="shared" si="0"/>
        <v>EuriborSwapIsdaFixA32Y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EuriborSwapIsdaFixA33Y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70</v>
      </c>
      <c r="D40" s="53" t="s">
        <v>6</v>
      </c>
      <c r="E40" s="53" t="s">
        <v>11</v>
      </c>
      <c r="F40" s="52" t="str">
        <f t="shared" si="1"/>
        <v>EuriborSwapIsdaFixA34Y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69</v>
      </c>
      <c r="D41" s="53" t="s">
        <v>6</v>
      </c>
      <c r="E41" s="53" t="s">
        <v>11</v>
      </c>
      <c r="F41" s="52" t="str">
        <f t="shared" si="1"/>
        <v>EuriborSwapIsdaFixA35Y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68</v>
      </c>
      <c r="D42" s="53" t="s">
        <v>6</v>
      </c>
      <c r="E42" s="53" t="s">
        <v>11</v>
      </c>
      <c r="F42" s="52" t="str">
        <f t="shared" si="1"/>
        <v>EuriborSwapIsdaFixA36Y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67</v>
      </c>
      <c r="D43" s="53" t="s">
        <v>6</v>
      </c>
      <c r="E43" s="53" t="s">
        <v>11</v>
      </c>
      <c r="F43" s="52" t="str">
        <f t="shared" si="1"/>
        <v>EuriborSwapIsdaFixA37Y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66</v>
      </c>
      <c r="D44" s="53" t="s">
        <v>6</v>
      </c>
      <c r="E44" s="53" t="s">
        <v>11</v>
      </c>
      <c r="F44" s="52" t="str">
        <f t="shared" si="1"/>
        <v>EuriborSwapIsdaFixA38Y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65</v>
      </c>
      <c r="D45" s="53" t="s">
        <v>6</v>
      </c>
      <c r="E45" s="53" t="s">
        <v>11</v>
      </c>
      <c r="F45" s="52" t="str">
        <f t="shared" si="1"/>
        <v>EuriborSwapIsdaFixA39Y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64</v>
      </c>
      <c r="D46" s="53" t="s">
        <v>6</v>
      </c>
      <c r="E46" s="53" t="s">
        <v>11</v>
      </c>
      <c r="F46" s="52" t="str">
        <f t="shared" si="1"/>
        <v>EuriborSwapIsdaFixA40Y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63</v>
      </c>
      <c r="D47" s="53" t="s">
        <v>6</v>
      </c>
      <c r="E47" s="53" t="s">
        <v>11</v>
      </c>
      <c r="F47" s="52" t="str">
        <f t="shared" si="1"/>
        <v>EuriborSwapIsdaFixA41Y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62</v>
      </c>
      <c r="D48" s="53" t="s">
        <v>6</v>
      </c>
      <c r="E48" s="53" t="s">
        <v>11</v>
      </c>
      <c r="F48" s="52" t="str">
        <f t="shared" si="1"/>
        <v>EuriborSwapIsdaFixA42Y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61</v>
      </c>
      <c r="D49" s="53" t="s">
        <v>6</v>
      </c>
      <c r="E49" s="53" t="s">
        <v>11</v>
      </c>
      <c r="F49" s="52" t="str">
        <f t="shared" si="1"/>
        <v>EuriborSwapIsdaFixA43Y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60</v>
      </c>
      <c r="D50" s="53" t="s">
        <v>6</v>
      </c>
      <c r="E50" s="53" t="s">
        <v>11</v>
      </c>
      <c r="F50" s="52" t="str">
        <f t="shared" si="1"/>
        <v>EuriborSwapIsdaFixA44Y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59</v>
      </c>
      <c r="D51" s="53" t="s">
        <v>6</v>
      </c>
      <c r="E51" s="53" t="s">
        <v>11</v>
      </c>
      <c r="F51" s="52" t="str">
        <f t="shared" si="1"/>
        <v>EuriborSwapIsdaFixA45Y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58</v>
      </c>
      <c r="D52" s="53" t="s">
        <v>6</v>
      </c>
      <c r="E52" s="53" t="s">
        <v>11</v>
      </c>
      <c r="F52" s="52" t="str">
        <f t="shared" si="1"/>
        <v>EuriborSwapIsdaFixA46Y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57</v>
      </c>
      <c r="D53" s="53" t="s">
        <v>6</v>
      </c>
      <c r="E53" s="53" t="s">
        <v>11</v>
      </c>
      <c r="F53" s="52" t="str">
        <f t="shared" si="1"/>
        <v>EuriborSwapIsdaFixA47Y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56</v>
      </c>
      <c r="D54" s="53" t="s">
        <v>6</v>
      </c>
      <c r="E54" s="53" t="s">
        <v>11</v>
      </c>
      <c r="F54" s="52" t="str">
        <f t="shared" si="1"/>
        <v>EuriborSwapIsdaFixA48Y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55</v>
      </c>
      <c r="D55" s="53" t="s">
        <v>6</v>
      </c>
      <c r="E55" s="53" t="s">
        <v>11</v>
      </c>
      <c r="F55" s="52" t="str">
        <f t="shared" si="1"/>
        <v>EuriborSwapIsdaFixA49Y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54</v>
      </c>
      <c r="D56" s="53" t="s">
        <v>6</v>
      </c>
      <c r="E56" s="53" t="s">
        <v>11</v>
      </c>
      <c r="F56" s="52" t="str">
        <f t="shared" si="1"/>
        <v>EuriborSwapIsdaFixA50Y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53</v>
      </c>
      <c r="D57" s="53" t="s">
        <v>6</v>
      </c>
      <c r="E57" s="53" t="s">
        <v>11</v>
      </c>
      <c r="F57" s="52" t="str">
        <f t="shared" si="1"/>
        <v>EuriborSwapIsdaFixA51Y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52</v>
      </c>
      <c r="D58" s="53" t="s">
        <v>6</v>
      </c>
      <c r="E58" s="53" t="s">
        <v>11</v>
      </c>
      <c r="F58" s="52" t="str">
        <f t="shared" si="1"/>
        <v>EuriborSwapIsdaFixA52Y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51</v>
      </c>
      <c r="D59" s="53" t="s">
        <v>6</v>
      </c>
      <c r="E59" s="53" t="s">
        <v>11</v>
      </c>
      <c r="F59" s="52" t="str">
        <f t="shared" si="1"/>
        <v>EuriborSwapIsdaFixA53Y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50</v>
      </c>
      <c r="D60" s="53" t="s">
        <v>6</v>
      </c>
      <c r="E60" s="53" t="s">
        <v>11</v>
      </c>
      <c r="F60" s="52" t="str">
        <f t="shared" si="1"/>
        <v>EuriborSwapIsdaFixA54Y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49</v>
      </c>
      <c r="D61" s="53" t="s">
        <v>6</v>
      </c>
      <c r="E61" s="53" t="s">
        <v>11</v>
      </c>
      <c r="F61" s="52" t="str">
        <f t="shared" si="1"/>
        <v>EuriborSwapIsdaFixA55Y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48</v>
      </c>
      <c r="D62" s="53" t="s">
        <v>6</v>
      </c>
      <c r="E62" s="53" t="s">
        <v>11</v>
      </c>
      <c r="F62" s="52" t="str">
        <f t="shared" si="1"/>
        <v>EuriborSwapIsdaFixA56Y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47</v>
      </c>
      <c r="D63" s="53" t="s">
        <v>6</v>
      </c>
      <c r="E63" s="53" t="s">
        <v>11</v>
      </c>
      <c r="F63" s="52" t="str">
        <f t="shared" si="1"/>
        <v>EuriborSwapIsdaFixA57Y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46</v>
      </c>
      <c r="D64" s="53" t="s">
        <v>6</v>
      </c>
      <c r="E64" s="53" t="s">
        <v>11</v>
      </c>
      <c r="F64" s="52" t="str">
        <f t="shared" si="1"/>
        <v>EuriborSwapIsdaFixA58Y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45</v>
      </c>
      <c r="D65" s="53" t="s">
        <v>6</v>
      </c>
      <c r="E65" s="53" t="s">
        <v>11</v>
      </c>
      <c r="F65" s="52" t="str">
        <f t="shared" si="1"/>
        <v>EuriborSwapIsdaFixA59Y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44</v>
      </c>
      <c r="D66" s="53" t="s">
        <v>6</v>
      </c>
      <c r="E66" s="53" t="s">
        <v>11</v>
      </c>
      <c r="F66" s="52" t="str">
        <f t="shared" si="1"/>
        <v>EuriborSwapIsdaFixA60Y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EuriborSwapIsdaFixB1Y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102</v>
      </c>
      <c r="D8" s="53" t="s">
        <v>6</v>
      </c>
      <c r="E8" s="53" t="s">
        <v>11</v>
      </c>
      <c r="F8" s="52" t="str">
        <f t="shared" si="0"/>
        <v>EuriborSwapIsdaFixB2Y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101</v>
      </c>
      <c r="D9" s="53" t="s">
        <v>6</v>
      </c>
      <c r="E9" s="53" t="s">
        <v>11</v>
      </c>
      <c r="F9" s="52" t="str">
        <f t="shared" si="0"/>
        <v>EuriborSwapIsdaFixB3Y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100</v>
      </c>
      <c r="D10" s="53" t="s">
        <v>6</v>
      </c>
      <c r="E10" s="53" t="s">
        <v>11</v>
      </c>
      <c r="F10" s="52" t="str">
        <f t="shared" si="0"/>
        <v>EuriborSwapIsdaFixB4Y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99</v>
      </c>
      <c r="D11" s="53" t="s">
        <v>6</v>
      </c>
      <c r="E11" s="53" t="s">
        <v>11</v>
      </c>
      <c r="F11" s="52" t="str">
        <f t="shared" si="0"/>
        <v>EuriborSwapIsdaFixB5Y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98</v>
      </c>
      <c r="D12" s="53" t="s">
        <v>6</v>
      </c>
      <c r="E12" s="53" t="s">
        <v>11</v>
      </c>
      <c r="F12" s="52" t="str">
        <f t="shared" si="0"/>
        <v>EuriborSwapIsdaFixB6Y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97</v>
      </c>
      <c r="D13" s="53" t="s">
        <v>6</v>
      </c>
      <c r="E13" s="53" t="s">
        <v>11</v>
      </c>
      <c r="F13" s="52" t="str">
        <f t="shared" si="0"/>
        <v>EuriborSwapIsdaFixB7Y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96</v>
      </c>
      <c r="D14" s="53" t="s">
        <v>6</v>
      </c>
      <c r="E14" s="53" t="s">
        <v>11</v>
      </c>
      <c r="F14" s="52" t="str">
        <f t="shared" si="0"/>
        <v>EuriborSwapIsdaFixB8Y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95</v>
      </c>
      <c r="D15" s="53" t="s">
        <v>6</v>
      </c>
      <c r="E15" s="53" t="s">
        <v>11</v>
      </c>
      <c r="F15" s="52" t="str">
        <f t="shared" si="0"/>
        <v>EuriborSwapIsdaFixB9Y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94</v>
      </c>
      <c r="D16" s="53" t="s">
        <v>6</v>
      </c>
      <c r="E16" s="53" t="s">
        <v>11</v>
      </c>
      <c r="F16" s="52" t="str">
        <f t="shared" si="0"/>
        <v>EuriborSwapIsdaFixB10Y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93</v>
      </c>
      <c r="D17" s="53" t="s">
        <v>6</v>
      </c>
      <c r="E17" s="53" t="s">
        <v>11</v>
      </c>
      <c r="F17" s="52" t="str">
        <f t="shared" si="0"/>
        <v>EuriborSwapIsdaFixB11Y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92</v>
      </c>
      <c r="D18" s="53" t="s">
        <v>6</v>
      </c>
      <c r="E18" s="53" t="s">
        <v>11</v>
      </c>
      <c r="F18" s="52" t="str">
        <f t="shared" si="0"/>
        <v>EuriborSwapIsdaFixB12Y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91</v>
      </c>
      <c r="D19" s="53" t="s">
        <v>6</v>
      </c>
      <c r="E19" s="53" t="s">
        <v>11</v>
      </c>
      <c r="F19" s="52" t="str">
        <f t="shared" si="0"/>
        <v>EuriborSwapIsdaFixB13Y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90</v>
      </c>
      <c r="D20" s="53" t="s">
        <v>6</v>
      </c>
      <c r="E20" s="53" t="s">
        <v>11</v>
      </c>
      <c r="F20" s="52" t="str">
        <f t="shared" si="0"/>
        <v>EuriborSwapIsdaFixB14Y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89</v>
      </c>
      <c r="D21" s="53" t="s">
        <v>6</v>
      </c>
      <c r="E21" s="53" t="s">
        <v>11</v>
      </c>
      <c r="F21" s="52" t="str">
        <f t="shared" si="0"/>
        <v>EuriborSwapIsdaFixB15Y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88</v>
      </c>
      <c r="D22" s="53" t="s">
        <v>6</v>
      </c>
      <c r="E22" s="53" t="s">
        <v>11</v>
      </c>
      <c r="F22" s="52" t="str">
        <f t="shared" si="0"/>
        <v>EuriborSwapIsdaFixB16Y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87</v>
      </c>
      <c r="D23" s="53" t="s">
        <v>6</v>
      </c>
      <c r="E23" s="53" t="s">
        <v>11</v>
      </c>
      <c r="F23" s="52" t="str">
        <f t="shared" si="0"/>
        <v>EuriborSwapIsdaFixB17Y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86</v>
      </c>
      <c r="D24" s="53" t="s">
        <v>6</v>
      </c>
      <c r="E24" s="53" t="s">
        <v>11</v>
      </c>
      <c r="F24" s="52" t="str">
        <f t="shared" si="0"/>
        <v>EuriborSwapIsdaFixB18Y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85</v>
      </c>
      <c r="D25" s="53" t="s">
        <v>6</v>
      </c>
      <c r="E25" s="53" t="s">
        <v>11</v>
      </c>
      <c r="F25" s="52" t="str">
        <f t="shared" si="0"/>
        <v>EuriborSwapIsdaFixB19Y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84</v>
      </c>
      <c r="D26" s="53" t="s">
        <v>6</v>
      </c>
      <c r="E26" s="53" t="s">
        <v>11</v>
      </c>
      <c r="F26" s="52" t="str">
        <f t="shared" si="0"/>
        <v>EuriborSwapIsdaFixB20Y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83</v>
      </c>
      <c r="D27" s="53" t="s">
        <v>6</v>
      </c>
      <c r="E27" s="53" t="s">
        <v>11</v>
      </c>
      <c r="F27" s="52" t="str">
        <f t="shared" si="0"/>
        <v>EuriborSwapIsdaFixB21Y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82</v>
      </c>
      <c r="D28" s="53" t="s">
        <v>6</v>
      </c>
      <c r="E28" s="53" t="s">
        <v>11</v>
      </c>
      <c r="F28" s="52" t="str">
        <f t="shared" si="0"/>
        <v>EuriborSwapIsdaFixB22Y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81</v>
      </c>
      <c r="D29" s="53" t="s">
        <v>6</v>
      </c>
      <c r="E29" s="53" t="s">
        <v>11</v>
      </c>
      <c r="F29" s="52" t="str">
        <f t="shared" si="0"/>
        <v>EuriborSwapIsdaFixB23Y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80</v>
      </c>
      <c r="D30" s="53" t="s">
        <v>6</v>
      </c>
      <c r="E30" s="53" t="s">
        <v>11</v>
      </c>
      <c r="F30" s="52" t="str">
        <f t="shared" si="0"/>
        <v>EuriborSwapIsdaFixB24Y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79</v>
      </c>
      <c r="D31" s="53" t="s">
        <v>6</v>
      </c>
      <c r="E31" s="53" t="s">
        <v>11</v>
      </c>
      <c r="F31" s="52" t="str">
        <f t="shared" si="0"/>
        <v>EuriborSwapIsdaFixB25Y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78</v>
      </c>
      <c r="D32" s="53" t="s">
        <v>6</v>
      </c>
      <c r="E32" s="53" t="s">
        <v>11</v>
      </c>
      <c r="F32" s="52" t="str">
        <f t="shared" si="0"/>
        <v>EuriborSwapIsdaFixB26Y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77</v>
      </c>
      <c r="D33" s="53" t="s">
        <v>6</v>
      </c>
      <c r="E33" s="53" t="s">
        <v>11</v>
      </c>
      <c r="F33" s="52" t="str">
        <f t="shared" si="0"/>
        <v>EuriborSwapIsdaFixB27Y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76</v>
      </c>
      <c r="D34" s="53" t="s">
        <v>6</v>
      </c>
      <c r="E34" s="53" t="s">
        <v>11</v>
      </c>
      <c r="F34" s="52" t="str">
        <f t="shared" si="0"/>
        <v>EuriborSwapIsdaFixB28Y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75</v>
      </c>
      <c r="D35" s="53" t="s">
        <v>6</v>
      </c>
      <c r="E35" s="53" t="s">
        <v>11</v>
      </c>
      <c r="F35" s="52" t="str">
        <f t="shared" si="0"/>
        <v>EuriborSwapIsdaFixB29Y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74</v>
      </c>
      <c r="D36" s="53" t="s">
        <v>6</v>
      </c>
      <c r="E36" s="53" t="s">
        <v>11</v>
      </c>
      <c r="F36" s="52" t="str">
        <f t="shared" si="0"/>
        <v>EuriborSwapIsdaFixB30Y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73</v>
      </c>
      <c r="D37" s="53" t="s">
        <v>6</v>
      </c>
      <c r="E37" s="53" t="s">
        <v>11</v>
      </c>
      <c r="F37" s="52" t="str">
        <f t="shared" si="0"/>
        <v>EuriborSwapIsdaFixB31Y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72</v>
      </c>
      <c r="D38" s="53" t="s">
        <v>6</v>
      </c>
      <c r="E38" s="53" t="s">
        <v>11</v>
      </c>
      <c r="F38" s="52" t="str">
        <f t="shared" si="0"/>
        <v>EuriborSwapIsdaFixB32Y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EuriborSwapIsdaFixB33Y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70</v>
      </c>
      <c r="D40" s="53" t="s">
        <v>6</v>
      </c>
      <c r="E40" s="53" t="s">
        <v>11</v>
      </c>
      <c r="F40" s="52" t="str">
        <f t="shared" si="1"/>
        <v>EuriborSwapIsdaFixB34Y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69</v>
      </c>
      <c r="D41" s="53" t="s">
        <v>6</v>
      </c>
      <c r="E41" s="53" t="s">
        <v>11</v>
      </c>
      <c r="F41" s="52" t="str">
        <f t="shared" si="1"/>
        <v>EuriborSwapIsdaFixB35Y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68</v>
      </c>
      <c r="D42" s="53" t="s">
        <v>6</v>
      </c>
      <c r="E42" s="53" t="s">
        <v>11</v>
      </c>
      <c r="F42" s="52" t="str">
        <f t="shared" si="1"/>
        <v>EuriborSwapIsdaFixB36Y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67</v>
      </c>
      <c r="D43" s="53" t="s">
        <v>6</v>
      </c>
      <c r="E43" s="53" t="s">
        <v>11</v>
      </c>
      <c r="F43" s="52" t="str">
        <f t="shared" si="1"/>
        <v>EuriborSwapIsdaFixB37Y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66</v>
      </c>
      <c r="D44" s="53" t="s">
        <v>6</v>
      </c>
      <c r="E44" s="53" t="s">
        <v>11</v>
      </c>
      <c r="F44" s="52" t="str">
        <f t="shared" si="1"/>
        <v>EuriborSwapIsdaFixB38Y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65</v>
      </c>
      <c r="D45" s="53" t="s">
        <v>6</v>
      </c>
      <c r="E45" s="53" t="s">
        <v>11</v>
      </c>
      <c r="F45" s="52" t="str">
        <f t="shared" si="1"/>
        <v>EuriborSwapIsdaFixB39Y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64</v>
      </c>
      <c r="D46" s="53" t="s">
        <v>6</v>
      </c>
      <c r="E46" s="53" t="s">
        <v>11</v>
      </c>
      <c r="F46" s="52" t="str">
        <f t="shared" si="1"/>
        <v>EuriborSwapIsdaFixB40Y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63</v>
      </c>
      <c r="D47" s="53" t="s">
        <v>6</v>
      </c>
      <c r="E47" s="53" t="s">
        <v>11</v>
      </c>
      <c r="F47" s="52" t="str">
        <f t="shared" si="1"/>
        <v>EuriborSwapIsdaFixB41Y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62</v>
      </c>
      <c r="D48" s="53" t="s">
        <v>6</v>
      </c>
      <c r="E48" s="53" t="s">
        <v>11</v>
      </c>
      <c r="F48" s="52" t="str">
        <f t="shared" si="1"/>
        <v>EuriborSwapIsdaFixB42Y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61</v>
      </c>
      <c r="D49" s="53" t="s">
        <v>6</v>
      </c>
      <c r="E49" s="53" t="s">
        <v>11</v>
      </c>
      <c r="F49" s="52" t="str">
        <f t="shared" si="1"/>
        <v>EuriborSwapIsdaFixB43Y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60</v>
      </c>
      <c r="D50" s="53" t="s">
        <v>6</v>
      </c>
      <c r="E50" s="53" t="s">
        <v>11</v>
      </c>
      <c r="F50" s="52" t="str">
        <f t="shared" si="1"/>
        <v>EuriborSwapIsdaFixB44Y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59</v>
      </c>
      <c r="D51" s="53" t="s">
        <v>6</v>
      </c>
      <c r="E51" s="53" t="s">
        <v>11</v>
      </c>
      <c r="F51" s="52" t="str">
        <f t="shared" si="1"/>
        <v>EuriborSwapIsdaFixB45Y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58</v>
      </c>
      <c r="D52" s="53" t="s">
        <v>6</v>
      </c>
      <c r="E52" s="53" t="s">
        <v>11</v>
      </c>
      <c r="F52" s="52" t="str">
        <f t="shared" si="1"/>
        <v>EuriborSwapIsdaFixB46Y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57</v>
      </c>
      <c r="D53" s="53" t="s">
        <v>6</v>
      </c>
      <c r="E53" s="53" t="s">
        <v>11</v>
      </c>
      <c r="F53" s="52" t="str">
        <f t="shared" si="1"/>
        <v>EuriborSwapIsdaFixB47Y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56</v>
      </c>
      <c r="D54" s="53" t="s">
        <v>6</v>
      </c>
      <c r="E54" s="53" t="s">
        <v>11</v>
      </c>
      <c r="F54" s="52" t="str">
        <f t="shared" si="1"/>
        <v>EuriborSwapIsdaFixB48Y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55</v>
      </c>
      <c r="D55" s="53" t="s">
        <v>6</v>
      </c>
      <c r="E55" s="53" t="s">
        <v>11</v>
      </c>
      <c r="F55" s="52" t="str">
        <f t="shared" si="1"/>
        <v>EuriborSwapIsdaFixB49Y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54</v>
      </c>
      <c r="D56" s="53" t="s">
        <v>6</v>
      </c>
      <c r="E56" s="53" t="s">
        <v>11</v>
      </c>
      <c r="F56" s="52" t="str">
        <f t="shared" si="1"/>
        <v>EuriborSwapIsdaFixB50Y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53</v>
      </c>
      <c r="D57" s="53" t="s">
        <v>6</v>
      </c>
      <c r="E57" s="53" t="s">
        <v>11</v>
      </c>
      <c r="F57" s="52" t="str">
        <f t="shared" si="1"/>
        <v>EuriborSwapIsdaFixB51Y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52</v>
      </c>
      <c r="D58" s="53" t="s">
        <v>6</v>
      </c>
      <c r="E58" s="53" t="s">
        <v>11</v>
      </c>
      <c r="F58" s="52" t="str">
        <f t="shared" si="1"/>
        <v>EuriborSwapIsdaFixB52Y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51</v>
      </c>
      <c r="D59" s="53" t="s">
        <v>6</v>
      </c>
      <c r="E59" s="53" t="s">
        <v>11</v>
      </c>
      <c r="F59" s="52" t="str">
        <f t="shared" si="1"/>
        <v>EuriborSwapIsdaFixB53Y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50</v>
      </c>
      <c r="D60" s="53" t="s">
        <v>6</v>
      </c>
      <c r="E60" s="53" t="s">
        <v>11</v>
      </c>
      <c r="F60" s="52" t="str">
        <f t="shared" si="1"/>
        <v>EuriborSwapIsdaFixB54Y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49</v>
      </c>
      <c r="D61" s="53" t="s">
        <v>6</v>
      </c>
      <c r="E61" s="53" t="s">
        <v>11</v>
      </c>
      <c r="F61" s="52" t="str">
        <f t="shared" si="1"/>
        <v>EuriborSwapIsdaFixB55Y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48</v>
      </c>
      <c r="D62" s="53" t="s">
        <v>6</v>
      </c>
      <c r="E62" s="53" t="s">
        <v>11</v>
      </c>
      <c r="F62" s="52" t="str">
        <f t="shared" si="1"/>
        <v>EuriborSwapIsdaFixB56Y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47</v>
      </c>
      <c r="D63" s="53" t="s">
        <v>6</v>
      </c>
      <c r="E63" s="53" t="s">
        <v>11</v>
      </c>
      <c r="F63" s="52" t="str">
        <f t="shared" si="1"/>
        <v>EuriborSwapIsdaFixB57Y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46</v>
      </c>
      <c r="D64" s="53" t="s">
        <v>6</v>
      </c>
      <c r="E64" s="53" t="s">
        <v>11</v>
      </c>
      <c r="F64" s="52" t="str">
        <f t="shared" si="1"/>
        <v>EuriborSwapIsdaFixB58Y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45</v>
      </c>
      <c r="D65" s="53" t="s">
        <v>6</v>
      </c>
      <c r="E65" s="53" t="s">
        <v>11</v>
      </c>
      <c r="F65" s="52" t="str">
        <f t="shared" si="1"/>
        <v>EuriborSwapIsdaFixB59Y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44</v>
      </c>
      <c r="D66" s="53" t="s">
        <v>6</v>
      </c>
      <c r="E66" s="53" t="s">
        <v>11</v>
      </c>
      <c r="F66" s="52" t="str">
        <f t="shared" si="1"/>
        <v>EuriborSwapIsdaFixB60Y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EuriborSwapIfrFix1Y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102</v>
      </c>
      <c r="D8" s="53" t="s">
        <v>6</v>
      </c>
      <c r="E8" s="53" t="s">
        <v>11</v>
      </c>
      <c r="F8" s="52" t="str">
        <f t="shared" si="0"/>
        <v>EuriborSwapIfrFix2Y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101</v>
      </c>
      <c r="D9" s="53" t="s">
        <v>6</v>
      </c>
      <c r="E9" s="53" t="s">
        <v>11</v>
      </c>
      <c r="F9" s="52" t="str">
        <f t="shared" si="0"/>
        <v>EuriborSwapIfrFix3Y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100</v>
      </c>
      <c r="D10" s="53" t="s">
        <v>6</v>
      </c>
      <c r="E10" s="53" t="s">
        <v>11</v>
      </c>
      <c r="F10" s="52" t="str">
        <f t="shared" si="0"/>
        <v>EuriborSwapIfrFix4Y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99</v>
      </c>
      <c r="D11" s="53" t="s">
        <v>6</v>
      </c>
      <c r="E11" s="53" t="s">
        <v>11</v>
      </c>
      <c r="F11" s="52" t="str">
        <f t="shared" si="0"/>
        <v>EuriborSwapIfrFix5Y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98</v>
      </c>
      <c r="D12" s="53" t="s">
        <v>6</v>
      </c>
      <c r="E12" s="53" t="s">
        <v>11</v>
      </c>
      <c r="F12" s="52" t="str">
        <f t="shared" si="0"/>
        <v>EuriborSwapIfrFix6Y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97</v>
      </c>
      <c r="D13" s="53" t="s">
        <v>6</v>
      </c>
      <c r="E13" s="53" t="s">
        <v>11</v>
      </c>
      <c r="F13" s="52" t="str">
        <f t="shared" si="0"/>
        <v>EuriborSwapIfrFix7Y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96</v>
      </c>
      <c r="D14" s="53" t="s">
        <v>6</v>
      </c>
      <c r="E14" s="53" t="s">
        <v>11</v>
      </c>
      <c r="F14" s="52" t="str">
        <f t="shared" si="0"/>
        <v>EuriborSwapIfrFix8Y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95</v>
      </c>
      <c r="D15" s="53" t="s">
        <v>6</v>
      </c>
      <c r="E15" s="53" t="s">
        <v>11</v>
      </c>
      <c r="F15" s="52" t="str">
        <f t="shared" si="0"/>
        <v>EuriborSwapIfrFix9Y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94</v>
      </c>
      <c r="D16" s="53" t="s">
        <v>6</v>
      </c>
      <c r="E16" s="53" t="s">
        <v>11</v>
      </c>
      <c r="F16" s="52" t="str">
        <f t="shared" si="0"/>
        <v>EuriborSwapIfrFix10Y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93</v>
      </c>
      <c r="D17" s="53" t="s">
        <v>6</v>
      </c>
      <c r="E17" s="53" t="s">
        <v>11</v>
      </c>
      <c r="F17" s="52" t="str">
        <f t="shared" si="0"/>
        <v>EuriborSwapIfrFix11Y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92</v>
      </c>
      <c r="D18" s="53" t="s">
        <v>6</v>
      </c>
      <c r="E18" s="53" t="s">
        <v>11</v>
      </c>
      <c r="F18" s="52" t="str">
        <f t="shared" si="0"/>
        <v>EuriborSwapIfrFix12Y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91</v>
      </c>
      <c r="D19" s="53" t="s">
        <v>6</v>
      </c>
      <c r="E19" s="53" t="s">
        <v>11</v>
      </c>
      <c r="F19" s="52" t="str">
        <f t="shared" si="0"/>
        <v>EuriborSwapIfrFix13Y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90</v>
      </c>
      <c r="D20" s="53" t="s">
        <v>6</v>
      </c>
      <c r="E20" s="53" t="s">
        <v>11</v>
      </c>
      <c r="F20" s="52" t="str">
        <f t="shared" si="0"/>
        <v>EuriborSwapIfrFix14Y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89</v>
      </c>
      <c r="D21" s="53" t="s">
        <v>6</v>
      </c>
      <c r="E21" s="53" t="s">
        <v>11</v>
      </c>
      <c r="F21" s="52" t="str">
        <f t="shared" si="0"/>
        <v>EuriborSwapIfrFix15Y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88</v>
      </c>
      <c r="D22" s="53" t="s">
        <v>6</v>
      </c>
      <c r="E22" s="53" t="s">
        <v>11</v>
      </c>
      <c r="F22" s="52" t="str">
        <f t="shared" si="0"/>
        <v>EuriborSwapIfrFix16Y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87</v>
      </c>
      <c r="D23" s="53" t="s">
        <v>6</v>
      </c>
      <c r="E23" s="53" t="s">
        <v>11</v>
      </c>
      <c r="F23" s="52" t="str">
        <f t="shared" si="0"/>
        <v>EuriborSwapIfrFix17Y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86</v>
      </c>
      <c r="D24" s="53" t="s">
        <v>6</v>
      </c>
      <c r="E24" s="53" t="s">
        <v>11</v>
      </c>
      <c r="F24" s="52" t="str">
        <f t="shared" si="0"/>
        <v>EuriborSwapIfrFix18Y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85</v>
      </c>
      <c r="D25" s="53" t="s">
        <v>6</v>
      </c>
      <c r="E25" s="53" t="s">
        <v>11</v>
      </c>
      <c r="F25" s="52" t="str">
        <f t="shared" si="0"/>
        <v>EuriborSwapIfrFix19Y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84</v>
      </c>
      <c r="D26" s="53" t="s">
        <v>6</v>
      </c>
      <c r="E26" s="53" t="s">
        <v>11</v>
      </c>
      <c r="F26" s="52" t="str">
        <f t="shared" si="0"/>
        <v>EuriborSwapIfrFix20Y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83</v>
      </c>
      <c r="D27" s="53" t="s">
        <v>6</v>
      </c>
      <c r="E27" s="53" t="s">
        <v>11</v>
      </c>
      <c r="F27" s="52" t="str">
        <f t="shared" si="0"/>
        <v>EuriborSwapIfrFix21Y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82</v>
      </c>
      <c r="D28" s="53" t="s">
        <v>6</v>
      </c>
      <c r="E28" s="53" t="s">
        <v>11</v>
      </c>
      <c r="F28" s="52" t="str">
        <f t="shared" si="0"/>
        <v>EuriborSwapIfrFix22Y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81</v>
      </c>
      <c r="D29" s="53" t="s">
        <v>6</v>
      </c>
      <c r="E29" s="53" t="s">
        <v>11</v>
      </c>
      <c r="F29" s="52" t="str">
        <f t="shared" si="0"/>
        <v>EuriborSwapIfrFix23Y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80</v>
      </c>
      <c r="D30" s="53" t="s">
        <v>6</v>
      </c>
      <c r="E30" s="53" t="s">
        <v>11</v>
      </c>
      <c r="F30" s="52" t="str">
        <f t="shared" si="0"/>
        <v>EuriborSwapIfrFix24Y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79</v>
      </c>
      <c r="D31" s="53" t="s">
        <v>6</v>
      </c>
      <c r="E31" s="53" t="s">
        <v>11</v>
      </c>
      <c r="F31" s="52" t="str">
        <f t="shared" si="0"/>
        <v>EuriborSwapIfrFix25Y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78</v>
      </c>
      <c r="D32" s="53" t="s">
        <v>6</v>
      </c>
      <c r="E32" s="53" t="s">
        <v>11</v>
      </c>
      <c r="F32" s="52" t="str">
        <f t="shared" si="0"/>
        <v>EuriborSwapIfrFix26Y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77</v>
      </c>
      <c r="D33" s="53" t="s">
        <v>6</v>
      </c>
      <c r="E33" s="53" t="s">
        <v>11</v>
      </c>
      <c r="F33" s="52" t="str">
        <f t="shared" si="0"/>
        <v>EuriborSwapIfrFix27Y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76</v>
      </c>
      <c r="D34" s="53" t="s">
        <v>6</v>
      </c>
      <c r="E34" s="53" t="s">
        <v>11</v>
      </c>
      <c r="F34" s="52" t="str">
        <f t="shared" si="0"/>
        <v>EuriborSwapIfrFix28Y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75</v>
      </c>
      <c r="D35" s="53" t="s">
        <v>6</v>
      </c>
      <c r="E35" s="53" t="s">
        <v>11</v>
      </c>
      <c r="F35" s="52" t="str">
        <f t="shared" si="0"/>
        <v>EuriborSwapIfrFix29Y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74</v>
      </c>
      <c r="D36" s="53" t="s">
        <v>6</v>
      </c>
      <c r="E36" s="53" t="s">
        <v>11</v>
      </c>
      <c r="F36" s="52" t="str">
        <f t="shared" si="0"/>
        <v>EuriborSwapIfrFix30Y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73</v>
      </c>
      <c r="D37" s="53" t="s">
        <v>6</v>
      </c>
      <c r="E37" s="53" t="s">
        <v>11</v>
      </c>
      <c r="F37" s="52" t="str">
        <f t="shared" si="0"/>
        <v>EuriborSwapIfrFix31Y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72</v>
      </c>
      <c r="D38" s="53" t="s">
        <v>6</v>
      </c>
      <c r="E38" s="53" t="s">
        <v>11</v>
      </c>
      <c r="F38" s="52" t="str">
        <f t="shared" si="0"/>
        <v>EuriborSwapIfrFix32Y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EuriborSwapIfrFix33Y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70</v>
      </c>
      <c r="D40" s="53" t="s">
        <v>6</v>
      </c>
      <c r="E40" s="53" t="s">
        <v>11</v>
      </c>
      <c r="F40" s="52" t="str">
        <f t="shared" si="1"/>
        <v>EuriborSwapIfrFix34Y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69</v>
      </c>
      <c r="D41" s="53" t="s">
        <v>6</v>
      </c>
      <c r="E41" s="53" t="s">
        <v>11</v>
      </c>
      <c r="F41" s="52" t="str">
        <f t="shared" si="1"/>
        <v>EuriborSwapIfrFix35Y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68</v>
      </c>
      <c r="D42" s="53" t="s">
        <v>6</v>
      </c>
      <c r="E42" s="53" t="s">
        <v>11</v>
      </c>
      <c r="F42" s="52" t="str">
        <f t="shared" si="1"/>
        <v>EuriborSwapIfrFix36Y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67</v>
      </c>
      <c r="D43" s="53" t="s">
        <v>6</v>
      </c>
      <c r="E43" s="53" t="s">
        <v>11</v>
      </c>
      <c r="F43" s="52" t="str">
        <f t="shared" si="1"/>
        <v>EuriborSwapIfrFix37Y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66</v>
      </c>
      <c r="D44" s="53" t="s">
        <v>6</v>
      </c>
      <c r="E44" s="53" t="s">
        <v>11</v>
      </c>
      <c r="F44" s="52" t="str">
        <f t="shared" si="1"/>
        <v>EuriborSwapIfrFix38Y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65</v>
      </c>
      <c r="D45" s="53" t="s">
        <v>6</v>
      </c>
      <c r="E45" s="53" t="s">
        <v>11</v>
      </c>
      <c r="F45" s="52" t="str">
        <f t="shared" si="1"/>
        <v>EuriborSwapIfrFix39Y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64</v>
      </c>
      <c r="D46" s="53" t="s">
        <v>6</v>
      </c>
      <c r="E46" s="53" t="s">
        <v>11</v>
      </c>
      <c r="F46" s="52" t="str">
        <f t="shared" si="1"/>
        <v>EuriborSwapIfrFix40Y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63</v>
      </c>
      <c r="D47" s="53" t="s">
        <v>6</v>
      </c>
      <c r="E47" s="53" t="s">
        <v>11</v>
      </c>
      <c r="F47" s="52" t="str">
        <f t="shared" si="1"/>
        <v>EuriborSwapIfrFix41Y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62</v>
      </c>
      <c r="D48" s="53" t="s">
        <v>6</v>
      </c>
      <c r="E48" s="53" t="s">
        <v>11</v>
      </c>
      <c r="F48" s="52" t="str">
        <f t="shared" si="1"/>
        <v>EuriborSwapIfrFix42Y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61</v>
      </c>
      <c r="D49" s="53" t="s">
        <v>6</v>
      </c>
      <c r="E49" s="53" t="s">
        <v>11</v>
      </c>
      <c r="F49" s="52" t="str">
        <f t="shared" si="1"/>
        <v>EuriborSwapIfrFix43Y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60</v>
      </c>
      <c r="D50" s="53" t="s">
        <v>6</v>
      </c>
      <c r="E50" s="53" t="s">
        <v>11</v>
      </c>
      <c r="F50" s="52" t="str">
        <f t="shared" si="1"/>
        <v>EuriborSwapIfrFix44Y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59</v>
      </c>
      <c r="D51" s="53" t="s">
        <v>6</v>
      </c>
      <c r="E51" s="53" t="s">
        <v>11</v>
      </c>
      <c r="F51" s="52" t="str">
        <f t="shared" si="1"/>
        <v>EuriborSwapIfrFix45Y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58</v>
      </c>
      <c r="D52" s="53" t="s">
        <v>6</v>
      </c>
      <c r="E52" s="53" t="s">
        <v>11</v>
      </c>
      <c r="F52" s="52" t="str">
        <f t="shared" si="1"/>
        <v>EuriborSwapIfrFix46Y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57</v>
      </c>
      <c r="D53" s="53" t="s">
        <v>6</v>
      </c>
      <c r="E53" s="53" t="s">
        <v>11</v>
      </c>
      <c r="F53" s="52" t="str">
        <f t="shared" si="1"/>
        <v>EuriborSwapIfrFix47Y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56</v>
      </c>
      <c r="D54" s="53" t="s">
        <v>6</v>
      </c>
      <c r="E54" s="53" t="s">
        <v>11</v>
      </c>
      <c r="F54" s="52" t="str">
        <f t="shared" si="1"/>
        <v>EuriborSwapIfrFix48Y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55</v>
      </c>
      <c r="D55" s="53" t="s">
        <v>6</v>
      </c>
      <c r="E55" s="53" t="s">
        <v>11</v>
      </c>
      <c r="F55" s="52" t="str">
        <f t="shared" si="1"/>
        <v>EuriborSwapIfrFix49Y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54</v>
      </c>
      <c r="D56" s="53" t="s">
        <v>6</v>
      </c>
      <c r="E56" s="53" t="s">
        <v>11</v>
      </c>
      <c r="F56" s="52" t="str">
        <f t="shared" si="1"/>
        <v>EuriborSwapIfrFix50Y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53</v>
      </c>
      <c r="D57" s="53" t="s">
        <v>6</v>
      </c>
      <c r="E57" s="53" t="s">
        <v>11</v>
      </c>
      <c r="F57" s="52" t="str">
        <f t="shared" si="1"/>
        <v>EuriborSwapIfrFix51Y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52</v>
      </c>
      <c r="D58" s="53" t="s">
        <v>6</v>
      </c>
      <c r="E58" s="53" t="s">
        <v>11</v>
      </c>
      <c r="F58" s="52" t="str">
        <f t="shared" si="1"/>
        <v>EuriborSwapIfrFix52Y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51</v>
      </c>
      <c r="D59" s="53" t="s">
        <v>6</v>
      </c>
      <c r="E59" s="53" t="s">
        <v>11</v>
      </c>
      <c r="F59" s="52" t="str">
        <f t="shared" si="1"/>
        <v>EuriborSwapIfrFix53Y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50</v>
      </c>
      <c r="D60" s="53" t="s">
        <v>6</v>
      </c>
      <c r="E60" s="53" t="s">
        <v>11</v>
      </c>
      <c r="F60" s="52" t="str">
        <f t="shared" si="1"/>
        <v>EuriborSwapIfrFix54Y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49</v>
      </c>
      <c r="D61" s="53" t="s">
        <v>6</v>
      </c>
      <c r="E61" s="53" t="s">
        <v>11</v>
      </c>
      <c r="F61" s="52" t="str">
        <f t="shared" si="1"/>
        <v>EuriborSwapIfrFix55Y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48</v>
      </c>
      <c r="D62" s="53" t="s">
        <v>6</v>
      </c>
      <c r="E62" s="53" t="s">
        <v>11</v>
      </c>
      <c r="F62" s="52" t="str">
        <f t="shared" si="1"/>
        <v>EuriborSwapIfrFix56Y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47</v>
      </c>
      <c r="D63" s="53" t="s">
        <v>6</v>
      </c>
      <c r="E63" s="53" t="s">
        <v>11</v>
      </c>
      <c r="F63" s="52" t="str">
        <f t="shared" si="1"/>
        <v>EuriborSwapIfrFix57Y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46</v>
      </c>
      <c r="D64" s="53" t="s">
        <v>6</v>
      </c>
      <c r="E64" s="53" t="s">
        <v>11</v>
      </c>
      <c r="F64" s="52" t="str">
        <f t="shared" si="1"/>
        <v>EuriborSwapIfrFix58Y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45</v>
      </c>
      <c r="D65" s="53" t="s">
        <v>6</v>
      </c>
      <c r="E65" s="53" t="s">
        <v>11</v>
      </c>
      <c r="F65" s="52" t="str">
        <f t="shared" si="1"/>
        <v>EuriborSwapIfrFix59Y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44</v>
      </c>
      <c r="D66" s="53" t="s">
        <v>6</v>
      </c>
      <c r="E66" s="53" t="s">
        <v>11</v>
      </c>
      <c r="F66" s="52" t="str">
        <f t="shared" si="1"/>
        <v>EuriborSwapIfrFix60Y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27"/>
    </row>
    <row r="6" spans="1:8" s="21" customFormat="1" x14ac:dyDescent="0.2">
      <c r="B6" s="26"/>
      <c r="C6" s="44" t="s">
        <v>112</v>
      </c>
      <c r="D6" s="43" t="s">
        <v>9</v>
      </c>
      <c r="E6" s="42" t="str">
        <f t="shared" ref="E6:E20" si="0">PROPER(Currency)&amp;FamilyName&amp;$C6</f>
        <v>EurLiborON</v>
      </c>
      <c r="F6" s="22" t="e">
        <f>_xll.qlLibor($E6,Currency,$C6,Currency&amp;$D6,Permanent,Trigger,ObjectOverwrite)</f>
        <v>#NUM!</v>
      </c>
      <c r="G6" s="7" t="str">
        <f ca="1">_xll.ohRangeRetrieveError(F6)</f>
        <v>qlLibor - ObjectHandler error: attempt to retrieve object with unknown ID 'EURiborYCON'</v>
      </c>
      <c r="H6" s="5"/>
    </row>
    <row r="7" spans="1:8" s="21" customFormat="1" x14ac:dyDescent="0.2">
      <c r="B7" s="26"/>
      <c r="C7" s="44" t="s">
        <v>35</v>
      </c>
      <c r="D7" s="43" t="s">
        <v>9</v>
      </c>
      <c r="E7" s="42" t="str">
        <f t="shared" si="0"/>
        <v>EurLiborSW</v>
      </c>
      <c r="F7" s="22" t="e">
        <f>_xll.qlLibor($E7,Currency,$C7,Currency&amp;$D7,Permanent,Trigger,ObjectOverwrite)</f>
        <v>#NUM!</v>
      </c>
      <c r="G7" s="7" t="str">
        <f ca="1">_xll.ohRangeRetrieveError(F7)</f>
        <v>qlLibor - ObjectHandler error: attempt to retrieve object with unknown ID 'EURiborYCON'</v>
      </c>
      <c r="H7" s="5"/>
    </row>
    <row r="8" spans="1:8" s="21" customFormat="1" x14ac:dyDescent="0.2">
      <c r="B8" s="26"/>
      <c r="C8" s="44" t="s">
        <v>34</v>
      </c>
      <c r="D8" s="43" t="s">
        <v>9</v>
      </c>
      <c r="E8" s="42" t="str">
        <f t="shared" si="0"/>
        <v>EurLibor2W</v>
      </c>
      <c r="F8" s="22" t="e">
        <f>_xll.qlLibor($E8,Currency,$C8,Currency&amp;$D8,Permanent,Trigger,ObjectOverwrite)</f>
        <v>#NUM!</v>
      </c>
      <c r="G8" s="7" t="str">
        <f ca="1">_xll.ohRangeRetrieveError(F8)</f>
        <v>qlLibor - ObjectHandler error: attempt to retrieve object with unknown ID 'EURiborYCON'</v>
      </c>
      <c r="H8" s="5"/>
    </row>
    <row r="9" spans="1:8" s="21" customFormat="1" x14ac:dyDescent="0.2">
      <c r="B9" s="26"/>
      <c r="C9" s="44" t="s">
        <v>32</v>
      </c>
      <c r="D9" s="43" t="s">
        <v>8</v>
      </c>
      <c r="E9" s="42" t="str">
        <f t="shared" si="0"/>
        <v>EurLibor1M</v>
      </c>
      <c r="F9" s="22" t="e">
        <f>_xll.qlLibor($E9,Currency,$C9,Currency&amp;$D9,Permanent,Trigger,ObjectOverwrite)</f>
        <v>#NUM!</v>
      </c>
      <c r="G9" s="7" t="str">
        <f ca="1">_xll.ohRangeRetrieveError(F9)</f>
        <v>qlLibor - ObjectHandler error: attempt to retrieve object with unknown ID 'EURiborYC1M'</v>
      </c>
      <c r="H9" s="5"/>
    </row>
    <row r="10" spans="1:8" s="21" customFormat="1" x14ac:dyDescent="0.2">
      <c r="B10" s="26"/>
      <c r="C10" s="44" t="s">
        <v>31</v>
      </c>
      <c r="D10" s="43" t="s">
        <v>7</v>
      </c>
      <c r="E10" s="42" t="str">
        <f t="shared" si="0"/>
        <v>EurLibor2M</v>
      </c>
      <c r="F10" s="22" t="e">
        <f>_xll.qlLibor($E10,Currency,$C10,Currency&amp;$D10,Permanent,Trigger,ObjectOverwrite)</f>
        <v>#NUM!</v>
      </c>
      <c r="G10" s="7" t="str">
        <f ca="1">_xll.ohRangeRetrieveError(F10)</f>
        <v>qlLibor - ObjectHandler error: attempt to retrieve object with unknown ID 'EURiborYC3M'</v>
      </c>
      <c r="H10" s="5"/>
    </row>
    <row r="11" spans="1:8" s="21" customFormat="1" x14ac:dyDescent="0.2">
      <c r="B11" s="26"/>
      <c r="C11" s="44" t="s">
        <v>30</v>
      </c>
      <c r="D11" s="43" t="s">
        <v>7</v>
      </c>
      <c r="E11" s="42" t="str">
        <f t="shared" si="0"/>
        <v>EurLibor3M</v>
      </c>
      <c r="F11" s="22" t="e">
        <f>_xll.qlLibor($E11,Currency,$C11,Currency&amp;$D11,Permanent,Trigger,ObjectOverwrite)</f>
        <v>#NUM!</v>
      </c>
      <c r="G11" s="7" t="str">
        <f ca="1">_xll.ohRangeRetrieveError(F11)</f>
        <v>qlLibor - ObjectHandler error: attempt to retrieve object with unknown ID 'EURiborYC3M'</v>
      </c>
      <c r="H11" s="5"/>
    </row>
    <row r="12" spans="1:8" s="21" customFormat="1" x14ac:dyDescent="0.2">
      <c r="B12" s="26"/>
      <c r="C12" s="44" t="s">
        <v>29</v>
      </c>
      <c r="D12" s="43" t="s">
        <v>7</v>
      </c>
      <c r="E12" s="42" t="str">
        <f t="shared" si="0"/>
        <v>EurLibor4M</v>
      </c>
      <c r="F12" s="22" t="e">
        <f>_xll.qlLibor($E12,Currency,$C12,Currency&amp;$D12,Permanent,Trigger,ObjectOverwrite)</f>
        <v>#NUM!</v>
      </c>
      <c r="G12" s="7" t="str">
        <f ca="1">_xll.ohRangeRetrieveError(F12)</f>
        <v>qlLibor - ObjectHandler error: attempt to retrieve object with unknown ID 'EURiborYC3M'</v>
      </c>
      <c r="H12" s="5"/>
    </row>
    <row r="13" spans="1:8" s="21" customFormat="1" x14ac:dyDescent="0.2">
      <c r="B13" s="26"/>
      <c r="C13" s="44" t="s">
        <v>28</v>
      </c>
      <c r="D13" s="43" t="s">
        <v>6</v>
      </c>
      <c r="E13" s="42" t="str">
        <f t="shared" si="0"/>
        <v>EurLibor5M</v>
      </c>
      <c r="F13" s="22" t="e">
        <f>_xll.qlLibor($E13,Currency,$C13,Currency&amp;$D13,Permanent,Trigger,ObjectOverwrite)</f>
        <v>#NUM!</v>
      </c>
      <c r="G13" s="7" t="str">
        <f ca="1">_xll.ohRangeRetrieveError(F13)</f>
        <v>qlLibor - ObjectHandler error: attempt to retrieve object with unknown ID 'EURiborYC6M'</v>
      </c>
      <c r="H13" s="5"/>
    </row>
    <row r="14" spans="1:8" s="21" customFormat="1" x14ac:dyDescent="0.2">
      <c r="B14" s="26"/>
      <c r="C14" s="44" t="s">
        <v>27</v>
      </c>
      <c r="D14" s="43" t="s">
        <v>6</v>
      </c>
      <c r="E14" s="42" t="str">
        <f t="shared" si="0"/>
        <v>EurLibor6M</v>
      </c>
      <c r="F14" s="22" t="e">
        <f>_xll.qlLibor($E14,Currency,$C14,Currency&amp;$D14,Permanent,Trigger,ObjectOverwrite)</f>
        <v>#NUM!</v>
      </c>
      <c r="G14" s="7" t="str">
        <f ca="1">_xll.ohRangeRetrieveError(F14)</f>
        <v>qlLibor - ObjectHandler error: attempt to retrieve object with unknown ID 'EURiborYC6M'</v>
      </c>
      <c r="H14" s="5"/>
    </row>
    <row r="15" spans="1:8" s="21" customFormat="1" x14ac:dyDescent="0.2">
      <c r="B15" s="26"/>
      <c r="C15" s="44" t="s">
        <v>26</v>
      </c>
      <c r="D15" s="43" t="s">
        <v>6</v>
      </c>
      <c r="E15" s="42" t="str">
        <f t="shared" si="0"/>
        <v>EurLibor7M</v>
      </c>
      <c r="F15" s="22" t="e">
        <f>_xll.qlLibor($E15,Currency,$C15,Currency&amp;$D15,Permanent,Trigger,ObjectOverwrite)</f>
        <v>#NUM!</v>
      </c>
      <c r="G15" s="7" t="str">
        <f ca="1">_xll.ohRangeRetrieveError(F15)</f>
        <v>qlLibor - ObjectHandler error: attempt to retrieve object with unknown ID 'EURiborYC6M'</v>
      </c>
      <c r="H15" s="5"/>
    </row>
    <row r="16" spans="1:8" s="21" customFormat="1" x14ac:dyDescent="0.2">
      <c r="B16" s="26"/>
      <c r="C16" s="44" t="s">
        <v>25</v>
      </c>
      <c r="D16" s="43" t="s">
        <v>6</v>
      </c>
      <c r="E16" s="42" t="str">
        <f t="shared" si="0"/>
        <v>EurLibor8M</v>
      </c>
      <c r="F16" s="22" t="e">
        <f>_xll.qlLibor($E16,Currency,$C16,Currency&amp;$D16,Permanent,Trigger,ObjectOverwrite)</f>
        <v>#NUM!</v>
      </c>
      <c r="G16" s="7" t="str">
        <f ca="1">_xll.ohRangeRetrieveError(F16)</f>
        <v>qlLibor - ObjectHandler error: attempt to retrieve object with unknown ID 'EURiborYC6M'</v>
      </c>
      <c r="H16" s="5"/>
    </row>
    <row r="17" spans="2:8" s="21" customFormat="1" x14ac:dyDescent="0.2">
      <c r="B17" s="26"/>
      <c r="C17" s="44" t="s">
        <v>24</v>
      </c>
      <c r="D17" s="43" t="s">
        <v>5</v>
      </c>
      <c r="E17" s="42" t="str">
        <f t="shared" si="0"/>
        <v>EurLibor9M</v>
      </c>
      <c r="F17" s="22" t="e">
        <f>_xll.qlLibor($E17,Currency,$C17,Currency&amp;$D17,Permanent,Trigger,ObjectOverwrite)</f>
        <v>#NUM!</v>
      </c>
      <c r="G17" s="7" t="str">
        <f ca="1">_xll.ohRangeRetrieveError(F17)</f>
        <v>qlLibor - ObjectHandler error: attempt to retrieve object with unknown ID 'EURiborYC1Y'</v>
      </c>
      <c r="H17" s="5"/>
    </row>
    <row r="18" spans="2:8" s="21" customFormat="1" x14ac:dyDescent="0.2">
      <c r="B18" s="26"/>
      <c r="C18" s="44" t="s">
        <v>23</v>
      </c>
      <c r="D18" s="43" t="s">
        <v>5</v>
      </c>
      <c r="E18" s="42" t="str">
        <f t="shared" si="0"/>
        <v>EurLibor10M</v>
      </c>
      <c r="F18" s="22" t="e">
        <f>_xll.qlLibor($E18,Currency,$C18,Currency&amp;$D18,Permanent,Trigger,ObjectOverwrite)</f>
        <v>#NUM!</v>
      </c>
      <c r="G18" s="7" t="str">
        <f ca="1">_xll.ohRangeRetrieveError(F18)</f>
        <v>qlLibor - ObjectHandler error: attempt to retrieve object with unknown ID 'EURiborYC1Y'</v>
      </c>
      <c r="H18" s="5"/>
    </row>
    <row r="19" spans="2:8" s="21" customFormat="1" x14ac:dyDescent="0.2">
      <c r="B19" s="26"/>
      <c r="C19" s="44" t="s">
        <v>22</v>
      </c>
      <c r="D19" s="43" t="s">
        <v>5</v>
      </c>
      <c r="E19" s="42" t="str">
        <f t="shared" si="0"/>
        <v>EurLibor11M</v>
      </c>
      <c r="F19" s="22" t="e">
        <f>_xll.qlLibor($E19,Currency,$C19,Currency&amp;$D19,Permanent,Trigger,ObjectOverwrite)</f>
        <v>#NUM!</v>
      </c>
      <c r="G19" s="7" t="str">
        <f ca="1">_xll.ohRangeRetrieveError(F19)</f>
        <v>qlLibor - ObjectHandler error: attempt to retrieve object with unknown ID 'EURiborYC1Y'</v>
      </c>
      <c r="H19" s="5"/>
    </row>
    <row r="20" spans="2:8" s="21" customFormat="1" x14ac:dyDescent="0.2">
      <c r="B20" s="26"/>
      <c r="C20" s="44" t="s">
        <v>21</v>
      </c>
      <c r="D20" s="43" t="s">
        <v>5</v>
      </c>
      <c r="E20" s="42" t="str">
        <f t="shared" si="0"/>
        <v>EurLibor1Y</v>
      </c>
      <c r="F20" s="22" t="e">
        <f>_xll.qlLibor($E20,Currency,$C20,Currency&amp;$D20,Permanent,Trigger,ObjectOverwrite)</f>
        <v>#NUM!</v>
      </c>
      <c r="G20" s="7" t="str">
        <f ca="1">_xll.ohRangeRetrieveError(F20)</f>
        <v>qlLibor - ObjectHandler error: attempt to retrieve object with unknown ID 'EURiborYC1Y'</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EurLiborSwapIsdaFixA1Y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102</v>
      </c>
      <c r="D8" s="53" t="s">
        <v>6</v>
      </c>
      <c r="E8" s="53" t="s">
        <v>11</v>
      </c>
      <c r="F8" s="52" t="str">
        <f t="shared" si="0"/>
        <v>EurLiborSwapIsdaFixA2Y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101</v>
      </c>
      <c r="D9" s="53" t="s">
        <v>6</v>
      </c>
      <c r="E9" s="53" t="s">
        <v>11</v>
      </c>
      <c r="F9" s="52" t="str">
        <f t="shared" si="0"/>
        <v>EurLiborSwapIsdaFixA3Y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100</v>
      </c>
      <c r="D10" s="53" t="s">
        <v>6</v>
      </c>
      <c r="E10" s="53" t="s">
        <v>11</v>
      </c>
      <c r="F10" s="52" t="str">
        <f t="shared" si="0"/>
        <v>EurLiborSwapIsdaFixA4Y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99</v>
      </c>
      <c r="D11" s="53" t="s">
        <v>6</v>
      </c>
      <c r="E11" s="53" t="s">
        <v>11</v>
      </c>
      <c r="F11" s="52" t="str">
        <f t="shared" si="0"/>
        <v>EurLiborSwapIsdaFixA5Y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98</v>
      </c>
      <c r="D12" s="53" t="s">
        <v>6</v>
      </c>
      <c r="E12" s="53" t="s">
        <v>11</v>
      </c>
      <c r="F12" s="52" t="str">
        <f t="shared" si="0"/>
        <v>EurLiborSwapIsdaFixA6Y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97</v>
      </c>
      <c r="D13" s="53" t="s">
        <v>6</v>
      </c>
      <c r="E13" s="53" t="s">
        <v>11</v>
      </c>
      <c r="F13" s="52" t="str">
        <f t="shared" si="0"/>
        <v>EurLiborSwapIsdaFixA7Y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96</v>
      </c>
      <c r="D14" s="53" t="s">
        <v>6</v>
      </c>
      <c r="E14" s="53" t="s">
        <v>11</v>
      </c>
      <c r="F14" s="52" t="str">
        <f t="shared" si="0"/>
        <v>EurLiborSwapIsdaFixA8Y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95</v>
      </c>
      <c r="D15" s="53" t="s">
        <v>6</v>
      </c>
      <c r="E15" s="53" t="s">
        <v>11</v>
      </c>
      <c r="F15" s="52" t="str">
        <f t="shared" si="0"/>
        <v>EurLiborSwapIsdaFixA9Y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94</v>
      </c>
      <c r="D16" s="53" t="s">
        <v>6</v>
      </c>
      <c r="E16" s="53" t="s">
        <v>11</v>
      </c>
      <c r="F16" s="52" t="str">
        <f t="shared" si="0"/>
        <v>EurLiborSwapIsdaFixA10Y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93</v>
      </c>
      <c r="D17" s="53" t="s">
        <v>6</v>
      </c>
      <c r="E17" s="53" t="s">
        <v>11</v>
      </c>
      <c r="F17" s="52" t="str">
        <f t="shared" si="0"/>
        <v>EurLiborSwapIsdaFixA11Y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92</v>
      </c>
      <c r="D18" s="53" t="s">
        <v>6</v>
      </c>
      <c r="E18" s="53" t="s">
        <v>11</v>
      </c>
      <c r="F18" s="52" t="str">
        <f t="shared" si="0"/>
        <v>EurLiborSwapIsdaFixA12Y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91</v>
      </c>
      <c r="D19" s="53" t="s">
        <v>6</v>
      </c>
      <c r="E19" s="53" t="s">
        <v>11</v>
      </c>
      <c r="F19" s="52" t="str">
        <f t="shared" si="0"/>
        <v>EurLiborSwapIsdaFixA13Y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90</v>
      </c>
      <c r="D20" s="53" t="s">
        <v>6</v>
      </c>
      <c r="E20" s="53" t="s">
        <v>11</v>
      </c>
      <c r="F20" s="52" t="str">
        <f t="shared" si="0"/>
        <v>EurLiborSwapIsdaFixA14Y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89</v>
      </c>
      <c r="D21" s="53" t="s">
        <v>6</v>
      </c>
      <c r="E21" s="53" t="s">
        <v>11</v>
      </c>
      <c r="F21" s="52" t="str">
        <f t="shared" si="0"/>
        <v>EurLiborSwapIsdaFixA15Y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88</v>
      </c>
      <c r="D22" s="53" t="s">
        <v>6</v>
      </c>
      <c r="E22" s="53" t="s">
        <v>11</v>
      </c>
      <c r="F22" s="52" t="str">
        <f t="shared" si="0"/>
        <v>EurLiborSwapIsdaFixA16Y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87</v>
      </c>
      <c r="D23" s="53" t="s">
        <v>6</v>
      </c>
      <c r="E23" s="53" t="s">
        <v>11</v>
      </c>
      <c r="F23" s="52" t="str">
        <f t="shared" si="0"/>
        <v>EurLiborSwapIsdaFixA17Y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86</v>
      </c>
      <c r="D24" s="53" t="s">
        <v>6</v>
      </c>
      <c r="E24" s="53" t="s">
        <v>11</v>
      </c>
      <c r="F24" s="52" t="str">
        <f t="shared" si="0"/>
        <v>EurLiborSwapIsdaFixA18Y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85</v>
      </c>
      <c r="D25" s="53" t="s">
        <v>6</v>
      </c>
      <c r="E25" s="53" t="s">
        <v>11</v>
      </c>
      <c r="F25" s="52" t="str">
        <f t="shared" si="0"/>
        <v>EurLiborSwapIsdaFixA19Y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84</v>
      </c>
      <c r="D26" s="53" t="s">
        <v>6</v>
      </c>
      <c r="E26" s="53" t="s">
        <v>11</v>
      </c>
      <c r="F26" s="52" t="str">
        <f t="shared" si="0"/>
        <v>EurLiborSwapIsdaFixA20Y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83</v>
      </c>
      <c r="D27" s="53" t="s">
        <v>6</v>
      </c>
      <c r="E27" s="53" t="s">
        <v>11</v>
      </c>
      <c r="F27" s="52" t="str">
        <f t="shared" si="0"/>
        <v>EurLiborSwapIsdaFixA21Y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82</v>
      </c>
      <c r="D28" s="53" t="s">
        <v>6</v>
      </c>
      <c r="E28" s="53" t="s">
        <v>11</v>
      </c>
      <c r="F28" s="52" t="str">
        <f t="shared" si="0"/>
        <v>EurLiborSwapIsdaFixA22Y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81</v>
      </c>
      <c r="D29" s="53" t="s">
        <v>6</v>
      </c>
      <c r="E29" s="53" t="s">
        <v>11</v>
      </c>
      <c r="F29" s="52" t="str">
        <f t="shared" si="0"/>
        <v>EurLiborSwapIsdaFixA23Y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80</v>
      </c>
      <c r="D30" s="53" t="s">
        <v>6</v>
      </c>
      <c r="E30" s="53" t="s">
        <v>11</v>
      </c>
      <c r="F30" s="52" t="str">
        <f t="shared" si="0"/>
        <v>EurLiborSwapIsdaFixA24Y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79</v>
      </c>
      <c r="D31" s="53" t="s">
        <v>6</v>
      </c>
      <c r="E31" s="53" t="s">
        <v>11</v>
      </c>
      <c r="F31" s="52" t="str">
        <f t="shared" si="0"/>
        <v>EurLiborSwapIsdaFixA25Y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78</v>
      </c>
      <c r="D32" s="53" t="s">
        <v>6</v>
      </c>
      <c r="E32" s="53" t="s">
        <v>11</v>
      </c>
      <c r="F32" s="52" t="str">
        <f t="shared" si="0"/>
        <v>EurLiborSwapIsdaFixA26Y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77</v>
      </c>
      <c r="D33" s="53" t="s">
        <v>6</v>
      </c>
      <c r="E33" s="53" t="s">
        <v>11</v>
      </c>
      <c r="F33" s="52" t="str">
        <f t="shared" si="0"/>
        <v>EurLiborSwapIsdaFixA27Y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76</v>
      </c>
      <c r="D34" s="53" t="s">
        <v>6</v>
      </c>
      <c r="E34" s="53" t="s">
        <v>11</v>
      </c>
      <c r="F34" s="52" t="str">
        <f t="shared" si="0"/>
        <v>EurLiborSwapIsdaFixA28Y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75</v>
      </c>
      <c r="D35" s="53" t="s">
        <v>6</v>
      </c>
      <c r="E35" s="53" t="s">
        <v>11</v>
      </c>
      <c r="F35" s="52" t="str">
        <f t="shared" si="0"/>
        <v>EurLiborSwapIsdaFixA29Y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74</v>
      </c>
      <c r="D36" s="53" t="s">
        <v>6</v>
      </c>
      <c r="E36" s="53" t="s">
        <v>11</v>
      </c>
      <c r="F36" s="52" t="str">
        <f t="shared" si="0"/>
        <v>EurLiborSwapIsdaFixA30Y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73</v>
      </c>
      <c r="D37" s="53" t="s">
        <v>6</v>
      </c>
      <c r="E37" s="53" t="s">
        <v>11</v>
      </c>
      <c r="F37" s="52" t="str">
        <f t="shared" si="0"/>
        <v>EurLiborSwapIsdaFixA31Y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72</v>
      </c>
      <c r="D38" s="53" t="s">
        <v>6</v>
      </c>
      <c r="E38" s="53" t="s">
        <v>11</v>
      </c>
      <c r="F38" s="52" t="str">
        <f t="shared" si="0"/>
        <v>EurLiborSwapIsdaFixA32Y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EurLiborSwapIsdaFixA33Y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70</v>
      </c>
      <c r="D40" s="53" t="s">
        <v>6</v>
      </c>
      <c r="E40" s="53" t="s">
        <v>11</v>
      </c>
      <c r="F40" s="52" t="str">
        <f t="shared" si="1"/>
        <v>EurLiborSwapIsdaFixA34Y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69</v>
      </c>
      <c r="D41" s="53" t="s">
        <v>6</v>
      </c>
      <c r="E41" s="53" t="s">
        <v>11</v>
      </c>
      <c r="F41" s="52" t="str">
        <f t="shared" si="1"/>
        <v>EurLiborSwapIsdaFixA35Y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68</v>
      </c>
      <c r="D42" s="53" t="s">
        <v>6</v>
      </c>
      <c r="E42" s="53" t="s">
        <v>11</v>
      </c>
      <c r="F42" s="52" t="str">
        <f t="shared" si="1"/>
        <v>EurLiborSwapIsdaFixA36Y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67</v>
      </c>
      <c r="D43" s="53" t="s">
        <v>6</v>
      </c>
      <c r="E43" s="53" t="s">
        <v>11</v>
      </c>
      <c r="F43" s="52" t="str">
        <f t="shared" si="1"/>
        <v>EurLiborSwapIsdaFixA37Y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66</v>
      </c>
      <c r="D44" s="53" t="s">
        <v>6</v>
      </c>
      <c r="E44" s="53" t="s">
        <v>11</v>
      </c>
      <c r="F44" s="52" t="str">
        <f t="shared" si="1"/>
        <v>EurLiborSwapIsdaFixA38Y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65</v>
      </c>
      <c r="D45" s="53" t="s">
        <v>6</v>
      </c>
      <c r="E45" s="53" t="s">
        <v>11</v>
      </c>
      <c r="F45" s="52" t="str">
        <f t="shared" si="1"/>
        <v>EurLiborSwapIsdaFixA39Y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64</v>
      </c>
      <c r="D46" s="53" t="s">
        <v>6</v>
      </c>
      <c r="E46" s="53" t="s">
        <v>11</v>
      </c>
      <c r="F46" s="52" t="str">
        <f t="shared" si="1"/>
        <v>EurLiborSwapIsdaFixA40Y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63</v>
      </c>
      <c r="D47" s="53" t="s">
        <v>6</v>
      </c>
      <c r="E47" s="53" t="s">
        <v>11</v>
      </c>
      <c r="F47" s="52" t="str">
        <f t="shared" si="1"/>
        <v>EurLiborSwapIsdaFixA41Y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62</v>
      </c>
      <c r="D48" s="53" t="s">
        <v>6</v>
      </c>
      <c r="E48" s="53" t="s">
        <v>11</v>
      </c>
      <c r="F48" s="52" t="str">
        <f t="shared" si="1"/>
        <v>EurLiborSwapIsdaFixA42Y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61</v>
      </c>
      <c r="D49" s="53" t="s">
        <v>6</v>
      </c>
      <c r="E49" s="53" t="s">
        <v>11</v>
      </c>
      <c r="F49" s="52" t="str">
        <f t="shared" si="1"/>
        <v>EurLiborSwapIsdaFixA43Y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60</v>
      </c>
      <c r="D50" s="53" t="s">
        <v>6</v>
      </c>
      <c r="E50" s="53" t="s">
        <v>11</v>
      </c>
      <c r="F50" s="52" t="str">
        <f t="shared" si="1"/>
        <v>EurLiborSwapIsdaFixA44Y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59</v>
      </c>
      <c r="D51" s="53" t="s">
        <v>6</v>
      </c>
      <c r="E51" s="53" t="s">
        <v>11</v>
      </c>
      <c r="F51" s="52" t="str">
        <f t="shared" si="1"/>
        <v>EurLiborSwapIsdaFixA45Y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58</v>
      </c>
      <c r="D52" s="53" t="s">
        <v>6</v>
      </c>
      <c r="E52" s="53" t="s">
        <v>11</v>
      </c>
      <c r="F52" s="52" t="str">
        <f t="shared" si="1"/>
        <v>EurLiborSwapIsdaFixA46Y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57</v>
      </c>
      <c r="D53" s="53" t="s">
        <v>6</v>
      </c>
      <c r="E53" s="53" t="s">
        <v>11</v>
      </c>
      <c r="F53" s="52" t="str">
        <f t="shared" si="1"/>
        <v>EurLiborSwapIsdaFixA47Y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56</v>
      </c>
      <c r="D54" s="53" t="s">
        <v>6</v>
      </c>
      <c r="E54" s="53" t="s">
        <v>11</v>
      </c>
      <c r="F54" s="52" t="str">
        <f t="shared" si="1"/>
        <v>EurLiborSwapIsdaFixA48Y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55</v>
      </c>
      <c r="D55" s="53" t="s">
        <v>6</v>
      </c>
      <c r="E55" s="53" t="s">
        <v>11</v>
      </c>
      <c r="F55" s="52" t="str">
        <f t="shared" si="1"/>
        <v>EurLiborSwapIsdaFixA49Y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54</v>
      </c>
      <c r="D56" s="53" t="s">
        <v>6</v>
      </c>
      <c r="E56" s="53" t="s">
        <v>11</v>
      </c>
      <c r="F56" s="52" t="str">
        <f t="shared" si="1"/>
        <v>EurLiborSwapIsdaFixA50Y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53</v>
      </c>
      <c r="D57" s="53" t="s">
        <v>6</v>
      </c>
      <c r="E57" s="53" t="s">
        <v>11</v>
      </c>
      <c r="F57" s="52" t="str">
        <f t="shared" si="1"/>
        <v>EurLiborSwapIsdaFixA51Y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52</v>
      </c>
      <c r="D58" s="53" t="s">
        <v>6</v>
      </c>
      <c r="E58" s="53" t="s">
        <v>11</v>
      </c>
      <c r="F58" s="52" t="str">
        <f t="shared" si="1"/>
        <v>EurLiborSwapIsdaFixA52Y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51</v>
      </c>
      <c r="D59" s="53" t="s">
        <v>6</v>
      </c>
      <c r="E59" s="53" t="s">
        <v>11</v>
      </c>
      <c r="F59" s="52" t="str">
        <f t="shared" si="1"/>
        <v>EurLiborSwapIsdaFixA53Y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50</v>
      </c>
      <c r="D60" s="53" t="s">
        <v>6</v>
      </c>
      <c r="E60" s="53" t="s">
        <v>11</v>
      </c>
      <c r="F60" s="52" t="str">
        <f t="shared" si="1"/>
        <v>EurLiborSwapIsdaFixA54Y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49</v>
      </c>
      <c r="D61" s="53" t="s">
        <v>6</v>
      </c>
      <c r="E61" s="53" t="s">
        <v>11</v>
      </c>
      <c r="F61" s="52" t="str">
        <f t="shared" si="1"/>
        <v>EurLiborSwapIsdaFixA55Y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48</v>
      </c>
      <c r="D62" s="53" t="s">
        <v>6</v>
      </c>
      <c r="E62" s="53" t="s">
        <v>11</v>
      </c>
      <c r="F62" s="52" t="str">
        <f t="shared" si="1"/>
        <v>EurLiborSwapIsdaFixA56Y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47</v>
      </c>
      <c r="D63" s="53" t="s">
        <v>6</v>
      </c>
      <c r="E63" s="53" t="s">
        <v>11</v>
      </c>
      <c r="F63" s="52" t="str">
        <f t="shared" si="1"/>
        <v>EurLiborSwapIsdaFixA57Y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46</v>
      </c>
      <c r="D64" s="53" t="s">
        <v>6</v>
      </c>
      <c r="E64" s="53" t="s">
        <v>11</v>
      </c>
      <c r="F64" s="52" t="str">
        <f t="shared" si="1"/>
        <v>EurLiborSwapIsdaFixA58Y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45</v>
      </c>
      <c r="D65" s="53" t="s">
        <v>6</v>
      </c>
      <c r="E65" s="53" t="s">
        <v>11</v>
      </c>
      <c r="F65" s="52" t="str">
        <f t="shared" si="1"/>
        <v>EurLiborSwapIsdaFixA59Y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44</v>
      </c>
      <c r="D66" s="53" t="s">
        <v>6</v>
      </c>
      <c r="E66" s="53" t="s">
        <v>11</v>
      </c>
      <c r="F66" s="52" t="str">
        <f t="shared" si="1"/>
        <v>EurLiborSwapIsdaFixA60Y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EurLiborSwapIsdaFixB1Y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102</v>
      </c>
      <c r="D8" s="53" t="s">
        <v>6</v>
      </c>
      <c r="E8" s="53" t="s">
        <v>11</v>
      </c>
      <c r="F8" s="52" t="str">
        <f t="shared" si="0"/>
        <v>EurLiborSwapIsdaFixB2Y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101</v>
      </c>
      <c r="D9" s="53" t="s">
        <v>6</v>
      </c>
      <c r="E9" s="53" t="s">
        <v>11</v>
      </c>
      <c r="F9" s="52" t="str">
        <f t="shared" si="0"/>
        <v>EurLiborSwapIsdaFixB3Y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100</v>
      </c>
      <c r="D10" s="53" t="s">
        <v>6</v>
      </c>
      <c r="E10" s="53" t="s">
        <v>11</v>
      </c>
      <c r="F10" s="52" t="str">
        <f t="shared" si="0"/>
        <v>EurLiborSwapIsdaFixB4Y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99</v>
      </c>
      <c r="D11" s="53" t="s">
        <v>6</v>
      </c>
      <c r="E11" s="53" t="s">
        <v>11</v>
      </c>
      <c r="F11" s="52" t="str">
        <f t="shared" si="0"/>
        <v>EurLiborSwapIsdaFixB5Y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98</v>
      </c>
      <c r="D12" s="53" t="s">
        <v>6</v>
      </c>
      <c r="E12" s="53" t="s">
        <v>11</v>
      </c>
      <c r="F12" s="52" t="str">
        <f t="shared" si="0"/>
        <v>EurLiborSwapIsdaFixB6Y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97</v>
      </c>
      <c r="D13" s="53" t="s">
        <v>6</v>
      </c>
      <c r="E13" s="53" t="s">
        <v>11</v>
      </c>
      <c r="F13" s="52" t="str">
        <f t="shared" si="0"/>
        <v>EurLiborSwapIsdaFixB7Y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96</v>
      </c>
      <c r="D14" s="53" t="s">
        <v>6</v>
      </c>
      <c r="E14" s="53" t="s">
        <v>11</v>
      </c>
      <c r="F14" s="52" t="str">
        <f t="shared" si="0"/>
        <v>EurLiborSwapIsdaFixB8Y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95</v>
      </c>
      <c r="D15" s="53" t="s">
        <v>6</v>
      </c>
      <c r="E15" s="53" t="s">
        <v>11</v>
      </c>
      <c r="F15" s="52" t="str">
        <f t="shared" si="0"/>
        <v>EurLiborSwapIsdaFixB9Y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94</v>
      </c>
      <c r="D16" s="53" t="s">
        <v>6</v>
      </c>
      <c r="E16" s="53" t="s">
        <v>11</v>
      </c>
      <c r="F16" s="52" t="str">
        <f t="shared" si="0"/>
        <v>EurLiborSwapIsdaFixB10Y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93</v>
      </c>
      <c r="D17" s="53" t="s">
        <v>6</v>
      </c>
      <c r="E17" s="53" t="s">
        <v>11</v>
      </c>
      <c r="F17" s="52" t="str">
        <f t="shared" si="0"/>
        <v>EurLiborSwapIsdaFixB11Y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92</v>
      </c>
      <c r="D18" s="53" t="s">
        <v>6</v>
      </c>
      <c r="E18" s="53" t="s">
        <v>11</v>
      </c>
      <c r="F18" s="52" t="str">
        <f t="shared" si="0"/>
        <v>EurLiborSwapIsdaFixB12Y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91</v>
      </c>
      <c r="D19" s="53" t="s">
        <v>6</v>
      </c>
      <c r="E19" s="53" t="s">
        <v>11</v>
      </c>
      <c r="F19" s="52" t="str">
        <f t="shared" si="0"/>
        <v>EurLiborSwapIsdaFixB13Y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90</v>
      </c>
      <c r="D20" s="53" t="s">
        <v>6</v>
      </c>
      <c r="E20" s="53" t="s">
        <v>11</v>
      </c>
      <c r="F20" s="52" t="str">
        <f t="shared" si="0"/>
        <v>EurLiborSwapIsdaFixB14Y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89</v>
      </c>
      <c r="D21" s="53" t="s">
        <v>6</v>
      </c>
      <c r="E21" s="53" t="s">
        <v>11</v>
      </c>
      <c r="F21" s="52" t="str">
        <f t="shared" si="0"/>
        <v>EurLiborSwapIsdaFixB15Y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88</v>
      </c>
      <c r="D22" s="53" t="s">
        <v>6</v>
      </c>
      <c r="E22" s="53" t="s">
        <v>11</v>
      </c>
      <c r="F22" s="52" t="str">
        <f t="shared" si="0"/>
        <v>EurLiborSwapIsdaFixB16Y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87</v>
      </c>
      <c r="D23" s="53" t="s">
        <v>6</v>
      </c>
      <c r="E23" s="53" t="s">
        <v>11</v>
      </c>
      <c r="F23" s="52" t="str">
        <f t="shared" si="0"/>
        <v>EurLiborSwapIsdaFixB17Y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86</v>
      </c>
      <c r="D24" s="53" t="s">
        <v>6</v>
      </c>
      <c r="E24" s="53" t="s">
        <v>11</v>
      </c>
      <c r="F24" s="52" t="str">
        <f t="shared" si="0"/>
        <v>EurLiborSwapIsdaFixB18Y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85</v>
      </c>
      <c r="D25" s="53" t="s">
        <v>6</v>
      </c>
      <c r="E25" s="53" t="s">
        <v>11</v>
      </c>
      <c r="F25" s="52" t="str">
        <f t="shared" si="0"/>
        <v>EurLiborSwapIsdaFixB19Y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84</v>
      </c>
      <c r="D26" s="53" t="s">
        <v>6</v>
      </c>
      <c r="E26" s="53" t="s">
        <v>11</v>
      </c>
      <c r="F26" s="52" t="str">
        <f t="shared" si="0"/>
        <v>EurLiborSwapIsdaFixB20Y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83</v>
      </c>
      <c r="D27" s="53" t="s">
        <v>6</v>
      </c>
      <c r="E27" s="53" t="s">
        <v>11</v>
      </c>
      <c r="F27" s="52" t="str">
        <f t="shared" si="0"/>
        <v>EurLiborSwapIsdaFixB21Y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82</v>
      </c>
      <c r="D28" s="53" t="s">
        <v>6</v>
      </c>
      <c r="E28" s="53" t="s">
        <v>11</v>
      </c>
      <c r="F28" s="52" t="str">
        <f t="shared" si="0"/>
        <v>EurLiborSwapIsdaFixB22Y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81</v>
      </c>
      <c r="D29" s="53" t="s">
        <v>6</v>
      </c>
      <c r="E29" s="53" t="s">
        <v>11</v>
      </c>
      <c r="F29" s="52" t="str">
        <f t="shared" si="0"/>
        <v>EurLiborSwapIsdaFixB23Y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80</v>
      </c>
      <c r="D30" s="53" t="s">
        <v>6</v>
      </c>
      <c r="E30" s="53" t="s">
        <v>11</v>
      </c>
      <c r="F30" s="52" t="str">
        <f t="shared" si="0"/>
        <v>EurLiborSwapIsdaFixB24Y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79</v>
      </c>
      <c r="D31" s="53" t="s">
        <v>6</v>
      </c>
      <c r="E31" s="53" t="s">
        <v>11</v>
      </c>
      <c r="F31" s="52" t="str">
        <f t="shared" si="0"/>
        <v>EurLiborSwapIsdaFixB25Y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78</v>
      </c>
      <c r="D32" s="53" t="s">
        <v>6</v>
      </c>
      <c r="E32" s="53" t="s">
        <v>11</v>
      </c>
      <c r="F32" s="52" t="str">
        <f t="shared" si="0"/>
        <v>EurLiborSwapIsdaFixB26Y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77</v>
      </c>
      <c r="D33" s="53" t="s">
        <v>6</v>
      </c>
      <c r="E33" s="53" t="s">
        <v>11</v>
      </c>
      <c r="F33" s="52" t="str">
        <f t="shared" si="0"/>
        <v>EurLiborSwapIsdaFixB27Y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76</v>
      </c>
      <c r="D34" s="53" t="s">
        <v>6</v>
      </c>
      <c r="E34" s="53" t="s">
        <v>11</v>
      </c>
      <c r="F34" s="52" t="str">
        <f t="shared" si="0"/>
        <v>EurLiborSwapIsdaFixB28Y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75</v>
      </c>
      <c r="D35" s="53" t="s">
        <v>6</v>
      </c>
      <c r="E35" s="53" t="s">
        <v>11</v>
      </c>
      <c r="F35" s="52" t="str">
        <f t="shared" si="0"/>
        <v>EurLiborSwapIsdaFixB29Y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74</v>
      </c>
      <c r="D36" s="53" t="s">
        <v>6</v>
      </c>
      <c r="E36" s="53" t="s">
        <v>11</v>
      </c>
      <c r="F36" s="52" t="str">
        <f t="shared" si="0"/>
        <v>EurLiborSwapIsdaFixB30Y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73</v>
      </c>
      <c r="D37" s="53" t="s">
        <v>6</v>
      </c>
      <c r="E37" s="53" t="s">
        <v>11</v>
      </c>
      <c r="F37" s="52" t="str">
        <f t="shared" si="0"/>
        <v>EurLiborSwapIsdaFixB31Y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72</v>
      </c>
      <c r="D38" s="53" t="s">
        <v>6</v>
      </c>
      <c r="E38" s="53" t="s">
        <v>11</v>
      </c>
      <c r="F38" s="52" t="str">
        <f t="shared" si="0"/>
        <v>EurLiborSwapIsdaFixB32Y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EurLiborSwapIsdaFixB33Y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70</v>
      </c>
      <c r="D40" s="53" t="s">
        <v>6</v>
      </c>
      <c r="E40" s="53" t="s">
        <v>11</v>
      </c>
      <c r="F40" s="52" t="str">
        <f t="shared" si="1"/>
        <v>EurLiborSwapIsdaFixB34Y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69</v>
      </c>
      <c r="D41" s="53" t="s">
        <v>6</v>
      </c>
      <c r="E41" s="53" t="s">
        <v>11</v>
      </c>
      <c r="F41" s="52" t="str">
        <f t="shared" si="1"/>
        <v>EurLiborSwapIsdaFixB35Y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68</v>
      </c>
      <c r="D42" s="53" t="s">
        <v>6</v>
      </c>
      <c r="E42" s="53" t="s">
        <v>11</v>
      </c>
      <c r="F42" s="52" t="str">
        <f t="shared" si="1"/>
        <v>EurLiborSwapIsdaFixB36Y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67</v>
      </c>
      <c r="D43" s="53" t="s">
        <v>6</v>
      </c>
      <c r="E43" s="53" t="s">
        <v>11</v>
      </c>
      <c r="F43" s="52" t="str">
        <f t="shared" si="1"/>
        <v>EurLiborSwapIsdaFixB37Y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66</v>
      </c>
      <c r="D44" s="53" t="s">
        <v>6</v>
      </c>
      <c r="E44" s="53" t="s">
        <v>11</v>
      </c>
      <c r="F44" s="52" t="str">
        <f t="shared" si="1"/>
        <v>EurLiborSwapIsdaFixB38Y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65</v>
      </c>
      <c r="D45" s="53" t="s">
        <v>6</v>
      </c>
      <c r="E45" s="53" t="s">
        <v>11</v>
      </c>
      <c r="F45" s="52" t="str">
        <f t="shared" si="1"/>
        <v>EurLiborSwapIsdaFixB39Y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64</v>
      </c>
      <c r="D46" s="53" t="s">
        <v>6</v>
      </c>
      <c r="E46" s="53" t="s">
        <v>11</v>
      </c>
      <c r="F46" s="52" t="str">
        <f t="shared" si="1"/>
        <v>EurLiborSwapIsdaFixB40Y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63</v>
      </c>
      <c r="D47" s="53" t="s">
        <v>6</v>
      </c>
      <c r="E47" s="53" t="s">
        <v>11</v>
      </c>
      <c r="F47" s="52" t="str">
        <f t="shared" si="1"/>
        <v>EurLiborSwapIsdaFixB41Y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62</v>
      </c>
      <c r="D48" s="53" t="s">
        <v>6</v>
      </c>
      <c r="E48" s="53" t="s">
        <v>11</v>
      </c>
      <c r="F48" s="52" t="str">
        <f t="shared" si="1"/>
        <v>EurLiborSwapIsdaFixB42Y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61</v>
      </c>
      <c r="D49" s="53" t="s">
        <v>6</v>
      </c>
      <c r="E49" s="53" t="s">
        <v>11</v>
      </c>
      <c r="F49" s="52" t="str">
        <f t="shared" si="1"/>
        <v>EurLiborSwapIsdaFixB43Y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60</v>
      </c>
      <c r="D50" s="53" t="s">
        <v>6</v>
      </c>
      <c r="E50" s="53" t="s">
        <v>11</v>
      </c>
      <c r="F50" s="52" t="str">
        <f t="shared" si="1"/>
        <v>EurLiborSwapIsdaFixB44Y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59</v>
      </c>
      <c r="D51" s="53" t="s">
        <v>6</v>
      </c>
      <c r="E51" s="53" t="s">
        <v>11</v>
      </c>
      <c r="F51" s="52" t="str">
        <f t="shared" si="1"/>
        <v>EurLiborSwapIsdaFixB45Y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58</v>
      </c>
      <c r="D52" s="53" t="s">
        <v>6</v>
      </c>
      <c r="E52" s="53" t="s">
        <v>11</v>
      </c>
      <c r="F52" s="52" t="str">
        <f t="shared" si="1"/>
        <v>EurLiborSwapIsdaFixB46Y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57</v>
      </c>
      <c r="D53" s="53" t="s">
        <v>6</v>
      </c>
      <c r="E53" s="53" t="s">
        <v>11</v>
      </c>
      <c r="F53" s="52" t="str">
        <f t="shared" si="1"/>
        <v>EurLiborSwapIsdaFixB47Y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56</v>
      </c>
      <c r="D54" s="53" t="s">
        <v>6</v>
      </c>
      <c r="E54" s="53" t="s">
        <v>11</v>
      </c>
      <c r="F54" s="52" t="str">
        <f t="shared" si="1"/>
        <v>EurLiborSwapIsdaFixB48Y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55</v>
      </c>
      <c r="D55" s="53" t="s">
        <v>6</v>
      </c>
      <c r="E55" s="53" t="s">
        <v>11</v>
      </c>
      <c r="F55" s="52" t="str">
        <f t="shared" si="1"/>
        <v>EurLiborSwapIsdaFixB49Y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54</v>
      </c>
      <c r="D56" s="53" t="s">
        <v>6</v>
      </c>
      <c r="E56" s="53" t="s">
        <v>11</v>
      </c>
      <c r="F56" s="52" t="str">
        <f t="shared" si="1"/>
        <v>EurLiborSwapIsdaFixB50Y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53</v>
      </c>
      <c r="D57" s="53" t="s">
        <v>6</v>
      </c>
      <c r="E57" s="53" t="s">
        <v>11</v>
      </c>
      <c r="F57" s="52" t="str">
        <f t="shared" si="1"/>
        <v>EurLiborSwapIsdaFixB51Y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52</v>
      </c>
      <c r="D58" s="53" t="s">
        <v>6</v>
      </c>
      <c r="E58" s="53" t="s">
        <v>11</v>
      </c>
      <c r="F58" s="52" t="str">
        <f t="shared" si="1"/>
        <v>EurLiborSwapIsdaFixB52Y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51</v>
      </c>
      <c r="D59" s="53" t="s">
        <v>6</v>
      </c>
      <c r="E59" s="53" t="s">
        <v>11</v>
      </c>
      <c r="F59" s="52" t="str">
        <f t="shared" si="1"/>
        <v>EurLiborSwapIsdaFixB53Y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50</v>
      </c>
      <c r="D60" s="53" t="s">
        <v>6</v>
      </c>
      <c r="E60" s="53" t="s">
        <v>11</v>
      </c>
      <c r="F60" s="52" t="str">
        <f t="shared" si="1"/>
        <v>EurLiborSwapIsdaFixB54Y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49</v>
      </c>
      <c r="D61" s="53" t="s">
        <v>6</v>
      </c>
      <c r="E61" s="53" t="s">
        <v>11</v>
      </c>
      <c r="F61" s="52" t="str">
        <f t="shared" si="1"/>
        <v>EurLiborSwapIsdaFixB55Y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48</v>
      </c>
      <c r="D62" s="53" t="s">
        <v>6</v>
      </c>
      <c r="E62" s="53" t="s">
        <v>11</v>
      </c>
      <c r="F62" s="52" t="str">
        <f t="shared" si="1"/>
        <v>EurLiborSwapIsdaFixB56Y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47</v>
      </c>
      <c r="D63" s="53" t="s">
        <v>6</v>
      </c>
      <c r="E63" s="53" t="s">
        <v>11</v>
      </c>
      <c r="F63" s="52" t="str">
        <f t="shared" si="1"/>
        <v>EurLiborSwapIsdaFixB57Y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46</v>
      </c>
      <c r="D64" s="53" t="s">
        <v>6</v>
      </c>
      <c r="E64" s="53" t="s">
        <v>11</v>
      </c>
      <c r="F64" s="52" t="str">
        <f t="shared" si="1"/>
        <v>EurLiborSwapIsdaFixB58Y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45</v>
      </c>
      <c r="D65" s="53" t="s">
        <v>6</v>
      </c>
      <c r="E65" s="53" t="s">
        <v>11</v>
      </c>
      <c r="F65" s="52" t="str">
        <f t="shared" si="1"/>
        <v>EurLiborSwapIsdaFixB59Y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44</v>
      </c>
      <c r="D66" s="53" t="s">
        <v>6</v>
      </c>
      <c r="E66" s="53" t="s">
        <v>11</v>
      </c>
      <c r="F66" s="52" t="str">
        <f t="shared" si="1"/>
        <v>EurLiborSwapIsdaFixB60Y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21</v>
      </c>
      <c r="D7" s="56" t="s">
        <v>7</v>
      </c>
      <c r="E7" s="53" t="s">
        <v>11</v>
      </c>
      <c r="F7" s="52" t="str">
        <f t="shared" ref="F7:F38" si="0">PROPER(Currency)&amp;FamilyName&amp;FixingType&amp;$C7</f>
        <v>EurLiborSwapIfrFix1Y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102</v>
      </c>
      <c r="D8" s="53" t="s">
        <v>6</v>
      </c>
      <c r="E8" s="53" t="s">
        <v>11</v>
      </c>
      <c r="F8" s="52" t="str">
        <f t="shared" si="0"/>
        <v>EurLiborSwapIfrFix2Y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101</v>
      </c>
      <c r="D9" s="53" t="s">
        <v>6</v>
      </c>
      <c r="E9" s="53" t="s">
        <v>11</v>
      </c>
      <c r="F9" s="52" t="str">
        <f t="shared" si="0"/>
        <v>EurLiborSwapIfrFix3Y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100</v>
      </c>
      <c r="D10" s="53" t="s">
        <v>6</v>
      </c>
      <c r="E10" s="53" t="s">
        <v>11</v>
      </c>
      <c r="F10" s="52" t="str">
        <f t="shared" si="0"/>
        <v>EurLiborSwapIfrFix4Y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99</v>
      </c>
      <c r="D11" s="53" t="s">
        <v>6</v>
      </c>
      <c r="E11" s="53" t="s">
        <v>11</v>
      </c>
      <c r="F11" s="52" t="str">
        <f t="shared" si="0"/>
        <v>EurLiborSwapIfrFix5Y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98</v>
      </c>
      <c r="D12" s="53" t="s">
        <v>6</v>
      </c>
      <c r="E12" s="53" t="s">
        <v>11</v>
      </c>
      <c r="F12" s="52" t="str">
        <f t="shared" si="0"/>
        <v>EurLiborSwapIfrFix6Y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97</v>
      </c>
      <c r="D13" s="53" t="s">
        <v>6</v>
      </c>
      <c r="E13" s="53" t="s">
        <v>11</v>
      </c>
      <c r="F13" s="52" t="str">
        <f t="shared" si="0"/>
        <v>EurLiborSwapIfrFix7Y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96</v>
      </c>
      <c r="D14" s="53" t="s">
        <v>6</v>
      </c>
      <c r="E14" s="53" t="s">
        <v>11</v>
      </c>
      <c r="F14" s="52" t="str">
        <f t="shared" si="0"/>
        <v>EurLiborSwapIfrFix8Y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95</v>
      </c>
      <c r="D15" s="53" t="s">
        <v>6</v>
      </c>
      <c r="E15" s="53" t="s">
        <v>11</v>
      </c>
      <c r="F15" s="52" t="str">
        <f t="shared" si="0"/>
        <v>EurLiborSwapIfrFix9Y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94</v>
      </c>
      <c r="D16" s="53" t="s">
        <v>6</v>
      </c>
      <c r="E16" s="53" t="s">
        <v>11</v>
      </c>
      <c r="F16" s="52" t="str">
        <f t="shared" si="0"/>
        <v>EurLiborSwapIfrFix10Y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93</v>
      </c>
      <c r="D17" s="53" t="s">
        <v>6</v>
      </c>
      <c r="E17" s="53" t="s">
        <v>11</v>
      </c>
      <c r="F17" s="52" t="str">
        <f t="shared" si="0"/>
        <v>EurLiborSwapIfrFix11Y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92</v>
      </c>
      <c r="D18" s="53" t="s">
        <v>6</v>
      </c>
      <c r="E18" s="53" t="s">
        <v>11</v>
      </c>
      <c r="F18" s="52" t="str">
        <f t="shared" si="0"/>
        <v>EurLiborSwapIfrFix12Y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91</v>
      </c>
      <c r="D19" s="53" t="s">
        <v>6</v>
      </c>
      <c r="E19" s="53" t="s">
        <v>11</v>
      </c>
      <c r="F19" s="52" t="str">
        <f t="shared" si="0"/>
        <v>EurLiborSwapIfrFix13Y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90</v>
      </c>
      <c r="D20" s="53" t="s">
        <v>6</v>
      </c>
      <c r="E20" s="53" t="s">
        <v>11</v>
      </c>
      <c r="F20" s="52" t="str">
        <f t="shared" si="0"/>
        <v>EurLiborSwapIfrFix14Y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89</v>
      </c>
      <c r="D21" s="53" t="s">
        <v>6</v>
      </c>
      <c r="E21" s="53" t="s">
        <v>11</v>
      </c>
      <c r="F21" s="52" t="str">
        <f t="shared" si="0"/>
        <v>EurLiborSwapIfrFix15Y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88</v>
      </c>
      <c r="D22" s="53" t="s">
        <v>6</v>
      </c>
      <c r="E22" s="53" t="s">
        <v>11</v>
      </c>
      <c r="F22" s="52" t="str">
        <f t="shared" si="0"/>
        <v>EurLiborSwapIfrFix16Y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87</v>
      </c>
      <c r="D23" s="53" t="s">
        <v>6</v>
      </c>
      <c r="E23" s="53" t="s">
        <v>11</v>
      </c>
      <c r="F23" s="52" t="str">
        <f t="shared" si="0"/>
        <v>EurLiborSwapIfrFix17Y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86</v>
      </c>
      <c r="D24" s="53" t="s">
        <v>6</v>
      </c>
      <c r="E24" s="53" t="s">
        <v>11</v>
      </c>
      <c r="F24" s="52" t="str">
        <f t="shared" si="0"/>
        <v>EurLiborSwapIfrFix18Y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85</v>
      </c>
      <c r="D25" s="53" t="s">
        <v>6</v>
      </c>
      <c r="E25" s="53" t="s">
        <v>11</v>
      </c>
      <c r="F25" s="52" t="str">
        <f t="shared" si="0"/>
        <v>EurLiborSwapIfrFix19Y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84</v>
      </c>
      <c r="D26" s="53" t="s">
        <v>6</v>
      </c>
      <c r="E26" s="53" t="s">
        <v>11</v>
      </c>
      <c r="F26" s="52" t="str">
        <f t="shared" si="0"/>
        <v>EurLiborSwapIfrFix20Y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83</v>
      </c>
      <c r="D27" s="53" t="s">
        <v>6</v>
      </c>
      <c r="E27" s="53" t="s">
        <v>11</v>
      </c>
      <c r="F27" s="52" t="str">
        <f t="shared" si="0"/>
        <v>EurLiborSwapIfrFix21Y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82</v>
      </c>
      <c r="D28" s="53" t="s">
        <v>6</v>
      </c>
      <c r="E28" s="53" t="s">
        <v>11</v>
      </c>
      <c r="F28" s="52" t="str">
        <f t="shared" si="0"/>
        <v>EurLiborSwapIfrFix22Y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81</v>
      </c>
      <c r="D29" s="53" t="s">
        <v>6</v>
      </c>
      <c r="E29" s="53" t="s">
        <v>11</v>
      </c>
      <c r="F29" s="52" t="str">
        <f t="shared" si="0"/>
        <v>EurLiborSwapIfrFix23Y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80</v>
      </c>
      <c r="D30" s="53" t="s">
        <v>6</v>
      </c>
      <c r="E30" s="53" t="s">
        <v>11</v>
      </c>
      <c r="F30" s="52" t="str">
        <f t="shared" si="0"/>
        <v>EurLiborSwapIfrFix24Y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79</v>
      </c>
      <c r="D31" s="53" t="s">
        <v>6</v>
      </c>
      <c r="E31" s="53" t="s">
        <v>11</v>
      </c>
      <c r="F31" s="52" t="str">
        <f t="shared" si="0"/>
        <v>EurLiborSwapIfrFix25Y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78</v>
      </c>
      <c r="D32" s="53" t="s">
        <v>6</v>
      </c>
      <c r="E32" s="53" t="s">
        <v>11</v>
      </c>
      <c r="F32" s="52" t="str">
        <f t="shared" si="0"/>
        <v>EurLiborSwapIfrFix26Y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77</v>
      </c>
      <c r="D33" s="53" t="s">
        <v>6</v>
      </c>
      <c r="E33" s="53" t="s">
        <v>11</v>
      </c>
      <c r="F33" s="52" t="str">
        <f t="shared" si="0"/>
        <v>EurLiborSwapIfrFix27Y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76</v>
      </c>
      <c r="D34" s="53" t="s">
        <v>6</v>
      </c>
      <c r="E34" s="53" t="s">
        <v>11</v>
      </c>
      <c r="F34" s="52" t="str">
        <f t="shared" si="0"/>
        <v>EurLiborSwapIfrFix28Y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75</v>
      </c>
      <c r="D35" s="53" t="s">
        <v>6</v>
      </c>
      <c r="E35" s="53" t="s">
        <v>11</v>
      </c>
      <c r="F35" s="52" t="str">
        <f t="shared" si="0"/>
        <v>EurLiborSwapIfrFix29Y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74</v>
      </c>
      <c r="D36" s="53" t="s">
        <v>6</v>
      </c>
      <c r="E36" s="53" t="s">
        <v>11</v>
      </c>
      <c r="F36" s="52" t="str">
        <f t="shared" si="0"/>
        <v>EurLiborSwapIfrFix30Y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73</v>
      </c>
      <c r="D37" s="53" t="s">
        <v>6</v>
      </c>
      <c r="E37" s="53" t="s">
        <v>11</v>
      </c>
      <c r="F37" s="52" t="str">
        <f t="shared" si="0"/>
        <v>EurLiborSwapIfrFix31Y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72</v>
      </c>
      <c r="D38" s="53" t="s">
        <v>6</v>
      </c>
      <c r="E38" s="53" t="s">
        <v>11</v>
      </c>
      <c r="F38" s="52" t="str">
        <f t="shared" si="0"/>
        <v>EurLiborSwapIfrFix32Y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71</v>
      </c>
      <c r="D39" s="53" t="s">
        <v>6</v>
      </c>
      <c r="E39" s="53" t="s">
        <v>11</v>
      </c>
      <c r="F39" s="52" t="str">
        <f t="shared" ref="F39:F66" si="1">PROPER(Currency)&amp;FamilyName&amp;FixingType&amp;$C39</f>
        <v>EurLiborSwapIfrFix33Y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70</v>
      </c>
      <c r="D40" s="53" t="s">
        <v>6</v>
      </c>
      <c r="E40" s="53" t="s">
        <v>11</v>
      </c>
      <c r="F40" s="52" t="str">
        <f t="shared" si="1"/>
        <v>EurLiborSwapIfrFix34Y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69</v>
      </c>
      <c r="D41" s="53" t="s">
        <v>6</v>
      </c>
      <c r="E41" s="53" t="s">
        <v>11</v>
      </c>
      <c r="F41" s="52" t="str">
        <f t="shared" si="1"/>
        <v>EurLiborSwapIfrFix35Y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68</v>
      </c>
      <c r="D42" s="53" t="s">
        <v>6</v>
      </c>
      <c r="E42" s="53" t="s">
        <v>11</v>
      </c>
      <c r="F42" s="52" t="str">
        <f t="shared" si="1"/>
        <v>EurLiborSwapIfrFix36Y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67</v>
      </c>
      <c r="D43" s="53" t="s">
        <v>6</v>
      </c>
      <c r="E43" s="53" t="s">
        <v>11</v>
      </c>
      <c r="F43" s="52" t="str">
        <f t="shared" si="1"/>
        <v>EurLiborSwapIfrFix37Y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66</v>
      </c>
      <c r="D44" s="53" t="s">
        <v>6</v>
      </c>
      <c r="E44" s="53" t="s">
        <v>11</v>
      </c>
      <c r="F44" s="52" t="str">
        <f t="shared" si="1"/>
        <v>EurLiborSwapIfrFix38Y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65</v>
      </c>
      <c r="D45" s="53" t="s">
        <v>6</v>
      </c>
      <c r="E45" s="53" t="s">
        <v>11</v>
      </c>
      <c r="F45" s="52" t="str">
        <f t="shared" si="1"/>
        <v>EurLiborSwapIfrFix39Y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64</v>
      </c>
      <c r="D46" s="53" t="s">
        <v>6</v>
      </c>
      <c r="E46" s="53" t="s">
        <v>11</v>
      </c>
      <c r="F46" s="52" t="str">
        <f t="shared" si="1"/>
        <v>EurLiborSwapIfrFix40Y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63</v>
      </c>
      <c r="D47" s="53" t="s">
        <v>6</v>
      </c>
      <c r="E47" s="53" t="s">
        <v>11</v>
      </c>
      <c r="F47" s="52" t="str">
        <f t="shared" si="1"/>
        <v>EurLiborSwapIfrFix41Y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62</v>
      </c>
      <c r="D48" s="53" t="s">
        <v>6</v>
      </c>
      <c r="E48" s="53" t="s">
        <v>11</v>
      </c>
      <c r="F48" s="52" t="str">
        <f t="shared" si="1"/>
        <v>EurLiborSwapIfrFix42Y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61</v>
      </c>
      <c r="D49" s="53" t="s">
        <v>6</v>
      </c>
      <c r="E49" s="53" t="s">
        <v>11</v>
      </c>
      <c r="F49" s="52" t="str">
        <f t="shared" si="1"/>
        <v>EurLiborSwapIfrFix43Y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60</v>
      </c>
      <c r="D50" s="53" t="s">
        <v>6</v>
      </c>
      <c r="E50" s="53" t="s">
        <v>11</v>
      </c>
      <c r="F50" s="52" t="str">
        <f t="shared" si="1"/>
        <v>EurLiborSwapIfrFix44Y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59</v>
      </c>
      <c r="D51" s="53" t="s">
        <v>6</v>
      </c>
      <c r="E51" s="53" t="s">
        <v>11</v>
      </c>
      <c r="F51" s="52" t="str">
        <f t="shared" si="1"/>
        <v>EurLiborSwapIfrFix45Y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58</v>
      </c>
      <c r="D52" s="53" t="s">
        <v>6</v>
      </c>
      <c r="E52" s="53" t="s">
        <v>11</v>
      </c>
      <c r="F52" s="52" t="str">
        <f t="shared" si="1"/>
        <v>EurLiborSwapIfrFix46Y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57</v>
      </c>
      <c r="D53" s="53" t="s">
        <v>6</v>
      </c>
      <c r="E53" s="53" t="s">
        <v>11</v>
      </c>
      <c r="F53" s="52" t="str">
        <f t="shared" si="1"/>
        <v>EurLiborSwapIfrFix47Y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56</v>
      </c>
      <c r="D54" s="53" t="s">
        <v>6</v>
      </c>
      <c r="E54" s="53" t="s">
        <v>11</v>
      </c>
      <c r="F54" s="52" t="str">
        <f t="shared" si="1"/>
        <v>EurLiborSwapIfrFix48Y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55</v>
      </c>
      <c r="D55" s="53" t="s">
        <v>6</v>
      </c>
      <c r="E55" s="53" t="s">
        <v>11</v>
      </c>
      <c r="F55" s="52" t="str">
        <f t="shared" si="1"/>
        <v>EurLiborSwapIfrFix49Y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54</v>
      </c>
      <c r="D56" s="53" t="s">
        <v>6</v>
      </c>
      <c r="E56" s="53" t="s">
        <v>11</v>
      </c>
      <c r="F56" s="52" t="str">
        <f t="shared" si="1"/>
        <v>EurLiborSwapIfrFix50Y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53</v>
      </c>
      <c r="D57" s="53" t="s">
        <v>6</v>
      </c>
      <c r="E57" s="53" t="s">
        <v>11</v>
      </c>
      <c r="F57" s="52" t="str">
        <f t="shared" si="1"/>
        <v>EurLiborSwapIfrFix51Y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52</v>
      </c>
      <c r="D58" s="53" t="s">
        <v>6</v>
      </c>
      <c r="E58" s="53" t="s">
        <v>11</v>
      </c>
      <c r="F58" s="52" t="str">
        <f t="shared" si="1"/>
        <v>EurLiborSwapIfrFix52Y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51</v>
      </c>
      <c r="D59" s="53" t="s">
        <v>6</v>
      </c>
      <c r="E59" s="53" t="s">
        <v>11</v>
      </c>
      <c r="F59" s="52" t="str">
        <f t="shared" si="1"/>
        <v>EurLiborSwapIfrFix53Y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50</v>
      </c>
      <c r="D60" s="53" t="s">
        <v>6</v>
      </c>
      <c r="E60" s="53" t="s">
        <v>11</v>
      </c>
      <c r="F60" s="52" t="str">
        <f t="shared" si="1"/>
        <v>EurLiborSwapIfrFix54Y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49</v>
      </c>
      <c r="D61" s="53" t="s">
        <v>6</v>
      </c>
      <c r="E61" s="53" t="s">
        <v>11</v>
      </c>
      <c r="F61" s="52" t="str">
        <f t="shared" si="1"/>
        <v>EurLiborSwapIfrFix55Y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48</v>
      </c>
      <c r="D62" s="53" t="s">
        <v>6</v>
      </c>
      <c r="E62" s="53" t="s">
        <v>11</v>
      </c>
      <c r="F62" s="52" t="str">
        <f t="shared" si="1"/>
        <v>EurLiborSwapIfrFix56Y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47</v>
      </c>
      <c r="D63" s="53" t="s">
        <v>6</v>
      </c>
      <c r="E63" s="53" t="s">
        <v>11</v>
      </c>
      <c r="F63" s="52" t="str">
        <f t="shared" si="1"/>
        <v>EurLiborSwapIfrFix57Y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46</v>
      </c>
      <c r="D64" s="53" t="s">
        <v>6</v>
      </c>
      <c r="E64" s="53" t="s">
        <v>11</v>
      </c>
      <c r="F64" s="52" t="str">
        <f t="shared" si="1"/>
        <v>EurLiborSwapIfrFix58Y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45</v>
      </c>
      <c r="D65" s="53" t="s">
        <v>6</v>
      </c>
      <c r="E65" s="53" t="s">
        <v>11</v>
      </c>
      <c r="F65" s="52" t="str">
        <f t="shared" si="1"/>
        <v>EurLiborSwapIfrFix59Y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44</v>
      </c>
      <c r="D66" s="53" t="s">
        <v>6</v>
      </c>
      <c r="E66" s="53" t="s">
        <v>11</v>
      </c>
      <c r="F66" s="52" t="str">
        <f t="shared" si="1"/>
        <v>EurLiborSwapIfrFix60Y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24" width="9.140625" style="68"/>
    <col min="25" max="25" width="2.7109375" style="68" customWidth="1"/>
    <col min="26" max="26" width="9.140625" style="68"/>
    <col min="27" max="27" width="2.7109375" style="68" customWidth="1"/>
    <col min="28"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obj_00597#0004</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obj_00596#0004</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obj_00595#0004</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137"/>
      <c r="X3" s="284">
        <f>_xll.ohTrigger(X5:X23)</f>
        <v>0</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#NUM!</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#NUM!</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#NUM!</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#NUM!</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#NUM!</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#NUM!</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#NUM!</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#NUM!</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#NUM!</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#NUM!</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EUR1x7F_Quote#0000</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#NUM!</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EUR2x8F_Quote#0000</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#NUM!</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EUR3x9F_Quote#0000</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#NUM!</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EUR4x10F_Quote#0000</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#NUM!</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EUR5x11F_Quote#0000</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#NUM!</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EUR6x12F_Quote#0000</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#NUM!</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EUR7x13F_Quote#0000</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#NUM!</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EUR8x14F_Quote#0000</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#NUM!</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EUR9x15F_Quote#0000</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#NUM!</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EUR10x16F_Quote#0000</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#NUM!</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EUR11x17F_Quote#0000</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#NUM!</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EUR12x18F_Quote#0000</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#NUM!</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EUR13x19F_Quote#0000</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#NUM!</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EUR14x20F_Quote#0000</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#NUM!</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EUR15x21F_Quote#0000</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#NUM!</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EUR16x22F_Quote#0000</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#NUM!</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EUR17x23F_Quote#0000</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#NUM!</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EUR18x24F_Quote#0000</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#NUM!</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#NUM!</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0</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EURFUT1MF4_Quote#0000</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EURFUT1MG4_Quote#0000</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EURFUT1MH4_Quote#0000</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EURFUT1MJ4_Quote#0000</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EURFUT1MK4_Quote#0000</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EURFUT1MM4_Quote#0000</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EURFUT1MN4_Quote#0000</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EURFUT1MQ4_Quote#0000</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EURFUT1MU4_Quote#0000</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EURFUT1MV4_Quote#0000</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EURFUT1MX4_Quote#0000</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EURFUT1MZ4_Quote#0000</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EURFUT1MF5_Quote#0000</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EURFUT1MG5_Quote#0000</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EURFUT1MH5_Quote#0000</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EURFUT1MJ5_Quote#0000</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EURFUT1MK5_Quote#0000</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EURFUT1MM5_Quote#0000</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EURFUT1MN5_Quote#0000</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EURFUT1MQ5_Quote#0000</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EURFUT1MU5_Quote#0000</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EURFUT1MV5_Quote#0000</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EURFUT1MX5_Quote#0000</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EURFUT1MZ5_Quote#0000</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EURFUT1MF6_Quote#0000</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EURFUT1MG6_Quote#0000</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EURFUT1MH6_Quote#0000</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EURFUT1MJ6_Quote#0000</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EURFUT1MK6_Quote#0000</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EURFUT1MM6_Quote#0000</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EURFUT1MN6_Quote#0000</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EURFUT1MQ6_Quote#0000</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EURFUT1MU6_Quote#0000</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EURFUT1MV6_Quote#0000</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EURFUT1MX6_Quote#0000</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EURFUT1MZ6_Quote#0000</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EURFUT1MF7_Quote#0000</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EURFUT1MG7_Quote#0000</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EURFUT1MH7_Quote#0000</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EURFUT1MJ7_Quote#0000</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EURFUT1MK7_Quote#0000</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EURFUT1MM7_Quote#0000</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EURFUT1MN7_Quote#0000</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EURFUT1MQ7_Quote#0000</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EURFUT1MU7_Quote#0000</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EURFUT1MV7_Quote#0000</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EURFUT1MX7_Quote#0000</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EURFUT1MZ7_Quote#0000</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EURFUT1MF8_Quote#0000</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EURFUT1MG8_Quote#0000</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EURFUT1MH8_Quote#0000</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EURFUT1MJ8_Quote#0000</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EURFUT1MK8_Quote#0000</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EURFUT1MM8_Quote#0000</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EURFUT1MN8_Quote#0000</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EURFUT1MQ8_Quote#0000</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EURFUT1MU8_Quote#0000</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EURFUT1MV8_Quote#0000</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EURFUT1MX8_Quote#0000</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EURFUT1MZ8_Quote#0000</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EURFUT1MF9_Quote#0000</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EURFUT1MG9_Quote#0000</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EURFUT1MH9_Quote#0000</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EURFUT1MJ9_Quote#0000</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EURFUT1MK9_Quote#0000</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EURFUT1MM9_Quote#0000</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EURFUT1MN9_Quote#0000</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EURFUT1MQ9_Quote#0000</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EURFUT1MU9_Quote#0000</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EURFUT1MV9_Quote#0000</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EURFUT1MX9_Quote#0000</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EURFUT1MZ9_Quote#0000</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EURFUT1MF0_Quote#0000</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EURFUT1MG0_Quote#0000</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EURFUT1MH0_Quote#0000</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EURFUT1MJ0_Quote#0000</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EURFUT1MK0_Quote#0000</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EURFUT1MM0_Quote#0000</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EURFUT1MN0_Quote#0000</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EURFUT1MQ0_Quote#0000</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EURFUT1MU0_Quote#0000</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EURFUT1MV0_Quote#0000</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EURFUT1MX0_Quote#0000</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EURFUT1MZ0_Quote#0000</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EURFUT1MF1_Quote#0000</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EURFUT1MG1_Quote#0000</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EURFUT1MH1_Quote#0000</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EURFUT1MJ1_Quote#0000</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EURFUT1MK1_Quote#0000</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EURFUT1MM1_Quote#0000</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EURFUT1MN1_Quote#0000</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EURFUT1MQ1_Quote#0000</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EURFUT1MU1_Quote#0000</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EURFUT1MV1_Quote#0000</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EURFUT1MX1_Quote#0000</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EURFUT1MZ1_Quote#0000</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EURFUT1MF2_Quote#0000</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EURFUT1MG2_Quote#0000</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EURFUT1MH2_Quote#0000</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EURFUT1MJ2_Quote#0000</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EURFUT1MK2_Quote#0000</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EURFUT1MM2_Quote#0000</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EURFUT1MN2_Quote#0000</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EURFUT1MQ2_Quote#0000</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EURFUT1MU2_Quote#0000</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EURFUT1MV2_Quote#0000</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EURFUT1MX2_Quote#0000</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EURFUT1MZ2_Quote#0000</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EURFUT1MF3_Quote#0000</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EURFUT1MG3_Quote#0000</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EURFUT1MH3_Quote#0000</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EURFUT1MJ3_Quote#0000</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EURFUT1MK3_Quote#0000</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EURFUT1MM3_Quote#0000</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EURFUT1MN3_Quote#0000</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EURFUT1MQ3_Quote#0000</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EURFUT1MU3_Quote#0000</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EURFUT1MV3_Quote#0000</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EURFUT1MX3_Quote#0000</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0</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EURFUT3MF4_Quote#0000</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EURFUT3MF4ConvAdj_Quote#0000</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EURFUT3MG4_Quote#0000</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EURFUT3MG4ConvAdj_Quote#0000</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EURFUT3MH4_Quote#0000</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EURFUT3MH4ConvAdj_Quote#0000</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EURFUT3MJ4_Quote#0000</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EURFUT3MJ4ConvAdj_Quote#0000</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EURFUT3MK4_Quote#0000</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EURFUT3MK4ConvAdj_Quote#0000</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EURFUT3MM4_Quote#0000</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EURFUT3MM4ConvAdj_Quote#0000</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EURFUT3MN4_Quote#0000</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EURFUT3MN4ConvAdj_Quote#0000</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EURFUT3MQ4_Quote#0000</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EURFUT3MQ4ConvAdj_Quote#0000</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EURFUT3MU4_Quote#0000</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EURFUT3MU4ConvAdj_Quote#0000</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EURFUT3MV4_Quote#0000</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EURFUT3MV4ConvAdj_Quote#0000</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EURFUT3MX4_Quote#0000</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EURFUT3MX4ConvAdj_Quote#0000</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EURFUT3MZ4_Quote#0000</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ht="12" thickBot="1" x14ac:dyDescent="0.25">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x14ac:dyDescent="0.2">
      <c r="A3" s="157" t="s">
        <v>177</v>
      </c>
      <c r="B3" s="156"/>
      <c r="C3" s="156"/>
      <c r="D3" s="155" t="s">
        <v>176</v>
      </c>
      <c r="E3" s="155" t="s">
        <v>27</v>
      </c>
      <c r="F3" s="154"/>
      <c r="G3" s="154"/>
      <c r="H3" s="153"/>
      <c r="J3" s="289"/>
      <c r="K3" s="137"/>
      <c r="L3" s="137"/>
      <c r="M3" s="137"/>
      <c r="N3" s="137"/>
      <c r="O3" s="137"/>
      <c r="P3" s="137"/>
      <c r="Q3" s="137"/>
      <c r="R3" s="137"/>
      <c r="S3" s="137"/>
      <c r="T3" s="137"/>
      <c r="U3" s="137"/>
      <c r="V3" s="253"/>
      <c r="W3" s="253"/>
      <c r="X3" s="137"/>
      <c r="Y3" s="17"/>
      <c r="Z3" s="137"/>
      <c r="AA3" s="137"/>
      <c r="AB3" s="346"/>
      <c r="AC3" s="17"/>
      <c r="AD3" s="17"/>
    </row>
    <row r="4" spans="1:30" ht="22.5" x14ac:dyDescent="0.2">
      <c r="A4" s="152"/>
      <c r="B4" s="93" t="s">
        <v>174</v>
      </c>
      <c r="C4" s="94" t="s">
        <v>173</v>
      </c>
      <c r="D4" s="94" t="s">
        <v>172</v>
      </c>
      <c r="E4" s="92" t="str">
        <f>Currency&amp;"_010_"&amp;$D$3&amp;$E$3&amp;".xml"</f>
        <v>EUR_010_IMMFRA6M.xml</v>
      </c>
      <c r="F4" s="91">
        <f ca="1">IF(Serialize,_xll.ohObjectSave(F5:F124,SerializationPath&amp;E4,FileOverwrite,Serialize),"---")</f>
        <v>120</v>
      </c>
      <c r="G4" s="108" t="str">
        <f ca="1">_xll.ohRangeRetrieveError(F4)</f>
        <v/>
      </c>
      <c r="H4" s="141"/>
      <c r="J4" s="289"/>
      <c r="K4" s="137"/>
      <c r="L4" s="137"/>
      <c r="M4" s="137"/>
      <c r="N4" s="357">
        <f>_xll.qlCalendarEndOfMonth("TARGET",_xll.qlCalendarAdvance("TARGET",_xll.qlSettingsEvaluationDate(Trigger),"2d"))</f>
        <v>41639</v>
      </c>
      <c r="O4" s="137"/>
      <c r="P4" s="137"/>
      <c r="Q4" s="137"/>
      <c r="R4" s="137"/>
      <c r="S4" s="137"/>
      <c r="T4" s="137"/>
      <c r="U4" s="137"/>
      <c r="V4" s="253"/>
      <c r="W4" s="253"/>
      <c r="X4" s="137"/>
      <c r="Y4" s="253" t="s">
        <v>259</v>
      </c>
      <c r="Z4" s="137"/>
      <c r="AA4" s="284">
        <f>_xll.ohTrigger(AA6:AA9)</f>
        <v>0</v>
      </c>
      <c r="AB4" s="346"/>
      <c r="AC4" s="17"/>
      <c r="AD4" s="17"/>
    </row>
    <row r="5" spans="1:30" ht="22.5" x14ac:dyDescent="0.2">
      <c r="A5" s="146"/>
      <c r="B5" s="151">
        <v>1</v>
      </c>
      <c r="C5" s="150" t="b">
        <v>0</v>
      </c>
      <c r="D5" s="149" t="str">
        <f t="array" ref="D5:D124">_xll.qlIMMNextCodes(_xll.qlSettingsEvaluationDate(Trigger)-1,$C5:$C124)</f>
        <v>F4</v>
      </c>
      <c r="E5" s="143" t="str">
        <f t="shared" ref="E5:E36" si="0">Currency&amp;$D$3&amp;$E$3&amp;$D5&amp;QuoteSuffix</f>
        <v>EURIMMFRA6MF4_Quote</v>
      </c>
      <c r="F5" s="148" t="str">
        <f>_xll.qlSimpleQuote(E5,,PriceTickValue,Permanent,Trigger,ObjectOverwrite)</f>
        <v>EURIMMFRA6MF4_Quote#0000</v>
      </c>
      <c r="G5" s="147" t="str">
        <f>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07">
        <v>2</v>
      </c>
      <c r="C6" s="145" t="b">
        <v>0</v>
      </c>
      <c r="D6" s="144" t="str">
        <v>G4</v>
      </c>
      <c r="E6" s="143" t="str">
        <f t="shared" si="0"/>
        <v>EURIMMFRA6MG4_Quote</v>
      </c>
      <c r="F6" s="142" t="str">
        <f>_xll.qlSimpleQuote(E6,,PriceTickValue,Permanent,Trigger,ObjectOverwrite)</f>
        <v>EURIMMFRA6MG4_Quote#0000</v>
      </c>
      <c r="G6" s="105" t="str">
        <f>_xll.ohRangeRetrieveError(F6)</f>
        <v/>
      </c>
      <c r="H6" s="141"/>
      <c r="J6" s="331"/>
      <c r="K6" s="344">
        <v>1</v>
      </c>
      <c r="L6" s="343" t="b">
        <v>0</v>
      </c>
      <c r="M6" s="271" t="str">
        <f t="array" ref="M6:M9">_xll.qlIMMcode(FuturesDates)</f>
        <v>F4</v>
      </c>
      <c r="N6" s="342">
        <f t="array" ref="N6:N9">_xll.qlIMMNextDates(N4,$L6:$L9)</f>
        <v>41654</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EURIMMFRA6MF4_Quote</v>
      </c>
      <c r="Z6" s="271">
        <f t="array" ref="Z6:Z9">QuoteLive</f>
        <v>99.632000000000005</v>
      </c>
      <c r="AA6" s="274" t="e">
        <f>_xll.qlSimpleQuoteSetValue($Y6,$Z6,Trigger)</f>
        <v>#N/A</v>
      </c>
      <c r="AB6" s="49"/>
      <c r="AC6" s="17"/>
      <c r="AD6" s="292">
        <f>(R6-Q6)/100</f>
        <v>4.999999999999999E-4</v>
      </c>
    </row>
    <row r="7" spans="1:30" x14ac:dyDescent="0.2">
      <c r="A7" s="146"/>
      <c r="B7" s="107">
        <v>3</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31"/>
      <c r="K7" s="337">
        <v>2</v>
      </c>
      <c r="L7" s="336" t="b">
        <v>0</v>
      </c>
      <c r="M7" s="259" t="str">
        <v>G4</v>
      </c>
      <c r="N7" s="335">
        <v>41689</v>
      </c>
      <c r="O7" s="259" t="str">
        <v>EUR6F2=ICAP</v>
      </c>
      <c r="P7" s="334" t="s">
        <v>258</v>
      </c>
      <c r="Q7" s="259">
        <v>0.36199999999999999</v>
      </c>
      <c r="R7" s="259">
        <v>0.41199999999999998</v>
      </c>
      <c r="S7" s="259">
        <v>0</v>
      </c>
      <c r="T7" s="259">
        <v>0</v>
      </c>
      <c r="U7" s="262">
        <f>100-_xll.qlMidSafe($Q7,$R7)</f>
        <v>99.613</v>
      </c>
      <c r="V7" s="253"/>
      <c r="W7" s="338">
        <v>99.613</v>
      </c>
      <c r="X7" s="253"/>
      <c r="Y7" s="332" t="str">
        <v>EURIMMFRA6MG4_Quote</v>
      </c>
      <c r="Z7" s="259">
        <v>99.613</v>
      </c>
      <c r="AA7" s="262" t="e">
        <f>_xll.qlSimpleQuoteSetValue($Y7,$Z7,Trigger)</f>
        <v>#N/A</v>
      </c>
      <c r="AB7" s="49"/>
      <c r="AC7" s="17"/>
      <c r="AD7" s="292">
        <f>(R7-Q7)/100</f>
        <v>4.999999999999999E-4</v>
      </c>
    </row>
    <row r="8" spans="1:30" x14ac:dyDescent="0.2">
      <c r="A8" s="146"/>
      <c r="B8" s="107">
        <v>4</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31"/>
      <c r="K8" s="337">
        <v>3</v>
      </c>
      <c r="L8" s="336" t="b">
        <v>0</v>
      </c>
      <c r="M8" s="259" t="str">
        <v>H4</v>
      </c>
      <c r="N8" s="335">
        <v>41717</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EURIMMFRA6MH4_Quote</v>
      </c>
      <c r="Z8" s="259">
        <v>99.581999999999994</v>
      </c>
      <c r="AA8" s="262" t="e">
        <f>_xll.qlSimpleQuoteSetValue($Y8,$Z8,Trigger)</f>
        <v>#N/A</v>
      </c>
      <c r="AB8" s="49"/>
      <c r="AC8" s="17"/>
      <c r="AD8" s="292">
        <f>(R8-Q8)/100</f>
        <v>4.999999999999999E-4</v>
      </c>
    </row>
    <row r="9" spans="1:30" x14ac:dyDescent="0.2">
      <c r="A9" s="146"/>
      <c r="B9" s="107">
        <v>5</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31"/>
      <c r="K9" s="330">
        <v>4</v>
      </c>
      <c r="L9" s="329" t="b">
        <v>0</v>
      </c>
      <c r="M9" s="251" t="str">
        <v>J4</v>
      </c>
      <c r="N9" s="328">
        <v>41745</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EURIMMFRA6MJ4_Quote</v>
      </c>
      <c r="Z9" s="251">
        <v>99.554000000000002</v>
      </c>
      <c r="AA9" s="255" t="e">
        <f>_xll.qlSimpleQuoteSetValue($Y9,$Z9,Trigger)</f>
        <v>#N/A</v>
      </c>
      <c r="AB9" s="49"/>
      <c r="AC9" s="17"/>
      <c r="AD9" s="292">
        <f>(R9-Q9)/100</f>
        <v>4.999999999999999E-4</v>
      </c>
    </row>
    <row r="10" spans="1:30" ht="12" thickBot="1" x14ac:dyDescent="0.25">
      <c r="A10" s="146"/>
      <c r="B10" s="107">
        <v>6</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7</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30" x14ac:dyDescent="0.2">
      <c r="A12" s="146"/>
      <c r="B12" s="107">
        <v>8</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30" x14ac:dyDescent="0.2">
      <c r="A13" s="146"/>
      <c r="B13" s="107">
        <v>9</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30" x14ac:dyDescent="0.2">
      <c r="A14" s="146"/>
      <c r="B14" s="107">
        <v>10</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30" x14ac:dyDescent="0.2">
      <c r="A15" s="146"/>
      <c r="B15" s="107">
        <v>11</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30" x14ac:dyDescent="0.2">
      <c r="A16" s="146"/>
      <c r="B16" s="107">
        <v>12</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13</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14</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15</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16</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17</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18</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19</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20</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21</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22</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23</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24</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25</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26</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27</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28</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29</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30</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31</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32</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33</v>
      </c>
      <c r="C37" s="145" t="b">
        <v>0</v>
      </c>
      <c r="D37" s="144" t="str">
        <v>U6</v>
      </c>
      <c r="E37" s="143" t="str">
        <f t="shared" ref="E37:E68" si="1">Currency&amp;$D$3&amp;$E$3&amp;$D37&amp;QuoteSuffix</f>
        <v>EURIMMFRA6MU6_Quote</v>
      </c>
      <c r="F37" s="142" t="str">
        <f>_xll.qlSimpleQuote(E37,,PriceTickValue,Permanent,Trigger,ObjectOverwrite)</f>
        <v>EURIMMFRA6MU6_Quote#0000</v>
      </c>
      <c r="G37" s="105" t="str">
        <f>_xll.ohRangeRetrieveError(F37)</f>
        <v/>
      </c>
      <c r="H37" s="141"/>
    </row>
    <row r="38" spans="1:8" x14ac:dyDescent="0.2">
      <c r="A38" s="146"/>
      <c r="B38" s="107">
        <v>34</v>
      </c>
      <c r="C38" s="145" t="b">
        <v>0</v>
      </c>
      <c r="D38" s="144" t="str">
        <v>V6</v>
      </c>
      <c r="E38" s="143" t="str">
        <f t="shared" si="1"/>
        <v>EURIMMFRA6MV6_Quote</v>
      </c>
      <c r="F38" s="142" t="str">
        <f>_xll.qlSimpleQuote(E38,,PriceTickValue,Permanent,Trigger,ObjectOverwrite)</f>
        <v>EURIMMFRA6MV6_Quote#0000</v>
      </c>
      <c r="G38" s="105" t="str">
        <f>_xll.ohRangeRetrieveError(F38)</f>
        <v/>
      </c>
      <c r="H38" s="141"/>
    </row>
    <row r="39" spans="1:8" x14ac:dyDescent="0.2">
      <c r="A39" s="146"/>
      <c r="B39" s="107">
        <v>35</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36</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37</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38</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39</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40</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41</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42</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43</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44</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45</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46</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47</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48</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49</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50</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51</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52</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53</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54</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55</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56</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57</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58</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59</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60</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61</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62</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63</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64</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65</v>
      </c>
      <c r="C69" s="145" t="b">
        <v>0</v>
      </c>
      <c r="D69" s="144" t="str">
        <v>K9</v>
      </c>
      <c r="E69" s="143" t="str">
        <f t="shared" ref="E69:E100" si="2">Currency&amp;$D$3&amp;$E$3&amp;$D69&amp;QuoteSuffix</f>
        <v>EURIMMFRA6MK9_Quote</v>
      </c>
      <c r="F69" s="142" t="str">
        <f>_xll.qlSimpleQuote(E69,,PriceTickValue,Permanent,Trigger,ObjectOverwrite)</f>
        <v>EURIMMFRA6MK9_Quote#0000</v>
      </c>
      <c r="G69" s="105" t="str">
        <f>_xll.ohRangeRetrieveError(F69)</f>
        <v/>
      </c>
      <c r="H69" s="141"/>
    </row>
    <row r="70" spans="1:8" x14ac:dyDescent="0.2">
      <c r="A70" s="146"/>
      <c r="B70" s="107">
        <v>66</v>
      </c>
      <c r="C70" s="145" t="b">
        <v>0</v>
      </c>
      <c r="D70" s="144" t="str">
        <v>M9</v>
      </c>
      <c r="E70" s="143" t="str">
        <f t="shared" si="2"/>
        <v>EURIMMFRA6MM9_Quote</v>
      </c>
      <c r="F70" s="142" t="str">
        <f>_xll.qlSimpleQuote(E70,,PriceTickValue,Permanent,Trigger,ObjectOverwrite)</f>
        <v>EURIMMFRA6MM9_Quote#0000</v>
      </c>
      <c r="G70" s="105" t="str">
        <f>_xll.ohRangeRetrieveError(F70)</f>
        <v/>
      </c>
      <c r="H70" s="141"/>
    </row>
    <row r="71" spans="1:8" x14ac:dyDescent="0.2">
      <c r="A71" s="146"/>
      <c r="B71" s="107">
        <v>67</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68</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69</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70</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71</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72</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73</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74</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75</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76</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77</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78</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79</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80</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81</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82</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83</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84</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85</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86</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87</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88</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89</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90</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91</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92</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93</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94</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95</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96</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97</v>
      </c>
      <c r="C101" s="145" t="b">
        <v>0</v>
      </c>
      <c r="D101" s="144" t="str">
        <v>F2</v>
      </c>
      <c r="E101" s="143" t="str">
        <f t="shared" ref="E101:E124" si="3">Currency&amp;$D$3&amp;$E$3&amp;$D101&amp;QuoteSuffix</f>
        <v>EURIMMFRA6MF2_Quote</v>
      </c>
      <c r="F101" s="142" t="str">
        <f>_xll.qlSimpleQuote(E101,,PriceTickValue,Permanent,Trigger,ObjectOverwrite)</f>
        <v>EURIMMFRA6MF2_Quote#0000</v>
      </c>
      <c r="G101" s="105" t="str">
        <f>_xll.ohRangeRetrieveError(F101)</f>
        <v/>
      </c>
      <c r="H101" s="141"/>
    </row>
    <row r="102" spans="1:8" x14ac:dyDescent="0.2">
      <c r="A102" s="146"/>
      <c r="B102" s="107">
        <v>98</v>
      </c>
      <c r="C102" s="145" t="b">
        <v>0</v>
      </c>
      <c r="D102" s="144" t="str">
        <v>G2</v>
      </c>
      <c r="E102" s="143" t="str">
        <f t="shared" si="3"/>
        <v>EURIMMFRA6MG2_Quote</v>
      </c>
      <c r="F102" s="142" t="str">
        <f>_xll.qlSimpleQuote(E102,,PriceTickValue,Permanent,Trigger,ObjectOverwrite)</f>
        <v>EURIMMFRA6MG2_Quote#0000</v>
      </c>
      <c r="G102" s="105" t="str">
        <f>_xll.ohRangeRetrieveError(F102)</f>
        <v/>
      </c>
      <c r="H102" s="141"/>
    </row>
    <row r="103" spans="1:8" x14ac:dyDescent="0.2">
      <c r="A103" s="146"/>
      <c r="B103" s="107">
        <v>99</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100</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101</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102</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103</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104</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105</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106</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107</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108</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109</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110</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111</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112</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113</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114</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115</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116</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117</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118</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119</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120</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ht="12" thickBot="1" x14ac:dyDescent="0.25">
      <c r="A125" s="140"/>
      <c r="B125" s="139"/>
      <c r="C125" s="139"/>
      <c r="D125" s="139"/>
      <c r="E125" s="139"/>
      <c r="F125" s="139"/>
      <c r="G125" s="139"/>
      <c r="H125"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23" t="s">
        <v>267</v>
      </c>
      <c r="L4" s="524"/>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EURECBOISJAN13_Quote#0000</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EURECBOISFEB13_Quote#0000</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EURECBOISMAR13_Quote#0000</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EURECBOISAPR13_Quote#0000</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EURECBOISMAY13_Quote#0000</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EURECBOISJUN13_Quote#0000</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EURECBOISAUG13_Quote#0000</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EURECBOISSEP13_Quote#0000</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EURECBOISOCT13_Quote#0000</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EURECBOISNOV13_Quote#0000</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EURECBOISDEC13_Quote#0000</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20" width="9.140625" style="16"/>
    <col min="21" max="21" width="2.7109375" style="16" customWidth="1"/>
    <col min="22" max="22" width="9.140625" style="16"/>
    <col min="23" max="23" width="2.7109375" style="16" customWidth="1"/>
    <col min="24"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253"/>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_xll.ohTrigger(Z5:Z15)</f>
        <v>0</v>
      </c>
      <c r="AA3" s="217"/>
    </row>
    <row r="4" spans="1:29"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260" t="str">
        <f t="shared" ref="X5:X15" si="2">$N5&amp;$Y$2</f>
        <v>EUR2X1S_Quote</v>
      </c>
      <c r="Y5" s="259">
        <f t="array" ref="Y5:Y15">QuoteLive</f>
        <v>0.13600000000000001</v>
      </c>
      <c r="Z5" s="258" t="e">
        <f>_xll.qlSimpleQuoteSetValue($X5,$Y5/100,Trigger)</f>
        <v>#NUM!</v>
      </c>
      <c r="AA5" s="217"/>
      <c r="AC5" s="292">
        <f t="shared" ref="AC5:AC15" si="3">(Q5-T5)/50</f>
        <v>4.999999999999999E-4</v>
      </c>
    </row>
    <row r="6" spans="1:29"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260" t="str">
        <f t="shared" si="2"/>
        <v>EUR3X1S_Quote</v>
      </c>
      <c r="Y6" s="259">
        <v>0.14200000000000002</v>
      </c>
      <c r="Z6" s="258" t="e">
        <f>_xll.qlSimpleQuoteSetValue($X6,$Y6/100,Trigger)</f>
        <v>#NUM!</v>
      </c>
      <c r="AA6" s="217"/>
      <c r="AC6" s="292">
        <f t="shared" si="3"/>
        <v>4.999999999999999E-4</v>
      </c>
    </row>
    <row r="7" spans="1:29"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260" t="str">
        <f t="shared" si="2"/>
        <v>EUR4X1S_Quote</v>
      </c>
      <c r="Y7" s="259">
        <v>0.14600000000000002</v>
      </c>
      <c r="Z7" s="258" t="e">
        <f>_xll.qlSimpleQuoteSetValue($X7,$Y7/100,Trigger)</f>
        <v>#NUM!</v>
      </c>
      <c r="AA7" s="217"/>
      <c r="AC7" s="292">
        <f t="shared" si="3"/>
        <v>4.999999999999999E-4</v>
      </c>
    </row>
    <row r="8" spans="1:29"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260" t="str">
        <f t="shared" si="2"/>
        <v>EUR5X1S_Quote</v>
      </c>
      <c r="Y8" s="259">
        <v>0.151</v>
      </c>
      <c r="Z8" s="258" t="e">
        <f>_xll.qlSimpleQuoteSetValue($X8,$Y8/100,Trigger)</f>
        <v>#NUM!</v>
      </c>
      <c r="AA8" s="217"/>
      <c r="AC8" s="292">
        <f t="shared" si="3"/>
        <v>4.999999999999999E-4</v>
      </c>
    </row>
    <row r="9" spans="1:29"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260" t="str">
        <f t="shared" si="2"/>
        <v>EUR6X1S_Quote</v>
      </c>
      <c r="Y9" s="259">
        <v>0.158</v>
      </c>
      <c r="Z9" s="258" t="e">
        <f>_xll.qlSimpleQuoteSetValue($X9,$Y9/100,Trigger)</f>
        <v>#NUM!</v>
      </c>
      <c r="AA9" s="217"/>
      <c r="AC9" s="292">
        <f t="shared" si="3"/>
        <v>4.999999999999999E-4</v>
      </c>
    </row>
    <row r="10" spans="1:29"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260" t="str">
        <f t="shared" si="2"/>
        <v>EUR7X1S_Quote</v>
      </c>
      <c r="Y10" s="259">
        <v>0.16300000000000001</v>
      </c>
      <c r="Z10" s="258" t="e">
        <f>_xll.qlSimpleQuoteSetValue($X10,$Y10/100,Trigger)</f>
        <v>#NUM!</v>
      </c>
      <c r="AA10" s="217"/>
      <c r="AC10" s="292">
        <f t="shared" si="3"/>
        <v>4.999999999999999E-4</v>
      </c>
    </row>
    <row r="11" spans="1:29"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260" t="str">
        <f t="shared" si="2"/>
        <v>EUR8X1S_Quote</v>
      </c>
      <c r="Y11" s="259">
        <v>0.16899999999999998</v>
      </c>
      <c r="Z11" s="258" t="e">
        <f>_xll.qlSimpleQuoteSetValue($X11,$Y11/100,Trigger)</f>
        <v>#NUM!</v>
      </c>
      <c r="AA11" s="217"/>
      <c r="AC11" s="292">
        <f t="shared" si="3"/>
        <v>5.0000000000000044E-4</v>
      </c>
    </row>
    <row r="12" spans="1:29"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260" t="str">
        <f t="shared" si="2"/>
        <v>EUR9X1S_Quote</v>
      </c>
      <c r="Y12" s="259">
        <v>0.17899999999999999</v>
      </c>
      <c r="Z12" s="258" t="e">
        <f>_xll.qlSimpleQuoteSetValue($X12,$Y12/100,Trigger)</f>
        <v>#NUM!</v>
      </c>
      <c r="AA12" s="217"/>
      <c r="AC12" s="292">
        <f t="shared" si="3"/>
        <v>4.999999999999999E-4</v>
      </c>
    </row>
    <row r="13" spans="1:29"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260" t="str">
        <f t="shared" si="2"/>
        <v>EUR10X1S_Quote</v>
      </c>
      <c r="Y13" s="259">
        <v>0.186</v>
      </c>
      <c r="Z13" s="258" t="e">
        <f>_xll.qlSimpleQuoteSetValue($X13,$Y13/100,Trigger)</f>
        <v>#NUM!</v>
      </c>
      <c r="AA13" s="217"/>
      <c r="AC13" s="292">
        <f t="shared" si="3"/>
        <v>4.999999999999999E-4</v>
      </c>
    </row>
    <row r="14" spans="1:29"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260" t="str">
        <f t="shared" si="2"/>
        <v>EUR11X1S_Quote</v>
      </c>
      <c r="Y14" s="259">
        <v>0.19500000000000001</v>
      </c>
      <c r="Z14" s="258" t="e">
        <f>_xll.qlSimpleQuoteSetValue($X14,$Y14/100,Trigger)</f>
        <v>#NUM!</v>
      </c>
      <c r="AA14" s="217"/>
      <c r="AC14" s="292">
        <f t="shared" si="3"/>
        <v>4.999999999999999E-4</v>
      </c>
    </row>
    <row r="15" spans="1:29"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252" t="str">
        <f t="shared" si="2"/>
        <v>EUR12X1S_Quote</v>
      </c>
      <c r="Y15" s="251">
        <v>0.20400000000000001</v>
      </c>
      <c r="Z15" s="250" t="e">
        <f>_xll.qlSimpleQuoteSetValue($X15,$Y15/100,Trigger)</f>
        <v>#NUM!</v>
      </c>
      <c r="AA15" s="217"/>
      <c r="AC15" s="292">
        <f t="shared" si="3"/>
        <v>4.999999999999999E-4</v>
      </c>
    </row>
    <row r="16" spans="1:29"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47"/>
      <c r="AA16"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#NUM!</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#NUM!</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#NUM!</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#NUM!</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#NUM!</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24" width="9.140625" style="16"/>
    <col min="25" max="25" width="2.7109375" style="16" customWidth="1"/>
    <col min="26" max="26" width="9.140625" style="16"/>
    <col min="27" max="27" width="2.7109375" style="16" customWidth="1"/>
    <col min="28"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#NUM!</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#NUM!</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#NUM!</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#NUM!</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#NUM!</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EURAB3E3Y_Quote#0000</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#NUM!</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EURAB3E4Y_Quote#0000</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#NUM!</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EURAB3E5Y_Quote#0000</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#NUM!</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EURAB3E6Y_Quote#0000</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#NUM!</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EURAB3E7Y_Quote#0000</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#NUM!</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EURAB3E8Y_Quote#0000</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#NUM!</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EURAB3E9Y_Quote#0000</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#NUM!</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EURAB3E10Y_Quote#0000</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#NUM!</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EURAB3E11Y_Quote#0000</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#NUM!</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EURAB3E12Y_Quote#0000</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#NUM!</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EURAB3E13Y_Quote#0000</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EURAB3E14Y_Quote#0000</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EURAB3E15Y_Quote#0000</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#NUM!</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EURAB3E16Y_Quote#0000</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EURAB3E17Y_Quote#0000</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EURAB3E18Y_Quote#0000</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EURAB3E19Y_Quote#0000</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EURAB3E20Y_Quote#0000</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#NUM!</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EURAB3E21Y_Quote#0000</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EURAB3E22Y_Quote#0000</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EURAB3E23Y_Quote#0000</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EURAB3E24Y_Quote#0000</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EURAB3E25Y_Quote#0000</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#NUM!</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EURAB3E26Y_Quote#0000</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EURAB3E27Y_Quote#0000</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EURAB3E28Y_Quote#0000</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EURAB3E29Y_Quote#0000</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EURAB3E30Y_Quote#0000</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#NUM!</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EURAB3E35Y_Quote#0000</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EURAB3E40Y_Quote#0000</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#NUM!</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EURAB3E50Y_Quote#0000</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#NUM!</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EURAB3E60Y_Quote#0000</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#NUM!</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18</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tr">
        <f>_xll.qlPeriodEquivalent(Months&amp;"M")</f>
        <v>1M</v>
      </c>
      <c r="D1" s="225"/>
      <c r="E1" s="225"/>
      <c r="F1" s="224"/>
    </row>
    <row r="2" spans="1:6" x14ac:dyDescent="0.2">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row>
    <row r="3" spans="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row>
    <row r="4" spans="1:6" x14ac:dyDescent="0.2">
      <c r="A4" s="122"/>
      <c r="B4" s="229" t="s">
        <v>154</v>
      </c>
      <c r="C4" s="129" t="str">
        <f t="shared" si="0"/>
        <v>EURTND_SYNTH1M_Quote</v>
      </c>
      <c r="D4" s="131" t="str">
        <f>_xll.qlSimpleQuote(C4,,RateTickValue,Permanent,Trigger,ObjectOverwrite)</f>
        <v>EURTND_SYNTH1M_Quote#0000</v>
      </c>
      <c r="E4" s="227" t="str">
        <f>_xll.ohRangeRetrieveError(D4)</f>
        <v/>
      </c>
      <c r="F4" s="217"/>
    </row>
    <row r="5" spans="1:6" x14ac:dyDescent="0.2">
      <c r="A5" s="122"/>
      <c r="B5" s="229" t="s">
        <v>153</v>
      </c>
      <c r="C5" s="129" t="str">
        <f t="shared" si="0"/>
        <v>EURSND_SYNTH1M_Quote</v>
      </c>
      <c r="D5" s="131" t="str">
        <f>_xll.qlSimpleQuote(C5,,RateTickValue,Permanent,Trigger,ObjectOverwrite)</f>
        <v>EURSND_SYNTH1M_Quote#0000</v>
      </c>
      <c r="E5" s="227" t="str">
        <f>_xll.ohRangeRetrieveError(D5)</f>
        <v/>
      </c>
      <c r="F5" s="217"/>
    </row>
    <row r="6" spans="1:6" x14ac:dyDescent="0.2">
      <c r="A6" s="122"/>
      <c r="B6" s="229" t="s">
        <v>152</v>
      </c>
      <c r="C6" s="129" t="str">
        <f t="shared" si="0"/>
        <v>EURSWD_SYNTH1M_Quote</v>
      </c>
      <c r="D6" s="131" t="str">
        <f>_xll.qlSimpleQuote(C6,,RateTickValue,Permanent,Trigger,ObjectOverwrite)</f>
        <v>EURSWD_SYNTH1M_Quote#0000</v>
      </c>
      <c r="E6" s="227" t="str">
        <f>_xll.ohRangeRetrieveError(D6)</f>
        <v/>
      </c>
      <c r="F6" s="217"/>
    </row>
    <row r="7" spans="1:6" x14ac:dyDescent="0.2">
      <c r="A7" s="122"/>
      <c r="B7" s="229" t="s">
        <v>151</v>
      </c>
      <c r="C7" s="129" t="str">
        <f t="shared" si="0"/>
        <v>EUR2WD_SYNTH1M_Quote</v>
      </c>
      <c r="D7" s="131" t="str">
        <f>_xll.qlSimpleQuote(C7,,RateTickValue,Permanent,Trigger,ObjectOverwrite)</f>
        <v>EUR2WD_SYNTH1M_Quote#0000</v>
      </c>
      <c r="E7" s="227" t="str">
        <f>_xll.ohRangeRetrieveError(D7)</f>
        <v/>
      </c>
      <c r="F7" s="217"/>
    </row>
    <row r="8" spans="1:6" x14ac:dyDescent="0.2">
      <c r="A8" s="122"/>
      <c r="B8" s="229" t="s">
        <v>150</v>
      </c>
      <c r="C8" s="129" t="str">
        <f t="shared" si="0"/>
        <v>EUR3WD_SYNTH1M_Quote</v>
      </c>
      <c r="D8" s="131" t="str">
        <f>_xll.qlSimpleQuote(C8,,RateTickValue,Permanent,Trigger,ObjectOverwrite)</f>
        <v>EUR3WD_SYNTH1M_Quote#0000</v>
      </c>
      <c r="E8" s="227" t="str">
        <f>_xll.ohRangeRetrieveError(D8)</f>
        <v/>
      </c>
      <c r="F8" s="217"/>
    </row>
    <row r="9" spans="1:6" x14ac:dyDescent="0.2">
      <c r="A9" s="122"/>
      <c r="B9" s="228" t="s">
        <v>149</v>
      </c>
      <c r="C9" s="129" t="str">
        <f t="shared" si="0"/>
        <v>EUR1MD_SYNTH1M_Quote</v>
      </c>
      <c r="D9" s="129" t="str">
        <f>_xll.qlSimpleQuote(C9,,RateTickValue,Permanent,Trigger,ObjectOverwrite)</f>
        <v>EUR1MD_SYNTH1M_Quote#0000</v>
      </c>
      <c r="E9" s="227" t="str">
        <f>_xll.ohRangeRetrieveError(D9)</f>
        <v/>
      </c>
      <c r="F9" s="217"/>
    </row>
    <row r="10" spans="1:6" x14ac:dyDescent="0.2">
      <c r="A10" s="122"/>
      <c r="B10" s="221" t="s">
        <v>195</v>
      </c>
      <c r="C10" s="125" t="str">
        <f t="shared" si="0"/>
        <v>EURTOY_SYNTH1M_Quote</v>
      </c>
      <c r="D10" s="127" t="str">
        <f>_xll.qlSimpleQuote(C10,1,RateTickValue,Permanent,Trigger,ObjectOverwrite)</f>
        <v>EURTOY_SYNTH1M_Quote#0000</v>
      </c>
      <c r="E10" s="220" t="str">
        <f>_xll.ohRangeRetrieveError(D10)</f>
        <v/>
      </c>
      <c r="F10" s="217"/>
    </row>
    <row r="11" spans="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3</v>
      </c>
      <c r="C1" s="226" t="str">
        <f>_xll.qlPeriodEquivalent(Months&amp;"M")</f>
        <v>3M</v>
      </c>
      <c r="D1" s="225"/>
      <c r="E1" s="225"/>
      <c r="F1" s="224"/>
    </row>
    <row r="2" spans="1:6" x14ac:dyDescent="0.2">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row>
    <row r="3" spans="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row>
    <row r="4" spans="1:6" x14ac:dyDescent="0.2">
      <c r="A4" s="122"/>
      <c r="B4" s="229" t="s">
        <v>154</v>
      </c>
      <c r="C4" s="129" t="str">
        <f t="shared" si="0"/>
        <v>EURTND_SYNTH3M_Quote</v>
      </c>
      <c r="D4" s="129" t="str">
        <f>_xll.qlSimpleQuote(C4,,RateTickValue,Permanent,Trigger,ObjectOverwrite)</f>
        <v>EURTND_SYNTH3M_Quote#0000</v>
      </c>
      <c r="E4" s="234" t="str">
        <f>_xll.ohRangeRetrieveError(D4)</f>
        <v/>
      </c>
      <c r="F4" s="217"/>
    </row>
    <row r="5" spans="1:6" x14ac:dyDescent="0.2">
      <c r="A5" s="122"/>
      <c r="B5" s="228" t="s">
        <v>153</v>
      </c>
      <c r="C5" s="129" t="str">
        <f t="shared" si="0"/>
        <v>EURSND_SYNTH3M_Quote</v>
      </c>
      <c r="D5" s="129" t="str">
        <f>_xll.qlSimpleQuote(C5,,RateTickValue,Permanent,Trigger,ObjectOverwrite)</f>
        <v>EURSND_SYNTH3M_Quote#0000</v>
      </c>
      <c r="E5" s="234" t="str">
        <f>_xll.ohRangeRetrieveError(D5)</f>
        <v/>
      </c>
      <c r="F5" s="217"/>
    </row>
    <row r="6" spans="1:6" x14ac:dyDescent="0.2">
      <c r="A6" s="122"/>
      <c r="B6" s="228" t="s">
        <v>152</v>
      </c>
      <c r="C6" s="129" t="str">
        <f t="shared" si="0"/>
        <v>EURSWD_SYNTH3M_Quote</v>
      </c>
      <c r="D6" s="129" t="str">
        <f>_xll.qlSimpleQuote(C6,,RateTickValue,Permanent,Trigger,ObjectOverwrite)</f>
        <v>EURSWD_SYNTH3M_Quote#0000</v>
      </c>
      <c r="E6" s="234" t="str">
        <f>_xll.ohRangeRetrieveError(D6)</f>
        <v/>
      </c>
      <c r="F6" s="217"/>
    </row>
    <row r="7" spans="1:6" x14ac:dyDescent="0.2">
      <c r="A7" s="122"/>
      <c r="B7" s="228" t="s">
        <v>151</v>
      </c>
      <c r="C7" s="129" t="str">
        <f t="shared" si="0"/>
        <v>EUR2WD_SYNTH3M_Quote</v>
      </c>
      <c r="D7" s="129" t="str">
        <f>_xll.qlSimpleQuote(C7,,RateTickValue,Permanent,Trigger,ObjectOverwrite)</f>
        <v>EUR2WD_SYNTH3M_Quote#0000</v>
      </c>
      <c r="E7" s="234" t="str">
        <f>_xll.ohRangeRetrieveError(D7)</f>
        <v/>
      </c>
      <c r="F7" s="217"/>
    </row>
    <row r="8" spans="1:6" x14ac:dyDescent="0.2">
      <c r="A8" s="122"/>
      <c r="B8" s="228" t="s">
        <v>150</v>
      </c>
      <c r="C8" s="129" t="str">
        <f t="shared" si="0"/>
        <v>EUR3WD_SYNTH3M_Quote</v>
      </c>
      <c r="D8" s="129" t="str">
        <f>_xll.qlSimpleQuote(C8,,RateTickValue,Permanent,Trigger,ObjectOverwrite)</f>
        <v>EUR3WD_SYNTH3M_Quote#0000</v>
      </c>
      <c r="E8" s="234" t="str">
        <f>_xll.ohRangeRetrieveError(D8)</f>
        <v/>
      </c>
      <c r="F8" s="217"/>
    </row>
    <row r="9" spans="1:6" x14ac:dyDescent="0.2">
      <c r="A9" s="122"/>
      <c r="B9" s="228" t="s">
        <v>149</v>
      </c>
      <c r="C9" s="129" t="str">
        <f t="shared" si="0"/>
        <v>EUR1MD_SYNTH3M_Quote</v>
      </c>
      <c r="D9" s="129" t="str">
        <f>_xll.qlSimpleQuote(C9,,RateTickValue,Permanent,Trigger,ObjectOverwrite)</f>
        <v>EUR1MD_SYNTH3M_Quote#0000</v>
      </c>
      <c r="E9" s="234" t="str">
        <f>_xll.ohRangeRetrieveError(D9)</f>
        <v/>
      </c>
      <c r="F9" s="217"/>
    </row>
    <row r="10" spans="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row>
    <row r="11" spans="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row>
    <row r="12" spans="1:6" x14ac:dyDescent="0.2">
      <c r="A12" s="122"/>
      <c r="B12" s="233" t="s">
        <v>195</v>
      </c>
      <c r="C12" s="125" t="str">
        <f t="shared" si="0"/>
        <v>EURTOY_SYNTH3M_Quote</v>
      </c>
      <c r="D12" s="125" t="str">
        <f>_xll.qlSimpleQuote(C12,1,RateTickValue,Permanent,Trigger,ObjectOverwrite)</f>
        <v>EURTOY_SYNTH3M_Quote#0000</v>
      </c>
      <c r="E12" s="232" t="str">
        <f>_xll.ohRangeRetrieveError(D12)</f>
        <v/>
      </c>
      <c r="F12" s="217"/>
    </row>
    <row r="13" spans="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EURTND_SYNTH6M_Quote#0000</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EURSND_SYNTH6M_Quote#0000</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EURSWD_SYNTH6M_Quote#0000</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EUR2WD_SYNTH6M_Quote#0000</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EUR3WD_SYNTH6M_Quote#0000</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EUR1MD_SYNTH6M_Quote#0000</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EURTOY_SYNTH6M_Quote#0000</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EURTND_SYNTH1Y_Quote#0000</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EURSND_SYNTH1Y_Quote#0000</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EURSWD_SYNTH1Y_Quote#0000</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EUR2WD_SYNTH1Y_Quote#0000</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EUR3WD_SYNTH1Y_Quote#0000</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EUR1MD_SYNTH1Y_Quote#0000</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EUR8MD_SYNTH1Y_Quote#0000</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EUR16x28F_SYNTH1Y_Quote#0000</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EUR17x29F_SYNTH1Y_Quote#0000</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EUR18x30F_SYNTH1Y_Quote#0000</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EUR19x31F_SYNTH1Y_Quote#0000</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EUR20x32F_SYNTH1Y_Quote#0000</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EUR21x33F_SYNTH1Y_Quote#0000</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EUR22x34F_SYNTH1Y_Quote#0000</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EUR23x35F_SYNTH1Y_Quote#0000</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EUR25x37F_SYNTH1Y_Quote#0000</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EUR26x38F_SYNTH1Y_Quote#0000</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EUR27x39F_SYNTH1Y_Quote#0000</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EUR28x40F_SYNTH1Y_Quote#0000</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EUR29x41F_SYNTH1Y_Quote#0000</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EUR30x42F_SYNTH1Y_Quote#0000</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EUR31x43F_SYNTH1Y_Quote#0000</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EUR32x44F_SYNTH1Y_Quote#0000</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EUR33x45F_SYNTH1Y_Quote#0000</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EUR34x46F_SYNTH1Y_Quote#0000</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EUR35x47F_SYNTH1Y_Quote#0000</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EUR37x49F_SYNTH1Y_Quote#0000</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EUR38x50F_SYNTH1Y_Quote#0000</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EUR39x51F_SYNTH1Y_Quote#0000</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EUR40x52F_SYNTH1Y_Quote#0000</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EUR41x53F_SYNTH1Y_Quote#0000</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EUR42x54F_SYNTH1Y_Quote#0000</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EUR43x55F_SYNTH1Y_Quote#0000</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EUR44x56F_SYNTH1Y_Quote#0000</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EUR45x57F_SYNTH1Y_Quote#0000</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EUR46x58F_SYNTH1Y_Quote#0000</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EUR47x59F_SYNTH1Y_Quote#0000</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123</v>
      </c>
      <c r="E3" s="106" t="s">
        <v>122</v>
      </c>
      <c r="F3" s="236" t="str">
        <f t="shared" ref="F3:F39" si="0">Currency&amp;$C3&amp;E3&amp;$B3&amp;QuoteSuffix</f>
        <v>EURAB6E1Y_Quote</v>
      </c>
      <c r="G3" s="106" t="s">
        <v>207</v>
      </c>
      <c r="H3" s="237" t="str">
        <f t="shared" ref="H3:H39" si="1">Currency&amp;IF($G3="-",$D3&amp;E3,E3&amp;$D3)&amp;$B3&amp;QuoteSuffix</f>
        <v>EUR1E6E1Y_Quote</v>
      </c>
      <c r="I3" s="236" t="str">
        <f t="shared" ref="I3:I39" si="2">Currency&amp;$C3&amp;$D3&amp;"BASIS"&amp;$B3&amp;QuoteSuffix</f>
        <v>EURAB1EBASIS1Y_Quote</v>
      </c>
      <c r="J3" s="236" t="e">
        <f>_xll.qlCompositeQuote(I3,F3,H3,G3,Permanent,Trigger,ObjectOverwrite)</f>
        <v>#NUM!</v>
      </c>
      <c r="K3" s="245" t="e">
        <f ca="1">_xll.ohRangeRetrieveError(J3)</f>
        <v>#NUM!</v>
      </c>
      <c r="L3" s="49"/>
    </row>
    <row r="4" spans="1:12" x14ac:dyDescent="0.2">
      <c r="A4" s="122"/>
      <c r="B4" s="214" t="s">
        <v>127</v>
      </c>
      <c r="C4" s="106" t="s">
        <v>188</v>
      </c>
      <c r="D4" s="106" t="s">
        <v>123</v>
      </c>
      <c r="E4" s="106" t="s">
        <v>122</v>
      </c>
      <c r="F4" s="236" t="str">
        <f t="shared" si="0"/>
        <v>EURAB6E15M_Quote</v>
      </c>
      <c r="G4" s="106" t="s">
        <v>207</v>
      </c>
      <c r="H4" s="237" t="str">
        <f t="shared" si="1"/>
        <v>EUR1E6E15M_Quote</v>
      </c>
      <c r="I4" s="236" t="str">
        <f t="shared" si="2"/>
        <v>EURAB1EBASIS15M_Quote</v>
      </c>
      <c r="J4" s="236" t="e">
        <f>_xll.qlCompositeQuote(I4,F4,H4,G4,Permanent,Trigger,ObjectOverwrite)</f>
        <v>#NUM!</v>
      </c>
      <c r="K4" s="245" t="e">
        <f ca="1">_xll.ohRangeRetrieveError(J4)</f>
        <v>#NUM!</v>
      </c>
      <c r="L4" s="49"/>
    </row>
    <row r="5" spans="1:12" x14ac:dyDescent="0.2">
      <c r="A5" s="122"/>
      <c r="B5" s="214" t="s">
        <v>126</v>
      </c>
      <c r="C5" s="106" t="s">
        <v>188</v>
      </c>
      <c r="D5" s="106" t="s">
        <v>123</v>
      </c>
      <c r="E5" s="106" t="s">
        <v>122</v>
      </c>
      <c r="F5" s="236" t="str">
        <f t="shared" si="0"/>
        <v>EURAB6E18M_Quote</v>
      </c>
      <c r="G5" s="106" t="s">
        <v>207</v>
      </c>
      <c r="H5" s="237" t="str">
        <f t="shared" si="1"/>
        <v>EUR1E6E18M_Quote</v>
      </c>
      <c r="I5" s="236" t="str">
        <f t="shared" si="2"/>
        <v>EURAB1EBASIS18M_Quote</v>
      </c>
      <c r="J5" s="236" t="e">
        <f>_xll.qlCompositeQuote(I5,F5,H5,G5,Permanent,Trigger,ObjectOverwrite)</f>
        <v>#NUM!</v>
      </c>
      <c r="K5" s="245" t="e">
        <f ca="1">_xll.ohRangeRetrieveError(J5)</f>
        <v>#NUM!</v>
      </c>
      <c r="L5" s="49"/>
    </row>
    <row r="6" spans="1:12" x14ac:dyDescent="0.2">
      <c r="A6" s="122"/>
      <c r="B6" s="214" t="s">
        <v>125</v>
      </c>
      <c r="C6" s="106" t="s">
        <v>188</v>
      </c>
      <c r="D6" s="106" t="s">
        <v>123</v>
      </c>
      <c r="E6" s="106" t="s">
        <v>122</v>
      </c>
      <c r="F6" s="236" t="str">
        <f t="shared" si="0"/>
        <v>EURAB6E21M_Quote</v>
      </c>
      <c r="G6" s="106" t="s">
        <v>207</v>
      </c>
      <c r="H6" s="237" t="str">
        <f t="shared" si="1"/>
        <v>EUR1E6E21M_Quote</v>
      </c>
      <c r="I6" s="236" t="str">
        <f t="shared" si="2"/>
        <v>EURAB1EBASIS21M_Quote</v>
      </c>
      <c r="J6" s="236" t="e">
        <f>_xll.qlCompositeQuote(I6,F6,H6,G6,Permanent,Trigger,ObjectOverwrite)</f>
        <v>#NUM!</v>
      </c>
      <c r="K6" s="245" t="e">
        <f ca="1">_xll.ohRangeRetrieveError(J6)</f>
        <v>#NUM!</v>
      </c>
      <c r="L6" s="49"/>
    </row>
    <row r="7" spans="1:12" x14ac:dyDescent="0.2">
      <c r="A7" s="122"/>
      <c r="B7" s="214" t="s">
        <v>102</v>
      </c>
      <c r="C7" s="106" t="s">
        <v>188</v>
      </c>
      <c r="D7" s="106" t="s">
        <v>123</v>
      </c>
      <c r="E7" s="106" t="s">
        <v>122</v>
      </c>
      <c r="F7" s="236" t="str">
        <f t="shared" si="0"/>
        <v>EURAB6E2Y_Quote</v>
      </c>
      <c r="G7" s="106" t="s">
        <v>207</v>
      </c>
      <c r="H7" s="237" t="str">
        <f t="shared" si="1"/>
        <v>EUR1E6E2Y_Quote</v>
      </c>
      <c r="I7" s="236" t="str">
        <f t="shared" si="2"/>
        <v>EURAB1EBASIS2Y_Quote</v>
      </c>
      <c r="J7" s="236" t="e">
        <f>_xll.qlCompositeQuote(I7,F7,H7,G7,Permanent,Trigger,ObjectOverwrite)</f>
        <v>#NUM!</v>
      </c>
      <c r="K7" s="245" t="e">
        <f ca="1">_xll.ohRangeRetrieveError(J7)</f>
        <v>#NUM!</v>
      </c>
      <c r="L7" s="49"/>
    </row>
    <row r="8" spans="1:12" x14ac:dyDescent="0.2">
      <c r="A8" s="122"/>
      <c r="B8" s="214" t="s">
        <v>101</v>
      </c>
      <c r="C8" s="106" t="s">
        <v>188</v>
      </c>
      <c r="D8" s="106" t="s">
        <v>123</v>
      </c>
      <c r="E8" s="106" t="s">
        <v>122</v>
      </c>
      <c r="F8" s="236" t="str">
        <f t="shared" si="0"/>
        <v>EURAB6E3Y_Quote</v>
      </c>
      <c r="G8" s="106" t="s">
        <v>207</v>
      </c>
      <c r="H8" s="237" t="str">
        <f t="shared" si="1"/>
        <v>EUR1E6E3Y_Quote</v>
      </c>
      <c r="I8" s="236" t="str">
        <f t="shared" si="2"/>
        <v>EURAB1EBASIS3Y_Quote</v>
      </c>
      <c r="J8" s="236" t="e">
        <f>_xll.qlCompositeQuote(I8,F8,H8,G8,Permanent,Trigger,ObjectOverwrite)</f>
        <v>#NUM!</v>
      </c>
      <c r="K8" s="245" t="e">
        <f ca="1">_xll.ohRangeRetrieveError(J8)</f>
        <v>#NUM!</v>
      </c>
      <c r="L8" s="49"/>
    </row>
    <row r="9" spans="1:12" x14ac:dyDescent="0.2">
      <c r="A9" s="122"/>
      <c r="B9" s="214" t="s">
        <v>100</v>
      </c>
      <c r="C9" s="106" t="s">
        <v>188</v>
      </c>
      <c r="D9" s="106" t="s">
        <v>123</v>
      </c>
      <c r="E9" s="106" t="s">
        <v>122</v>
      </c>
      <c r="F9" s="236" t="str">
        <f t="shared" si="0"/>
        <v>EURAB6E4Y_Quote</v>
      </c>
      <c r="G9" s="106" t="s">
        <v>207</v>
      </c>
      <c r="H9" s="237" t="str">
        <f t="shared" si="1"/>
        <v>EUR1E6E4Y_Quote</v>
      </c>
      <c r="I9" s="236" t="str">
        <f t="shared" si="2"/>
        <v>EURAB1EBASIS4Y_Quote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123</v>
      </c>
      <c r="E10" s="106" t="s">
        <v>122</v>
      </c>
      <c r="F10" s="236" t="str">
        <f t="shared" si="0"/>
        <v>EURAB6E5Y_Quote</v>
      </c>
      <c r="G10" s="106" t="s">
        <v>207</v>
      </c>
      <c r="H10" s="237" t="str">
        <f t="shared" si="1"/>
        <v>EUR1E6E5Y_Quote</v>
      </c>
      <c r="I10" s="236" t="str">
        <f t="shared" si="2"/>
        <v>EURAB1EBASIS5Y_Quote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123</v>
      </c>
      <c r="E11" s="106" t="s">
        <v>122</v>
      </c>
      <c r="F11" s="236" t="str">
        <f t="shared" si="0"/>
        <v>EURAB6E6Y_Quote</v>
      </c>
      <c r="G11" s="106" t="s">
        <v>207</v>
      </c>
      <c r="H11" s="237" t="str">
        <f t="shared" si="1"/>
        <v>EUR1E6E6Y_Quote</v>
      </c>
      <c r="I11" s="236" t="str">
        <f t="shared" si="2"/>
        <v>EURAB1EBASIS6Y_Quote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123</v>
      </c>
      <c r="E12" s="106" t="s">
        <v>122</v>
      </c>
      <c r="F12" s="236" t="str">
        <f t="shared" si="0"/>
        <v>EURAB6E7Y_Quote</v>
      </c>
      <c r="G12" s="106" t="s">
        <v>207</v>
      </c>
      <c r="H12" s="237" t="str">
        <f t="shared" si="1"/>
        <v>EUR1E6E7Y_Quote</v>
      </c>
      <c r="I12" s="236" t="str">
        <f t="shared" si="2"/>
        <v>EURAB1EBASIS7Y_Quote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123</v>
      </c>
      <c r="E13" s="106" t="s">
        <v>122</v>
      </c>
      <c r="F13" s="236" t="str">
        <f t="shared" si="0"/>
        <v>EURAB6E8Y_Quote</v>
      </c>
      <c r="G13" s="106" t="s">
        <v>207</v>
      </c>
      <c r="H13" s="237" t="str">
        <f t="shared" si="1"/>
        <v>EUR1E6E8Y_Quote</v>
      </c>
      <c r="I13" s="236" t="str">
        <f t="shared" si="2"/>
        <v>EURAB1EBASIS8Y_Quote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123</v>
      </c>
      <c r="E14" s="106" t="s">
        <v>122</v>
      </c>
      <c r="F14" s="236" t="str">
        <f t="shared" si="0"/>
        <v>EURAB6E9Y_Quote</v>
      </c>
      <c r="G14" s="106" t="s">
        <v>207</v>
      </c>
      <c r="H14" s="237" t="str">
        <f t="shared" si="1"/>
        <v>EUR1E6E9Y_Quote</v>
      </c>
      <c r="I14" s="236" t="str">
        <f t="shared" si="2"/>
        <v>EURAB1EBASIS9Y_Quote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123</v>
      </c>
      <c r="E15" s="106" t="s">
        <v>122</v>
      </c>
      <c r="F15" s="236" t="str">
        <f t="shared" si="0"/>
        <v>EURAB6E10Y_Quote</v>
      </c>
      <c r="G15" s="106" t="s">
        <v>207</v>
      </c>
      <c r="H15" s="237" t="str">
        <f t="shared" si="1"/>
        <v>EUR1E6E10Y_Quote</v>
      </c>
      <c r="I15" s="236" t="str">
        <f t="shared" si="2"/>
        <v>EURAB1EBASIS10Y_Quote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123</v>
      </c>
      <c r="E16" s="106" t="s">
        <v>122</v>
      </c>
      <c r="F16" s="236" t="str">
        <f t="shared" si="0"/>
        <v>EURAB6E11Y_Quote</v>
      </c>
      <c r="G16" s="106" t="s">
        <v>207</v>
      </c>
      <c r="H16" s="237" t="str">
        <f t="shared" si="1"/>
        <v>EUR1E6E11Y_Quote</v>
      </c>
      <c r="I16" s="236" t="str">
        <f t="shared" si="2"/>
        <v>EURAB1EBASIS11Y_Quote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123</v>
      </c>
      <c r="E17" s="106" t="s">
        <v>122</v>
      </c>
      <c r="F17" s="236" t="str">
        <f t="shared" si="0"/>
        <v>EURAB6E12Y_Quote</v>
      </c>
      <c r="G17" s="106" t="s">
        <v>207</v>
      </c>
      <c r="H17" s="237" t="str">
        <f t="shared" si="1"/>
        <v>EUR1E6E12Y_Quote</v>
      </c>
      <c r="I17" s="236" t="str">
        <f t="shared" si="2"/>
        <v>EURAB1EBASIS12Y_Quote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123</v>
      </c>
      <c r="E18" s="106" t="s">
        <v>122</v>
      </c>
      <c r="F18" s="236" t="str">
        <f t="shared" si="0"/>
        <v>EURAB6E13Y_Quote</v>
      </c>
      <c r="G18" s="106" t="s">
        <v>207</v>
      </c>
      <c r="H18" s="237" t="str">
        <f t="shared" si="1"/>
        <v>EUR1E6E13Y_Quote</v>
      </c>
      <c r="I18" s="236" t="str">
        <f t="shared" si="2"/>
        <v>EURAB1EBASIS13Y_Quote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123</v>
      </c>
      <c r="E19" s="106" t="s">
        <v>122</v>
      </c>
      <c r="F19" s="236" t="str">
        <f t="shared" si="0"/>
        <v>EURAB6E14Y_Quote</v>
      </c>
      <c r="G19" s="106" t="s">
        <v>207</v>
      </c>
      <c r="H19" s="237" t="str">
        <f t="shared" si="1"/>
        <v>EUR1E6E14Y_Quote</v>
      </c>
      <c r="I19" s="236" t="str">
        <f t="shared" si="2"/>
        <v>EURAB1EBASIS14Y_Quote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123</v>
      </c>
      <c r="E20" s="106" t="s">
        <v>122</v>
      </c>
      <c r="F20" s="236" t="str">
        <f t="shared" si="0"/>
        <v>EURAB6E15Y_Quote</v>
      </c>
      <c r="G20" s="106" t="s">
        <v>207</v>
      </c>
      <c r="H20" s="237" t="str">
        <f t="shared" si="1"/>
        <v>EUR1E6E15Y_Quote</v>
      </c>
      <c r="I20" s="236" t="str">
        <f t="shared" si="2"/>
        <v>EURAB1EBASIS15Y_Quote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123</v>
      </c>
      <c r="E21" s="106" t="s">
        <v>122</v>
      </c>
      <c r="F21" s="236" t="str">
        <f t="shared" si="0"/>
        <v>EURAB6E16Y_Quote</v>
      </c>
      <c r="G21" s="106" t="s">
        <v>207</v>
      </c>
      <c r="H21" s="237" t="str">
        <f t="shared" si="1"/>
        <v>EUR1E6E16Y_Quote</v>
      </c>
      <c r="I21" s="236" t="str">
        <f t="shared" si="2"/>
        <v>EURAB1EBASIS16Y_Quote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123</v>
      </c>
      <c r="E22" s="106" t="s">
        <v>122</v>
      </c>
      <c r="F22" s="236" t="str">
        <f t="shared" si="0"/>
        <v>EURAB6E17Y_Quote</v>
      </c>
      <c r="G22" s="106" t="s">
        <v>207</v>
      </c>
      <c r="H22" s="237" t="str">
        <f t="shared" si="1"/>
        <v>EUR1E6E17Y_Quote</v>
      </c>
      <c r="I22" s="236" t="str">
        <f t="shared" si="2"/>
        <v>EURAB1EBASIS17Y_Quote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123</v>
      </c>
      <c r="E23" s="106" t="s">
        <v>122</v>
      </c>
      <c r="F23" s="236" t="str">
        <f t="shared" si="0"/>
        <v>EURAB6E18Y_Quote</v>
      </c>
      <c r="G23" s="106" t="s">
        <v>207</v>
      </c>
      <c r="H23" s="237" t="str">
        <f t="shared" si="1"/>
        <v>EUR1E6E18Y_Quote</v>
      </c>
      <c r="I23" s="236" t="str">
        <f t="shared" si="2"/>
        <v>EURAB1EBASIS18Y_Quote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123</v>
      </c>
      <c r="E24" s="106" t="s">
        <v>122</v>
      </c>
      <c r="F24" s="236" t="str">
        <f t="shared" si="0"/>
        <v>EURAB6E19Y_Quote</v>
      </c>
      <c r="G24" s="106" t="s">
        <v>207</v>
      </c>
      <c r="H24" s="237" t="str">
        <f t="shared" si="1"/>
        <v>EUR1E6E19Y_Quote</v>
      </c>
      <c r="I24" s="236" t="str">
        <f t="shared" si="2"/>
        <v>EURAB1EBASIS19Y_Quote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123</v>
      </c>
      <c r="E25" s="106" t="s">
        <v>122</v>
      </c>
      <c r="F25" s="236" t="str">
        <f t="shared" si="0"/>
        <v>EURAB6E20Y_Quote</v>
      </c>
      <c r="G25" s="106" t="s">
        <v>207</v>
      </c>
      <c r="H25" s="237" t="str">
        <f t="shared" si="1"/>
        <v>EUR1E6E20Y_Quote</v>
      </c>
      <c r="I25" s="236" t="str">
        <f t="shared" si="2"/>
        <v>EURAB1EBASIS20Y_Quote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123</v>
      </c>
      <c r="E26" s="106" t="s">
        <v>122</v>
      </c>
      <c r="F26" s="236" t="str">
        <f t="shared" si="0"/>
        <v>EURAB6E21Y_Quote</v>
      </c>
      <c r="G26" s="106" t="s">
        <v>207</v>
      </c>
      <c r="H26" s="237" t="str">
        <f t="shared" si="1"/>
        <v>EUR1E6E21Y_Quote</v>
      </c>
      <c r="I26" s="236" t="str">
        <f t="shared" si="2"/>
        <v>EURAB1EBASIS21Y_Quote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123</v>
      </c>
      <c r="E27" s="106" t="s">
        <v>122</v>
      </c>
      <c r="F27" s="236" t="str">
        <f t="shared" si="0"/>
        <v>EURAB6E22Y_Quote</v>
      </c>
      <c r="G27" s="106" t="s">
        <v>207</v>
      </c>
      <c r="H27" s="237" t="str">
        <f t="shared" si="1"/>
        <v>EUR1E6E22Y_Quote</v>
      </c>
      <c r="I27" s="236" t="str">
        <f t="shared" si="2"/>
        <v>EURAB1EBASIS22Y_Quote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123</v>
      </c>
      <c r="E28" s="106" t="s">
        <v>122</v>
      </c>
      <c r="F28" s="236" t="str">
        <f t="shared" si="0"/>
        <v>EURAB6E23Y_Quote</v>
      </c>
      <c r="G28" s="106" t="s">
        <v>207</v>
      </c>
      <c r="H28" s="237" t="str">
        <f t="shared" si="1"/>
        <v>EUR1E6E23Y_Quote</v>
      </c>
      <c r="I28" s="236" t="str">
        <f t="shared" si="2"/>
        <v>EURAB1EBASIS23Y_Quote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123</v>
      </c>
      <c r="E29" s="106" t="s">
        <v>122</v>
      </c>
      <c r="F29" s="236" t="str">
        <f t="shared" si="0"/>
        <v>EURAB6E24Y_Quote</v>
      </c>
      <c r="G29" s="106" t="s">
        <v>207</v>
      </c>
      <c r="H29" s="237" t="str">
        <f t="shared" si="1"/>
        <v>EUR1E6E24Y_Quote</v>
      </c>
      <c r="I29" s="236" t="str">
        <f t="shared" si="2"/>
        <v>EURAB1EBASIS24Y_Quote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123</v>
      </c>
      <c r="E30" s="106" t="s">
        <v>122</v>
      </c>
      <c r="F30" s="236" t="str">
        <f t="shared" si="0"/>
        <v>EURAB6E25Y_Quote</v>
      </c>
      <c r="G30" s="106" t="s">
        <v>207</v>
      </c>
      <c r="H30" s="237" t="str">
        <f t="shared" si="1"/>
        <v>EUR1E6E25Y_Quote</v>
      </c>
      <c r="I30" s="236" t="str">
        <f t="shared" si="2"/>
        <v>EURAB1EBASIS25Y_Quote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123</v>
      </c>
      <c r="E31" s="106" t="s">
        <v>122</v>
      </c>
      <c r="F31" s="236" t="str">
        <f t="shared" si="0"/>
        <v>EURAB6E26Y_Quote</v>
      </c>
      <c r="G31" s="106" t="s">
        <v>207</v>
      </c>
      <c r="H31" s="237" t="str">
        <f t="shared" si="1"/>
        <v>EUR1E6E26Y_Quote</v>
      </c>
      <c r="I31" s="236" t="str">
        <f t="shared" si="2"/>
        <v>EURAB1EBASIS26Y_Quote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123</v>
      </c>
      <c r="E32" s="106" t="s">
        <v>122</v>
      </c>
      <c r="F32" s="236" t="str">
        <f t="shared" si="0"/>
        <v>EURAB6E27Y_Quote</v>
      </c>
      <c r="G32" s="106" t="s">
        <v>207</v>
      </c>
      <c r="H32" s="237" t="str">
        <f t="shared" si="1"/>
        <v>EUR1E6E27Y_Quote</v>
      </c>
      <c r="I32" s="236" t="str">
        <f t="shared" si="2"/>
        <v>EURAB1EBASIS27Y_Quote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123</v>
      </c>
      <c r="E33" s="106" t="s">
        <v>122</v>
      </c>
      <c r="F33" s="236" t="str">
        <f t="shared" si="0"/>
        <v>EURAB6E28Y_Quote</v>
      </c>
      <c r="G33" s="106" t="s">
        <v>207</v>
      </c>
      <c r="H33" s="237" t="str">
        <f t="shared" si="1"/>
        <v>EUR1E6E28Y_Quote</v>
      </c>
      <c r="I33" s="236" t="str">
        <f t="shared" si="2"/>
        <v>EURAB1EBASIS28Y_Quote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123</v>
      </c>
      <c r="E34" s="106" t="s">
        <v>122</v>
      </c>
      <c r="F34" s="236" t="str">
        <f t="shared" si="0"/>
        <v>EURAB6E29Y_Quote</v>
      </c>
      <c r="G34" s="106" t="s">
        <v>207</v>
      </c>
      <c r="H34" s="237" t="str">
        <f t="shared" si="1"/>
        <v>EUR1E6E29Y_Quote</v>
      </c>
      <c r="I34" s="236" t="str">
        <f t="shared" si="2"/>
        <v>EURAB1EBASIS29Y_Quote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123</v>
      </c>
      <c r="E35" s="106" t="s">
        <v>122</v>
      </c>
      <c r="F35" s="236" t="str">
        <f t="shared" si="0"/>
        <v>EURAB6E30Y_Quote</v>
      </c>
      <c r="G35" s="106" t="s">
        <v>207</v>
      </c>
      <c r="H35" s="237" t="str">
        <f t="shared" si="1"/>
        <v>EUR1E6E30Y_Quote</v>
      </c>
      <c r="I35" s="236" t="str">
        <f t="shared" si="2"/>
        <v>EURAB1EBASIS30Y_Quote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123</v>
      </c>
      <c r="E36" s="106" t="s">
        <v>122</v>
      </c>
      <c r="F36" s="236" t="str">
        <f t="shared" si="0"/>
        <v>EURAB6E35Y_Quote</v>
      </c>
      <c r="G36" s="106" t="s">
        <v>207</v>
      </c>
      <c r="H36" s="237" t="str">
        <f t="shared" si="1"/>
        <v>EUR1E6E35Y_Quote</v>
      </c>
      <c r="I36" s="236" t="str">
        <f t="shared" si="2"/>
        <v>EURAB1EBASIS35Y_Quote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123</v>
      </c>
      <c r="E37" s="106" t="s">
        <v>122</v>
      </c>
      <c r="F37" s="236" t="str">
        <f t="shared" si="0"/>
        <v>EURAB6E40Y_Quote</v>
      </c>
      <c r="G37" s="106" t="s">
        <v>207</v>
      </c>
      <c r="H37" s="237" t="str">
        <f t="shared" si="1"/>
        <v>EUR1E6E40Y_Quote</v>
      </c>
      <c r="I37" s="236" t="str">
        <f t="shared" si="2"/>
        <v>EURAB1EBASIS40Y_Quote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123</v>
      </c>
      <c r="E38" s="106" t="s">
        <v>122</v>
      </c>
      <c r="F38" s="236" t="str">
        <f t="shared" si="0"/>
        <v>EURAB6E50Y_Quote</v>
      </c>
      <c r="G38" s="106" t="s">
        <v>207</v>
      </c>
      <c r="H38" s="237" t="str">
        <f t="shared" si="1"/>
        <v>EUR1E6E50Y_Quote</v>
      </c>
      <c r="I38" s="236" t="str">
        <f t="shared" si="2"/>
        <v>EURAB1EBASIS50Y_Quote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123</v>
      </c>
      <c r="E39" s="106" t="s">
        <v>122</v>
      </c>
      <c r="F39" s="236" t="str">
        <f t="shared" si="0"/>
        <v>EURAB6E60Y_Quote</v>
      </c>
      <c r="G39" s="106" t="s">
        <v>207</v>
      </c>
      <c r="H39" s="237" t="str">
        <f t="shared" si="1"/>
        <v>EUR1E6E60Y_Quote</v>
      </c>
      <c r="I39" s="236" t="str">
        <f t="shared" si="2"/>
        <v>EURAB1EBASIS60Y_Quote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e">
        <f>_xll.qlCompositeQuote(I3,F3,H3,G3,Permanent,Trigger,ObjectOverwrite)</f>
        <v>#NUM!</v>
      </c>
      <c r="K3" s="245" t="e">
        <f ca="1">_xll.ohRangeRetrieveError(J3)</f>
        <v>#NUM!</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e">
        <f>_xll.qlCompositeQuote(I4,F4,H4,G4,Permanent,Trigger,ObjectOverwrite)</f>
        <v>#NUM!</v>
      </c>
      <c r="K4" s="245" t="e">
        <f ca="1">_xll.ohRangeRetrieveError(J4)</f>
        <v>#NUM!</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e">
        <f>_xll.qlCompositeQuote(I5,F5,H5,G5,Permanent,Trigger,ObjectOverwrite)</f>
        <v>#NUM!</v>
      </c>
      <c r="K5" s="245" t="e">
        <f ca="1">_xll.ohRangeRetrieveError(J5)</f>
        <v>#NUM!</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e">
        <f>_xll.qlCompositeQuote(I6,F6,H6,G6,Permanent,Trigger,ObjectOverwrite)</f>
        <v>#NUM!</v>
      </c>
      <c r="K6" s="245" t="e">
        <f ca="1">_xll.ohRangeRetrieveError(J6)</f>
        <v>#NUM!</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e">
        <f>_xll.qlCompositeQuote(I7,F7,H7,G7,Permanent,Trigger,ObjectOverwrite)</f>
        <v>#NUM!</v>
      </c>
      <c r="K7" s="245" t="e">
        <f ca="1">_xll.ohRangeRetrieveError(J7)</f>
        <v>#NUM!</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e">
        <f>_xll.qlCompositeQuote(I8,F8,H8,G8,Permanent,Trigger,ObjectOverwrite)</f>
        <v>#NUM!</v>
      </c>
      <c r="K8" s="245" t="e">
        <f ca="1">_xll.ohRangeRetrieveError(J8)</f>
        <v>#NUM!</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e">
        <f>_xll.qlCompositeQuote(I3,F3,H3,G3,Permanent,Trigger,ObjectOverwrite)</f>
        <v>#NUM!</v>
      </c>
      <c r="K3" s="245" t="e">
        <f ca="1">_xll.ohRangeRetrieveError(J3)</f>
        <v>#NUM!</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e">
        <f>_xll.qlCompositeQuote(I4,F4,H4,G4,Permanent,Trigger,ObjectOverwrite)</f>
        <v>#NUM!</v>
      </c>
      <c r="K4" s="245" t="e">
        <f ca="1">_xll.ohRangeRetrieveError(J4)</f>
        <v>#NUM!</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e">
        <f>_xll.qlCompositeQuote(I5,F5,H5,G5,Permanent,Trigger,ObjectOverwrite)</f>
        <v>#NUM!</v>
      </c>
      <c r="K5" s="245" t="e">
        <f ca="1">_xll.ohRangeRetrieveError(J5)</f>
        <v>#NUM!</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e">
        <f>_xll.qlCompositeQuote(I6,F6,H6,G6,Permanent,Trigger,ObjectOverwrite)</f>
        <v>#NUM!</v>
      </c>
      <c r="K6" s="245" t="e">
        <f ca="1">_xll.ohRangeRetrieveError(J6)</f>
        <v>#NUM!</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e">
        <f>_xll.qlCompositeQuote(I7,F7,H7,G7,Permanent,Trigger,ObjectOverwrite)</f>
        <v>#NUM!</v>
      </c>
      <c r="K7" s="245" t="e">
        <f ca="1">_xll.ohRangeRetrieveError(J7)</f>
        <v>#NUM!</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e">
        <f>_xll.qlCompositeQuote(I8,F8,H8,G8,Permanent,Trigger,ObjectOverwrite)</f>
        <v>#NUM!</v>
      </c>
      <c r="K8" s="245" t="e">
        <f ca="1">_xll.ohRangeRetrieveError(J8)</f>
        <v>#NUM!</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e">
        <f>_xll.qlCompositeQuote(I9,F9,H9,G9,Permanent,Trigger,ObjectOverwrite)</f>
        <v>#NUM!</v>
      </c>
      <c r="K9" s="245" t="e">
        <f ca="1">_xll.ohRangeRetrieveError(J9)</f>
        <v>#NUM!</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e">
        <f>IF($G4,_xll.qlIndexAddFixings($J4,$E4,$F4/100,TRUE,ISERROR($K4)),NA())</f>
        <v>#NUM!</v>
      </c>
      <c r="I4" s="464"/>
      <c r="J4" s="473" t="str">
        <f t="shared" ref="J4:J18" si="1">PROPER(Currency)&amp;$J$2&amp;$C4</f>
        <v>Euribor365SW</v>
      </c>
      <c r="K4" s="472" t="e">
        <f>_xll.qlIndexFixing($J4,$E4,TRUE,$G4)</f>
        <v>#NUM!</v>
      </c>
      <c r="L4" s="472" t="e">
        <f>IF($H4,_xll.qlIndexFixing($J4,$E4,FALSE,$G4),"-")</f>
        <v>#NUM!</v>
      </c>
      <c r="M4" s="472" t="e">
        <f t="shared" ref="M4:M18" si="2">K4-L4</f>
        <v>#NUM!</v>
      </c>
      <c r="N4" s="471" t="e">
        <f>_xll.qlIndexFixing($J4,$E4,TRUE,$L4)</f>
        <v>#NUM!</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e">
        <f>IF($G5,_xll.qlIndexAddFixings($J5,$E5,$F5/100,TRUE,ISERROR($K5)),NA())</f>
        <v>#NUM!</v>
      </c>
      <c r="I5" s="464"/>
      <c r="J5" s="473" t="str">
        <f t="shared" si="1"/>
        <v>Euribor3652W</v>
      </c>
      <c r="K5" s="472" t="e">
        <f>_xll.qlIndexFixing($J5,$E5,TRUE,$G5)</f>
        <v>#NUM!</v>
      </c>
      <c r="L5" s="472" t="e">
        <f>IF($H5,_xll.qlIndexFixing($J5,$E5,FALSE,$G5),"-")</f>
        <v>#NUM!</v>
      </c>
      <c r="M5" s="472" t="e">
        <f t="shared" si="2"/>
        <v>#NUM!</v>
      </c>
      <c r="N5" s="471" t="e">
        <f>_xll.qlIndexFixing($J5,$E5,TRUE,$L5)</f>
        <v>#NUM!</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e">
        <f>IF($G6,_xll.qlIndexAddFixings($J6,$E6,$F6/100,TRUE,ISERROR($K6)),NA())</f>
        <v>#NUM!</v>
      </c>
      <c r="I6" s="464"/>
      <c r="J6" s="473" t="str">
        <f t="shared" si="1"/>
        <v>Euribor3653W</v>
      </c>
      <c r="K6" s="472" t="e">
        <f>_xll.qlIndexFixing($J6,$E6,TRUE,$G6)</f>
        <v>#NUM!</v>
      </c>
      <c r="L6" s="472" t="e">
        <f>IF($H6,_xll.qlIndexFixing($J6,$E6,FALSE,$G6),"-")</f>
        <v>#NUM!</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e">
        <f>IF($G7,_xll.qlIndexAddFixings($J7,$E7,$F7/100,TRUE,ISERROR($K7)),NA())</f>
        <v>#NUM!</v>
      </c>
      <c r="I7" s="464"/>
      <c r="J7" s="473" t="str">
        <f t="shared" si="1"/>
        <v>Euribor3651M</v>
      </c>
      <c r="K7" s="472" t="e">
        <f>_xll.qlIndexFixing($J7,$E7,TRUE,$G7)</f>
        <v>#NUM!</v>
      </c>
      <c r="L7" s="472" t="e">
        <f>IF($H7,_xll.qlIndexFixing($J7,$E7,FALSE,$G7),"-")</f>
        <v>#NUM!</v>
      </c>
      <c r="M7" s="472" t="e">
        <f t="shared" si="2"/>
        <v>#NUM!</v>
      </c>
      <c r="N7" s="471" t="e">
        <f>_xll.qlIndexFixing($J7,$E7,TRUE,$L7)</f>
        <v>#NUM!</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e">
        <f>IF($G8,_xll.qlIndexAddFixings($J8,$E8,$F8/100,TRUE,ISERROR($K8)),NA())</f>
        <v>#NUM!</v>
      </c>
      <c r="I8" s="464"/>
      <c r="J8" s="473" t="str">
        <f t="shared" si="1"/>
        <v>Euribor3652M</v>
      </c>
      <c r="K8" s="472" t="e">
        <f>_xll.qlIndexFixing($J8,$E8,TRUE,$G8)</f>
        <v>#NUM!</v>
      </c>
      <c r="L8" s="472" t="e">
        <f>IF($H8,_xll.qlIndexFixing($J8,$E8,FALSE,$G8),"-")</f>
        <v>#NUM!</v>
      </c>
      <c r="M8" s="472" t="e">
        <f t="shared" si="2"/>
        <v>#NUM!</v>
      </c>
      <c r="N8" s="471" t="e">
        <f>_xll.qlIndexFixing($J8,$E8,TRUE,$L8)</f>
        <v>#NUM!</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e">
        <f>IF($G9,_xll.qlIndexAddFixings($J9,$E9,$F9/100,TRUE,ISERROR($K9)),NA())</f>
        <v>#NUM!</v>
      </c>
      <c r="I9" s="464"/>
      <c r="J9" s="473" t="str">
        <f t="shared" si="1"/>
        <v>Euribor3653M</v>
      </c>
      <c r="K9" s="472" t="e">
        <f>_xll.qlIndexFixing($J9,$E9,TRUE,$G9)</f>
        <v>#NUM!</v>
      </c>
      <c r="L9" s="472" t="e">
        <f>IF($H9,_xll.qlIndexFixing($J9,$E9,FALSE,$G9),"-")</f>
        <v>#NUM!</v>
      </c>
      <c r="M9" s="472" t="e">
        <f t="shared" si="2"/>
        <v>#NUM!</v>
      </c>
      <c r="N9" s="471" t="e">
        <f>_xll.qlIndexFixing($J9,$E9,TRUE,$L9)</f>
        <v>#NUM!</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e">
        <f>IF($G10,_xll.qlIndexAddFixings($J10,$E10,$F10/100,TRUE,ISERROR($K10)),NA())</f>
        <v>#NUM!</v>
      </c>
      <c r="I10" s="464"/>
      <c r="J10" s="473" t="str">
        <f t="shared" si="1"/>
        <v>Euribor3654M</v>
      </c>
      <c r="K10" s="472" t="e">
        <f>_xll.qlIndexFixing($J10,$E10,TRUE,$G10)</f>
        <v>#NUM!</v>
      </c>
      <c r="L10" s="472" t="e">
        <f>IF($H10,_xll.qlIndexFixing($J10,$E10,FALSE,$G10),"-")</f>
        <v>#NUM!</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e">
        <f>IF($G11,_xll.qlIndexAddFixings($J11,$E11,$F11/100,TRUE,ISERROR($K11)),NA())</f>
        <v>#NUM!</v>
      </c>
      <c r="I11" s="464"/>
      <c r="J11" s="473" t="str">
        <f t="shared" si="1"/>
        <v>Euribor3655M</v>
      </c>
      <c r="K11" s="472" t="e">
        <f>_xll.qlIndexFixing($J11,$E11,TRUE,$G11)</f>
        <v>#NUM!</v>
      </c>
      <c r="L11" s="472" t="e">
        <f>IF($H11,_xll.qlIndexFixing($J11,$E11,FALSE,$G11),"-")</f>
        <v>#NUM!</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e">
        <f>IF($G12,_xll.qlIndexAddFixings($J12,$E12,$F12/100,TRUE,ISERROR($K12)),NA())</f>
        <v>#NUM!</v>
      </c>
      <c r="I12" s="464"/>
      <c r="J12" s="473" t="str">
        <f t="shared" si="1"/>
        <v>Euribor3656M</v>
      </c>
      <c r="K12" s="472" t="e">
        <f>_xll.qlIndexFixing($J12,$E12,TRUE,$G12)</f>
        <v>#NUM!</v>
      </c>
      <c r="L12" s="472" t="e">
        <f>IF($H12,_xll.qlIndexFixing($J12,$E12,FALSE,$G12),"-")</f>
        <v>#NUM!</v>
      </c>
      <c r="M12" s="472" t="e">
        <f t="shared" si="2"/>
        <v>#NUM!</v>
      </c>
      <c r="N12" s="471" t="e">
        <f>_xll.qlIndexFixing($J12,$E12,TRUE,$L12)</f>
        <v>#NUM!</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e">
        <f>IF($G13,_xll.qlIndexAddFixings($J13,$E13,$F13/100,TRUE,ISERROR($K13)),NA())</f>
        <v>#NUM!</v>
      </c>
      <c r="I13" s="464"/>
      <c r="J13" s="473" t="str">
        <f t="shared" si="1"/>
        <v>Euribor3657M</v>
      </c>
      <c r="K13" s="472" t="e">
        <f>_xll.qlIndexFixing($J13,$E13,TRUE,$G13)</f>
        <v>#NUM!</v>
      </c>
      <c r="L13" s="472" t="e">
        <f>IF($H13,_xll.qlIndexFixing($J13,$E13,FALSE,$G13),"-")</f>
        <v>#NUM!</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e">
        <f>IF($G14,_xll.qlIndexAddFixings($J14,$E14,$F14/100,TRUE,ISERROR($K14)),NA())</f>
        <v>#NUM!</v>
      </c>
      <c r="I14" s="464"/>
      <c r="J14" s="473" t="str">
        <f t="shared" si="1"/>
        <v>Euribor3658M</v>
      </c>
      <c r="K14" s="472" t="e">
        <f>_xll.qlIndexFixing($J14,$E14,TRUE,$G14)</f>
        <v>#NUM!</v>
      </c>
      <c r="L14" s="472" t="e">
        <f>IF($H14,_xll.qlIndexFixing($J14,$E14,FALSE,$G14),"-")</f>
        <v>#NUM!</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e">
        <f>IF($G15,_xll.qlIndexAddFixings($J15,$E15,$F15/100,TRUE,ISERROR($K15)),NA())</f>
        <v>#NUM!</v>
      </c>
      <c r="I15" s="464"/>
      <c r="J15" s="473" t="str">
        <f t="shared" si="1"/>
        <v>Euribor3659M</v>
      </c>
      <c r="K15" s="472" t="e">
        <f>_xll.qlIndexFixing($J15,$E15,TRUE,$G15)</f>
        <v>#NUM!</v>
      </c>
      <c r="L15" s="472" t="e">
        <f>IF($H15,_xll.qlIndexFixing($J15,$E15,FALSE,$G15),"-")</f>
        <v>#NUM!</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e">
        <f>IF($G16,_xll.qlIndexAddFixings($J16,$E16,$F16/100,TRUE,ISERROR($K16)),NA())</f>
        <v>#NUM!</v>
      </c>
      <c r="I16" s="464"/>
      <c r="J16" s="473" t="str">
        <f t="shared" si="1"/>
        <v>Euribor36510M</v>
      </c>
      <c r="K16" s="472" t="e">
        <f>_xll.qlIndexFixing($J16,$E16,TRUE,$G16)</f>
        <v>#NUM!</v>
      </c>
      <c r="L16" s="472" t="e">
        <f>IF($H16,_xll.qlIndexFixing($J16,$E16,FALSE,$G16),"-")</f>
        <v>#NUM!</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e">
        <f>IF($G17,_xll.qlIndexAddFixings($J17,$E17,$F17/100,TRUE,ISERROR($K17)),NA())</f>
        <v>#NUM!</v>
      </c>
      <c r="I17" s="464"/>
      <c r="J17" s="473" t="str">
        <f t="shared" si="1"/>
        <v>Euribor36511M</v>
      </c>
      <c r="K17" s="472" t="e">
        <f>_xll.qlIndexFixing($J17,$E17,TRUE,$G17)</f>
        <v>#NUM!</v>
      </c>
      <c r="L17" s="472" t="e">
        <f>IF($H17,_xll.qlIndexFixing($J17,$E17,FALSE,$G17),"-")</f>
        <v>#NUM!</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e">
        <f>IF($G18,_xll.qlIndexAddFixings($J18,$E18,$F18/100,TRUE,ISERROR($K18)),NA())</f>
        <v>#NUM!</v>
      </c>
      <c r="I18" s="464"/>
      <c r="J18" s="463" t="str">
        <f t="shared" si="1"/>
        <v>Euribor3651Y</v>
      </c>
      <c r="K18" s="462" t="e">
        <f>_xll.qlIndexFixing($J18,$E18,TRUE,$G18)</f>
        <v>#NUM!</v>
      </c>
      <c r="L18" s="462" t="e">
        <f>IF($H18,_xll.qlIndexFixing($J18,$E18,FALSE,$G18),"-")</f>
        <v>#NUM!</v>
      </c>
      <c r="M18" s="462" t="e">
        <f t="shared" si="2"/>
        <v>#NUM!</v>
      </c>
      <c r="N18" s="461" t="e">
        <f>_xll.qlIndexFixing($J18,$E18,TRUE,$L18)</f>
        <v>#NUM!</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e">
        <f>IF($G4,_xll.qlIndexAddFixings($J4,$E4,$F4/100,TRUE,ISERROR($K4)),NA())</f>
        <v>#NUM!</v>
      </c>
      <c r="I4" s="464"/>
      <c r="J4" s="495" t="str">
        <f t="shared" ref="J4:J18" si="1">PROPER(Currency)&amp;$J$2&amp;$C4</f>
        <v>EurLiborON</v>
      </c>
      <c r="K4" s="494" t="e">
        <f>_xll.qlIndexFixing($J4,$E4,TRUE,$G4)</f>
        <v>#NUM!</v>
      </c>
      <c r="L4" s="494" t="e">
        <f>IF($H4,_xll.qlIndexFixing($J4,$E4,FALSE,$G4),"-")</f>
        <v>#NUM!</v>
      </c>
      <c r="M4" s="494" t="e">
        <f t="shared" ref="M4:M18" si="2">K4-L4</f>
        <v>#NUM!</v>
      </c>
      <c r="N4" s="493" t="e">
        <f>_xll.qlIndexFixing($J4,$E4,TRUE,$L4)</f>
        <v>#NUM!</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e">
        <f>IF($G5,_xll.qlIndexAddFixings($J5,$E5,$F5/100,TRUE,ISERROR($K5)),NA())</f>
        <v>#NUM!</v>
      </c>
      <c r="I5" s="464"/>
      <c r="J5" s="473" t="str">
        <f t="shared" si="1"/>
        <v>EurLiborSW</v>
      </c>
      <c r="K5" s="472" t="e">
        <f>_xll.qlIndexFixing($J5,$E5,TRUE,$G5)</f>
        <v>#NUM!</v>
      </c>
      <c r="L5" s="472" t="e">
        <f>IF($H5,_xll.qlIndexFixing($J5,$E5,FALSE,$G5),"-")</f>
        <v>#NUM!</v>
      </c>
      <c r="M5" s="472" t="e">
        <f t="shared" si="2"/>
        <v>#NUM!</v>
      </c>
      <c r="N5" s="471" t="e">
        <f>_xll.qlIndexFixing($J5,$E5,TRUE,$L5)</f>
        <v>#NUM!</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e">
        <f>IF($G7,_xll.qlIndexAddFixings($J7,$E7,$F7/100,TRUE,ISERROR($K7)),NA())</f>
        <v>#NUM!</v>
      </c>
      <c r="I7" s="464"/>
      <c r="J7" s="473" t="str">
        <f t="shared" si="1"/>
        <v>EurLibor1M</v>
      </c>
      <c r="K7" s="472" t="e">
        <f>_xll.qlIndexFixing($J7,$E7,TRUE,$G7)</f>
        <v>#NUM!</v>
      </c>
      <c r="L7" s="472" t="e">
        <f>IF($H7,_xll.qlIndexFixing($J7,$E7,FALSE,$G7),"-")</f>
        <v>#NUM!</v>
      </c>
      <c r="M7" s="472" t="e">
        <f t="shared" si="2"/>
        <v>#NUM!</v>
      </c>
      <c r="N7" s="471" t="e">
        <f>_xll.qlIndexFixing($J7,$E7,TRUE,$L7)</f>
        <v>#NUM!</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e">
        <f>IF($G8,_xll.qlIndexAddFixings($J8,$E8,$F8/100,TRUE,ISERROR($K8)),NA())</f>
        <v>#NUM!</v>
      </c>
      <c r="I8" s="464"/>
      <c r="J8" s="473" t="str">
        <f t="shared" si="1"/>
        <v>EurLibor2M</v>
      </c>
      <c r="K8" s="472" t="e">
        <f>_xll.qlIndexFixing($J8,$E8,TRUE,$G8)</f>
        <v>#NUM!</v>
      </c>
      <c r="L8" s="472" t="e">
        <f>IF($H8,_xll.qlIndexFixing($J8,$E8,FALSE,$G8),"-")</f>
        <v>#NUM!</v>
      </c>
      <c r="M8" s="472" t="e">
        <f t="shared" si="2"/>
        <v>#NUM!</v>
      </c>
      <c r="N8" s="471" t="e">
        <f>_xll.qlIndexFixing($J8,$E8,TRUE,$L8)</f>
        <v>#NUM!</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e">
        <f>IF($G9,_xll.qlIndexAddFixings($J9,$E9,$F9/100,TRUE,ISERROR($K9)),NA())</f>
        <v>#NUM!</v>
      </c>
      <c r="I9" s="464"/>
      <c r="J9" s="473" t="str">
        <f t="shared" si="1"/>
        <v>EurLibor3M</v>
      </c>
      <c r="K9" s="472" t="e">
        <f>_xll.qlIndexFixing($J9,$E9,TRUE,$G9)</f>
        <v>#NUM!</v>
      </c>
      <c r="L9" s="472" t="e">
        <f>IF($H9,_xll.qlIndexFixing($J9,$E9,FALSE,$G9),"-")</f>
        <v>#NUM!</v>
      </c>
      <c r="M9" s="472" t="e">
        <f t="shared" si="2"/>
        <v>#NUM!</v>
      </c>
      <c r="N9" s="471" t="e">
        <f>_xll.qlIndexFixing($J9,$E9,TRUE,$L9)</f>
        <v>#NUM!</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e">
        <f>IF($G12,_xll.qlIndexAddFixings($J12,$E12,$F12/100,TRUE,ISERROR($K12)),NA())</f>
        <v>#NUM!</v>
      </c>
      <c r="I12" s="464"/>
      <c r="J12" s="473" t="str">
        <f t="shared" si="1"/>
        <v>EurLibor6M</v>
      </c>
      <c r="K12" s="472" t="e">
        <f>_xll.qlIndexFixing($J12,$E12,TRUE,$G12)</f>
        <v>#NUM!</v>
      </c>
      <c r="L12" s="472" t="e">
        <f>IF($H12,_xll.qlIndexFixing($J12,$E12,FALSE,$G12),"-")</f>
        <v>#NUM!</v>
      </c>
      <c r="M12" s="472" t="e">
        <f t="shared" si="2"/>
        <v>#NUM!</v>
      </c>
      <c r="N12" s="471" t="e">
        <f>_xll.qlIndexFixing($J12,$E12,TRUE,$L12)</f>
        <v>#NUM!</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e">
        <f>IF($G18,_xll.qlIndexAddFixings($J18,$E18,$F18/100,TRUE,ISERROR($K18)),NA())</f>
        <v>#NUM!</v>
      </c>
      <c r="I18" s="464"/>
      <c r="J18" s="463" t="str">
        <f t="shared" si="1"/>
        <v>EurLibor1Y</v>
      </c>
      <c r="K18" s="462" t="e">
        <f>_xll.qlIndexFixing($J18,$E18,TRUE,$G18)</f>
        <v>#NUM!</v>
      </c>
      <c r="L18" s="462" t="e">
        <f>IF($H18,_xll.qlIndexFixing($J18,$E18,FALSE,$G18),"-")</f>
        <v>#NUM!</v>
      </c>
      <c r="M18" s="462" t="e">
        <f t="shared" si="2"/>
        <v>#NUM!</v>
      </c>
      <c r="N18" s="461" t="e">
        <f>_xll.qlIndexFixing($J18,$E18,TRUE,$L18)</f>
        <v>#NUM!</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e">
        <f>IF($G4,_xll.qlIndexAddFixings($J4,$E4,$F4/100,TRUE,ISERROR($K4)),NA())</f>
        <v>#NUM!</v>
      </c>
      <c r="I4" s="464"/>
      <c r="J4" s="495" t="str">
        <f t="shared" ref="J4:J18" si="1">PROPER(Currency)&amp;$J$2&amp;$C4</f>
        <v>EuriborSwapIsdaFixA1Y</v>
      </c>
      <c r="K4" s="494" t="e">
        <f>_xll.qlIndexFixing($J4,$E4,TRUE,$G4)</f>
        <v>#NUM!</v>
      </c>
      <c r="L4" s="494" t="e">
        <f>IF($H4,_xll.qlIndexFixing($J4,$E4,FALSE,$G4),"-")</f>
        <v>#NUM!</v>
      </c>
      <c r="M4" s="494" t="e">
        <f t="shared" ref="M4:M18" si="2">K4-L4</f>
        <v>#NUM!</v>
      </c>
      <c r="N4" s="493" t="e">
        <f>_xll.qlIndexFixing($J4,$E4,TRUE,$L4)</f>
        <v>#NUM!</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e">
        <f>IF($G5,_xll.qlIndexAddFixings($J5,$E5,$F5/100,TRUE,ISERROR($K5)),NA())</f>
        <v>#NUM!</v>
      </c>
      <c r="I5" s="464"/>
      <c r="J5" s="473" t="str">
        <f t="shared" si="1"/>
        <v>EuriborSwapIsdaFixA2Y</v>
      </c>
      <c r="K5" s="472" t="e">
        <f>_xll.qlIndexFixing($J5,$E5,TRUE,$G5)</f>
        <v>#NUM!</v>
      </c>
      <c r="L5" s="472" t="e">
        <f>IF($H5,_xll.qlIndexFixing($J5,$E5,FALSE,$G5),"-")</f>
        <v>#NUM!</v>
      </c>
      <c r="M5" s="472" t="e">
        <f t="shared" si="2"/>
        <v>#NUM!</v>
      </c>
      <c r="N5" s="471" t="e">
        <f>_xll.qlIndexFixing($J5,$E5,TRUE,$L5)</f>
        <v>#NUM!</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e">
        <f>IF($G6,_xll.qlIndexAddFixings($J6,$E6,$F6/100,TRUE,ISERROR($K6)),NA())</f>
        <v>#NUM!</v>
      </c>
      <c r="I6" s="464"/>
      <c r="J6" s="473" t="str">
        <f t="shared" si="1"/>
        <v>EuriborSwapIsdaFixA3Y</v>
      </c>
      <c r="K6" s="472" t="e">
        <f>_xll.qlIndexFixing($J6,$E6,TRUE,$G6)</f>
        <v>#NUM!</v>
      </c>
      <c r="L6" s="472" t="e">
        <f>IF($H6,_xll.qlIndexFixing($J6,$E6,FALSE,$G6),"-")</f>
        <v>#NUM!</v>
      </c>
      <c r="M6" s="472" t="e">
        <f t="shared" si="2"/>
        <v>#NUM!</v>
      </c>
      <c r="N6" s="471" t="e">
        <f>_xll.qlIndexFixing($J6,$E6,TRUE,$L6)</f>
        <v>#NUM!</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e">
        <f>IF($G7,_xll.qlIndexAddFixings($J7,$E7,$F7/100,TRUE,ISERROR($K7)),NA())</f>
        <v>#NUM!</v>
      </c>
      <c r="I7" s="464"/>
      <c r="J7" s="473" t="str">
        <f t="shared" si="1"/>
        <v>EuriborSwapIsdaFixA4Y</v>
      </c>
      <c r="K7" s="472" t="e">
        <f>_xll.qlIndexFixing($J7,$E7,TRUE,$G7)</f>
        <v>#NUM!</v>
      </c>
      <c r="L7" s="472" t="e">
        <f>IF($H7,_xll.qlIndexFixing($J7,$E7,FALSE,$G7),"-")</f>
        <v>#NUM!</v>
      </c>
      <c r="M7" s="472" t="e">
        <f t="shared" si="2"/>
        <v>#NUM!</v>
      </c>
      <c r="N7" s="471" t="e">
        <f>_xll.qlIndexFixing($J7,$E7,TRUE,$L7)</f>
        <v>#NUM!</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e">
        <f>IF($G8,_xll.qlIndexAddFixings($J8,$E8,$F8/100,TRUE,ISERROR($K8)),NA())</f>
        <v>#NUM!</v>
      </c>
      <c r="I8" s="464"/>
      <c r="J8" s="473" t="str">
        <f t="shared" si="1"/>
        <v>EuriborSwapIsdaFixA5Y</v>
      </c>
      <c r="K8" s="472" t="e">
        <f>_xll.qlIndexFixing($J8,$E8,TRUE,$G8)</f>
        <v>#NUM!</v>
      </c>
      <c r="L8" s="472" t="e">
        <f>IF($H8,_xll.qlIndexFixing($J8,$E8,FALSE,$G8),"-")</f>
        <v>#NUM!</v>
      </c>
      <c r="M8" s="472" t="e">
        <f t="shared" si="2"/>
        <v>#NUM!</v>
      </c>
      <c r="N8" s="471" t="e">
        <f>_xll.qlIndexFixing($J8,$E8,TRUE,$L8)</f>
        <v>#NUM!</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e">
        <f>IF($G9,_xll.qlIndexAddFixings($J9,$E9,$F9/100,TRUE,ISERROR($K9)),NA())</f>
        <v>#NUM!</v>
      </c>
      <c r="I9" s="464"/>
      <c r="J9" s="473" t="str">
        <f t="shared" si="1"/>
        <v>EuriborSwapIsdaFixA6Y</v>
      </c>
      <c r="K9" s="472" t="e">
        <f>_xll.qlIndexFixing($J9,$E9,TRUE,$G9)</f>
        <v>#NUM!</v>
      </c>
      <c r="L9" s="472" t="e">
        <f>IF($H9,_xll.qlIndexFixing($J9,$E9,FALSE,$G9),"-")</f>
        <v>#NUM!</v>
      </c>
      <c r="M9" s="472" t="e">
        <f t="shared" si="2"/>
        <v>#NUM!</v>
      </c>
      <c r="N9" s="471" t="e">
        <f>_xll.qlIndexFixing($J9,$E9,TRUE,$L9)</f>
        <v>#NUM!</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e">
        <f>IF($G10,_xll.qlIndexAddFixings($J10,$E10,$F10/100,TRUE,ISERROR($K10)),NA())</f>
        <v>#NUM!</v>
      </c>
      <c r="I10" s="464"/>
      <c r="J10" s="473" t="str">
        <f t="shared" si="1"/>
        <v>EuriborSwapIsdaFixA7Y</v>
      </c>
      <c r="K10" s="472" t="e">
        <f>_xll.qlIndexFixing($J10,$E10,TRUE,$G10)</f>
        <v>#NUM!</v>
      </c>
      <c r="L10" s="472" t="e">
        <f>IF($H10,_xll.qlIndexFixing($J10,$E10,FALSE,$G10),"-")</f>
        <v>#NUM!</v>
      </c>
      <c r="M10" s="472" t="e">
        <f t="shared" si="2"/>
        <v>#NUM!</v>
      </c>
      <c r="N10" s="471" t="e">
        <f>_xll.qlIndexFixing($J10,$E10,TRUE,$L10)</f>
        <v>#NUM!</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e">
        <f>IF($G11,_xll.qlIndexAddFixings($J11,$E11,$F11/100,TRUE,ISERROR($K11)),NA())</f>
        <v>#NUM!</v>
      </c>
      <c r="I11" s="464"/>
      <c r="J11" s="473" t="str">
        <f t="shared" si="1"/>
        <v>EuriborSwapIsdaFixA8Y</v>
      </c>
      <c r="K11" s="472" t="e">
        <f>_xll.qlIndexFixing($J11,$E11,TRUE,$G11)</f>
        <v>#NUM!</v>
      </c>
      <c r="L11" s="472" t="e">
        <f>IF($H11,_xll.qlIndexFixing($J11,$E11,FALSE,$G11),"-")</f>
        <v>#NUM!</v>
      </c>
      <c r="M11" s="472" t="e">
        <f t="shared" si="2"/>
        <v>#NUM!</v>
      </c>
      <c r="N11" s="471" t="e">
        <f>_xll.qlIndexFixing($J11,$E11,TRUE,$L11)</f>
        <v>#NUM!</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e">
        <f>IF($G12,_xll.qlIndexAddFixings($J12,$E12,$F12/100,TRUE,ISERROR($K12)),NA())</f>
        <v>#NUM!</v>
      </c>
      <c r="I12" s="464"/>
      <c r="J12" s="473" t="str">
        <f t="shared" si="1"/>
        <v>EuriborSwapIsdaFixA9Y</v>
      </c>
      <c r="K12" s="472" t="e">
        <f>_xll.qlIndexFixing($J12,$E12,TRUE,$G12)</f>
        <v>#NUM!</v>
      </c>
      <c r="L12" s="472" t="e">
        <f>IF($H12,_xll.qlIndexFixing($J12,$E12,FALSE,$G12),"-")</f>
        <v>#NUM!</v>
      </c>
      <c r="M12" s="472" t="e">
        <f t="shared" si="2"/>
        <v>#NUM!</v>
      </c>
      <c r="N12" s="471" t="e">
        <f>_xll.qlIndexFixing($J12,$E12,TRUE,$L12)</f>
        <v>#NUM!</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e">
        <f>IF($G13,_xll.qlIndexAddFixings($J13,$E13,$F13/100,TRUE,ISERROR($K13)),NA())</f>
        <v>#NUM!</v>
      </c>
      <c r="I13" s="464"/>
      <c r="J13" s="473" t="str">
        <f t="shared" si="1"/>
        <v>EuriborSwapIsdaFixA10Y</v>
      </c>
      <c r="K13" s="472" t="e">
        <f>_xll.qlIndexFixing($J13,$E13,TRUE,$G13)</f>
        <v>#NUM!</v>
      </c>
      <c r="L13" s="472" t="e">
        <f>IF($H13,_xll.qlIndexFixing($J13,$E13,FALSE,$G13),"-")</f>
        <v>#NUM!</v>
      </c>
      <c r="M13" s="472" t="e">
        <f t="shared" si="2"/>
        <v>#NUM!</v>
      </c>
      <c r="N13" s="471" t="e">
        <f>_xll.qlIndexFixing($J13,$E13,TRUE,$L13)</f>
        <v>#NUM!</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e">
        <f>IF($G14,_xll.qlIndexAddFixings($J14,$E14,$F14/100,TRUE,ISERROR($K14)),NA())</f>
        <v>#NUM!</v>
      </c>
      <c r="I14" s="464"/>
      <c r="J14" s="473" t="str">
        <f t="shared" si="1"/>
        <v>EuriborSwapIsdaFixA12Y</v>
      </c>
      <c r="K14" s="472" t="e">
        <f>_xll.qlIndexFixing($J14,$E14,TRUE,$G14)</f>
        <v>#NUM!</v>
      </c>
      <c r="L14" s="472" t="e">
        <f>IF($H14,_xll.qlIndexFixing($J14,$E14,FALSE,$G14),"-")</f>
        <v>#NUM!</v>
      </c>
      <c r="M14" s="472" t="e">
        <f t="shared" si="2"/>
        <v>#NUM!</v>
      </c>
      <c r="N14" s="471" t="e">
        <f>_xll.qlIndexFixing($J14,$E14,TRUE,$L14)</f>
        <v>#NUM!</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e">
        <f>IF($G15,_xll.qlIndexAddFixings($J15,$E15,$F15/100,TRUE,ISERROR($K15)),NA())</f>
        <v>#NUM!</v>
      </c>
      <c r="I15" s="464"/>
      <c r="J15" s="473" t="str">
        <f t="shared" si="1"/>
        <v>EuriborSwapIsdaFixA15Y</v>
      </c>
      <c r="K15" s="472" t="e">
        <f>_xll.qlIndexFixing($J15,$E15,TRUE,$G15)</f>
        <v>#NUM!</v>
      </c>
      <c r="L15" s="472" t="e">
        <f>IF($H15,_xll.qlIndexFixing($J15,$E15,FALSE,$G15),"-")</f>
        <v>#NUM!</v>
      </c>
      <c r="M15" s="472" t="e">
        <f t="shared" si="2"/>
        <v>#NUM!</v>
      </c>
      <c r="N15" s="471" t="e">
        <f>_xll.qlIndexFixing($J15,$E15,TRUE,$L15)</f>
        <v>#NUM!</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e">
        <f>IF($G16,_xll.qlIndexAddFixings($J16,$E16,$F16/100,TRUE,ISERROR($K16)),NA())</f>
        <v>#NUM!</v>
      </c>
      <c r="I16" s="464"/>
      <c r="J16" s="473" t="str">
        <f t="shared" si="1"/>
        <v>EuriborSwapIsdaFixA20Y</v>
      </c>
      <c r="K16" s="472" t="e">
        <f>_xll.qlIndexFixing($J16,$E16,TRUE,$G16)</f>
        <v>#NUM!</v>
      </c>
      <c r="L16" s="472" t="e">
        <f>IF($H16,_xll.qlIndexFixing($J16,$E16,FALSE,$G16),"-")</f>
        <v>#NUM!</v>
      </c>
      <c r="M16" s="472" t="e">
        <f t="shared" si="2"/>
        <v>#NUM!</v>
      </c>
      <c r="N16" s="471" t="e">
        <f>_xll.qlIndexFixing($J16,$E16,TRUE,$L16)</f>
        <v>#NUM!</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e">
        <f>IF($G17,_xll.qlIndexAddFixings($J17,$E17,$F17/100,TRUE,ISERROR($K17)),NA())</f>
        <v>#NUM!</v>
      </c>
      <c r="I17" s="464"/>
      <c r="J17" s="473" t="str">
        <f t="shared" si="1"/>
        <v>EuriborSwapIsdaFixA25Y</v>
      </c>
      <c r="K17" s="472" t="e">
        <f>_xll.qlIndexFixing($J17,$E17,TRUE,$G17)</f>
        <v>#NUM!</v>
      </c>
      <c r="L17" s="472" t="e">
        <f>IF($H17,_xll.qlIndexFixing($J17,$E17,FALSE,$G17),"-")</f>
        <v>#NUM!</v>
      </c>
      <c r="M17" s="472" t="e">
        <f t="shared" si="2"/>
        <v>#NUM!</v>
      </c>
      <c r="N17" s="471" t="e">
        <f>_xll.qlIndexFixing($J17,$E17,TRUE,$L17)</f>
        <v>#NUM!</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e">
        <f>IF($G18,_xll.qlIndexAddFixings($J18,$E18,$F18/100,TRUE,ISERROR($K18)),NA())</f>
        <v>#NUM!</v>
      </c>
      <c r="I18" s="464"/>
      <c r="J18" s="463" t="str">
        <f t="shared" si="1"/>
        <v>EuriborSwapIsdaFixA30Y</v>
      </c>
      <c r="K18" s="462" t="e">
        <f>_xll.qlIndexFixing($J18,$E18,TRUE,$G18)</f>
        <v>#NUM!</v>
      </c>
      <c r="L18" s="462" t="e">
        <f>IF($H18,_xll.qlIndexFixing($J18,$E18,FALSE,$G18),"-")</f>
        <v>#NUM!</v>
      </c>
      <c r="M18" s="462" t="e">
        <f t="shared" si="2"/>
        <v>#NUM!</v>
      </c>
      <c r="N18" s="461" t="e">
        <f>_xll.qlIndexFixing($J18,$E18,TRUE,$L18)</f>
        <v>#NUM!</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e">
        <f>IF($G4,_xll.qlIndexAddFixings($J4,$E4,$F4/100,TRUE,ISERROR($K4)),NA())</f>
        <v>#NUM!</v>
      </c>
      <c r="I4" s="464"/>
      <c r="J4" s="495" t="str">
        <f t="shared" ref="J4:J18" si="1">PROPER(Currency)&amp;$J$2&amp;$C4</f>
        <v>EurLiborSwapIsdaFixA1Y</v>
      </c>
      <c r="K4" s="494" t="e">
        <f>_xll.qlIndexFixing($J4,$E4,TRUE,$G4)</f>
        <v>#NUM!</v>
      </c>
      <c r="L4" s="494" t="e">
        <f>IF($H4,_xll.qlIndexFixing($J4,$E4,FALSE,$G4),"-")</f>
        <v>#NUM!</v>
      </c>
      <c r="M4" s="494" t="e">
        <f t="shared" ref="M4:M18" si="2">K4-L4</f>
        <v>#NUM!</v>
      </c>
      <c r="N4" s="493" t="e">
        <f>_xll.qlIndexFixing($J4,$E4,TRUE,$L4)</f>
        <v>#NUM!</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e">
        <f>IF($G5,_xll.qlIndexAddFixings($J5,$E5,$F5/100,TRUE,ISERROR($K5)),NA())</f>
        <v>#NUM!</v>
      </c>
      <c r="I5" s="464"/>
      <c r="J5" s="473" t="str">
        <f t="shared" si="1"/>
        <v>EurLiborSwapIsdaFixA2Y</v>
      </c>
      <c r="K5" s="472" t="e">
        <f>_xll.qlIndexFixing($J5,$E5,TRUE,$G5)</f>
        <v>#NUM!</v>
      </c>
      <c r="L5" s="472" t="e">
        <f>IF($H5,_xll.qlIndexFixing($J5,$E5,FALSE,$G5),"-")</f>
        <v>#NUM!</v>
      </c>
      <c r="M5" s="472" t="e">
        <f t="shared" si="2"/>
        <v>#NUM!</v>
      </c>
      <c r="N5" s="471" t="e">
        <f>_xll.qlIndexFixing($J5,$E5,TRUE,$L5)</f>
        <v>#NUM!</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e">
        <f>IF($G6,_xll.qlIndexAddFixings($J6,$E6,$F6/100,TRUE,ISERROR($K6)),NA())</f>
        <v>#NUM!</v>
      </c>
      <c r="I6" s="464"/>
      <c r="J6" s="473" t="str">
        <f t="shared" si="1"/>
        <v>EurLiborSwapIsdaFixA3Y</v>
      </c>
      <c r="K6" s="472" t="e">
        <f>_xll.qlIndexFixing($J6,$E6,TRUE,$G6)</f>
        <v>#NUM!</v>
      </c>
      <c r="L6" s="472" t="e">
        <f>IF($H6,_xll.qlIndexFixing($J6,$E6,FALSE,$G6),"-")</f>
        <v>#NUM!</v>
      </c>
      <c r="M6" s="472" t="e">
        <f t="shared" si="2"/>
        <v>#NUM!</v>
      </c>
      <c r="N6" s="471" t="e">
        <f>_xll.qlIndexFixing($J6,$E6,TRUE,$L6)</f>
        <v>#NUM!</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e">
        <f>IF($G7,_xll.qlIndexAddFixings($J7,$E7,$F7/100,TRUE,ISERROR($K7)),NA())</f>
        <v>#NUM!</v>
      </c>
      <c r="I7" s="464"/>
      <c r="J7" s="473" t="str">
        <f t="shared" si="1"/>
        <v>EurLiborSwapIsdaFixA4Y</v>
      </c>
      <c r="K7" s="472" t="e">
        <f>_xll.qlIndexFixing($J7,$E7,TRUE,$G7)</f>
        <v>#NUM!</v>
      </c>
      <c r="L7" s="472" t="e">
        <f>IF($H7,_xll.qlIndexFixing($J7,$E7,FALSE,$G7),"-")</f>
        <v>#NUM!</v>
      </c>
      <c r="M7" s="472" t="e">
        <f t="shared" si="2"/>
        <v>#NUM!</v>
      </c>
      <c r="N7" s="471" t="e">
        <f>_xll.qlIndexFixing($J7,$E7,TRUE,$L7)</f>
        <v>#NUM!</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e">
        <f>IF($G8,_xll.qlIndexAddFixings($J8,$E8,$F8/100,TRUE,ISERROR($K8)),NA())</f>
        <v>#NUM!</v>
      </c>
      <c r="I8" s="464"/>
      <c r="J8" s="473" t="str">
        <f t="shared" si="1"/>
        <v>EurLiborSwapIsdaFixA5Y</v>
      </c>
      <c r="K8" s="472" t="e">
        <f>_xll.qlIndexFixing($J8,$E8,TRUE,$G8)</f>
        <v>#NUM!</v>
      </c>
      <c r="L8" s="472" t="e">
        <f>IF($H8,_xll.qlIndexFixing($J8,$E8,FALSE,$G8),"-")</f>
        <v>#NUM!</v>
      </c>
      <c r="M8" s="472" t="e">
        <f t="shared" si="2"/>
        <v>#NUM!</v>
      </c>
      <c r="N8" s="471" t="e">
        <f>_xll.qlIndexFixing($J8,$E8,TRUE,$L8)</f>
        <v>#NUM!</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e">
        <f>IF($G9,_xll.qlIndexAddFixings($J9,$E9,$F9/100,TRUE,ISERROR($K9)),NA())</f>
        <v>#NUM!</v>
      </c>
      <c r="I9" s="464"/>
      <c r="J9" s="473" t="str">
        <f t="shared" si="1"/>
        <v>EurLiborSwapIsdaFixA6Y</v>
      </c>
      <c r="K9" s="472" t="e">
        <f>_xll.qlIndexFixing($J9,$E9,TRUE,$G9)</f>
        <v>#NUM!</v>
      </c>
      <c r="L9" s="472" t="e">
        <f>IF($H9,_xll.qlIndexFixing($J9,$E9,FALSE,$G9),"-")</f>
        <v>#NUM!</v>
      </c>
      <c r="M9" s="472" t="e">
        <f t="shared" si="2"/>
        <v>#NUM!</v>
      </c>
      <c r="N9" s="471" t="e">
        <f>_xll.qlIndexFixing($J9,$E9,TRUE,$L9)</f>
        <v>#NUM!</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e">
        <f>IF($G10,_xll.qlIndexAddFixings($J10,$E10,$F10/100,TRUE,ISERROR($K10)),NA())</f>
        <v>#NUM!</v>
      </c>
      <c r="I10" s="464"/>
      <c r="J10" s="473" t="str">
        <f t="shared" si="1"/>
        <v>EurLiborSwapIsdaFixA7Y</v>
      </c>
      <c r="K10" s="472" t="e">
        <f>_xll.qlIndexFixing($J10,$E10,TRUE,$G10)</f>
        <v>#NUM!</v>
      </c>
      <c r="L10" s="472" t="e">
        <f>IF($H10,_xll.qlIndexFixing($J10,$E10,FALSE,$G10),"-")</f>
        <v>#NUM!</v>
      </c>
      <c r="M10" s="472" t="e">
        <f t="shared" si="2"/>
        <v>#NUM!</v>
      </c>
      <c r="N10" s="471" t="e">
        <f>_xll.qlIndexFixing($J10,$E10,TRUE,$L10)</f>
        <v>#NUM!</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e">
        <f>IF($G11,_xll.qlIndexAddFixings($J11,$E11,$F11/100,TRUE,ISERROR($K11)),NA())</f>
        <v>#NUM!</v>
      </c>
      <c r="I11" s="464"/>
      <c r="J11" s="473" t="str">
        <f t="shared" si="1"/>
        <v>EurLiborSwapIsdaFixA8Y</v>
      </c>
      <c r="K11" s="472" t="e">
        <f>_xll.qlIndexFixing($J11,$E11,TRUE,$G11)</f>
        <v>#NUM!</v>
      </c>
      <c r="L11" s="472" t="e">
        <f>IF($H11,_xll.qlIndexFixing($J11,$E11,FALSE,$G11),"-")</f>
        <v>#NUM!</v>
      </c>
      <c r="M11" s="472" t="e">
        <f t="shared" si="2"/>
        <v>#NUM!</v>
      </c>
      <c r="N11" s="471" t="e">
        <f>_xll.qlIndexFixing($J11,$E11,TRUE,$L11)</f>
        <v>#NUM!</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e">
        <f>IF($G12,_xll.qlIndexAddFixings($J12,$E12,$F12/100,TRUE,ISERROR($K12)),NA())</f>
        <v>#NUM!</v>
      </c>
      <c r="I12" s="464"/>
      <c r="J12" s="473" t="str">
        <f t="shared" si="1"/>
        <v>EurLiborSwapIsdaFixA9Y</v>
      </c>
      <c r="K12" s="472" t="e">
        <f>_xll.qlIndexFixing($J12,$E12,TRUE,$G12)</f>
        <v>#NUM!</v>
      </c>
      <c r="L12" s="472" t="e">
        <f>IF($H12,_xll.qlIndexFixing($J12,$E12,FALSE,$G12),"-")</f>
        <v>#NUM!</v>
      </c>
      <c r="M12" s="472" t="e">
        <f t="shared" si="2"/>
        <v>#NUM!</v>
      </c>
      <c r="N12" s="471" t="e">
        <f>_xll.qlIndexFixing($J12,$E12,TRUE,$L12)</f>
        <v>#NUM!</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e">
        <f>IF($G13,_xll.qlIndexAddFixings($J13,$E13,$F13/100,TRUE,ISERROR($K13)),NA())</f>
        <v>#NUM!</v>
      </c>
      <c r="I13" s="464"/>
      <c r="J13" s="473" t="str">
        <f t="shared" si="1"/>
        <v>EurLiborSwapIsdaFixA10Y</v>
      </c>
      <c r="K13" s="472" t="e">
        <f>_xll.qlIndexFixing($J13,$E13,TRUE,$G13)</f>
        <v>#NUM!</v>
      </c>
      <c r="L13" s="472" t="e">
        <f>IF($H13,_xll.qlIndexFixing($J13,$E13,FALSE,$G13),"-")</f>
        <v>#NUM!</v>
      </c>
      <c r="M13" s="472" t="e">
        <f t="shared" si="2"/>
        <v>#NUM!</v>
      </c>
      <c r="N13" s="471" t="e">
        <f>_xll.qlIndexFixing($J13,$E13,TRUE,$L13)</f>
        <v>#NUM!</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e">
        <f>IF($G14,_xll.qlIndexAddFixings($J14,$E14,$F14/100,TRUE,ISERROR($K14)),NA())</f>
        <v>#NUM!</v>
      </c>
      <c r="I14" s="464"/>
      <c r="J14" s="473" t="str">
        <f t="shared" si="1"/>
        <v>EurLiborSwapIsdaFixA12Y</v>
      </c>
      <c r="K14" s="472" t="e">
        <f>_xll.qlIndexFixing($J14,$E14,TRUE,$G14)</f>
        <v>#NUM!</v>
      </c>
      <c r="L14" s="472" t="e">
        <f>IF($H14,_xll.qlIndexFixing($J14,$E14,FALSE,$G14),"-")</f>
        <v>#NUM!</v>
      </c>
      <c r="M14" s="472" t="e">
        <f t="shared" si="2"/>
        <v>#NUM!</v>
      </c>
      <c r="N14" s="471" t="e">
        <f>_xll.qlIndexFixing($J14,$E14,TRUE,$L14)</f>
        <v>#NUM!</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e">
        <f>IF($G15,_xll.qlIndexAddFixings($J15,$E15,$F15/100,TRUE,ISERROR($K15)),NA())</f>
        <v>#NUM!</v>
      </c>
      <c r="I15" s="464"/>
      <c r="J15" s="473" t="str">
        <f t="shared" si="1"/>
        <v>EurLiborSwapIsdaFixA15Y</v>
      </c>
      <c r="K15" s="472" t="e">
        <f>_xll.qlIndexFixing($J15,$E15,TRUE,$G15)</f>
        <v>#NUM!</v>
      </c>
      <c r="L15" s="472" t="e">
        <f>IF($H15,_xll.qlIndexFixing($J15,$E15,FALSE,$G15),"-")</f>
        <v>#NUM!</v>
      </c>
      <c r="M15" s="472" t="e">
        <f t="shared" si="2"/>
        <v>#NUM!</v>
      </c>
      <c r="N15" s="471" t="e">
        <f>_xll.qlIndexFixing($J15,$E15,TRUE,$L15)</f>
        <v>#NUM!</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e">
        <f>IF($G16,_xll.qlIndexAddFixings($J16,$E16,$F16/100,TRUE,ISERROR($K16)),NA())</f>
        <v>#NUM!</v>
      </c>
      <c r="I16" s="464"/>
      <c r="J16" s="473" t="str">
        <f t="shared" si="1"/>
        <v>EurLiborSwapIsdaFixA20Y</v>
      </c>
      <c r="K16" s="472" t="e">
        <f>_xll.qlIndexFixing($J16,$E16,TRUE,$G16)</f>
        <v>#NUM!</v>
      </c>
      <c r="L16" s="472" t="e">
        <f>IF($H16,_xll.qlIndexFixing($J16,$E16,FALSE,$G16),"-")</f>
        <v>#NUM!</v>
      </c>
      <c r="M16" s="472" t="e">
        <f t="shared" si="2"/>
        <v>#NUM!</v>
      </c>
      <c r="N16" s="471" t="e">
        <f>_xll.qlIndexFixing($J16,$E16,TRUE,$L16)</f>
        <v>#NUM!</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e">
        <f>IF($G17,_xll.qlIndexAddFixings($J17,$E17,$F17/100,TRUE,ISERROR($K17)),NA())</f>
        <v>#NUM!</v>
      </c>
      <c r="I17" s="464"/>
      <c r="J17" s="473" t="str">
        <f t="shared" si="1"/>
        <v>EurLiborSwapIsdaFixA25Y</v>
      </c>
      <c r="K17" s="472" t="e">
        <f>_xll.qlIndexFixing($J17,$E17,TRUE,$G17)</f>
        <v>#NUM!</v>
      </c>
      <c r="L17" s="472" t="e">
        <f>IF($H17,_xll.qlIndexFixing($J17,$E17,FALSE,$G17),"-")</f>
        <v>#NUM!</v>
      </c>
      <c r="M17" s="472" t="e">
        <f t="shared" si="2"/>
        <v>#NUM!</v>
      </c>
      <c r="N17" s="471" t="e">
        <f>_xll.qlIndexFixing($J17,$E17,TRUE,$L17)</f>
        <v>#NUM!</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e">
        <f>IF($G18,_xll.qlIndexAddFixings($J18,$E18,$F18/100,TRUE,ISERROR($K18)),NA())</f>
        <v>#NUM!</v>
      </c>
      <c r="I18" s="464"/>
      <c r="J18" s="463" t="str">
        <f t="shared" si="1"/>
        <v>EurLiborSwapIsdaFixA30Y</v>
      </c>
      <c r="K18" s="462" t="e">
        <f>_xll.qlIndexFixing($J18,$E18,TRUE,$G18)</f>
        <v>#NUM!</v>
      </c>
      <c r="L18" s="462" t="e">
        <f>IF($H18,_xll.qlIndexFixing($J18,$E18,FALSE,$G18),"-")</f>
        <v>#NUM!</v>
      </c>
      <c r="M18" s="462" t="e">
        <f t="shared" si="2"/>
        <v>#NUM!</v>
      </c>
      <c r="N18" s="461" t="e">
        <f>_xll.qlIndexFixing($J18,$E18,TRUE,$L18)</f>
        <v>#NUM!</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e">
        <f>IF($G4,_xll.qlIndexAddFixings($J4,$E4,$F4/100,TRUE,ISERROR($K4)),NA())</f>
        <v>#NUM!</v>
      </c>
      <c r="I4" s="464"/>
      <c r="J4" s="495" t="str">
        <f t="shared" ref="J4:J18" si="1">PROPER(Currency)&amp;$J$2&amp;$C4</f>
        <v>EurLiborSwapIsdaFixB1Y</v>
      </c>
      <c r="K4" s="494" t="e">
        <f>_xll.qlIndexFixing($J4,$E4,TRUE,$G4)</f>
        <v>#NUM!</v>
      </c>
      <c r="L4" s="494" t="e">
        <f>IF($H4,_xll.qlIndexFixing($J4,$E4,FALSE,$G4),"-")</f>
        <v>#NUM!</v>
      </c>
      <c r="M4" s="494" t="e">
        <f t="shared" ref="M4:M18" si="2">K4-L4</f>
        <v>#NUM!</v>
      </c>
      <c r="N4" s="493" t="e">
        <f>_xll.qlIndexFixing($J4,$E4,TRUE,$L4)</f>
        <v>#NUM!</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e">
        <f>IF($G5,_xll.qlIndexAddFixings($J5,$E5,$F5/100,TRUE,ISERROR($K5)),NA())</f>
        <v>#NUM!</v>
      </c>
      <c r="I5" s="464"/>
      <c r="J5" s="473" t="str">
        <f t="shared" si="1"/>
        <v>EurLiborSwapIsdaFixB2Y</v>
      </c>
      <c r="K5" s="472" t="e">
        <f>_xll.qlIndexFixing($J5,$E5,TRUE,$G5)</f>
        <v>#NUM!</v>
      </c>
      <c r="L5" s="472" t="e">
        <f>IF($H5,_xll.qlIndexFixing($J5,$E5,FALSE,$G5),"-")</f>
        <v>#NUM!</v>
      </c>
      <c r="M5" s="472" t="e">
        <f t="shared" si="2"/>
        <v>#NUM!</v>
      </c>
      <c r="N5" s="471" t="e">
        <f>_xll.qlIndexFixing($J5,$E5,TRUE,$L5)</f>
        <v>#NUM!</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e">
        <f>IF($G6,_xll.qlIndexAddFixings($J6,$E6,$F6/100,TRUE,ISERROR($K6)),NA())</f>
        <v>#NUM!</v>
      </c>
      <c r="I6" s="464"/>
      <c r="J6" s="473" t="str">
        <f t="shared" si="1"/>
        <v>EurLiborSwapIsdaFixB3Y</v>
      </c>
      <c r="K6" s="472" t="e">
        <f>_xll.qlIndexFixing($J6,$E6,TRUE,$G6)</f>
        <v>#NUM!</v>
      </c>
      <c r="L6" s="472" t="e">
        <f>IF($H6,_xll.qlIndexFixing($J6,$E6,FALSE,$G6),"-")</f>
        <v>#NUM!</v>
      </c>
      <c r="M6" s="472" t="e">
        <f t="shared" si="2"/>
        <v>#NUM!</v>
      </c>
      <c r="N6" s="471" t="e">
        <f>_xll.qlIndexFixing($J6,$E6,TRUE,$L6)</f>
        <v>#NUM!</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e">
        <f>IF($G7,_xll.qlIndexAddFixings($J7,$E7,$F7/100,TRUE,ISERROR($K7)),NA())</f>
        <v>#NUM!</v>
      </c>
      <c r="I7" s="464"/>
      <c r="J7" s="473" t="str">
        <f t="shared" si="1"/>
        <v>EurLiborSwapIsdaFixB4Y</v>
      </c>
      <c r="K7" s="472" t="e">
        <f>_xll.qlIndexFixing($J7,$E7,TRUE,$G7)</f>
        <v>#NUM!</v>
      </c>
      <c r="L7" s="472" t="e">
        <f>IF($H7,_xll.qlIndexFixing($J7,$E7,FALSE,$G7),"-")</f>
        <v>#NUM!</v>
      </c>
      <c r="M7" s="472" t="e">
        <f t="shared" si="2"/>
        <v>#NUM!</v>
      </c>
      <c r="N7" s="471" t="e">
        <f>_xll.qlIndexFixing($J7,$E7,TRUE,$L7)</f>
        <v>#NUM!</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e">
        <f>IF($G8,_xll.qlIndexAddFixings($J8,$E8,$F8/100,TRUE,ISERROR($K8)),NA())</f>
        <v>#NUM!</v>
      </c>
      <c r="I8" s="464"/>
      <c r="J8" s="473" t="str">
        <f t="shared" si="1"/>
        <v>EurLiborSwapIsdaFixB5Y</v>
      </c>
      <c r="K8" s="472" t="e">
        <f>_xll.qlIndexFixing($J8,$E8,TRUE,$G8)</f>
        <v>#NUM!</v>
      </c>
      <c r="L8" s="472" t="e">
        <f>IF($H8,_xll.qlIndexFixing($J8,$E8,FALSE,$G8),"-")</f>
        <v>#NUM!</v>
      </c>
      <c r="M8" s="472" t="e">
        <f t="shared" si="2"/>
        <v>#NUM!</v>
      </c>
      <c r="N8" s="471" t="e">
        <f>_xll.qlIndexFixing($J8,$E8,TRUE,$L8)</f>
        <v>#NUM!</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e">
        <f>IF($G9,_xll.qlIndexAddFixings($J9,$E9,$F9/100,TRUE,ISERROR($K9)),NA())</f>
        <v>#NUM!</v>
      </c>
      <c r="I9" s="464"/>
      <c r="J9" s="473" t="str">
        <f t="shared" si="1"/>
        <v>EurLiborSwapIsdaFixB6Y</v>
      </c>
      <c r="K9" s="472" t="e">
        <f>_xll.qlIndexFixing($J9,$E9,TRUE,$G9)</f>
        <v>#NUM!</v>
      </c>
      <c r="L9" s="472" t="e">
        <f>IF($H9,_xll.qlIndexFixing($J9,$E9,FALSE,$G9),"-")</f>
        <v>#NUM!</v>
      </c>
      <c r="M9" s="472" t="e">
        <f t="shared" si="2"/>
        <v>#NUM!</v>
      </c>
      <c r="N9" s="471" t="e">
        <f>_xll.qlIndexFixing($J9,$E9,TRUE,$L9)</f>
        <v>#NUM!</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e">
        <f>IF($G10,_xll.qlIndexAddFixings($J10,$E10,$F10/100,TRUE,ISERROR($K10)),NA())</f>
        <v>#NUM!</v>
      </c>
      <c r="I10" s="464"/>
      <c r="J10" s="473" t="str">
        <f t="shared" si="1"/>
        <v>EurLiborSwapIsdaFixB7Y</v>
      </c>
      <c r="K10" s="472" t="e">
        <f>_xll.qlIndexFixing($J10,$E10,TRUE,$G10)</f>
        <v>#NUM!</v>
      </c>
      <c r="L10" s="472" t="e">
        <f>IF($H10,_xll.qlIndexFixing($J10,$E10,FALSE,$G10),"-")</f>
        <v>#NUM!</v>
      </c>
      <c r="M10" s="472" t="e">
        <f t="shared" si="2"/>
        <v>#NUM!</v>
      </c>
      <c r="N10" s="471" t="e">
        <f>_xll.qlIndexFixing($J10,$E10,TRUE,$L10)</f>
        <v>#NUM!</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e">
        <f>IF($G11,_xll.qlIndexAddFixings($J11,$E11,$F11/100,TRUE,ISERROR($K11)),NA())</f>
        <v>#NUM!</v>
      </c>
      <c r="I11" s="464"/>
      <c r="J11" s="473" t="str">
        <f t="shared" si="1"/>
        <v>EurLiborSwapIsdaFixB8Y</v>
      </c>
      <c r="K11" s="472" t="e">
        <f>_xll.qlIndexFixing($J11,$E11,TRUE,$G11)</f>
        <v>#NUM!</v>
      </c>
      <c r="L11" s="472" t="e">
        <f>IF($H11,_xll.qlIndexFixing($J11,$E11,FALSE,$G11),"-")</f>
        <v>#NUM!</v>
      </c>
      <c r="M11" s="472" t="e">
        <f t="shared" si="2"/>
        <v>#NUM!</v>
      </c>
      <c r="N11" s="471" t="e">
        <f>_xll.qlIndexFixing($J11,$E11,TRUE,$L11)</f>
        <v>#NUM!</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e">
        <f>IF($G12,_xll.qlIndexAddFixings($J12,$E12,$F12/100,TRUE,ISERROR($K12)),NA())</f>
        <v>#NUM!</v>
      </c>
      <c r="I12" s="464"/>
      <c r="J12" s="473" t="str">
        <f t="shared" si="1"/>
        <v>EurLiborSwapIsdaFixB9Y</v>
      </c>
      <c r="K12" s="472" t="e">
        <f>_xll.qlIndexFixing($J12,$E12,TRUE,$G12)</f>
        <v>#NUM!</v>
      </c>
      <c r="L12" s="472" t="e">
        <f>IF($H12,_xll.qlIndexFixing($J12,$E12,FALSE,$G12),"-")</f>
        <v>#NUM!</v>
      </c>
      <c r="M12" s="472" t="e">
        <f t="shared" si="2"/>
        <v>#NUM!</v>
      </c>
      <c r="N12" s="471" t="e">
        <f>_xll.qlIndexFixing($J12,$E12,TRUE,$L12)</f>
        <v>#NUM!</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e">
        <f>IF($G13,_xll.qlIndexAddFixings($J13,$E13,$F13/100,TRUE,ISERROR($K13)),NA())</f>
        <v>#NUM!</v>
      </c>
      <c r="I13" s="464"/>
      <c r="J13" s="473" t="str">
        <f t="shared" si="1"/>
        <v>EurLiborSwapIsdaFixB10Y</v>
      </c>
      <c r="K13" s="472" t="e">
        <f>_xll.qlIndexFixing($J13,$E13,TRUE,$G13)</f>
        <v>#NUM!</v>
      </c>
      <c r="L13" s="472" t="e">
        <f>IF($H13,_xll.qlIndexFixing($J13,$E13,FALSE,$G13),"-")</f>
        <v>#NUM!</v>
      </c>
      <c r="M13" s="472" t="e">
        <f t="shared" si="2"/>
        <v>#NUM!</v>
      </c>
      <c r="N13" s="471" t="e">
        <f>_xll.qlIndexFixing($J13,$E13,TRUE,$L13)</f>
        <v>#NUM!</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e">
        <f>IF($G14,_xll.qlIndexAddFixings($J14,$E14,$F14/100,TRUE,ISERROR($K14)),NA())</f>
        <v>#NUM!</v>
      </c>
      <c r="I14" s="464"/>
      <c r="J14" s="473" t="str">
        <f t="shared" si="1"/>
        <v>EurLiborSwapIsdaFixB12Y</v>
      </c>
      <c r="K14" s="472" t="e">
        <f>_xll.qlIndexFixing($J14,$E14,TRUE,$G14)</f>
        <v>#NUM!</v>
      </c>
      <c r="L14" s="472" t="e">
        <f>IF($H14,_xll.qlIndexFixing($J14,$E14,FALSE,$G14),"-")</f>
        <v>#NUM!</v>
      </c>
      <c r="M14" s="472" t="e">
        <f t="shared" si="2"/>
        <v>#NUM!</v>
      </c>
      <c r="N14" s="471" t="e">
        <f>_xll.qlIndexFixing($J14,$E14,TRUE,$L14)</f>
        <v>#NUM!</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e">
        <f>IF($G15,_xll.qlIndexAddFixings($J15,$E15,$F15/100,TRUE,ISERROR($K15)),NA())</f>
        <v>#NUM!</v>
      </c>
      <c r="I15" s="464"/>
      <c r="J15" s="473" t="str">
        <f t="shared" si="1"/>
        <v>EurLiborSwapIsdaFixB15Y</v>
      </c>
      <c r="K15" s="472" t="e">
        <f>_xll.qlIndexFixing($J15,$E15,TRUE,$G15)</f>
        <v>#NUM!</v>
      </c>
      <c r="L15" s="472" t="e">
        <f>IF($H15,_xll.qlIndexFixing($J15,$E15,FALSE,$G15),"-")</f>
        <v>#NUM!</v>
      </c>
      <c r="M15" s="472" t="e">
        <f t="shared" si="2"/>
        <v>#NUM!</v>
      </c>
      <c r="N15" s="471" t="e">
        <f>_xll.qlIndexFixing($J15,$E15,TRUE,$L15)</f>
        <v>#NUM!</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e">
        <f>IF($G16,_xll.qlIndexAddFixings($J16,$E16,$F16/100,TRUE,ISERROR($K16)),NA())</f>
        <v>#NUM!</v>
      </c>
      <c r="I16" s="464"/>
      <c r="J16" s="473" t="str">
        <f t="shared" si="1"/>
        <v>EurLiborSwapIsdaFixB20Y</v>
      </c>
      <c r="K16" s="472" t="e">
        <f>_xll.qlIndexFixing($J16,$E16,TRUE,$G16)</f>
        <v>#NUM!</v>
      </c>
      <c r="L16" s="472" t="e">
        <f>IF($H16,_xll.qlIndexFixing($J16,$E16,FALSE,$G16),"-")</f>
        <v>#NUM!</v>
      </c>
      <c r="M16" s="472" t="e">
        <f t="shared" si="2"/>
        <v>#NUM!</v>
      </c>
      <c r="N16" s="471" t="e">
        <f>_xll.qlIndexFixing($J16,$E16,TRUE,$L16)</f>
        <v>#NUM!</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e">
        <f>IF($G17,_xll.qlIndexAddFixings($J17,$E17,$F17/100,TRUE,ISERROR($K17)),NA())</f>
        <v>#NUM!</v>
      </c>
      <c r="I17" s="464"/>
      <c r="J17" s="473" t="str">
        <f t="shared" si="1"/>
        <v>EurLiborSwapIsdaFixB25Y</v>
      </c>
      <c r="K17" s="472" t="e">
        <f>_xll.qlIndexFixing($J17,$E17,TRUE,$G17)</f>
        <v>#NUM!</v>
      </c>
      <c r="L17" s="472" t="e">
        <f>IF($H17,_xll.qlIndexFixing($J17,$E17,FALSE,$G17),"-")</f>
        <v>#NUM!</v>
      </c>
      <c r="M17" s="472" t="e">
        <f t="shared" si="2"/>
        <v>#NUM!</v>
      </c>
      <c r="N17" s="471" t="e">
        <f>_xll.qlIndexFixing($J17,$E17,TRUE,$L17)</f>
        <v>#NUM!</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e">
        <f>IF($G18,_xll.qlIndexAddFixings($J18,$E18,$F18/100,TRUE,ISERROR($K18)),NA())</f>
        <v>#NUM!</v>
      </c>
      <c r="I18" s="464"/>
      <c r="J18" s="463" t="str">
        <f t="shared" si="1"/>
        <v>EurLiborSwapIsdaFixB30Y</v>
      </c>
      <c r="K18" s="462" t="e">
        <f>_xll.qlIndexFixing($J18,$E18,TRUE,$G18)</f>
        <v>#NUM!</v>
      </c>
      <c r="L18" s="462" t="e">
        <f>IF($H18,_xll.qlIndexFixing($J18,$E18,FALSE,$G18),"-")</f>
        <v>#NUM!</v>
      </c>
      <c r="M18" s="462" t="e">
        <f t="shared" si="2"/>
        <v>#NUM!</v>
      </c>
      <c r="N18" s="461" t="e">
        <f>_xll.qlIndexFixing($J18,$E18,TRUE,$L18)</f>
        <v>#NUM!</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117</vt:i4>
      </vt:variant>
    </vt:vector>
  </HeadingPairs>
  <TitlesOfParts>
    <vt:vector size="159"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2013-12-20T01:22:32Z</dcterms:modified>
</cp:coreProperties>
</file>
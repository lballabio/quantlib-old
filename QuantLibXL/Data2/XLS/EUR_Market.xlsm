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240" yWindow="45" windowWidth="25875" windowHeight="8505" firstSheet="40" activeTab="47"/>
  </bookViews>
  <sheets>
    <sheet name="EUR" sheetId="4" r:id="rId1"/>
    <sheet name="RelinkableHandles" sheetId="5" r:id="rId2"/>
    <sheet name="Euribor" sheetId="6" r:id="rId3"/>
    <sheet name="Euribor365" sheetId="7" r:id="rId4"/>
    <sheet name="EuriborSwapIsdaFixA" sheetId="8" r:id="rId5"/>
    <sheet name="EuriborSwapIsdaFixB" sheetId="9" r:id="rId6"/>
    <sheet name="EuriborSwapIfrFix" sheetId="10" r:id="rId7"/>
    <sheet name="General Settings (2)" sheetId="11" r:id="rId8"/>
    <sheet name="Libor" sheetId="12" r:id="rId9"/>
    <sheet name="LiborSwapIsdaFixA" sheetId="13" r:id="rId10"/>
    <sheet name="LiborSwapIsdaFixB" sheetId="14" r:id="rId11"/>
    <sheet name="LiborSwapIfrFix" sheetId="15" r:id="rId12"/>
    <sheet name="EurLibor" sheetId="16" r:id="rId13"/>
    <sheet name="BasisSwap1MxM" sheetId="17" r:id="rId14"/>
    <sheet name="BasisSwap3M6M" sheetId="18" r:id="rId15"/>
    <sheet name="BasisSwapxM12M" sheetId="19" r:id="rId16"/>
    <sheet name="EUR_010_BasisSwapQuotes" sheetId="20" r:id="rId17"/>
    <sheet name="Deposits" sheetId="21" r:id="rId18"/>
    <sheet name="FRA" sheetId="22" r:id="rId19"/>
    <sheet name="Futures1M" sheetId="23" r:id="rId20"/>
    <sheet name="Futures3M" sheetId="24" r:id="rId21"/>
    <sheet name="ImmFra6M " sheetId="25" r:id="rId22"/>
    <sheet name="FuturesHWConvAdj" sheetId="26" r:id="rId23"/>
    <sheet name="EUR_010_DepoFRAFuturesQuotes" sheetId="27" r:id="rId24"/>
    <sheet name="OIS" sheetId="28" r:id="rId25"/>
    <sheet name="Swaps1M" sheetId="29" r:id="rId26"/>
    <sheet name="SwapsIMMDated" sheetId="30" r:id="rId27"/>
    <sheet name="Swap3M" sheetId="31" r:id="rId28"/>
    <sheet name="Swap6M" sheetId="32" r:id="rId29"/>
    <sheet name="EUR_010_SwapQuotes" sheetId="33" r:id="rId30"/>
    <sheet name="ON" sheetId="34" r:id="rId31"/>
    <sheet name="1M" sheetId="35" r:id="rId32"/>
    <sheet name="3M" sheetId="36" r:id="rId33"/>
    <sheet name="6M" sheetId="37" r:id="rId34"/>
    <sheet name="1Y" sheetId="38" r:id="rId35"/>
    <sheet name="EUR_015_SyntheticQuotes" sheetId="39" r:id="rId36"/>
    <sheet name="1M (2)" sheetId="40" r:id="rId37"/>
    <sheet name="3M (2)" sheetId="41" r:id="rId38"/>
    <sheet name="6M (2)" sheetId="42" r:id="rId39"/>
    <sheet name="1Y (2)" sheetId="43" r:id="rId40"/>
    <sheet name="EUR_020_ForwardSwapQuotes" sheetId="44" r:id="rId41"/>
    <sheet name="3M (3)" sheetId="45" r:id="rId42"/>
    <sheet name="EUR_020_FuturesConvAdjQuotes" sheetId="46" r:id="rId43"/>
    <sheet name="1M (3)" sheetId="47" r:id="rId44"/>
    <sheet name="3M (4)" sheetId="48" r:id="rId45"/>
    <sheet name="6M (3)" sheetId="49" r:id="rId46"/>
    <sheet name="1Y (3)" sheetId="50" r:id="rId47"/>
    <sheet name="EUR_020_SwapFromBasisQuotes" sheetId="51" r:id="rId48"/>
  </sheets>
  <definedNames>
    <definedName name="Currency" localSheetId="31">EUR_015_SyntheticQuotes!$D$14</definedName>
    <definedName name="Currency" localSheetId="36">EUR_020_ForwardSwapQuotes!$D$14</definedName>
    <definedName name="Currency" localSheetId="43">EUR_020_SwapFromBasisQuotes!$D$14</definedName>
    <definedName name="Currency" localSheetId="34">EUR_015_SyntheticQuotes!$D$14</definedName>
    <definedName name="Currency" localSheetId="39">EUR_020_ForwardSwapQuotes!$D$14</definedName>
    <definedName name="Currency" localSheetId="46">EUR_020_SwapFromBasisQuotes!$D$14</definedName>
    <definedName name="Currency" localSheetId="32">EUR_015_SyntheticQuotes!$D$14</definedName>
    <definedName name="Currency" localSheetId="37">EUR_020_ForwardSwapQuotes!$D$14</definedName>
    <definedName name="Currency" localSheetId="41">EUR_020_FuturesConvAdjQuotes!$D$14</definedName>
    <definedName name="Currency" localSheetId="44">EUR_020_SwapFromBasisQuotes!$D$14</definedName>
    <definedName name="Currency" localSheetId="33">EUR_015_SyntheticQuotes!$D$14</definedName>
    <definedName name="Currency" localSheetId="38">EUR_020_ForwardSwapQuotes!$D$14</definedName>
    <definedName name="Currency" localSheetId="45">EUR_020_SwapFromBasisQuotes!$D$14</definedName>
    <definedName name="Currency" localSheetId="13">EUR_010_BasisSwapQuotes!$D$14</definedName>
    <definedName name="Currency" localSheetId="14">EUR_010_BasisSwapQuotes!$D$14</definedName>
    <definedName name="Currency" localSheetId="15">EUR_010_BasisSwapQuotes!$D$14</definedName>
    <definedName name="Currency" localSheetId="17">EUR_010_DepoFRAFuturesQuotes!$D$14</definedName>
    <definedName name="Currency" localSheetId="0">EUR!$E$3</definedName>
    <definedName name="Currency" localSheetId="16">EUR_010_BasisSwapQuotes!$D$14</definedName>
    <definedName name="Currency" localSheetId="23">EUR_010_DepoFRAFuturesQuotes!$D$14</definedName>
    <definedName name="Currency" localSheetId="29">EUR_010_SwapQuotes!$D$14</definedName>
    <definedName name="Currency" localSheetId="35">EUR_015_SyntheticQuotes!$D$14</definedName>
    <definedName name="Currency" localSheetId="40">EUR_020_ForwardSwapQuotes!$D$14</definedName>
    <definedName name="Currency" localSheetId="42">EUR_020_FuturesConvAdjQuotes!$D$14</definedName>
    <definedName name="Currency" localSheetId="47">EUR_020_SwapFromBasisQuotes!$D$14</definedName>
    <definedName name="Currency" localSheetId="12">EurLibor!$D$5</definedName>
    <definedName name="Currency" localSheetId="18">EUR_010_DepoFRAFuturesQuotes!$D$14</definedName>
    <definedName name="Currency" localSheetId="19">EUR_010_DepoFRAFuturesQuotes!$D$14</definedName>
    <definedName name="Currency" localSheetId="20">EUR_010_DepoFRAFuturesQuotes!$D$14</definedName>
    <definedName name="Currency" localSheetId="22">EUR_010_DepoFRAFuturesQuotes!$D$14</definedName>
    <definedName name="Currency" localSheetId="21">EUR_010_DepoFRAFuturesQuotes!$D$14</definedName>
    <definedName name="Currency" localSheetId="8">EurLibor!$D$5</definedName>
    <definedName name="Currency" localSheetId="11">EurLibor!$D$5</definedName>
    <definedName name="Currency" localSheetId="9">EurLibor!$D$5</definedName>
    <definedName name="Currency" localSheetId="10">EurLibor!$D$5</definedName>
    <definedName name="Currency" localSheetId="24">EUR_010_SwapQuotes!$D$14</definedName>
    <definedName name="Currency" localSheetId="30">EUR_015_SyntheticQuotes!$D$14</definedName>
    <definedName name="Currency" localSheetId="27">EUR_010_SwapQuotes!$D$14</definedName>
    <definedName name="Currency" localSheetId="28">EUR_010_SwapQuotes!$D$14</definedName>
    <definedName name="Currency" localSheetId="25">EUR_010_SwapQuotes!$D$14</definedName>
    <definedName name="Currency" localSheetId="26">EUR_010_SwapQuotes!$D$14</definedName>
    <definedName name="Currency">'General Settings (2)'!$D$5</definedName>
    <definedName name="FamilyName" localSheetId="41">EUR_020_FuturesConvAdjQuotes!$D$15</definedName>
    <definedName name="FamilyName" localSheetId="42">EUR_020_FuturesConvAdjQuotes!$D$15</definedName>
    <definedName name="FamilyName" localSheetId="2">Euribor!$F$3</definedName>
    <definedName name="FamilyName" localSheetId="3">Euribor365!$F$3</definedName>
    <definedName name="FamilyName" localSheetId="6">EuriborSwapIfrFix!$G$3</definedName>
    <definedName name="FamilyName" localSheetId="4">EuriborSwapIsdaFixA!$G$3</definedName>
    <definedName name="FamilyName" localSheetId="5">EuriborSwapIsdaFixB!$G$3</definedName>
    <definedName name="FamilyName" localSheetId="8">Libor!$F$3</definedName>
    <definedName name="FamilyName" localSheetId="11">LiborSwapIfrFix!$G$3</definedName>
    <definedName name="FamilyName" localSheetId="9">LiborSwapIsdaFixA!$G$3</definedName>
    <definedName name="FamilyName" localSheetId="10">LiborSwapIsdaFixB!$G$3</definedName>
    <definedName name="FamilyName">EUR_020_ForwardSwapQuotes!$D$15</definedName>
    <definedName name="FileName" localSheetId="2">Euribor!$E$5</definedName>
    <definedName name="FileName" localSheetId="3">Euribor365!$E$5</definedName>
    <definedName name="FileName" localSheetId="6">EuriborSwapIfrFix!$F$6</definedName>
    <definedName name="FileName" localSheetId="4">EuriborSwapIsdaFixA!$F$6</definedName>
    <definedName name="FileName" localSheetId="5">EuriborSwapIsdaFixB!$F$6</definedName>
    <definedName name="FileName" localSheetId="8">Libor!$E$5</definedName>
    <definedName name="FileName" localSheetId="11">LiborSwapIfrFix!$F$6</definedName>
    <definedName name="FileName" localSheetId="9">LiborSwapIsdaFixA!$F$6</definedName>
    <definedName name="FileName" localSheetId="10">LiborSwapIsdaFixB!$F$6</definedName>
    <definedName name="FileOverwrite" localSheetId="31">EUR_015_SyntheticQuotes!$D$9</definedName>
    <definedName name="FileOverwrite" localSheetId="36">EUR_020_ForwardSwapQuotes!$D$9</definedName>
    <definedName name="FileOverwrite" localSheetId="43">EUR_020_SwapFromBasisQuotes!$D$9</definedName>
    <definedName name="FileOverwrite" localSheetId="34">EUR_015_SyntheticQuotes!$D$9</definedName>
    <definedName name="FileOverwrite" localSheetId="39">EUR_020_ForwardSwapQuotes!$D$9</definedName>
    <definedName name="FileOverwrite" localSheetId="46">EUR_020_SwapFromBasisQuotes!$D$9</definedName>
    <definedName name="FileOverwrite" localSheetId="32">EUR_015_SyntheticQuotes!$D$9</definedName>
    <definedName name="FileOverwrite" localSheetId="37">EUR_020_ForwardSwapQuotes!$D$9</definedName>
    <definedName name="FileOverwrite" localSheetId="41">EUR_020_FuturesConvAdjQuotes!$D$9</definedName>
    <definedName name="FileOverwrite" localSheetId="44">EUR_020_SwapFromBasisQuotes!$D$9</definedName>
    <definedName name="FileOverwrite" localSheetId="33">EUR_015_SyntheticQuotes!$D$9</definedName>
    <definedName name="FileOverwrite" localSheetId="38">EUR_020_ForwardSwapQuotes!$D$9</definedName>
    <definedName name="FileOverwrite" localSheetId="45">EUR_020_SwapFromBasisQuotes!$D$9</definedName>
    <definedName name="FileOverwrite" localSheetId="13">EUR_010_BasisSwapQuotes!$D$9</definedName>
    <definedName name="FileOverwrite" localSheetId="14">EUR_010_BasisSwapQuotes!$D$9</definedName>
    <definedName name="FileOverwrite" localSheetId="15">EUR_010_BasisSwapQuotes!$D$9</definedName>
    <definedName name="FileOverwrite" localSheetId="17">EUR_010_DepoFRAFuturesQuotes!$D$9</definedName>
    <definedName name="FileOverwrite" localSheetId="16">EUR_010_BasisSwapQuotes!$D$9</definedName>
    <definedName name="FileOverwrite" localSheetId="23">EUR_010_DepoFRAFuturesQuotes!$D$9</definedName>
    <definedName name="FileOverwrite" localSheetId="29">EUR_010_SwapQuotes!$D$9</definedName>
    <definedName name="FileOverwrite" localSheetId="35">EUR_015_SyntheticQuotes!$D$9</definedName>
    <definedName name="FileOverwrite" localSheetId="40">EUR_020_ForwardSwapQuotes!$D$9</definedName>
    <definedName name="FileOverwrite" localSheetId="42">EUR_020_FuturesConvAdjQuotes!$D$9</definedName>
    <definedName name="FileOverwrite" localSheetId="47">EUR_020_SwapFromBasisQuotes!$D$9</definedName>
    <definedName name="FileOverwrite" localSheetId="2">'General Settings (2)'!$D$10</definedName>
    <definedName name="FileOverwrite" localSheetId="3">'General Settings (2)'!$D$10</definedName>
    <definedName name="FileOverwrite" localSheetId="6">'General Settings (2)'!$D$10</definedName>
    <definedName name="FileOverwrite" localSheetId="4">'General Settings (2)'!$D$10</definedName>
    <definedName name="FileOverwrite" localSheetId="5">'General Settings (2)'!$D$10</definedName>
    <definedName name="FileOverwrite" localSheetId="12">EurLibor!$D$10</definedName>
    <definedName name="FileOverwrite" localSheetId="18">EUR_010_DepoFRAFuturesQuotes!$D$9</definedName>
    <definedName name="FileOverwrite" localSheetId="19">EUR_010_DepoFRAFuturesQuotes!$D$9</definedName>
    <definedName name="FileOverwrite" localSheetId="20">EUR_010_DepoFRAFuturesQuotes!$D$9</definedName>
    <definedName name="FileOverwrite" localSheetId="22">EUR_010_DepoFRAFuturesQuotes!$D$9</definedName>
    <definedName name="FileOverwrite" localSheetId="7">'General Settings (2)'!$D$10</definedName>
    <definedName name="FileOverwrite" localSheetId="21">EUR_010_DepoFRAFuturesQuotes!$D$9</definedName>
    <definedName name="FileOverwrite" localSheetId="8">EurLibor!$D$10</definedName>
    <definedName name="FileOverwrite" localSheetId="11">EurLibor!$D$10</definedName>
    <definedName name="FileOverwrite" localSheetId="9">EurLibor!$D$10</definedName>
    <definedName name="FileOverwrite" localSheetId="10">EurLibor!$D$10</definedName>
    <definedName name="FileOverwrite" localSheetId="24">EUR_010_SwapQuotes!$D$9</definedName>
    <definedName name="FileOverwrite" localSheetId="30">EUR_015_SyntheticQuotes!$D$9</definedName>
    <definedName name="FileOverwrite" localSheetId="27">EUR_010_SwapQuotes!$D$9</definedName>
    <definedName name="FileOverwrite" localSheetId="28">EUR_010_SwapQuotes!$D$9</definedName>
    <definedName name="FileOverwrite" localSheetId="25">EUR_010_SwapQuotes!$D$9</definedName>
    <definedName name="FileOverwrite" localSheetId="26">EUR_010_SwapQuotes!$D$9</definedName>
    <definedName name="FileOverwrite">RelinkableHandles!$D$9</definedName>
    <definedName name="FixingType" localSheetId="6">EuriborSwapIfrFix!$G$4</definedName>
    <definedName name="FixingType" localSheetId="4">EuriborSwapIsdaFixA!$G$4</definedName>
    <definedName name="FixingType" localSheetId="5">EuriborSwapIsdaFixB!$G$4</definedName>
    <definedName name="FixingType" localSheetId="11">LiborSwapIfrFix!$G$4</definedName>
    <definedName name="FixingType" localSheetId="9">LiborSwapIsdaFixA!$G$4</definedName>
    <definedName name="FixingType" localSheetId="10">LiborSwapIsdaFixB!$G$4</definedName>
    <definedName name="FixingType">EUR_020_ForwardSwapQuotes!$D$16</definedName>
    <definedName name="IborIndex" localSheetId="41">'3M (3)'!$F$4</definedName>
    <definedName name="MainTenor">EUR_010_BasisSwapQuotes!#REF!</definedName>
    <definedName name="MeanReversion" localSheetId="41">'3M (3)'!$F$3</definedName>
    <definedName name="Months" localSheetId="31">'1M'!$B$1</definedName>
    <definedName name="Months" localSheetId="34">'1Y'!$B$1</definedName>
    <definedName name="Months" localSheetId="32">'3M'!$B$1</definedName>
    <definedName name="Months" localSheetId="33">'6M'!$B$1</definedName>
    <definedName name="Months" localSheetId="30">ON!$B$1</definedName>
    <definedName name="ObjectOverwrite" localSheetId="31">EUR_015_SyntheticQuotes!$D$6</definedName>
    <definedName name="ObjectOverwrite" localSheetId="36">EUR_020_ForwardSwapQuotes!$D$6</definedName>
    <definedName name="ObjectOverwrite" localSheetId="43">EUR_020_SwapFromBasisQuotes!$D$6</definedName>
    <definedName name="ObjectOverwrite" localSheetId="34">EUR_015_SyntheticQuotes!$D$6</definedName>
    <definedName name="ObjectOverwrite" localSheetId="39">EUR_020_ForwardSwapQuotes!$D$6</definedName>
    <definedName name="ObjectOverwrite" localSheetId="46">EUR_020_SwapFromBasisQuotes!$D$6</definedName>
    <definedName name="ObjectOverwrite" localSheetId="32">EUR_015_SyntheticQuotes!$D$6</definedName>
    <definedName name="ObjectOverwrite" localSheetId="37">EUR_020_ForwardSwapQuotes!$D$6</definedName>
    <definedName name="ObjectOverwrite" localSheetId="41">EUR_020_FuturesConvAdjQuotes!$D$6</definedName>
    <definedName name="ObjectOverwrite" localSheetId="44">EUR_020_SwapFromBasisQuotes!$D$6</definedName>
    <definedName name="ObjectOverwrite" localSheetId="33">EUR_015_SyntheticQuotes!$D$6</definedName>
    <definedName name="ObjectOverwrite" localSheetId="38">EUR_020_ForwardSwapQuotes!$D$6</definedName>
    <definedName name="ObjectOverwrite" localSheetId="45">EUR_020_SwapFromBasisQuotes!$D$6</definedName>
    <definedName name="ObjectOverwrite" localSheetId="13">EUR_010_BasisSwapQuotes!$D$6</definedName>
    <definedName name="ObjectOverwrite" localSheetId="14">EUR_010_BasisSwapQuotes!$D$6</definedName>
    <definedName name="ObjectOverwrite" localSheetId="15">EUR_010_BasisSwapQuotes!$D$6</definedName>
    <definedName name="ObjectOverwrite" localSheetId="17">EUR_010_DepoFRAFuturesQuotes!$D$6</definedName>
    <definedName name="ObjectOverwrite" localSheetId="16">EUR_010_BasisSwapQuotes!$D$6</definedName>
    <definedName name="ObjectOverwrite" localSheetId="23">EUR_010_DepoFRAFuturesQuotes!$D$6</definedName>
    <definedName name="ObjectOverwrite" localSheetId="29">EUR_010_SwapQuotes!$D$6</definedName>
    <definedName name="ObjectOverwrite" localSheetId="35">EUR_015_SyntheticQuotes!$D$6</definedName>
    <definedName name="ObjectOverwrite" localSheetId="40">EUR_020_ForwardSwapQuotes!$D$6</definedName>
    <definedName name="ObjectOverwrite" localSheetId="42">EUR_020_FuturesConvAdjQuotes!$D$6</definedName>
    <definedName name="ObjectOverwrite" localSheetId="47">EUR_020_SwapFromBasisQuotes!$D$6</definedName>
    <definedName name="ObjectOverwrite" localSheetId="2">'General Settings (2)'!$D$7</definedName>
    <definedName name="ObjectOverwrite" localSheetId="3">'General Settings (2)'!$D$7</definedName>
    <definedName name="ObjectOverwrite" localSheetId="6">'General Settings (2)'!$D$7</definedName>
    <definedName name="ObjectOverwrite" localSheetId="4">'General Settings (2)'!$D$7</definedName>
    <definedName name="ObjectOverwrite" localSheetId="5">'General Settings (2)'!$D$7</definedName>
    <definedName name="ObjectOverwrite" localSheetId="12">EurLibor!$D$7</definedName>
    <definedName name="ObjectOverwrite" localSheetId="18">EUR_010_DepoFRAFuturesQuotes!$D$6</definedName>
    <definedName name="ObjectOverwrite" localSheetId="19">EUR_010_DepoFRAFuturesQuotes!$D$6</definedName>
    <definedName name="ObjectOverwrite" localSheetId="20">EUR_010_DepoFRAFuturesQuotes!$D$6</definedName>
    <definedName name="ObjectOverwrite" localSheetId="22">EUR_010_DepoFRAFuturesQuotes!$D$6</definedName>
    <definedName name="ObjectOverwrite" localSheetId="7">'General Settings (2)'!$D$7</definedName>
    <definedName name="ObjectOverwrite" localSheetId="21">EUR_010_DepoFRAFuturesQuotes!$D$6</definedName>
    <definedName name="ObjectOverwrite" localSheetId="8">EurLibor!$D$7</definedName>
    <definedName name="ObjectOverwrite" localSheetId="11">EurLibor!$D$7</definedName>
    <definedName name="ObjectOverwrite" localSheetId="9">EurLibor!$D$7</definedName>
    <definedName name="ObjectOverwrite" localSheetId="10">EurLibor!$D$7</definedName>
    <definedName name="ObjectOverwrite" localSheetId="24">EUR_010_SwapQuotes!$D$6</definedName>
    <definedName name="ObjectOverwrite" localSheetId="30">EUR_015_SyntheticQuotes!$D$6</definedName>
    <definedName name="ObjectOverwrite" localSheetId="27">EUR_010_SwapQuotes!$D$6</definedName>
    <definedName name="ObjectOverwrite" localSheetId="28">EUR_010_SwapQuotes!$D$6</definedName>
    <definedName name="ObjectOverwrite" localSheetId="25">EUR_010_SwapQuotes!$D$6</definedName>
    <definedName name="ObjectOverwrite" localSheetId="26">EUR_010_SwapQuotes!$D$6</definedName>
    <definedName name="ObjectOverwrite">RelinkableHandles!$D$6</definedName>
    <definedName name="Permanent" localSheetId="31">EUR_015_SyntheticQuotes!$D$5</definedName>
    <definedName name="Permanent" localSheetId="36">EUR_020_ForwardSwapQuotes!$D$5</definedName>
    <definedName name="Permanent" localSheetId="43">EUR_020_SwapFromBasisQuotes!$D$5</definedName>
    <definedName name="Permanent" localSheetId="34">EUR_015_SyntheticQuotes!$D$5</definedName>
    <definedName name="Permanent" localSheetId="39">EUR_020_ForwardSwapQuotes!$D$5</definedName>
    <definedName name="Permanent" localSheetId="46">EUR_020_SwapFromBasisQuotes!$D$5</definedName>
    <definedName name="Permanent" localSheetId="32">EUR_015_SyntheticQuotes!$D$5</definedName>
    <definedName name="Permanent" localSheetId="37">EUR_020_ForwardSwapQuotes!$D$5</definedName>
    <definedName name="Permanent" localSheetId="41">EUR_020_FuturesConvAdjQuotes!$D$5</definedName>
    <definedName name="Permanent" localSheetId="44">EUR_020_SwapFromBasisQuotes!$D$5</definedName>
    <definedName name="Permanent" localSheetId="33">EUR_015_SyntheticQuotes!$D$5</definedName>
    <definedName name="Permanent" localSheetId="38">EUR_020_ForwardSwapQuotes!$D$5</definedName>
    <definedName name="Permanent" localSheetId="45">EUR_020_SwapFromBasisQuotes!$D$5</definedName>
    <definedName name="Permanent" localSheetId="13">EUR_010_BasisSwapQuotes!$D$5</definedName>
    <definedName name="Permanent" localSheetId="14">EUR_010_BasisSwapQuotes!$D$5</definedName>
    <definedName name="Permanent" localSheetId="15">EUR_010_BasisSwapQuotes!$D$5</definedName>
    <definedName name="Permanent" localSheetId="17">EUR_010_DepoFRAFuturesQuotes!$D$5</definedName>
    <definedName name="Permanent" localSheetId="16">EUR_010_BasisSwapQuotes!$D$5</definedName>
    <definedName name="Permanent" localSheetId="23">EUR_010_DepoFRAFuturesQuotes!$D$5</definedName>
    <definedName name="Permanent" localSheetId="29">EUR_010_SwapQuotes!$D$5</definedName>
    <definedName name="Permanent" localSheetId="35">EUR_015_SyntheticQuotes!$D$5</definedName>
    <definedName name="Permanent" localSheetId="40">EUR_020_ForwardSwapQuotes!$D$5</definedName>
    <definedName name="Permanent" localSheetId="42">EUR_020_FuturesConvAdjQuotes!$D$5</definedName>
    <definedName name="Permanent" localSheetId="47">EUR_020_SwapFromBasisQuotes!$D$5</definedName>
    <definedName name="Permanent" localSheetId="2">'General Settings (2)'!$D$6</definedName>
    <definedName name="Permanent" localSheetId="3">'General Settings (2)'!$D$6</definedName>
    <definedName name="Permanent" localSheetId="6">'General Settings (2)'!$D$6</definedName>
    <definedName name="Permanent" localSheetId="4">'General Settings (2)'!$D$6</definedName>
    <definedName name="Permanent" localSheetId="5">'General Settings (2)'!$D$6</definedName>
    <definedName name="Permanent" localSheetId="12">EurLibor!$D$6</definedName>
    <definedName name="Permanent" localSheetId="18">EUR_010_DepoFRAFuturesQuotes!$D$5</definedName>
    <definedName name="Permanent" localSheetId="19">EUR_010_DepoFRAFuturesQuotes!$D$5</definedName>
    <definedName name="Permanent" localSheetId="20">EUR_010_DepoFRAFuturesQuotes!$D$5</definedName>
    <definedName name="Permanent" localSheetId="22">EUR_010_DepoFRAFuturesQuotes!$D$5</definedName>
    <definedName name="Permanent" localSheetId="7">'General Settings (2)'!$D$6</definedName>
    <definedName name="Permanent" localSheetId="21">EUR_010_DepoFRAFuturesQuotes!$D$5</definedName>
    <definedName name="Permanent" localSheetId="8">EurLibor!$D$6</definedName>
    <definedName name="Permanent" localSheetId="11">EurLibor!$D$6</definedName>
    <definedName name="Permanent" localSheetId="9">EurLibor!$D$6</definedName>
    <definedName name="Permanent" localSheetId="10">EurLibor!$D$6</definedName>
    <definedName name="Permanent" localSheetId="24">EUR_010_SwapQuotes!$D$5</definedName>
    <definedName name="Permanent" localSheetId="30">EUR_015_SyntheticQuotes!$D$5</definedName>
    <definedName name="Permanent" localSheetId="27">EUR_010_SwapQuotes!$D$5</definedName>
    <definedName name="Permanent" localSheetId="28">EUR_010_SwapQuotes!$D$5</definedName>
    <definedName name="Permanent" localSheetId="25">EUR_010_SwapQuotes!$D$5</definedName>
    <definedName name="Permanent" localSheetId="26">EUR_010_SwapQuotes!$D$5</definedName>
    <definedName name="Permanent">RelinkableHandles!$D$5</definedName>
    <definedName name="PriceTickValue" localSheetId="17">EUR_010_DepoFRAFuturesQuotes!$D$17</definedName>
    <definedName name="PriceTickValue" localSheetId="23">EUR_010_DepoFRAFuturesQuotes!$D$17</definedName>
    <definedName name="PriceTickValue" localSheetId="29">EUR_010_SwapQuotes!$D$17</definedName>
    <definedName name="PriceTickValue" localSheetId="40">EUR_020_ForwardSwapQuotes!$D$19</definedName>
    <definedName name="PriceTickValue" localSheetId="42">EUR_020_FuturesConvAdjQuotes!$D$18</definedName>
    <definedName name="PriceTickValue" localSheetId="47">EUR_020_SwapFromBasisQuotes!$D$17</definedName>
    <definedName name="PriceTickValue" localSheetId="18">EUR_010_DepoFRAFuturesQuotes!$D$17</definedName>
    <definedName name="PriceTickValue" localSheetId="19">EUR_010_DepoFRAFuturesQuotes!$D$17</definedName>
    <definedName name="PriceTickValue" localSheetId="20">EUR_010_DepoFRAFuturesQuotes!$D$17</definedName>
    <definedName name="PriceTickValue" localSheetId="22">EUR_010_DepoFRAFuturesQuotes!$D$17</definedName>
    <definedName name="PriceTickValue" localSheetId="21">EUR_010_DepoFRAFuturesQuotes!$D$17</definedName>
    <definedName name="PriceTickValue">EUR_010_BasisSwapQuotes!$D$17</definedName>
    <definedName name="QuoteSuffix" localSheetId="31">EUR_015_SyntheticQuotes!$D$15</definedName>
    <definedName name="QuoteSuffix" localSheetId="36">EUR_020_ForwardSwapQuotes!$D$17</definedName>
    <definedName name="QuoteSuffix" localSheetId="43">EUR_020_SwapFromBasisQuotes!$D$15</definedName>
    <definedName name="QuoteSuffix" localSheetId="34">EUR_015_SyntheticQuotes!$D$15</definedName>
    <definedName name="QuoteSuffix" localSheetId="39">EUR_020_ForwardSwapQuotes!$D$17</definedName>
    <definedName name="QuoteSuffix" localSheetId="46">EUR_020_SwapFromBasisQuotes!$D$15</definedName>
    <definedName name="QuoteSuffix" localSheetId="32">EUR_015_SyntheticQuotes!$D$15</definedName>
    <definedName name="QuoteSuffix" localSheetId="37">EUR_020_ForwardSwapQuotes!$D$17</definedName>
    <definedName name="QuoteSuffix" localSheetId="41">EUR_020_FuturesConvAdjQuotes!$D$16</definedName>
    <definedName name="QuoteSuffix" localSheetId="44">EUR_020_SwapFromBasisQuotes!$D$15</definedName>
    <definedName name="QuoteSuffix" localSheetId="33">EUR_015_SyntheticQuotes!$D$15</definedName>
    <definedName name="QuoteSuffix" localSheetId="38">EUR_020_ForwardSwapQuotes!$D$17</definedName>
    <definedName name="QuoteSuffix" localSheetId="45">EUR_020_SwapFromBasisQuotes!$D$15</definedName>
    <definedName name="QuoteSuffix" localSheetId="17">EUR_010_DepoFRAFuturesQuotes!$D$15</definedName>
    <definedName name="QuoteSuffix" localSheetId="23">EUR_010_DepoFRAFuturesQuotes!$D$15</definedName>
    <definedName name="QuoteSuffix" localSheetId="29">EUR_010_SwapQuotes!$D$15</definedName>
    <definedName name="QuoteSuffix" localSheetId="35">EUR_015_SyntheticQuotes!$D$15</definedName>
    <definedName name="QuoteSuffix" localSheetId="40">EUR_020_ForwardSwapQuotes!$D$17</definedName>
    <definedName name="QuoteSuffix" localSheetId="42">EUR_020_FuturesConvAdjQuotes!$D$16</definedName>
    <definedName name="QuoteSuffix" localSheetId="47">EUR_020_SwapFromBasisQuotes!$D$15</definedName>
    <definedName name="QuoteSuffix" localSheetId="18">EUR_010_DepoFRAFuturesQuotes!$D$15</definedName>
    <definedName name="QuoteSuffix" localSheetId="19">EUR_010_DepoFRAFuturesQuotes!$D$15</definedName>
    <definedName name="QuoteSuffix" localSheetId="20">EUR_010_DepoFRAFuturesQuotes!$D$15</definedName>
    <definedName name="QuoteSuffix" localSheetId="22">EUR_010_DepoFRAFuturesQuotes!$D$15</definedName>
    <definedName name="QuoteSuffix" localSheetId="21">EUR_010_DepoFRAFuturesQuotes!$D$15</definedName>
    <definedName name="QuoteSuffix" localSheetId="24">EUR_010_SwapQuotes!$D$15</definedName>
    <definedName name="QuoteSuffix" localSheetId="30">EUR_015_SyntheticQuotes!$D$15</definedName>
    <definedName name="QuoteSuffix" localSheetId="27">EUR_010_SwapQuotes!$D$15</definedName>
    <definedName name="QuoteSuffix" localSheetId="28">EUR_010_SwapQuotes!$D$15</definedName>
    <definedName name="QuoteSuffix" localSheetId="25">EUR_010_SwapQuotes!$D$15</definedName>
    <definedName name="QuoteSuffix" localSheetId="26">EUR_010_SwapQuotes!$D$15</definedName>
    <definedName name="QuoteSuffix">EUR_010_BasisSwapQuotes!$D$15</definedName>
    <definedName name="RateTickValue" localSheetId="31">EUR_015_SyntheticQuotes!$D$16</definedName>
    <definedName name="RateTickValue" localSheetId="34">EUR_015_SyntheticQuotes!$D$16</definedName>
    <definedName name="RateTickValue" localSheetId="32">EUR_015_SyntheticQuotes!$D$16</definedName>
    <definedName name="RateTickValue" localSheetId="33">EUR_015_SyntheticQuotes!$D$16</definedName>
    <definedName name="RateTickValue" localSheetId="17">EUR_010_DepoFRAFuturesQuotes!$D$16</definedName>
    <definedName name="RateTickValue" localSheetId="23">EUR_010_DepoFRAFuturesQuotes!$D$16</definedName>
    <definedName name="RateTickValue" localSheetId="29">EUR_010_SwapQuotes!$D$16</definedName>
    <definedName name="RateTickValue" localSheetId="35">EUR_015_SyntheticQuotes!$D$16</definedName>
    <definedName name="RateTickValue" localSheetId="40">EUR_020_ForwardSwapQuotes!$D$18</definedName>
    <definedName name="RateTickValue" localSheetId="42">EUR_020_FuturesConvAdjQuotes!$D$17</definedName>
    <definedName name="RateTickValue" localSheetId="47">EUR_020_SwapFromBasisQuotes!$D$16</definedName>
    <definedName name="RateTickValue" localSheetId="18">EUR_010_DepoFRAFuturesQuotes!$D$16</definedName>
    <definedName name="RateTickValue" localSheetId="19">EUR_010_DepoFRAFuturesQuotes!$D$16</definedName>
    <definedName name="RateTickValue" localSheetId="20">EUR_010_DepoFRAFuturesQuotes!$D$16</definedName>
    <definedName name="RateTickValue" localSheetId="22">EUR_010_DepoFRAFuturesQuotes!$D$16</definedName>
    <definedName name="RateTickValue" localSheetId="21">EUR_010_DepoFRAFuturesQuotes!$D$16</definedName>
    <definedName name="RateTickValue" localSheetId="24">EUR_010_SwapQuotes!$D$16</definedName>
    <definedName name="RateTickValue" localSheetId="30">EUR_015_SyntheticQuotes!$D$16</definedName>
    <definedName name="RateTickValue" localSheetId="27">EUR_010_SwapQuotes!$D$16</definedName>
    <definedName name="RateTickValue" localSheetId="28">EUR_010_SwapQuotes!$D$16</definedName>
    <definedName name="RateTickValue" localSheetId="25">EUR_010_SwapQuotes!$D$16</definedName>
    <definedName name="RateTickValue" localSheetId="26">EUR_010_SwapQuotes!$D$16</definedName>
    <definedName name="RateTickValue">EUR_010_BasisSwapQuotes!$D$16</definedName>
    <definedName name="SerializationPath" localSheetId="31">EUR_015_SyntheticQuotes!$D$8</definedName>
    <definedName name="SerializationPath" localSheetId="36">EUR_020_ForwardSwapQuotes!$D$8</definedName>
    <definedName name="SerializationPath" localSheetId="43">EUR_020_SwapFromBasisQuotes!$D$8</definedName>
    <definedName name="SerializationPath" localSheetId="34">EUR_015_SyntheticQuotes!$D$8</definedName>
    <definedName name="SerializationPath" localSheetId="39">EUR_020_ForwardSwapQuotes!$D$8</definedName>
    <definedName name="SerializationPath" localSheetId="46">EUR_020_SwapFromBasisQuotes!$D$8</definedName>
    <definedName name="SerializationPath" localSheetId="32">EUR_015_SyntheticQuotes!$D$8</definedName>
    <definedName name="SerializationPath" localSheetId="37">EUR_020_ForwardSwapQuotes!$D$8</definedName>
    <definedName name="SerializationPath" localSheetId="41">EUR_020_FuturesConvAdjQuotes!$D$8</definedName>
    <definedName name="SerializationPath" localSheetId="44">EUR_020_SwapFromBasisQuotes!$D$8</definedName>
    <definedName name="SerializationPath" localSheetId="33">EUR_015_SyntheticQuotes!$D$8</definedName>
    <definedName name="SerializationPath" localSheetId="38">EUR_020_ForwardSwapQuotes!$D$8</definedName>
    <definedName name="SerializationPath" localSheetId="45">EUR_020_SwapFromBasisQuotes!$D$8</definedName>
    <definedName name="SerializationPath" localSheetId="13">EUR_010_BasisSwapQuotes!$D$8</definedName>
    <definedName name="SerializationPath" localSheetId="14">EUR_010_BasisSwapQuotes!$D$8</definedName>
    <definedName name="SerializationPath" localSheetId="15">EUR_010_BasisSwapQuotes!$D$8</definedName>
    <definedName name="SerializationPath" localSheetId="17">EUR_010_DepoFRAFuturesQuotes!$D$8</definedName>
    <definedName name="SerializationPath" localSheetId="16">EUR_010_BasisSwapQuotes!$D$8</definedName>
    <definedName name="SerializationPath" localSheetId="23">EUR_010_DepoFRAFuturesQuotes!$D$8</definedName>
    <definedName name="SerializationPath" localSheetId="29">EUR_010_SwapQuotes!$D$8</definedName>
    <definedName name="SerializationPath" localSheetId="35">EUR_015_SyntheticQuotes!$D$8</definedName>
    <definedName name="SerializationPath" localSheetId="40">EUR_020_ForwardSwapQuotes!$D$8</definedName>
    <definedName name="SerializationPath" localSheetId="42">EUR_020_FuturesConvAdjQuotes!$D$8</definedName>
    <definedName name="SerializationPath" localSheetId="47">EUR_020_SwapFromBasisQuotes!$D$8</definedName>
    <definedName name="SerializationPath" localSheetId="2">'General Settings (2)'!$D$9</definedName>
    <definedName name="SerializationPath" localSheetId="3">'General Settings (2)'!$D$9</definedName>
    <definedName name="SerializationPath" localSheetId="6">'General Settings (2)'!$D$9</definedName>
    <definedName name="SerializationPath" localSheetId="4">'General Settings (2)'!$D$9</definedName>
    <definedName name="SerializationPath" localSheetId="5">'General Settings (2)'!$D$9</definedName>
    <definedName name="SerializationPath" localSheetId="12">EurLibor!$D$9</definedName>
    <definedName name="SerializationPath" localSheetId="18">EUR_010_DepoFRAFuturesQuotes!$D$8</definedName>
    <definedName name="SerializationPath" localSheetId="19">EUR_010_DepoFRAFuturesQuotes!$D$8</definedName>
    <definedName name="SerializationPath" localSheetId="20">EUR_010_DepoFRAFuturesQuotes!$D$8</definedName>
    <definedName name="SerializationPath" localSheetId="22">EUR_010_DepoFRAFuturesQuotes!$D$8</definedName>
    <definedName name="SerializationPath" localSheetId="7">'General Settings (2)'!$D$9</definedName>
    <definedName name="SerializationPath" localSheetId="21">EUR_010_DepoFRAFuturesQuotes!$D$8</definedName>
    <definedName name="SerializationPath" localSheetId="8">EurLibor!$D$9</definedName>
    <definedName name="SerializationPath" localSheetId="11">EurLibor!$D$9</definedName>
    <definedName name="SerializationPath" localSheetId="9">EurLibor!$D$9</definedName>
    <definedName name="SerializationPath" localSheetId="10">EurLibor!$D$9</definedName>
    <definedName name="SerializationPath" localSheetId="24">EUR_010_SwapQuotes!$D$8</definedName>
    <definedName name="SerializationPath" localSheetId="30">EUR_015_SyntheticQuotes!$D$8</definedName>
    <definedName name="SerializationPath" localSheetId="27">EUR_010_SwapQuotes!$D$8</definedName>
    <definedName name="SerializationPath" localSheetId="28">EUR_010_SwapQuotes!$D$8</definedName>
    <definedName name="SerializationPath" localSheetId="25">EUR_010_SwapQuotes!$D$8</definedName>
    <definedName name="SerializationPath" localSheetId="26">EUR_010_SwapQuotes!$D$8</definedName>
    <definedName name="SerializationPath">RelinkableHandles!$D$8</definedName>
    <definedName name="Serialize" localSheetId="31">EUR_015_SyntheticQuotes!$D$7</definedName>
    <definedName name="Serialize" localSheetId="36">EUR_020_ForwardSwapQuotes!$D$7</definedName>
    <definedName name="Serialize" localSheetId="43">EUR_020_SwapFromBasisQuotes!$D$7</definedName>
    <definedName name="Serialize" localSheetId="34">EUR_015_SyntheticQuotes!$D$7</definedName>
    <definedName name="Serialize" localSheetId="39">EUR_020_ForwardSwapQuotes!$D$7</definedName>
    <definedName name="Serialize" localSheetId="46">EUR_020_SwapFromBasisQuotes!$D$7</definedName>
    <definedName name="Serialize" localSheetId="32">EUR_015_SyntheticQuotes!$D$7</definedName>
    <definedName name="Serialize" localSheetId="37">EUR_020_ForwardSwapQuotes!$D$7</definedName>
    <definedName name="Serialize" localSheetId="41">EUR_020_FuturesConvAdjQuotes!$D$7</definedName>
    <definedName name="Serialize" localSheetId="44">EUR_020_SwapFromBasisQuotes!$D$7</definedName>
    <definedName name="Serialize" localSheetId="33">EUR_015_SyntheticQuotes!$D$7</definedName>
    <definedName name="Serialize" localSheetId="38">EUR_020_ForwardSwapQuotes!$D$7</definedName>
    <definedName name="Serialize" localSheetId="45">EUR_020_SwapFromBasisQuotes!$D$7</definedName>
    <definedName name="Serialize" localSheetId="13">EUR_010_BasisSwapQuotes!$D$7</definedName>
    <definedName name="Serialize" localSheetId="14">EUR_010_BasisSwapQuotes!$D$7</definedName>
    <definedName name="Serialize" localSheetId="15">EUR_010_BasisSwapQuotes!$D$7</definedName>
    <definedName name="Serialize" localSheetId="17">EUR_010_DepoFRAFuturesQuotes!$D$7</definedName>
    <definedName name="Serialize" localSheetId="16">EUR_010_BasisSwapQuotes!$D$7</definedName>
    <definedName name="Serialize" localSheetId="23">EUR_010_DepoFRAFuturesQuotes!$D$7</definedName>
    <definedName name="Serialize" localSheetId="29">EUR_010_SwapQuotes!$D$7</definedName>
    <definedName name="Serialize" localSheetId="35">EUR_015_SyntheticQuotes!$D$7</definedName>
    <definedName name="Serialize" localSheetId="40">EUR_020_ForwardSwapQuotes!$D$7</definedName>
    <definedName name="Serialize" localSheetId="42">EUR_020_FuturesConvAdjQuotes!$D$7</definedName>
    <definedName name="Serialize" localSheetId="47">EUR_020_SwapFromBasisQuotes!$D$7</definedName>
    <definedName name="Serialize" localSheetId="2">'General Settings (2)'!$D$8</definedName>
    <definedName name="Serialize" localSheetId="3">'General Settings (2)'!$D$8</definedName>
    <definedName name="Serialize" localSheetId="6">'General Settings (2)'!$D$8</definedName>
    <definedName name="Serialize" localSheetId="4">'General Settings (2)'!$D$8</definedName>
    <definedName name="Serialize" localSheetId="5">'General Settings (2)'!$D$8</definedName>
    <definedName name="Serialize" localSheetId="12">EurLibor!$D$8</definedName>
    <definedName name="Serialize" localSheetId="18">EUR_010_DepoFRAFuturesQuotes!$D$7</definedName>
    <definedName name="Serialize" localSheetId="19">EUR_010_DepoFRAFuturesQuotes!$D$7</definedName>
    <definedName name="Serialize" localSheetId="20">EUR_010_DepoFRAFuturesQuotes!$D$7</definedName>
    <definedName name="Serialize" localSheetId="22">EUR_010_DepoFRAFuturesQuotes!$D$7</definedName>
    <definedName name="Serialize" localSheetId="7">'General Settings (2)'!$D$8</definedName>
    <definedName name="Serialize" localSheetId="21">EUR_010_DepoFRAFuturesQuotes!$D$7</definedName>
    <definedName name="Serialize" localSheetId="8">EurLibor!$D$8</definedName>
    <definedName name="Serialize" localSheetId="11">EurLibor!$D$8</definedName>
    <definedName name="Serialize" localSheetId="9">EurLibor!$D$8</definedName>
    <definedName name="Serialize" localSheetId="10">EurLibor!$D$8</definedName>
    <definedName name="Serialize" localSheetId="24">EUR_010_SwapQuotes!$D$7</definedName>
    <definedName name="Serialize" localSheetId="30">EUR_015_SyntheticQuotes!$D$7</definedName>
    <definedName name="Serialize" localSheetId="27">EUR_010_SwapQuotes!$D$7</definedName>
    <definedName name="Serialize" localSheetId="28">EUR_010_SwapQuotes!$D$7</definedName>
    <definedName name="Serialize" localSheetId="25">EUR_010_SwapQuotes!$D$7</definedName>
    <definedName name="Serialize" localSheetId="26">EUR_010_SwapQuotes!$D$7</definedName>
    <definedName name="Serialize">RelinkableHandles!$D$7</definedName>
    <definedName name="SwapMainSetConventions">Swap3M!$J$3:$L$7</definedName>
    <definedName name="SwapSecondarySetConventions">Swap6M!$J$3:$L$7</definedName>
    <definedName name="Tenor" localSheetId="31">'1M'!$C$1</definedName>
    <definedName name="Tenor" localSheetId="34">'1Y'!$C$1</definedName>
    <definedName name="Tenor" localSheetId="32">'3M'!$C$1</definedName>
    <definedName name="Tenor" localSheetId="33">'6M'!$C$1</definedName>
    <definedName name="Tenor" localSheetId="30">ON!$C$1</definedName>
    <definedName name="Trigger" localSheetId="31">EUR_015_SyntheticQuotes!$D$4</definedName>
    <definedName name="Trigger" localSheetId="36">EUR_020_ForwardSwapQuotes!$D$4</definedName>
    <definedName name="Trigger" localSheetId="43">EUR_020_SwapFromBasisQuotes!$D$4</definedName>
    <definedName name="Trigger" localSheetId="34">EUR_015_SyntheticQuotes!$D$4</definedName>
    <definedName name="Trigger" localSheetId="39">EUR_020_ForwardSwapQuotes!$D$4</definedName>
    <definedName name="Trigger" localSheetId="46">EUR_020_SwapFromBasisQuotes!$D$4</definedName>
    <definedName name="Trigger" localSheetId="32">EUR_015_SyntheticQuotes!$D$4</definedName>
    <definedName name="Trigger" localSheetId="37">EUR_020_ForwardSwapQuotes!$D$4</definedName>
    <definedName name="Trigger" localSheetId="41">EUR_020_FuturesConvAdjQuotes!$D$4</definedName>
    <definedName name="Trigger" localSheetId="44">EUR_020_SwapFromBasisQuotes!$D$4</definedName>
    <definedName name="Trigger" localSheetId="33">EUR_015_SyntheticQuotes!$D$4</definedName>
    <definedName name="Trigger" localSheetId="38">EUR_020_ForwardSwapQuotes!$D$4</definedName>
    <definedName name="Trigger" localSheetId="45">EUR_020_SwapFromBasisQuotes!$D$4</definedName>
    <definedName name="Trigger" localSheetId="13">EUR_010_BasisSwapQuotes!$D$4</definedName>
    <definedName name="Trigger" localSheetId="14">EUR_010_BasisSwapQuotes!$D$4</definedName>
    <definedName name="Trigger" localSheetId="15">EUR_010_BasisSwapQuotes!$D$4</definedName>
    <definedName name="Trigger" localSheetId="17">EUR_010_DepoFRAFuturesQuotes!$D$4</definedName>
    <definedName name="Trigger" localSheetId="16">EUR_010_BasisSwapQuotes!$D$4</definedName>
    <definedName name="Trigger" localSheetId="23">EUR_010_DepoFRAFuturesQuotes!$D$4</definedName>
    <definedName name="Trigger" localSheetId="29">EUR_010_SwapQuotes!$D$4</definedName>
    <definedName name="Trigger" localSheetId="35">EUR_015_SyntheticQuotes!$D$4</definedName>
    <definedName name="Trigger" localSheetId="40">EUR_020_ForwardSwapQuotes!$D$4</definedName>
    <definedName name="Trigger" localSheetId="42">EUR_020_FuturesConvAdjQuotes!$D$4</definedName>
    <definedName name="Trigger" localSheetId="47">EUR_020_SwapFromBasisQuotes!$D$4</definedName>
    <definedName name="Trigger" localSheetId="2">'General Settings (2)'!$D$4</definedName>
    <definedName name="Trigger" localSheetId="3">'General Settings (2)'!$D$4</definedName>
    <definedName name="Trigger" localSheetId="6">'General Settings (2)'!$D$4</definedName>
    <definedName name="Trigger" localSheetId="4">'General Settings (2)'!$D$4</definedName>
    <definedName name="Trigger" localSheetId="5">'General Settings (2)'!$D$4</definedName>
    <definedName name="Trigger" localSheetId="12">EurLibor!$D$4</definedName>
    <definedName name="Trigger" localSheetId="18">EUR_010_DepoFRAFuturesQuotes!$D$4</definedName>
    <definedName name="Trigger" localSheetId="19">EUR_010_DepoFRAFuturesQuotes!$D$4</definedName>
    <definedName name="Trigger" localSheetId="20">EUR_010_DepoFRAFuturesQuotes!$D$4</definedName>
    <definedName name="Trigger" localSheetId="22">EUR_010_DepoFRAFuturesQuotes!$D$4</definedName>
    <definedName name="Trigger" localSheetId="7">'General Settings (2)'!$D$4</definedName>
    <definedName name="Trigger" localSheetId="21">EUR_010_DepoFRAFuturesQuotes!$D$4</definedName>
    <definedName name="Trigger" localSheetId="8">EurLibor!$D$4</definedName>
    <definedName name="Trigger" localSheetId="11">EurLibor!$D$4</definedName>
    <definedName name="Trigger" localSheetId="9">EurLibor!$D$4</definedName>
    <definedName name="Trigger" localSheetId="10">EurLibor!$D$4</definedName>
    <definedName name="Trigger" localSheetId="24">EUR_010_SwapQuotes!$D$4</definedName>
    <definedName name="Trigger" localSheetId="30">EUR_015_SyntheticQuotes!$D$4</definedName>
    <definedName name="Trigger" localSheetId="27">EUR_010_SwapQuotes!$D$4</definedName>
    <definedName name="Trigger" localSheetId="28">EUR_010_SwapQuotes!$D$4</definedName>
    <definedName name="Trigger" localSheetId="25">EUR_010_SwapQuotes!$D$4</definedName>
    <definedName name="Trigger" localSheetId="26">EUR_010_SwapQuotes!$D$4</definedName>
    <definedName name="Trigger">RelinkableHandles!$D$4</definedName>
    <definedName name="Volatility" localSheetId="41">'3M (3)'!$F$2</definedName>
  </definedNames>
  <calcPr calcId="145621"/>
</workbook>
</file>

<file path=xl/calcChain.xml><?xml version="1.0" encoding="utf-8"?>
<calcChain xmlns="http://schemas.openxmlformats.org/spreadsheetml/2006/main">
  <c r="D8" i="51" l="1"/>
  <c r="I2" i="50"/>
  <c r="F3" i="50"/>
  <c r="H3" i="50"/>
  <c r="I3" i="50"/>
  <c r="F4" i="50"/>
  <c r="H4" i="50"/>
  <c r="I4" i="50"/>
  <c r="F5" i="50"/>
  <c r="H5" i="50"/>
  <c r="I5" i="50"/>
  <c r="F6" i="50"/>
  <c r="H6" i="50"/>
  <c r="I6" i="50"/>
  <c r="F7" i="50"/>
  <c r="H7" i="50"/>
  <c r="I7" i="50"/>
  <c r="F8" i="50"/>
  <c r="H8" i="50"/>
  <c r="I8" i="50"/>
  <c r="F9" i="50"/>
  <c r="H9" i="50"/>
  <c r="I9" i="50"/>
  <c r="F10" i="50"/>
  <c r="H10" i="50"/>
  <c r="I10" i="50"/>
  <c r="F11" i="50"/>
  <c r="H11" i="50"/>
  <c r="I11" i="50"/>
  <c r="F12" i="50"/>
  <c r="H12" i="50"/>
  <c r="I12" i="50"/>
  <c r="F13" i="50"/>
  <c r="H13" i="50"/>
  <c r="I13" i="50"/>
  <c r="F14" i="50"/>
  <c r="H14" i="50"/>
  <c r="I14" i="50"/>
  <c r="F15" i="50"/>
  <c r="H15" i="50"/>
  <c r="I15" i="50"/>
  <c r="F16" i="50"/>
  <c r="H16" i="50"/>
  <c r="I16" i="50"/>
  <c r="F17" i="50"/>
  <c r="H17" i="50"/>
  <c r="I17" i="50"/>
  <c r="F18" i="50"/>
  <c r="H18" i="50"/>
  <c r="I18" i="50"/>
  <c r="F19" i="50"/>
  <c r="H19" i="50"/>
  <c r="I19" i="50"/>
  <c r="F20" i="50"/>
  <c r="H20" i="50"/>
  <c r="I20" i="50"/>
  <c r="F21" i="50"/>
  <c r="H21" i="50"/>
  <c r="I21" i="50"/>
  <c r="F22" i="50"/>
  <c r="H22" i="50"/>
  <c r="I22" i="50"/>
  <c r="F23" i="50"/>
  <c r="H23" i="50"/>
  <c r="I23" i="50"/>
  <c r="F24" i="50"/>
  <c r="H24" i="50"/>
  <c r="I24" i="50"/>
  <c r="F25" i="50"/>
  <c r="H25" i="50"/>
  <c r="I25" i="50"/>
  <c r="F26" i="50"/>
  <c r="H26" i="50"/>
  <c r="I26" i="50"/>
  <c r="F27" i="50"/>
  <c r="H27" i="50"/>
  <c r="I27" i="50"/>
  <c r="F28" i="50"/>
  <c r="H28" i="50"/>
  <c r="I28" i="50"/>
  <c r="F29" i="50"/>
  <c r="H29" i="50"/>
  <c r="I29" i="50"/>
  <c r="F30" i="50"/>
  <c r="H30" i="50"/>
  <c r="I30" i="50"/>
  <c r="F31" i="50"/>
  <c r="H31" i="50"/>
  <c r="I31" i="50"/>
  <c r="F32" i="50"/>
  <c r="H32" i="50"/>
  <c r="I32" i="50"/>
  <c r="F33" i="50"/>
  <c r="H33" i="50"/>
  <c r="I33" i="50"/>
  <c r="F34" i="50"/>
  <c r="H34" i="50"/>
  <c r="I34" i="50"/>
  <c r="F35" i="50"/>
  <c r="H35" i="50"/>
  <c r="I35" i="50"/>
  <c r="F36" i="50"/>
  <c r="H36" i="50"/>
  <c r="I36" i="50"/>
  <c r="F37" i="50"/>
  <c r="H37" i="50"/>
  <c r="I37" i="50"/>
  <c r="F38" i="50"/>
  <c r="H38" i="50"/>
  <c r="I38" i="50"/>
  <c r="F39" i="50"/>
  <c r="H39" i="50"/>
  <c r="I39" i="50"/>
  <c r="I2" i="49"/>
  <c r="F3" i="49"/>
  <c r="H3" i="49"/>
  <c r="I3" i="49"/>
  <c r="F4" i="49"/>
  <c r="H4" i="49"/>
  <c r="I4" i="49"/>
  <c r="F5" i="49"/>
  <c r="H5" i="49"/>
  <c r="I5" i="49"/>
  <c r="F6" i="49"/>
  <c r="H6" i="49"/>
  <c r="I6" i="49"/>
  <c r="F7" i="49"/>
  <c r="H7" i="49"/>
  <c r="I7" i="49"/>
  <c r="F8" i="49"/>
  <c r="H8" i="49"/>
  <c r="I8" i="49"/>
  <c r="F9" i="49"/>
  <c r="H9" i="49"/>
  <c r="I9" i="49"/>
  <c r="F10" i="49"/>
  <c r="H10" i="49"/>
  <c r="I10" i="49"/>
  <c r="F11" i="49"/>
  <c r="H11" i="49"/>
  <c r="I11" i="49"/>
  <c r="F12" i="49"/>
  <c r="H12" i="49"/>
  <c r="I12" i="49"/>
  <c r="F13" i="49"/>
  <c r="H13" i="49"/>
  <c r="I13" i="49"/>
  <c r="F14" i="49"/>
  <c r="H14" i="49"/>
  <c r="I14" i="49"/>
  <c r="F15" i="49"/>
  <c r="H15" i="49"/>
  <c r="I15" i="49"/>
  <c r="F16" i="49"/>
  <c r="H16" i="49"/>
  <c r="I16" i="49"/>
  <c r="F17" i="49"/>
  <c r="H17" i="49"/>
  <c r="I17" i="49"/>
  <c r="F18" i="49"/>
  <c r="H18" i="49"/>
  <c r="I18" i="49"/>
  <c r="F19" i="49"/>
  <c r="H19" i="49"/>
  <c r="I19" i="49"/>
  <c r="F20" i="49"/>
  <c r="H20" i="49"/>
  <c r="I20" i="49"/>
  <c r="F21" i="49"/>
  <c r="H21" i="49"/>
  <c r="I21" i="49"/>
  <c r="F22" i="49"/>
  <c r="H22" i="49"/>
  <c r="I22" i="49"/>
  <c r="F23" i="49"/>
  <c r="H23" i="49"/>
  <c r="I23" i="49"/>
  <c r="F24" i="49"/>
  <c r="H24" i="49"/>
  <c r="I24" i="49"/>
  <c r="F25" i="49"/>
  <c r="H25" i="49"/>
  <c r="I25" i="49"/>
  <c r="F26" i="49"/>
  <c r="H26" i="49"/>
  <c r="I26" i="49"/>
  <c r="F27" i="49"/>
  <c r="H27" i="49"/>
  <c r="I27" i="49"/>
  <c r="F28" i="49"/>
  <c r="H28" i="49"/>
  <c r="I28" i="49"/>
  <c r="F29" i="49"/>
  <c r="H29" i="49"/>
  <c r="I29" i="49"/>
  <c r="F30" i="49"/>
  <c r="H30" i="49"/>
  <c r="I30" i="49"/>
  <c r="F31" i="49"/>
  <c r="H31" i="49"/>
  <c r="I31" i="49"/>
  <c r="F32" i="49"/>
  <c r="H32" i="49"/>
  <c r="I32" i="49"/>
  <c r="F33" i="49"/>
  <c r="H33" i="49"/>
  <c r="I33" i="49"/>
  <c r="F34" i="49"/>
  <c r="H34" i="49"/>
  <c r="I34" i="49"/>
  <c r="F35" i="49"/>
  <c r="H35" i="49"/>
  <c r="I35" i="49"/>
  <c r="F36" i="49"/>
  <c r="H36" i="49"/>
  <c r="I36" i="49"/>
  <c r="F37" i="49"/>
  <c r="H37" i="49"/>
  <c r="I37" i="49"/>
  <c r="F38" i="49"/>
  <c r="H38" i="49"/>
  <c r="I38" i="49"/>
  <c r="F39" i="49"/>
  <c r="H39" i="49"/>
  <c r="I39" i="49"/>
  <c r="I2" i="48"/>
  <c r="F3" i="48"/>
  <c r="H3" i="48"/>
  <c r="I3" i="48"/>
  <c r="F4" i="48"/>
  <c r="H4" i="48"/>
  <c r="I4" i="48"/>
  <c r="F5" i="48"/>
  <c r="H5" i="48"/>
  <c r="I5" i="48"/>
  <c r="F6" i="48"/>
  <c r="H6" i="48"/>
  <c r="I6" i="48"/>
  <c r="F7" i="48"/>
  <c r="H7" i="48"/>
  <c r="I7" i="48"/>
  <c r="F8" i="48"/>
  <c r="H8" i="48"/>
  <c r="I8" i="48"/>
  <c r="F9" i="48"/>
  <c r="H9" i="48"/>
  <c r="I9" i="48"/>
  <c r="F10" i="48"/>
  <c r="H10" i="48"/>
  <c r="I10" i="48"/>
  <c r="F11" i="48"/>
  <c r="H11" i="48"/>
  <c r="I11" i="48"/>
  <c r="F12" i="48"/>
  <c r="H12" i="48"/>
  <c r="I12" i="48"/>
  <c r="F13" i="48"/>
  <c r="H13" i="48"/>
  <c r="I13" i="48"/>
  <c r="F14" i="48"/>
  <c r="H14" i="48"/>
  <c r="I14" i="48"/>
  <c r="F15" i="48"/>
  <c r="H15" i="48"/>
  <c r="I15" i="48"/>
  <c r="F16" i="48"/>
  <c r="H16" i="48"/>
  <c r="I16" i="48"/>
  <c r="F17" i="48"/>
  <c r="H17" i="48"/>
  <c r="I17" i="48"/>
  <c r="F18" i="48"/>
  <c r="H18" i="48"/>
  <c r="I18" i="48"/>
  <c r="F19" i="48"/>
  <c r="H19" i="48"/>
  <c r="I19" i="48"/>
  <c r="F20" i="48"/>
  <c r="H20" i="48"/>
  <c r="I20" i="48"/>
  <c r="F21" i="48"/>
  <c r="H21" i="48"/>
  <c r="I21" i="48"/>
  <c r="F22" i="48"/>
  <c r="H22" i="48"/>
  <c r="I22" i="48"/>
  <c r="F23" i="48"/>
  <c r="H23" i="48"/>
  <c r="I23" i="48"/>
  <c r="F24" i="48"/>
  <c r="H24" i="48"/>
  <c r="I24" i="48"/>
  <c r="F25" i="48"/>
  <c r="H25" i="48"/>
  <c r="I25" i="48"/>
  <c r="F26" i="48"/>
  <c r="H26" i="48"/>
  <c r="I26" i="48"/>
  <c r="F27" i="48"/>
  <c r="H27" i="48"/>
  <c r="I27" i="48"/>
  <c r="F28" i="48"/>
  <c r="H28" i="48"/>
  <c r="I28" i="48"/>
  <c r="F29" i="48"/>
  <c r="H29" i="48"/>
  <c r="I29" i="48"/>
  <c r="F30" i="48"/>
  <c r="H30" i="48"/>
  <c r="I30" i="48"/>
  <c r="F31" i="48"/>
  <c r="H31" i="48"/>
  <c r="I31" i="48"/>
  <c r="F32" i="48"/>
  <c r="H32" i="48"/>
  <c r="I32" i="48"/>
  <c r="F33" i="48"/>
  <c r="H33" i="48"/>
  <c r="I33" i="48"/>
  <c r="F34" i="48"/>
  <c r="H34" i="48"/>
  <c r="I34" i="48"/>
  <c r="F35" i="48"/>
  <c r="H35" i="48"/>
  <c r="I35" i="48"/>
  <c r="F36" i="48"/>
  <c r="H36" i="48"/>
  <c r="I36" i="48"/>
  <c r="F37" i="48"/>
  <c r="H37" i="48"/>
  <c r="I37" i="48"/>
  <c r="F38" i="48"/>
  <c r="H38" i="48"/>
  <c r="I38" i="48"/>
  <c r="F39" i="48"/>
  <c r="H39" i="48"/>
  <c r="I39" i="48"/>
  <c r="I2" i="47"/>
  <c r="F3" i="47"/>
  <c r="H3" i="47"/>
  <c r="I3" i="47"/>
  <c r="F4" i="47"/>
  <c r="H4" i="47"/>
  <c r="I4" i="47"/>
  <c r="F5" i="47"/>
  <c r="H5" i="47"/>
  <c r="I5" i="47"/>
  <c r="F6" i="47"/>
  <c r="H6" i="47"/>
  <c r="I6" i="47"/>
  <c r="F7" i="47"/>
  <c r="H7" i="47"/>
  <c r="I7" i="47"/>
  <c r="F8" i="47"/>
  <c r="H8" i="47"/>
  <c r="I8" i="47"/>
  <c r="F9" i="47"/>
  <c r="H9" i="47"/>
  <c r="I9" i="47"/>
  <c r="F10" i="47"/>
  <c r="H10" i="47"/>
  <c r="I10" i="47"/>
  <c r="F11" i="47"/>
  <c r="H11" i="47"/>
  <c r="I11" i="47"/>
  <c r="F12" i="47"/>
  <c r="H12" i="47"/>
  <c r="I12" i="47"/>
  <c r="F13" i="47"/>
  <c r="H13" i="47"/>
  <c r="I13" i="47"/>
  <c r="F14" i="47"/>
  <c r="H14" i="47"/>
  <c r="I14" i="47"/>
  <c r="F15" i="47"/>
  <c r="H15" i="47"/>
  <c r="I15" i="47"/>
  <c r="F16" i="47"/>
  <c r="H16" i="47"/>
  <c r="I16" i="47"/>
  <c r="F17" i="47"/>
  <c r="H17" i="47"/>
  <c r="I17" i="47"/>
  <c r="F18" i="47"/>
  <c r="H18" i="47"/>
  <c r="I18" i="47"/>
  <c r="F19" i="47"/>
  <c r="H19" i="47"/>
  <c r="I19" i="47"/>
  <c r="F20" i="47"/>
  <c r="H20" i="47"/>
  <c r="I20" i="47"/>
  <c r="F21" i="47"/>
  <c r="H21" i="47"/>
  <c r="I21" i="47"/>
  <c r="F22" i="47"/>
  <c r="H22" i="47"/>
  <c r="I22" i="47"/>
  <c r="F23" i="47"/>
  <c r="H23" i="47"/>
  <c r="I23" i="47"/>
  <c r="F24" i="47"/>
  <c r="H24" i="47"/>
  <c r="I24" i="47"/>
  <c r="F25" i="47"/>
  <c r="H25" i="47"/>
  <c r="I25" i="47"/>
  <c r="F26" i="47"/>
  <c r="H26" i="47"/>
  <c r="I26" i="47"/>
  <c r="F27" i="47"/>
  <c r="H27" i="47"/>
  <c r="I27" i="47"/>
  <c r="F28" i="47"/>
  <c r="H28" i="47"/>
  <c r="I28" i="47"/>
  <c r="F29" i="47"/>
  <c r="H29" i="47"/>
  <c r="I29" i="47"/>
  <c r="F30" i="47"/>
  <c r="H30" i="47"/>
  <c r="I30" i="47"/>
  <c r="F31" i="47"/>
  <c r="H31" i="47"/>
  <c r="I31" i="47"/>
  <c r="F32" i="47"/>
  <c r="H32" i="47"/>
  <c r="I32" i="47"/>
  <c r="F33" i="47"/>
  <c r="H33" i="47"/>
  <c r="I33" i="47"/>
  <c r="F34" i="47"/>
  <c r="H34" i="47"/>
  <c r="I34" i="47"/>
  <c r="F35" i="47"/>
  <c r="H35" i="47"/>
  <c r="I35" i="47"/>
  <c r="F36" i="47"/>
  <c r="H36" i="47"/>
  <c r="I36" i="47"/>
  <c r="F37" i="47"/>
  <c r="H37" i="47"/>
  <c r="I37" i="47"/>
  <c r="F38" i="47"/>
  <c r="H38" i="47"/>
  <c r="I38" i="47"/>
  <c r="F39" i="47"/>
  <c r="H39" i="47"/>
  <c r="I39" i="47"/>
  <c r="B1" i="51"/>
  <c r="J9" i="50"/>
  <c r="J17" i="50"/>
  <c r="J25" i="50"/>
  <c r="J33" i="50"/>
  <c r="J6" i="50"/>
  <c r="K9" i="50"/>
  <c r="J14" i="50"/>
  <c r="K17" i="50"/>
  <c r="J22" i="50"/>
  <c r="K25" i="50"/>
  <c r="J30" i="50"/>
  <c r="K33" i="50"/>
  <c r="J38" i="50"/>
  <c r="J36" i="50"/>
  <c r="K36" i="50" s="1"/>
  <c r="J3" i="50"/>
  <c r="K6" i="50"/>
  <c r="J11" i="50"/>
  <c r="K14" i="50"/>
  <c r="J19" i="50"/>
  <c r="K22" i="50"/>
  <c r="J27" i="50"/>
  <c r="K30" i="50"/>
  <c r="J35" i="50"/>
  <c r="K38" i="50"/>
  <c r="J16" i="50"/>
  <c r="K19" i="50"/>
  <c r="J24" i="50"/>
  <c r="J21" i="50"/>
  <c r="K24" i="50"/>
  <c r="J37" i="50"/>
  <c r="J10" i="50"/>
  <c r="K21" i="50"/>
  <c r="J26" i="50"/>
  <c r="J23" i="50"/>
  <c r="J31" i="50"/>
  <c r="J20" i="50"/>
  <c r="K20" i="50" s="1"/>
  <c r="K23" i="50"/>
  <c r="J28" i="50"/>
  <c r="K28" i="50" s="1"/>
  <c r="K3" i="50"/>
  <c r="J8" i="50"/>
  <c r="K11" i="50"/>
  <c r="K27" i="50"/>
  <c r="J32" i="50"/>
  <c r="K35" i="50"/>
  <c r="J29" i="50"/>
  <c r="J18" i="50"/>
  <c r="K29" i="50"/>
  <c r="K37" i="50"/>
  <c r="J7" i="50"/>
  <c r="K7" i="50" s="1"/>
  <c r="K10" i="50"/>
  <c r="K26" i="50"/>
  <c r="J4" i="50"/>
  <c r="K4" i="50" s="1"/>
  <c r="K31" i="50"/>
  <c r="J5" i="50"/>
  <c r="K5" i="50" s="1"/>
  <c r="K8" i="50"/>
  <c r="J13" i="50"/>
  <c r="K13" i="50" s="1"/>
  <c r="K16" i="50"/>
  <c r="K32" i="50"/>
  <c r="J34" i="50"/>
  <c r="K34" i="50" s="1"/>
  <c r="J15" i="50"/>
  <c r="K15" i="50" s="1"/>
  <c r="K18" i="50"/>
  <c r="J39" i="50"/>
  <c r="K39" i="50" s="1"/>
  <c r="J12" i="50"/>
  <c r="K12" i="50" s="1"/>
  <c r="J4" i="49"/>
  <c r="J12" i="49"/>
  <c r="J20" i="49"/>
  <c r="J28" i="49"/>
  <c r="J36" i="49"/>
  <c r="K4" i="49"/>
  <c r="J9" i="49"/>
  <c r="K12" i="49"/>
  <c r="J17" i="49"/>
  <c r="K20" i="49"/>
  <c r="J25" i="49"/>
  <c r="K28" i="49"/>
  <c r="J33" i="49"/>
  <c r="K36" i="49"/>
  <c r="J6" i="49"/>
  <c r="K9" i="49"/>
  <c r="J14" i="49"/>
  <c r="K17" i="49"/>
  <c r="J22" i="49"/>
  <c r="K22" i="49" s="1"/>
  <c r="K25" i="49"/>
  <c r="J30" i="49"/>
  <c r="K30" i="49" s="1"/>
  <c r="K33" i="49"/>
  <c r="J38" i="49"/>
  <c r="J3" i="49"/>
  <c r="K6" i="49"/>
  <c r="J11" i="49"/>
  <c r="K14" i="49"/>
  <c r="J19" i="49"/>
  <c r="K38" i="49"/>
  <c r="K3" i="49"/>
  <c r="J8" i="49"/>
  <c r="K11" i="49"/>
  <c r="J16" i="49"/>
  <c r="K19" i="49"/>
  <c r="J24" i="49"/>
  <c r="J32" i="49"/>
  <c r="K24" i="49"/>
  <c r="J29" i="49"/>
  <c r="K32" i="49"/>
  <c r="J37" i="49"/>
  <c r="J7" i="49"/>
  <c r="K7" i="49" s="1"/>
  <c r="J39" i="49"/>
  <c r="K39" i="49" s="1"/>
  <c r="J35" i="49"/>
  <c r="K35" i="49" s="1"/>
  <c r="J5" i="49"/>
  <c r="K8" i="49"/>
  <c r="J13" i="49"/>
  <c r="K16" i="49"/>
  <c r="J21" i="49"/>
  <c r="K5" i="49"/>
  <c r="J10" i="49"/>
  <c r="K13" i="49"/>
  <c r="J18" i="49"/>
  <c r="K21" i="49"/>
  <c r="J26" i="49"/>
  <c r="K29" i="49"/>
  <c r="J34" i="49"/>
  <c r="K34" i="49" s="1"/>
  <c r="K37" i="49"/>
  <c r="K10" i="49"/>
  <c r="J15" i="49"/>
  <c r="K15" i="49" s="1"/>
  <c r="K18" i="49"/>
  <c r="J23" i="49"/>
  <c r="K23" i="49" s="1"/>
  <c r="K26" i="49"/>
  <c r="J31" i="49"/>
  <c r="K31" i="49" s="1"/>
  <c r="J27" i="49"/>
  <c r="K27" i="49" s="1"/>
  <c r="J9" i="48"/>
  <c r="J17" i="48"/>
  <c r="J25" i="48"/>
  <c r="J33" i="48"/>
  <c r="J11" i="48"/>
  <c r="J12" i="48"/>
  <c r="K12" i="48" s="1"/>
  <c r="J20" i="48"/>
  <c r="K20" i="48" s="1"/>
  <c r="J6" i="48"/>
  <c r="K9" i="48"/>
  <c r="J14" i="48"/>
  <c r="K14" i="48" s="1"/>
  <c r="K17" i="48"/>
  <c r="J22" i="48"/>
  <c r="K25" i="48"/>
  <c r="J30" i="48"/>
  <c r="K33" i="48"/>
  <c r="J38" i="48"/>
  <c r="J3" i="48"/>
  <c r="K6" i="48"/>
  <c r="J19" i="48"/>
  <c r="K22" i="48"/>
  <c r="J27" i="48"/>
  <c r="K30" i="48"/>
  <c r="J35" i="48"/>
  <c r="K38" i="48"/>
  <c r="J29" i="48"/>
  <c r="J36" i="48"/>
  <c r="K36" i="48" s="1"/>
  <c r="K3" i="48"/>
  <c r="J8" i="48"/>
  <c r="K11" i="48"/>
  <c r="J16" i="48"/>
  <c r="K19" i="48"/>
  <c r="J24" i="48"/>
  <c r="K27" i="48"/>
  <c r="J32" i="48"/>
  <c r="K32" i="48" s="1"/>
  <c r="K35" i="48"/>
  <c r="J5" i="48"/>
  <c r="K8" i="48"/>
  <c r="J13" i="48"/>
  <c r="K16" i="48"/>
  <c r="J21" i="48"/>
  <c r="K24" i="48"/>
  <c r="J37" i="48"/>
  <c r="J39" i="48"/>
  <c r="K39" i="48" s="1"/>
  <c r="J4" i="48"/>
  <c r="K4" i="48" s="1"/>
  <c r="K5" i="48"/>
  <c r="J10" i="48"/>
  <c r="K13" i="48"/>
  <c r="J18" i="48"/>
  <c r="K21" i="48"/>
  <c r="J26" i="48"/>
  <c r="K29" i="48"/>
  <c r="J34" i="48"/>
  <c r="K34" i="48" s="1"/>
  <c r="K37" i="48"/>
  <c r="J7" i="48"/>
  <c r="K10" i="48"/>
  <c r="J15" i="48"/>
  <c r="K18" i="48"/>
  <c r="J23" i="48"/>
  <c r="K26" i="48"/>
  <c r="J31" i="48"/>
  <c r="K31" i="48" s="1"/>
  <c r="K7" i="48"/>
  <c r="K15" i="48"/>
  <c r="K23" i="48"/>
  <c r="J28" i="48"/>
  <c r="K28" i="48" s="1"/>
  <c r="J9" i="47"/>
  <c r="J17" i="47"/>
  <c r="J25" i="47"/>
  <c r="J33" i="47"/>
  <c r="J27" i="47"/>
  <c r="J35" i="47"/>
  <c r="J20" i="47"/>
  <c r="K20" i="47" s="1"/>
  <c r="J28" i="47"/>
  <c r="K28" i="47" s="1"/>
  <c r="J6" i="47"/>
  <c r="K9" i="47"/>
  <c r="J14" i="47"/>
  <c r="K17" i="47"/>
  <c r="J22" i="47"/>
  <c r="K25" i="47"/>
  <c r="J30" i="47"/>
  <c r="K30" i="47" s="1"/>
  <c r="K33" i="47"/>
  <c r="J38" i="47"/>
  <c r="K38" i="47" s="1"/>
  <c r="J3" i="47"/>
  <c r="K6" i="47"/>
  <c r="J11" i="47"/>
  <c r="K14" i="47"/>
  <c r="J19" i="47"/>
  <c r="K22" i="47"/>
  <c r="K3" i="47"/>
  <c r="J8" i="47"/>
  <c r="K11" i="47"/>
  <c r="J16" i="47"/>
  <c r="K19" i="47"/>
  <c r="J24" i="47"/>
  <c r="K27" i="47"/>
  <c r="J32" i="47"/>
  <c r="K35" i="47"/>
  <c r="J23" i="47"/>
  <c r="K23" i="47" s="1"/>
  <c r="J31" i="47"/>
  <c r="J39" i="47"/>
  <c r="J4" i="47"/>
  <c r="K4" i="47" s="1"/>
  <c r="J12" i="47"/>
  <c r="K12" i="47" s="1"/>
  <c r="J5" i="47"/>
  <c r="K8" i="47"/>
  <c r="J13" i="47"/>
  <c r="K16" i="47"/>
  <c r="J21" i="47"/>
  <c r="K24" i="47"/>
  <c r="J29" i="47"/>
  <c r="K32" i="47"/>
  <c r="J37" i="47"/>
  <c r="K5" i="47"/>
  <c r="J10" i="47"/>
  <c r="K13" i="47"/>
  <c r="J18" i="47"/>
  <c r="K21" i="47"/>
  <c r="J26" i="47"/>
  <c r="K26" i="47" s="1"/>
  <c r="K29" i="47"/>
  <c r="J34" i="47"/>
  <c r="K34" i="47" s="1"/>
  <c r="K37" i="47"/>
  <c r="J7" i="47"/>
  <c r="K7" i="47" s="1"/>
  <c r="K10" i="47"/>
  <c r="J15" i="47"/>
  <c r="K15" i="47" s="1"/>
  <c r="K18" i="47"/>
  <c r="K31" i="47"/>
  <c r="J36" i="47"/>
  <c r="K36" i="47" s="1"/>
  <c r="K39" i="47"/>
  <c r="J2" i="50"/>
  <c r="K2" i="50" s="1"/>
  <c r="J2" i="49"/>
  <c r="K2" i="49" s="1"/>
  <c r="J2" i="48"/>
  <c r="K2" i="48" s="1"/>
  <c r="J2" i="47"/>
  <c r="K2" i="47" s="1"/>
  <c r="D8" i="46" l="1"/>
  <c r="F2" i="45"/>
  <c r="F3" i="45"/>
  <c r="F4" i="45"/>
  <c r="F6" i="45"/>
  <c r="B1" i="46"/>
  <c r="D7" i="45" a="1"/>
  <c r="D7" i="45" l="1"/>
  <c r="D15" i="45"/>
  <c r="D23" i="45"/>
  <c r="D31" i="45"/>
  <c r="D39" i="45"/>
  <c r="D47" i="45"/>
  <c r="D55" i="45"/>
  <c r="D63" i="45"/>
  <c r="D71" i="45"/>
  <c r="D79" i="45"/>
  <c r="D87" i="45"/>
  <c r="D95" i="45"/>
  <c r="D103" i="45"/>
  <c r="D111" i="45"/>
  <c r="D119" i="45"/>
  <c r="D108" i="45"/>
  <c r="D116" i="45"/>
  <c r="D17" i="45"/>
  <c r="D12" i="45"/>
  <c r="D20" i="45"/>
  <c r="D28" i="45"/>
  <c r="D36" i="45"/>
  <c r="D44" i="45"/>
  <c r="D52" i="45"/>
  <c r="D60" i="45"/>
  <c r="D68" i="45"/>
  <c r="D76" i="45"/>
  <c r="D84" i="45"/>
  <c r="D92" i="45"/>
  <c r="D100" i="45"/>
  <c r="D124" i="45"/>
  <c r="D9" i="45"/>
  <c r="D14" i="45"/>
  <c r="D22" i="45"/>
  <c r="D30" i="45"/>
  <c r="D38" i="45"/>
  <c r="D46" i="45"/>
  <c r="D54" i="45"/>
  <c r="D62" i="45"/>
  <c r="D70" i="45"/>
  <c r="D78" i="45"/>
  <c r="D86" i="45"/>
  <c r="D94" i="45"/>
  <c r="D102" i="45"/>
  <c r="D110" i="45"/>
  <c r="D118" i="45"/>
  <c r="D126" i="45"/>
  <c r="D83" i="45"/>
  <c r="D91" i="45"/>
  <c r="D99" i="45"/>
  <c r="D107" i="45"/>
  <c r="D115" i="45"/>
  <c r="D8" i="45"/>
  <c r="D16" i="45"/>
  <c r="D24" i="45"/>
  <c r="D11" i="45"/>
  <c r="D19" i="45"/>
  <c r="D27" i="45"/>
  <c r="D35" i="45"/>
  <c r="D43" i="45"/>
  <c r="D51" i="45"/>
  <c r="D59" i="45"/>
  <c r="D67" i="45"/>
  <c r="D75" i="45"/>
  <c r="D123" i="45"/>
  <c r="D40" i="45"/>
  <c r="D56" i="45"/>
  <c r="D72" i="45"/>
  <c r="D88" i="45"/>
  <c r="D104" i="45"/>
  <c r="D120" i="45"/>
  <c r="D37" i="45"/>
  <c r="D85" i="45"/>
  <c r="D101" i="45"/>
  <c r="D117" i="45"/>
  <c r="D114" i="45"/>
  <c r="D53" i="45"/>
  <c r="D69" i="45"/>
  <c r="D10" i="45"/>
  <c r="D50" i="45"/>
  <c r="D41" i="45"/>
  <c r="D57" i="45"/>
  <c r="D73" i="45"/>
  <c r="D89" i="45"/>
  <c r="D105" i="45"/>
  <c r="D121" i="45"/>
  <c r="D112" i="45"/>
  <c r="D61" i="45"/>
  <c r="D77" i="45"/>
  <c r="D42" i="45"/>
  <c r="D58" i="45"/>
  <c r="D74" i="45"/>
  <c r="D90" i="45"/>
  <c r="D122" i="45"/>
  <c r="D65" i="45"/>
  <c r="D34" i="45"/>
  <c r="D66" i="45"/>
  <c r="D18" i="45"/>
  <c r="D32" i="45"/>
  <c r="D48" i="45"/>
  <c r="D64" i="45"/>
  <c r="D80" i="45"/>
  <c r="D96" i="45"/>
  <c r="D13" i="45"/>
  <c r="D25" i="45"/>
  <c r="D29" i="45"/>
  <c r="D45" i="45"/>
  <c r="D93" i="45"/>
  <c r="D109" i="45"/>
  <c r="D125" i="45"/>
  <c r="D106" i="45"/>
  <c r="D21" i="45"/>
  <c r="D26" i="45"/>
  <c r="D33" i="45"/>
  <c r="D49" i="45"/>
  <c r="D81" i="45"/>
  <c r="D97" i="45"/>
  <c r="D113" i="45"/>
  <c r="D82" i="45"/>
  <c r="D98" i="45"/>
  <c r="F48" i="45" l="1"/>
  <c r="E48" i="45"/>
  <c r="E89" i="45"/>
  <c r="F89" i="45"/>
  <c r="E72" i="45"/>
  <c r="F72" i="45"/>
  <c r="E43" i="45"/>
  <c r="F43" i="45"/>
  <c r="E102" i="45"/>
  <c r="F102" i="45"/>
  <c r="F84" i="45"/>
  <c r="E84" i="45"/>
  <c r="E95" i="45"/>
  <c r="F95" i="45"/>
  <c r="E49" i="45"/>
  <c r="F49" i="45"/>
  <c r="E58" i="45"/>
  <c r="F58" i="45"/>
  <c r="E56" i="45"/>
  <c r="F56" i="45"/>
  <c r="E94" i="45"/>
  <c r="F94" i="45"/>
  <c r="E87" i="45"/>
  <c r="F87" i="45"/>
  <c r="E33" i="45"/>
  <c r="F33" i="45"/>
  <c r="F101" i="45"/>
  <c r="E101" i="45"/>
  <c r="E79" i="45"/>
  <c r="F79" i="45"/>
  <c r="E26" i="45"/>
  <c r="F26" i="45"/>
  <c r="E91" i="45"/>
  <c r="F91" i="45"/>
  <c r="E81" i="45"/>
  <c r="F81" i="45"/>
  <c r="F93" i="45"/>
  <c r="E93" i="45"/>
  <c r="E74" i="45"/>
  <c r="F74" i="45"/>
  <c r="E114" i="45"/>
  <c r="F114" i="45"/>
  <c r="E115" i="45"/>
  <c r="F115" i="45"/>
  <c r="E38" i="45"/>
  <c r="F38" i="45"/>
  <c r="E20" i="45"/>
  <c r="F20" i="45"/>
  <c r="E31" i="45"/>
  <c r="F31" i="45"/>
  <c r="F45" i="45"/>
  <c r="E45" i="45"/>
  <c r="E32" i="45"/>
  <c r="F32" i="45"/>
  <c r="E73" i="45"/>
  <c r="F73" i="45"/>
  <c r="F117" i="45"/>
  <c r="E117" i="45"/>
  <c r="E35" i="45"/>
  <c r="F35" i="45"/>
  <c r="E107" i="45"/>
  <c r="F107" i="45"/>
  <c r="E30" i="45"/>
  <c r="F30" i="45"/>
  <c r="F76" i="45"/>
  <c r="E76" i="45"/>
  <c r="E12" i="45"/>
  <c r="F12" i="45"/>
  <c r="F23" i="45"/>
  <c r="E23" i="45"/>
  <c r="F29" i="45"/>
  <c r="E29" i="45"/>
  <c r="E18" i="45"/>
  <c r="F18" i="45"/>
  <c r="E42" i="45"/>
  <c r="F42" i="45"/>
  <c r="E57" i="45"/>
  <c r="F57" i="45"/>
  <c r="E40" i="45"/>
  <c r="F40" i="45"/>
  <c r="E27" i="45"/>
  <c r="F27" i="45"/>
  <c r="E99" i="45"/>
  <c r="F99" i="45"/>
  <c r="E86" i="45"/>
  <c r="F86" i="45"/>
  <c r="F22" i="45"/>
  <c r="E22" i="45"/>
  <c r="F68" i="45"/>
  <c r="E68" i="45"/>
  <c r="E17" i="45"/>
  <c r="F17" i="45"/>
  <c r="F15" i="45"/>
  <c r="E15" i="45"/>
  <c r="E25" i="45"/>
  <c r="F25" i="45"/>
  <c r="E66" i="45"/>
  <c r="F66" i="45"/>
  <c r="F77" i="45"/>
  <c r="E77" i="45"/>
  <c r="E41" i="45"/>
  <c r="F41" i="45"/>
  <c r="F85" i="45"/>
  <c r="E85" i="45"/>
  <c r="E123" i="45"/>
  <c r="F123" i="45"/>
  <c r="E19" i="45"/>
  <c r="F19" i="45"/>
  <c r="E78" i="45"/>
  <c r="F78" i="45"/>
  <c r="F14" i="45"/>
  <c r="E14" i="45"/>
  <c r="F60" i="45"/>
  <c r="E60" i="45"/>
  <c r="F116" i="45"/>
  <c r="E116" i="45"/>
  <c r="E98" i="45"/>
  <c r="F98" i="45"/>
  <c r="F21" i="45"/>
  <c r="E21" i="45"/>
  <c r="F13" i="45"/>
  <c r="E13" i="45"/>
  <c r="E34" i="45"/>
  <c r="F34" i="45"/>
  <c r="F61" i="45"/>
  <c r="E61" i="45"/>
  <c r="E50" i="45"/>
  <c r="F50" i="45"/>
  <c r="F37" i="45"/>
  <c r="E37" i="45"/>
  <c r="E75" i="45"/>
  <c r="F75" i="45"/>
  <c r="E11" i="45"/>
  <c r="F11" i="45"/>
  <c r="F83" i="45"/>
  <c r="E83" i="45"/>
  <c r="E70" i="45"/>
  <c r="F70" i="45"/>
  <c r="E9" i="45"/>
  <c r="F9" i="45"/>
  <c r="F52" i="45"/>
  <c r="E52" i="45"/>
  <c r="F108" i="45"/>
  <c r="E108" i="45"/>
  <c r="E63" i="45"/>
  <c r="F63" i="45"/>
  <c r="E82" i="45"/>
  <c r="F82" i="45"/>
  <c r="E106" i="45"/>
  <c r="F106" i="45"/>
  <c r="F96" i="45"/>
  <c r="E96" i="45"/>
  <c r="E65" i="45"/>
  <c r="F65" i="45"/>
  <c r="F112" i="45"/>
  <c r="E112" i="45"/>
  <c r="E10" i="45"/>
  <c r="F10" i="45"/>
  <c r="E120" i="45"/>
  <c r="F120" i="45"/>
  <c r="F67" i="45"/>
  <c r="E67" i="45"/>
  <c r="E24" i="45"/>
  <c r="F24" i="45"/>
  <c r="E126" i="45"/>
  <c r="F126" i="45"/>
  <c r="E62" i="45"/>
  <c r="F62" i="45"/>
  <c r="F124" i="45"/>
  <c r="E124" i="45"/>
  <c r="F44" i="45"/>
  <c r="E44" i="45"/>
  <c r="E119" i="45"/>
  <c r="F119" i="45"/>
  <c r="E55" i="45"/>
  <c r="F55" i="45"/>
  <c r="E113" i="45"/>
  <c r="F113" i="45"/>
  <c r="F125" i="45"/>
  <c r="E125" i="45"/>
  <c r="E80" i="45"/>
  <c r="F80" i="45"/>
  <c r="E122" i="45"/>
  <c r="F122" i="45"/>
  <c r="E121" i="45"/>
  <c r="F121" i="45"/>
  <c r="F69" i="45"/>
  <c r="E69" i="45"/>
  <c r="E104" i="45"/>
  <c r="F104" i="45"/>
  <c r="E59" i="45"/>
  <c r="F59" i="45"/>
  <c r="F16" i="45"/>
  <c r="E16" i="45"/>
  <c r="E118" i="45"/>
  <c r="F118" i="45"/>
  <c r="E54" i="45"/>
  <c r="F54" i="45"/>
  <c r="F100" i="45"/>
  <c r="E100" i="45"/>
  <c r="F36" i="45"/>
  <c r="E36" i="45"/>
  <c r="E111" i="45"/>
  <c r="F111" i="45"/>
  <c r="E47" i="45"/>
  <c r="F47" i="45"/>
  <c r="E97" i="45"/>
  <c r="F97" i="45"/>
  <c r="F109" i="45"/>
  <c r="E109" i="45"/>
  <c r="E64" i="45"/>
  <c r="F64" i="45"/>
  <c r="E90" i="45"/>
  <c r="F90" i="45"/>
  <c r="E105" i="45"/>
  <c r="F105" i="45"/>
  <c r="F53" i="45"/>
  <c r="E53" i="45"/>
  <c r="E88" i="45"/>
  <c r="F88" i="45"/>
  <c r="F51" i="45"/>
  <c r="E51" i="45"/>
  <c r="E8" i="45"/>
  <c r="F8" i="45"/>
  <c r="E110" i="45"/>
  <c r="F110" i="45"/>
  <c r="E46" i="45"/>
  <c r="F46" i="45"/>
  <c r="F92" i="45"/>
  <c r="E92" i="45"/>
  <c r="F28" i="45"/>
  <c r="E28" i="45"/>
  <c r="E103" i="45"/>
  <c r="F103" i="45"/>
  <c r="E39" i="45"/>
  <c r="F39" i="45"/>
  <c r="E71" i="45"/>
  <c r="F71" i="45"/>
  <c r="F7" i="45"/>
  <c r="E7" i="45"/>
  <c r="D8" i="44"/>
  <c r="C3" i="43"/>
  <c r="D3" i="43"/>
  <c r="E3" i="43"/>
  <c r="F3" i="43"/>
  <c r="G3" i="43"/>
  <c r="I3" i="43"/>
  <c r="C4" i="43"/>
  <c r="D4" i="43"/>
  <c r="E4" i="43"/>
  <c r="F4" i="43"/>
  <c r="G4" i="43"/>
  <c r="I4" i="43"/>
  <c r="C5" i="43"/>
  <c r="D5" i="43"/>
  <c r="E5" i="43"/>
  <c r="F5" i="43"/>
  <c r="G5" i="43"/>
  <c r="I5" i="43"/>
  <c r="C6" i="43"/>
  <c r="D6" i="43"/>
  <c r="E6" i="43"/>
  <c r="F6" i="43"/>
  <c r="G6" i="43"/>
  <c r="I6" i="43"/>
  <c r="C7" i="43"/>
  <c r="D7" i="43"/>
  <c r="E7" i="43"/>
  <c r="F7" i="43"/>
  <c r="G7" i="43"/>
  <c r="I7" i="43"/>
  <c r="C8" i="43"/>
  <c r="D8" i="43"/>
  <c r="E8" i="43"/>
  <c r="F8" i="43"/>
  <c r="G8" i="43"/>
  <c r="I8" i="43"/>
  <c r="C9" i="43"/>
  <c r="D9" i="43"/>
  <c r="E9" i="43"/>
  <c r="F9" i="43"/>
  <c r="G9" i="43"/>
  <c r="I9" i="43"/>
  <c r="C10" i="43"/>
  <c r="D10" i="43"/>
  <c r="E10" i="43"/>
  <c r="F10" i="43"/>
  <c r="G10" i="43"/>
  <c r="I10" i="43"/>
  <c r="C11" i="43"/>
  <c r="D11" i="43"/>
  <c r="E11" i="43"/>
  <c r="F11" i="43"/>
  <c r="G11" i="43"/>
  <c r="I11" i="43"/>
  <c r="C12" i="43"/>
  <c r="D12" i="43"/>
  <c r="E12" i="43"/>
  <c r="F12" i="43"/>
  <c r="G12" i="43"/>
  <c r="I12" i="43"/>
  <c r="C13" i="43"/>
  <c r="D13" i="43"/>
  <c r="E13" i="43"/>
  <c r="F13" i="43"/>
  <c r="G13" i="43"/>
  <c r="I13" i="43"/>
  <c r="C14" i="43"/>
  <c r="D14" i="43"/>
  <c r="E14" i="43"/>
  <c r="F14" i="43"/>
  <c r="G14" i="43"/>
  <c r="I14" i="43"/>
  <c r="C15" i="43"/>
  <c r="D15" i="43"/>
  <c r="E15" i="43"/>
  <c r="F15" i="43"/>
  <c r="G15" i="43"/>
  <c r="I15" i="43"/>
  <c r="C16" i="43"/>
  <c r="D16" i="43"/>
  <c r="E16" i="43"/>
  <c r="F16" i="43"/>
  <c r="G16" i="43"/>
  <c r="I16" i="43"/>
  <c r="C17" i="43"/>
  <c r="D17" i="43"/>
  <c r="E17" i="43"/>
  <c r="F17" i="43"/>
  <c r="G17" i="43"/>
  <c r="I17" i="43"/>
  <c r="C18" i="43"/>
  <c r="D18" i="43"/>
  <c r="E18" i="43"/>
  <c r="F18" i="43"/>
  <c r="G18" i="43"/>
  <c r="I18" i="43"/>
  <c r="C19" i="43"/>
  <c r="D19" i="43"/>
  <c r="E19" i="43"/>
  <c r="F19" i="43"/>
  <c r="G19" i="43"/>
  <c r="I19" i="43"/>
  <c r="C20" i="43"/>
  <c r="D20" i="43"/>
  <c r="E20" i="43"/>
  <c r="F20" i="43"/>
  <c r="G20" i="43"/>
  <c r="I20" i="43"/>
  <c r="C21" i="43"/>
  <c r="D21" i="43"/>
  <c r="E21" i="43"/>
  <c r="F21" i="43"/>
  <c r="H21" i="43" s="1"/>
  <c r="G21" i="43"/>
  <c r="I21" i="43"/>
  <c r="C22" i="43"/>
  <c r="D22" i="43"/>
  <c r="E22" i="43"/>
  <c r="F22" i="43"/>
  <c r="G22" i="43"/>
  <c r="I22" i="43"/>
  <c r="C23" i="43"/>
  <c r="D23" i="43"/>
  <c r="E23" i="43"/>
  <c r="F23" i="43"/>
  <c r="G23" i="43"/>
  <c r="I23" i="43"/>
  <c r="C24" i="43"/>
  <c r="D24" i="43"/>
  <c r="E24" i="43"/>
  <c r="F24" i="43"/>
  <c r="G24" i="43"/>
  <c r="I24" i="43"/>
  <c r="C25" i="43"/>
  <c r="D25" i="43"/>
  <c r="E25" i="43"/>
  <c r="F25" i="43"/>
  <c r="G25" i="43"/>
  <c r="I25" i="43"/>
  <c r="C26" i="43"/>
  <c r="D26" i="43"/>
  <c r="E26" i="43"/>
  <c r="F26" i="43"/>
  <c r="G26" i="43"/>
  <c r="I26" i="43"/>
  <c r="C27" i="43"/>
  <c r="D27" i="43"/>
  <c r="E27" i="43"/>
  <c r="F27" i="43"/>
  <c r="G27" i="43"/>
  <c r="I27" i="43"/>
  <c r="C28" i="43"/>
  <c r="D28" i="43"/>
  <c r="E28" i="43"/>
  <c r="F28" i="43"/>
  <c r="G28" i="43"/>
  <c r="I28" i="43"/>
  <c r="C29" i="43"/>
  <c r="D29" i="43"/>
  <c r="E29" i="43"/>
  <c r="F29" i="43"/>
  <c r="G29" i="43"/>
  <c r="I29" i="43"/>
  <c r="C30" i="43"/>
  <c r="D30" i="43"/>
  <c r="E30" i="43"/>
  <c r="F30" i="43"/>
  <c r="G30" i="43"/>
  <c r="I30" i="43"/>
  <c r="C31" i="43"/>
  <c r="D31" i="43"/>
  <c r="E31" i="43"/>
  <c r="F31" i="43"/>
  <c r="G31" i="43"/>
  <c r="I31" i="43"/>
  <c r="C32" i="43"/>
  <c r="D32" i="43"/>
  <c r="E32" i="43"/>
  <c r="F32" i="43"/>
  <c r="G32" i="43"/>
  <c r="I32" i="43"/>
  <c r="C33" i="43"/>
  <c r="D33" i="43"/>
  <c r="E33" i="43"/>
  <c r="F33" i="43"/>
  <c r="G33" i="43"/>
  <c r="I33" i="43"/>
  <c r="C34" i="43"/>
  <c r="D34" i="43"/>
  <c r="E34" i="43"/>
  <c r="F34" i="43"/>
  <c r="G34" i="43"/>
  <c r="I34" i="43"/>
  <c r="C35" i="43"/>
  <c r="D35" i="43"/>
  <c r="E35" i="43"/>
  <c r="F35" i="43"/>
  <c r="G35" i="43"/>
  <c r="I35" i="43"/>
  <c r="C36" i="43"/>
  <c r="D36" i="43"/>
  <c r="E36" i="43"/>
  <c r="F36" i="43"/>
  <c r="G36" i="43"/>
  <c r="I36" i="43"/>
  <c r="C3" i="42"/>
  <c r="D3" i="42"/>
  <c r="E3" i="42"/>
  <c r="F3" i="42"/>
  <c r="G3" i="42"/>
  <c r="C4" i="42"/>
  <c r="D4" i="42"/>
  <c r="E4" i="42"/>
  <c r="F4" i="42"/>
  <c r="G4" i="42"/>
  <c r="C5" i="42"/>
  <c r="D5" i="42"/>
  <c r="E5" i="42"/>
  <c r="F5" i="42"/>
  <c r="G5" i="42"/>
  <c r="C6" i="42"/>
  <c r="D6" i="42"/>
  <c r="E6" i="42"/>
  <c r="F6" i="42"/>
  <c r="G6" i="42"/>
  <c r="C7" i="42"/>
  <c r="D7" i="42"/>
  <c r="E7" i="42"/>
  <c r="F7" i="42"/>
  <c r="G7" i="42"/>
  <c r="C8" i="42"/>
  <c r="D8" i="42"/>
  <c r="E8" i="42"/>
  <c r="F8" i="42"/>
  <c r="G8" i="42"/>
  <c r="C9" i="42"/>
  <c r="D9" i="42"/>
  <c r="E9" i="42"/>
  <c r="F9" i="42"/>
  <c r="G9" i="42"/>
  <c r="C10" i="42"/>
  <c r="D10" i="42"/>
  <c r="E10" i="42"/>
  <c r="F10" i="42"/>
  <c r="G10" i="42"/>
  <c r="C11" i="42"/>
  <c r="D11" i="42"/>
  <c r="E11" i="42"/>
  <c r="F11" i="42"/>
  <c r="G11" i="42"/>
  <c r="C12" i="42"/>
  <c r="D12" i="42"/>
  <c r="E12" i="42"/>
  <c r="F12" i="42"/>
  <c r="G12" i="42"/>
  <c r="C13" i="42"/>
  <c r="D13" i="42"/>
  <c r="E13" i="42"/>
  <c r="F13" i="42"/>
  <c r="G13" i="42"/>
  <c r="C14" i="42"/>
  <c r="D14" i="42"/>
  <c r="E14" i="42"/>
  <c r="F14" i="42"/>
  <c r="G14" i="42"/>
  <c r="C15" i="42"/>
  <c r="D15" i="42"/>
  <c r="E15" i="42"/>
  <c r="F15" i="42"/>
  <c r="G15" i="42"/>
  <c r="C16" i="42"/>
  <c r="D16" i="42"/>
  <c r="E16" i="42"/>
  <c r="F16" i="42"/>
  <c r="G16" i="42"/>
  <c r="C17" i="42"/>
  <c r="D17" i="42"/>
  <c r="E17" i="42"/>
  <c r="F17" i="42"/>
  <c r="G17" i="42"/>
  <c r="C18" i="42"/>
  <c r="D18" i="42"/>
  <c r="E18" i="42"/>
  <c r="F18" i="42"/>
  <c r="G18" i="42"/>
  <c r="C19" i="42"/>
  <c r="D19" i="42"/>
  <c r="E19" i="42"/>
  <c r="F19" i="42"/>
  <c r="G19" i="42"/>
  <c r="C20" i="42"/>
  <c r="D20" i="42"/>
  <c r="E20" i="42"/>
  <c r="F20" i="42"/>
  <c r="G20" i="42"/>
  <c r="C21" i="42"/>
  <c r="D21" i="42"/>
  <c r="E21" i="42"/>
  <c r="F21" i="42"/>
  <c r="G21" i="42"/>
  <c r="C22" i="42"/>
  <c r="D22" i="42"/>
  <c r="E22" i="42"/>
  <c r="F22" i="42"/>
  <c r="G22" i="42"/>
  <c r="C23" i="42"/>
  <c r="D23" i="42"/>
  <c r="E23" i="42"/>
  <c r="F23" i="42"/>
  <c r="G23" i="42"/>
  <c r="C24" i="42"/>
  <c r="D24" i="42"/>
  <c r="E24" i="42"/>
  <c r="F24" i="42"/>
  <c r="G24" i="42"/>
  <c r="C25" i="42"/>
  <c r="D25" i="42"/>
  <c r="E25" i="42"/>
  <c r="F25" i="42"/>
  <c r="G25" i="42"/>
  <c r="C26" i="42"/>
  <c r="D26" i="42"/>
  <c r="E26" i="42"/>
  <c r="F26" i="42"/>
  <c r="G26" i="42"/>
  <c r="C27" i="42"/>
  <c r="D27" i="42"/>
  <c r="E27" i="42"/>
  <c r="F27" i="42"/>
  <c r="G27" i="42"/>
  <c r="C28" i="42"/>
  <c r="D28" i="42"/>
  <c r="E28" i="42"/>
  <c r="F28" i="42"/>
  <c r="G28" i="42"/>
  <c r="C29" i="42"/>
  <c r="D29" i="42"/>
  <c r="E29" i="42"/>
  <c r="F29" i="42"/>
  <c r="G29" i="42"/>
  <c r="C30" i="42"/>
  <c r="D30" i="42"/>
  <c r="E30" i="42"/>
  <c r="F30" i="42"/>
  <c r="G30" i="42"/>
  <c r="C31" i="42"/>
  <c r="D31" i="42"/>
  <c r="E31" i="42"/>
  <c r="F31" i="42"/>
  <c r="G31" i="42"/>
  <c r="C32" i="42"/>
  <c r="D32" i="42"/>
  <c r="E32" i="42"/>
  <c r="F32" i="42"/>
  <c r="G32" i="42"/>
  <c r="C33" i="42"/>
  <c r="D33" i="42"/>
  <c r="E33" i="42"/>
  <c r="F33" i="42"/>
  <c r="G33" i="42"/>
  <c r="C34" i="42"/>
  <c r="D34" i="42"/>
  <c r="E34" i="42"/>
  <c r="F34" i="42"/>
  <c r="G34" i="42"/>
  <c r="C35" i="42"/>
  <c r="D35" i="42"/>
  <c r="E35" i="42"/>
  <c r="F35" i="42"/>
  <c r="G35" i="42"/>
  <c r="C36" i="42"/>
  <c r="D36" i="42"/>
  <c r="E36" i="42"/>
  <c r="F36" i="42"/>
  <c r="G36" i="42"/>
  <c r="C3" i="41"/>
  <c r="D3" i="41"/>
  <c r="E3" i="41"/>
  <c r="F3" i="41"/>
  <c r="H3" i="41" s="1"/>
  <c r="G3" i="41"/>
  <c r="I3" i="41"/>
  <c r="C4" i="41"/>
  <c r="D4" i="41"/>
  <c r="E4" i="41"/>
  <c r="F4" i="41"/>
  <c r="H4" i="41" s="1"/>
  <c r="G4" i="41"/>
  <c r="I4" i="41"/>
  <c r="C5" i="41"/>
  <c r="D5" i="41"/>
  <c r="E5" i="41"/>
  <c r="F5" i="41"/>
  <c r="H5" i="41" s="1"/>
  <c r="G5" i="41"/>
  <c r="I5" i="41"/>
  <c r="C6" i="41"/>
  <c r="D6" i="41"/>
  <c r="E6" i="41"/>
  <c r="F6" i="41"/>
  <c r="H6" i="41" s="1"/>
  <c r="G6" i="41"/>
  <c r="I6" i="41"/>
  <c r="C7" i="41"/>
  <c r="D7" i="41"/>
  <c r="E7" i="41"/>
  <c r="F7" i="41"/>
  <c r="H7" i="41" s="1"/>
  <c r="G7" i="41"/>
  <c r="I7" i="41"/>
  <c r="C8" i="41"/>
  <c r="D8" i="41"/>
  <c r="E8" i="41"/>
  <c r="F8" i="41"/>
  <c r="H8" i="41" s="1"/>
  <c r="G8" i="41"/>
  <c r="I8" i="41"/>
  <c r="C9" i="41"/>
  <c r="D9" i="41"/>
  <c r="E9" i="41"/>
  <c r="F9" i="41"/>
  <c r="H9" i="41" s="1"/>
  <c r="G9" i="41"/>
  <c r="I9" i="41"/>
  <c r="C10" i="41"/>
  <c r="D10" i="41"/>
  <c r="E10" i="41"/>
  <c r="F10" i="41"/>
  <c r="H10" i="41" s="1"/>
  <c r="G10" i="41"/>
  <c r="I10" i="41"/>
  <c r="C11" i="41"/>
  <c r="D11" i="41"/>
  <c r="E11" i="41"/>
  <c r="F11" i="41"/>
  <c r="H11" i="41" s="1"/>
  <c r="G11" i="41"/>
  <c r="I11" i="41"/>
  <c r="C12" i="41"/>
  <c r="D12" i="41"/>
  <c r="E12" i="41"/>
  <c r="F12" i="41"/>
  <c r="H12" i="41" s="1"/>
  <c r="G12" i="41"/>
  <c r="I12" i="41"/>
  <c r="C13" i="41"/>
  <c r="D13" i="41"/>
  <c r="E13" i="41"/>
  <c r="F13" i="41"/>
  <c r="H13" i="41" s="1"/>
  <c r="G13" i="41"/>
  <c r="I13" i="41"/>
  <c r="C14" i="41"/>
  <c r="D14" i="41"/>
  <c r="E14" i="41"/>
  <c r="F14" i="41"/>
  <c r="H14" i="41" s="1"/>
  <c r="G14" i="41"/>
  <c r="I14" i="41"/>
  <c r="C15" i="41"/>
  <c r="D15" i="41"/>
  <c r="E15" i="41"/>
  <c r="F15" i="41"/>
  <c r="H15" i="41" s="1"/>
  <c r="G15" i="41"/>
  <c r="I15" i="41"/>
  <c r="C16" i="41"/>
  <c r="D16" i="41"/>
  <c r="E16" i="41"/>
  <c r="F16" i="41"/>
  <c r="H16" i="41" s="1"/>
  <c r="G16" i="41"/>
  <c r="I16" i="41"/>
  <c r="C17" i="41"/>
  <c r="D17" i="41"/>
  <c r="E17" i="41"/>
  <c r="F17" i="41"/>
  <c r="H17" i="41" s="1"/>
  <c r="G17" i="41"/>
  <c r="I17" i="41"/>
  <c r="C18" i="41"/>
  <c r="D18" i="41"/>
  <c r="E18" i="41"/>
  <c r="F18" i="41"/>
  <c r="H18" i="41" s="1"/>
  <c r="G18" i="41"/>
  <c r="I18" i="41"/>
  <c r="C19" i="41"/>
  <c r="D19" i="41"/>
  <c r="E19" i="41"/>
  <c r="F19" i="41"/>
  <c r="H19" i="41" s="1"/>
  <c r="G19" i="41"/>
  <c r="I19" i="41"/>
  <c r="C20" i="41"/>
  <c r="D20" i="41"/>
  <c r="E20" i="41"/>
  <c r="F20" i="41"/>
  <c r="H20" i="41" s="1"/>
  <c r="G20" i="41"/>
  <c r="I20" i="41"/>
  <c r="C21" i="41"/>
  <c r="D21" i="41"/>
  <c r="E21" i="41"/>
  <c r="F21" i="41"/>
  <c r="H21" i="41" s="1"/>
  <c r="G21" i="41"/>
  <c r="I21" i="41"/>
  <c r="C22" i="41"/>
  <c r="D22" i="41"/>
  <c r="E22" i="41"/>
  <c r="F22" i="41"/>
  <c r="H22" i="41" s="1"/>
  <c r="G22" i="41"/>
  <c r="I22" i="41"/>
  <c r="C23" i="41"/>
  <c r="D23" i="41"/>
  <c r="E23" i="41"/>
  <c r="F23" i="41"/>
  <c r="H23" i="41" s="1"/>
  <c r="G23" i="41"/>
  <c r="I23" i="41"/>
  <c r="C24" i="41"/>
  <c r="D24" i="41"/>
  <c r="E24" i="41"/>
  <c r="F24" i="41"/>
  <c r="H24" i="41" s="1"/>
  <c r="G24" i="41"/>
  <c r="I24" i="41"/>
  <c r="C25" i="41"/>
  <c r="D25" i="41"/>
  <c r="E25" i="41"/>
  <c r="F25" i="41"/>
  <c r="H25" i="41" s="1"/>
  <c r="G25" i="41"/>
  <c r="I25" i="41"/>
  <c r="C26" i="41"/>
  <c r="D26" i="41"/>
  <c r="E26" i="41"/>
  <c r="F26" i="41"/>
  <c r="H26" i="41" s="1"/>
  <c r="G26" i="41"/>
  <c r="I26" i="41"/>
  <c r="C27" i="41"/>
  <c r="D27" i="41"/>
  <c r="E27" i="41"/>
  <c r="F27" i="41"/>
  <c r="H27" i="41" s="1"/>
  <c r="G27" i="41"/>
  <c r="I27" i="41"/>
  <c r="C28" i="41"/>
  <c r="D28" i="41"/>
  <c r="E28" i="41"/>
  <c r="F28" i="41"/>
  <c r="H28" i="41" s="1"/>
  <c r="G28" i="41"/>
  <c r="I28" i="41"/>
  <c r="C29" i="41"/>
  <c r="D29" i="41"/>
  <c r="E29" i="41"/>
  <c r="F29" i="41"/>
  <c r="H29" i="41" s="1"/>
  <c r="G29" i="41"/>
  <c r="I29" i="41"/>
  <c r="C30" i="41"/>
  <c r="D30" i="41"/>
  <c r="E30" i="41"/>
  <c r="F30" i="41"/>
  <c r="H30" i="41" s="1"/>
  <c r="G30" i="41"/>
  <c r="I30" i="41"/>
  <c r="C31" i="41"/>
  <c r="D31" i="41"/>
  <c r="E31" i="41"/>
  <c r="F31" i="41"/>
  <c r="H31" i="41" s="1"/>
  <c r="G31" i="41"/>
  <c r="I31" i="41"/>
  <c r="C32" i="41"/>
  <c r="D32" i="41"/>
  <c r="E32" i="41"/>
  <c r="F32" i="41"/>
  <c r="H32" i="41" s="1"/>
  <c r="G32" i="41"/>
  <c r="I32" i="41"/>
  <c r="C33" i="41"/>
  <c r="D33" i="41"/>
  <c r="E33" i="41"/>
  <c r="F33" i="41"/>
  <c r="H33" i="41" s="1"/>
  <c r="G33" i="41"/>
  <c r="I33" i="41"/>
  <c r="C34" i="41"/>
  <c r="D34" i="41"/>
  <c r="E34" i="41"/>
  <c r="F34" i="41"/>
  <c r="H34" i="41" s="1"/>
  <c r="G34" i="41"/>
  <c r="I34" i="41"/>
  <c r="C35" i="41"/>
  <c r="D35" i="41"/>
  <c r="E35" i="41"/>
  <c r="F35" i="41"/>
  <c r="H35" i="41" s="1"/>
  <c r="G35" i="41"/>
  <c r="I35" i="41"/>
  <c r="C36" i="41"/>
  <c r="D36" i="41"/>
  <c r="E36" i="41"/>
  <c r="F36" i="41"/>
  <c r="H36" i="41" s="1"/>
  <c r="G36" i="41"/>
  <c r="I36" i="41"/>
  <c r="C3" i="40"/>
  <c r="D3" i="40"/>
  <c r="E3" i="40"/>
  <c r="F3" i="40"/>
  <c r="H3" i="40" s="1"/>
  <c r="G3" i="40"/>
  <c r="I3" i="40"/>
  <c r="C4" i="40"/>
  <c r="D4" i="40"/>
  <c r="E4" i="40"/>
  <c r="F4" i="40"/>
  <c r="H4" i="40" s="1"/>
  <c r="G4" i="40"/>
  <c r="I4" i="40"/>
  <c r="C5" i="40"/>
  <c r="D5" i="40"/>
  <c r="E5" i="40"/>
  <c r="F5" i="40"/>
  <c r="H5" i="40" s="1"/>
  <c r="G5" i="40"/>
  <c r="I5" i="40"/>
  <c r="C6" i="40"/>
  <c r="D6" i="40"/>
  <c r="E6" i="40"/>
  <c r="F6" i="40"/>
  <c r="H6" i="40" s="1"/>
  <c r="G6" i="40"/>
  <c r="I6" i="40"/>
  <c r="C7" i="40"/>
  <c r="D7" i="40"/>
  <c r="E7" i="40"/>
  <c r="F7" i="40"/>
  <c r="H7" i="40" s="1"/>
  <c r="G7" i="40"/>
  <c r="I7" i="40"/>
  <c r="C8" i="40"/>
  <c r="D8" i="40"/>
  <c r="E8" i="40"/>
  <c r="F8" i="40"/>
  <c r="H8" i="40" s="1"/>
  <c r="G8" i="40"/>
  <c r="I8" i="40"/>
  <c r="C9" i="40"/>
  <c r="D9" i="40"/>
  <c r="E9" i="40"/>
  <c r="F9" i="40"/>
  <c r="H9" i="40" s="1"/>
  <c r="G9" i="40"/>
  <c r="I9" i="40"/>
  <c r="C10" i="40"/>
  <c r="D10" i="40"/>
  <c r="E10" i="40"/>
  <c r="F10" i="40"/>
  <c r="H10" i="40" s="1"/>
  <c r="G10" i="40"/>
  <c r="I10" i="40"/>
  <c r="C11" i="40"/>
  <c r="D11" i="40"/>
  <c r="E11" i="40"/>
  <c r="F11" i="40"/>
  <c r="H11" i="40" s="1"/>
  <c r="G11" i="40"/>
  <c r="I11" i="40"/>
  <c r="C12" i="40"/>
  <c r="D12" i="40"/>
  <c r="E12" i="40"/>
  <c r="F12" i="40"/>
  <c r="H12" i="40" s="1"/>
  <c r="G12" i="40"/>
  <c r="I12" i="40"/>
  <c r="C13" i="40"/>
  <c r="D13" i="40"/>
  <c r="E13" i="40"/>
  <c r="F13" i="40"/>
  <c r="H13" i="40" s="1"/>
  <c r="G13" i="40"/>
  <c r="I13" i="40"/>
  <c r="C14" i="40"/>
  <c r="D14" i="40"/>
  <c r="E14" i="40"/>
  <c r="F14" i="40"/>
  <c r="H14" i="40" s="1"/>
  <c r="G14" i="40"/>
  <c r="I14" i="40"/>
  <c r="C15" i="40"/>
  <c r="D15" i="40"/>
  <c r="E15" i="40"/>
  <c r="F15" i="40"/>
  <c r="H15" i="40" s="1"/>
  <c r="G15" i="40"/>
  <c r="I15" i="40"/>
  <c r="C16" i="40"/>
  <c r="D16" i="40"/>
  <c r="E16" i="40"/>
  <c r="F16" i="40"/>
  <c r="H16" i="40" s="1"/>
  <c r="G16" i="40"/>
  <c r="I16" i="40"/>
  <c r="C17" i="40"/>
  <c r="D17" i="40"/>
  <c r="E17" i="40"/>
  <c r="F17" i="40"/>
  <c r="H17" i="40" s="1"/>
  <c r="G17" i="40"/>
  <c r="I17" i="40"/>
  <c r="C18" i="40"/>
  <c r="D18" i="40"/>
  <c r="E18" i="40"/>
  <c r="F18" i="40"/>
  <c r="H18" i="40" s="1"/>
  <c r="G18" i="40"/>
  <c r="I18" i="40"/>
  <c r="C19" i="40"/>
  <c r="D19" i="40"/>
  <c r="E19" i="40"/>
  <c r="F19" i="40"/>
  <c r="H19" i="40" s="1"/>
  <c r="G19" i="40"/>
  <c r="I19" i="40"/>
  <c r="C20" i="40"/>
  <c r="D20" i="40"/>
  <c r="E20" i="40"/>
  <c r="F20" i="40"/>
  <c r="H20" i="40" s="1"/>
  <c r="G20" i="40"/>
  <c r="I20" i="40"/>
  <c r="C21" i="40"/>
  <c r="D21" i="40"/>
  <c r="E21" i="40"/>
  <c r="F21" i="40"/>
  <c r="H21" i="40" s="1"/>
  <c r="G21" i="40"/>
  <c r="I21" i="40"/>
  <c r="C22" i="40"/>
  <c r="D22" i="40"/>
  <c r="E22" i="40"/>
  <c r="F22" i="40"/>
  <c r="H22" i="40" s="1"/>
  <c r="G22" i="40"/>
  <c r="I22" i="40"/>
  <c r="C23" i="40"/>
  <c r="D23" i="40"/>
  <c r="E23" i="40"/>
  <c r="F23" i="40"/>
  <c r="H23" i="40" s="1"/>
  <c r="G23" i="40"/>
  <c r="I23" i="40"/>
  <c r="C24" i="40"/>
  <c r="D24" i="40"/>
  <c r="E24" i="40"/>
  <c r="F24" i="40"/>
  <c r="H24" i="40" s="1"/>
  <c r="G24" i="40"/>
  <c r="I24" i="40"/>
  <c r="C25" i="40"/>
  <c r="D25" i="40"/>
  <c r="E25" i="40"/>
  <c r="F25" i="40"/>
  <c r="H25" i="40" s="1"/>
  <c r="G25" i="40"/>
  <c r="I25" i="40"/>
  <c r="C26" i="40"/>
  <c r="D26" i="40"/>
  <c r="E26" i="40"/>
  <c r="F26" i="40"/>
  <c r="H26" i="40" s="1"/>
  <c r="G26" i="40"/>
  <c r="I26" i="40"/>
  <c r="C27" i="40"/>
  <c r="D27" i="40"/>
  <c r="E27" i="40"/>
  <c r="F27" i="40"/>
  <c r="H27" i="40" s="1"/>
  <c r="G27" i="40"/>
  <c r="I27" i="40"/>
  <c r="C28" i="40"/>
  <c r="D28" i="40"/>
  <c r="E28" i="40"/>
  <c r="F28" i="40"/>
  <c r="H28" i="40" s="1"/>
  <c r="G28" i="40"/>
  <c r="I28" i="40"/>
  <c r="C29" i="40"/>
  <c r="D29" i="40"/>
  <c r="E29" i="40"/>
  <c r="F29" i="40"/>
  <c r="H29" i="40" s="1"/>
  <c r="G29" i="40"/>
  <c r="I29" i="40"/>
  <c r="C30" i="40"/>
  <c r="D30" i="40"/>
  <c r="E30" i="40"/>
  <c r="F30" i="40"/>
  <c r="H30" i="40" s="1"/>
  <c r="G30" i="40"/>
  <c r="I30" i="40"/>
  <c r="C31" i="40"/>
  <c r="D31" i="40"/>
  <c r="E31" i="40"/>
  <c r="F31" i="40"/>
  <c r="H31" i="40" s="1"/>
  <c r="G31" i="40"/>
  <c r="I31" i="40"/>
  <c r="C32" i="40"/>
  <c r="D32" i="40"/>
  <c r="E32" i="40"/>
  <c r="F32" i="40"/>
  <c r="H32" i="40" s="1"/>
  <c r="G32" i="40"/>
  <c r="I32" i="40"/>
  <c r="C33" i="40"/>
  <c r="D33" i="40"/>
  <c r="E33" i="40"/>
  <c r="F33" i="40"/>
  <c r="H33" i="40" s="1"/>
  <c r="G33" i="40"/>
  <c r="I33" i="40"/>
  <c r="C34" i="40"/>
  <c r="D34" i="40"/>
  <c r="E34" i="40"/>
  <c r="F34" i="40"/>
  <c r="H34" i="40" s="1"/>
  <c r="G34" i="40"/>
  <c r="I34" i="40"/>
  <c r="C35" i="40"/>
  <c r="D35" i="40"/>
  <c r="E35" i="40"/>
  <c r="F35" i="40"/>
  <c r="H35" i="40" s="1"/>
  <c r="G35" i="40"/>
  <c r="I35" i="40"/>
  <c r="C36" i="40"/>
  <c r="D36" i="40"/>
  <c r="E36" i="40"/>
  <c r="F36" i="40"/>
  <c r="H36" i="40" s="1"/>
  <c r="G36" i="40"/>
  <c r="I36" i="40"/>
  <c r="G48" i="45"/>
  <c r="H48" i="45" s="1"/>
  <c r="G102" i="45"/>
  <c r="H102" i="45" s="1"/>
  <c r="G58" i="45"/>
  <c r="H58" i="45" s="1"/>
  <c r="G33" i="45"/>
  <c r="H33" i="45" s="1"/>
  <c r="G91" i="45"/>
  <c r="H91" i="45" s="1"/>
  <c r="G114" i="45"/>
  <c r="H114" i="45" s="1"/>
  <c r="G31" i="45"/>
  <c r="H31" i="45" s="1"/>
  <c r="G18" i="45"/>
  <c r="H18" i="45" s="1"/>
  <c r="G27" i="45"/>
  <c r="H27" i="45" s="1"/>
  <c r="G66" i="45"/>
  <c r="H66" i="45" s="1"/>
  <c r="G123" i="45"/>
  <c r="H123" i="45" s="1"/>
  <c r="G70" i="45"/>
  <c r="H70" i="45" s="1"/>
  <c r="G63" i="45"/>
  <c r="H63" i="45" s="1"/>
  <c r="G65" i="45"/>
  <c r="H65" i="45" s="1"/>
  <c r="G113" i="45"/>
  <c r="H113" i="45" s="1"/>
  <c r="G121" i="45"/>
  <c r="H121" i="45" s="1"/>
  <c r="G110" i="45"/>
  <c r="H110" i="45" s="1"/>
  <c r="G103" i="45"/>
  <c r="H103" i="45" s="1"/>
  <c r="G84" i="45"/>
  <c r="H84" i="45" s="1"/>
  <c r="G101" i="45"/>
  <c r="H101" i="45" s="1"/>
  <c r="G45" i="45"/>
  <c r="H45" i="45" s="1"/>
  <c r="G77" i="45"/>
  <c r="H77" i="45" s="1"/>
  <c r="G116" i="45"/>
  <c r="H116" i="45" s="1"/>
  <c r="G112" i="45"/>
  <c r="H112" i="45" s="1"/>
  <c r="G44" i="45"/>
  <c r="H44" i="45" s="1"/>
  <c r="G125" i="45"/>
  <c r="H125" i="45" s="1"/>
  <c r="G69" i="45"/>
  <c r="H69" i="45" s="1"/>
  <c r="G55" i="45"/>
  <c r="H55" i="45" s="1"/>
  <c r="G37" i="45"/>
  <c r="H37" i="45" s="1"/>
  <c r="G109" i="45"/>
  <c r="H109" i="45" s="1"/>
  <c r="G89" i="45"/>
  <c r="H89" i="45" s="1"/>
  <c r="G56" i="45"/>
  <c r="H56" i="45" s="1"/>
  <c r="G81" i="45"/>
  <c r="H81" i="45" s="1"/>
  <c r="G115" i="45"/>
  <c r="H115" i="45" s="1"/>
  <c r="G35" i="45"/>
  <c r="H35" i="45" s="1"/>
  <c r="G12" i="45"/>
  <c r="H12" i="45" s="1"/>
  <c r="G42" i="45"/>
  <c r="H42" i="45" s="1"/>
  <c r="G99" i="45"/>
  <c r="H99" i="45" s="1"/>
  <c r="G17" i="45"/>
  <c r="H17" i="45" s="1"/>
  <c r="G19" i="45"/>
  <c r="H19" i="45" s="1"/>
  <c r="G34" i="45"/>
  <c r="H34" i="45" s="1"/>
  <c r="G75" i="45"/>
  <c r="H75" i="45" s="1"/>
  <c r="G9" i="45"/>
  <c r="H9" i="45" s="1"/>
  <c r="G82" i="45"/>
  <c r="H82" i="45" s="1"/>
  <c r="G24" i="45"/>
  <c r="H24" i="45" s="1"/>
  <c r="G118" i="45"/>
  <c r="H118" i="45" s="1"/>
  <c r="G111" i="45"/>
  <c r="H111" i="45" s="1"/>
  <c r="G64" i="45"/>
  <c r="H64" i="45" s="1"/>
  <c r="G88" i="45"/>
  <c r="H88" i="45" s="1"/>
  <c r="G46" i="45"/>
  <c r="H46" i="45" s="1"/>
  <c r="G39" i="45"/>
  <c r="H39" i="45" s="1"/>
  <c r="G87" i="45"/>
  <c r="H87" i="45" s="1"/>
  <c r="G40" i="45"/>
  <c r="H40" i="45" s="1"/>
  <c r="G50" i="45"/>
  <c r="H50" i="45" s="1"/>
  <c r="G122" i="45"/>
  <c r="H122" i="45" s="1"/>
  <c r="G97" i="45"/>
  <c r="H97" i="45" s="1"/>
  <c r="G76" i="45"/>
  <c r="H76" i="45" s="1"/>
  <c r="G67" i="45"/>
  <c r="H67" i="45" s="1"/>
  <c r="G16" i="45"/>
  <c r="H16" i="45" s="1"/>
  <c r="G93" i="45"/>
  <c r="H93" i="45" s="1"/>
  <c r="G23" i="45"/>
  <c r="H23" i="45" s="1"/>
  <c r="G15" i="45"/>
  <c r="H15" i="45" s="1"/>
  <c r="G61" i="45"/>
  <c r="H61" i="45" s="1"/>
  <c r="G52" i="45"/>
  <c r="H52" i="45" s="1"/>
  <c r="G51" i="45"/>
  <c r="H51" i="45" s="1"/>
  <c r="G92" i="45"/>
  <c r="H92" i="45" s="1"/>
  <c r="G29" i="45"/>
  <c r="H29" i="45" s="1"/>
  <c r="G22" i="45"/>
  <c r="H22" i="45" s="1"/>
  <c r="G85" i="45"/>
  <c r="H85" i="45" s="1"/>
  <c r="G21" i="45"/>
  <c r="H21" i="45" s="1"/>
  <c r="G83" i="45"/>
  <c r="H83" i="45" s="1"/>
  <c r="G28" i="45"/>
  <c r="H28" i="45" s="1"/>
  <c r="G43" i="45"/>
  <c r="H43" i="45" s="1"/>
  <c r="G26" i="45"/>
  <c r="H26" i="45" s="1"/>
  <c r="G20" i="45"/>
  <c r="H20" i="45" s="1"/>
  <c r="G30" i="45"/>
  <c r="H30" i="45" s="1"/>
  <c r="G120" i="45"/>
  <c r="H120" i="45" s="1"/>
  <c r="G59" i="45"/>
  <c r="H59" i="45" s="1"/>
  <c r="G105" i="45"/>
  <c r="H105" i="45" s="1"/>
  <c r="G117" i="45"/>
  <c r="H117" i="45" s="1"/>
  <c r="G68" i="45"/>
  <c r="H68" i="45" s="1"/>
  <c r="G13" i="45"/>
  <c r="H13" i="45" s="1"/>
  <c r="G124" i="45"/>
  <c r="H124" i="45" s="1"/>
  <c r="G36" i="45"/>
  <c r="H36" i="45" s="1"/>
  <c r="G72" i="45"/>
  <c r="H72" i="45" s="1"/>
  <c r="G95" i="45"/>
  <c r="H95" i="45" s="1"/>
  <c r="G94" i="45"/>
  <c r="H94" i="45" s="1"/>
  <c r="G79" i="45"/>
  <c r="H79" i="45" s="1"/>
  <c r="G38" i="45"/>
  <c r="H38" i="45" s="1"/>
  <c r="G32" i="45"/>
  <c r="H32" i="45" s="1"/>
  <c r="G107" i="45"/>
  <c r="H107" i="45" s="1"/>
  <c r="G57" i="45"/>
  <c r="H57" i="45" s="1"/>
  <c r="G86" i="45"/>
  <c r="H86" i="45" s="1"/>
  <c r="G41" i="45"/>
  <c r="H41" i="45" s="1"/>
  <c r="G78" i="45"/>
  <c r="H78" i="45" s="1"/>
  <c r="G98" i="45"/>
  <c r="H98" i="45" s="1"/>
  <c r="G11" i="45"/>
  <c r="H11" i="45" s="1"/>
  <c r="G106" i="45"/>
  <c r="H106" i="45" s="1"/>
  <c r="G10" i="45"/>
  <c r="H10" i="45" s="1"/>
  <c r="G126" i="45"/>
  <c r="H126" i="45" s="1"/>
  <c r="G119" i="45"/>
  <c r="H119" i="45" s="1"/>
  <c r="G80" i="45"/>
  <c r="H80" i="45" s="1"/>
  <c r="G104" i="45"/>
  <c r="H104" i="45" s="1"/>
  <c r="G54" i="45"/>
  <c r="H54" i="45" s="1"/>
  <c r="G47" i="45"/>
  <c r="H47" i="45" s="1"/>
  <c r="G90" i="45"/>
  <c r="H90" i="45" s="1"/>
  <c r="G71" i="45"/>
  <c r="H71" i="45" s="1"/>
  <c r="G14" i="45"/>
  <c r="H14" i="45" s="1"/>
  <c r="G108" i="45"/>
  <c r="H108" i="45" s="1"/>
  <c r="G96" i="45"/>
  <c r="H96" i="45" s="1"/>
  <c r="G100" i="45"/>
  <c r="H100" i="45" s="1"/>
  <c r="G7" i="45"/>
  <c r="H7" i="45" s="1"/>
  <c r="G49" i="45"/>
  <c r="H49" i="45" s="1"/>
  <c r="G74" i="45"/>
  <c r="H74" i="45" s="1"/>
  <c r="G73" i="45"/>
  <c r="H73" i="45" s="1"/>
  <c r="G25" i="45"/>
  <c r="H25" i="45" s="1"/>
  <c r="G62" i="45"/>
  <c r="H62" i="45" s="1"/>
  <c r="G8" i="45"/>
  <c r="H8" i="45" s="1"/>
  <c r="G60" i="45"/>
  <c r="H60" i="45" s="1"/>
  <c r="G53" i="45"/>
  <c r="H53" i="45" s="1"/>
  <c r="B1" i="44"/>
  <c r="L3" i="43"/>
  <c r="L3" i="42"/>
  <c r="L6" i="42"/>
  <c r="L7" i="42"/>
  <c r="L8" i="42"/>
  <c r="L9" i="42"/>
  <c r="L10" i="42"/>
  <c r="L13" i="42"/>
  <c r="L14" i="42"/>
  <c r="L17" i="42"/>
  <c r="L20" i="42"/>
  <c r="L22" i="42"/>
  <c r="L26" i="42"/>
  <c r="L29" i="42"/>
  <c r="L31" i="42"/>
  <c r="L34" i="42"/>
  <c r="L4" i="42"/>
  <c r="L12" i="42"/>
  <c r="L16" i="42"/>
  <c r="L18" i="42"/>
  <c r="L21" i="42"/>
  <c r="L24" i="42"/>
  <c r="L27" i="42"/>
  <c r="L30" i="42"/>
  <c r="L33" i="42"/>
  <c r="L36" i="42"/>
  <c r="L5" i="42"/>
  <c r="L11" i="42"/>
  <c r="L15" i="42"/>
  <c r="L19" i="42"/>
  <c r="L23" i="42"/>
  <c r="L25" i="42"/>
  <c r="L28" i="42"/>
  <c r="L32" i="42"/>
  <c r="L35" i="42"/>
  <c r="L4" i="41"/>
  <c r="L12" i="41"/>
  <c r="L20" i="41"/>
  <c r="L28" i="41"/>
  <c r="L36" i="41"/>
  <c r="L33" i="41"/>
  <c r="L18" i="41"/>
  <c r="L27" i="41"/>
  <c r="L5" i="41"/>
  <c r="L13" i="41"/>
  <c r="L21" i="41"/>
  <c r="L29" i="41"/>
  <c r="L6" i="41"/>
  <c r="L14" i="41"/>
  <c r="L22" i="41"/>
  <c r="L30" i="41"/>
  <c r="L25" i="41"/>
  <c r="L26" i="41"/>
  <c r="L3" i="41"/>
  <c r="L7" i="41"/>
  <c r="L15" i="41"/>
  <c r="L23" i="41"/>
  <c r="L31" i="41"/>
  <c r="L9" i="41"/>
  <c r="L10" i="41"/>
  <c r="L11" i="41"/>
  <c r="L35" i="41"/>
  <c r="L8" i="41"/>
  <c r="L16" i="41"/>
  <c r="L24" i="41"/>
  <c r="L32" i="41"/>
  <c r="L17" i="41"/>
  <c r="L34" i="41"/>
  <c r="L19" i="41"/>
  <c r="L3" i="40"/>
  <c r="H31" i="42" l="1"/>
  <c r="J31" i="42" s="1"/>
  <c r="H23" i="42"/>
  <c r="H15" i="42"/>
  <c r="H7" i="42"/>
  <c r="J7" i="42" s="1"/>
  <c r="H32" i="43"/>
  <c r="J32" i="43" s="1"/>
  <c r="H20" i="43"/>
  <c r="H8" i="43"/>
  <c r="J8" i="43" s="1"/>
  <c r="H4" i="43"/>
  <c r="J4" i="43" s="1"/>
  <c r="H11" i="42"/>
  <c r="J11" i="42" s="1"/>
  <c r="H3" i="42"/>
  <c r="J3" i="42" s="1"/>
  <c r="J21" i="43"/>
  <c r="H6" i="43"/>
  <c r="J6" i="43" s="1"/>
  <c r="H36" i="42"/>
  <c r="J36" i="42" s="1"/>
  <c r="H28" i="42"/>
  <c r="J28" i="42" s="1"/>
  <c r="H20" i="42"/>
  <c r="J20" i="42" s="1"/>
  <c r="H12" i="42"/>
  <c r="J12" i="42" s="1"/>
  <c r="H4" i="42"/>
  <c r="J4" i="42" s="1"/>
  <c r="H33" i="43"/>
  <c r="J33" i="43" s="1"/>
  <c r="H9" i="43"/>
  <c r="J9" i="43" s="1"/>
  <c r="H5" i="43"/>
  <c r="J5" i="43" s="1"/>
  <c r="H29" i="43"/>
  <c r="J29" i="43" s="1"/>
  <c r="H12" i="43"/>
  <c r="J12" i="43" s="1"/>
  <c r="H25" i="43"/>
  <c r="J25" i="43" s="1"/>
  <c r="H16" i="43"/>
  <c r="J16" i="43" s="1"/>
  <c r="H35" i="43"/>
  <c r="J35" i="43" s="1"/>
  <c r="H30" i="43"/>
  <c r="J30" i="43" s="1"/>
  <c r="H22" i="43"/>
  <c r="H17" i="43"/>
  <c r="J17" i="43" s="1"/>
  <c r="H13" i="43"/>
  <c r="J13" i="43" s="1"/>
  <c r="J20" i="43"/>
  <c r="H36" i="43"/>
  <c r="J36" i="43" s="1"/>
  <c r="H31" i="43"/>
  <c r="J31" i="43" s="1"/>
  <c r="H23" i="43"/>
  <c r="J23" i="43" s="1"/>
  <c r="H10" i="43"/>
  <c r="J10" i="43" s="1"/>
  <c r="H28" i="43"/>
  <c r="J28" i="43" s="1"/>
  <c r="H24" i="43"/>
  <c r="J24" i="43" s="1"/>
  <c r="H15" i="43"/>
  <c r="J15" i="43" s="1"/>
  <c r="H26" i="43"/>
  <c r="J26" i="43" s="1"/>
  <c r="H19" i="43"/>
  <c r="J19" i="43" s="1"/>
  <c r="H7" i="43"/>
  <c r="J7" i="43" s="1"/>
  <c r="H34" i="43"/>
  <c r="J34" i="43" s="1"/>
  <c r="H27" i="43"/>
  <c r="J27" i="43" s="1"/>
  <c r="H14" i="43"/>
  <c r="J14" i="43" s="1"/>
  <c r="H29" i="42"/>
  <c r="J29" i="42" s="1"/>
  <c r="H21" i="42"/>
  <c r="J21" i="42" s="1"/>
  <c r="H13" i="42"/>
  <c r="J13" i="42" s="1"/>
  <c r="H5" i="42"/>
  <c r="J5" i="42" s="1"/>
  <c r="H3" i="43"/>
  <c r="J3" i="43" s="1"/>
  <c r="J26" i="41"/>
  <c r="J12" i="41"/>
  <c r="J22" i="43"/>
  <c r="H18" i="43"/>
  <c r="J18" i="43" s="1"/>
  <c r="H11" i="43"/>
  <c r="J11" i="43" s="1"/>
  <c r="J14" i="41"/>
  <c r="H34" i="42"/>
  <c r="J34" i="42" s="1"/>
  <c r="H26" i="42"/>
  <c r="J26" i="42" s="1"/>
  <c r="H18" i="42"/>
  <c r="J18" i="42" s="1"/>
  <c r="H10" i="42"/>
  <c r="J10" i="42" s="1"/>
  <c r="J36" i="41"/>
  <c r="H32" i="42"/>
  <c r="J32" i="42" s="1"/>
  <c r="H24" i="42"/>
  <c r="J24" i="42" s="1"/>
  <c r="H16" i="42"/>
  <c r="J16" i="42" s="1"/>
  <c r="H8" i="42"/>
  <c r="J8" i="42" s="1"/>
  <c r="J20" i="41"/>
  <c r="H35" i="42"/>
  <c r="J35" i="42" s="1"/>
  <c r="H27" i="42"/>
  <c r="J27" i="42" s="1"/>
  <c r="H19" i="42"/>
  <c r="J19" i="42" s="1"/>
  <c r="J28" i="41"/>
  <c r="J31" i="41"/>
  <c r="J8" i="41"/>
  <c r="H30" i="42"/>
  <c r="J30" i="42" s="1"/>
  <c r="H22" i="42"/>
  <c r="J22" i="42" s="1"/>
  <c r="H14" i="42"/>
  <c r="J14" i="42" s="1"/>
  <c r="H6" i="42"/>
  <c r="J6" i="42" s="1"/>
  <c r="J4" i="41"/>
  <c r="H33" i="42"/>
  <c r="J33" i="42" s="1"/>
  <c r="H25" i="42"/>
  <c r="J25" i="42" s="1"/>
  <c r="H17" i="42"/>
  <c r="J17" i="42" s="1"/>
  <c r="H9" i="42"/>
  <c r="J9" i="42" s="1"/>
  <c r="J23" i="42"/>
  <c r="J15" i="42"/>
  <c r="J30" i="41"/>
  <c r="J24" i="41"/>
  <c r="J10" i="41"/>
  <c r="J5" i="41"/>
  <c r="J17" i="41"/>
  <c r="J11" i="41"/>
  <c r="J18" i="41"/>
  <c r="J13" i="41"/>
  <c r="J6" i="41"/>
  <c r="J25" i="41"/>
  <c r="J15" i="41"/>
  <c r="J21" i="41"/>
  <c r="J33" i="41"/>
  <c r="J34" i="41"/>
  <c r="J29" i="41"/>
  <c r="J22" i="41"/>
  <c r="J35" i="41"/>
  <c r="J9" i="41"/>
  <c r="J7" i="41"/>
  <c r="J32" i="41"/>
  <c r="J27" i="41"/>
  <c r="J23" i="41"/>
  <c r="J19" i="41"/>
  <c r="J16" i="41"/>
  <c r="J2" i="41"/>
  <c r="J3" i="41"/>
  <c r="J35" i="40"/>
  <c r="J25" i="40"/>
  <c r="J9" i="40"/>
  <c r="J19" i="40"/>
  <c r="J26" i="40"/>
  <c r="J20" i="40"/>
  <c r="J15" i="40"/>
  <c r="J10" i="40"/>
  <c r="J4" i="40"/>
  <c r="J24" i="40"/>
  <c r="J14" i="40"/>
  <c r="J36" i="40"/>
  <c r="J31" i="40"/>
  <c r="J21" i="40"/>
  <c r="J5" i="40"/>
  <c r="J30" i="40"/>
  <c r="J8" i="40"/>
  <c r="J32" i="40"/>
  <c r="J22" i="40"/>
  <c r="J16" i="40"/>
  <c r="J6" i="40"/>
  <c r="J34" i="40"/>
  <c r="J28" i="40"/>
  <c r="J23" i="40"/>
  <c r="J18" i="40"/>
  <c r="J12" i="40"/>
  <c r="J3" i="40"/>
  <c r="J11" i="40"/>
  <c r="J27" i="40"/>
  <c r="J33" i="40"/>
  <c r="J17" i="40"/>
  <c r="J7" i="40"/>
  <c r="J29" i="40"/>
  <c r="J13" i="40"/>
  <c r="J2" i="40"/>
  <c r="K21" i="43"/>
  <c r="L21" i="43" s="1"/>
  <c r="K8" i="43"/>
  <c r="L8" i="43" s="1"/>
  <c r="K32" i="43"/>
  <c r="L32" i="43" s="1"/>
  <c r="K33" i="43"/>
  <c r="L33" i="43" s="1"/>
  <c r="K9" i="43"/>
  <c r="L9" i="43" s="1"/>
  <c r="K29" i="43"/>
  <c r="L29" i="43" s="1"/>
  <c r="K17" i="43"/>
  <c r="L17" i="43" s="1"/>
  <c r="K13" i="43"/>
  <c r="L13" i="43" s="1"/>
  <c r="K5" i="43"/>
  <c r="L5" i="43" s="1"/>
  <c r="K20" i="43"/>
  <c r="L20" i="43" s="1"/>
  <c r="K25" i="43"/>
  <c r="L25" i="43" s="1"/>
  <c r="K12" i="43"/>
  <c r="L12" i="43" s="1"/>
  <c r="K35" i="43"/>
  <c r="L35" i="43" s="1"/>
  <c r="K10" i="43"/>
  <c r="L10" i="43" s="1"/>
  <c r="K16" i="43"/>
  <c r="L16" i="43" s="1"/>
  <c r="K4" i="43"/>
  <c r="L4" i="43" s="1"/>
  <c r="K34" i="43"/>
  <c r="L34" i="43" s="1"/>
  <c r="K24" i="43"/>
  <c r="L24" i="43" s="1"/>
  <c r="K28" i="43"/>
  <c r="L28" i="43" s="1"/>
  <c r="K22" i="43"/>
  <c r="L22" i="43" s="1"/>
  <c r="K15" i="43"/>
  <c r="L15" i="43" s="1"/>
  <c r="K36" i="43"/>
  <c r="L36" i="43" s="1"/>
  <c r="K27" i="43"/>
  <c r="L27" i="43" s="1"/>
  <c r="K31" i="43"/>
  <c r="L31" i="43" s="1"/>
  <c r="K14" i="43"/>
  <c r="L14" i="43" s="1"/>
  <c r="K6" i="43"/>
  <c r="L6" i="43" s="1"/>
  <c r="K7" i="43"/>
  <c r="L7" i="43" s="1"/>
  <c r="K26" i="43"/>
  <c r="L26" i="43" s="1"/>
  <c r="K19" i="43"/>
  <c r="L19" i="43" s="1"/>
  <c r="K11" i="43"/>
  <c r="L11" i="43" s="1"/>
  <c r="K30" i="43"/>
  <c r="L30" i="43" s="1"/>
  <c r="K23" i="43"/>
  <c r="L23" i="43" s="1"/>
  <c r="K18" i="43"/>
  <c r="L18" i="43" s="1"/>
  <c r="K2" i="41"/>
  <c r="L2" i="41" s="1"/>
  <c r="K25" i="40"/>
  <c r="L25" i="40" s="1"/>
  <c r="K9" i="40"/>
  <c r="L9" i="40" s="1"/>
  <c r="K14" i="40"/>
  <c r="L14" i="40" s="1"/>
  <c r="K22" i="40"/>
  <c r="L22" i="40" s="1"/>
  <c r="K19" i="40"/>
  <c r="L19" i="40" s="1"/>
  <c r="K36" i="40"/>
  <c r="L36" i="40" s="1"/>
  <c r="K26" i="40"/>
  <c r="L26" i="40" s="1"/>
  <c r="K31" i="40"/>
  <c r="L31" i="40" s="1"/>
  <c r="K6" i="40"/>
  <c r="L6" i="40" s="1"/>
  <c r="K30" i="40"/>
  <c r="L30" i="40" s="1"/>
  <c r="K35" i="40"/>
  <c r="L35" i="40" s="1"/>
  <c r="K18" i="40"/>
  <c r="L18" i="40" s="1"/>
  <c r="K24" i="40"/>
  <c r="L24" i="40" s="1"/>
  <c r="K20" i="40"/>
  <c r="L20" i="40" s="1"/>
  <c r="K21" i="40"/>
  <c r="L21" i="40" s="1"/>
  <c r="K34" i="40"/>
  <c r="L34" i="40" s="1"/>
  <c r="K10" i="40"/>
  <c r="L10" i="40" s="1"/>
  <c r="K4" i="40"/>
  <c r="L4" i="40" s="1"/>
  <c r="K32" i="40"/>
  <c r="L32" i="40" s="1"/>
  <c r="K15" i="40"/>
  <c r="L15" i="40" s="1"/>
  <c r="K5" i="40"/>
  <c r="L5" i="40" s="1"/>
  <c r="K28" i="40"/>
  <c r="L28" i="40" s="1"/>
  <c r="K23" i="40"/>
  <c r="L23" i="40" s="1"/>
  <c r="K8" i="40"/>
  <c r="L8" i="40" s="1"/>
  <c r="K12" i="40"/>
  <c r="L12" i="40" s="1"/>
  <c r="K16" i="40"/>
  <c r="L16" i="40" s="1"/>
  <c r="K11" i="40"/>
  <c r="L11" i="40" s="1"/>
  <c r="K27" i="40"/>
  <c r="L27" i="40" s="1"/>
  <c r="K33" i="40"/>
  <c r="L33" i="40" s="1"/>
  <c r="K17" i="40"/>
  <c r="L17" i="40" s="1"/>
  <c r="K7" i="40"/>
  <c r="L7" i="40" s="1"/>
  <c r="K29" i="40"/>
  <c r="L29" i="40" s="1"/>
  <c r="K13" i="40"/>
  <c r="L13" i="40" s="1"/>
  <c r="K2" i="40"/>
  <c r="L2" i="40" s="1"/>
  <c r="J2" i="42" l="1"/>
  <c r="J2" i="43"/>
  <c r="D8" i="39"/>
  <c r="K2" i="42"/>
  <c r="L2" i="42" s="1"/>
  <c r="K2" i="43"/>
  <c r="L2" i="43" s="1"/>
  <c r="B1" i="39"/>
  <c r="C1" i="38"/>
  <c r="C2" i="38" l="1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B21" i="38"/>
  <c r="C21" i="38" s="1"/>
  <c r="B22" i="38"/>
  <c r="C22" i="38" s="1"/>
  <c r="B23" i="38"/>
  <c r="C23" i="38" s="1"/>
  <c r="B24" i="38"/>
  <c r="C24" i="38" s="1"/>
  <c r="B25" i="38"/>
  <c r="C25" i="38" s="1"/>
  <c r="B26" i="38"/>
  <c r="C26" i="38" s="1"/>
  <c r="B27" i="38"/>
  <c r="C27" i="38" s="1"/>
  <c r="B28" i="38"/>
  <c r="C28" i="38" s="1"/>
  <c r="B29" i="38"/>
  <c r="C29" i="38" s="1"/>
  <c r="B30" i="38"/>
  <c r="C30" i="38" s="1"/>
  <c r="B31" i="38"/>
  <c r="C31" i="38" s="1"/>
  <c r="B32" i="38"/>
  <c r="C32" i="38" s="1"/>
  <c r="B33" i="38"/>
  <c r="C33" i="38" s="1"/>
  <c r="B34" i="38"/>
  <c r="C34" i="38" s="1"/>
  <c r="B35" i="38"/>
  <c r="C35" i="38" s="1"/>
  <c r="B36" i="38"/>
  <c r="C36" i="38" s="1"/>
  <c r="B37" i="38"/>
  <c r="C37" i="38" s="1"/>
  <c r="B38" i="38"/>
  <c r="C38" i="38" s="1"/>
  <c r="B39" i="38"/>
  <c r="C39" i="38" s="1"/>
  <c r="B40" i="38"/>
  <c r="C40" i="38" s="1"/>
  <c r="B41" i="38"/>
  <c r="C41" i="38" s="1"/>
  <c r="B42" i="38"/>
  <c r="C42" i="38" s="1"/>
  <c r="B43" i="38"/>
  <c r="C43" i="38" s="1"/>
  <c r="B44" i="38"/>
  <c r="C44" i="38" s="1"/>
  <c r="B45" i="38"/>
  <c r="C45" i="38" s="1"/>
  <c r="B46" i="38"/>
  <c r="C46" i="38" s="1"/>
  <c r="B47" i="38"/>
  <c r="C47" i="38" s="1"/>
  <c r="B48" i="38"/>
  <c r="C48" i="38" s="1"/>
  <c r="B49" i="38"/>
  <c r="C49" i="38" s="1"/>
  <c r="B50" i="38"/>
  <c r="C50" i="38" s="1"/>
  <c r="B51" i="38"/>
  <c r="C51" i="38" s="1"/>
  <c r="B52" i="38"/>
  <c r="C52" i="38" s="1"/>
  <c r="B53" i="38"/>
  <c r="C53" i="38" s="1"/>
  <c r="B54" i="38"/>
  <c r="C54" i="38" s="1"/>
  <c r="B55" i="38"/>
  <c r="C55" i="38" s="1"/>
  <c r="B56" i="38"/>
  <c r="C56" i="38" s="1"/>
  <c r="B57" i="38"/>
  <c r="C57" i="38" s="1"/>
  <c r="B58" i="38"/>
  <c r="C58" i="38" s="1"/>
  <c r="B59" i="38"/>
  <c r="C59" i="38" s="1"/>
  <c r="B60" i="38"/>
  <c r="C60" i="38" s="1"/>
  <c r="B61" i="38"/>
  <c r="C61" i="38" s="1"/>
  <c r="B62" i="38"/>
  <c r="C62" i="38" s="1"/>
  <c r="B63" i="38"/>
  <c r="C63" i="38" s="1"/>
  <c r="B64" i="38"/>
  <c r="C64" i="38" s="1"/>
  <c r="D3" i="38"/>
  <c r="D11" i="38"/>
  <c r="D19" i="38"/>
  <c r="D52" i="38"/>
  <c r="D58" i="38"/>
  <c r="D15" i="38"/>
  <c r="D27" i="38"/>
  <c r="E27" i="38" s="1"/>
  <c r="D37" i="38"/>
  <c r="E37" i="38" s="1"/>
  <c r="D41" i="38"/>
  <c r="E41" i="38" s="1"/>
  <c r="D47" i="38"/>
  <c r="E47" i="38" s="1"/>
  <c r="D55" i="38"/>
  <c r="E55" i="38" s="1"/>
  <c r="D63" i="38"/>
  <c r="E63" i="38" s="1"/>
  <c r="E3" i="38"/>
  <c r="D6" i="38"/>
  <c r="E11" i="38"/>
  <c r="D14" i="38"/>
  <c r="E19" i="38"/>
  <c r="E6" i="38"/>
  <c r="D9" i="38"/>
  <c r="D17" i="38"/>
  <c r="D46" i="38"/>
  <c r="E46" i="38" s="1"/>
  <c r="D54" i="38"/>
  <c r="E54" i="38" s="1"/>
  <c r="D62" i="38"/>
  <c r="D7" i="38"/>
  <c r="E52" i="38"/>
  <c r="E62" i="38"/>
  <c r="D8" i="38"/>
  <c r="E8" i="38" s="1"/>
  <c r="D21" i="38"/>
  <c r="E21" i="38" s="1"/>
  <c r="D29" i="38"/>
  <c r="E29" i="38" s="1"/>
  <c r="D35" i="38"/>
  <c r="E35" i="38" s="1"/>
  <c r="D45" i="38"/>
  <c r="E45" i="38" s="1"/>
  <c r="D53" i="38"/>
  <c r="E53" i="38" s="1"/>
  <c r="D59" i="38"/>
  <c r="E59" i="38" s="1"/>
  <c r="E14" i="38"/>
  <c r="D48" i="38"/>
  <c r="D60" i="38"/>
  <c r="E60" i="38" s="1"/>
  <c r="E58" i="38"/>
  <c r="D10" i="38"/>
  <c r="E10" i="38" s="1"/>
  <c r="D5" i="38"/>
  <c r="D13" i="38"/>
  <c r="E5" i="38"/>
  <c r="E13" i="38"/>
  <c r="D16" i="38"/>
  <c r="E16" i="38" s="1"/>
  <c r="D23" i="38"/>
  <c r="E23" i="38" s="1"/>
  <c r="D31" i="38"/>
  <c r="E31" i="38" s="1"/>
  <c r="D39" i="38"/>
  <c r="E39" i="38" s="1"/>
  <c r="D51" i="38"/>
  <c r="E51" i="38" s="1"/>
  <c r="D61" i="38"/>
  <c r="E61" i="38" s="1"/>
  <c r="D4" i="38"/>
  <c r="E4" i="38" s="1"/>
  <c r="E9" i="38"/>
  <c r="D12" i="38"/>
  <c r="E17" i="38"/>
  <c r="D20" i="38"/>
  <c r="E20" i="38" s="1"/>
  <c r="D22" i="38"/>
  <c r="D24" i="38"/>
  <c r="E24" i="38" s="1"/>
  <c r="D26" i="38"/>
  <c r="D28" i="38"/>
  <c r="E28" i="38" s="1"/>
  <c r="D30" i="38"/>
  <c r="D32" i="38"/>
  <c r="E32" i="38" s="1"/>
  <c r="D34" i="38"/>
  <c r="D36" i="38"/>
  <c r="E36" i="38" s="1"/>
  <c r="D38" i="38"/>
  <c r="E38" i="38" s="1"/>
  <c r="D40" i="38"/>
  <c r="D42" i="38"/>
  <c r="E42" i="38" s="1"/>
  <c r="D44" i="38"/>
  <c r="E44" i="38" s="1"/>
  <c r="D50" i="38"/>
  <c r="E50" i="38" s="1"/>
  <c r="D56" i="38"/>
  <c r="D64" i="38"/>
  <c r="E64" i="38" s="1"/>
  <c r="E12" i="38"/>
  <c r="E22" i="38"/>
  <c r="E26" i="38"/>
  <c r="E30" i="38"/>
  <c r="E34" i="38"/>
  <c r="E40" i="38"/>
  <c r="E48" i="38"/>
  <c r="E56" i="38"/>
  <c r="E7" i="38"/>
  <c r="E15" i="38"/>
  <c r="D18" i="38"/>
  <c r="E18" i="38"/>
  <c r="D25" i="38"/>
  <c r="E25" i="38" s="1"/>
  <c r="D33" i="38"/>
  <c r="E33" i="38" s="1"/>
  <c r="D43" i="38"/>
  <c r="E43" i="38" s="1"/>
  <c r="D49" i="38"/>
  <c r="E49" i="38" s="1"/>
  <c r="D57" i="38"/>
  <c r="E57" i="38" s="1"/>
  <c r="C1" i="37"/>
  <c r="C2" i="37" l="1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D3" i="37"/>
  <c r="D11" i="37"/>
  <c r="E3" i="37"/>
  <c r="D6" i="37"/>
  <c r="E11" i="37"/>
  <c r="D14" i="37"/>
  <c r="E6" i="37"/>
  <c r="D9" i="37"/>
  <c r="E14" i="37"/>
  <c r="D4" i="37"/>
  <c r="E9" i="37"/>
  <c r="D12" i="37"/>
  <c r="E4" i="37"/>
  <c r="D7" i="37"/>
  <c r="E12" i="37"/>
  <c r="D15" i="37"/>
  <c r="E7" i="37"/>
  <c r="D10" i="37"/>
  <c r="D13" i="37"/>
  <c r="D8" i="37"/>
  <c r="E8" i="37" s="1"/>
  <c r="E13" i="37"/>
  <c r="D5" i="37"/>
  <c r="D16" i="37"/>
  <c r="E16" i="37" s="1"/>
  <c r="E10" i="37"/>
  <c r="E5" i="37"/>
  <c r="E15" i="37"/>
  <c r="C1" i="36"/>
  <c r="C2" i="36" l="1"/>
  <c r="C3" i="36"/>
  <c r="C4" i="36"/>
  <c r="C5" i="36"/>
  <c r="C6" i="36"/>
  <c r="C7" i="36"/>
  <c r="C8" i="36"/>
  <c r="C9" i="36"/>
  <c r="C10" i="36"/>
  <c r="C11" i="36"/>
  <c r="C12" i="36"/>
  <c r="C13" i="36"/>
  <c r="D5" i="36"/>
  <c r="D6" i="36"/>
  <c r="E5" i="36"/>
  <c r="D8" i="36"/>
  <c r="D3" i="36"/>
  <c r="E8" i="36"/>
  <c r="E3" i="36"/>
  <c r="E6" i="36"/>
  <c r="D9" i="36"/>
  <c r="D4" i="36"/>
  <c r="E9" i="36"/>
  <c r="D12" i="36"/>
  <c r="E4" i="36"/>
  <c r="D10" i="36"/>
  <c r="E10" i="36"/>
  <c r="D13" i="36"/>
  <c r="E13" i="36" s="1"/>
  <c r="D11" i="36"/>
  <c r="E11" i="36"/>
  <c r="D7" i="36"/>
  <c r="E7" i="36" s="1"/>
  <c r="E12" i="36"/>
  <c r="C1" i="35"/>
  <c r="C2" i="35" l="1"/>
  <c r="C3" i="35"/>
  <c r="C4" i="35"/>
  <c r="C5" i="35"/>
  <c r="C6" i="35"/>
  <c r="C7" i="35"/>
  <c r="C8" i="35"/>
  <c r="C9" i="35"/>
  <c r="C10" i="35"/>
  <c r="C11" i="35"/>
  <c r="C2" i="34"/>
  <c r="C3" i="34"/>
  <c r="C4" i="34"/>
  <c r="D11" i="35"/>
  <c r="D3" i="35"/>
  <c r="D4" i="35"/>
  <c r="E4" i="35"/>
  <c r="D7" i="35"/>
  <c r="E7" i="35"/>
  <c r="D10" i="35"/>
  <c r="D5" i="35"/>
  <c r="E5" i="35" s="1"/>
  <c r="E10" i="35"/>
  <c r="D8" i="35"/>
  <c r="E8" i="35" s="1"/>
  <c r="E3" i="35"/>
  <c r="D6" i="35"/>
  <c r="E6" i="35" s="1"/>
  <c r="E11" i="35"/>
  <c r="D9" i="35"/>
  <c r="E9" i="35" s="1"/>
  <c r="D3" i="34"/>
  <c r="E3" i="34"/>
  <c r="D4" i="34"/>
  <c r="E4" i="34"/>
  <c r="D2" i="38"/>
  <c r="E2" i="38" s="1"/>
  <c r="D2" i="37"/>
  <c r="E2" i="37" s="1"/>
  <c r="D2" i="36"/>
  <c r="E2" i="36" s="1"/>
  <c r="D2" i="35"/>
  <c r="E2" i="35" s="1"/>
  <c r="D2" i="34"/>
  <c r="E2" i="34" s="1"/>
  <c r="D8" i="33" l="1"/>
  <c r="C3" i="32" a="1"/>
  <c r="C3" i="32" s="1"/>
  <c r="D3" i="32" a="1"/>
  <c r="D9" i="32" s="1"/>
  <c r="C3" i="31" a="1"/>
  <c r="C3" i="31" s="1"/>
  <c r="D3" i="31" a="1"/>
  <c r="D9" i="31" s="1"/>
  <c r="E2" i="30"/>
  <c r="E3" i="30"/>
  <c r="E4" i="30"/>
  <c r="E5" i="30"/>
  <c r="E6" i="30"/>
  <c r="E7" i="30"/>
  <c r="E8" i="30"/>
  <c r="E9" i="30"/>
  <c r="E2" i="29"/>
  <c r="E3" i="29"/>
  <c r="E4" i="29"/>
  <c r="E5" i="29"/>
  <c r="E6" i="29"/>
  <c r="E7" i="29"/>
  <c r="E8" i="29"/>
  <c r="E9" i="29"/>
  <c r="E10" i="29"/>
  <c r="E11" i="29"/>
  <c r="E12" i="29"/>
  <c r="E13" i="29"/>
  <c r="E2" i="28"/>
  <c r="E3" i="28"/>
  <c r="E4" i="28"/>
  <c r="E5" i="28"/>
  <c r="E6" i="28"/>
  <c r="E7" i="28"/>
  <c r="E8" i="28"/>
  <c r="E9" i="28"/>
  <c r="E10" i="28"/>
  <c r="E11" i="28"/>
  <c r="E12" i="28"/>
  <c r="E13" i="28"/>
  <c r="E14" i="28"/>
  <c r="E15" i="28"/>
  <c r="E16" i="28"/>
  <c r="E17" i="28"/>
  <c r="E18" i="28"/>
  <c r="E19" i="28"/>
  <c r="E20" i="28"/>
  <c r="E21" i="28"/>
  <c r="E22" i="28"/>
  <c r="E23" i="28"/>
  <c r="E24" i="28"/>
  <c r="E25" i="28"/>
  <c r="E26" i="28"/>
  <c r="E27" i="28"/>
  <c r="E28" i="28"/>
  <c r="E29" i="28"/>
  <c r="E30" i="28"/>
  <c r="E31" i="28"/>
  <c r="E32" i="28"/>
  <c r="E33" i="28"/>
  <c r="E34" i="28"/>
  <c r="E35" i="28"/>
  <c r="E36" i="28"/>
  <c r="E37" i="28"/>
  <c r="E38" i="28"/>
  <c r="B1" i="33"/>
  <c r="F6" i="30"/>
  <c r="F5" i="30"/>
  <c r="G6" i="30"/>
  <c r="F9" i="30"/>
  <c r="G9" i="30" s="1"/>
  <c r="F8" i="30"/>
  <c r="G8" i="30" s="1"/>
  <c r="F4" i="30"/>
  <c r="G4" i="30"/>
  <c r="F7" i="30"/>
  <c r="G7" i="30"/>
  <c r="G5" i="30"/>
  <c r="F3" i="30"/>
  <c r="G3" i="30" s="1"/>
  <c r="F3" i="29"/>
  <c r="F11" i="29"/>
  <c r="G3" i="29"/>
  <c r="F6" i="29"/>
  <c r="G11" i="29"/>
  <c r="F9" i="29"/>
  <c r="G9" i="29"/>
  <c r="F12" i="29"/>
  <c r="G6" i="29"/>
  <c r="F10" i="29"/>
  <c r="G10" i="29" s="1"/>
  <c r="F13" i="29"/>
  <c r="G13" i="29" s="1"/>
  <c r="F4" i="29"/>
  <c r="G12" i="29"/>
  <c r="F5" i="29"/>
  <c r="G5" i="29"/>
  <c r="F8" i="29"/>
  <c r="G8" i="29" s="1"/>
  <c r="G4" i="29"/>
  <c r="F7" i="29"/>
  <c r="G7" i="29" s="1"/>
  <c r="F3" i="28"/>
  <c r="F11" i="28"/>
  <c r="F19" i="28"/>
  <c r="F27" i="28"/>
  <c r="F35" i="28"/>
  <c r="F33" i="28"/>
  <c r="G3" i="28"/>
  <c r="F6" i="28"/>
  <c r="G11" i="28"/>
  <c r="F14" i="28"/>
  <c r="G19" i="28"/>
  <c r="F22" i="28"/>
  <c r="G27" i="28"/>
  <c r="F30" i="28"/>
  <c r="G35" i="28"/>
  <c r="F38" i="28"/>
  <c r="G6" i="28"/>
  <c r="F9" i="28"/>
  <c r="G14" i="28"/>
  <c r="F17" i="28"/>
  <c r="G22" i="28"/>
  <c r="F25" i="28"/>
  <c r="G30" i="28"/>
  <c r="G38" i="28"/>
  <c r="F32" i="28"/>
  <c r="G32" i="28" s="1"/>
  <c r="F4" i="28"/>
  <c r="G9" i="28"/>
  <c r="F12" i="28"/>
  <c r="G17" i="28"/>
  <c r="F20" i="28"/>
  <c r="G25" i="28"/>
  <c r="F28" i="28"/>
  <c r="G33" i="28"/>
  <c r="F36" i="28"/>
  <c r="D40" i="28"/>
  <c r="F8" i="28"/>
  <c r="G8" i="28" s="1"/>
  <c r="F16" i="28"/>
  <c r="G16" i="28" s="1"/>
  <c r="F24" i="28"/>
  <c r="G24" i="28" s="1"/>
  <c r="G4" i="28"/>
  <c r="F7" i="28"/>
  <c r="G12" i="28"/>
  <c r="F15" i="28"/>
  <c r="G20" i="28"/>
  <c r="F23" i="28"/>
  <c r="G28" i="28"/>
  <c r="F31" i="28"/>
  <c r="G36" i="28"/>
  <c r="G7" i="28"/>
  <c r="F10" i="28"/>
  <c r="G15" i="28"/>
  <c r="F18" i="28"/>
  <c r="G23" i="28"/>
  <c r="F26" i="28"/>
  <c r="G31" i="28"/>
  <c r="F34" i="28"/>
  <c r="F5" i="28"/>
  <c r="G10" i="28"/>
  <c r="F13" i="28"/>
  <c r="G18" i="28"/>
  <c r="F21" i="28"/>
  <c r="G26" i="28"/>
  <c r="F29" i="28"/>
  <c r="G29" i="28" s="1"/>
  <c r="G34" i="28"/>
  <c r="F37" i="28"/>
  <c r="G13" i="28"/>
  <c r="G21" i="28"/>
  <c r="G37" i="28"/>
  <c r="D41" i="28"/>
  <c r="G5" i="28"/>
  <c r="D42" i="28"/>
  <c r="D43" i="28"/>
  <c r="D44" i="28"/>
  <c r="D45" i="28"/>
  <c r="D46" i="28"/>
  <c r="D47" i="28"/>
  <c r="D48" i="28"/>
  <c r="D49" i="28"/>
  <c r="D50" i="28"/>
  <c r="D51" i="28"/>
  <c r="D52" i="28"/>
  <c r="D53" i="28"/>
  <c r="D54" i="28"/>
  <c r="D55" i="28"/>
  <c r="D56" i="28"/>
  <c r="D57" i="28"/>
  <c r="C19" i="32" l="1"/>
  <c r="C16" i="32"/>
  <c r="C24" i="32"/>
  <c r="D3" i="32"/>
  <c r="E2" i="32" s="1"/>
  <c r="C25" i="32"/>
  <c r="D35" i="32"/>
  <c r="C17" i="32"/>
  <c r="C35" i="32"/>
  <c r="C33" i="32"/>
  <c r="C11" i="32"/>
  <c r="C32" i="32"/>
  <c r="C9" i="32"/>
  <c r="E9" i="32" s="1"/>
  <c r="C27" i="32"/>
  <c r="C8" i="32"/>
  <c r="D27" i="32"/>
  <c r="D30" i="32"/>
  <c r="D22" i="32"/>
  <c r="D14" i="32"/>
  <c r="D6" i="32"/>
  <c r="D36" i="32"/>
  <c r="D28" i="32"/>
  <c r="D39" i="32"/>
  <c r="C36" i="32"/>
  <c r="D31" i="32"/>
  <c r="C28" i="32"/>
  <c r="D23" i="32"/>
  <c r="C20" i="32"/>
  <c r="D15" i="32"/>
  <c r="C12" i="32"/>
  <c r="D7" i="32"/>
  <c r="C4" i="32"/>
  <c r="C39" i="32"/>
  <c r="D34" i="32"/>
  <c r="C31" i="32"/>
  <c r="D26" i="32"/>
  <c r="C23" i="32"/>
  <c r="D18" i="32"/>
  <c r="C15" i="32"/>
  <c r="D10" i="32"/>
  <c r="C7" i="32"/>
  <c r="D37" i="32"/>
  <c r="C34" i="32"/>
  <c r="D29" i="32"/>
  <c r="C26" i="32"/>
  <c r="D21" i="32"/>
  <c r="C18" i="32"/>
  <c r="D13" i="32"/>
  <c r="C10" i="32"/>
  <c r="D5" i="32"/>
  <c r="D19" i="32"/>
  <c r="D11" i="32"/>
  <c r="D38" i="32"/>
  <c r="D20" i="32"/>
  <c r="D12" i="32"/>
  <c r="D4" i="32"/>
  <c r="C37" i="32"/>
  <c r="D32" i="32"/>
  <c r="C29" i="32"/>
  <c r="D24" i="32"/>
  <c r="C21" i="32"/>
  <c r="D16" i="32"/>
  <c r="C13" i="32"/>
  <c r="D8" i="32"/>
  <c r="C5" i="32"/>
  <c r="C38" i="32"/>
  <c r="D33" i="32"/>
  <c r="C30" i="32"/>
  <c r="D25" i="32"/>
  <c r="C22" i="32"/>
  <c r="D17" i="32"/>
  <c r="C14" i="32"/>
  <c r="C6" i="32"/>
  <c r="C37" i="31"/>
  <c r="D27" i="31"/>
  <c r="D16" i="31"/>
  <c r="D35" i="31"/>
  <c r="C27" i="31"/>
  <c r="C16" i="31"/>
  <c r="C35" i="31"/>
  <c r="D24" i="31"/>
  <c r="D14" i="31"/>
  <c r="D32" i="31"/>
  <c r="C24" i="31"/>
  <c r="C13" i="31"/>
  <c r="C32" i="31"/>
  <c r="D22" i="31"/>
  <c r="D11" i="31"/>
  <c r="C19" i="31"/>
  <c r="D30" i="31"/>
  <c r="C21" i="31"/>
  <c r="C8" i="31"/>
  <c r="D38" i="31"/>
  <c r="C29" i="31"/>
  <c r="D19" i="31"/>
  <c r="D3" i="31"/>
  <c r="E3" i="31" s="1"/>
  <c r="E2" i="31"/>
  <c r="D36" i="31"/>
  <c r="C33" i="31"/>
  <c r="D28" i="31"/>
  <c r="C25" i="31"/>
  <c r="D20" i="31"/>
  <c r="C17" i="31"/>
  <c r="D12" i="31"/>
  <c r="C9" i="31"/>
  <c r="D4" i="31"/>
  <c r="D39" i="31"/>
  <c r="C36" i="31"/>
  <c r="D31" i="31"/>
  <c r="C28" i="31"/>
  <c r="D23" i="31"/>
  <c r="C20" i="31"/>
  <c r="D15" i="31"/>
  <c r="C12" i="31"/>
  <c r="D7" i="31"/>
  <c r="C4" i="31"/>
  <c r="C39" i="31"/>
  <c r="D34" i="31"/>
  <c r="C31" i="31"/>
  <c r="D26" i="31"/>
  <c r="C23" i="31"/>
  <c r="D18" i="31"/>
  <c r="C15" i="31"/>
  <c r="D10" i="31"/>
  <c r="C7" i="31"/>
  <c r="D37" i="31"/>
  <c r="C34" i="31"/>
  <c r="D29" i="31"/>
  <c r="C26" i="31"/>
  <c r="D21" i="31"/>
  <c r="C18" i="31"/>
  <c r="D13" i="31"/>
  <c r="C10" i="31"/>
  <c r="D5" i="31"/>
  <c r="D8" i="31"/>
  <c r="C5" i="31"/>
  <c r="C11" i="31"/>
  <c r="D6" i="31"/>
  <c r="C38" i="31"/>
  <c r="D33" i="31"/>
  <c r="C30" i="31"/>
  <c r="D25" i="31"/>
  <c r="C22" i="31"/>
  <c r="D17" i="31"/>
  <c r="C14" i="31"/>
  <c r="C6" i="31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F32" i="32"/>
  <c r="G32" i="32" s="1"/>
  <c r="F24" i="32"/>
  <c r="G24" i="32" s="1"/>
  <c r="F9" i="32"/>
  <c r="G9" i="32" s="1"/>
  <c r="F27" i="32"/>
  <c r="G27" i="32" s="1"/>
  <c r="F8" i="32"/>
  <c r="G8" i="32" s="1"/>
  <c r="F3" i="32"/>
  <c r="G3" i="32" s="1"/>
  <c r="F19" i="32"/>
  <c r="G19" i="32" s="1"/>
  <c r="F35" i="32"/>
  <c r="G35" i="32" s="1"/>
  <c r="F16" i="32"/>
  <c r="G16" i="32" s="1"/>
  <c r="F19" i="31"/>
  <c r="G19" i="31" s="1"/>
  <c r="F27" i="31"/>
  <c r="G27" i="31" s="1"/>
  <c r="F16" i="31"/>
  <c r="G16" i="31" s="1"/>
  <c r="F35" i="31"/>
  <c r="G35" i="31" s="1"/>
  <c r="F24" i="31"/>
  <c r="G24" i="31" s="1"/>
  <c r="F3" i="31"/>
  <c r="G3" i="31" s="1"/>
  <c r="F32" i="31"/>
  <c r="G32" i="31" s="1"/>
  <c r="F21" i="31"/>
  <c r="G21" i="31" s="1"/>
  <c r="F13" i="31"/>
  <c r="G13" i="31" s="1"/>
  <c r="F29" i="31"/>
  <c r="G29" i="31" s="1"/>
  <c r="F52" i="28"/>
  <c r="G52" i="28" s="1"/>
  <c r="F57" i="28"/>
  <c r="G57" i="28" s="1"/>
  <c r="F41" i="28"/>
  <c r="G41" i="28" s="1"/>
  <c r="F48" i="28"/>
  <c r="G48" i="28" s="1"/>
  <c r="F44" i="28"/>
  <c r="G44" i="28" s="1"/>
  <c r="D58" i="28"/>
  <c r="F55" i="28"/>
  <c r="G55" i="28" s="1"/>
  <c r="F51" i="28"/>
  <c r="G51" i="28" s="1"/>
  <c r="F47" i="28"/>
  <c r="G47" i="28" s="1"/>
  <c r="F43" i="28"/>
  <c r="G43" i="28" s="1"/>
  <c r="F54" i="28"/>
  <c r="G54" i="28" s="1"/>
  <c r="F50" i="28"/>
  <c r="G50" i="28" s="1"/>
  <c r="F46" i="28"/>
  <c r="G46" i="28" s="1"/>
  <c r="F42" i="28"/>
  <c r="G42" i="28" s="1"/>
  <c r="F53" i="28"/>
  <c r="G53" i="28" s="1"/>
  <c r="F49" i="28"/>
  <c r="G49" i="28" s="1"/>
  <c r="F45" i="28"/>
  <c r="G45" i="28" s="1"/>
  <c r="F56" i="28"/>
  <c r="G56" i="28" s="1"/>
  <c r="F40" i="28"/>
  <c r="G40" i="28"/>
  <c r="E3" i="32" l="1"/>
  <c r="E8" i="32"/>
  <c r="E19" i="31"/>
  <c r="E32" i="31"/>
  <c r="E16" i="32"/>
  <c r="E24" i="31"/>
  <c r="E24" i="32"/>
  <c r="E11" i="32"/>
  <c r="E27" i="32"/>
  <c r="E35" i="32"/>
  <c r="E13" i="31"/>
  <c r="E16" i="31"/>
  <c r="E19" i="32"/>
  <c r="E21" i="31"/>
  <c r="E37" i="31"/>
  <c r="E32" i="32"/>
  <c r="E29" i="31"/>
  <c r="E27" i="31"/>
  <c r="E12" i="32"/>
  <c r="E22" i="32"/>
  <c r="E18" i="32"/>
  <c r="E7" i="32"/>
  <c r="E20" i="32"/>
  <c r="E30" i="32"/>
  <c r="E31" i="32"/>
  <c r="E33" i="32"/>
  <c r="E29" i="32"/>
  <c r="E26" i="32"/>
  <c r="E28" i="32"/>
  <c r="E38" i="32"/>
  <c r="E15" i="32"/>
  <c r="E39" i="32"/>
  <c r="E6" i="32"/>
  <c r="E5" i="32"/>
  <c r="E37" i="32"/>
  <c r="E10" i="32"/>
  <c r="E4" i="32"/>
  <c r="E36" i="32"/>
  <c r="E14" i="32"/>
  <c r="E34" i="32"/>
  <c r="E17" i="32"/>
  <c r="E13" i="32"/>
  <c r="E23" i="32"/>
  <c r="E25" i="32"/>
  <c r="E21" i="32"/>
  <c r="E35" i="31"/>
  <c r="E8" i="31"/>
  <c r="E22" i="31"/>
  <c r="E34" i="31"/>
  <c r="E31" i="31"/>
  <c r="E17" i="31"/>
  <c r="E30" i="31"/>
  <c r="E7" i="31"/>
  <c r="E39" i="31"/>
  <c r="E25" i="31"/>
  <c r="E38" i="31"/>
  <c r="E18" i="31"/>
  <c r="E15" i="31"/>
  <c r="E33" i="31"/>
  <c r="E6" i="31"/>
  <c r="E12" i="31"/>
  <c r="E14" i="31"/>
  <c r="E11" i="31"/>
  <c r="E26" i="31"/>
  <c r="E23" i="31"/>
  <c r="E9" i="31"/>
  <c r="E5" i="31"/>
  <c r="E20" i="31"/>
  <c r="E28" i="31"/>
  <c r="E10" i="31"/>
  <c r="E4" i="31"/>
  <c r="E36" i="31"/>
  <c r="E58" i="28"/>
  <c r="F12" i="32"/>
  <c r="G12" i="32" s="1"/>
  <c r="F20" i="32"/>
  <c r="G20" i="32" s="1"/>
  <c r="F29" i="32"/>
  <c r="G29" i="32" s="1"/>
  <c r="F37" i="32"/>
  <c r="G37" i="32" s="1"/>
  <c r="F23" i="32"/>
  <c r="G23" i="32" s="1"/>
  <c r="F17" i="32"/>
  <c r="G17" i="32" s="1"/>
  <c r="F22" i="32"/>
  <c r="G22" i="32" s="1"/>
  <c r="F30" i="32"/>
  <c r="G30" i="32" s="1"/>
  <c r="F26" i="32"/>
  <c r="G26" i="32" s="1"/>
  <c r="F39" i="32"/>
  <c r="G39" i="32" s="1"/>
  <c r="F10" i="32"/>
  <c r="G10" i="32" s="1"/>
  <c r="F11" i="32"/>
  <c r="G11" i="32" s="1"/>
  <c r="F34" i="32"/>
  <c r="G34" i="32" s="1"/>
  <c r="F7" i="32"/>
  <c r="G7" i="32" s="1"/>
  <c r="F36" i="32"/>
  <c r="G36" i="32" s="1"/>
  <c r="F13" i="32"/>
  <c r="G13" i="32" s="1"/>
  <c r="F18" i="32"/>
  <c r="G18" i="32" s="1"/>
  <c r="F31" i="32"/>
  <c r="G31" i="32" s="1"/>
  <c r="F6" i="32"/>
  <c r="G6" i="32" s="1"/>
  <c r="F25" i="32"/>
  <c r="G25" i="32" s="1"/>
  <c r="F38" i="32"/>
  <c r="G38" i="32" s="1"/>
  <c r="F33" i="32"/>
  <c r="G33" i="32" s="1"/>
  <c r="F15" i="32"/>
  <c r="G15" i="32" s="1"/>
  <c r="F28" i="32"/>
  <c r="G28" i="32" s="1"/>
  <c r="F4" i="32"/>
  <c r="G4" i="32" s="1"/>
  <c r="F21" i="32"/>
  <c r="G21" i="32" s="1"/>
  <c r="F5" i="32"/>
  <c r="G5" i="32" s="1"/>
  <c r="F14" i="32"/>
  <c r="G14" i="32" s="1"/>
  <c r="F22" i="31"/>
  <c r="G22" i="31" s="1"/>
  <c r="F38" i="31"/>
  <c r="G38" i="31" s="1"/>
  <c r="F6" i="31"/>
  <c r="G6" i="31" s="1"/>
  <c r="F11" i="31"/>
  <c r="G11" i="31" s="1"/>
  <c r="F30" i="31"/>
  <c r="G30" i="31" s="1"/>
  <c r="F5" i="31"/>
  <c r="G5" i="31" s="1"/>
  <c r="F4" i="31"/>
  <c r="G4" i="31" s="1"/>
  <c r="F7" i="31"/>
  <c r="G7" i="31" s="1"/>
  <c r="F26" i="31"/>
  <c r="G26" i="31" s="1"/>
  <c r="F34" i="31"/>
  <c r="G34" i="31" s="1"/>
  <c r="F12" i="31"/>
  <c r="G12" i="31" s="1"/>
  <c r="F23" i="31"/>
  <c r="G23" i="31" s="1"/>
  <c r="F20" i="31"/>
  <c r="G20" i="31" s="1"/>
  <c r="F36" i="31"/>
  <c r="G36" i="31" s="1"/>
  <c r="F37" i="31"/>
  <c r="G37" i="31" s="1"/>
  <c r="F28" i="31"/>
  <c r="G28" i="31" s="1"/>
  <c r="F33" i="31"/>
  <c r="G33" i="31" s="1"/>
  <c r="F18" i="31"/>
  <c r="G18" i="31" s="1"/>
  <c r="F15" i="31"/>
  <c r="G15" i="31" s="1"/>
  <c r="F14" i="31"/>
  <c r="G14" i="31" s="1"/>
  <c r="F25" i="31"/>
  <c r="G25" i="31" s="1"/>
  <c r="F10" i="31"/>
  <c r="G10" i="31" s="1"/>
  <c r="F31" i="31"/>
  <c r="G31" i="31" s="1"/>
  <c r="F39" i="31"/>
  <c r="G39" i="31" s="1"/>
  <c r="F9" i="31"/>
  <c r="G9" i="31" s="1"/>
  <c r="F17" i="31"/>
  <c r="G17" i="31" s="1"/>
  <c r="F8" i="31"/>
  <c r="G8" i="31" s="1"/>
  <c r="F58" i="28"/>
  <c r="D59" i="28"/>
  <c r="G58" i="28"/>
  <c r="E59" i="28" l="1"/>
  <c r="F59" i="28"/>
  <c r="D60" i="28"/>
  <c r="G59" i="28"/>
  <c r="E60" i="28" l="1"/>
  <c r="F60" i="28"/>
  <c r="D61" i="28"/>
  <c r="G60" i="28"/>
  <c r="E61" i="28" l="1"/>
  <c r="F61" i="28"/>
  <c r="D62" i="28"/>
  <c r="G61" i="28"/>
  <c r="E62" i="28" l="1"/>
  <c r="F62" i="28"/>
  <c r="D63" i="28"/>
  <c r="G62" i="28"/>
  <c r="E63" i="28" l="1"/>
  <c r="F63" i="28"/>
  <c r="D64" i="28"/>
  <c r="G63" i="28"/>
  <c r="E64" i="28" l="1"/>
  <c r="F64" i="28"/>
  <c r="D65" i="28"/>
  <c r="G64" i="28"/>
  <c r="E65" i="28" l="1"/>
  <c r="F65" i="28"/>
  <c r="D66" i="28"/>
  <c r="G65" i="28"/>
  <c r="E66" i="28" l="1"/>
  <c r="F66" i="28"/>
  <c r="D67" i="28"/>
  <c r="G66" i="28"/>
  <c r="E67" i="28" l="1"/>
  <c r="F67" i="28"/>
  <c r="D68" i="28"/>
  <c r="G67" i="28"/>
  <c r="E68" i="28" l="1"/>
  <c r="F68" i="28"/>
  <c r="D69" i="28"/>
  <c r="G68" i="28"/>
  <c r="E69" i="28" l="1"/>
  <c r="F69" i="28"/>
  <c r="D70" i="28"/>
  <c r="G69" i="28"/>
  <c r="E70" i="28" l="1"/>
  <c r="F70" i="28"/>
  <c r="D71" i="28"/>
  <c r="G70" i="28"/>
  <c r="E71" i="28" l="1"/>
  <c r="F71" i="28"/>
  <c r="D72" i="28"/>
  <c r="G71" i="28"/>
  <c r="E72" i="28" l="1"/>
  <c r="F72" i="28"/>
  <c r="D73" i="28"/>
  <c r="G72" i="28"/>
  <c r="E73" i="28" l="1"/>
  <c r="F73" i="28"/>
  <c r="D74" i="28"/>
  <c r="G73" i="28"/>
  <c r="E74" i="28" l="1"/>
  <c r="F74" i="28"/>
  <c r="D75" i="28"/>
  <c r="G74" i="28"/>
  <c r="E75" i="28" l="1"/>
  <c r="F2" i="32"/>
  <c r="G2" i="32" s="1"/>
  <c r="F2" i="31"/>
  <c r="G2" i="31" s="1"/>
  <c r="F2" i="30"/>
  <c r="G2" i="30" s="1"/>
  <c r="F2" i="29"/>
  <c r="G2" i="29" s="1"/>
  <c r="F75" i="28"/>
  <c r="F2" i="28"/>
  <c r="G2" i="28" s="1"/>
  <c r="G75" i="28"/>
  <c r="D8" i="27" l="1"/>
  <c r="B2" i="26"/>
  <c r="B3" i="26"/>
  <c r="B4" i="26"/>
  <c r="E2" i="25"/>
  <c r="E2" i="24"/>
  <c r="E2" i="23"/>
  <c r="D2" i="22"/>
  <c r="D3" i="22"/>
  <c r="D4" i="22"/>
  <c r="D5" i="22"/>
  <c r="D6" i="22"/>
  <c r="D7" i="22"/>
  <c r="D8" i="22"/>
  <c r="D9" i="22"/>
  <c r="D10" i="22"/>
  <c r="D11" i="22"/>
  <c r="D12" i="22"/>
  <c r="D13" i="22"/>
  <c r="D14" i="22"/>
  <c r="C15" i="22"/>
  <c r="D15" i="22"/>
  <c r="C16" i="22"/>
  <c r="D16" i="22" s="1"/>
  <c r="C17" i="22"/>
  <c r="D17" i="22"/>
  <c r="C18" i="22"/>
  <c r="D18" i="22" s="1"/>
  <c r="C19" i="22"/>
  <c r="D19" i="22"/>
  <c r="C20" i="22"/>
  <c r="D20" i="22" s="1"/>
  <c r="C21" i="22"/>
  <c r="D21" i="22"/>
  <c r="C22" i="22"/>
  <c r="D22" i="22" s="1"/>
  <c r="C23" i="22"/>
  <c r="D23" i="22"/>
  <c r="C24" i="22"/>
  <c r="D24" i="22" s="1"/>
  <c r="C25" i="22"/>
  <c r="D25" i="22"/>
  <c r="C26" i="22"/>
  <c r="D26" i="22" s="1"/>
  <c r="C27" i="22"/>
  <c r="D27" i="22"/>
  <c r="C28" i="22"/>
  <c r="D28" i="22" s="1"/>
  <c r="C29" i="22"/>
  <c r="D29" i="22"/>
  <c r="C30" i="22"/>
  <c r="D30" i="22" s="1"/>
  <c r="C31" i="22"/>
  <c r="D31" i="22"/>
  <c r="C32" i="22"/>
  <c r="D32" i="22" s="1"/>
  <c r="D33" i="22"/>
  <c r="D34" i="22"/>
  <c r="D35" i="22"/>
  <c r="C2" i="21"/>
  <c r="C3" i="21"/>
  <c r="C4" i="21"/>
  <c r="C5" i="21"/>
  <c r="C6" i="21"/>
  <c r="C7" i="21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B1" i="27"/>
  <c r="C3" i="26"/>
  <c r="D3" i="26"/>
  <c r="C4" i="26"/>
  <c r="D4" i="26" s="1"/>
  <c r="D3" i="25" a="1"/>
  <c r="D3" i="24" a="1"/>
  <c r="D3" i="23" a="1"/>
  <c r="E3" i="22"/>
  <c r="E11" i="22"/>
  <c r="F3" i="22"/>
  <c r="E6" i="22"/>
  <c r="F11" i="22"/>
  <c r="E14" i="22"/>
  <c r="E16" i="22"/>
  <c r="E18" i="22"/>
  <c r="E20" i="22"/>
  <c r="E22" i="22"/>
  <c r="E24" i="22"/>
  <c r="E26" i="22"/>
  <c r="E28" i="22"/>
  <c r="E30" i="22"/>
  <c r="E32" i="22"/>
  <c r="F6" i="22"/>
  <c r="E9" i="22"/>
  <c r="F14" i="22"/>
  <c r="F16" i="22"/>
  <c r="F18" i="22"/>
  <c r="F20" i="22"/>
  <c r="F22" i="22"/>
  <c r="F24" i="22"/>
  <c r="F26" i="22"/>
  <c r="F28" i="22"/>
  <c r="F30" i="22"/>
  <c r="F32" i="22"/>
  <c r="E35" i="22"/>
  <c r="E4" i="22"/>
  <c r="E12" i="22"/>
  <c r="F35" i="22"/>
  <c r="F12" i="22"/>
  <c r="E33" i="22"/>
  <c r="E19" i="22"/>
  <c r="E23" i="22"/>
  <c r="E29" i="22"/>
  <c r="E5" i="22"/>
  <c r="F9" i="22"/>
  <c r="E15" i="22"/>
  <c r="F15" i="22" s="1"/>
  <c r="E25" i="22"/>
  <c r="E31" i="22"/>
  <c r="E13" i="22"/>
  <c r="F19" i="22"/>
  <c r="F25" i="22"/>
  <c r="F31" i="22"/>
  <c r="E34" i="22"/>
  <c r="F34" i="22" s="1"/>
  <c r="F4" i="22"/>
  <c r="E7" i="22"/>
  <c r="F7" i="22" s="1"/>
  <c r="E10" i="22"/>
  <c r="F10" i="22" s="1"/>
  <c r="E17" i="22"/>
  <c r="F17" i="22" s="1"/>
  <c r="E21" i="22"/>
  <c r="F21" i="22" s="1"/>
  <c r="E27" i="22"/>
  <c r="F27" i="22" s="1"/>
  <c r="F33" i="22"/>
  <c r="F23" i="22"/>
  <c r="F29" i="22"/>
  <c r="F5" i="22"/>
  <c r="E8" i="22"/>
  <c r="F8" i="22" s="1"/>
  <c r="F13" i="22"/>
  <c r="D6" i="21"/>
  <c r="E6" i="21"/>
  <c r="D9" i="21"/>
  <c r="D17" i="21"/>
  <c r="D4" i="21"/>
  <c r="E9" i="21"/>
  <c r="D12" i="21"/>
  <c r="E17" i="21"/>
  <c r="D20" i="21"/>
  <c r="E4" i="21"/>
  <c r="D7" i="21"/>
  <c r="E12" i="21"/>
  <c r="D15" i="21"/>
  <c r="E20" i="21"/>
  <c r="E7" i="21"/>
  <c r="D10" i="21"/>
  <c r="E15" i="21"/>
  <c r="D18" i="21"/>
  <c r="D5" i="21"/>
  <c r="E10" i="21"/>
  <c r="D13" i="21"/>
  <c r="E18" i="21"/>
  <c r="E5" i="21"/>
  <c r="D8" i="21"/>
  <c r="D3" i="21"/>
  <c r="E3" i="21" s="1"/>
  <c r="D19" i="21"/>
  <c r="D14" i="21"/>
  <c r="E14" i="21" s="1"/>
  <c r="E13" i="21"/>
  <c r="E8" i="21"/>
  <c r="D11" i="21"/>
  <c r="D16" i="21"/>
  <c r="E16" i="21" s="1"/>
  <c r="E11" i="21"/>
  <c r="E19" i="21"/>
  <c r="D4" i="25" l="1"/>
  <c r="E4" i="25" s="1"/>
  <c r="D6" i="25"/>
  <c r="E6" i="25" s="1"/>
  <c r="D8" i="25"/>
  <c r="E8" i="25" s="1"/>
  <c r="D10" i="25"/>
  <c r="E10" i="25" s="1"/>
  <c r="D12" i="25"/>
  <c r="E12" i="25" s="1"/>
  <c r="D14" i="25"/>
  <c r="E14" i="25" s="1"/>
  <c r="D16" i="25"/>
  <c r="E16" i="25" s="1"/>
  <c r="D18" i="25"/>
  <c r="E18" i="25" s="1"/>
  <c r="D20" i="25"/>
  <c r="E20" i="25" s="1"/>
  <c r="D22" i="25"/>
  <c r="E22" i="25" s="1"/>
  <c r="D24" i="25"/>
  <c r="E24" i="25" s="1"/>
  <c r="D26" i="25"/>
  <c r="E26" i="25" s="1"/>
  <c r="D28" i="25"/>
  <c r="E28" i="25" s="1"/>
  <c r="D30" i="25"/>
  <c r="E30" i="25" s="1"/>
  <c r="D32" i="25"/>
  <c r="E32" i="25" s="1"/>
  <c r="D34" i="25"/>
  <c r="E34" i="25" s="1"/>
  <c r="D36" i="25"/>
  <c r="E36" i="25" s="1"/>
  <c r="D38" i="25"/>
  <c r="E38" i="25" s="1"/>
  <c r="D40" i="25"/>
  <c r="E40" i="25" s="1"/>
  <c r="D42" i="25"/>
  <c r="E42" i="25" s="1"/>
  <c r="D44" i="25"/>
  <c r="E44" i="25" s="1"/>
  <c r="D46" i="25"/>
  <c r="E46" i="25" s="1"/>
  <c r="D48" i="25"/>
  <c r="E48" i="25" s="1"/>
  <c r="D50" i="25"/>
  <c r="E50" i="25" s="1"/>
  <c r="D52" i="25"/>
  <c r="E52" i="25" s="1"/>
  <c r="D54" i="25"/>
  <c r="E54" i="25" s="1"/>
  <c r="D56" i="25"/>
  <c r="E56" i="25" s="1"/>
  <c r="D58" i="25"/>
  <c r="E58" i="25" s="1"/>
  <c r="D60" i="25"/>
  <c r="E60" i="25" s="1"/>
  <c r="D62" i="25"/>
  <c r="E62" i="25" s="1"/>
  <c r="D64" i="25"/>
  <c r="E64" i="25" s="1"/>
  <c r="D66" i="25"/>
  <c r="E66" i="25" s="1"/>
  <c r="D68" i="25"/>
  <c r="E68" i="25" s="1"/>
  <c r="D70" i="25"/>
  <c r="E70" i="25" s="1"/>
  <c r="D72" i="25"/>
  <c r="E72" i="25" s="1"/>
  <c r="D74" i="25"/>
  <c r="E74" i="25" s="1"/>
  <c r="D76" i="25"/>
  <c r="E76" i="25" s="1"/>
  <c r="D78" i="25"/>
  <c r="E78" i="25" s="1"/>
  <c r="D80" i="25"/>
  <c r="E80" i="25" s="1"/>
  <c r="D82" i="25"/>
  <c r="E82" i="25" s="1"/>
  <c r="D84" i="25"/>
  <c r="E84" i="25" s="1"/>
  <c r="D86" i="25"/>
  <c r="E86" i="25" s="1"/>
  <c r="D88" i="25"/>
  <c r="E88" i="25" s="1"/>
  <c r="D90" i="25"/>
  <c r="E90" i="25" s="1"/>
  <c r="D92" i="25"/>
  <c r="E92" i="25" s="1"/>
  <c r="D94" i="25"/>
  <c r="E94" i="25" s="1"/>
  <c r="D96" i="25"/>
  <c r="E96" i="25" s="1"/>
  <c r="D98" i="25"/>
  <c r="E98" i="25" s="1"/>
  <c r="D100" i="25"/>
  <c r="E100" i="25" s="1"/>
  <c r="D102" i="25"/>
  <c r="E102" i="25" s="1"/>
  <c r="D104" i="25"/>
  <c r="E104" i="25" s="1"/>
  <c r="D106" i="25"/>
  <c r="E106" i="25" s="1"/>
  <c r="D108" i="25"/>
  <c r="E108" i="25" s="1"/>
  <c r="D110" i="25"/>
  <c r="E110" i="25" s="1"/>
  <c r="D112" i="25"/>
  <c r="E112" i="25" s="1"/>
  <c r="D114" i="25"/>
  <c r="E114" i="25" s="1"/>
  <c r="D116" i="25"/>
  <c r="E116" i="25" s="1"/>
  <c r="D118" i="25"/>
  <c r="E118" i="25" s="1"/>
  <c r="D120" i="25"/>
  <c r="E120" i="25" s="1"/>
  <c r="D122" i="25"/>
  <c r="E122" i="25" s="1"/>
  <c r="D65" i="25"/>
  <c r="E65" i="25" s="1"/>
  <c r="D81" i="25"/>
  <c r="E81" i="25" s="1"/>
  <c r="D97" i="25"/>
  <c r="E97" i="25" s="1"/>
  <c r="D113" i="25"/>
  <c r="E113" i="25" s="1"/>
  <c r="D59" i="25"/>
  <c r="E59" i="25" s="1"/>
  <c r="D75" i="25"/>
  <c r="E75" i="25" s="1"/>
  <c r="D107" i="25"/>
  <c r="E107" i="25" s="1"/>
  <c r="D69" i="25"/>
  <c r="E69" i="25" s="1"/>
  <c r="D101" i="25"/>
  <c r="E101" i="25" s="1"/>
  <c r="D95" i="25"/>
  <c r="E95" i="25" s="1"/>
  <c r="D117" i="25"/>
  <c r="E117" i="25" s="1"/>
  <c r="D91" i="25"/>
  <c r="E91" i="25" s="1"/>
  <c r="D119" i="25"/>
  <c r="E119" i="25" s="1"/>
  <c r="D63" i="25"/>
  <c r="E63" i="25" s="1"/>
  <c r="D79" i="25"/>
  <c r="E79" i="25" s="1"/>
  <c r="D5" i="25"/>
  <c r="E5" i="25" s="1"/>
  <c r="D9" i="25"/>
  <c r="E9" i="25" s="1"/>
  <c r="D13" i="25"/>
  <c r="E13" i="25" s="1"/>
  <c r="D17" i="25"/>
  <c r="E17" i="25" s="1"/>
  <c r="D21" i="25"/>
  <c r="E21" i="25" s="1"/>
  <c r="D25" i="25"/>
  <c r="E25" i="25" s="1"/>
  <c r="D29" i="25"/>
  <c r="E29" i="25" s="1"/>
  <c r="D33" i="25"/>
  <c r="E33" i="25" s="1"/>
  <c r="D37" i="25"/>
  <c r="E37" i="25" s="1"/>
  <c r="D41" i="25"/>
  <c r="E41" i="25" s="1"/>
  <c r="D45" i="25"/>
  <c r="E45" i="25" s="1"/>
  <c r="D49" i="25"/>
  <c r="E49" i="25" s="1"/>
  <c r="D53" i="25"/>
  <c r="E53" i="25" s="1"/>
  <c r="D85" i="25"/>
  <c r="E85" i="25" s="1"/>
  <c r="D111" i="25"/>
  <c r="E111" i="25" s="1"/>
  <c r="D57" i="25"/>
  <c r="E57" i="25" s="1"/>
  <c r="D27" i="25"/>
  <c r="E27" i="25" s="1"/>
  <c r="D67" i="25"/>
  <c r="E67" i="25" s="1"/>
  <c r="D99" i="25"/>
  <c r="E99" i="25" s="1"/>
  <c r="D7" i="25"/>
  <c r="E7" i="25" s="1"/>
  <c r="D39" i="25"/>
  <c r="E39" i="25" s="1"/>
  <c r="D93" i="25"/>
  <c r="E93" i="25" s="1"/>
  <c r="D19" i="25"/>
  <c r="E19" i="25" s="1"/>
  <c r="D51" i="25"/>
  <c r="E51" i="25" s="1"/>
  <c r="D87" i="25"/>
  <c r="E87" i="25" s="1"/>
  <c r="D31" i="25"/>
  <c r="E31" i="25" s="1"/>
  <c r="D61" i="25"/>
  <c r="E61" i="25" s="1"/>
  <c r="D89" i="25"/>
  <c r="E89" i="25" s="1"/>
  <c r="D11" i="25"/>
  <c r="E11" i="25" s="1"/>
  <c r="D43" i="25"/>
  <c r="E43" i="25" s="1"/>
  <c r="D83" i="25"/>
  <c r="E83" i="25" s="1"/>
  <c r="D115" i="25"/>
  <c r="E115" i="25" s="1"/>
  <c r="D23" i="25"/>
  <c r="E23" i="25" s="1"/>
  <c r="D77" i="25"/>
  <c r="E77" i="25" s="1"/>
  <c r="D55" i="25"/>
  <c r="E55" i="25" s="1"/>
  <c r="D71" i="25"/>
  <c r="E71" i="25" s="1"/>
  <c r="D121" i="25"/>
  <c r="E121" i="25" s="1"/>
  <c r="D47" i="25"/>
  <c r="E47" i="25" s="1"/>
  <c r="D73" i="25"/>
  <c r="E73" i="25" s="1"/>
  <c r="D109" i="25"/>
  <c r="E109" i="25" s="1"/>
  <c r="D3" i="25"/>
  <c r="E3" i="25" s="1"/>
  <c r="D35" i="25"/>
  <c r="E35" i="25" s="1"/>
  <c r="D103" i="25"/>
  <c r="E103" i="25" s="1"/>
  <c r="D15" i="25"/>
  <c r="E15" i="25" s="1"/>
  <c r="D105" i="25"/>
  <c r="E105" i="25" s="1"/>
  <c r="D3" i="24"/>
  <c r="E3" i="24" s="1"/>
  <c r="D5" i="24"/>
  <c r="E5" i="24" s="1"/>
  <c r="D7" i="24"/>
  <c r="E7" i="24" s="1"/>
  <c r="D9" i="24"/>
  <c r="E9" i="24" s="1"/>
  <c r="D11" i="24"/>
  <c r="E11" i="24" s="1"/>
  <c r="D13" i="24"/>
  <c r="E13" i="24" s="1"/>
  <c r="D15" i="24"/>
  <c r="E15" i="24" s="1"/>
  <c r="D17" i="24"/>
  <c r="E17" i="24" s="1"/>
  <c r="D19" i="24"/>
  <c r="E19" i="24" s="1"/>
  <c r="D21" i="24"/>
  <c r="E21" i="24" s="1"/>
  <c r="D23" i="24"/>
  <c r="E23" i="24" s="1"/>
  <c r="D25" i="24"/>
  <c r="E25" i="24" s="1"/>
  <c r="D27" i="24"/>
  <c r="E27" i="24" s="1"/>
  <c r="D29" i="24"/>
  <c r="E29" i="24" s="1"/>
  <c r="D31" i="24"/>
  <c r="E31" i="24" s="1"/>
  <c r="D33" i="24"/>
  <c r="E33" i="24" s="1"/>
  <c r="D35" i="24"/>
  <c r="E35" i="24" s="1"/>
  <c r="D37" i="24"/>
  <c r="E37" i="24" s="1"/>
  <c r="D39" i="24"/>
  <c r="E39" i="24" s="1"/>
  <c r="D41" i="24"/>
  <c r="E41" i="24" s="1"/>
  <c r="D43" i="24"/>
  <c r="E43" i="24" s="1"/>
  <c r="D45" i="24"/>
  <c r="E45" i="24" s="1"/>
  <c r="D47" i="24"/>
  <c r="E47" i="24" s="1"/>
  <c r="D49" i="24"/>
  <c r="E49" i="24" s="1"/>
  <c r="D51" i="24"/>
  <c r="E51" i="24" s="1"/>
  <c r="D53" i="24"/>
  <c r="E53" i="24" s="1"/>
  <c r="D55" i="24"/>
  <c r="E55" i="24" s="1"/>
  <c r="D57" i="24"/>
  <c r="E57" i="24" s="1"/>
  <c r="D59" i="24"/>
  <c r="E59" i="24" s="1"/>
  <c r="D61" i="24"/>
  <c r="E61" i="24" s="1"/>
  <c r="D63" i="24"/>
  <c r="E63" i="24" s="1"/>
  <c r="D65" i="24"/>
  <c r="E65" i="24" s="1"/>
  <c r="D67" i="24"/>
  <c r="E67" i="24" s="1"/>
  <c r="D69" i="24"/>
  <c r="E69" i="24" s="1"/>
  <c r="D71" i="24"/>
  <c r="E71" i="24" s="1"/>
  <c r="D73" i="24"/>
  <c r="E73" i="24" s="1"/>
  <c r="D75" i="24"/>
  <c r="E75" i="24" s="1"/>
  <c r="D77" i="24"/>
  <c r="E77" i="24" s="1"/>
  <c r="D79" i="24"/>
  <c r="E79" i="24" s="1"/>
  <c r="D81" i="24"/>
  <c r="E81" i="24" s="1"/>
  <c r="D83" i="24"/>
  <c r="E83" i="24" s="1"/>
  <c r="D85" i="24"/>
  <c r="E85" i="24" s="1"/>
  <c r="D87" i="24"/>
  <c r="E87" i="24" s="1"/>
  <c r="D89" i="24"/>
  <c r="E89" i="24" s="1"/>
  <c r="D91" i="24"/>
  <c r="E91" i="24" s="1"/>
  <c r="D93" i="24"/>
  <c r="E93" i="24" s="1"/>
  <c r="D95" i="24"/>
  <c r="E95" i="24" s="1"/>
  <c r="D97" i="24"/>
  <c r="E97" i="24" s="1"/>
  <c r="D99" i="24"/>
  <c r="E99" i="24" s="1"/>
  <c r="D101" i="24"/>
  <c r="E101" i="24" s="1"/>
  <c r="D103" i="24"/>
  <c r="E103" i="24" s="1"/>
  <c r="D105" i="24"/>
  <c r="E105" i="24" s="1"/>
  <c r="D107" i="24"/>
  <c r="E107" i="24" s="1"/>
  <c r="D109" i="24"/>
  <c r="E109" i="24" s="1"/>
  <c r="D111" i="24"/>
  <c r="E111" i="24" s="1"/>
  <c r="D113" i="24"/>
  <c r="E113" i="24" s="1"/>
  <c r="D115" i="24"/>
  <c r="E115" i="24" s="1"/>
  <c r="D117" i="24"/>
  <c r="E117" i="24" s="1"/>
  <c r="D119" i="24"/>
  <c r="E119" i="24" s="1"/>
  <c r="D121" i="24"/>
  <c r="E121" i="24" s="1"/>
  <c r="D54" i="24"/>
  <c r="E54" i="24" s="1"/>
  <c r="D70" i="24"/>
  <c r="E70" i="24" s="1"/>
  <c r="D86" i="24"/>
  <c r="E86" i="24" s="1"/>
  <c r="D66" i="24"/>
  <c r="E66" i="24" s="1"/>
  <c r="D82" i="24"/>
  <c r="E82" i="24" s="1"/>
  <c r="D10" i="24"/>
  <c r="E10" i="24" s="1"/>
  <c r="D18" i="24"/>
  <c r="E18" i="24" s="1"/>
  <c r="D26" i="24"/>
  <c r="E26" i="24" s="1"/>
  <c r="D34" i="24"/>
  <c r="E34" i="24" s="1"/>
  <c r="D42" i="24"/>
  <c r="E42" i="24" s="1"/>
  <c r="D50" i="24"/>
  <c r="E50" i="24" s="1"/>
  <c r="D64" i="24"/>
  <c r="E64" i="24" s="1"/>
  <c r="D80" i="24"/>
  <c r="E80" i="24" s="1"/>
  <c r="D96" i="24"/>
  <c r="E96" i="24" s="1"/>
  <c r="D112" i="24"/>
  <c r="E112" i="24" s="1"/>
  <c r="D60" i="24"/>
  <c r="E60" i="24" s="1"/>
  <c r="D74" i="24"/>
  <c r="E74" i="24" s="1"/>
  <c r="D62" i="24"/>
  <c r="E62" i="24" s="1"/>
  <c r="D78" i="24"/>
  <c r="E78" i="24" s="1"/>
  <c r="D94" i="24"/>
  <c r="E94" i="24" s="1"/>
  <c r="D110" i="24"/>
  <c r="E110" i="24" s="1"/>
  <c r="D8" i="24"/>
  <c r="E8" i="24" s="1"/>
  <c r="D16" i="24"/>
  <c r="E16" i="24" s="1"/>
  <c r="D24" i="24"/>
  <c r="E24" i="24" s="1"/>
  <c r="D32" i="24"/>
  <c r="E32" i="24" s="1"/>
  <c r="D40" i="24"/>
  <c r="E40" i="24" s="1"/>
  <c r="D48" i="24"/>
  <c r="E48" i="24" s="1"/>
  <c r="D76" i="24"/>
  <c r="E76" i="24" s="1"/>
  <c r="D92" i="24"/>
  <c r="E92" i="24" s="1"/>
  <c r="D108" i="24"/>
  <c r="E108" i="24" s="1"/>
  <c r="D58" i="24"/>
  <c r="E58" i="24" s="1"/>
  <c r="D4" i="24"/>
  <c r="E4" i="24" s="1"/>
  <c r="D36" i="24"/>
  <c r="E36" i="24" s="1"/>
  <c r="D6" i="24"/>
  <c r="E6" i="24" s="1"/>
  <c r="D38" i="24"/>
  <c r="E38" i="24" s="1"/>
  <c r="D88" i="24"/>
  <c r="E88" i="24" s="1"/>
  <c r="D28" i="24"/>
  <c r="E28" i="24" s="1"/>
  <c r="D68" i="24"/>
  <c r="E68" i="24" s="1"/>
  <c r="D116" i="24"/>
  <c r="E116" i="24" s="1"/>
  <c r="D120" i="24"/>
  <c r="E120" i="24" s="1"/>
  <c r="D30" i="24"/>
  <c r="E30" i="24" s="1"/>
  <c r="D90" i="24"/>
  <c r="E90" i="24" s="1"/>
  <c r="D98" i="24"/>
  <c r="E98" i="24" s="1"/>
  <c r="D102" i="24"/>
  <c r="E102" i="24" s="1"/>
  <c r="D106" i="24"/>
  <c r="E106" i="24" s="1"/>
  <c r="D22" i="24"/>
  <c r="E22" i="24" s="1"/>
  <c r="D72" i="24"/>
  <c r="E72" i="24" s="1"/>
  <c r="D12" i="24"/>
  <c r="E12" i="24" s="1"/>
  <c r="D114" i="24"/>
  <c r="E114" i="24" s="1"/>
  <c r="D20" i="24"/>
  <c r="E20" i="24" s="1"/>
  <c r="D52" i="24"/>
  <c r="E52" i="24" s="1"/>
  <c r="D118" i="24"/>
  <c r="E118" i="24" s="1"/>
  <c r="D14" i="24"/>
  <c r="E14" i="24" s="1"/>
  <c r="D46" i="24"/>
  <c r="E46" i="24" s="1"/>
  <c r="D56" i="24"/>
  <c r="E56" i="24" s="1"/>
  <c r="D100" i="24"/>
  <c r="E100" i="24" s="1"/>
  <c r="D104" i="24"/>
  <c r="E104" i="24" s="1"/>
  <c r="D84" i="24"/>
  <c r="E84" i="24" s="1"/>
  <c r="D44" i="24"/>
  <c r="E44" i="24" s="1"/>
  <c r="D122" i="24"/>
  <c r="E122" i="24" s="1"/>
  <c r="D4" i="23"/>
  <c r="E4" i="23" s="1"/>
  <c r="D6" i="23"/>
  <c r="E6" i="23" s="1"/>
  <c r="D8" i="23"/>
  <c r="E8" i="23" s="1"/>
  <c r="D10" i="23"/>
  <c r="E10" i="23" s="1"/>
  <c r="D12" i="23"/>
  <c r="E12" i="23" s="1"/>
  <c r="D14" i="23"/>
  <c r="E14" i="23" s="1"/>
  <c r="D16" i="23"/>
  <c r="E16" i="23" s="1"/>
  <c r="D18" i="23"/>
  <c r="E18" i="23" s="1"/>
  <c r="D20" i="23"/>
  <c r="E20" i="23" s="1"/>
  <c r="D22" i="23"/>
  <c r="E22" i="23" s="1"/>
  <c r="D24" i="23"/>
  <c r="E24" i="23" s="1"/>
  <c r="D26" i="23"/>
  <c r="E26" i="23" s="1"/>
  <c r="D28" i="23"/>
  <c r="E28" i="23" s="1"/>
  <c r="D30" i="23"/>
  <c r="E30" i="23" s="1"/>
  <c r="D32" i="23"/>
  <c r="E32" i="23" s="1"/>
  <c r="D34" i="23"/>
  <c r="E34" i="23" s="1"/>
  <c r="D36" i="23"/>
  <c r="E36" i="23" s="1"/>
  <c r="D38" i="23"/>
  <c r="E38" i="23" s="1"/>
  <c r="D40" i="23"/>
  <c r="E40" i="23" s="1"/>
  <c r="D42" i="23"/>
  <c r="E42" i="23" s="1"/>
  <c r="D44" i="23"/>
  <c r="E44" i="23" s="1"/>
  <c r="D46" i="23"/>
  <c r="E46" i="23" s="1"/>
  <c r="D48" i="23"/>
  <c r="E48" i="23" s="1"/>
  <c r="D50" i="23"/>
  <c r="E50" i="23" s="1"/>
  <c r="D52" i="23"/>
  <c r="E52" i="23" s="1"/>
  <c r="D54" i="23"/>
  <c r="E54" i="23" s="1"/>
  <c r="D56" i="23"/>
  <c r="E56" i="23" s="1"/>
  <c r="D58" i="23"/>
  <c r="E58" i="23" s="1"/>
  <c r="D60" i="23"/>
  <c r="E60" i="23" s="1"/>
  <c r="D62" i="23"/>
  <c r="E62" i="23" s="1"/>
  <c r="D64" i="23"/>
  <c r="E64" i="23" s="1"/>
  <c r="D68" i="23"/>
  <c r="E68" i="23" s="1"/>
  <c r="D70" i="23"/>
  <c r="E70" i="23" s="1"/>
  <c r="D72" i="23"/>
  <c r="E72" i="23" s="1"/>
  <c r="D74" i="23"/>
  <c r="E74" i="23" s="1"/>
  <c r="D76" i="23"/>
  <c r="E76" i="23" s="1"/>
  <c r="D78" i="23"/>
  <c r="E78" i="23" s="1"/>
  <c r="D80" i="23"/>
  <c r="E80" i="23" s="1"/>
  <c r="D82" i="23"/>
  <c r="E82" i="23" s="1"/>
  <c r="D84" i="23"/>
  <c r="E84" i="23" s="1"/>
  <c r="D86" i="23"/>
  <c r="E86" i="23" s="1"/>
  <c r="D88" i="23"/>
  <c r="E88" i="23" s="1"/>
  <c r="D90" i="23"/>
  <c r="E90" i="23" s="1"/>
  <c r="D92" i="23"/>
  <c r="E92" i="23" s="1"/>
  <c r="D94" i="23"/>
  <c r="E94" i="23" s="1"/>
  <c r="D3" i="23"/>
  <c r="E3" i="23" s="1"/>
  <c r="D15" i="23"/>
  <c r="E15" i="23" s="1"/>
  <c r="D23" i="23"/>
  <c r="E23" i="23" s="1"/>
  <c r="D31" i="23"/>
  <c r="E31" i="23" s="1"/>
  <c r="D39" i="23"/>
  <c r="E39" i="23" s="1"/>
  <c r="D47" i="23"/>
  <c r="E47" i="23" s="1"/>
  <c r="D55" i="23"/>
  <c r="E55" i="23" s="1"/>
  <c r="D63" i="23"/>
  <c r="E63" i="23" s="1"/>
  <c r="D97" i="23"/>
  <c r="E97" i="23" s="1"/>
  <c r="D104" i="23"/>
  <c r="E104" i="23" s="1"/>
  <c r="D113" i="23"/>
  <c r="E113" i="23" s="1"/>
  <c r="D120" i="23"/>
  <c r="E120" i="23" s="1"/>
  <c r="D7" i="23"/>
  <c r="E7" i="23" s="1"/>
  <c r="D66" i="23"/>
  <c r="E66" i="23" s="1"/>
  <c r="D71" i="23"/>
  <c r="E71" i="23" s="1"/>
  <c r="D79" i="23"/>
  <c r="E79" i="23" s="1"/>
  <c r="D87" i="23"/>
  <c r="E87" i="23" s="1"/>
  <c r="D95" i="23"/>
  <c r="E95" i="23" s="1"/>
  <c r="D102" i="23"/>
  <c r="E102" i="23" s="1"/>
  <c r="D111" i="23"/>
  <c r="E111" i="23" s="1"/>
  <c r="D118" i="23"/>
  <c r="E118" i="23" s="1"/>
  <c r="D98" i="23"/>
  <c r="E98" i="23" s="1"/>
  <c r="D107" i="23"/>
  <c r="E107" i="23" s="1"/>
  <c r="D13" i="23"/>
  <c r="E13" i="23" s="1"/>
  <c r="D21" i="23"/>
  <c r="E21" i="23" s="1"/>
  <c r="D29" i="23"/>
  <c r="E29" i="23" s="1"/>
  <c r="D37" i="23"/>
  <c r="E37" i="23" s="1"/>
  <c r="D45" i="23"/>
  <c r="E45" i="23" s="1"/>
  <c r="D53" i="23"/>
  <c r="E53" i="23" s="1"/>
  <c r="D61" i="23"/>
  <c r="E61" i="23" s="1"/>
  <c r="D100" i="23"/>
  <c r="E100" i="23" s="1"/>
  <c r="D109" i="23"/>
  <c r="E109" i="23" s="1"/>
  <c r="D116" i="23"/>
  <c r="E116" i="23" s="1"/>
  <c r="D69" i="23"/>
  <c r="E69" i="23" s="1"/>
  <c r="D77" i="23"/>
  <c r="E77" i="23" s="1"/>
  <c r="D85" i="23"/>
  <c r="E85" i="23" s="1"/>
  <c r="D93" i="23"/>
  <c r="E93" i="23" s="1"/>
  <c r="D114" i="23"/>
  <c r="E114" i="23" s="1"/>
  <c r="D5" i="23"/>
  <c r="E5" i="23" s="1"/>
  <c r="D11" i="23"/>
  <c r="E11" i="23" s="1"/>
  <c r="D19" i="23"/>
  <c r="E19" i="23" s="1"/>
  <c r="D27" i="23"/>
  <c r="E27" i="23" s="1"/>
  <c r="D35" i="23"/>
  <c r="E35" i="23" s="1"/>
  <c r="D43" i="23"/>
  <c r="E43" i="23" s="1"/>
  <c r="D51" i="23"/>
  <c r="E51" i="23" s="1"/>
  <c r="D59" i="23"/>
  <c r="E59" i="23" s="1"/>
  <c r="D96" i="23"/>
  <c r="E96" i="23" s="1"/>
  <c r="D105" i="23"/>
  <c r="E105" i="23" s="1"/>
  <c r="D112" i="23"/>
  <c r="E112" i="23" s="1"/>
  <c r="D121" i="23"/>
  <c r="E121" i="23" s="1"/>
  <c r="D103" i="23"/>
  <c r="E103" i="23" s="1"/>
  <c r="D110" i="23"/>
  <c r="E110" i="23" s="1"/>
  <c r="D119" i="23"/>
  <c r="E119" i="23" s="1"/>
  <c r="D17" i="23"/>
  <c r="E17" i="23" s="1"/>
  <c r="D25" i="23"/>
  <c r="E25" i="23" s="1"/>
  <c r="D33" i="23"/>
  <c r="E33" i="23" s="1"/>
  <c r="D41" i="23"/>
  <c r="E41" i="23" s="1"/>
  <c r="D49" i="23"/>
  <c r="E49" i="23" s="1"/>
  <c r="D57" i="23"/>
  <c r="E57" i="23" s="1"/>
  <c r="D65" i="23"/>
  <c r="E65" i="23" s="1"/>
  <c r="D101" i="23"/>
  <c r="E101" i="23" s="1"/>
  <c r="D108" i="23"/>
  <c r="E108" i="23" s="1"/>
  <c r="D117" i="23"/>
  <c r="E117" i="23" s="1"/>
  <c r="D73" i="23"/>
  <c r="E73" i="23" s="1"/>
  <c r="D81" i="23"/>
  <c r="E81" i="23" s="1"/>
  <c r="D89" i="23"/>
  <c r="E89" i="23" s="1"/>
  <c r="D99" i="23"/>
  <c r="E99" i="23" s="1"/>
  <c r="D67" i="23"/>
  <c r="E67" i="23" s="1"/>
  <c r="D75" i="23"/>
  <c r="E75" i="23" s="1"/>
  <c r="D83" i="23"/>
  <c r="E83" i="23" s="1"/>
  <c r="D91" i="23"/>
  <c r="E91" i="23" s="1"/>
  <c r="D9" i="23"/>
  <c r="E9" i="23" s="1"/>
  <c r="D106" i="23"/>
  <c r="E106" i="23" s="1"/>
  <c r="D115" i="23"/>
  <c r="E115" i="23" s="1"/>
  <c r="D122" i="23"/>
  <c r="E122" i="23" s="1"/>
  <c r="C2" i="26"/>
  <c r="D2" i="26" s="1"/>
  <c r="F6" i="25"/>
  <c r="G6" i="25" s="1"/>
  <c r="F22" i="25"/>
  <c r="G22" i="25" s="1"/>
  <c r="F38" i="25"/>
  <c r="G38" i="25" s="1"/>
  <c r="F54" i="25"/>
  <c r="G54" i="25" s="1"/>
  <c r="F70" i="25"/>
  <c r="G70" i="25" s="1"/>
  <c r="F86" i="25"/>
  <c r="G86" i="25" s="1"/>
  <c r="F102" i="25"/>
  <c r="G102" i="25" s="1"/>
  <c r="F118" i="25"/>
  <c r="G118" i="25" s="1"/>
  <c r="F75" i="25"/>
  <c r="G75" i="25" s="1"/>
  <c r="F63" i="25"/>
  <c r="G63" i="25" s="1"/>
  <c r="F29" i="25"/>
  <c r="G29" i="25" s="1"/>
  <c r="F111" i="25"/>
  <c r="G111" i="25" s="1"/>
  <c r="F19" i="25"/>
  <c r="G19" i="25" s="1"/>
  <c r="F83" i="25"/>
  <c r="G83" i="25" s="1"/>
  <c r="F73" i="25"/>
  <c r="G73" i="25" s="1"/>
  <c r="F26" i="25"/>
  <c r="G26" i="25" s="1"/>
  <c r="F58" i="25"/>
  <c r="G58" i="25" s="1"/>
  <c r="F90" i="25"/>
  <c r="G90" i="25" s="1"/>
  <c r="F122" i="25"/>
  <c r="G122" i="25" s="1"/>
  <c r="F5" i="25"/>
  <c r="G5" i="25" s="1"/>
  <c r="F27" i="25"/>
  <c r="G27" i="25" s="1"/>
  <c r="F23" i="25"/>
  <c r="G23" i="25" s="1"/>
  <c r="F43" i="25"/>
  <c r="G43" i="25" s="1"/>
  <c r="F8" i="25"/>
  <c r="G8" i="25" s="1"/>
  <c r="F24" i="25"/>
  <c r="G24" i="25" s="1"/>
  <c r="F40" i="25"/>
  <c r="G40" i="25" s="1"/>
  <c r="F56" i="25"/>
  <c r="G56" i="25" s="1"/>
  <c r="F72" i="25"/>
  <c r="G72" i="25" s="1"/>
  <c r="F88" i="25"/>
  <c r="G88" i="25" s="1"/>
  <c r="F104" i="25"/>
  <c r="G104" i="25" s="1"/>
  <c r="F120" i="25"/>
  <c r="G120" i="25" s="1"/>
  <c r="F107" i="25"/>
  <c r="G107" i="25" s="1"/>
  <c r="F79" i="25"/>
  <c r="G79" i="25" s="1"/>
  <c r="F33" i="25"/>
  <c r="G33" i="25" s="1"/>
  <c r="F57" i="25"/>
  <c r="G57" i="25" s="1"/>
  <c r="F51" i="25"/>
  <c r="G51" i="25" s="1"/>
  <c r="F115" i="25"/>
  <c r="G115" i="25" s="1"/>
  <c r="F109" i="25"/>
  <c r="G109" i="25" s="1"/>
  <c r="F10" i="25"/>
  <c r="G10" i="25" s="1"/>
  <c r="F42" i="25"/>
  <c r="G42" i="25" s="1"/>
  <c r="F74" i="25"/>
  <c r="G74" i="25" s="1"/>
  <c r="F106" i="25"/>
  <c r="G106" i="25" s="1"/>
  <c r="F69" i="25"/>
  <c r="G69" i="25" s="1"/>
  <c r="F37" i="25"/>
  <c r="G37" i="25" s="1"/>
  <c r="F87" i="25"/>
  <c r="G87" i="25" s="1"/>
  <c r="F3" i="25"/>
  <c r="G3" i="25" s="1"/>
  <c r="F93" i="25"/>
  <c r="G93" i="25" s="1"/>
  <c r="F12" i="25"/>
  <c r="G12" i="25" s="1"/>
  <c r="F28" i="25"/>
  <c r="G28" i="25" s="1"/>
  <c r="F44" i="25"/>
  <c r="G44" i="25" s="1"/>
  <c r="F60" i="25"/>
  <c r="G60" i="25" s="1"/>
  <c r="F76" i="25"/>
  <c r="G76" i="25" s="1"/>
  <c r="F92" i="25"/>
  <c r="G92" i="25" s="1"/>
  <c r="F108" i="25"/>
  <c r="G108" i="25" s="1"/>
  <c r="F65" i="25"/>
  <c r="G65" i="25" s="1"/>
  <c r="F101" i="25"/>
  <c r="G101" i="25" s="1"/>
  <c r="F9" i="25"/>
  <c r="G9" i="25" s="1"/>
  <c r="F41" i="25"/>
  <c r="G41" i="25" s="1"/>
  <c r="F67" i="25"/>
  <c r="G67" i="25" s="1"/>
  <c r="F31" i="25"/>
  <c r="G31" i="25" s="1"/>
  <c r="F77" i="25"/>
  <c r="G77" i="25" s="1"/>
  <c r="F35" i="25"/>
  <c r="G35" i="25" s="1"/>
  <c r="F114" i="25"/>
  <c r="G114" i="25" s="1"/>
  <c r="F21" i="25"/>
  <c r="G21" i="25" s="1"/>
  <c r="F39" i="25"/>
  <c r="G39" i="25" s="1"/>
  <c r="F121" i="25"/>
  <c r="G121" i="25" s="1"/>
  <c r="F20" i="25"/>
  <c r="G20" i="25" s="1"/>
  <c r="F52" i="25"/>
  <c r="G52" i="25" s="1"/>
  <c r="F84" i="25"/>
  <c r="G84" i="25" s="1"/>
  <c r="F116" i="25"/>
  <c r="G116" i="25" s="1"/>
  <c r="F119" i="25"/>
  <c r="G119" i="25" s="1"/>
  <c r="F85" i="25"/>
  <c r="G85" i="25" s="1"/>
  <c r="F14" i="25"/>
  <c r="G14" i="25" s="1"/>
  <c r="F30" i="25"/>
  <c r="G30" i="25" s="1"/>
  <c r="F46" i="25"/>
  <c r="G46" i="25" s="1"/>
  <c r="F62" i="25"/>
  <c r="G62" i="25" s="1"/>
  <c r="F78" i="25"/>
  <c r="G78" i="25" s="1"/>
  <c r="F94" i="25"/>
  <c r="G94" i="25" s="1"/>
  <c r="F110" i="25"/>
  <c r="G110" i="25" s="1"/>
  <c r="F81" i="25"/>
  <c r="G81" i="25" s="1"/>
  <c r="F95" i="25"/>
  <c r="G95" i="25" s="1"/>
  <c r="F13" i="25"/>
  <c r="G13" i="25" s="1"/>
  <c r="F45" i="25"/>
  <c r="G45" i="25" s="1"/>
  <c r="F99" i="25"/>
  <c r="G99" i="25" s="1"/>
  <c r="F61" i="25"/>
  <c r="G61" i="25" s="1"/>
  <c r="F55" i="25"/>
  <c r="G55" i="25" s="1"/>
  <c r="F103" i="25"/>
  <c r="G103" i="25" s="1"/>
  <c r="F16" i="25"/>
  <c r="G16" i="25" s="1"/>
  <c r="F32" i="25"/>
  <c r="G32" i="25" s="1"/>
  <c r="F48" i="25"/>
  <c r="G48" i="25" s="1"/>
  <c r="F64" i="25"/>
  <c r="G64" i="25" s="1"/>
  <c r="F80" i="25"/>
  <c r="G80" i="25" s="1"/>
  <c r="F96" i="25"/>
  <c r="G96" i="25" s="1"/>
  <c r="F112" i="25"/>
  <c r="G112" i="25" s="1"/>
  <c r="F97" i="25"/>
  <c r="G97" i="25" s="1"/>
  <c r="F117" i="25"/>
  <c r="G117" i="25" s="1"/>
  <c r="F17" i="25"/>
  <c r="G17" i="25" s="1"/>
  <c r="F49" i="25"/>
  <c r="G49" i="25" s="1"/>
  <c r="F7" i="25"/>
  <c r="G7" i="25" s="1"/>
  <c r="F89" i="25"/>
  <c r="G89" i="25" s="1"/>
  <c r="F71" i="25"/>
  <c r="G71" i="25" s="1"/>
  <c r="F15" i="25"/>
  <c r="G15" i="25" s="1"/>
  <c r="F18" i="25"/>
  <c r="G18" i="25" s="1"/>
  <c r="F34" i="25"/>
  <c r="G34" i="25" s="1"/>
  <c r="F50" i="25"/>
  <c r="G50" i="25" s="1"/>
  <c r="F66" i="25"/>
  <c r="G66" i="25" s="1"/>
  <c r="F82" i="25"/>
  <c r="G82" i="25" s="1"/>
  <c r="F98" i="25"/>
  <c r="G98" i="25" s="1"/>
  <c r="F113" i="25"/>
  <c r="G113" i="25" s="1"/>
  <c r="F91" i="25"/>
  <c r="G91" i="25" s="1"/>
  <c r="F53" i="25"/>
  <c r="G53" i="25" s="1"/>
  <c r="F11" i="25"/>
  <c r="G11" i="25" s="1"/>
  <c r="F105" i="25"/>
  <c r="G105" i="25" s="1"/>
  <c r="F4" i="25"/>
  <c r="G4" i="25" s="1"/>
  <c r="F36" i="25"/>
  <c r="G36" i="25" s="1"/>
  <c r="F68" i="25"/>
  <c r="G68" i="25" s="1"/>
  <c r="F100" i="25"/>
  <c r="G100" i="25" s="1"/>
  <c r="F59" i="25"/>
  <c r="G59" i="25" s="1"/>
  <c r="F25" i="25"/>
  <c r="G25" i="25" s="1"/>
  <c r="F47" i="25"/>
  <c r="G47" i="25" s="1"/>
  <c r="F2" i="25"/>
  <c r="G2" i="25" s="1"/>
  <c r="F3" i="24"/>
  <c r="G3" i="24" s="1"/>
  <c r="F19" i="24"/>
  <c r="G19" i="24" s="1"/>
  <c r="F35" i="24"/>
  <c r="G35" i="24" s="1"/>
  <c r="F51" i="24"/>
  <c r="G51" i="24" s="1"/>
  <c r="F67" i="24"/>
  <c r="G67" i="24" s="1"/>
  <c r="F83" i="24"/>
  <c r="G83" i="24" s="1"/>
  <c r="F99" i="24"/>
  <c r="G99" i="24" s="1"/>
  <c r="F115" i="24"/>
  <c r="G115" i="24" s="1"/>
  <c r="F82" i="24"/>
  <c r="G82" i="24" s="1"/>
  <c r="F80" i="24"/>
  <c r="G80" i="24" s="1"/>
  <c r="F110" i="24"/>
  <c r="G110" i="24" s="1"/>
  <c r="F92" i="24"/>
  <c r="G92" i="24" s="1"/>
  <c r="F28" i="24"/>
  <c r="G28" i="24" s="1"/>
  <c r="F106" i="24"/>
  <c r="G106" i="24" s="1"/>
  <c r="F14" i="24"/>
  <c r="G14" i="24" s="1"/>
  <c r="F5" i="24"/>
  <c r="G5" i="24" s="1"/>
  <c r="F21" i="24"/>
  <c r="G21" i="24" s="1"/>
  <c r="F37" i="24"/>
  <c r="G37" i="24" s="1"/>
  <c r="F53" i="24"/>
  <c r="G53" i="24" s="1"/>
  <c r="F69" i="24"/>
  <c r="G69" i="24" s="1"/>
  <c r="F85" i="24"/>
  <c r="G85" i="24" s="1"/>
  <c r="F101" i="24"/>
  <c r="G101" i="24" s="1"/>
  <c r="F117" i="24"/>
  <c r="G117" i="24" s="1"/>
  <c r="F10" i="24"/>
  <c r="G10" i="24" s="1"/>
  <c r="F96" i="24"/>
  <c r="G96" i="24" s="1"/>
  <c r="F8" i="24"/>
  <c r="G8" i="24" s="1"/>
  <c r="F108" i="24"/>
  <c r="G108" i="24" s="1"/>
  <c r="F68" i="24"/>
  <c r="G68" i="24" s="1"/>
  <c r="F22" i="24"/>
  <c r="G22" i="24" s="1"/>
  <c r="F46" i="24"/>
  <c r="G46" i="24" s="1"/>
  <c r="F7" i="24"/>
  <c r="G7" i="24" s="1"/>
  <c r="F23" i="24"/>
  <c r="G23" i="24" s="1"/>
  <c r="F39" i="24"/>
  <c r="G39" i="24" s="1"/>
  <c r="F55" i="24"/>
  <c r="G55" i="24" s="1"/>
  <c r="F71" i="24"/>
  <c r="G71" i="24" s="1"/>
  <c r="F87" i="24"/>
  <c r="G87" i="24" s="1"/>
  <c r="F103" i="24"/>
  <c r="G103" i="24" s="1"/>
  <c r="F112" i="24"/>
  <c r="G112" i="24" s="1"/>
  <c r="F116" i="24"/>
  <c r="G116" i="24" s="1"/>
  <c r="F9" i="24"/>
  <c r="G9" i="24" s="1"/>
  <c r="F25" i="24"/>
  <c r="G25" i="24" s="1"/>
  <c r="F41" i="24"/>
  <c r="G41" i="24" s="1"/>
  <c r="F57" i="24"/>
  <c r="G57" i="24" s="1"/>
  <c r="F73" i="24"/>
  <c r="G73" i="24" s="1"/>
  <c r="F89" i="24"/>
  <c r="G89" i="24" s="1"/>
  <c r="F105" i="24"/>
  <c r="G105" i="24" s="1"/>
  <c r="F121" i="24"/>
  <c r="G121" i="24" s="1"/>
  <c r="F26" i="24"/>
  <c r="G26" i="24" s="1"/>
  <c r="F60" i="24"/>
  <c r="G60" i="24" s="1"/>
  <c r="F24" i="24"/>
  <c r="G24" i="24" s="1"/>
  <c r="F4" i="24"/>
  <c r="F120" i="24"/>
  <c r="G120" i="24" s="1"/>
  <c r="F12" i="24"/>
  <c r="G12" i="24" s="1"/>
  <c r="F100" i="24"/>
  <c r="G100" i="24" s="1"/>
  <c r="F11" i="24"/>
  <c r="G11" i="24" s="1"/>
  <c r="F27" i="24"/>
  <c r="G27" i="24" s="1"/>
  <c r="F43" i="24"/>
  <c r="G43" i="24" s="1"/>
  <c r="F59" i="24"/>
  <c r="G59" i="24" s="1"/>
  <c r="F75" i="24"/>
  <c r="G75" i="24" s="1"/>
  <c r="F91" i="24"/>
  <c r="G91" i="24" s="1"/>
  <c r="F107" i="24"/>
  <c r="G107" i="24" s="1"/>
  <c r="F54" i="24"/>
  <c r="G54" i="24" s="1"/>
  <c r="F34" i="24"/>
  <c r="G34" i="24" s="1"/>
  <c r="F74" i="24"/>
  <c r="G74" i="24" s="1"/>
  <c r="F32" i="24"/>
  <c r="G32" i="24" s="1"/>
  <c r="F36" i="24"/>
  <c r="G36" i="24" s="1"/>
  <c r="F30" i="24"/>
  <c r="G30" i="24" s="1"/>
  <c r="F114" i="24"/>
  <c r="G114" i="24" s="1"/>
  <c r="F104" i="24"/>
  <c r="G104" i="24" s="1"/>
  <c r="F63" i="24"/>
  <c r="G63" i="24" s="1"/>
  <c r="F95" i="24"/>
  <c r="G95" i="24" s="1"/>
  <c r="F86" i="24"/>
  <c r="G86" i="24" s="1"/>
  <c r="F78" i="24"/>
  <c r="G78" i="24" s="1"/>
  <c r="F48" i="24"/>
  <c r="G48" i="24" s="1"/>
  <c r="F98" i="24"/>
  <c r="G98" i="24" s="1"/>
  <c r="F44" i="24"/>
  <c r="G44" i="24" s="1"/>
  <c r="F17" i="24"/>
  <c r="G17" i="24" s="1"/>
  <c r="F49" i="24"/>
  <c r="G49" i="24" s="1"/>
  <c r="F81" i="24"/>
  <c r="G81" i="24" s="1"/>
  <c r="F113" i="24"/>
  <c r="G113" i="24" s="1"/>
  <c r="F64" i="24"/>
  <c r="G64" i="24" s="1"/>
  <c r="F76" i="24"/>
  <c r="G76" i="24" s="1"/>
  <c r="F102" i="24"/>
  <c r="G102" i="24" s="1"/>
  <c r="F122" i="24"/>
  <c r="G122" i="24" s="1"/>
  <c r="F18" i="24"/>
  <c r="G18" i="24" s="1"/>
  <c r="F58" i="24"/>
  <c r="G58" i="24" s="1"/>
  <c r="F56" i="24"/>
  <c r="G56" i="24" s="1"/>
  <c r="F13" i="24"/>
  <c r="G13" i="24" s="1"/>
  <c r="F29" i="24"/>
  <c r="G29" i="24" s="1"/>
  <c r="F45" i="24"/>
  <c r="G45" i="24" s="1"/>
  <c r="F61" i="24"/>
  <c r="G61" i="24" s="1"/>
  <c r="F77" i="24"/>
  <c r="G77" i="24" s="1"/>
  <c r="F93" i="24"/>
  <c r="G93" i="24" s="1"/>
  <c r="F109" i="24"/>
  <c r="G109" i="24" s="1"/>
  <c r="F70" i="24"/>
  <c r="G70" i="24" s="1"/>
  <c r="F42" i="24"/>
  <c r="G42" i="24" s="1"/>
  <c r="F62" i="24"/>
  <c r="G62" i="24" s="1"/>
  <c r="F40" i="24"/>
  <c r="G40" i="24" s="1"/>
  <c r="F6" i="24"/>
  <c r="G6" i="24" s="1"/>
  <c r="F90" i="24"/>
  <c r="G90" i="24" s="1"/>
  <c r="F20" i="24"/>
  <c r="G20" i="24" s="1"/>
  <c r="F84" i="24"/>
  <c r="G84" i="24" s="1"/>
  <c r="F15" i="24"/>
  <c r="G15" i="24" s="1"/>
  <c r="F31" i="24"/>
  <c r="G31" i="24" s="1"/>
  <c r="F47" i="24"/>
  <c r="G47" i="24" s="1"/>
  <c r="F79" i="24"/>
  <c r="G79" i="24" s="1"/>
  <c r="F111" i="24"/>
  <c r="G111" i="24" s="1"/>
  <c r="F50" i="24"/>
  <c r="G50" i="24" s="1"/>
  <c r="F38" i="24"/>
  <c r="G38" i="24" s="1"/>
  <c r="F52" i="24"/>
  <c r="G52" i="24" s="1"/>
  <c r="F33" i="24"/>
  <c r="G33" i="24" s="1"/>
  <c r="F65" i="24"/>
  <c r="G65" i="24" s="1"/>
  <c r="F97" i="24"/>
  <c r="G97" i="24" s="1"/>
  <c r="F66" i="24"/>
  <c r="G66" i="24" s="1"/>
  <c r="F94" i="24"/>
  <c r="G94" i="24" s="1"/>
  <c r="F88" i="24"/>
  <c r="G88" i="24" s="1"/>
  <c r="F118" i="24"/>
  <c r="G118" i="24" s="1"/>
  <c r="F119" i="24"/>
  <c r="G119" i="24" s="1"/>
  <c r="F16" i="24"/>
  <c r="G16" i="24" s="1"/>
  <c r="F72" i="24"/>
  <c r="G72" i="24" s="1"/>
  <c r="F6" i="23"/>
  <c r="G6" i="23" s="1"/>
  <c r="F22" i="23"/>
  <c r="G22" i="23" s="1"/>
  <c r="F38" i="23"/>
  <c r="G38" i="23" s="1"/>
  <c r="F54" i="23"/>
  <c r="G54" i="23" s="1"/>
  <c r="F72" i="23"/>
  <c r="G72" i="23" s="1"/>
  <c r="F88" i="23"/>
  <c r="G88" i="23" s="1"/>
  <c r="F39" i="23"/>
  <c r="G39" i="23" s="1"/>
  <c r="F7" i="23"/>
  <c r="G7" i="23" s="1"/>
  <c r="F118" i="23"/>
  <c r="G118" i="23" s="1"/>
  <c r="F53" i="23"/>
  <c r="G53" i="23" s="1"/>
  <c r="F93" i="23"/>
  <c r="G93" i="23" s="1"/>
  <c r="F51" i="23"/>
  <c r="G51" i="23" s="1"/>
  <c r="F119" i="23"/>
  <c r="G119" i="23" s="1"/>
  <c r="F101" i="23"/>
  <c r="G101" i="23" s="1"/>
  <c r="F75" i="23"/>
  <c r="G75" i="23" s="1"/>
  <c r="F40" i="23"/>
  <c r="G40" i="23" s="1"/>
  <c r="F74" i="23"/>
  <c r="G74" i="23" s="1"/>
  <c r="F47" i="23"/>
  <c r="G47" i="23" s="1"/>
  <c r="F98" i="23"/>
  <c r="G98" i="23" s="1"/>
  <c r="F114" i="23"/>
  <c r="G114" i="23" s="1"/>
  <c r="F17" i="23"/>
  <c r="G17" i="23" s="1"/>
  <c r="F83" i="23"/>
  <c r="G83" i="23" s="1"/>
  <c r="F26" i="23"/>
  <c r="G26" i="23" s="1"/>
  <c r="F58" i="23"/>
  <c r="G58" i="23" s="1"/>
  <c r="F92" i="23"/>
  <c r="G92" i="23" s="1"/>
  <c r="F71" i="23"/>
  <c r="G71" i="23" s="1"/>
  <c r="F100" i="23"/>
  <c r="G100" i="23" s="1"/>
  <c r="F96" i="23"/>
  <c r="G96" i="23" s="1"/>
  <c r="F117" i="23"/>
  <c r="G117" i="23" s="1"/>
  <c r="F32" i="23"/>
  <c r="G32" i="23" s="1"/>
  <c r="F15" i="23"/>
  <c r="G15" i="23" s="1"/>
  <c r="F69" i="23"/>
  <c r="G69" i="23" s="1"/>
  <c r="F89" i="23"/>
  <c r="G89" i="23" s="1"/>
  <c r="F68" i="23"/>
  <c r="G68" i="23" s="1"/>
  <c r="F23" i="23"/>
  <c r="G23" i="23" s="1"/>
  <c r="F77" i="23"/>
  <c r="G77" i="23" s="1"/>
  <c r="F99" i="23"/>
  <c r="G99" i="23" s="1"/>
  <c r="F36" i="23"/>
  <c r="G36" i="23" s="1"/>
  <c r="F86" i="23"/>
  <c r="G86" i="23" s="1"/>
  <c r="F45" i="23"/>
  <c r="G45" i="23" s="1"/>
  <c r="F65" i="23"/>
  <c r="G65" i="23" s="1"/>
  <c r="F8" i="23"/>
  <c r="G8" i="23" s="1"/>
  <c r="F24" i="23"/>
  <c r="G24" i="23" s="1"/>
  <c r="F56" i="23"/>
  <c r="G56" i="23" s="1"/>
  <c r="F90" i="23"/>
  <c r="G90" i="23" s="1"/>
  <c r="F66" i="23"/>
  <c r="G66" i="23" s="1"/>
  <c r="F61" i="23"/>
  <c r="G61" i="23" s="1"/>
  <c r="F59" i="23"/>
  <c r="G59" i="23" s="1"/>
  <c r="F108" i="23"/>
  <c r="G108" i="23" s="1"/>
  <c r="F10" i="23"/>
  <c r="G10" i="23" s="1"/>
  <c r="F42" i="23"/>
  <c r="G42" i="23" s="1"/>
  <c r="F76" i="23"/>
  <c r="G76" i="23" s="1"/>
  <c r="F55" i="23"/>
  <c r="G55" i="23" s="1"/>
  <c r="F107" i="23"/>
  <c r="G107" i="23" s="1"/>
  <c r="F5" i="23"/>
  <c r="G5" i="23" s="1"/>
  <c r="F25" i="23"/>
  <c r="G25" i="23" s="1"/>
  <c r="F91" i="23"/>
  <c r="G91" i="23" s="1"/>
  <c r="F64" i="23"/>
  <c r="G64" i="23" s="1"/>
  <c r="F95" i="23"/>
  <c r="G95" i="23" s="1"/>
  <c r="F121" i="23"/>
  <c r="G121" i="23" s="1"/>
  <c r="F18" i="23"/>
  <c r="G18" i="23" s="1"/>
  <c r="F84" i="23"/>
  <c r="G84" i="23" s="1"/>
  <c r="F37" i="23"/>
  <c r="G37" i="23" s="1"/>
  <c r="F57" i="23"/>
  <c r="G57" i="23" s="1"/>
  <c r="F20" i="23"/>
  <c r="G20" i="23" s="1"/>
  <c r="F31" i="23"/>
  <c r="G31" i="23" s="1"/>
  <c r="F43" i="23"/>
  <c r="G43" i="23" s="1"/>
  <c r="F12" i="23"/>
  <c r="G12" i="23" s="1"/>
  <c r="F28" i="23"/>
  <c r="G28" i="23" s="1"/>
  <c r="F44" i="23"/>
  <c r="G44" i="23" s="1"/>
  <c r="F60" i="23"/>
  <c r="G60" i="23" s="1"/>
  <c r="F78" i="23"/>
  <c r="G78" i="23" s="1"/>
  <c r="F94" i="23"/>
  <c r="G94" i="23" s="1"/>
  <c r="F63" i="23"/>
  <c r="G63" i="23" s="1"/>
  <c r="F79" i="23"/>
  <c r="G79" i="23" s="1"/>
  <c r="F13" i="23"/>
  <c r="G13" i="23" s="1"/>
  <c r="F109" i="23"/>
  <c r="G109" i="23" s="1"/>
  <c r="F11" i="23"/>
  <c r="G11" i="23" s="1"/>
  <c r="F105" i="23"/>
  <c r="G105" i="23" s="1"/>
  <c r="F33" i="23"/>
  <c r="G33" i="23" s="1"/>
  <c r="F73" i="23"/>
  <c r="G73" i="23" s="1"/>
  <c r="F9" i="23"/>
  <c r="G9" i="23" s="1"/>
  <c r="F81" i="23"/>
  <c r="G81" i="23" s="1"/>
  <c r="F16" i="23"/>
  <c r="G16" i="23" s="1"/>
  <c r="F82" i="23"/>
  <c r="G82" i="23" s="1"/>
  <c r="F29" i="23"/>
  <c r="G29" i="23" s="1"/>
  <c r="F49" i="23"/>
  <c r="G49" i="23" s="1"/>
  <c r="F34" i="23"/>
  <c r="G34" i="23" s="1"/>
  <c r="F113" i="23"/>
  <c r="G113" i="23" s="1"/>
  <c r="F35" i="23"/>
  <c r="G35" i="23" s="1"/>
  <c r="F122" i="23"/>
  <c r="G122" i="23" s="1"/>
  <c r="F52" i="23"/>
  <c r="G52" i="23" s="1"/>
  <c r="F120" i="23"/>
  <c r="G120" i="23" s="1"/>
  <c r="F85" i="23"/>
  <c r="G85" i="23" s="1"/>
  <c r="F67" i="23"/>
  <c r="G67" i="23" s="1"/>
  <c r="F14" i="23"/>
  <c r="G14" i="23" s="1"/>
  <c r="F30" i="23"/>
  <c r="G30" i="23" s="1"/>
  <c r="F46" i="23"/>
  <c r="G46" i="23" s="1"/>
  <c r="F62" i="23"/>
  <c r="G62" i="23" s="1"/>
  <c r="F80" i="23"/>
  <c r="G80" i="23" s="1"/>
  <c r="F3" i="23"/>
  <c r="F97" i="23"/>
  <c r="G97" i="23" s="1"/>
  <c r="F87" i="23"/>
  <c r="G87" i="23" s="1"/>
  <c r="F21" i="23"/>
  <c r="G21" i="23" s="1"/>
  <c r="F116" i="23"/>
  <c r="G116" i="23" s="1"/>
  <c r="F19" i="23"/>
  <c r="G19" i="23" s="1"/>
  <c r="F112" i="23"/>
  <c r="G112" i="23" s="1"/>
  <c r="F41" i="23"/>
  <c r="G41" i="23" s="1"/>
  <c r="F106" i="23"/>
  <c r="G106" i="23" s="1"/>
  <c r="F48" i="23"/>
  <c r="G48" i="23" s="1"/>
  <c r="F104" i="23"/>
  <c r="G104" i="23" s="1"/>
  <c r="F27" i="23"/>
  <c r="G27" i="23" s="1"/>
  <c r="F115" i="23"/>
  <c r="G115" i="23" s="1"/>
  <c r="F50" i="23"/>
  <c r="G50" i="23" s="1"/>
  <c r="F102" i="23"/>
  <c r="G102" i="23" s="1"/>
  <c r="F103" i="23"/>
  <c r="G103" i="23" s="1"/>
  <c r="F4" i="23"/>
  <c r="G4" i="23" s="1"/>
  <c r="F70" i="23"/>
  <c r="G70" i="23" s="1"/>
  <c r="F111" i="23"/>
  <c r="G111" i="23" s="1"/>
  <c r="F110" i="23"/>
  <c r="G110" i="23" s="1"/>
  <c r="E2" i="22"/>
  <c r="F2" i="22" s="1"/>
  <c r="D2" i="21"/>
  <c r="E2" i="21" s="1"/>
  <c r="F2" i="23"/>
  <c r="G2" i="23" s="1"/>
  <c r="G3" i="23"/>
  <c r="F2" i="24"/>
  <c r="G2" i="24" s="1"/>
  <c r="G4" i="24"/>
  <c r="D8" i="20" l="1"/>
  <c r="C3" i="19"/>
  <c r="D3" i="19"/>
  <c r="D4" i="19" s="1"/>
  <c r="D5" i="19" s="1"/>
  <c r="D6" i="19" s="1"/>
  <c r="D7" i="19" s="1"/>
  <c r="D8" i="19" s="1"/>
  <c r="D9" i="19" s="1"/>
  <c r="D10" i="19" s="1"/>
  <c r="D11" i="19" s="1"/>
  <c r="D12" i="19" s="1"/>
  <c r="D13" i="19" s="1"/>
  <c r="D14" i="19" s="1"/>
  <c r="D15" i="19" s="1"/>
  <c r="D16" i="19" s="1"/>
  <c r="D17" i="19" s="1"/>
  <c r="D18" i="19" s="1"/>
  <c r="D19" i="19" s="1"/>
  <c r="D20" i="19" s="1"/>
  <c r="D21" i="19" s="1"/>
  <c r="D22" i="19" s="1"/>
  <c r="D23" i="19" s="1"/>
  <c r="D24" i="19" s="1"/>
  <c r="D25" i="19" s="1"/>
  <c r="D26" i="19" s="1"/>
  <c r="D27" i="19" s="1"/>
  <c r="D28" i="19" s="1"/>
  <c r="D29" i="19" s="1"/>
  <c r="D30" i="19" s="1"/>
  <c r="D31" i="19" s="1"/>
  <c r="D32" i="19" s="1"/>
  <c r="D33" i="19" s="1"/>
  <c r="D34" i="19" s="1"/>
  <c r="D35" i="19" s="1"/>
  <c r="D36" i="19" s="1"/>
  <c r="D37" i="19" s="1"/>
  <c r="D38" i="19" s="1"/>
  <c r="D39" i="19" s="1"/>
  <c r="D40" i="19" s="1"/>
  <c r="C3" i="18"/>
  <c r="C4" i="18" s="1"/>
  <c r="D3" i="18"/>
  <c r="D4" i="18" s="1"/>
  <c r="D5" i="18" s="1"/>
  <c r="D6" i="18" s="1"/>
  <c r="D7" i="18" s="1"/>
  <c r="D8" i="18" s="1"/>
  <c r="D9" i="18" s="1"/>
  <c r="D10" i="18" s="1"/>
  <c r="D11" i="18" s="1"/>
  <c r="D12" i="18" s="1"/>
  <c r="D13" i="18" s="1"/>
  <c r="D14" i="18" s="1"/>
  <c r="D15" i="18" s="1"/>
  <c r="D16" i="18" s="1"/>
  <c r="D17" i="18" s="1"/>
  <c r="D18" i="18" s="1"/>
  <c r="D19" i="18" s="1"/>
  <c r="D20" i="18" s="1"/>
  <c r="D21" i="18" s="1"/>
  <c r="D22" i="18" s="1"/>
  <c r="D23" i="18" s="1"/>
  <c r="D24" i="18" s="1"/>
  <c r="D25" i="18" s="1"/>
  <c r="D26" i="18" s="1"/>
  <c r="D27" i="18" s="1"/>
  <c r="D28" i="18" s="1"/>
  <c r="D29" i="18" s="1"/>
  <c r="D30" i="18" s="1"/>
  <c r="D31" i="18" s="1"/>
  <c r="D32" i="18" s="1"/>
  <c r="D33" i="18" s="1"/>
  <c r="D34" i="18" s="1"/>
  <c r="D35" i="18" s="1"/>
  <c r="D36" i="18" s="1"/>
  <c r="D37" i="18" s="1"/>
  <c r="D38" i="18" s="1"/>
  <c r="D39" i="18" s="1"/>
  <c r="D40" i="18" s="1"/>
  <c r="C3" i="17"/>
  <c r="D3" i="17"/>
  <c r="D4" i="17" s="1"/>
  <c r="D5" i="17" s="1"/>
  <c r="D6" i="17" s="1"/>
  <c r="D7" i="17" s="1"/>
  <c r="D8" i="17" s="1"/>
  <c r="D9" i="17" s="1"/>
  <c r="D10" i="17" s="1"/>
  <c r="D11" i="17" s="1"/>
  <c r="D12" i="17" s="1"/>
  <c r="D13" i="17" s="1"/>
  <c r="D14" i="17" s="1"/>
  <c r="D15" i="17" s="1"/>
  <c r="D16" i="17" s="1"/>
  <c r="D17" i="17" s="1"/>
  <c r="D18" i="17" s="1"/>
  <c r="D19" i="17" s="1"/>
  <c r="D20" i="17" s="1"/>
  <c r="D21" i="17" s="1"/>
  <c r="D22" i="17" s="1"/>
  <c r="D23" i="17" s="1"/>
  <c r="D24" i="17" s="1"/>
  <c r="D25" i="17" s="1"/>
  <c r="D26" i="17" s="1"/>
  <c r="D27" i="17" s="1"/>
  <c r="D28" i="17" s="1"/>
  <c r="D29" i="17" s="1"/>
  <c r="D30" i="17" s="1"/>
  <c r="D31" i="17" s="1"/>
  <c r="D32" i="17" s="1"/>
  <c r="D33" i="17" s="1"/>
  <c r="D34" i="17" s="1"/>
  <c r="D35" i="17" s="1"/>
  <c r="D36" i="17" s="1"/>
  <c r="D37" i="17" s="1"/>
  <c r="D38" i="17" s="1"/>
  <c r="D39" i="17" s="1"/>
  <c r="D40" i="17" s="1"/>
  <c r="B1" i="20"/>
  <c r="E3" i="17" l="1"/>
  <c r="E3" i="19"/>
  <c r="C4" i="19"/>
  <c r="E3" i="18"/>
  <c r="E2" i="18"/>
  <c r="C5" i="18"/>
  <c r="E4" i="18"/>
  <c r="C4" i="17"/>
  <c r="F3" i="17"/>
  <c r="G3" i="17" s="1"/>
  <c r="F3" i="19"/>
  <c r="G3" i="19" s="1"/>
  <c r="F3" i="18"/>
  <c r="G3" i="18" s="1"/>
  <c r="F4" i="18"/>
  <c r="G4" i="18"/>
  <c r="C5" i="19" l="1"/>
  <c r="E4" i="19"/>
  <c r="E5" i="18"/>
  <c r="C6" i="18"/>
  <c r="E2" i="17"/>
  <c r="C5" i="17"/>
  <c r="E4" i="17"/>
  <c r="F4" i="19"/>
  <c r="G4" i="19" s="1"/>
  <c r="F5" i="18"/>
  <c r="F4" i="17"/>
  <c r="G4" i="17" s="1"/>
  <c r="G5" i="18"/>
  <c r="E5" i="19" l="1"/>
  <c r="C6" i="19"/>
  <c r="E6" i="18"/>
  <c r="C7" i="18"/>
  <c r="C6" i="17"/>
  <c r="E5" i="17"/>
  <c r="F5" i="19"/>
  <c r="G5" i="19" s="1"/>
  <c r="F6" i="18"/>
  <c r="F5" i="17"/>
  <c r="G5" i="17"/>
  <c r="G6" i="18"/>
  <c r="E6" i="19" l="1"/>
  <c r="C7" i="19"/>
  <c r="C8" i="18"/>
  <c r="E7" i="18"/>
  <c r="E6" i="17"/>
  <c r="C7" i="17"/>
  <c r="F6" i="19"/>
  <c r="G6" i="19" s="1"/>
  <c r="F7" i="18"/>
  <c r="F6" i="17"/>
  <c r="G6" i="17"/>
  <c r="G7" i="18"/>
  <c r="E2" i="19" l="1"/>
  <c r="C8" i="19"/>
  <c r="E7" i="19"/>
  <c r="E8" i="18"/>
  <c r="C9" i="18"/>
  <c r="C8" i="17"/>
  <c r="E7" i="17"/>
  <c r="F7" i="19"/>
  <c r="F8" i="18"/>
  <c r="F7" i="17"/>
  <c r="G7" i="17"/>
  <c r="G8" i="18"/>
  <c r="G7" i="19"/>
  <c r="E8" i="19" l="1"/>
  <c r="C9" i="19"/>
  <c r="E9" i="18"/>
  <c r="C10" i="18"/>
  <c r="E8" i="17"/>
  <c r="C9" i="17"/>
  <c r="F8" i="19"/>
  <c r="F9" i="18"/>
  <c r="F8" i="17"/>
  <c r="G8" i="17"/>
  <c r="G9" i="18"/>
  <c r="G8" i="19"/>
  <c r="C10" i="19" l="1"/>
  <c r="E9" i="19"/>
  <c r="C11" i="18"/>
  <c r="E10" i="18"/>
  <c r="C10" i="17"/>
  <c r="E9" i="17"/>
  <c r="F9" i="19"/>
  <c r="F10" i="18"/>
  <c r="F9" i="17"/>
  <c r="G9" i="17"/>
  <c r="G10" i="18"/>
  <c r="G9" i="19"/>
  <c r="E10" i="19" l="1"/>
  <c r="C11" i="19"/>
  <c r="E11" i="18"/>
  <c r="C12" i="18"/>
  <c r="E10" i="17"/>
  <c r="C11" i="17"/>
  <c r="F10" i="19"/>
  <c r="F11" i="18"/>
  <c r="F10" i="17"/>
  <c r="G10" i="17"/>
  <c r="G11" i="18"/>
  <c r="G10" i="19"/>
  <c r="E11" i="19" l="1"/>
  <c r="C12" i="19"/>
  <c r="C13" i="18"/>
  <c r="E12" i="18"/>
  <c r="E11" i="17"/>
  <c r="C12" i="17"/>
  <c r="F11" i="19"/>
  <c r="F12" i="18"/>
  <c r="F11" i="17"/>
  <c r="G11" i="17"/>
  <c r="G12" i="18"/>
  <c r="G11" i="19"/>
  <c r="C13" i="19" l="1"/>
  <c r="E12" i="19"/>
  <c r="C14" i="18"/>
  <c r="E13" i="18"/>
  <c r="C13" i="17"/>
  <c r="E12" i="17"/>
  <c r="F12" i="19"/>
  <c r="F13" i="18"/>
  <c r="F12" i="17"/>
  <c r="G12" i="17"/>
  <c r="G13" i="18"/>
  <c r="G12" i="19"/>
  <c r="E13" i="19" l="1"/>
  <c r="C14" i="19"/>
  <c r="C15" i="18"/>
  <c r="E14" i="18"/>
  <c r="E13" i="17"/>
  <c r="C14" i="17"/>
  <c r="F13" i="19"/>
  <c r="F14" i="18"/>
  <c r="F13" i="17"/>
  <c r="G13" i="17"/>
  <c r="G14" i="18"/>
  <c r="G13" i="19"/>
  <c r="E14" i="19" l="1"/>
  <c r="C15" i="19"/>
  <c r="C16" i="18"/>
  <c r="E15" i="18"/>
  <c r="E14" i="17"/>
  <c r="C15" i="17"/>
  <c r="F14" i="19"/>
  <c r="F15" i="18"/>
  <c r="F14" i="17"/>
  <c r="G14" i="17"/>
  <c r="G15" i="18"/>
  <c r="G14" i="19"/>
  <c r="C16" i="19" l="1"/>
  <c r="E15" i="19"/>
  <c r="E16" i="18"/>
  <c r="C17" i="18"/>
  <c r="C16" i="17"/>
  <c r="E15" i="17"/>
  <c r="F15" i="19"/>
  <c r="F16" i="18"/>
  <c r="F15" i="17"/>
  <c r="G15" i="17"/>
  <c r="G16" i="18"/>
  <c r="G15" i="19"/>
  <c r="E16" i="19" l="1"/>
  <c r="C17" i="19"/>
  <c r="E17" i="18"/>
  <c r="C18" i="18"/>
  <c r="E16" i="17"/>
  <c r="C17" i="17"/>
  <c r="F16" i="19"/>
  <c r="F17" i="18"/>
  <c r="F16" i="17"/>
  <c r="G16" i="17"/>
  <c r="G17" i="18"/>
  <c r="G16" i="19"/>
  <c r="C18" i="19" l="1"/>
  <c r="E17" i="19"/>
  <c r="C19" i="18"/>
  <c r="E18" i="18"/>
  <c r="C18" i="17"/>
  <c r="E17" i="17"/>
  <c r="F17" i="19"/>
  <c r="F18" i="18"/>
  <c r="F17" i="17"/>
  <c r="G17" i="17"/>
  <c r="G18" i="18"/>
  <c r="G17" i="19"/>
  <c r="E18" i="19" l="1"/>
  <c r="C19" i="19"/>
  <c r="C20" i="18"/>
  <c r="E19" i="18"/>
  <c r="E18" i="17"/>
  <c r="C19" i="17"/>
  <c r="F18" i="19"/>
  <c r="F19" i="18"/>
  <c r="F18" i="17"/>
  <c r="G18" i="17"/>
  <c r="G19" i="18"/>
  <c r="G18" i="19"/>
  <c r="E19" i="19" l="1"/>
  <c r="C20" i="19"/>
  <c r="E20" i="18"/>
  <c r="C21" i="18"/>
  <c r="E19" i="17"/>
  <c r="C20" i="17"/>
  <c r="F19" i="19"/>
  <c r="F20" i="18"/>
  <c r="F19" i="17"/>
  <c r="G19" i="17"/>
  <c r="G20" i="18"/>
  <c r="G19" i="19"/>
  <c r="C21" i="19" l="1"/>
  <c r="E20" i="19"/>
  <c r="C22" i="18"/>
  <c r="E21" i="18"/>
  <c r="C21" i="17"/>
  <c r="E20" i="17"/>
  <c r="F20" i="19"/>
  <c r="F21" i="18"/>
  <c r="F20" i="17"/>
  <c r="G20" i="17"/>
  <c r="G21" i="18"/>
  <c r="G20" i="19"/>
  <c r="E21" i="19" l="1"/>
  <c r="C22" i="19"/>
  <c r="C23" i="18"/>
  <c r="E22" i="18"/>
  <c r="E21" i="17"/>
  <c r="C22" i="17"/>
  <c r="F21" i="19"/>
  <c r="F22" i="18"/>
  <c r="F21" i="17"/>
  <c r="G21" i="17"/>
  <c r="G22" i="18"/>
  <c r="G21" i="19"/>
  <c r="E22" i="19" l="1"/>
  <c r="C23" i="19"/>
  <c r="C24" i="18"/>
  <c r="E23" i="18"/>
  <c r="E22" i="17"/>
  <c r="C23" i="17"/>
  <c r="F22" i="19"/>
  <c r="F23" i="18"/>
  <c r="F22" i="17"/>
  <c r="G22" i="17"/>
  <c r="G23" i="18"/>
  <c r="G22" i="19"/>
  <c r="C24" i="19" l="1"/>
  <c r="E23" i="19"/>
  <c r="E24" i="18"/>
  <c r="C25" i="18"/>
  <c r="C24" i="17"/>
  <c r="E23" i="17"/>
  <c r="F23" i="19"/>
  <c r="F24" i="18"/>
  <c r="F23" i="17"/>
  <c r="G23" i="17"/>
  <c r="G24" i="18"/>
  <c r="G23" i="19"/>
  <c r="E24" i="19" l="1"/>
  <c r="C25" i="19"/>
  <c r="E25" i="18"/>
  <c r="C26" i="18"/>
  <c r="E24" i="17"/>
  <c r="C25" i="17"/>
  <c r="F24" i="19"/>
  <c r="F25" i="18"/>
  <c r="F24" i="17"/>
  <c r="G24" i="17"/>
  <c r="G25" i="18"/>
  <c r="G24" i="19"/>
  <c r="C26" i="19" l="1"/>
  <c r="E25" i="19"/>
  <c r="C27" i="18"/>
  <c r="E26" i="18"/>
  <c r="C26" i="17"/>
  <c r="E25" i="17"/>
  <c r="F25" i="19"/>
  <c r="F26" i="18"/>
  <c r="F25" i="17"/>
  <c r="G25" i="17"/>
  <c r="G26" i="18"/>
  <c r="G25" i="19"/>
  <c r="E26" i="19" l="1"/>
  <c r="C27" i="19"/>
  <c r="C28" i="18"/>
  <c r="E27" i="18"/>
  <c r="E26" i="17"/>
  <c r="C27" i="17"/>
  <c r="F26" i="19"/>
  <c r="F27" i="18"/>
  <c r="F26" i="17"/>
  <c r="G26" i="17"/>
  <c r="G27" i="18"/>
  <c r="G26" i="19"/>
  <c r="E27" i="19" l="1"/>
  <c r="C28" i="19"/>
  <c r="E28" i="18"/>
  <c r="C29" i="18"/>
  <c r="E27" i="17"/>
  <c r="C28" i="17"/>
  <c r="F27" i="19"/>
  <c r="F28" i="18"/>
  <c r="F27" i="17"/>
  <c r="G27" i="17"/>
  <c r="G28" i="18"/>
  <c r="G27" i="19"/>
  <c r="C29" i="19" l="1"/>
  <c r="E28" i="19"/>
  <c r="E29" i="18"/>
  <c r="C30" i="18"/>
  <c r="C29" i="17"/>
  <c r="E28" i="17"/>
  <c r="F28" i="19"/>
  <c r="F29" i="18"/>
  <c r="F28" i="17"/>
  <c r="G28" i="17"/>
  <c r="G29" i="18"/>
  <c r="G28" i="19"/>
  <c r="E29" i="19" l="1"/>
  <c r="C30" i="19"/>
  <c r="C31" i="18"/>
  <c r="E30" i="18"/>
  <c r="C30" i="17"/>
  <c r="E29" i="17"/>
  <c r="F29" i="19"/>
  <c r="F30" i="18"/>
  <c r="F29" i="17"/>
  <c r="G29" i="17"/>
  <c r="G30" i="18"/>
  <c r="G29" i="19"/>
  <c r="E30" i="19" l="1"/>
  <c r="C31" i="19"/>
  <c r="C32" i="18"/>
  <c r="E31" i="18"/>
  <c r="E30" i="17"/>
  <c r="C31" i="17"/>
  <c r="F30" i="19"/>
  <c r="F31" i="18"/>
  <c r="F30" i="17"/>
  <c r="G30" i="17"/>
  <c r="G31" i="18"/>
  <c r="G30" i="19"/>
  <c r="C32" i="19" l="1"/>
  <c r="E31" i="19"/>
  <c r="E32" i="18"/>
  <c r="C33" i="18"/>
  <c r="C32" i="17"/>
  <c r="E31" i="17"/>
  <c r="F31" i="19"/>
  <c r="F32" i="18"/>
  <c r="F31" i="17"/>
  <c r="G31" i="17"/>
  <c r="G32" i="18"/>
  <c r="G31" i="19"/>
  <c r="E32" i="19" l="1"/>
  <c r="C33" i="19"/>
  <c r="E33" i="18"/>
  <c r="C34" i="18"/>
  <c r="E32" i="17"/>
  <c r="C33" i="17"/>
  <c r="F32" i="19"/>
  <c r="F33" i="18"/>
  <c r="F32" i="17"/>
  <c r="G32" i="17"/>
  <c r="G33" i="18"/>
  <c r="G32" i="19"/>
  <c r="C34" i="19" l="1"/>
  <c r="E33" i="19"/>
  <c r="C35" i="18"/>
  <c r="E34" i="18"/>
  <c r="C34" i="17"/>
  <c r="E33" i="17"/>
  <c r="F33" i="19"/>
  <c r="F34" i="18"/>
  <c r="F33" i="17"/>
  <c r="G33" i="17"/>
  <c r="G34" i="18"/>
  <c r="G33" i="19"/>
  <c r="E34" i="19" l="1"/>
  <c r="C35" i="19"/>
  <c r="E35" i="18"/>
  <c r="C36" i="18"/>
  <c r="E34" i="17"/>
  <c r="C35" i="17"/>
  <c r="F34" i="19"/>
  <c r="F35" i="18"/>
  <c r="F34" i="17"/>
  <c r="G34" i="17"/>
  <c r="G35" i="18"/>
  <c r="G34" i="19"/>
  <c r="E35" i="19" l="1"/>
  <c r="C36" i="19"/>
  <c r="E36" i="18"/>
  <c r="C37" i="18"/>
  <c r="E35" i="17"/>
  <c r="C36" i="17"/>
  <c r="F35" i="19"/>
  <c r="F36" i="18"/>
  <c r="F35" i="17"/>
  <c r="G35" i="17"/>
  <c r="G36" i="18"/>
  <c r="G35" i="19"/>
  <c r="C37" i="19" l="1"/>
  <c r="E36" i="19"/>
  <c r="E37" i="18"/>
  <c r="C38" i="18"/>
  <c r="C37" i="17"/>
  <c r="E36" i="17"/>
  <c r="F36" i="19"/>
  <c r="F37" i="18"/>
  <c r="F36" i="17"/>
  <c r="G36" i="17"/>
  <c r="G37" i="18"/>
  <c r="G36" i="19"/>
  <c r="E37" i="19" l="1"/>
  <c r="C38" i="19"/>
  <c r="E38" i="18"/>
  <c r="C39" i="18"/>
  <c r="C38" i="17"/>
  <c r="E37" i="17"/>
  <c r="F37" i="19"/>
  <c r="F38" i="18"/>
  <c r="F37" i="17"/>
  <c r="G37" i="17"/>
  <c r="G38" i="18"/>
  <c r="G37" i="19"/>
  <c r="C39" i="19" l="1"/>
  <c r="E38" i="19"/>
  <c r="E39" i="18"/>
  <c r="C40" i="18"/>
  <c r="E40" i="18" s="1"/>
  <c r="E38" i="17"/>
  <c r="C39" i="17"/>
  <c r="F38" i="19"/>
  <c r="F39" i="18"/>
  <c r="F40" i="18"/>
  <c r="G40" i="18" s="1"/>
  <c r="F38" i="17"/>
  <c r="G38" i="17"/>
  <c r="F2" i="18"/>
  <c r="G2" i="18" s="1"/>
  <c r="G39" i="18"/>
  <c r="G38" i="19"/>
  <c r="C40" i="19" l="1"/>
  <c r="E40" i="19" s="1"/>
  <c r="E39" i="19"/>
  <c r="C40" i="17"/>
  <c r="E40" i="17" s="1"/>
  <c r="E39" i="17"/>
  <c r="D9" i="16"/>
  <c r="F6" i="15"/>
  <c r="F7" i="15"/>
  <c r="F8" i="15"/>
  <c r="F9" i="15"/>
  <c r="F10" i="15"/>
  <c r="F11" i="15"/>
  <c r="F12" i="15"/>
  <c r="F13" i="15"/>
  <c r="F14" i="15"/>
  <c r="F15" i="15"/>
  <c r="F16" i="15"/>
  <c r="F17" i="15"/>
  <c r="F18" i="15"/>
  <c r="F19" i="15"/>
  <c r="F20" i="15"/>
  <c r="F21" i="15"/>
  <c r="F22" i="15"/>
  <c r="F23" i="15"/>
  <c r="F24" i="15"/>
  <c r="F25" i="15"/>
  <c r="F26" i="15"/>
  <c r="F27" i="15"/>
  <c r="F28" i="15"/>
  <c r="F29" i="15"/>
  <c r="F30" i="15"/>
  <c r="F31" i="15"/>
  <c r="F32" i="15"/>
  <c r="F33" i="15"/>
  <c r="F34" i="15"/>
  <c r="F35" i="15"/>
  <c r="F36" i="15"/>
  <c r="F37" i="15"/>
  <c r="F38" i="15"/>
  <c r="F39" i="15"/>
  <c r="F40" i="15"/>
  <c r="F41" i="15"/>
  <c r="F42" i="15"/>
  <c r="F43" i="15"/>
  <c r="F44" i="15"/>
  <c r="F45" i="15"/>
  <c r="F46" i="15"/>
  <c r="F47" i="15"/>
  <c r="F48" i="15"/>
  <c r="F49" i="15"/>
  <c r="F50" i="15"/>
  <c r="F51" i="15"/>
  <c r="F52" i="15"/>
  <c r="F53" i="15"/>
  <c r="F54" i="15"/>
  <c r="F55" i="15"/>
  <c r="F56" i="15"/>
  <c r="F57" i="15"/>
  <c r="F58" i="15"/>
  <c r="F59" i="15"/>
  <c r="F60" i="15"/>
  <c r="F61" i="15"/>
  <c r="F62" i="15"/>
  <c r="F63" i="15"/>
  <c r="F64" i="15"/>
  <c r="F65" i="15"/>
  <c r="F66" i="15"/>
  <c r="F6" i="14"/>
  <c r="F7" i="14"/>
  <c r="F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26" i="14"/>
  <c r="F27" i="14"/>
  <c r="F28" i="14"/>
  <c r="F29" i="14"/>
  <c r="F30" i="14"/>
  <c r="F31" i="14"/>
  <c r="F32" i="14"/>
  <c r="F33" i="14"/>
  <c r="F34" i="14"/>
  <c r="F35" i="14"/>
  <c r="F36" i="14"/>
  <c r="F37" i="14"/>
  <c r="F38" i="14"/>
  <c r="F39" i="14"/>
  <c r="F40" i="14"/>
  <c r="F41" i="14"/>
  <c r="F42" i="14"/>
  <c r="F43" i="14"/>
  <c r="F44" i="14"/>
  <c r="F45" i="14"/>
  <c r="F46" i="14"/>
  <c r="F47" i="14"/>
  <c r="F48" i="14"/>
  <c r="F49" i="14"/>
  <c r="F50" i="14"/>
  <c r="F51" i="14"/>
  <c r="F52" i="14"/>
  <c r="F53" i="14"/>
  <c r="F54" i="14"/>
  <c r="F55" i="14"/>
  <c r="F56" i="14"/>
  <c r="F57" i="14"/>
  <c r="F58" i="14"/>
  <c r="F59" i="14"/>
  <c r="F60" i="14"/>
  <c r="F61" i="14"/>
  <c r="F62" i="14"/>
  <c r="F63" i="14"/>
  <c r="F64" i="14"/>
  <c r="F65" i="14"/>
  <c r="F66" i="14"/>
  <c r="F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F38" i="13"/>
  <c r="F39" i="13"/>
  <c r="F40" i="13"/>
  <c r="F41" i="13"/>
  <c r="F42" i="13"/>
  <c r="F43" i="13"/>
  <c r="F44" i="13"/>
  <c r="F45" i="13"/>
  <c r="F46" i="13"/>
  <c r="F47" i="13"/>
  <c r="F48" i="13"/>
  <c r="F49" i="13"/>
  <c r="F50" i="13"/>
  <c r="F51" i="13"/>
  <c r="F52" i="13"/>
  <c r="F53" i="13"/>
  <c r="F54" i="13"/>
  <c r="F55" i="13"/>
  <c r="F56" i="13"/>
  <c r="F57" i="13"/>
  <c r="F58" i="13"/>
  <c r="F59" i="13"/>
  <c r="F60" i="13"/>
  <c r="F61" i="13"/>
  <c r="F62" i="13"/>
  <c r="F63" i="13"/>
  <c r="F64" i="13"/>
  <c r="F65" i="13"/>
  <c r="F66" i="13"/>
  <c r="E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F40" i="19"/>
  <c r="G40" i="19" s="1"/>
  <c r="F39" i="19"/>
  <c r="F39" i="17"/>
  <c r="F40" i="17"/>
  <c r="G40" i="17" s="1"/>
  <c r="B1" i="16"/>
  <c r="G7" i="15"/>
  <c r="G15" i="15"/>
  <c r="G23" i="15"/>
  <c r="G31" i="15"/>
  <c r="G39" i="15"/>
  <c r="G47" i="15"/>
  <c r="G55" i="15"/>
  <c r="G63" i="15"/>
  <c r="G13" i="15"/>
  <c r="G29" i="15"/>
  <c r="G37" i="15"/>
  <c r="G45" i="15"/>
  <c r="G53" i="15"/>
  <c r="G61" i="15"/>
  <c r="G25" i="15"/>
  <c r="G33" i="15"/>
  <c r="G65" i="15"/>
  <c r="G28" i="15"/>
  <c r="H28" i="15" s="1"/>
  <c r="G44" i="15"/>
  <c r="H44" i="15" s="1"/>
  <c r="H65" i="15"/>
  <c r="H7" i="15"/>
  <c r="G10" i="15"/>
  <c r="H15" i="15"/>
  <c r="G18" i="15"/>
  <c r="H23" i="15"/>
  <c r="G26" i="15"/>
  <c r="H31" i="15"/>
  <c r="G34" i="15"/>
  <c r="H34" i="15" s="1"/>
  <c r="H39" i="15"/>
  <c r="G42" i="15"/>
  <c r="H47" i="15"/>
  <c r="G50" i="15"/>
  <c r="H55" i="15"/>
  <c r="G58" i="15"/>
  <c r="H63" i="15"/>
  <c r="G66" i="15"/>
  <c r="H66" i="15" s="1"/>
  <c r="H10" i="15"/>
  <c r="H18" i="15"/>
  <c r="G21" i="15"/>
  <c r="H26" i="15"/>
  <c r="H42" i="15"/>
  <c r="H50" i="15"/>
  <c r="H58" i="15"/>
  <c r="G9" i="15"/>
  <c r="G49" i="15"/>
  <c r="G12" i="15"/>
  <c r="H12" i="15" s="1"/>
  <c r="H25" i="15"/>
  <c r="G60" i="15"/>
  <c r="H60" i="15" s="1"/>
  <c r="G8" i="15"/>
  <c r="H13" i="15"/>
  <c r="G16" i="15"/>
  <c r="H21" i="15"/>
  <c r="G24" i="15"/>
  <c r="H29" i="15"/>
  <c r="G32" i="15"/>
  <c r="H37" i="15"/>
  <c r="G40" i="15"/>
  <c r="H45" i="15"/>
  <c r="G48" i="15"/>
  <c r="H53" i="15"/>
  <c r="G56" i="15"/>
  <c r="H61" i="15"/>
  <c r="G64" i="15"/>
  <c r="G51" i="15"/>
  <c r="G59" i="15"/>
  <c r="G14" i="15"/>
  <c r="G22" i="15"/>
  <c r="H22" i="15" s="1"/>
  <c r="G30" i="15"/>
  <c r="H30" i="15" s="1"/>
  <c r="G54" i="15"/>
  <c r="H59" i="15"/>
  <c r="H14" i="15"/>
  <c r="G41" i="15"/>
  <c r="H41" i="15" s="1"/>
  <c r="G57" i="15"/>
  <c r="H57" i="15" s="1"/>
  <c r="G20" i="15"/>
  <c r="H20" i="15" s="1"/>
  <c r="G36" i="15"/>
  <c r="H36" i="15" s="1"/>
  <c r="G52" i="15"/>
  <c r="H52" i="15" s="1"/>
  <c r="H8" i="15"/>
  <c r="G11" i="15"/>
  <c r="H16" i="15"/>
  <c r="G19" i="15"/>
  <c r="H19" i="15" s="1"/>
  <c r="H24" i="15"/>
  <c r="G27" i="15"/>
  <c r="H32" i="15"/>
  <c r="G35" i="15"/>
  <c r="H35" i="15" s="1"/>
  <c r="H40" i="15"/>
  <c r="G43" i="15"/>
  <c r="H43" i="15" s="1"/>
  <c r="H48" i="15"/>
  <c r="H56" i="15"/>
  <c r="H64" i="15"/>
  <c r="H11" i="15"/>
  <c r="H27" i="15"/>
  <c r="G38" i="15"/>
  <c r="G46" i="15"/>
  <c r="H46" i="15" s="1"/>
  <c r="H51" i="15"/>
  <c r="G62" i="15"/>
  <c r="H62" i="15" s="1"/>
  <c r="G17" i="15"/>
  <c r="H38" i="15"/>
  <c r="H54" i="15"/>
  <c r="H9" i="15"/>
  <c r="H17" i="15"/>
  <c r="H33" i="15"/>
  <c r="H49" i="15"/>
  <c r="G12" i="14"/>
  <c r="G20" i="14"/>
  <c r="G28" i="14"/>
  <c r="G36" i="14"/>
  <c r="G44" i="14"/>
  <c r="G52" i="14"/>
  <c r="G60" i="14"/>
  <c r="G18" i="14"/>
  <c r="G26" i="14"/>
  <c r="G50" i="14"/>
  <c r="H18" i="14"/>
  <c r="G21" i="14"/>
  <c r="H50" i="14"/>
  <c r="G7" i="14"/>
  <c r="H7" i="14" s="1"/>
  <c r="H12" i="14"/>
  <c r="G15" i="14"/>
  <c r="H15" i="14" s="1"/>
  <c r="H20" i="14"/>
  <c r="G23" i="14"/>
  <c r="H23" i="14" s="1"/>
  <c r="H28" i="14"/>
  <c r="G31" i="14"/>
  <c r="H31" i="14" s="1"/>
  <c r="H36" i="14"/>
  <c r="G39" i="14"/>
  <c r="H39" i="14" s="1"/>
  <c r="H44" i="14"/>
  <c r="G47" i="14"/>
  <c r="H52" i="14"/>
  <c r="G55" i="14"/>
  <c r="H55" i="14" s="1"/>
  <c r="H60" i="14"/>
  <c r="G63" i="14"/>
  <c r="G10" i="14"/>
  <c r="H10" i="14" s="1"/>
  <c r="G34" i="14"/>
  <c r="H34" i="14" s="1"/>
  <c r="G42" i="14"/>
  <c r="H47" i="14"/>
  <c r="G58" i="14"/>
  <c r="G37" i="14"/>
  <c r="G53" i="14"/>
  <c r="G8" i="14"/>
  <c r="G16" i="14"/>
  <c r="H21" i="14"/>
  <c r="G24" i="14"/>
  <c r="G32" i="14"/>
  <c r="H37" i="14"/>
  <c r="G40" i="14"/>
  <c r="G48" i="14"/>
  <c r="H53" i="14"/>
  <c r="G56" i="14"/>
  <c r="G64" i="14"/>
  <c r="G19" i="14"/>
  <c r="H24" i="14"/>
  <c r="G27" i="14"/>
  <c r="H32" i="14"/>
  <c r="H40" i="14"/>
  <c r="G43" i="14"/>
  <c r="H48" i="14"/>
  <c r="G51" i="14"/>
  <c r="H56" i="14"/>
  <c r="G59" i="14"/>
  <c r="H64" i="14"/>
  <c r="G14" i="14"/>
  <c r="H19" i="14"/>
  <c r="G22" i="14"/>
  <c r="H27" i="14"/>
  <c r="G30" i="14"/>
  <c r="G38" i="14"/>
  <c r="H43" i="14"/>
  <c r="G46" i="14"/>
  <c r="G54" i="14"/>
  <c r="H59" i="14"/>
  <c r="G9" i="14"/>
  <c r="H9" i="14" s="1"/>
  <c r="H14" i="14"/>
  <c r="G17" i="14"/>
  <c r="H17" i="14" s="1"/>
  <c r="G25" i="14"/>
  <c r="H25" i="14" s="1"/>
  <c r="H30" i="14"/>
  <c r="H38" i="14"/>
  <c r="H46" i="14"/>
  <c r="H54" i="14"/>
  <c r="H63" i="14"/>
  <c r="G66" i="14"/>
  <c r="H66" i="14" s="1"/>
  <c r="H26" i="14"/>
  <c r="G45" i="14"/>
  <c r="H45" i="14" s="1"/>
  <c r="H58" i="14"/>
  <c r="H8" i="14"/>
  <c r="G11" i="14"/>
  <c r="H16" i="14"/>
  <c r="G35" i="14"/>
  <c r="H35" i="14" s="1"/>
  <c r="H11" i="14"/>
  <c r="H51" i="14"/>
  <c r="G62" i="14"/>
  <c r="H62" i="14" s="1"/>
  <c r="H22" i="14"/>
  <c r="G33" i="14"/>
  <c r="H33" i="14" s="1"/>
  <c r="G41" i="14"/>
  <c r="H41" i="14" s="1"/>
  <c r="G49" i="14"/>
  <c r="H49" i="14" s="1"/>
  <c r="G57" i="14"/>
  <c r="H57" i="14" s="1"/>
  <c r="G65" i="14"/>
  <c r="H65" i="14" s="1"/>
  <c r="G13" i="14"/>
  <c r="H13" i="14" s="1"/>
  <c r="G29" i="14"/>
  <c r="H29" i="14" s="1"/>
  <c r="H42" i="14"/>
  <c r="G61" i="14"/>
  <c r="H61" i="14" s="1"/>
  <c r="G7" i="13"/>
  <c r="G15" i="13"/>
  <c r="G23" i="13"/>
  <c r="G31" i="13"/>
  <c r="G39" i="13"/>
  <c r="G47" i="13"/>
  <c r="G55" i="13"/>
  <c r="G63" i="13"/>
  <c r="H7" i="13"/>
  <c r="G10" i="13"/>
  <c r="H15" i="13"/>
  <c r="G18" i="13"/>
  <c r="H23" i="13"/>
  <c r="G26" i="13"/>
  <c r="H31" i="13"/>
  <c r="G34" i="13"/>
  <c r="H39" i="13"/>
  <c r="G42" i="13"/>
  <c r="H47" i="13"/>
  <c r="G50" i="13"/>
  <c r="H55" i="13"/>
  <c r="G58" i="13"/>
  <c r="H63" i="13"/>
  <c r="G66" i="13"/>
  <c r="H10" i="13"/>
  <c r="G13" i="13"/>
  <c r="H18" i="13"/>
  <c r="G21" i="13"/>
  <c r="H26" i="13"/>
  <c r="G29" i="13"/>
  <c r="H34" i="13"/>
  <c r="G37" i="13"/>
  <c r="G8" i="13"/>
  <c r="H13" i="13"/>
  <c r="G16" i="13"/>
  <c r="H21" i="13"/>
  <c r="G24" i="13"/>
  <c r="H29" i="13"/>
  <c r="G32" i="13"/>
  <c r="H37" i="13"/>
  <c r="G40" i="13"/>
  <c r="G48" i="13"/>
  <c r="G56" i="13"/>
  <c r="G64" i="13"/>
  <c r="H48" i="13"/>
  <c r="G51" i="13"/>
  <c r="H56" i="13"/>
  <c r="G59" i="13"/>
  <c r="H64" i="13"/>
  <c r="G30" i="13"/>
  <c r="G38" i="13"/>
  <c r="H51" i="13"/>
  <c r="G62" i="13"/>
  <c r="G17" i="13"/>
  <c r="G25" i="13"/>
  <c r="G33" i="13"/>
  <c r="G41" i="13"/>
  <c r="G65" i="13"/>
  <c r="G12" i="13"/>
  <c r="H12" i="13" s="1"/>
  <c r="H17" i="13"/>
  <c r="G36" i="13"/>
  <c r="H36" i="13" s="1"/>
  <c r="H41" i="13"/>
  <c r="G44" i="13"/>
  <c r="H44" i="13" s="1"/>
  <c r="H65" i="13"/>
  <c r="H42" i="13"/>
  <c r="H50" i="13"/>
  <c r="G53" i="13"/>
  <c r="H53" i="13" s="1"/>
  <c r="H66" i="13"/>
  <c r="H8" i="13"/>
  <c r="G11" i="13"/>
  <c r="H16" i="13"/>
  <c r="G19" i="13"/>
  <c r="H24" i="13"/>
  <c r="G27" i="13"/>
  <c r="H32" i="13"/>
  <c r="G35" i="13"/>
  <c r="H40" i="13"/>
  <c r="G43" i="13"/>
  <c r="H43" i="13" s="1"/>
  <c r="H11" i="13"/>
  <c r="G14" i="13"/>
  <c r="H14" i="13" s="1"/>
  <c r="H19" i="13"/>
  <c r="G22" i="13"/>
  <c r="H22" i="13" s="1"/>
  <c r="H27" i="13"/>
  <c r="H35" i="13"/>
  <c r="G46" i="13"/>
  <c r="H46" i="13" s="1"/>
  <c r="G54" i="13"/>
  <c r="H54" i="13" s="1"/>
  <c r="H59" i="13"/>
  <c r="G9" i="13"/>
  <c r="H9" i="13" s="1"/>
  <c r="H30" i="13"/>
  <c r="H38" i="13"/>
  <c r="G49" i="13"/>
  <c r="H49" i="13" s="1"/>
  <c r="G57" i="13"/>
  <c r="H57" i="13" s="1"/>
  <c r="H62" i="13"/>
  <c r="G20" i="13"/>
  <c r="H20" i="13" s="1"/>
  <c r="H25" i="13"/>
  <c r="G28" i="13"/>
  <c r="H28" i="13" s="1"/>
  <c r="H33" i="13"/>
  <c r="G52" i="13"/>
  <c r="H52" i="13" s="1"/>
  <c r="G60" i="13"/>
  <c r="H60" i="13" s="1"/>
  <c r="G45" i="13"/>
  <c r="H45" i="13" s="1"/>
  <c r="H58" i="13"/>
  <c r="G61" i="13"/>
  <c r="H61" i="13" s="1"/>
  <c r="F6" i="12"/>
  <c r="F9" i="12"/>
  <c r="F17" i="12"/>
  <c r="G9" i="12"/>
  <c r="F12" i="12"/>
  <c r="G17" i="12"/>
  <c r="F20" i="12"/>
  <c r="G20" i="12"/>
  <c r="F7" i="12"/>
  <c r="G12" i="12"/>
  <c r="F15" i="12"/>
  <c r="G7" i="12"/>
  <c r="F10" i="12"/>
  <c r="G15" i="12"/>
  <c r="F18" i="12"/>
  <c r="G10" i="12"/>
  <c r="F13" i="12"/>
  <c r="G18" i="12"/>
  <c r="F8" i="12"/>
  <c r="G13" i="12"/>
  <c r="F16" i="12"/>
  <c r="G8" i="12"/>
  <c r="F11" i="12"/>
  <c r="G16" i="12"/>
  <c r="F19" i="12"/>
  <c r="G19" i="12" s="1"/>
  <c r="G11" i="12"/>
  <c r="F14" i="12"/>
  <c r="G6" i="12"/>
  <c r="G14" i="12"/>
  <c r="G6" i="15"/>
  <c r="H6" i="15" s="1"/>
  <c r="G6" i="14"/>
  <c r="H6" i="14" s="1"/>
  <c r="G6" i="13"/>
  <c r="H6" i="13" s="1"/>
  <c r="F5" i="12"/>
  <c r="G5" i="12" s="1"/>
  <c r="F2" i="17"/>
  <c r="G2" i="17" s="1"/>
  <c r="G39" i="17"/>
  <c r="F2" i="19"/>
  <c r="G2" i="19" s="1"/>
  <c r="G39" i="19"/>
  <c r="D9" i="11" l="1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5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B1" i="11"/>
  <c r="G7" i="10"/>
  <c r="G15" i="10"/>
  <c r="G23" i="10"/>
  <c r="G31" i="10"/>
  <c r="G39" i="10"/>
  <c r="G47" i="10"/>
  <c r="G55" i="10"/>
  <c r="G63" i="10"/>
  <c r="G13" i="10"/>
  <c r="G45" i="10"/>
  <c r="G61" i="10"/>
  <c r="G54" i="10"/>
  <c r="G25" i="10"/>
  <c r="G65" i="10"/>
  <c r="G12" i="10"/>
  <c r="H12" i="10" s="1"/>
  <c r="H25" i="10"/>
  <c r="G28" i="10"/>
  <c r="H28" i="10" s="1"/>
  <c r="G44" i="10"/>
  <c r="H44" i="10" s="1"/>
  <c r="H7" i="10"/>
  <c r="G10" i="10"/>
  <c r="H15" i="10"/>
  <c r="G18" i="10"/>
  <c r="H23" i="10"/>
  <c r="G26" i="10"/>
  <c r="H31" i="10"/>
  <c r="G34" i="10"/>
  <c r="H34" i="10" s="1"/>
  <c r="H39" i="10"/>
  <c r="G42" i="10"/>
  <c r="H47" i="10"/>
  <c r="G50" i="10"/>
  <c r="H50" i="10" s="1"/>
  <c r="H55" i="10"/>
  <c r="G58" i="10"/>
  <c r="H63" i="10"/>
  <c r="G66" i="10"/>
  <c r="H66" i="10" s="1"/>
  <c r="H10" i="10"/>
  <c r="H18" i="10"/>
  <c r="G21" i="10"/>
  <c r="H26" i="10"/>
  <c r="G29" i="10"/>
  <c r="G37" i="10"/>
  <c r="H42" i="10"/>
  <c r="G53" i="10"/>
  <c r="H58" i="10"/>
  <c r="G9" i="10"/>
  <c r="G41" i="10"/>
  <c r="H41" i="10" s="1"/>
  <c r="H54" i="10"/>
  <c r="H9" i="10"/>
  <c r="G20" i="10"/>
  <c r="H20" i="10" s="1"/>
  <c r="G52" i="10"/>
  <c r="H52" i="10" s="1"/>
  <c r="G8" i="10"/>
  <c r="H13" i="10"/>
  <c r="G16" i="10"/>
  <c r="H21" i="10"/>
  <c r="G24" i="10"/>
  <c r="H29" i="10"/>
  <c r="G32" i="10"/>
  <c r="H37" i="10"/>
  <c r="G40" i="10"/>
  <c r="H45" i="10"/>
  <c r="G48" i="10"/>
  <c r="H53" i="10"/>
  <c r="G56" i="10"/>
  <c r="H61" i="10"/>
  <c r="G64" i="10"/>
  <c r="G49" i="10"/>
  <c r="G36" i="10"/>
  <c r="H36" i="10" s="1"/>
  <c r="H49" i="10"/>
  <c r="H65" i="10"/>
  <c r="H8" i="10"/>
  <c r="G11" i="10"/>
  <c r="H16" i="10"/>
  <c r="G19" i="10"/>
  <c r="H24" i="10"/>
  <c r="G27" i="10"/>
  <c r="H32" i="10"/>
  <c r="G35" i="10"/>
  <c r="H40" i="10"/>
  <c r="G43" i="10"/>
  <c r="H43" i="10" s="1"/>
  <c r="H48" i="10"/>
  <c r="G51" i="10"/>
  <c r="H51" i="10" s="1"/>
  <c r="H56" i="10"/>
  <c r="G59" i="10"/>
  <c r="H64" i="10"/>
  <c r="H11" i="10"/>
  <c r="G14" i="10"/>
  <c r="H14" i="10" s="1"/>
  <c r="H19" i="10"/>
  <c r="G22" i="10"/>
  <c r="H22" i="10" s="1"/>
  <c r="H27" i="10"/>
  <c r="G30" i="10"/>
  <c r="H30" i="10" s="1"/>
  <c r="H35" i="10"/>
  <c r="G38" i="10"/>
  <c r="H38" i="10" s="1"/>
  <c r="G46" i="10"/>
  <c r="H46" i="10" s="1"/>
  <c r="H59" i="10"/>
  <c r="G62" i="10"/>
  <c r="H62" i="10" s="1"/>
  <c r="G17" i="10"/>
  <c r="H17" i="10" s="1"/>
  <c r="G33" i="10"/>
  <c r="H33" i="10" s="1"/>
  <c r="G57" i="10"/>
  <c r="H57" i="10" s="1"/>
  <c r="G60" i="10"/>
  <c r="H60" i="10" s="1"/>
  <c r="G7" i="9"/>
  <c r="G15" i="9"/>
  <c r="G23" i="9"/>
  <c r="G31" i="9"/>
  <c r="G39" i="9"/>
  <c r="G47" i="9"/>
  <c r="G55" i="9"/>
  <c r="G63" i="9"/>
  <c r="G13" i="9"/>
  <c r="G21" i="9"/>
  <c r="G29" i="9"/>
  <c r="G53" i="9"/>
  <c r="G28" i="9"/>
  <c r="H28" i="9" s="1"/>
  <c r="G60" i="9"/>
  <c r="H60" i="9" s="1"/>
  <c r="H7" i="9"/>
  <c r="G10" i="9"/>
  <c r="H10" i="9" s="1"/>
  <c r="H15" i="9"/>
  <c r="G18" i="9"/>
  <c r="H23" i="9"/>
  <c r="G26" i="9"/>
  <c r="H26" i="9" s="1"/>
  <c r="H31" i="9"/>
  <c r="G34" i="9"/>
  <c r="H34" i="9" s="1"/>
  <c r="H39" i="9"/>
  <c r="G42" i="9"/>
  <c r="H42" i="9" s="1"/>
  <c r="H47" i="9"/>
  <c r="G50" i="9"/>
  <c r="H55" i="9"/>
  <c r="G58" i="9"/>
  <c r="H58" i="9" s="1"/>
  <c r="H63" i="9"/>
  <c r="G66" i="9"/>
  <c r="H66" i="9" s="1"/>
  <c r="H18" i="9"/>
  <c r="G37" i="9"/>
  <c r="G45" i="9"/>
  <c r="H50" i="9"/>
  <c r="G61" i="9"/>
  <c r="G12" i="9"/>
  <c r="H12" i="9" s="1"/>
  <c r="G52" i="9"/>
  <c r="H52" i="9" s="1"/>
  <c r="G8" i="9"/>
  <c r="H13" i="9"/>
  <c r="G16" i="9"/>
  <c r="H21" i="9"/>
  <c r="G24" i="9"/>
  <c r="H29" i="9"/>
  <c r="G32" i="9"/>
  <c r="H37" i="9"/>
  <c r="G40" i="9"/>
  <c r="H45" i="9"/>
  <c r="G48" i="9"/>
  <c r="H53" i="9"/>
  <c r="G56" i="9"/>
  <c r="H61" i="9"/>
  <c r="G64" i="9"/>
  <c r="G9" i="9"/>
  <c r="G17" i="9"/>
  <c r="G33" i="9"/>
  <c r="H33" i="9" s="1"/>
  <c r="G41" i="9"/>
  <c r="G57" i="9"/>
  <c r="G20" i="9"/>
  <c r="H20" i="9" s="1"/>
  <c r="H41" i="9"/>
  <c r="H8" i="9"/>
  <c r="G11" i="9"/>
  <c r="H16" i="9"/>
  <c r="G19" i="9"/>
  <c r="H24" i="9"/>
  <c r="G27" i="9"/>
  <c r="H32" i="9"/>
  <c r="G35" i="9"/>
  <c r="H40" i="9"/>
  <c r="G43" i="9"/>
  <c r="H48" i="9"/>
  <c r="G51" i="9"/>
  <c r="H56" i="9"/>
  <c r="G59" i="9"/>
  <c r="H64" i="9"/>
  <c r="H11" i="9"/>
  <c r="G14" i="9"/>
  <c r="H19" i="9"/>
  <c r="G22" i="9"/>
  <c r="H22" i="9" s="1"/>
  <c r="H27" i="9"/>
  <c r="G30" i="9"/>
  <c r="H35" i="9"/>
  <c r="G38" i="9"/>
  <c r="H43" i="9"/>
  <c r="G46" i="9"/>
  <c r="H46" i="9" s="1"/>
  <c r="H51" i="9"/>
  <c r="G54" i="9"/>
  <c r="H59" i="9"/>
  <c r="G62" i="9"/>
  <c r="H62" i="9" s="1"/>
  <c r="H14" i="9"/>
  <c r="G25" i="9"/>
  <c r="H30" i="9"/>
  <c r="H38" i="9"/>
  <c r="G49" i="9"/>
  <c r="H49" i="9" s="1"/>
  <c r="H54" i="9"/>
  <c r="G65" i="9"/>
  <c r="H65" i="9" s="1"/>
  <c r="H9" i="9"/>
  <c r="H17" i="9"/>
  <c r="H25" i="9"/>
  <c r="G36" i="9"/>
  <c r="H36" i="9" s="1"/>
  <c r="G44" i="9"/>
  <c r="H44" i="9" s="1"/>
  <c r="H57" i="9"/>
  <c r="G12" i="8"/>
  <c r="G20" i="8"/>
  <c r="G28" i="8"/>
  <c r="G36" i="8"/>
  <c r="G44" i="8"/>
  <c r="G52" i="8"/>
  <c r="G60" i="8"/>
  <c r="G18" i="8"/>
  <c r="G26" i="8"/>
  <c r="G34" i="8"/>
  <c r="G42" i="8"/>
  <c r="G58" i="8"/>
  <c r="G66" i="8"/>
  <c r="G21" i="8"/>
  <c r="H26" i="8"/>
  <c r="G37" i="8"/>
  <c r="G45" i="8"/>
  <c r="G53" i="8"/>
  <c r="H58" i="8"/>
  <c r="G65" i="8"/>
  <c r="H65" i="8" s="1"/>
  <c r="G7" i="8"/>
  <c r="H7" i="8" s="1"/>
  <c r="H12" i="8"/>
  <c r="G15" i="8"/>
  <c r="H20" i="8"/>
  <c r="G23" i="8"/>
  <c r="H28" i="8"/>
  <c r="G31" i="8"/>
  <c r="H31" i="8" s="1"/>
  <c r="H36" i="8"/>
  <c r="G39" i="8"/>
  <c r="H44" i="8"/>
  <c r="G47" i="8"/>
  <c r="H47" i="8" s="1"/>
  <c r="H52" i="8"/>
  <c r="G55" i="8"/>
  <c r="H60" i="8"/>
  <c r="G63" i="8"/>
  <c r="H63" i="8" s="1"/>
  <c r="G10" i="8"/>
  <c r="H10" i="8" s="1"/>
  <c r="H15" i="8"/>
  <c r="H23" i="8"/>
  <c r="H39" i="8"/>
  <c r="G50" i="8"/>
  <c r="H55" i="8"/>
  <c r="G13" i="8"/>
  <c r="H18" i="8"/>
  <c r="G29" i="8"/>
  <c r="H34" i="8"/>
  <c r="H42" i="8"/>
  <c r="H50" i="8"/>
  <c r="G61" i="8"/>
  <c r="H66" i="8"/>
  <c r="G57" i="8"/>
  <c r="H57" i="8" s="1"/>
  <c r="G8" i="8"/>
  <c r="H13" i="8"/>
  <c r="G16" i="8"/>
  <c r="H21" i="8"/>
  <c r="G24" i="8"/>
  <c r="H29" i="8"/>
  <c r="G32" i="8"/>
  <c r="H37" i="8"/>
  <c r="G40" i="8"/>
  <c r="H45" i="8"/>
  <c r="G48" i="8"/>
  <c r="H53" i="8"/>
  <c r="G56" i="8"/>
  <c r="H61" i="8"/>
  <c r="G64" i="8"/>
  <c r="H8" i="8"/>
  <c r="G11" i="8"/>
  <c r="H16" i="8"/>
  <c r="G19" i="8"/>
  <c r="H24" i="8"/>
  <c r="G27" i="8"/>
  <c r="H32" i="8"/>
  <c r="G35" i="8"/>
  <c r="H40" i="8"/>
  <c r="G43" i="8"/>
  <c r="H48" i="8"/>
  <c r="G51" i="8"/>
  <c r="H56" i="8"/>
  <c r="G59" i="8"/>
  <c r="H64" i="8"/>
  <c r="H11" i="8"/>
  <c r="G14" i="8"/>
  <c r="H19" i="8"/>
  <c r="G22" i="8"/>
  <c r="H27" i="8"/>
  <c r="G30" i="8"/>
  <c r="H35" i="8"/>
  <c r="G38" i="8"/>
  <c r="H43" i="8"/>
  <c r="G46" i="8"/>
  <c r="H51" i="8"/>
  <c r="G54" i="8"/>
  <c r="H54" i="8" s="1"/>
  <c r="H59" i="8"/>
  <c r="G62" i="8"/>
  <c r="H62" i="8" s="1"/>
  <c r="G9" i="8"/>
  <c r="H9" i="8" s="1"/>
  <c r="H14" i="8"/>
  <c r="G17" i="8"/>
  <c r="H17" i="8" s="1"/>
  <c r="H22" i="8"/>
  <c r="G25" i="8"/>
  <c r="H25" i="8" s="1"/>
  <c r="H30" i="8"/>
  <c r="G33" i="8"/>
  <c r="H33" i="8" s="1"/>
  <c r="H38" i="8"/>
  <c r="G41" i="8"/>
  <c r="H41" i="8" s="1"/>
  <c r="H46" i="8"/>
  <c r="G49" i="8"/>
  <c r="H49" i="8" s="1"/>
  <c r="F11" i="7"/>
  <c r="F19" i="7"/>
  <c r="F14" i="7"/>
  <c r="F20" i="7"/>
  <c r="F6" i="7"/>
  <c r="G11" i="7"/>
  <c r="F17" i="7"/>
  <c r="F12" i="7"/>
  <c r="F7" i="7"/>
  <c r="G12" i="7"/>
  <c r="F15" i="7"/>
  <c r="G20" i="7"/>
  <c r="F10" i="7"/>
  <c r="G15" i="7"/>
  <c r="F18" i="7"/>
  <c r="G10" i="7"/>
  <c r="F13" i="7"/>
  <c r="G18" i="7"/>
  <c r="F8" i="7"/>
  <c r="G8" i="7" s="1"/>
  <c r="G13" i="7"/>
  <c r="F16" i="7"/>
  <c r="G16" i="7" s="1"/>
  <c r="G6" i="7"/>
  <c r="G14" i="7"/>
  <c r="G17" i="7"/>
  <c r="G7" i="7"/>
  <c r="G19" i="7"/>
  <c r="F9" i="7"/>
  <c r="G9" i="7" s="1"/>
  <c r="F13" i="6"/>
  <c r="F10" i="6"/>
  <c r="F7" i="6"/>
  <c r="H13" i="6"/>
  <c r="F15" i="6"/>
  <c r="G7" i="6"/>
  <c r="H10" i="6"/>
  <c r="F12" i="6"/>
  <c r="F20" i="6"/>
  <c r="H7" i="6"/>
  <c r="F9" i="6"/>
  <c r="G12" i="6"/>
  <c r="H15" i="6"/>
  <c r="F17" i="6"/>
  <c r="G20" i="6"/>
  <c r="I7" i="6"/>
  <c r="G9" i="6"/>
  <c r="H12" i="6"/>
  <c r="G17" i="6"/>
  <c r="H20" i="6"/>
  <c r="F22" i="6"/>
  <c r="H9" i="6"/>
  <c r="F11" i="6"/>
  <c r="H11" i="6" s="1"/>
  <c r="I12" i="6"/>
  <c r="I20" i="6"/>
  <c r="G22" i="6"/>
  <c r="F8" i="6"/>
  <c r="I22" i="6"/>
  <c r="I6" i="6"/>
  <c r="F14" i="6"/>
  <c r="G14" i="6" s="1"/>
  <c r="I14" i="6" s="1"/>
  <c r="H17" i="6"/>
  <c r="F19" i="6"/>
  <c r="F6" i="6"/>
  <c r="H6" i="6" s="1"/>
  <c r="G11" i="6"/>
  <c r="I11" i="6" s="1"/>
  <c r="F16" i="6"/>
  <c r="G16" i="6" s="1"/>
  <c r="I16" i="6" s="1"/>
  <c r="H22" i="6"/>
  <c r="F21" i="6"/>
  <c r="H16" i="6"/>
  <c r="F18" i="6"/>
  <c r="H18" i="6" s="1"/>
  <c r="I9" i="6"/>
  <c r="H14" i="6"/>
  <c r="I17" i="6"/>
  <c r="H8" i="6"/>
  <c r="G13" i="6"/>
  <c r="I13" i="6" s="1"/>
  <c r="G15" i="6"/>
  <c r="I15" i="6" s="1"/>
  <c r="G8" i="6"/>
  <c r="I8" i="6" s="1"/>
  <c r="G10" i="6"/>
  <c r="I10" i="6" s="1"/>
  <c r="G18" i="6"/>
  <c r="I18" i="6" s="1"/>
  <c r="H19" i="6"/>
  <c r="G19" i="6"/>
  <c r="I19" i="6" s="1"/>
  <c r="G21" i="6"/>
  <c r="I21" i="6" s="1"/>
  <c r="H21" i="6"/>
  <c r="G6" i="10"/>
  <c r="H6" i="10" s="1"/>
  <c r="G6" i="9"/>
  <c r="H6" i="9" s="1"/>
  <c r="G6" i="8"/>
  <c r="H6" i="8" s="1"/>
  <c r="F5" i="7"/>
  <c r="G5" i="7" s="1"/>
  <c r="F5" i="6"/>
  <c r="H5" i="6" s="1"/>
  <c r="D8" i="5" l="1"/>
  <c r="D5" i="4"/>
  <c r="D6" i="4"/>
  <c r="D7" i="4"/>
  <c r="D8" i="4"/>
  <c r="D9" i="4"/>
  <c r="D10" i="4"/>
  <c r="D11" i="4"/>
  <c r="D12" i="4"/>
  <c r="C13" i="4"/>
  <c r="D13" i="4"/>
  <c r="C14" i="4"/>
  <c r="D14" i="4"/>
  <c r="C15" i="4"/>
  <c r="D15" i="4"/>
  <c r="C16" i="4"/>
  <c r="D16" i="4"/>
  <c r="C17" i="4"/>
  <c r="D17" i="4"/>
  <c r="D18" i="4"/>
  <c r="D19" i="4"/>
  <c r="D20" i="4"/>
  <c r="D21" i="4"/>
  <c r="D22" i="4"/>
  <c r="D24" i="4"/>
  <c r="B1" i="5"/>
  <c r="E6" i="4"/>
  <c r="E7" i="4"/>
  <c r="F7" i="4"/>
  <c r="E10" i="4"/>
  <c r="E19" i="4"/>
  <c r="F10" i="4"/>
  <c r="F19" i="4"/>
  <c r="E22" i="4"/>
  <c r="E8" i="4"/>
  <c r="E13" i="4"/>
  <c r="E15" i="4"/>
  <c r="E17" i="4"/>
  <c r="F22" i="4"/>
  <c r="F8" i="4"/>
  <c r="E11" i="4"/>
  <c r="F13" i="4"/>
  <c r="F15" i="4"/>
  <c r="F17" i="4"/>
  <c r="E20" i="4"/>
  <c r="F11" i="4"/>
  <c r="F20" i="4"/>
  <c r="F6" i="4"/>
  <c r="E9" i="4"/>
  <c r="E18" i="4"/>
  <c r="F18" i="4" s="1"/>
  <c r="F9" i="4"/>
  <c r="E14" i="4"/>
  <c r="F14" i="4" s="1"/>
  <c r="E16" i="4"/>
  <c r="F16" i="4" s="1"/>
  <c r="E21" i="4"/>
  <c r="F21" i="4" s="1"/>
  <c r="E12" i="4"/>
  <c r="F12" i="4" s="1"/>
  <c r="D25" i="4"/>
  <c r="D26" i="4"/>
  <c r="D28" i="4"/>
  <c r="E26" i="4"/>
  <c r="F26" i="4"/>
  <c r="E25" i="4"/>
  <c r="F25" i="4"/>
  <c r="D29" i="4"/>
  <c r="D30" i="4"/>
  <c r="D31" i="4"/>
  <c r="D32" i="4"/>
  <c r="D33" i="4"/>
  <c r="D34" i="4"/>
  <c r="D35" i="4"/>
  <c r="D36" i="4"/>
  <c r="D37" i="4"/>
  <c r="D38" i="4"/>
  <c r="E30" i="4"/>
  <c r="E38" i="4"/>
  <c r="F30" i="4"/>
  <c r="E33" i="4"/>
  <c r="F38" i="4"/>
  <c r="F33" i="4"/>
  <c r="E36" i="4"/>
  <c r="E31" i="4"/>
  <c r="F36" i="4"/>
  <c r="F31" i="4"/>
  <c r="E34" i="4"/>
  <c r="E29" i="4"/>
  <c r="F34" i="4"/>
  <c r="E37" i="4"/>
  <c r="F29" i="4"/>
  <c r="E32" i="4"/>
  <c r="F37" i="4"/>
  <c r="F32" i="4"/>
  <c r="E35" i="4"/>
  <c r="F35" i="4" s="1"/>
  <c r="E28" i="4"/>
  <c r="F28" i="4" s="1"/>
  <c r="E24" i="4"/>
  <c r="F24" i="4" s="1"/>
  <c r="E5" i="4"/>
  <c r="F5" i="4" s="1"/>
  <c r="G6" i="45" l="1"/>
  <c r="H6" i="45"/>
</calcChain>
</file>

<file path=xl/sharedStrings.xml><?xml version="1.0" encoding="utf-8"?>
<sst xmlns="http://schemas.openxmlformats.org/spreadsheetml/2006/main" count="2978" uniqueCount="227">
  <si>
    <t>1YCapletVolEx</t>
  </si>
  <si>
    <t>6MCapletVolEx</t>
  </si>
  <si>
    <t>3MCapletVolEx</t>
  </si>
  <si>
    <t>1MCapletVolEx</t>
  </si>
  <si>
    <t>3MFutOptionVolEx</t>
  </si>
  <si>
    <t>1YCapletVol</t>
  </si>
  <si>
    <t>6MCapletVol</t>
  </si>
  <si>
    <t>3MCapletVol</t>
  </si>
  <si>
    <t>1MCapletVol</t>
  </si>
  <si>
    <t>3MFutOptionVol</t>
  </si>
  <si>
    <t>SwaptionVol</t>
  </si>
  <si>
    <t>SwaptionATMVol</t>
  </si>
  <si>
    <t>LiborYC1Y</t>
  </si>
  <si>
    <t>LiborYC6M</t>
  </si>
  <si>
    <t>LiborYC3M</t>
  </si>
  <si>
    <t>LiborYC1M</t>
  </si>
  <si>
    <t>LiborYCON</t>
  </si>
  <si>
    <t>iborYC1Y</t>
  </si>
  <si>
    <t>iborYC6M</t>
  </si>
  <si>
    <t>iborYC3M</t>
  </si>
  <si>
    <t>iborYC1M</t>
  </si>
  <si>
    <t>iborYCON</t>
  </si>
  <si>
    <t>YCSTD</t>
  </si>
  <si>
    <t>YC</t>
  </si>
  <si>
    <t>Eur</t>
  </si>
  <si>
    <t>Currency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</si>
  <si>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</si>
  <si>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</si>
  <si>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</si>
  <si>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</si>
  <si>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</si>
  <si>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</si>
  <si>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</si>
  <si>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RelinkableHandles</t>
  </si>
  <si>
    <t>1Y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</si>
  <si>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</si>
  <si>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</si>
  <si>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</si>
  <si>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</si>
  <si>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</si>
  <si>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</si>
  <si>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</si>
  <si>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</si>
  <si>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</si>
  <si>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</si>
  <si>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1M</t>
  </si>
  <si>
    <t>3W</t>
  </si>
  <si>
    <t>2W</t>
  </si>
  <si>
    <t>SW</t>
  </si>
  <si>
    <t>Eonia</t>
  </si>
  <si>
    <t>Eonia2</t>
  </si>
  <si>
    <t>Fwd Yield Curve</t>
  </si>
  <si>
    <t>Tenor</t>
  </si>
  <si>
    <t>ibor</t>
  </si>
  <si>
    <t>FamilyName</t>
  </si>
  <si>
    <t>Yield Curve</t>
  </si>
  <si>
    <t>ibor365</t>
  </si>
  <si>
    <t>60Y</t>
  </si>
  <si>
    <t>59Y</t>
  </si>
  <si>
    <t>58Y</t>
  </si>
  <si>
    <t>57Y</t>
  </si>
  <si>
    <t>56Y</t>
  </si>
  <si>
    <t>55Y</t>
  </si>
  <si>
    <t>54Y</t>
  </si>
  <si>
    <t>53Y</t>
  </si>
  <si>
    <t>52Y</t>
  </si>
  <si>
    <t>51Y</t>
  </si>
  <si>
    <t>50Y</t>
  </si>
  <si>
    <t>49Y</t>
  </si>
  <si>
    <t>48Y</t>
  </si>
  <si>
    <t>47Y</t>
  </si>
  <si>
    <t>46Y</t>
  </si>
  <si>
    <t>45Y</t>
  </si>
  <si>
    <t>44Y</t>
  </si>
  <si>
    <t>43Y</t>
  </si>
  <si>
    <t>42Y</t>
  </si>
  <si>
    <t>41Y</t>
  </si>
  <si>
    <t>40Y</t>
  </si>
  <si>
    <t>39Y</t>
  </si>
  <si>
    <t>38Y</t>
  </si>
  <si>
    <t>37Y</t>
  </si>
  <si>
    <t>36Y</t>
  </si>
  <si>
    <t>35Y</t>
  </si>
  <si>
    <t>34Y</t>
  </si>
  <si>
    <t>33Y</t>
  </si>
  <si>
    <t>32Y</t>
  </si>
  <si>
    <t>31Y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</si>
  <si>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</si>
  <si>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</si>
  <si>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</si>
  <si>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</si>
  <si>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</si>
  <si>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</si>
  <si>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</si>
  <si>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</si>
  <si>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</si>
  <si>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</si>
  <si>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</si>
  <si>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</si>
  <si>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</si>
  <si>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</si>
  <si>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</si>
  <si>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</si>
  <si>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</si>
  <si>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</si>
  <si>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</si>
  <si>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</si>
  <si>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</si>
  <si>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</si>
  <si>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</si>
  <si>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</si>
  <si>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</si>
  <si>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</si>
  <si>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</si>
  <si>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</si>
  <si>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</si>
  <si>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Disc Curve</t>
  </si>
  <si>
    <t>Fwd Curve</t>
  </si>
  <si>
    <t>IsdaFixA</t>
  </si>
  <si>
    <t>FixingType</t>
  </si>
  <si>
    <t>iborSwap</t>
  </si>
  <si>
    <t>IsdaFixB</t>
  </si>
  <si>
    <t>IfrFix</t>
  </si>
  <si>
    <t>EUR</t>
  </si>
  <si>
    <t>Euribor</t>
  </si>
  <si>
    <t>ON</t>
  </si>
  <si>
    <t>Libor</t>
  </si>
  <si>
    <t>LiborSwap</t>
  </si>
  <si>
    <t>EurLibor</t>
  </si>
  <si>
    <t>1L</t>
  </si>
  <si>
    <t>3L</t>
  </si>
  <si>
    <t>USD</t>
  </si>
  <si>
    <t>6L</t>
  </si>
  <si>
    <t>JPY</t>
  </si>
  <si>
    <t>GBP</t>
  </si>
  <si>
    <t>6E</t>
  </si>
  <si>
    <t>1E</t>
  </si>
  <si>
    <t>CHF</t>
  </si>
  <si>
    <t>21M</t>
  </si>
  <si>
    <t>18M</t>
  </si>
  <si>
    <t>15M</t>
  </si>
  <si>
    <t>Length</t>
  </si>
  <si>
    <t>3E</t>
  </si>
  <si>
    <t>12L</t>
  </si>
  <si>
    <t>12E</t>
  </si>
  <si>
    <t>PriceTickValue</t>
  </si>
  <si>
    <t>RateTickValue</t>
  </si>
  <si>
    <t>_Quote</t>
  </si>
  <si>
    <t>QuoteSuffix</t>
  </si>
  <si>
    <t>ADDITIONAL SETTINGS</t>
  </si>
  <si>
    <t>GENERAL SETTINGS</t>
  </si>
  <si>
    <t>EUR_010_BasisSwapQuotes</t>
  </si>
  <si>
    <t>1YD</t>
  </si>
  <si>
    <t>11MD</t>
  </si>
  <si>
    <t>10MD</t>
  </si>
  <si>
    <t>9MD</t>
  </si>
  <si>
    <t>8MD</t>
  </si>
  <si>
    <t>7MD</t>
  </si>
  <si>
    <t>6MD</t>
  </si>
  <si>
    <t>5MD</t>
  </si>
  <si>
    <t>4MD</t>
  </si>
  <si>
    <t>3MD</t>
  </si>
  <si>
    <t>2MD</t>
  </si>
  <si>
    <t>1MD</t>
  </si>
  <si>
    <t>3WD</t>
  </si>
  <si>
    <t>2WD</t>
  </si>
  <si>
    <t>SWD</t>
  </si>
  <si>
    <t>SND</t>
  </si>
  <si>
    <t>TND</t>
  </si>
  <si>
    <t>OND</t>
  </si>
  <si>
    <t>x24F</t>
  </si>
  <si>
    <t>F1</t>
  </si>
  <si>
    <t>TOM12</t>
  </si>
  <si>
    <t>T12</t>
  </si>
  <si>
    <t>TOM6</t>
  </si>
  <si>
    <t>T6</t>
  </si>
  <si>
    <t>x9F</t>
  </si>
  <si>
    <t>x8F</t>
  </si>
  <si>
    <t>x7F</t>
  </si>
  <si>
    <t>x6F</t>
  </si>
  <si>
    <t>x5F</t>
  </si>
  <si>
    <t>x4F</t>
  </si>
  <si>
    <t>TOM3</t>
  </si>
  <si>
    <t>T3</t>
  </si>
  <si>
    <t>TOM1</t>
  </si>
  <si>
    <t>T1</t>
  </si>
  <si>
    <t>Future Code</t>
  </si>
  <si>
    <t>Main Cycle</t>
  </si>
  <si>
    <t>#</t>
  </si>
  <si>
    <t>FUT</t>
  </si>
  <si>
    <t>IMMFRA</t>
  </si>
  <si>
    <t>EUR_010_DepoFRAFuturesQuotes</t>
  </si>
  <si>
    <t>OIS</t>
  </si>
  <si>
    <t>ECB</t>
  </si>
  <si>
    <t>EON</t>
  </si>
  <si>
    <t>X1S</t>
  </si>
  <si>
    <t>1S</t>
  </si>
  <si>
    <t>2S</t>
  </si>
  <si>
    <t>4S</t>
  </si>
  <si>
    <t>3S</t>
  </si>
  <si>
    <t>AM</t>
  </si>
  <si>
    <t>SB</t>
  </si>
  <si>
    <t>AB</t>
  </si>
  <si>
    <t>Conventions</t>
  </si>
  <si>
    <t>Set</t>
  </si>
  <si>
    <t>Main</t>
  </si>
  <si>
    <t>Secondary</t>
  </si>
  <si>
    <t>EUR_010_SwapQuotes</t>
  </si>
  <si>
    <t>TOY2</t>
  </si>
  <si>
    <t>TOY</t>
  </si>
  <si>
    <t>Additional Settings</t>
  </si>
  <si>
    <t>EUR_015_SyntheticQuotes</t>
  </si>
  <si>
    <t>1w</t>
  </si>
  <si>
    <t>Swap index</t>
  </si>
  <si>
    <t>Spread</t>
  </si>
  <si>
    <t>Fwd start</t>
  </si>
  <si>
    <t>EUR_020_ForwardSwapQuotes</t>
  </si>
  <si>
    <t>Quote</t>
  </si>
  <si>
    <t>IborIndex</t>
  </si>
  <si>
    <t>Meanreversion</t>
  </si>
  <si>
    <t>Volatility</t>
  </si>
  <si>
    <t>EUR_020_FuturesConvAdjQuotes</t>
  </si>
  <si>
    <t>-</t>
  </si>
  <si>
    <t>Operator</t>
  </si>
  <si>
    <t>Base Quote</t>
  </si>
  <si>
    <t>+</t>
  </si>
  <si>
    <t>EUR_020_SwapFromBasisQuotes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</si>
</sst>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[$-409]d\-mmm\-yy;@"/>
    <numFmt numFmtId="165" formatCode="ddd\,\ d\-mmm\-yyyy\,\ hh:mm:ss"/>
    <numFmt numFmtId="166" formatCode="#,##0.0;#,##0.0"/>
    <numFmt numFmtId="169" formatCode="General_)"/>
    <numFmt numFmtId="170" formatCode="&quot;£&quot;#,##0;[Red]\-&quot;£&quot;#,##0"/>
    <numFmt numFmtId="171" formatCode="0.0000"/>
    <numFmt numFmtId="172" formatCode="0.0000%"/>
    <numFmt numFmtId="173" formatCode="mm/dd/yy;@"/>
  </numFmts>
  <fonts count="23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Microsoft Sans Serif"/>
      <family val="2"/>
    </font>
    <font>
      <i/>
      <sz val="8"/>
      <name val="Microsoft Sans Serif"/>
      <family val="2"/>
    </font>
    <font>
      <sz val="10"/>
      <name val="MS Sans Serif"/>
      <family val="2"/>
    </font>
    <font>
      <sz val="8"/>
      <name val="Arial"/>
      <family val="2"/>
    </font>
    <font>
      <b/>
      <sz val="12"/>
      <color indexed="16"/>
      <name val="MS Sans Serif"/>
      <family val="2"/>
    </font>
    <font>
      <b/>
      <sz val="12"/>
      <name val="MS Sans Serif"/>
      <family val="2"/>
    </font>
    <font>
      <b/>
      <sz val="10"/>
      <name val="MS Sans Serif"/>
      <family val="2"/>
    </font>
    <font>
      <i/>
      <sz val="8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8"/>
      <name val="Arial"/>
    </font>
    <font>
      <sz val="10"/>
      <name val="Helv"/>
    </font>
    <font>
      <sz val="12"/>
      <name val="Helv"/>
    </font>
    <font>
      <sz val="8"/>
      <color indexed="10"/>
      <name val="Microsoft Sans Serif"/>
      <family val="2"/>
    </font>
    <font>
      <sz val="8"/>
      <color indexed="9"/>
      <name val="Arial"/>
    </font>
    <font>
      <b/>
      <u/>
      <sz val="8"/>
      <name val="Arial"/>
      <family val="2"/>
    </font>
    <font>
      <sz val="10"/>
      <name val="Courier New"/>
      <family val="3"/>
    </font>
    <font>
      <sz val="8"/>
      <name val="Courier New"/>
      <family val="3"/>
    </font>
    <font>
      <i/>
      <sz val="8"/>
      <name val="Courier New"/>
      <family val="3"/>
    </font>
    <font>
      <b/>
      <sz val="8"/>
      <name val="Courier New"/>
      <family val="3"/>
    </font>
    <font>
      <sz val="8"/>
      <color indexed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gray0625">
        <fgColor indexed="22"/>
        <bgColor indexed="9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</fills>
  <borders count="30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5" fillId="0" borderId="0"/>
    <xf numFmtId="166" fontId="6" fillId="5" borderId="0">
      <alignment horizontal="center" vertical="center"/>
    </xf>
    <xf numFmtId="9" fontId="1" fillId="0" borderId="0" applyFont="0" applyFill="0" applyBorder="0" applyAlignment="0" applyProtection="0"/>
    <xf numFmtId="38" fontId="13" fillId="0" borderId="0" applyFont="0" applyFill="0" applyBorder="0" applyAlignment="0" applyProtection="0"/>
    <xf numFmtId="40" fontId="13" fillId="0" borderId="0" applyFont="0" applyFill="0" applyBorder="0" applyAlignment="0" applyProtection="0"/>
    <xf numFmtId="169" fontId="14" fillId="0" borderId="0"/>
    <xf numFmtId="170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0" fontId="12" fillId="0" borderId="0"/>
  </cellStyleXfs>
  <cellXfs count="273">
    <xf numFmtId="0" fontId="0" fillId="0" borderId="0" xfId="0"/>
    <xf numFmtId="0" fontId="1" fillId="2" borderId="0" xfId="1" applyFill="1"/>
    <xf numFmtId="0" fontId="2" fillId="3" borderId="1" xfId="1" applyFont="1" applyFill="1" applyBorder="1"/>
    <xf numFmtId="0" fontId="2" fillId="3" borderId="2" xfId="1" applyFont="1" applyFill="1" applyBorder="1"/>
    <xf numFmtId="0" fontId="2" fillId="3" borderId="3" xfId="1" applyFont="1" applyFill="1" applyBorder="1"/>
    <xf numFmtId="0" fontId="2" fillId="3" borderId="4" xfId="1" applyFont="1" applyFill="1" applyBorder="1"/>
    <xf numFmtId="164" fontId="2" fillId="4" borderId="5" xfId="1" applyNumberFormat="1" applyFont="1" applyFill="1" applyBorder="1" applyAlignment="1" applyProtection="1">
      <alignment horizontal="left"/>
    </xf>
    <xf numFmtId="0" fontId="2" fillId="4" borderId="6" xfId="1" applyNumberFormat="1" applyFont="1" applyFill="1" applyBorder="1" applyAlignment="1" applyProtection="1"/>
    <xf numFmtId="0" fontId="2" fillId="2" borderId="5" xfId="1" applyNumberFormat="1" applyFont="1" applyFill="1" applyBorder="1" applyAlignment="1"/>
    <xf numFmtId="0" fontId="2" fillId="3" borderId="7" xfId="1" applyFont="1" applyFill="1" applyBorder="1"/>
    <xf numFmtId="0" fontId="2" fillId="4" borderId="5" xfId="1" applyNumberFormat="1" applyFont="1" applyFill="1" applyBorder="1" applyAlignment="1" applyProtection="1">
      <alignment horizontal="center"/>
    </xf>
    <xf numFmtId="0" fontId="3" fillId="3" borderId="5" xfId="1" applyNumberFormat="1" applyFont="1" applyFill="1" applyBorder="1" applyAlignment="1"/>
    <xf numFmtId="0" fontId="2" fillId="3" borderId="0" xfId="1" applyFont="1" applyFill="1" applyBorder="1" applyAlignment="1"/>
    <xf numFmtId="0" fontId="2" fillId="3" borderId="0" xfId="1" applyFont="1" applyFill="1" applyBorder="1"/>
    <xf numFmtId="15" fontId="2" fillId="3" borderId="4" xfId="1" applyNumberFormat="1" applyFont="1" applyFill="1" applyBorder="1"/>
    <xf numFmtId="165" fontId="2" fillId="4" borderId="6" xfId="1" applyNumberFormat="1" applyFont="1" applyFill="1" applyBorder="1" applyAlignment="1" applyProtection="1">
      <alignment horizontal="center"/>
    </xf>
    <xf numFmtId="0" fontId="2" fillId="2" borderId="5" xfId="1" applyNumberFormat="1" applyFont="1" applyFill="1" applyBorder="1"/>
    <xf numFmtId="0" fontId="2" fillId="3" borderId="8" xfId="1" applyFont="1" applyFill="1" applyBorder="1"/>
    <xf numFmtId="0" fontId="2" fillId="3" borderId="9" xfId="1" applyFont="1" applyFill="1" applyBorder="1"/>
    <xf numFmtId="0" fontId="2" fillId="3" borderId="10" xfId="1" applyFont="1" applyFill="1" applyBorder="1"/>
    <xf numFmtId="0" fontId="1" fillId="0" borderId="0" xfId="1"/>
    <xf numFmtId="0" fontId="5" fillId="0" borderId="0" xfId="1" applyFont="1"/>
    <xf numFmtId="0" fontId="5" fillId="2" borderId="0" xfId="1" applyFont="1" applyFill="1"/>
    <xf numFmtId="0" fontId="2" fillId="2" borderId="0" xfId="1" applyFont="1" applyFill="1"/>
    <xf numFmtId="165" fontId="2" fillId="4" borderId="6" xfId="1" quotePrefix="1" applyNumberFormat="1" applyFont="1" applyFill="1" applyBorder="1" applyAlignment="1" applyProtection="1">
      <alignment horizontal="center"/>
    </xf>
    <xf numFmtId="165" fontId="2" fillId="4" borderId="6" xfId="1" quotePrefix="1" applyNumberFormat="1" applyFont="1" applyFill="1" applyBorder="1" applyAlignment="1" applyProtection="1">
      <alignment horizontal="left"/>
    </xf>
    <xf numFmtId="0" fontId="7" fillId="6" borderId="11" xfId="2" applyFont="1" applyFill="1" applyBorder="1" applyAlignment="1">
      <alignment horizontal="center"/>
    </xf>
    <xf numFmtId="0" fontId="7" fillId="6" borderId="12" xfId="2" applyFont="1" applyFill="1" applyBorder="1" applyAlignment="1">
      <alignment horizontal="center"/>
    </xf>
    <xf numFmtId="0" fontId="7" fillId="6" borderId="13" xfId="2" applyFont="1" applyFill="1" applyBorder="1" applyAlignment="1">
      <alignment horizontal="center"/>
    </xf>
    <xf numFmtId="0" fontId="5" fillId="2" borderId="0" xfId="2" applyFill="1"/>
    <xf numFmtId="0" fontId="2" fillId="4" borderId="14" xfId="1" applyNumberFormat="1" applyFont="1" applyFill="1" applyBorder="1" applyAlignment="1" applyProtection="1"/>
    <xf numFmtId="0" fontId="5" fillId="2" borderId="15" xfId="2" applyFill="1" applyBorder="1" applyAlignment="1"/>
    <xf numFmtId="0" fontId="2" fillId="2" borderId="5" xfId="1" applyFont="1" applyFill="1" applyBorder="1" applyAlignment="1"/>
    <xf numFmtId="0" fontId="2" fillId="2" borderId="16" xfId="1" applyFont="1" applyFill="1" applyBorder="1" applyAlignment="1"/>
    <xf numFmtId="0" fontId="4" fillId="3" borderId="7" xfId="2" applyFont="1" applyFill="1" applyBorder="1"/>
    <xf numFmtId="0" fontId="5" fillId="3" borderId="4" xfId="2" applyFill="1" applyBorder="1"/>
    <xf numFmtId="0" fontId="5" fillId="7" borderId="15" xfId="2" applyFont="1" applyFill="1" applyBorder="1" applyAlignment="1"/>
    <xf numFmtId="0" fontId="2" fillId="4" borderId="17" xfId="1" applyNumberFormat="1" applyFont="1" applyFill="1" applyBorder="1" applyAlignment="1" applyProtection="1"/>
    <xf numFmtId="0" fontId="2" fillId="4" borderId="5" xfId="1" applyNumberFormat="1" applyFont="1" applyFill="1" applyBorder="1" applyAlignment="1" applyProtection="1"/>
    <xf numFmtId="0" fontId="3" fillId="3" borderId="18" xfId="1" applyFont="1" applyFill="1" applyBorder="1" applyAlignment="1">
      <alignment horizontal="center"/>
    </xf>
    <xf numFmtId="0" fontId="3" fillId="3" borderId="5" xfId="1" applyFont="1" applyFill="1" applyBorder="1" applyAlignment="1">
      <alignment horizontal="center"/>
    </xf>
    <xf numFmtId="0" fontId="3" fillId="3" borderId="16" xfId="1" applyFont="1" applyFill="1" applyBorder="1" applyAlignment="1">
      <alignment horizontal="center"/>
    </xf>
    <xf numFmtId="0" fontId="5" fillId="3" borderId="0" xfId="2" applyFill="1" applyBorder="1"/>
    <xf numFmtId="0" fontId="4" fillId="3" borderId="0" xfId="2" applyFont="1" applyFill="1" applyBorder="1"/>
    <xf numFmtId="0" fontId="2" fillId="4" borderId="6" xfId="1" applyNumberFormat="1" applyFont="1" applyFill="1" applyBorder="1" applyAlignment="1" applyProtection="1">
      <alignment horizontal="center"/>
    </xf>
    <xf numFmtId="0" fontId="5" fillId="3" borderId="8" xfId="2" applyFill="1" applyBorder="1"/>
    <xf numFmtId="0" fontId="5" fillId="3" borderId="9" xfId="2" applyFill="1" applyBorder="1"/>
    <xf numFmtId="0" fontId="8" fillId="3" borderId="9" xfId="2" applyFont="1" applyFill="1" applyBorder="1"/>
    <xf numFmtId="0" fontId="4" fillId="3" borderId="9" xfId="2" applyFont="1" applyFill="1" applyBorder="1"/>
    <xf numFmtId="0" fontId="4" fillId="3" borderId="10" xfId="2" applyFont="1" applyFill="1" applyBorder="1"/>
    <xf numFmtId="0" fontId="5" fillId="2" borderId="15" xfId="2" applyFill="1" applyBorder="1"/>
    <xf numFmtId="0" fontId="2" fillId="2" borderId="5" xfId="1" applyFont="1" applyFill="1" applyBorder="1" applyAlignment="1">
      <alignment horizontal="center"/>
    </xf>
    <xf numFmtId="0" fontId="2" fillId="2" borderId="16" xfId="1" applyFont="1" applyFill="1" applyBorder="1" applyAlignment="1">
      <alignment horizontal="center"/>
    </xf>
    <xf numFmtId="0" fontId="5" fillId="2" borderId="0" xfId="2" applyFont="1" applyFill="1"/>
    <xf numFmtId="0" fontId="5" fillId="3" borderId="1" xfId="1" applyFont="1" applyFill="1" applyBorder="1"/>
    <xf numFmtId="0" fontId="5" fillId="3" borderId="2" xfId="1" applyFont="1" applyFill="1" applyBorder="1"/>
    <xf numFmtId="0" fontId="5" fillId="3" borderId="3" xfId="1" applyFont="1" applyFill="1" applyBorder="1"/>
    <xf numFmtId="0" fontId="5" fillId="3" borderId="4" xfId="1" applyFont="1" applyFill="1" applyBorder="1"/>
    <xf numFmtId="0" fontId="5" fillId="4" borderId="5" xfId="1" applyNumberFormat="1" applyFont="1" applyFill="1" applyBorder="1" applyAlignment="1" applyProtection="1"/>
    <xf numFmtId="0" fontId="5" fillId="4" borderId="6" xfId="1" applyNumberFormat="1" applyFont="1" applyFill="1" applyBorder="1" applyAlignment="1" applyProtection="1"/>
    <xf numFmtId="0" fontId="5" fillId="2" borderId="5" xfId="2" applyFont="1" applyFill="1" applyBorder="1"/>
    <xf numFmtId="0" fontId="5" fillId="2" borderId="6" xfId="1" applyFont="1" applyFill="1" applyBorder="1" applyAlignment="1">
      <alignment horizontal="center"/>
    </xf>
    <xf numFmtId="0" fontId="5" fillId="2" borderId="19" xfId="1" applyFont="1" applyFill="1" applyBorder="1" applyAlignment="1">
      <alignment horizontal="center"/>
    </xf>
    <xf numFmtId="0" fontId="5" fillId="3" borderId="7" xfId="2" applyFont="1" applyFill="1" applyBorder="1"/>
    <xf numFmtId="0" fontId="5" fillId="7" borderId="6" xfId="1" applyFont="1" applyFill="1" applyBorder="1" applyAlignment="1">
      <alignment horizontal="center"/>
    </xf>
    <xf numFmtId="0" fontId="5" fillId="3" borderId="4" xfId="2" applyFont="1" applyFill="1" applyBorder="1"/>
    <xf numFmtId="0" fontId="5" fillId="4" borderId="6" xfId="1" applyNumberFormat="1" applyFont="1" applyFill="1" applyBorder="1" applyAlignment="1" applyProtection="1">
      <alignment horizontal="center"/>
    </xf>
    <xf numFmtId="0" fontId="9" fillId="3" borderId="6" xfId="1" applyFont="1" applyFill="1" applyBorder="1" applyAlignment="1">
      <alignment horizontal="center"/>
    </xf>
    <xf numFmtId="0" fontId="5" fillId="3" borderId="5" xfId="2" applyFont="1" applyFill="1" applyBorder="1"/>
    <xf numFmtId="0" fontId="5" fillId="3" borderId="0" xfId="2" applyFont="1" applyFill="1" applyBorder="1"/>
    <xf numFmtId="0" fontId="5" fillId="2" borderId="5" xfId="1" applyNumberFormat="1" applyFont="1" applyFill="1" applyBorder="1"/>
    <xf numFmtId="0" fontId="5" fillId="3" borderId="8" xfId="2" applyFont="1" applyFill="1" applyBorder="1"/>
    <xf numFmtId="0" fontId="5" fillId="3" borderId="9" xfId="2" applyFont="1" applyFill="1" applyBorder="1"/>
    <xf numFmtId="0" fontId="10" fillId="3" borderId="9" xfId="2" applyFont="1" applyFill="1" applyBorder="1"/>
    <xf numFmtId="0" fontId="5" fillId="3" borderId="10" xfId="2" applyFont="1" applyFill="1" applyBorder="1"/>
    <xf numFmtId="0" fontId="9" fillId="3" borderId="5" xfId="1" applyFont="1" applyFill="1" applyBorder="1" applyAlignment="1">
      <alignment horizontal="center"/>
    </xf>
    <xf numFmtId="0" fontId="11" fillId="2" borderId="0" xfId="2" applyFont="1" applyFill="1"/>
    <xf numFmtId="0" fontId="12" fillId="0" borderId="0" xfId="1" applyFont="1"/>
    <xf numFmtId="0" fontId="12" fillId="0" borderId="0" xfId="1" applyFont="1" applyAlignment="1">
      <alignment horizontal="left"/>
    </xf>
    <xf numFmtId="0" fontId="5" fillId="3" borderId="15" xfId="1" applyFont="1" applyFill="1" applyBorder="1"/>
    <xf numFmtId="0" fontId="5" fillId="3" borderId="20" xfId="1" applyFont="1" applyFill="1" applyBorder="1" applyAlignment="1">
      <alignment horizontal="left"/>
    </xf>
    <xf numFmtId="0" fontId="5" fillId="3" borderId="20" xfId="1" applyFont="1" applyFill="1" applyBorder="1"/>
    <xf numFmtId="0" fontId="5" fillId="3" borderId="21" xfId="1" applyFont="1" applyFill="1" applyBorder="1"/>
    <xf numFmtId="0" fontId="5" fillId="3" borderId="22" xfId="1" applyFont="1" applyFill="1" applyBorder="1"/>
    <xf numFmtId="0" fontId="2" fillId="4" borderId="5" xfId="1" applyNumberFormat="1" applyFont="1" applyFill="1" applyBorder="1" applyAlignment="1" applyProtection="1">
      <alignment vertical="center"/>
    </xf>
    <xf numFmtId="0" fontId="5" fillId="3" borderId="14" xfId="1" applyNumberFormat="1" applyFont="1" applyFill="1" applyBorder="1" applyAlignment="1">
      <alignment horizontal="left"/>
    </xf>
    <xf numFmtId="0" fontId="5" fillId="3" borderId="14" xfId="1" applyNumberFormat="1" applyFont="1" applyFill="1" applyBorder="1" applyAlignment="1">
      <alignment horizontal="center"/>
    </xf>
    <xf numFmtId="0" fontId="5" fillId="3" borderId="15" xfId="1" applyNumberFormat="1" applyFont="1" applyFill="1" applyBorder="1" applyAlignment="1">
      <alignment horizontal="center"/>
    </xf>
    <xf numFmtId="49" fontId="5" fillId="0" borderId="5" xfId="4" applyNumberFormat="1" applyFont="1" applyFill="1" applyBorder="1" applyAlignment="1">
      <alignment horizontal="center"/>
    </xf>
    <xf numFmtId="0" fontId="5" fillId="3" borderId="23" xfId="1" applyFont="1" applyFill="1" applyBorder="1" applyAlignment="1">
      <alignment horizontal="center"/>
    </xf>
    <xf numFmtId="0" fontId="5" fillId="0" borderId="1" xfId="1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0" fontId="5" fillId="0" borderId="3" xfId="1" applyFont="1" applyBorder="1" applyAlignment="1">
      <alignment horizontal="center"/>
    </xf>
    <xf numFmtId="0" fontId="5" fillId="0" borderId="4" xfId="1" applyFont="1" applyBorder="1" applyAlignment="1">
      <alignment horizontal="center"/>
    </xf>
    <xf numFmtId="0" fontId="5" fillId="0" borderId="0" xfId="1" applyFont="1" applyBorder="1" applyAlignment="1">
      <alignment horizontal="center"/>
    </xf>
    <xf numFmtId="0" fontId="5" fillId="0" borderId="7" xfId="1" applyFont="1" applyBorder="1" applyAlignment="1">
      <alignment horizontal="center"/>
    </xf>
    <xf numFmtId="0" fontId="5" fillId="0" borderId="8" xfId="1" applyFont="1" applyBorder="1" applyAlignment="1">
      <alignment horizontal="center"/>
    </xf>
    <xf numFmtId="0" fontId="5" fillId="0" borderId="9" xfId="1" applyFont="1" applyBorder="1" applyAlignment="1">
      <alignment horizontal="center"/>
    </xf>
    <xf numFmtId="0" fontId="5" fillId="0" borderId="10" xfId="1" applyFont="1" applyBorder="1" applyAlignment="1">
      <alignment horizontal="center"/>
    </xf>
    <xf numFmtId="49" fontId="5" fillId="0" borderId="14" xfId="4" applyNumberFormat="1" applyFont="1" applyFill="1" applyBorder="1" applyAlignment="1">
      <alignment horizontal="center"/>
    </xf>
    <xf numFmtId="0" fontId="2" fillId="4" borderId="6" xfId="1" applyNumberFormat="1" applyFont="1" applyFill="1" applyBorder="1" applyAlignment="1" applyProtection="1">
      <alignment horizontal="center" vertical="center"/>
    </xf>
    <xf numFmtId="0" fontId="3" fillId="3" borderId="5" xfId="1" applyFont="1" applyFill="1" applyBorder="1" applyAlignment="1">
      <alignment vertical="center"/>
    </xf>
    <xf numFmtId="0" fontId="10" fillId="3" borderId="5" xfId="1" applyFont="1" applyFill="1" applyBorder="1" applyAlignment="1">
      <alignment horizontal="center" vertical="center" wrapText="1"/>
    </xf>
    <xf numFmtId="0" fontId="10" fillId="3" borderId="6" xfId="1" applyFont="1" applyFill="1" applyBorder="1" applyAlignment="1">
      <alignment horizontal="center" vertical="center" wrapText="1"/>
    </xf>
    <xf numFmtId="0" fontId="5" fillId="3" borderId="17" xfId="1" applyFont="1" applyFill="1" applyBorder="1"/>
    <xf numFmtId="0" fontId="12" fillId="0" borderId="24" xfId="1" applyFont="1" applyBorder="1"/>
    <xf numFmtId="0" fontId="12" fillId="0" borderId="24" xfId="1" applyFont="1" applyBorder="1" applyAlignment="1">
      <alignment horizontal="left"/>
    </xf>
    <xf numFmtId="0" fontId="5" fillId="3" borderId="24" xfId="1" applyFont="1" applyFill="1" applyBorder="1"/>
    <xf numFmtId="0" fontId="1" fillId="0" borderId="24" xfId="1" applyBorder="1"/>
    <xf numFmtId="0" fontId="1" fillId="0" borderId="24" xfId="1" applyBorder="1" applyAlignment="1">
      <alignment horizontal="left"/>
    </xf>
    <xf numFmtId="0" fontId="12" fillId="2" borderId="0" xfId="10" applyFill="1"/>
    <xf numFmtId="171" fontId="2" fillId="4" borderId="6" xfId="1" quotePrefix="1" applyNumberFormat="1" applyFont="1" applyFill="1" applyBorder="1" applyAlignment="1" applyProtection="1">
      <alignment horizontal="center"/>
    </xf>
    <xf numFmtId="172" fontId="2" fillId="4" borderId="6" xfId="1" quotePrefix="1" applyNumberFormat="1" applyFont="1" applyFill="1" applyBorder="1" applyAlignment="1" applyProtection="1">
      <alignment horizontal="center"/>
    </xf>
    <xf numFmtId="0" fontId="7" fillId="6" borderId="11" xfId="1" applyFont="1" applyFill="1" applyBorder="1" applyAlignment="1">
      <alignment horizontal="center"/>
    </xf>
    <xf numFmtId="0" fontId="7" fillId="6" borderId="12" xfId="1" applyFont="1" applyFill="1" applyBorder="1" applyAlignment="1">
      <alignment horizontal="center"/>
    </xf>
    <xf numFmtId="0" fontId="7" fillId="6" borderId="13" xfId="1" applyFont="1" applyFill="1" applyBorder="1" applyAlignment="1">
      <alignment horizontal="center"/>
    </xf>
    <xf numFmtId="0" fontId="1" fillId="2" borderId="0" xfId="10" applyFont="1" applyFill="1"/>
    <xf numFmtId="0" fontId="5" fillId="3" borderId="25" xfId="1" applyFont="1" applyFill="1" applyBorder="1" applyAlignment="1">
      <alignment horizontal="left"/>
    </xf>
    <xf numFmtId="0" fontId="5" fillId="3" borderId="22" xfId="1" applyFont="1" applyFill="1" applyBorder="1" applyAlignment="1">
      <alignment horizontal="center"/>
    </xf>
    <xf numFmtId="164" fontId="15" fillId="4" borderId="5" xfId="1" applyNumberFormat="1" applyFont="1" applyFill="1" applyBorder="1" applyAlignment="1" applyProtection="1">
      <alignment horizontal="left"/>
    </xf>
    <xf numFmtId="0" fontId="5" fillId="3" borderId="5" xfId="1" applyNumberFormat="1" applyFont="1" applyFill="1" applyBorder="1" applyAlignment="1">
      <alignment horizontal="center"/>
    </xf>
    <xf numFmtId="0" fontId="10" fillId="3" borderId="5" xfId="1" applyFont="1" applyFill="1" applyBorder="1" applyAlignment="1">
      <alignment horizontal="center"/>
    </xf>
    <xf numFmtId="0" fontId="15" fillId="4" borderId="5" xfId="1" applyNumberFormat="1" applyFont="1" applyFill="1" applyBorder="1" applyAlignment="1" applyProtection="1">
      <alignment vertical="center"/>
    </xf>
    <xf numFmtId="0" fontId="2" fillId="4" borderId="5" xfId="1" applyNumberFormat="1" applyFont="1" applyFill="1" applyBorder="1" applyAlignment="1" applyProtection="1">
      <alignment horizontal="center" vertical="center"/>
    </xf>
    <xf numFmtId="0" fontId="5" fillId="3" borderId="5" xfId="1" applyFont="1" applyFill="1" applyBorder="1" applyAlignment="1">
      <alignment vertical="center"/>
    </xf>
    <xf numFmtId="0" fontId="12" fillId="3" borderId="17" xfId="1" applyFont="1" applyFill="1" applyBorder="1"/>
    <xf numFmtId="0" fontId="12" fillId="3" borderId="24" xfId="1" applyFont="1" applyFill="1" applyBorder="1"/>
    <xf numFmtId="0" fontId="12" fillId="3" borderId="25" xfId="1" applyFont="1" applyFill="1" applyBorder="1"/>
    <xf numFmtId="0" fontId="1" fillId="0" borderId="0" xfId="1" applyAlignment="1">
      <alignment horizontal="left"/>
    </xf>
    <xf numFmtId="0" fontId="11" fillId="0" borderId="0" xfId="1" applyFont="1"/>
    <xf numFmtId="0" fontId="5" fillId="3" borderId="2" xfId="1" applyFont="1" applyFill="1" applyBorder="1" applyAlignment="1">
      <alignment horizontal="left"/>
    </xf>
    <xf numFmtId="0" fontId="15" fillId="4" borderId="14" xfId="1" applyNumberFormat="1" applyFont="1" applyFill="1" applyBorder="1" applyAlignment="1" applyProtection="1"/>
    <xf numFmtId="0" fontId="5" fillId="3" borderId="14" xfId="1" applyNumberFormat="1" applyFont="1" applyFill="1" applyBorder="1" applyAlignment="1"/>
    <xf numFmtId="0" fontId="5" fillId="3" borderId="21" xfId="1" applyNumberFormat="1" applyFont="1" applyFill="1" applyBorder="1" applyAlignment="1"/>
    <xf numFmtId="0" fontId="5" fillId="3" borderId="18" xfId="1" applyNumberFormat="1" applyFont="1" applyFill="1" applyBorder="1" applyAlignment="1"/>
    <xf numFmtId="0" fontId="5" fillId="3" borderId="16" xfId="1" applyNumberFormat="1" applyFont="1" applyFill="1" applyBorder="1" applyAlignment="1"/>
    <xf numFmtId="0" fontId="5" fillId="3" borderId="7" xfId="1" applyFont="1" applyFill="1" applyBorder="1" applyAlignment="1">
      <alignment horizontal="center"/>
    </xf>
    <xf numFmtId="0" fontId="5" fillId="3" borderId="20" xfId="1" applyNumberFormat="1" applyFont="1" applyFill="1" applyBorder="1" applyAlignment="1"/>
    <xf numFmtId="0" fontId="15" fillId="4" borderId="26" xfId="1" applyNumberFormat="1" applyFont="1" applyFill="1" applyBorder="1" applyAlignment="1" applyProtection="1"/>
    <xf numFmtId="0" fontId="5" fillId="3" borderId="26" xfId="1" applyNumberFormat="1" applyFont="1" applyFill="1" applyBorder="1" applyAlignment="1"/>
    <xf numFmtId="0" fontId="5" fillId="3" borderId="25" xfId="1" applyNumberFormat="1" applyFont="1" applyFill="1" applyBorder="1" applyAlignment="1"/>
    <xf numFmtId="0" fontId="5" fillId="3" borderId="24" xfId="1" applyNumberFormat="1" applyFont="1" applyFill="1" applyBorder="1" applyAlignment="1"/>
    <xf numFmtId="0" fontId="15" fillId="4" borderId="27" xfId="1" applyNumberFormat="1" applyFont="1" applyFill="1" applyBorder="1" applyAlignment="1" applyProtection="1"/>
    <xf numFmtId="0" fontId="5" fillId="3" borderId="27" xfId="1" applyNumberFormat="1" applyFont="1" applyFill="1" applyBorder="1" applyAlignment="1"/>
    <xf numFmtId="0" fontId="5" fillId="3" borderId="23" xfId="1" applyNumberFormat="1" applyFont="1" applyFill="1" applyBorder="1" applyAlignment="1"/>
    <xf numFmtId="0" fontId="5" fillId="3" borderId="0" xfId="1" applyNumberFormat="1" applyFont="1" applyFill="1" applyBorder="1" applyAlignment="1"/>
    <xf numFmtId="0" fontId="15" fillId="4" borderId="26" xfId="1" applyNumberFormat="1" applyFont="1" applyFill="1" applyBorder="1" applyAlignment="1" applyProtection="1">
      <alignment vertical="center"/>
    </xf>
    <xf numFmtId="0" fontId="2" fillId="4" borderId="26" xfId="1" applyNumberFormat="1" applyFont="1" applyFill="1" applyBorder="1" applyAlignment="1" applyProtection="1">
      <alignment horizontal="center" vertical="center"/>
    </xf>
    <xf numFmtId="0" fontId="3" fillId="3" borderId="25" xfId="1" applyFont="1" applyFill="1" applyBorder="1" applyAlignment="1">
      <alignment vertical="center"/>
    </xf>
    <xf numFmtId="0" fontId="10" fillId="3" borderId="24" xfId="1" applyFont="1" applyFill="1" applyBorder="1" applyAlignment="1">
      <alignment horizontal="center" vertical="center" wrapText="1"/>
    </xf>
    <xf numFmtId="0" fontId="10" fillId="3" borderId="25" xfId="1" applyFont="1" applyFill="1" applyBorder="1" applyAlignment="1">
      <alignment horizontal="center" vertical="center" wrapText="1"/>
    </xf>
    <xf numFmtId="0" fontId="5" fillId="3" borderId="0" xfId="1" applyFont="1" applyFill="1" applyBorder="1"/>
    <xf numFmtId="0" fontId="12" fillId="3" borderId="1" xfId="1" applyFont="1" applyFill="1" applyBorder="1"/>
    <xf numFmtId="0" fontId="12" fillId="3" borderId="2" xfId="1" applyFont="1" applyFill="1" applyBorder="1"/>
    <xf numFmtId="0" fontId="16" fillId="3" borderId="3" xfId="1" applyFont="1" applyFill="1" applyBorder="1"/>
    <xf numFmtId="0" fontId="12" fillId="3" borderId="4" xfId="1" applyFont="1" applyFill="1" applyBorder="1"/>
    <xf numFmtId="173" fontId="5" fillId="3" borderId="16" xfId="4" applyNumberFormat="1" applyFont="1" applyFill="1" applyBorder="1" applyAlignment="1">
      <alignment horizontal="center"/>
    </xf>
    <xf numFmtId="0" fontId="5" fillId="3" borderId="21" xfId="1" applyFont="1" applyFill="1" applyBorder="1" applyAlignment="1">
      <alignment horizontal="left"/>
    </xf>
    <xf numFmtId="0" fontId="5" fillId="3" borderId="5" xfId="1" applyFont="1" applyFill="1" applyBorder="1" applyAlignment="1">
      <alignment horizontal="center"/>
    </xf>
    <xf numFmtId="0" fontId="5" fillId="3" borderId="18" xfId="1" applyFont="1" applyFill="1" applyBorder="1" applyAlignment="1">
      <alignment horizontal="center"/>
    </xf>
    <xf numFmtId="0" fontId="16" fillId="3" borderId="7" xfId="1" applyFont="1" applyFill="1" applyBorder="1"/>
    <xf numFmtId="164" fontId="15" fillId="4" borderId="14" xfId="1" applyNumberFormat="1" applyFont="1" applyFill="1" applyBorder="1" applyAlignment="1" applyProtection="1">
      <alignment horizontal="left"/>
    </xf>
    <xf numFmtId="173" fontId="5" fillId="3" borderId="21" xfId="4" applyNumberFormat="1" applyFont="1" applyFill="1" applyBorder="1" applyAlignment="1">
      <alignment horizontal="center"/>
    </xf>
    <xf numFmtId="0" fontId="5" fillId="3" borderId="14" xfId="1" applyFont="1" applyFill="1" applyBorder="1" applyAlignment="1">
      <alignment horizontal="center"/>
    </xf>
    <xf numFmtId="0" fontId="5" fillId="3" borderId="20" xfId="1" applyFont="1" applyFill="1" applyBorder="1" applyAlignment="1">
      <alignment horizontal="center"/>
    </xf>
    <xf numFmtId="0" fontId="10" fillId="3" borderId="14" xfId="1" applyFont="1" applyFill="1" applyBorder="1" applyAlignment="1">
      <alignment horizontal="center"/>
    </xf>
    <xf numFmtId="0" fontId="12" fillId="3" borderId="7" xfId="1" applyFont="1" applyFill="1" applyBorder="1"/>
    <xf numFmtId="0" fontId="16" fillId="3" borderId="8" xfId="1" applyFont="1" applyFill="1" applyBorder="1"/>
    <xf numFmtId="0" fontId="12" fillId="0" borderId="9" xfId="1" applyFont="1" applyBorder="1"/>
    <xf numFmtId="0" fontId="12" fillId="0" borderId="9" xfId="1" applyFont="1" applyBorder="1" applyAlignment="1">
      <alignment horizontal="center"/>
    </xf>
    <xf numFmtId="0" fontId="17" fillId="3" borderId="9" xfId="1" applyFont="1" applyFill="1" applyBorder="1"/>
    <xf numFmtId="0" fontId="12" fillId="3" borderId="10" xfId="1" applyFont="1" applyFill="1" applyBorder="1"/>
    <xf numFmtId="0" fontId="12" fillId="3" borderId="15" xfId="1" applyFont="1" applyFill="1" applyBorder="1"/>
    <xf numFmtId="0" fontId="12" fillId="3" borderId="20" xfId="1" applyFont="1" applyFill="1" applyBorder="1"/>
    <xf numFmtId="0" fontId="12" fillId="3" borderId="21" xfId="1" applyFont="1" applyFill="1" applyBorder="1"/>
    <xf numFmtId="0" fontId="12" fillId="3" borderId="22" xfId="1" applyFont="1" applyFill="1" applyBorder="1"/>
    <xf numFmtId="0" fontId="12" fillId="3" borderId="5" xfId="1" applyFont="1" applyFill="1" applyBorder="1"/>
    <xf numFmtId="0" fontId="12" fillId="3" borderId="23" xfId="1" applyFont="1" applyFill="1" applyBorder="1"/>
    <xf numFmtId="0" fontId="5" fillId="3" borderId="7" xfId="1" applyFont="1" applyFill="1" applyBorder="1" applyAlignment="1">
      <alignment horizontal="left"/>
    </xf>
    <xf numFmtId="0" fontId="18" fillId="0" borderId="0" xfId="1" applyFont="1"/>
    <xf numFmtId="0" fontId="18" fillId="0" borderId="0" xfId="1" applyFont="1" applyAlignment="1">
      <alignment horizontal="left"/>
    </xf>
    <xf numFmtId="0" fontId="19" fillId="3" borderId="1" xfId="1" applyFont="1" applyFill="1" applyBorder="1"/>
    <xf numFmtId="0" fontId="19" fillId="3" borderId="2" xfId="1" applyFont="1" applyFill="1" applyBorder="1" applyAlignment="1">
      <alignment horizontal="left"/>
    </xf>
    <xf numFmtId="0" fontId="19" fillId="3" borderId="2" xfId="1" applyFont="1" applyFill="1" applyBorder="1"/>
    <xf numFmtId="0" fontId="19" fillId="3" borderId="3" xfId="1" applyFont="1" applyFill="1" applyBorder="1"/>
    <xf numFmtId="0" fontId="19" fillId="3" borderId="4" xfId="1" applyFont="1" applyFill="1" applyBorder="1"/>
    <xf numFmtId="0" fontId="19" fillId="4" borderId="5" xfId="1" applyNumberFormat="1" applyFont="1" applyFill="1" applyBorder="1" applyAlignment="1" applyProtection="1"/>
    <xf numFmtId="0" fontId="19" fillId="3" borderId="5" xfId="1" applyNumberFormat="1" applyFont="1" applyFill="1" applyBorder="1" applyAlignment="1">
      <alignment horizontal="left"/>
    </xf>
    <xf numFmtId="0" fontId="19" fillId="3" borderId="5" xfId="1" applyNumberFormat="1" applyFont="1" applyFill="1" applyBorder="1" applyAlignment="1">
      <alignment horizontal="right"/>
    </xf>
    <xf numFmtId="0" fontId="19" fillId="3" borderId="5" xfId="1" applyNumberFormat="1" applyFont="1" applyFill="1" applyBorder="1" applyAlignment="1">
      <alignment horizontal="center"/>
    </xf>
    <xf numFmtId="0" fontId="19" fillId="3" borderId="7" xfId="1" applyFont="1" applyFill="1" applyBorder="1" applyAlignment="1">
      <alignment horizontal="center"/>
    </xf>
    <xf numFmtId="0" fontId="19" fillId="3" borderId="0" xfId="1" applyNumberFormat="1" applyFont="1" applyFill="1" applyBorder="1" applyAlignment="1" applyProtection="1"/>
    <xf numFmtId="0" fontId="19" fillId="3" borderId="0" xfId="1" applyNumberFormat="1" applyFont="1" applyFill="1" applyBorder="1" applyAlignment="1">
      <alignment horizontal="left"/>
    </xf>
    <xf numFmtId="172" fontId="19" fillId="3" borderId="0" xfId="4" applyNumberFormat="1" applyFont="1" applyFill="1" applyBorder="1" applyAlignment="1">
      <alignment horizontal="center"/>
    </xf>
    <xf numFmtId="0" fontId="19" fillId="3" borderId="0" xfId="1" applyNumberFormat="1" applyFont="1" applyFill="1" applyBorder="1" applyAlignment="1">
      <alignment horizontal="center"/>
    </xf>
    <xf numFmtId="172" fontId="19" fillId="0" borderId="5" xfId="4" applyNumberFormat="1" applyFont="1" applyFill="1" applyBorder="1" applyAlignment="1">
      <alignment horizontal="right"/>
    </xf>
    <xf numFmtId="0" fontId="19" fillId="4" borderId="5" xfId="1" applyNumberFormat="1" applyFont="1" applyFill="1" applyBorder="1" applyAlignment="1" applyProtection="1">
      <alignment vertical="center"/>
    </xf>
    <xf numFmtId="0" fontId="19" fillId="4" borderId="5" xfId="1" applyNumberFormat="1" applyFont="1" applyFill="1" applyBorder="1" applyAlignment="1" applyProtection="1">
      <alignment horizontal="center" vertical="center"/>
    </xf>
    <xf numFmtId="0" fontId="20" fillId="3" borderId="5" xfId="1" applyFont="1" applyFill="1" applyBorder="1" applyAlignment="1">
      <alignment vertical="center"/>
    </xf>
    <xf numFmtId="0" fontId="19" fillId="3" borderId="5" xfId="1" applyFont="1" applyFill="1" applyBorder="1" applyAlignment="1">
      <alignment horizontal="center" vertical="center" wrapText="1"/>
    </xf>
    <xf numFmtId="0" fontId="21" fillId="3" borderId="5" xfId="1" applyFont="1" applyFill="1" applyBorder="1" applyAlignment="1">
      <alignment horizontal="center" vertical="center" wrapText="1"/>
    </xf>
    <xf numFmtId="0" fontId="19" fillId="3" borderId="8" xfId="1" applyFont="1" applyFill="1" applyBorder="1"/>
    <xf numFmtId="0" fontId="18" fillId="0" borderId="9" xfId="1" applyFont="1" applyBorder="1"/>
    <xf numFmtId="0" fontId="18" fillId="0" borderId="9" xfId="1" applyFont="1" applyBorder="1" applyAlignment="1">
      <alignment horizontal="left"/>
    </xf>
    <xf numFmtId="0" fontId="19" fillId="3" borderId="9" xfId="1" applyFont="1" applyFill="1" applyBorder="1"/>
    <xf numFmtId="0" fontId="5" fillId="3" borderId="6" xfId="1" applyNumberFormat="1" applyFont="1" applyFill="1" applyBorder="1" applyAlignment="1">
      <alignment horizontal="center"/>
    </xf>
    <xf numFmtId="172" fontId="5" fillId="0" borderId="5" xfId="4" applyNumberFormat="1" applyFont="1" applyFill="1" applyBorder="1" applyAlignment="1">
      <alignment horizontal="center"/>
    </xf>
    <xf numFmtId="172" fontId="5" fillId="0" borderId="14" xfId="4" applyNumberFormat="1" applyFont="1" applyFill="1" applyBorder="1" applyAlignment="1">
      <alignment horizontal="center"/>
    </xf>
    <xf numFmtId="0" fontId="10" fillId="3" borderId="18" xfId="1" applyFont="1" applyFill="1" applyBorder="1" applyAlignment="1">
      <alignment horizontal="center" vertical="center" wrapText="1"/>
    </xf>
    <xf numFmtId="0" fontId="5" fillId="3" borderId="5" xfId="1" applyFont="1" applyFill="1" applyBorder="1" applyAlignment="1">
      <alignment horizontal="center" vertical="center" wrapText="1"/>
    </xf>
    <xf numFmtId="0" fontId="5" fillId="3" borderId="8" xfId="1" applyFont="1" applyFill="1" applyBorder="1"/>
    <xf numFmtId="0" fontId="1" fillId="0" borderId="9" xfId="1" applyBorder="1"/>
    <xf numFmtId="0" fontId="1" fillId="0" borderId="9" xfId="1" applyBorder="1" applyAlignment="1">
      <alignment horizontal="left"/>
    </xf>
    <xf numFmtId="0" fontId="5" fillId="3" borderId="9" xfId="1" applyFont="1" applyFill="1" applyBorder="1"/>
    <xf numFmtId="172" fontId="5" fillId="0" borderId="28" xfId="4" applyNumberFormat="1" applyFont="1" applyFill="1" applyBorder="1" applyAlignment="1">
      <alignment horizontal="center"/>
    </xf>
    <xf numFmtId="172" fontId="5" fillId="0" borderId="29" xfId="4" applyNumberFormat="1" applyFont="1" applyFill="1" applyBorder="1" applyAlignment="1">
      <alignment horizontal="center"/>
    </xf>
    <xf numFmtId="0" fontId="10" fillId="3" borderId="16" xfId="1" applyFont="1" applyFill="1" applyBorder="1" applyAlignment="1">
      <alignment horizontal="center" vertical="center" wrapText="1"/>
    </xf>
    <xf numFmtId="0" fontId="5" fillId="3" borderId="28" xfId="1" applyFont="1" applyFill="1" applyBorder="1" applyAlignment="1">
      <alignment horizontal="center" vertical="center" wrapText="1"/>
    </xf>
    <xf numFmtId="0" fontId="5" fillId="0" borderId="3" xfId="1" applyFont="1" applyBorder="1"/>
    <xf numFmtId="0" fontId="5" fillId="0" borderId="7" xfId="1" applyFont="1" applyBorder="1"/>
    <xf numFmtId="0" fontId="5" fillId="0" borderId="11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5" fillId="3" borderId="2" xfId="1" applyFont="1" applyFill="1" applyBorder="1" applyAlignment="1">
      <alignment horizontal="center"/>
    </xf>
    <xf numFmtId="0" fontId="5" fillId="3" borderId="3" xfId="1" applyFont="1" applyFill="1" applyBorder="1" applyAlignment="1">
      <alignment horizontal="center"/>
    </xf>
    <xf numFmtId="0" fontId="5" fillId="0" borderId="14" xfId="4" applyNumberFormat="1" applyFont="1" applyFill="1" applyBorder="1" applyAlignment="1">
      <alignment horizontal="center"/>
    </xf>
    <xf numFmtId="0" fontId="5" fillId="0" borderId="4" xfId="1" quotePrefix="1" applyFont="1" applyBorder="1" applyAlignment="1">
      <alignment horizontal="center"/>
    </xf>
    <xf numFmtId="0" fontId="5" fillId="0" borderId="0" xfId="1" quotePrefix="1" applyFont="1" applyBorder="1" applyAlignment="1">
      <alignment horizontal="center"/>
    </xf>
    <xf numFmtId="0" fontId="5" fillId="0" borderId="5" xfId="4" applyNumberFormat="1" applyFont="1" applyFill="1" applyBorder="1" applyAlignment="1">
      <alignment horizontal="center"/>
    </xf>
    <xf numFmtId="0" fontId="12" fillId="0" borderId="9" xfId="1" applyFont="1" applyBorder="1" applyAlignment="1">
      <alignment horizontal="left"/>
    </xf>
    <xf numFmtId="0" fontId="5" fillId="3" borderId="10" xfId="1" applyFont="1" applyFill="1" applyBorder="1" applyAlignment="1">
      <alignment horizontal="left"/>
    </xf>
    <xf numFmtId="0" fontId="5" fillId="3" borderId="4" xfId="1" applyFont="1" applyFill="1" applyBorder="1" applyAlignment="1">
      <alignment horizontal="center"/>
    </xf>
    <xf numFmtId="164" fontId="2" fillId="4" borderId="14" xfId="1" applyNumberFormat="1" applyFont="1" applyFill="1" applyBorder="1" applyAlignment="1" applyProtection="1">
      <alignment horizontal="left"/>
    </xf>
    <xf numFmtId="0" fontId="10" fillId="3" borderId="21" xfId="1" applyFont="1" applyFill="1" applyBorder="1" applyAlignment="1"/>
    <xf numFmtId="164" fontId="2" fillId="4" borderId="26" xfId="1" applyNumberFormat="1" applyFont="1" applyFill="1" applyBorder="1" applyAlignment="1" applyProtection="1">
      <alignment horizontal="left"/>
    </xf>
    <xf numFmtId="0" fontId="10" fillId="3" borderId="25" xfId="1" applyFont="1" applyFill="1" applyBorder="1" applyAlignment="1"/>
    <xf numFmtId="0" fontId="3" fillId="3" borderId="5" xfId="1" applyFont="1" applyFill="1" applyBorder="1" applyAlignment="1">
      <alignment horizontal="left"/>
    </xf>
    <xf numFmtId="0" fontId="5" fillId="3" borderId="5" xfId="1" applyFont="1" applyFill="1" applyBorder="1" applyAlignment="1"/>
    <xf numFmtId="0" fontId="12" fillId="3" borderId="8" xfId="1" applyFont="1" applyFill="1" applyBorder="1"/>
    <xf numFmtId="0" fontId="12" fillId="3" borderId="9" xfId="1" applyFont="1" applyFill="1" applyBorder="1"/>
    <xf numFmtId="0" fontId="12" fillId="3" borderId="9" xfId="1" applyFont="1" applyFill="1" applyBorder="1" applyAlignment="1">
      <alignment horizontal="center"/>
    </xf>
    <xf numFmtId="164" fontId="2" fillId="4" borderId="27" xfId="1" applyNumberFormat="1" applyFont="1" applyFill="1" applyBorder="1" applyAlignment="1" applyProtection="1">
      <alignment horizontal="left"/>
    </xf>
    <xf numFmtId="0" fontId="10" fillId="3" borderId="27" xfId="1" applyFont="1" applyFill="1" applyBorder="1" applyAlignment="1"/>
    <xf numFmtId="0" fontId="10" fillId="3" borderId="23" xfId="1" applyFont="1" applyFill="1" applyBorder="1" applyAlignment="1"/>
    <xf numFmtId="164" fontId="2" fillId="4" borderId="15" xfId="1" applyNumberFormat="1" applyFont="1" applyFill="1" applyBorder="1" applyAlignment="1" applyProtection="1">
      <alignment horizontal="left"/>
    </xf>
    <xf numFmtId="0" fontId="10" fillId="3" borderId="14" xfId="1" applyFont="1" applyFill="1" applyBorder="1" applyAlignment="1"/>
    <xf numFmtId="164" fontId="2" fillId="4" borderId="17" xfId="1" applyNumberFormat="1" applyFont="1" applyFill="1" applyBorder="1" applyAlignment="1" applyProtection="1">
      <alignment horizontal="left"/>
    </xf>
    <xf numFmtId="0" fontId="10" fillId="3" borderId="26" xfId="1" applyFont="1" applyFill="1" applyBorder="1" applyAlignment="1"/>
    <xf numFmtId="164" fontId="2" fillId="4" borderId="22" xfId="1" applyNumberFormat="1" applyFont="1" applyFill="1" applyBorder="1" applyAlignment="1" applyProtection="1">
      <alignment horizontal="left"/>
    </xf>
    <xf numFmtId="0" fontId="5" fillId="3" borderId="5" xfId="1" applyFont="1" applyFill="1" applyBorder="1"/>
    <xf numFmtId="0" fontId="12" fillId="3" borderId="3" xfId="1" applyFont="1" applyFill="1" applyBorder="1"/>
    <xf numFmtId="172" fontId="2" fillId="4" borderId="6" xfId="1" applyNumberFormat="1" applyFont="1" applyFill="1" applyBorder="1" applyAlignment="1" applyProtection="1">
      <alignment horizontal="center"/>
    </xf>
    <xf numFmtId="0" fontId="12" fillId="3" borderId="0" xfId="1" applyFont="1" applyFill="1" applyBorder="1"/>
    <xf numFmtId="0" fontId="7" fillId="6" borderId="11" xfId="10" applyFont="1" applyFill="1" applyBorder="1" applyAlignment="1">
      <alignment horizontal="center"/>
    </xf>
    <xf numFmtId="0" fontId="7" fillId="6" borderId="12" xfId="10" applyFont="1" applyFill="1" applyBorder="1" applyAlignment="1">
      <alignment horizontal="center"/>
    </xf>
    <xf numFmtId="0" fontId="7" fillId="6" borderId="13" xfId="10" applyFont="1" applyFill="1" applyBorder="1" applyAlignment="1">
      <alignment horizontal="center"/>
    </xf>
    <xf numFmtId="0" fontId="5" fillId="3" borderId="5" xfId="1" applyNumberFormat="1" applyFont="1" applyFill="1" applyBorder="1" applyAlignment="1">
      <alignment horizontal="left"/>
    </xf>
    <xf numFmtId="0" fontId="5" fillId="3" borderId="5" xfId="1" applyNumberFormat="1" applyFont="1" applyFill="1" applyBorder="1" applyAlignment="1"/>
    <xf numFmtId="172" fontId="5" fillId="3" borderId="5" xfId="4" applyNumberFormat="1" applyFont="1" applyFill="1" applyBorder="1" applyAlignment="1">
      <alignment horizontal="left"/>
    </xf>
    <xf numFmtId="0" fontId="2" fillId="4" borderId="26" xfId="1" applyNumberFormat="1" applyFont="1" applyFill="1" applyBorder="1" applyAlignment="1" applyProtection="1">
      <alignment vertical="center"/>
    </xf>
    <xf numFmtId="0" fontId="22" fillId="3" borderId="5" xfId="1" applyNumberFormat="1" applyFont="1" applyFill="1" applyBorder="1" applyAlignment="1"/>
    <xf numFmtId="0" fontId="2" fillId="4" borderId="17" xfId="1" applyNumberFormat="1" applyFont="1" applyFill="1" applyBorder="1" applyAlignment="1" applyProtection="1">
      <alignment horizontal="center" vertical="center"/>
    </xf>
    <xf numFmtId="0" fontId="3" fillId="3" borderId="26" xfId="1" applyFont="1" applyFill="1" applyBorder="1" applyAlignment="1">
      <alignment vertical="center"/>
    </xf>
    <xf numFmtId="0" fontId="10" fillId="3" borderId="26" xfId="1" applyFont="1" applyFill="1" applyBorder="1" applyAlignment="1">
      <alignment horizontal="center" vertical="center" wrapText="1"/>
    </xf>
    <xf numFmtId="0" fontId="10" fillId="3" borderId="17" xfId="1" applyFont="1" applyFill="1" applyBorder="1" applyAlignment="1">
      <alignment horizontal="center" vertical="center" wrapText="1"/>
    </xf>
    <xf numFmtId="0" fontId="15" fillId="4" borderId="5" xfId="1" applyNumberFormat="1" applyFont="1" applyFill="1" applyBorder="1" applyAlignment="1" applyProtection="1"/>
    <xf numFmtId="0" fontId="22" fillId="0" borderId="2" xfId="1" applyFont="1" applyBorder="1" applyAlignment="1">
      <alignment horizontal="center"/>
    </xf>
    <xf numFmtId="0" fontId="22" fillId="0" borderId="0" xfId="1" applyFont="1" applyBorder="1" applyAlignment="1">
      <alignment horizontal="center"/>
    </xf>
    <xf numFmtId="173" fontId="5" fillId="3" borderId="14" xfId="4" applyNumberFormat="1" applyFont="1" applyFill="1" applyBorder="1" applyAlignment="1">
      <alignment horizontal="center"/>
    </xf>
    <xf numFmtId="173" fontId="5" fillId="3" borderId="14" xfId="4" applyNumberFormat="1" applyFont="1" applyFill="1" applyBorder="1" applyAlignment="1">
      <alignment horizontal="left"/>
    </xf>
    <xf numFmtId="0" fontId="12" fillId="0" borderId="0" xfId="1" applyFont="1" applyAlignment="1">
      <alignment horizontal="center"/>
    </xf>
    <xf numFmtId="0" fontId="12" fillId="0" borderId="5" xfId="1" applyFont="1" applyFill="1" applyBorder="1"/>
    <xf numFmtId="0" fontId="12" fillId="0" borderId="5" xfId="1" applyFont="1" applyFill="1" applyBorder="1" applyAlignment="1">
      <alignment horizontal="center"/>
    </xf>
  </cellXfs>
  <cellStyles count="11">
    <cellStyle name="Migliaia (0)_AZIONI" xfId="5"/>
    <cellStyle name="Migliaia_AZIONI" xfId="6"/>
    <cellStyle name="Normal" xfId="0" builtinId="0"/>
    <cellStyle name="Normal 2" xfId="1"/>
    <cellStyle name="Normal_SwaptionATMVols" xfId="2"/>
    <cellStyle name="Normal_SwaptionATMVols 2" xfId="10"/>
    <cellStyle name="Normale_AZIONI" xfId="7"/>
    <cellStyle name="Percent 2" xfId="4"/>
    <cellStyle name="result" xfId="3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9"/>
  <sheetViews>
    <sheetView workbookViewId="0"/>
  </sheetViews>
  <sheetFormatPr defaultRowHeight="12.75" x14ac:dyDescent="0.2"/>
  <cols>
    <col min="1" max="2" width="7.140625" style="1" customWidth="1"/>
    <col min="3" max="3" width="13.7109375" style="1" bestFit="1" customWidth="1"/>
    <col min="4" max="4" width="30" style="1" bestFit="1" customWidth="1"/>
    <col min="5" max="5" width="21.7109375" style="1" bestFit="1" customWidth="1"/>
    <col min="6" max="6" width="51.5703125" style="1" bestFit="1" customWidth="1"/>
    <col min="7" max="7" width="7.140625" style="1" customWidth="1"/>
    <col min="8" max="16384" width="9.140625" style="1"/>
  </cols>
  <sheetData>
    <row r="1" spans="1:7" ht="13.5" thickBot="1" x14ac:dyDescent="0.25">
      <c r="A1" s="1" t="s">
        <v>33</v>
      </c>
    </row>
    <row r="2" spans="1:7" x14ac:dyDescent="0.2">
      <c r="B2" s="19"/>
      <c r="C2" s="18"/>
      <c r="D2" s="18"/>
      <c r="E2" s="18"/>
      <c r="F2" s="18"/>
      <c r="G2" s="17"/>
    </row>
    <row r="3" spans="1:7" x14ac:dyDescent="0.2">
      <c r="B3" s="9"/>
      <c r="C3" s="13"/>
      <c r="D3" s="16" t="s">
        <v>25</v>
      </c>
      <c r="E3" s="15" t="s">
        <v>24</v>
      </c>
      <c r="F3" s="13"/>
      <c r="G3" s="5"/>
    </row>
    <row r="4" spans="1:7" x14ac:dyDescent="0.2">
      <c r="B4" s="9"/>
      <c r="C4" s="13"/>
      <c r="D4" s="13"/>
      <c r="E4" s="13"/>
      <c r="F4" s="13"/>
      <c r="G4" s="5"/>
    </row>
    <row r="5" spans="1:7" x14ac:dyDescent="0.2">
      <c r="B5" s="9"/>
      <c r="C5" s="13"/>
      <c r="D5" s="11" t="str">
        <f>UPPER(Currency)&amp;"_RH_YieldTermStructure.xml"</f>
        <v>EUR_RH_YieldTermStructure.xml</v>
      </c>
      <c r="E5" s="10">
        <f ca="1">IF(Serialize,_xll.ohObjectSave(E6:E22,SerializationPath&amp;D5,FileOverwrite,,Serialize),"---")</f>
        <v>17</v>
      </c>
      <c r="F5" s="6" t="str">
        <f ca="1">_xll.ohRangeRetrieveError(E5)</f>
        <v/>
      </c>
      <c r="G5" s="14"/>
    </row>
    <row r="6" spans="1:7" x14ac:dyDescent="0.2">
      <c r="B6" s="9"/>
      <c r="C6" s="8" t="s">
        <v>23</v>
      </c>
      <c r="D6" s="8" t="str">
        <f>Currency&amp;C6</f>
        <v>EurYC</v>
      </c>
      <c r="E6" s="7" t="str">
        <f>_xll.qlRelinkableHandleYieldTermStructure(D6,,Permanent,Trigger,ObjectOverwrite)</f>
        <v>EurYC#0049</v>
      </c>
      <c r="F6" s="6" t="str">
        <f>_xll.ohRangeRetrieveError(E6)</f>
        <v/>
      </c>
      <c r="G6" s="5"/>
    </row>
    <row r="7" spans="1:7" x14ac:dyDescent="0.2">
      <c r="B7" s="9"/>
      <c r="C7" s="8" t="s">
        <v>22</v>
      </c>
      <c r="D7" s="8" t="str">
        <f>Currency&amp;C7</f>
        <v>EurYCSTD</v>
      </c>
      <c r="E7" s="7" t="str">
        <f>_xll.qlRelinkableHandleYieldTermStructure(D7,,Permanent,Trigger,ObjectOverwrite)</f>
        <v>EurYCSTD#0049</v>
      </c>
      <c r="F7" s="6" t="str">
        <f>_xll.ohRangeRetrieveError(E7)</f>
        <v/>
      </c>
      <c r="G7" s="5"/>
    </row>
    <row r="8" spans="1:7" x14ac:dyDescent="0.2">
      <c r="B8" s="9"/>
      <c r="C8" s="8" t="s">
        <v>21</v>
      </c>
      <c r="D8" s="8" t="str">
        <f>Currency&amp;C8</f>
        <v>EuriborYCON</v>
      </c>
      <c r="E8" s="7" t="str">
        <f>_xll.qlRelinkableHandleYieldTermStructure(D8,,Permanent,Trigger,ObjectOverwrite)</f>
        <v>EuriborYCON#0049</v>
      </c>
      <c r="F8" s="6" t="str">
        <f>_xll.ohRangeRetrieveError(E8)</f>
        <v/>
      </c>
      <c r="G8" s="5"/>
    </row>
    <row r="9" spans="1:7" x14ac:dyDescent="0.2">
      <c r="B9" s="9"/>
      <c r="C9" s="8" t="s">
        <v>20</v>
      </c>
      <c r="D9" s="8" t="str">
        <f>Currency&amp;C9</f>
        <v>EuriborYC1M</v>
      </c>
      <c r="E9" s="7" t="str">
        <f>_xll.qlRelinkableHandleYieldTermStructure(D9,,Permanent,Trigger,ObjectOverwrite)</f>
        <v>EuriborYC1M#0049</v>
      </c>
      <c r="F9" s="6" t="str">
        <f>_xll.ohRangeRetrieveError(E9)</f>
        <v/>
      </c>
      <c r="G9" s="5"/>
    </row>
    <row r="10" spans="1:7" x14ac:dyDescent="0.2">
      <c r="B10" s="9"/>
      <c r="C10" s="8" t="s">
        <v>19</v>
      </c>
      <c r="D10" s="8" t="str">
        <f>Currency&amp;C10</f>
        <v>EuriborYC3M</v>
      </c>
      <c r="E10" s="7" t="str">
        <f>_xll.qlRelinkableHandleYieldTermStructure(D10,,Permanent,Trigger,ObjectOverwrite)</f>
        <v>EuriborYC3M#0049</v>
      </c>
      <c r="F10" s="6" t="str">
        <f>_xll.ohRangeRetrieveError(E10)</f>
        <v/>
      </c>
      <c r="G10" s="5"/>
    </row>
    <row r="11" spans="1:7" x14ac:dyDescent="0.2">
      <c r="B11" s="9"/>
      <c r="C11" s="8" t="s">
        <v>18</v>
      </c>
      <c r="D11" s="8" t="str">
        <f>Currency&amp;C11</f>
        <v>EuriborYC6M</v>
      </c>
      <c r="E11" s="7" t="str">
        <f>_xll.qlRelinkableHandleYieldTermStructure(D11,,Permanent,Trigger,ObjectOverwrite)</f>
        <v>EuriborYC6M#0049</v>
      </c>
      <c r="F11" s="6" t="str">
        <f>_xll.ohRangeRetrieveError(E11)</f>
        <v/>
      </c>
      <c r="G11" s="5"/>
    </row>
    <row r="12" spans="1:7" x14ac:dyDescent="0.2">
      <c r="B12" s="9"/>
      <c r="C12" s="8" t="s">
        <v>17</v>
      </c>
      <c r="D12" s="8" t="str">
        <f>Currency&amp;C12</f>
        <v>EuriborYC1Y</v>
      </c>
      <c r="E12" s="7" t="str">
        <f>_xll.qlRelinkableHandleYieldTermStructure(D12,,Permanent,Trigger,ObjectOverwrite)</f>
        <v>EuriborYC1Y#0049</v>
      </c>
      <c r="F12" s="6" t="str">
        <f>_xll.ohRangeRetrieveError(E12)</f>
        <v/>
      </c>
      <c r="G12" s="5"/>
    </row>
    <row r="13" spans="1:7" x14ac:dyDescent="0.2">
      <c r="B13" s="9"/>
      <c r="C13" s="8" t="str">
        <f>C8&amp;"-Mx"</f>
        <v>iborYCON-Mx</v>
      </c>
      <c r="D13" s="8" t="str">
        <f>Currency&amp;C13</f>
        <v>EuriborYCON-Mx</v>
      </c>
      <c r="E13" s="7" t="str">
        <f>_xll.qlRelinkableHandleYieldTermStructure(D13,,Permanent,Trigger,ObjectOverwrite)</f>
        <v>EuriborYCON-Mx#0049</v>
      </c>
      <c r="F13" s="6" t="str">
        <f>_xll.ohRangeRetrieveError(E13)</f>
        <v/>
      </c>
      <c r="G13" s="5"/>
    </row>
    <row r="14" spans="1:7" x14ac:dyDescent="0.2">
      <c r="B14" s="9"/>
      <c r="C14" s="8" t="str">
        <f>C9&amp;"-Mx"</f>
        <v>iborYC1M-Mx</v>
      </c>
      <c r="D14" s="8" t="str">
        <f>Currency&amp;C14</f>
        <v>EuriborYC1M-Mx</v>
      </c>
      <c r="E14" s="7" t="str">
        <f>_xll.qlRelinkableHandleYieldTermStructure(D14,,Permanent,Trigger,ObjectOverwrite)</f>
        <v>EuriborYC1M-Mx#0049</v>
      </c>
      <c r="F14" s="6" t="str">
        <f>_xll.ohRangeRetrieveError(E14)</f>
        <v/>
      </c>
      <c r="G14" s="5"/>
    </row>
    <row r="15" spans="1:7" x14ac:dyDescent="0.2">
      <c r="B15" s="9"/>
      <c r="C15" s="8" t="str">
        <f>C10&amp;"-Mx"</f>
        <v>iborYC3M-Mx</v>
      </c>
      <c r="D15" s="8" t="str">
        <f>Currency&amp;C15</f>
        <v>EuriborYC3M-Mx</v>
      </c>
      <c r="E15" s="7" t="str">
        <f>_xll.qlRelinkableHandleYieldTermStructure(D15,,Permanent,Trigger,ObjectOverwrite)</f>
        <v>EuriborYC3M-Mx#0049</v>
      </c>
      <c r="F15" s="6" t="str">
        <f>_xll.ohRangeRetrieveError(E15)</f>
        <v/>
      </c>
      <c r="G15" s="5"/>
    </row>
    <row r="16" spans="1:7" x14ac:dyDescent="0.2">
      <c r="B16" s="9"/>
      <c r="C16" s="8" t="str">
        <f>C11&amp;"-Mx"</f>
        <v>iborYC6M-Mx</v>
      </c>
      <c r="D16" s="8" t="str">
        <f>Currency&amp;C16</f>
        <v>EuriborYC6M-Mx</v>
      </c>
      <c r="E16" s="7" t="str">
        <f>_xll.qlRelinkableHandleYieldTermStructure(D16,,Permanent,Trigger,ObjectOverwrite)</f>
        <v>EuriborYC6M-Mx#0049</v>
      </c>
      <c r="F16" s="6" t="str">
        <f>_xll.ohRangeRetrieveError(E16)</f>
        <v/>
      </c>
      <c r="G16" s="5"/>
    </row>
    <row r="17" spans="2:7" x14ac:dyDescent="0.2">
      <c r="B17" s="9"/>
      <c r="C17" s="8" t="str">
        <f>C12&amp;"-Mx"</f>
        <v>iborYC1Y-Mx</v>
      </c>
      <c r="D17" s="8" t="str">
        <f>Currency&amp;C17</f>
        <v>EuriborYC1Y-Mx</v>
      </c>
      <c r="E17" s="7" t="str">
        <f>_xll.qlRelinkableHandleYieldTermStructure(D17,,Permanent,Trigger,ObjectOverwrite)</f>
        <v>EuriborYC1Y-Mx#0049</v>
      </c>
      <c r="F17" s="6" t="str">
        <f>_xll.ohRangeRetrieveError(E17)</f>
        <v/>
      </c>
      <c r="G17" s="5"/>
    </row>
    <row r="18" spans="2:7" x14ac:dyDescent="0.2">
      <c r="B18" s="9"/>
      <c r="C18" s="8" t="s">
        <v>16</v>
      </c>
      <c r="D18" s="8" t="str">
        <f>Currency&amp;C18</f>
        <v>EurLiborYCON</v>
      </c>
      <c r="E18" s="7" t="str">
        <f>_xll.qlRelinkableHandleYieldTermStructure(D18,,Permanent,Trigger,ObjectOverwrite)</f>
        <v>EurLiborYCON#0049</v>
      </c>
      <c r="F18" s="6" t="str">
        <f>_xll.ohRangeRetrieveError(E18)</f>
        <v/>
      </c>
      <c r="G18" s="5"/>
    </row>
    <row r="19" spans="2:7" x14ac:dyDescent="0.2">
      <c r="B19" s="9"/>
      <c r="C19" s="8" t="s">
        <v>15</v>
      </c>
      <c r="D19" s="8" t="str">
        <f>Currency&amp;C19</f>
        <v>EurLiborYC1M</v>
      </c>
      <c r="E19" s="7" t="str">
        <f>_xll.qlRelinkableHandleYieldTermStructure(D19,,Permanent,Trigger,ObjectOverwrite)</f>
        <v>EurLiborYC1M#0049</v>
      </c>
      <c r="F19" s="6" t="str">
        <f>_xll.ohRangeRetrieveError(E19)</f>
        <v/>
      </c>
      <c r="G19" s="5"/>
    </row>
    <row r="20" spans="2:7" x14ac:dyDescent="0.2">
      <c r="B20" s="9"/>
      <c r="C20" s="8" t="s">
        <v>14</v>
      </c>
      <c r="D20" s="8" t="str">
        <f>Currency&amp;C20</f>
        <v>EurLiborYC3M</v>
      </c>
      <c r="E20" s="7" t="str">
        <f>_xll.qlRelinkableHandleYieldTermStructure(D20,,Permanent,Trigger,ObjectOverwrite)</f>
        <v>EurLiborYC3M#0049</v>
      </c>
      <c r="F20" s="6" t="str">
        <f>_xll.ohRangeRetrieveError(E20)</f>
        <v/>
      </c>
      <c r="G20" s="5"/>
    </row>
    <row r="21" spans="2:7" x14ac:dyDescent="0.2">
      <c r="B21" s="9"/>
      <c r="C21" s="8" t="s">
        <v>13</v>
      </c>
      <c r="D21" s="8" t="str">
        <f>Currency&amp;C21</f>
        <v>EurLiborYC6M</v>
      </c>
      <c r="E21" s="7" t="str">
        <f>_xll.qlRelinkableHandleYieldTermStructure(D21,,Permanent,Trigger,ObjectOverwrite)</f>
        <v>EurLiborYC6M#0049</v>
      </c>
      <c r="F21" s="6" t="str">
        <f>_xll.ohRangeRetrieveError(E21)</f>
        <v/>
      </c>
      <c r="G21" s="5"/>
    </row>
    <row r="22" spans="2:7" x14ac:dyDescent="0.2">
      <c r="B22" s="9"/>
      <c r="C22" s="8" t="s">
        <v>12</v>
      </c>
      <c r="D22" s="8" t="str">
        <f>Currency&amp;C22</f>
        <v>EurLiborYC1Y</v>
      </c>
      <c r="E22" s="7" t="str">
        <f>_xll.qlRelinkableHandleYieldTermStructure(D22,,Permanent,Trigger,ObjectOverwrite)</f>
        <v>EurLiborYC1Y#0049</v>
      </c>
      <c r="F22" s="6" t="str">
        <f>_xll.ohRangeRetrieveError(E22)</f>
        <v/>
      </c>
      <c r="G22" s="5"/>
    </row>
    <row r="23" spans="2:7" x14ac:dyDescent="0.2">
      <c r="B23" s="9"/>
      <c r="C23" s="12"/>
      <c r="D23" s="13"/>
      <c r="E23" s="13"/>
      <c r="F23" s="13"/>
      <c r="G23" s="5"/>
    </row>
    <row r="24" spans="2:7" x14ac:dyDescent="0.2">
      <c r="B24" s="9"/>
      <c r="C24" s="12"/>
      <c r="D24" s="11" t="str">
        <f>UPPER(Currency)&amp;"_RH_SwaptionVolatilityStructure.xml"</f>
        <v>EUR_RH_SwaptionVolatilityStructure.xml</v>
      </c>
      <c r="E24" s="10">
        <f ca="1">IF(Serialize,_xll.ohObjectSave(E25:E26,SerializationPath&amp;D24,FileOverwrite,,Serialize),"---")</f>
        <v>2</v>
      </c>
      <c r="F24" s="6" t="str">
        <f ca="1">_xll.ohRangeRetrieveError(E24)</f>
        <v/>
      </c>
      <c r="G24" s="5"/>
    </row>
    <row r="25" spans="2:7" x14ac:dyDescent="0.2">
      <c r="B25" s="9"/>
      <c r="C25" s="8" t="s">
        <v>11</v>
      </c>
      <c r="D25" s="8" t="str">
        <f>Currency&amp;C25</f>
        <v>EurSwaptionATMVol</v>
      </c>
      <c r="E25" s="7" t="str">
        <f>_xll.qlRelinkableHandleSwaptionVolatilityStructure(D25,,Permanent,Trigger,ObjectOverwrite)</f>
        <v>EurSwaptionATMVol#0049</v>
      </c>
      <c r="F25" s="6" t="str">
        <f>_xll.ohRangeRetrieveError(E25)</f>
        <v/>
      </c>
      <c r="G25" s="5"/>
    </row>
    <row r="26" spans="2:7" x14ac:dyDescent="0.2">
      <c r="B26" s="9"/>
      <c r="C26" s="8" t="s">
        <v>10</v>
      </c>
      <c r="D26" s="8" t="str">
        <f>Currency&amp;C26</f>
        <v>EurSwaptionVol</v>
      </c>
      <c r="E26" s="7" t="str">
        <f>_xll.qlRelinkableHandleSwaptionVolatilityStructure(D26,,Permanent,Trigger,ObjectOverwrite)</f>
        <v>EurSwaptionVol#0049</v>
      </c>
      <c r="F26" s="6" t="str">
        <f>_xll.ohRangeRetrieveError(E26)</f>
        <v/>
      </c>
      <c r="G26" s="5"/>
    </row>
    <row r="27" spans="2:7" x14ac:dyDescent="0.2">
      <c r="B27" s="9"/>
      <c r="C27" s="12"/>
      <c r="D27" s="13"/>
      <c r="E27" s="13"/>
      <c r="F27" s="13"/>
      <c r="G27" s="5"/>
    </row>
    <row r="28" spans="2:7" x14ac:dyDescent="0.2">
      <c r="B28" s="9"/>
      <c r="C28" s="12"/>
      <c r="D28" s="11" t="str">
        <f>UPPER(Currency)&amp;"_RH_OptionletVolatilityStructure.xml"</f>
        <v>EUR_RH_OptionletVolatilityStructure.xml</v>
      </c>
      <c r="E28" s="10">
        <f ca="1">IF(Serialize,_xll.ohObjectSave(E29:E38,SerializationPath&amp;D28,FileOverwrite,,Serialize),"---")</f>
        <v>10</v>
      </c>
      <c r="F28" s="6" t="str">
        <f ca="1">_xll.ohRangeRetrieveError(E28)</f>
        <v/>
      </c>
      <c r="G28" s="5"/>
    </row>
    <row r="29" spans="2:7" x14ac:dyDescent="0.2">
      <c r="B29" s="9"/>
      <c r="C29" s="8" t="s">
        <v>9</v>
      </c>
      <c r="D29" s="8" t="str">
        <f>Currency&amp;C29</f>
        <v>Eur3MFutOptionVol</v>
      </c>
      <c r="E29" s="7" t="str">
        <f>_xll.qlRelinkableHandleOptionletVolatilityStructure(D29,,Permanent,Trigger,ObjectOverwrite)</f>
        <v>Eur3MFutOptionVol#0049</v>
      </c>
      <c r="F29" s="6" t="str">
        <f>_xll.ohRangeRetrieveError(E29)</f>
        <v/>
      </c>
      <c r="G29" s="5"/>
    </row>
    <row r="30" spans="2:7" x14ac:dyDescent="0.2">
      <c r="B30" s="9"/>
      <c r="C30" s="8" t="s">
        <v>8</v>
      </c>
      <c r="D30" s="8" t="str">
        <f>Currency&amp;C30</f>
        <v>Eur1MCapletVol</v>
      </c>
      <c r="E30" s="7" t="str">
        <f>_xll.qlRelinkableHandleOptionletVolatilityStructure(D30,,Permanent,Trigger,ObjectOverwrite)</f>
        <v>Eur1MCapletVol#0049</v>
      </c>
      <c r="F30" s="6" t="str">
        <f>_xll.ohRangeRetrieveError(E30)</f>
        <v/>
      </c>
      <c r="G30" s="5"/>
    </row>
    <row r="31" spans="2:7" x14ac:dyDescent="0.2">
      <c r="B31" s="9"/>
      <c r="C31" s="8" t="s">
        <v>7</v>
      </c>
      <c r="D31" s="8" t="str">
        <f>Currency&amp;C31</f>
        <v>Eur3MCapletVol</v>
      </c>
      <c r="E31" s="7" t="str">
        <f>_xll.qlRelinkableHandleOptionletVolatilityStructure(D31,,Permanent,Trigger,ObjectOverwrite)</f>
        <v>Eur3MCapletVol#0049</v>
      </c>
      <c r="F31" s="6" t="str">
        <f>_xll.ohRangeRetrieveError(E31)</f>
        <v/>
      </c>
      <c r="G31" s="5"/>
    </row>
    <row r="32" spans="2:7" x14ac:dyDescent="0.2">
      <c r="B32" s="9"/>
      <c r="C32" s="8" t="s">
        <v>6</v>
      </c>
      <c r="D32" s="8" t="str">
        <f>Currency&amp;C32</f>
        <v>Eur6MCapletVol</v>
      </c>
      <c r="E32" s="7" t="str">
        <f>_xll.qlRelinkableHandleOptionletVolatilityStructure(D32,,Permanent,Trigger,ObjectOverwrite)</f>
        <v>Eur6MCapletVol#0049</v>
      </c>
      <c r="F32" s="6" t="str">
        <f>_xll.ohRangeRetrieveError(E32)</f>
        <v/>
      </c>
      <c r="G32" s="5"/>
    </row>
    <row r="33" spans="2:7" x14ac:dyDescent="0.2">
      <c r="B33" s="9"/>
      <c r="C33" s="8" t="s">
        <v>5</v>
      </c>
      <c r="D33" s="8" t="str">
        <f>Currency&amp;C33</f>
        <v>Eur1YCapletVol</v>
      </c>
      <c r="E33" s="7" t="str">
        <f>_xll.qlRelinkableHandleOptionletVolatilityStructure(D33,,Permanent,Trigger,ObjectOverwrite)</f>
        <v>Eur1YCapletVol#0049</v>
      </c>
      <c r="F33" s="6" t="str">
        <f>_xll.ohRangeRetrieveError(E33)</f>
        <v/>
      </c>
      <c r="G33" s="5"/>
    </row>
    <row r="34" spans="2:7" x14ac:dyDescent="0.2">
      <c r="B34" s="9"/>
      <c r="C34" s="8" t="s">
        <v>4</v>
      </c>
      <c r="D34" s="8" t="str">
        <f>Currency&amp;C34</f>
        <v>Eur3MFutOptionVolEx</v>
      </c>
      <c r="E34" s="7" t="str">
        <f>_xll.qlRelinkableHandleOptionletVolatilityStructure(D34,,Permanent,Trigger,ObjectOverwrite)</f>
        <v>Eur3MFutOptionVolEx#0049</v>
      </c>
      <c r="F34" s="6" t="str">
        <f>_xll.ohRangeRetrieveError(E34)</f>
        <v/>
      </c>
      <c r="G34" s="5"/>
    </row>
    <row r="35" spans="2:7" x14ac:dyDescent="0.2">
      <c r="B35" s="9"/>
      <c r="C35" s="8" t="s">
        <v>3</v>
      </c>
      <c r="D35" s="8" t="str">
        <f>Currency&amp;C35</f>
        <v>Eur1MCapletVolEx</v>
      </c>
      <c r="E35" s="7" t="str">
        <f>_xll.qlRelinkableHandleOptionletVolatilityStructure(D35,,Permanent,Trigger,ObjectOverwrite)</f>
        <v>Eur1MCapletVolEx#0049</v>
      </c>
      <c r="F35" s="6" t="str">
        <f>_xll.ohRangeRetrieveError(E35)</f>
        <v/>
      </c>
      <c r="G35" s="5"/>
    </row>
    <row r="36" spans="2:7" x14ac:dyDescent="0.2">
      <c r="B36" s="9"/>
      <c r="C36" s="8" t="s">
        <v>2</v>
      </c>
      <c r="D36" s="8" t="str">
        <f>Currency&amp;C36</f>
        <v>Eur3MCapletVolEx</v>
      </c>
      <c r="E36" s="7" t="str">
        <f>_xll.qlRelinkableHandleOptionletVolatilityStructure(D36,,Permanent,Trigger,ObjectOverwrite)</f>
        <v>Eur3MCapletVolEx#0049</v>
      </c>
      <c r="F36" s="6" t="str">
        <f>_xll.ohRangeRetrieveError(E36)</f>
        <v/>
      </c>
      <c r="G36" s="5"/>
    </row>
    <row r="37" spans="2:7" x14ac:dyDescent="0.2">
      <c r="B37" s="9"/>
      <c r="C37" s="8" t="s">
        <v>1</v>
      </c>
      <c r="D37" s="8" t="str">
        <f>Currency&amp;C37</f>
        <v>Eur6MCapletVolEx</v>
      </c>
      <c r="E37" s="7" t="str">
        <f>_xll.qlRelinkableHandleOptionletVolatilityStructure(D37,,Permanent,Trigger,ObjectOverwrite)</f>
        <v>Eur6MCapletVolEx#0049</v>
      </c>
      <c r="F37" s="6" t="str">
        <f>_xll.ohRangeRetrieveError(E37)</f>
        <v/>
      </c>
      <c r="G37" s="5"/>
    </row>
    <row r="38" spans="2:7" x14ac:dyDescent="0.2">
      <c r="B38" s="9"/>
      <c r="C38" s="8" t="s">
        <v>0</v>
      </c>
      <c r="D38" s="8" t="str">
        <f>Currency&amp;C38</f>
        <v>Eur1YCapletVolEx</v>
      </c>
      <c r="E38" s="7" t="str">
        <f>_xll.qlRelinkableHandleOptionletVolatilityStructure(D38,,Permanent,Trigger,ObjectOverwrite)</f>
        <v>Eur1YCapletVolEx#0049</v>
      </c>
      <c r="F38" s="6" t="str">
        <f>_xll.ohRangeRetrieveError(E38)</f>
        <v/>
      </c>
      <c r="G38" s="5"/>
    </row>
    <row r="39" spans="2:7" ht="13.5" thickBot="1" x14ac:dyDescent="0.25">
      <c r="B39" s="4"/>
      <c r="C39" s="3"/>
      <c r="D39" s="3"/>
      <c r="E39" s="3"/>
      <c r="F39" s="3"/>
      <c r="G39" s="2"/>
    </row>
  </sheetData>
  <dataValidations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50"/>
  <sheetViews>
    <sheetView workbookViewId="0"/>
  </sheetViews>
  <sheetFormatPr defaultRowHeight="12.75" x14ac:dyDescent="0.2"/>
  <cols>
    <col min="1" max="1" width="2.85546875" style="20" customWidth="1"/>
    <col min="2" max="2" width="6.5703125" style="20" customWidth="1"/>
    <col min="3" max="3" width="15.5703125" style="20" bestFit="1" customWidth="1"/>
    <col min="4" max="4" width="79.140625" style="20" bestFit="1" customWidth="1"/>
    <col min="5" max="5" width="5" style="20" customWidth="1"/>
    <col min="6" max="6" width="50.42578125" style="20" customWidth="1"/>
    <col min="7" max="7" width="5.7109375" style="20" customWidth="1"/>
    <col min="8" max="16384" width="9.140625" style="20"/>
  </cols>
  <sheetData>
    <row r="1" spans="1:29" ht="13.5" thickBot="1" x14ac:dyDescent="0.25">
      <c r="A1" s="23" t="s">
        <v>33</v>
      </c>
      <c r="B1" s="23" t="str">
        <f>_xll.qlxlVersion(TRUE,Trigger)</f>
        <v>QuantLibXL 1.3.0 - MS VC++ 9.0 - Multithreaded Static Runtime library - Release Configuration - Dec  5 2013 11:03:51</v>
      </c>
      <c r="C1" s="23"/>
      <c r="D1" s="23"/>
      <c r="E1" s="23"/>
      <c r="F1" s="23"/>
      <c r="G1" s="23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</row>
    <row r="2" spans="1:29" ht="15.75" x14ac:dyDescent="0.25">
      <c r="A2" s="23"/>
      <c r="B2" s="28" t="s">
        <v>32</v>
      </c>
      <c r="C2" s="27"/>
      <c r="D2" s="27"/>
      <c r="E2" s="26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</row>
    <row r="3" spans="1:29" x14ac:dyDescent="0.2">
      <c r="A3" s="23"/>
      <c r="B3" s="9"/>
      <c r="C3" s="13"/>
      <c r="D3" s="13"/>
      <c r="E3" s="5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2">
      <c r="A4" s="23"/>
      <c r="B4" s="9"/>
      <c r="C4" s="16" t="s">
        <v>31</v>
      </c>
      <c r="D4" s="15"/>
      <c r="E4" s="14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</row>
    <row r="5" spans="1:29" x14ac:dyDescent="0.2">
      <c r="A5" s="23"/>
      <c r="B5" s="9"/>
      <c r="C5" s="16" t="s">
        <v>30</v>
      </c>
      <c r="D5" s="15" t="b">
        <v>1</v>
      </c>
      <c r="E5" s="14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</row>
    <row r="6" spans="1:29" x14ac:dyDescent="0.2">
      <c r="A6" s="23"/>
      <c r="B6" s="9"/>
      <c r="C6" s="16" t="s">
        <v>29</v>
      </c>
      <c r="D6" s="15" t="b">
        <v>0</v>
      </c>
      <c r="E6" s="14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29" x14ac:dyDescent="0.2">
      <c r="A7" s="23"/>
      <c r="B7" s="9"/>
      <c r="C7" s="16" t="s">
        <v>28</v>
      </c>
      <c r="D7" s="15" t="b">
        <v>1</v>
      </c>
      <c r="E7" s="14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</row>
    <row r="8" spans="1:29" x14ac:dyDescent="0.2">
      <c r="A8" s="23"/>
      <c r="B8" s="9"/>
      <c r="C8" s="16" t="s">
        <v>27</v>
      </c>
      <c r="D8" s="25" t="str">
        <f ca="1">SUBSTITUTE(LEFT(CELL("filename",A1),FIND("[",CELL("filename",A1),1)-1),"\XLS\","\XML\")</f>
        <v>C:\Users\erik\Documents\repos\quantlib_nando\QuantLibXL\Data2\XML\</v>
      </c>
      <c r="E8" s="14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</row>
    <row r="9" spans="1:29" x14ac:dyDescent="0.2">
      <c r="A9" s="23"/>
      <c r="B9" s="9"/>
      <c r="C9" s="16" t="s">
        <v>26</v>
      </c>
      <c r="D9" s="24" t="b">
        <v>1</v>
      </c>
      <c r="E9" s="14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</row>
    <row r="10" spans="1:29" ht="13.5" thickBot="1" x14ac:dyDescent="0.25">
      <c r="A10" s="23"/>
      <c r="B10" s="4"/>
      <c r="C10" s="3"/>
      <c r="D10" s="3"/>
      <c r="E10" s="2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</row>
    <row r="11" spans="1:29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</row>
    <row r="12" spans="1:29" x14ac:dyDescent="0.2">
      <c r="A12" s="1"/>
      <c r="B12" s="1"/>
      <c r="C12" s="22"/>
      <c r="D12" s="22"/>
      <c r="E12" s="22"/>
      <c r="F12" s="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</row>
    <row r="13" spans="1:29" x14ac:dyDescent="0.2">
      <c r="A13" s="1"/>
      <c r="B13" s="1"/>
      <c r="C13" s="22"/>
      <c r="D13" s="22"/>
      <c r="E13" s="22"/>
      <c r="F13" s="22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</row>
    <row r="14" spans="1:29" x14ac:dyDescent="0.2">
      <c r="A14" s="1"/>
      <c r="B14" s="1"/>
      <c r="C14" s="22"/>
      <c r="D14" s="22"/>
      <c r="E14" s="22"/>
      <c r="F14" s="22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 x14ac:dyDescent="0.2">
      <c r="A15" s="1"/>
      <c r="B15" s="1"/>
      <c r="C15" s="22"/>
      <c r="D15" s="22"/>
      <c r="E15" s="22"/>
      <c r="F15" s="22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</row>
    <row r="16" spans="1:29" x14ac:dyDescent="0.2">
      <c r="A16" s="1"/>
      <c r="B16" s="1"/>
      <c r="C16" s="22"/>
      <c r="D16" s="22"/>
      <c r="E16" s="22"/>
      <c r="F16" s="22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</row>
    <row r="17" spans="1:29" x14ac:dyDescent="0.2">
      <c r="A17" s="1"/>
      <c r="B17" s="1"/>
      <c r="C17" s="22"/>
      <c r="D17" s="22"/>
      <c r="E17" s="22"/>
      <c r="F17" s="22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</row>
    <row r="18" spans="1:29" x14ac:dyDescent="0.2">
      <c r="A18" s="1"/>
      <c r="B18" s="1"/>
      <c r="C18" s="22"/>
      <c r="D18" s="22"/>
      <c r="E18" s="22"/>
      <c r="F18" s="22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</row>
    <row r="19" spans="1:29" x14ac:dyDescent="0.2">
      <c r="A19" s="1"/>
      <c r="B19" s="1"/>
      <c r="C19" s="22"/>
      <c r="D19" s="22"/>
      <c r="E19" s="22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29" x14ac:dyDescent="0.2">
      <c r="A20" s="1"/>
      <c r="B20" s="1"/>
      <c r="C20" s="22"/>
      <c r="D20" s="22"/>
      <c r="E20" s="22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1:29" x14ac:dyDescent="0.2">
      <c r="A21" s="1"/>
      <c r="B21" s="1"/>
      <c r="C21" s="22"/>
      <c r="D21" s="22"/>
      <c r="E21" s="22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1:29" x14ac:dyDescent="0.2">
      <c r="A22" s="1"/>
      <c r="B22" s="1"/>
      <c r="C22" s="22"/>
      <c r="D22" s="22"/>
      <c r="E22" s="22"/>
      <c r="F22" s="22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1:29" x14ac:dyDescent="0.2">
      <c r="A23" s="1"/>
      <c r="B23" s="1"/>
      <c r="C23" s="22"/>
      <c r="D23" s="22"/>
      <c r="E23" s="22"/>
      <c r="F23" s="22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</row>
    <row r="24" spans="1:29" x14ac:dyDescent="0.2">
      <c r="A24" s="1"/>
      <c r="B24" s="1"/>
      <c r="C24" s="22"/>
      <c r="D24" s="22"/>
      <c r="E24" s="22"/>
      <c r="F24" s="22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</row>
    <row r="25" spans="1:29" x14ac:dyDescent="0.2">
      <c r="A25" s="1"/>
      <c r="B25" s="1"/>
      <c r="C25" s="22"/>
      <c r="D25" s="22"/>
      <c r="E25" s="22"/>
      <c r="F25" s="2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</row>
    <row r="26" spans="1:29" x14ac:dyDescent="0.2">
      <c r="A26" s="1"/>
      <c r="B26" s="1"/>
      <c r="C26" s="22"/>
      <c r="D26" s="22"/>
      <c r="E26" s="22"/>
      <c r="F26" s="22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</row>
    <row r="27" spans="1:29" x14ac:dyDescent="0.2">
      <c r="A27" s="1"/>
      <c r="B27" s="1"/>
      <c r="C27" s="22"/>
      <c r="D27" s="22"/>
      <c r="E27" s="22"/>
      <c r="F27" s="22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1:29" x14ac:dyDescent="0.2">
      <c r="A28" s="1"/>
      <c r="B28" s="1"/>
      <c r="C28" s="22"/>
      <c r="D28" s="22"/>
      <c r="E28" s="22"/>
      <c r="F28" s="22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</row>
    <row r="29" spans="1:29" x14ac:dyDescent="0.2">
      <c r="A29" s="1"/>
      <c r="B29" s="1"/>
      <c r="C29" s="22"/>
      <c r="D29" s="22"/>
      <c r="E29" s="22"/>
      <c r="F29" s="22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</row>
    <row r="30" spans="1:29" x14ac:dyDescent="0.2">
      <c r="A30" s="1"/>
      <c r="B30" s="1"/>
      <c r="C30" s="22"/>
      <c r="D30" s="22"/>
      <c r="E30" s="22"/>
      <c r="F30" s="22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29" x14ac:dyDescent="0.2">
      <c r="A31" s="1"/>
      <c r="B31" s="1"/>
      <c r="C31" s="22"/>
      <c r="D31" s="22"/>
      <c r="E31" s="22"/>
      <c r="F31" s="22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29" x14ac:dyDescent="0.2">
      <c r="A32" s="1"/>
      <c r="B32" s="1"/>
      <c r="C32" s="22"/>
      <c r="D32" s="22"/>
      <c r="E32" s="22"/>
      <c r="F32" s="22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spans="1:29" x14ac:dyDescent="0.2">
      <c r="A33" s="1"/>
      <c r="B33" s="1"/>
      <c r="C33" s="22"/>
      <c r="D33" s="22"/>
      <c r="E33" s="22"/>
      <c r="F33" s="22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1:29" x14ac:dyDescent="0.2">
      <c r="A34" s="1"/>
      <c r="B34" s="1"/>
      <c r="C34" s="22"/>
      <c r="D34" s="22"/>
      <c r="E34" s="22"/>
      <c r="F34" s="22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</row>
    <row r="35" spans="1:29" x14ac:dyDescent="0.2">
      <c r="A35" s="1"/>
      <c r="B35" s="1"/>
      <c r="C35" s="22"/>
      <c r="D35" s="22"/>
      <c r="E35" s="22"/>
      <c r="F35" s="22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1:29" x14ac:dyDescent="0.2">
      <c r="A36" s="1"/>
      <c r="B36" s="1"/>
      <c r="C36" s="22"/>
      <c r="D36" s="22"/>
      <c r="E36" s="22"/>
      <c r="F36" s="22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1:29" x14ac:dyDescent="0.2">
      <c r="A37" s="1"/>
      <c r="B37" s="1"/>
      <c r="C37" s="22"/>
      <c r="D37" s="22"/>
      <c r="E37" s="22"/>
      <c r="F37" s="22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spans="1:29" x14ac:dyDescent="0.2">
      <c r="A38" s="1"/>
      <c r="B38" s="1"/>
      <c r="C38" s="22"/>
      <c r="D38" s="22"/>
      <c r="E38" s="22"/>
      <c r="F38" s="22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</row>
    <row r="39" spans="1:29" x14ac:dyDescent="0.2">
      <c r="A39" s="1"/>
      <c r="B39" s="1"/>
      <c r="C39" s="22"/>
      <c r="D39" s="22"/>
      <c r="E39" s="22"/>
      <c r="F39" s="22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</row>
    <row r="40" spans="1:29" x14ac:dyDescent="0.2">
      <c r="A40" s="1"/>
      <c r="B40" s="1"/>
      <c r="C40" s="22"/>
      <c r="D40" s="22"/>
      <c r="E40" s="22"/>
      <c r="F40" s="22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</row>
    <row r="41" spans="1:29" x14ac:dyDescent="0.2">
      <c r="A41" s="1"/>
      <c r="B41" s="1"/>
      <c r="C41" s="22"/>
      <c r="D41" s="22"/>
      <c r="E41" s="22"/>
      <c r="F41" s="22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</row>
    <row r="42" spans="1:29" x14ac:dyDescent="0.2">
      <c r="A42" s="1"/>
      <c r="B42" s="1"/>
      <c r="C42" s="22"/>
      <c r="D42" s="22"/>
      <c r="E42" s="22"/>
      <c r="F42" s="22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</row>
    <row r="43" spans="1:29" x14ac:dyDescent="0.2">
      <c r="A43" s="1"/>
      <c r="B43" s="1"/>
      <c r="C43" s="22"/>
      <c r="D43" s="22"/>
      <c r="E43" s="22"/>
      <c r="F43" s="22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</row>
    <row r="44" spans="1:29" x14ac:dyDescent="0.2">
      <c r="A44" s="1"/>
      <c r="B44" s="1"/>
      <c r="C44" s="22"/>
      <c r="D44" s="22"/>
      <c r="E44" s="22"/>
      <c r="F44" s="22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</row>
    <row r="45" spans="1:29" x14ac:dyDescent="0.2">
      <c r="A45" s="1"/>
      <c r="B45" s="1"/>
      <c r="C45" s="22"/>
      <c r="D45" s="22"/>
      <c r="E45" s="22"/>
      <c r="F45" s="22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</row>
    <row r="46" spans="1:29" x14ac:dyDescent="0.2">
      <c r="A46" s="1"/>
      <c r="B46" s="1"/>
      <c r="C46" s="22"/>
      <c r="D46" s="22"/>
      <c r="E46" s="22"/>
      <c r="F46" s="22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</row>
    <row r="47" spans="1:29" x14ac:dyDescent="0.2">
      <c r="A47" s="1"/>
      <c r="B47" s="1"/>
      <c r="C47" s="22"/>
      <c r="D47" s="22"/>
      <c r="E47" s="22"/>
      <c r="F47" s="22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</row>
    <row r="48" spans="1:29" x14ac:dyDescent="0.2">
      <c r="A48" s="1"/>
      <c r="B48" s="1"/>
      <c r="C48" s="22"/>
      <c r="D48" s="22"/>
      <c r="E48" s="22"/>
      <c r="F48" s="22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</row>
    <row r="49" spans="1:29" x14ac:dyDescent="0.2">
      <c r="A49" s="1"/>
      <c r="B49" s="1"/>
      <c r="C49" s="22"/>
      <c r="D49" s="22"/>
      <c r="E49" s="22"/>
      <c r="F49" s="22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</row>
    <row r="50" spans="1:29" x14ac:dyDescent="0.2">
      <c r="C50" s="21"/>
      <c r="D50" s="21"/>
      <c r="E50" s="21"/>
      <c r="F50" s="21"/>
    </row>
  </sheetData>
  <dataConsolidate/>
  <mergeCells count="1">
    <mergeCell ref="B2:E2"/>
  </mergeCells>
  <pageMargins left="0.75" right="0.75" top="1" bottom="1" header="0.5" footer="0.5"/>
  <pageSetup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4"/>
  <sheetViews>
    <sheetView workbookViewId="0"/>
  </sheetViews>
  <sheetFormatPr defaultRowHeight="12.75" x14ac:dyDescent="0.2"/>
  <cols>
    <col min="1" max="1" width="3.140625" style="1" customWidth="1"/>
    <col min="2" max="2" width="4" style="1" bestFit="1" customWidth="1"/>
    <col min="3" max="3" width="5.7109375" style="1" bestFit="1" customWidth="1"/>
    <col min="4" max="4" width="12.5703125" style="1" bestFit="1" customWidth="1"/>
    <col min="5" max="5" width="11.42578125" style="1" bestFit="1" customWidth="1"/>
    <col min="6" max="6" width="13.28515625" style="1" bestFit="1" customWidth="1"/>
    <col min="7" max="7" width="24.5703125" style="1" bestFit="1" customWidth="1"/>
    <col min="8" max="8" width="63.7109375" style="1" customWidth="1"/>
    <col min="9" max="9" width="54.7109375" style="1" customWidth="1"/>
    <col min="10" max="16384" width="9.140625" style="1"/>
  </cols>
  <sheetData>
    <row r="1" spans="1:10" s="29" customFormat="1" ht="12" thickBot="1" x14ac:dyDescent="0.25">
      <c r="A1" s="29" t="s">
        <v>124</v>
      </c>
    </row>
    <row r="2" spans="1:10" s="29" customFormat="1" x14ac:dyDescent="0.2">
      <c r="B2" s="49"/>
      <c r="C2" s="48"/>
      <c r="D2" s="48"/>
      <c r="E2" s="47"/>
      <c r="F2" s="46"/>
      <c r="G2" s="46"/>
      <c r="H2" s="46"/>
      <c r="I2" s="46"/>
      <c r="J2" s="45"/>
    </row>
    <row r="3" spans="1:10" s="29" customFormat="1" x14ac:dyDescent="0.2">
      <c r="B3" s="34"/>
      <c r="C3" s="43"/>
      <c r="D3" s="43"/>
      <c r="E3" s="16" t="s">
        <v>54</v>
      </c>
      <c r="F3" s="44" t="s">
        <v>53</v>
      </c>
      <c r="G3" s="42"/>
      <c r="H3" s="42"/>
      <c r="I3" s="42"/>
      <c r="J3" s="35"/>
    </row>
    <row r="4" spans="1:10" s="29" customFormat="1" x14ac:dyDescent="0.2">
      <c r="B4" s="34"/>
      <c r="C4" s="43"/>
      <c r="D4" s="43"/>
      <c r="E4" s="42"/>
      <c r="F4" s="42"/>
      <c r="G4" s="42"/>
      <c r="H4" s="42"/>
      <c r="I4" s="42"/>
      <c r="J4" s="35"/>
    </row>
    <row r="5" spans="1:10" s="29" customFormat="1" x14ac:dyDescent="0.2">
      <c r="B5" s="34"/>
      <c r="C5" s="41" t="s">
        <v>52</v>
      </c>
      <c r="D5" s="40" t="s">
        <v>51</v>
      </c>
      <c r="E5" s="39" t="str">
        <f>PROPER(Currency)&amp;FamilyName&amp;".xml"</f>
        <v>Euribor.xml</v>
      </c>
      <c r="F5" s="10">
        <f ca="1">IF(Serialize,_xll.ohObjectSave(F6:G22,SerializationPath&amp;FileName,FileOverwrite,,Serialize),"---")</f>
        <v>33</v>
      </c>
      <c r="G5" s="38"/>
      <c r="H5" s="7" t="str">
        <f ca="1">_xll.ohRangeRetrieveError(F5)</f>
        <v/>
      </c>
      <c r="I5" s="37"/>
      <c r="J5" s="35"/>
    </row>
    <row r="6" spans="1:10" s="29" customFormat="1" x14ac:dyDescent="0.2">
      <c r="B6" s="34"/>
      <c r="C6" s="33" t="s">
        <v>50</v>
      </c>
      <c r="D6" s="32" t="s">
        <v>23</v>
      </c>
      <c r="E6" s="36"/>
      <c r="F6" s="30" t="str">
        <f>_xll.qlEonia(C6,Currency&amp;$D6,Permanent,Trigger,ObjectOverwrite)</f>
        <v>Eonia2#0047</v>
      </c>
      <c r="G6" s="30"/>
      <c r="H6" s="7" t="str">
        <f>_xll.ohRangeRetrieveError(F6)</f>
        <v/>
      </c>
      <c r="I6" s="7" t="str">
        <f>_xll.ohRangeRetrieveError(G6)</f>
        <v/>
      </c>
      <c r="J6" s="35"/>
    </row>
    <row r="7" spans="1:10" s="29" customFormat="1" x14ac:dyDescent="0.2">
      <c r="B7" s="34"/>
      <c r="C7" s="33" t="s">
        <v>49</v>
      </c>
      <c r="D7" s="32" t="s">
        <v>21</v>
      </c>
      <c r="E7" s="36" t="s">
        <v>49</v>
      </c>
      <c r="F7" s="30" t="str">
        <f>_xll.qlEonia(C7,Currency&amp;$D7,Permanent,Trigger,ObjectOverwrite)</f>
        <v>Eonia#0047</v>
      </c>
      <c r="G7" s="30" t="str">
        <f>_xll.qlLastFixingQuote(E7&amp;"LastFixing_Quote",F7,Permanent,Trigger,ObjectOverwrite)</f>
        <v>EoniaLastFixing_Quote#0047</v>
      </c>
      <c r="H7" s="7" t="str">
        <f>_xll.ohRangeRetrieveError(F7)</f>
        <v/>
      </c>
      <c r="I7" s="7" t="str">
        <f>_xll.ohRangeRetrieveError(G7)</f>
        <v/>
      </c>
      <c r="J7" s="35"/>
    </row>
    <row r="8" spans="1:10" s="29" customFormat="1" x14ac:dyDescent="0.2">
      <c r="B8" s="34"/>
      <c r="C8" s="33" t="s">
        <v>48</v>
      </c>
      <c r="D8" s="32" t="s">
        <v>21</v>
      </c>
      <c r="E8" s="31" t="str">
        <f>PROPER(Currency)&amp;FamilyName&amp;$C8</f>
        <v>EuriborSW</v>
      </c>
      <c r="F8" s="30" t="str">
        <f>_xll.qlEuribor($E8,$C8,Currency&amp;$D8,Permanent,Trigger,ObjectOverwrite)</f>
        <v>EuriborSW#0047</v>
      </c>
      <c r="G8" s="30" t="str">
        <f>_xll.qlLastFixingQuote(E8&amp;"LastFixing_Quote",F8,Permanent,Trigger,ObjectOverwrite)</f>
        <v>EuriborSWLastFixing_Quote#0047</v>
      </c>
      <c r="H8" s="7" t="str">
        <f>_xll.ohRangeRetrieveError(F8)</f>
        <v/>
      </c>
      <c r="I8" s="7" t="str">
        <f>_xll.ohRangeRetrieveError(G8)</f>
        <v/>
      </c>
      <c r="J8" s="5"/>
    </row>
    <row r="9" spans="1:10" s="29" customFormat="1" x14ac:dyDescent="0.2">
      <c r="B9" s="34"/>
      <c r="C9" s="33" t="s">
        <v>47</v>
      </c>
      <c r="D9" s="32" t="s">
        <v>21</v>
      </c>
      <c r="E9" s="31" t="str">
        <f>PROPER(Currency)&amp;FamilyName&amp;$C9</f>
        <v>Euribor2W</v>
      </c>
      <c r="F9" s="30" t="str">
        <f>_xll.qlEuribor($E9,$C9,Currency&amp;$D9,Permanent,Trigger,ObjectOverwrite)</f>
        <v>Euribor2W#0047</v>
      </c>
      <c r="G9" s="30" t="str">
        <f>_xll.qlLastFixingQuote(E9&amp;"LastFixing_Quote",F9,Permanent,Trigger,ObjectOverwrite)</f>
        <v>Euribor2WLastFixing_Quote#0047</v>
      </c>
      <c r="H9" s="7" t="str">
        <f>_xll.ohRangeRetrieveError(F9)</f>
        <v/>
      </c>
      <c r="I9" s="7" t="str">
        <f>_xll.ohRangeRetrieveError(G9)</f>
        <v/>
      </c>
      <c r="J9" s="5"/>
    </row>
    <row r="10" spans="1:10" s="29" customFormat="1" x14ac:dyDescent="0.2">
      <c r="B10" s="34"/>
      <c r="C10" s="33" t="s">
        <v>46</v>
      </c>
      <c r="D10" s="32" t="s">
        <v>20</v>
      </c>
      <c r="E10" s="31" t="str">
        <f>PROPER(Currency)&amp;FamilyName&amp;$C10</f>
        <v>Euribor3W</v>
      </c>
      <c r="F10" s="30" t="str">
        <f>_xll.qlEuribor($E10,$C10,Currency&amp;$D10,Permanent,Trigger,ObjectOverwrite)</f>
        <v>Euribor3W#0047</v>
      </c>
      <c r="G10" s="30" t="str">
        <f>_xll.qlLastFixingQuote(E10&amp;"LastFixing_Quote",F10,Permanent,Trigger,ObjectOverwrite)</f>
        <v>Euribor3WLastFixing_Quote#0047</v>
      </c>
      <c r="H10" s="7" t="str">
        <f>_xll.ohRangeRetrieveError(F10)</f>
        <v/>
      </c>
      <c r="I10" s="7" t="str">
        <f>_xll.ohRangeRetrieveError(G10)</f>
        <v/>
      </c>
      <c r="J10" s="5"/>
    </row>
    <row r="11" spans="1:10" s="29" customFormat="1" x14ac:dyDescent="0.2">
      <c r="B11" s="34"/>
      <c r="C11" s="33" t="s">
        <v>45</v>
      </c>
      <c r="D11" s="32" t="s">
        <v>20</v>
      </c>
      <c r="E11" s="31" t="str">
        <f>PROPER(Currency)&amp;FamilyName&amp;$C11</f>
        <v>Euribor1M</v>
      </c>
      <c r="F11" s="30" t="str">
        <f>_xll.qlEuribor($E11,$C11,Currency&amp;$D11,Permanent,Trigger,ObjectOverwrite)</f>
        <v>Euribor1M#0047</v>
      </c>
      <c r="G11" s="30" t="str">
        <f>_xll.qlLastFixingQuote(E11&amp;"LastFixing_Quote",F11,Permanent,Trigger,ObjectOverwrite)</f>
        <v>Euribor1MLastFixing_Quote#0047</v>
      </c>
      <c r="H11" s="7" t="str">
        <f>_xll.ohRangeRetrieveError(F11)</f>
        <v/>
      </c>
      <c r="I11" s="7" t="str">
        <f>_xll.ohRangeRetrieveError(G11)</f>
        <v/>
      </c>
      <c r="J11" s="5"/>
    </row>
    <row r="12" spans="1:10" s="29" customFormat="1" x14ac:dyDescent="0.2">
      <c r="B12" s="34"/>
      <c r="C12" s="33" t="s">
        <v>44</v>
      </c>
      <c r="D12" s="32" t="s">
        <v>19</v>
      </c>
      <c r="E12" s="31" t="str">
        <f>PROPER(Currency)&amp;FamilyName&amp;$C12</f>
        <v>Euribor2M</v>
      </c>
      <c r="F12" s="30" t="str">
        <f>_xll.qlEuribor($E12,$C12,Currency&amp;$D12,Permanent,Trigger,ObjectOverwrite)</f>
        <v>Euribor2M#0047</v>
      </c>
      <c r="G12" s="30" t="str">
        <f>_xll.qlLastFixingQuote(E12&amp;"LastFixing_Quote",F12,Permanent,Trigger,ObjectOverwrite)</f>
        <v>Euribor2MLastFixing_Quote#0047</v>
      </c>
      <c r="H12" s="7" t="str">
        <f>_xll.ohRangeRetrieveError(F12)</f>
        <v/>
      </c>
      <c r="I12" s="7" t="str">
        <f>_xll.ohRangeRetrieveError(G12)</f>
        <v/>
      </c>
      <c r="J12" s="5"/>
    </row>
    <row r="13" spans="1:10" s="29" customFormat="1" x14ac:dyDescent="0.2">
      <c r="B13" s="34"/>
      <c r="C13" s="33" t="s">
        <v>43</v>
      </c>
      <c r="D13" s="32" t="s">
        <v>19</v>
      </c>
      <c r="E13" s="31" t="str">
        <f>PROPER(Currency)&amp;FamilyName&amp;$C13</f>
        <v>Euribor3M</v>
      </c>
      <c r="F13" s="30" t="str">
        <f>_xll.qlEuribor($E13,$C13,Currency&amp;$D13,Permanent,Trigger,ObjectOverwrite)</f>
        <v>Euribor3M#0047</v>
      </c>
      <c r="G13" s="30" t="str">
        <f>_xll.qlLastFixingQuote(E13&amp;"LastFixing_Quote",F13,Permanent,Trigger,ObjectOverwrite)</f>
        <v>Euribor3MLastFixing_Quote#0047</v>
      </c>
      <c r="H13" s="7" t="str">
        <f>_xll.ohRangeRetrieveError(F13)</f>
        <v/>
      </c>
      <c r="I13" s="7" t="str">
        <f>_xll.ohRangeRetrieveError(G13)</f>
        <v/>
      </c>
      <c r="J13" s="5"/>
    </row>
    <row r="14" spans="1:10" s="29" customFormat="1" x14ac:dyDescent="0.2">
      <c r="B14" s="34"/>
      <c r="C14" s="33" t="s">
        <v>42</v>
      </c>
      <c r="D14" s="32" t="s">
        <v>19</v>
      </c>
      <c r="E14" s="31" t="str">
        <f>PROPER(Currency)&amp;FamilyName&amp;$C14</f>
        <v>Euribor4M</v>
      </c>
      <c r="F14" s="30" t="str">
        <f>_xll.qlEuribor($E14,$C14,Currency&amp;$D14,Permanent,Trigger,ObjectOverwrite)</f>
        <v>Euribor4M#0047</v>
      </c>
      <c r="G14" s="30" t="str">
        <f>_xll.qlLastFixingQuote(E14&amp;"LastFixing_Quote",F14,Permanent,Trigger,ObjectOverwrite)</f>
        <v>Euribor4MLastFixing_Quote#0047</v>
      </c>
      <c r="H14" s="7" t="str">
        <f>_xll.ohRangeRetrieveError(F14)</f>
        <v/>
      </c>
      <c r="I14" s="7" t="str">
        <f>_xll.ohRangeRetrieveError(G14)</f>
        <v/>
      </c>
      <c r="J14" s="5"/>
    </row>
    <row r="15" spans="1:10" s="29" customFormat="1" x14ac:dyDescent="0.2">
      <c r="B15" s="34"/>
      <c r="C15" s="33" t="s">
        <v>41</v>
      </c>
      <c r="D15" s="32" t="s">
        <v>18</v>
      </c>
      <c r="E15" s="31" t="str">
        <f>PROPER(Currency)&amp;FamilyName&amp;$C15</f>
        <v>Euribor5M</v>
      </c>
      <c r="F15" s="30" t="str">
        <f>_xll.qlEuribor($E15,$C15,Currency&amp;$D15,Permanent,Trigger,ObjectOverwrite)</f>
        <v>Euribor5M#0047</v>
      </c>
      <c r="G15" s="30" t="str">
        <f>_xll.qlLastFixingQuote(E15&amp;"LastFixing_Quote",F15,Permanent,Trigger,ObjectOverwrite)</f>
        <v>Euribor5MLastFixing_Quote#0047</v>
      </c>
      <c r="H15" s="7" t="str">
        <f>_xll.ohRangeRetrieveError(F15)</f>
        <v/>
      </c>
      <c r="I15" s="7" t="str">
        <f>_xll.ohRangeRetrieveError(G15)</f>
        <v/>
      </c>
      <c r="J15" s="5"/>
    </row>
    <row r="16" spans="1:10" s="29" customFormat="1" x14ac:dyDescent="0.2">
      <c r="B16" s="34"/>
      <c r="C16" s="33" t="s">
        <v>40</v>
      </c>
      <c r="D16" s="32" t="s">
        <v>18</v>
      </c>
      <c r="E16" s="31" t="str">
        <f>PROPER(Currency)&amp;FamilyName&amp;$C16</f>
        <v>Euribor6M</v>
      </c>
      <c r="F16" s="30" t="str">
        <f>_xll.qlEuribor($E16,$C16,Currency&amp;$D16,Permanent,Trigger,ObjectOverwrite)</f>
        <v>Euribor6M#0047</v>
      </c>
      <c r="G16" s="30" t="str">
        <f>_xll.qlLastFixingQuote(E16&amp;"LastFixing_Quote",F16,Permanent,Trigger,ObjectOverwrite)</f>
        <v>Euribor6MLastFixing_Quote#0047</v>
      </c>
      <c r="H16" s="7" t="str">
        <f>_xll.ohRangeRetrieveError(F16)</f>
        <v/>
      </c>
      <c r="I16" s="7" t="str">
        <f>_xll.ohRangeRetrieveError(G16)</f>
        <v/>
      </c>
      <c r="J16" s="5"/>
    </row>
    <row r="17" spans="2:10" s="29" customFormat="1" x14ac:dyDescent="0.2">
      <c r="B17" s="34"/>
      <c r="C17" s="33" t="s">
        <v>39</v>
      </c>
      <c r="D17" s="32" t="s">
        <v>18</v>
      </c>
      <c r="E17" s="31" t="str">
        <f>PROPER(Currency)&amp;FamilyName&amp;$C17</f>
        <v>Euribor7M</v>
      </c>
      <c r="F17" s="30" t="str">
        <f>_xll.qlEuribor($E17,$C17,Currency&amp;$D17,Permanent,Trigger,ObjectOverwrite)</f>
        <v>Euribor7M#0047</v>
      </c>
      <c r="G17" s="30" t="str">
        <f>_xll.qlLastFixingQuote(E17&amp;"LastFixing_Quote",F17,Permanent,Trigger,ObjectOverwrite)</f>
        <v>Euribor7MLastFixing_Quote#0047</v>
      </c>
      <c r="H17" s="7" t="str">
        <f>_xll.ohRangeRetrieveError(F17)</f>
        <v/>
      </c>
      <c r="I17" s="7" t="str">
        <f>_xll.ohRangeRetrieveError(G17)</f>
        <v/>
      </c>
      <c r="J17" s="5"/>
    </row>
    <row r="18" spans="2:10" s="29" customFormat="1" x14ac:dyDescent="0.2">
      <c r="B18" s="34"/>
      <c r="C18" s="33" t="s">
        <v>38</v>
      </c>
      <c r="D18" s="32" t="s">
        <v>18</v>
      </c>
      <c r="E18" s="31" t="str">
        <f>PROPER(Currency)&amp;FamilyName&amp;$C18</f>
        <v>Euribor8M</v>
      </c>
      <c r="F18" s="30" t="str">
        <f>_xll.qlEuribor($E18,$C18,Currency&amp;$D18,Permanent,Trigger,ObjectOverwrite)</f>
        <v>Euribor8M#0047</v>
      </c>
      <c r="G18" s="30" t="str">
        <f>_xll.qlLastFixingQuote(E18&amp;"LastFixing_Quote",F18,Permanent,Trigger,ObjectOverwrite)</f>
        <v>Euribor8MLastFixing_Quote#0047</v>
      </c>
      <c r="H18" s="7" t="str">
        <f>_xll.ohRangeRetrieveError(F18)</f>
        <v/>
      </c>
      <c r="I18" s="7" t="str">
        <f>_xll.ohRangeRetrieveError(G18)</f>
        <v/>
      </c>
      <c r="J18" s="5"/>
    </row>
    <row r="19" spans="2:10" s="29" customFormat="1" x14ac:dyDescent="0.2">
      <c r="B19" s="34"/>
      <c r="C19" s="33" t="s">
        <v>37</v>
      </c>
      <c r="D19" s="32" t="s">
        <v>17</v>
      </c>
      <c r="E19" s="31" t="str">
        <f>PROPER(Currency)&amp;FamilyName&amp;$C19</f>
        <v>Euribor9M</v>
      </c>
      <c r="F19" s="30" t="str">
        <f>_xll.qlEuribor($E19,$C19,Currency&amp;$D19,Permanent,Trigger,ObjectOverwrite)</f>
        <v>Euribor9M#0047</v>
      </c>
      <c r="G19" s="30" t="str">
        <f>_xll.qlLastFixingQuote(E19&amp;"LastFixing_Quote",F19,Permanent,Trigger,ObjectOverwrite)</f>
        <v>Euribor9MLastFixing_Quote#0047</v>
      </c>
      <c r="H19" s="7" t="str">
        <f>_xll.ohRangeRetrieveError(F19)</f>
        <v/>
      </c>
      <c r="I19" s="7" t="str">
        <f>_xll.ohRangeRetrieveError(G19)</f>
        <v/>
      </c>
      <c r="J19" s="5"/>
    </row>
    <row r="20" spans="2:10" s="29" customFormat="1" x14ac:dyDescent="0.2">
      <c r="B20" s="34"/>
      <c r="C20" s="33" t="s">
        <v>36</v>
      </c>
      <c r="D20" s="32" t="s">
        <v>17</v>
      </c>
      <c r="E20" s="31" t="str">
        <f>PROPER(Currency)&amp;FamilyName&amp;$C20</f>
        <v>Euribor10M</v>
      </c>
      <c r="F20" s="30" t="str">
        <f>_xll.qlEuribor($E20,$C20,Currency&amp;$D20,Permanent,Trigger,ObjectOverwrite)</f>
        <v>Euribor10M#0047</v>
      </c>
      <c r="G20" s="30" t="str">
        <f>_xll.qlLastFixingQuote(E20&amp;"LastFixing_Quote",F20,Permanent,Trigger,ObjectOverwrite)</f>
        <v>Euribor10MLastFixing_Quote#0047</v>
      </c>
      <c r="H20" s="7" t="str">
        <f>_xll.ohRangeRetrieveError(F20)</f>
        <v/>
      </c>
      <c r="I20" s="7" t="str">
        <f>_xll.ohRangeRetrieveError(G20)</f>
        <v/>
      </c>
      <c r="J20" s="5"/>
    </row>
    <row r="21" spans="2:10" s="29" customFormat="1" x14ac:dyDescent="0.2">
      <c r="B21" s="34"/>
      <c r="C21" s="33" t="s">
        <v>35</v>
      </c>
      <c r="D21" s="32" t="s">
        <v>17</v>
      </c>
      <c r="E21" s="31" t="str">
        <f>PROPER(Currency)&amp;FamilyName&amp;$C21</f>
        <v>Euribor11M</v>
      </c>
      <c r="F21" s="30" t="str">
        <f>_xll.qlEuribor($E21,$C21,Currency&amp;$D21,Permanent,Trigger,ObjectOverwrite)</f>
        <v>Euribor11M#0047</v>
      </c>
      <c r="G21" s="30" t="str">
        <f>_xll.qlLastFixingQuote(E21&amp;"LastFixing_Quote",F21,Permanent,Trigger,ObjectOverwrite)</f>
        <v>Euribor11MLastFixing_Quote#0047</v>
      </c>
      <c r="H21" s="7" t="str">
        <f>_xll.ohRangeRetrieveError(F21)</f>
        <v/>
      </c>
      <c r="I21" s="7" t="str">
        <f>_xll.ohRangeRetrieveError(G21)</f>
        <v/>
      </c>
      <c r="J21" s="5"/>
    </row>
    <row r="22" spans="2:10" s="29" customFormat="1" x14ac:dyDescent="0.2">
      <c r="B22" s="34"/>
      <c r="C22" s="33" t="s">
        <v>34</v>
      </c>
      <c r="D22" s="32" t="s">
        <v>17</v>
      </c>
      <c r="E22" s="31" t="str">
        <f>PROPER(Currency)&amp;FamilyName&amp;$C22</f>
        <v>Euribor1Y</v>
      </c>
      <c r="F22" s="30" t="str">
        <f>_xll.qlEuribor($E22,$C22,Currency&amp;$D22,Permanent,Trigger,ObjectOverwrite)</f>
        <v>Euribor1Y#0047</v>
      </c>
      <c r="G22" s="30" t="str">
        <f>_xll.qlLastFixingQuote(E22&amp;"LastFixing_Quote",F22,Permanent,Trigger,ObjectOverwrite)</f>
        <v>Euribor1YLastFixing_Quote#0047</v>
      </c>
      <c r="H22" s="7" t="str">
        <f>_xll.ohRangeRetrieveError(F22)</f>
        <v/>
      </c>
      <c r="I22" s="7" t="str">
        <f>_xll.ohRangeRetrieveError(G22)</f>
        <v/>
      </c>
      <c r="J22" s="5"/>
    </row>
    <row r="23" spans="2:10" s="29" customFormat="1" ht="12" thickBot="1" x14ac:dyDescent="0.25">
      <c r="B23" s="4"/>
      <c r="C23" s="3"/>
      <c r="D23" s="3"/>
      <c r="E23" s="3"/>
      <c r="F23" s="3"/>
      <c r="G23" s="3"/>
      <c r="H23" s="3"/>
      <c r="I23" s="3"/>
      <c r="J23" s="2"/>
    </row>
    <row r="24" spans="2:10" s="29" customFormat="1" ht="11.25" x14ac:dyDescent="0.2"/>
  </sheetData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2"/>
  <sheetViews>
    <sheetView workbookViewId="0"/>
  </sheetViews>
  <sheetFormatPr defaultRowHeight="12.75" x14ac:dyDescent="0.2"/>
  <cols>
    <col min="1" max="1" width="3.140625" style="1" customWidth="1"/>
    <col min="2" max="2" width="4" style="1" bestFit="1" customWidth="1"/>
    <col min="3" max="3" width="5.5703125" style="1" bestFit="1" customWidth="1"/>
    <col min="4" max="4" width="9.28515625" style="1" bestFit="1" customWidth="1"/>
    <col min="5" max="5" width="14.28515625" style="1" bestFit="1" customWidth="1"/>
    <col min="6" max="6" width="15.85546875" style="1" bestFit="1" customWidth="1"/>
    <col min="7" max="7" width="54.7109375" style="1" customWidth="1"/>
    <col min="8" max="16384" width="9.140625" style="1"/>
  </cols>
  <sheetData>
    <row r="1" spans="1:8" s="29" customFormat="1" ht="12" thickBot="1" x14ac:dyDescent="0.25">
      <c r="A1" s="29" t="s">
        <v>124</v>
      </c>
    </row>
    <row r="2" spans="1:8" s="29" customFormat="1" x14ac:dyDescent="0.2">
      <c r="B2" s="49"/>
      <c r="C2" s="48"/>
      <c r="D2" s="48"/>
      <c r="E2" s="47"/>
      <c r="F2" s="46"/>
      <c r="G2" s="46"/>
      <c r="H2" s="45"/>
    </row>
    <row r="3" spans="1:8" s="29" customFormat="1" x14ac:dyDescent="0.2">
      <c r="B3" s="34"/>
      <c r="C3" s="43"/>
      <c r="D3" s="43"/>
      <c r="E3" s="16" t="s">
        <v>54</v>
      </c>
      <c r="F3" s="44" t="s">
        <v>56</v>
      </c>
      <c r="G3" s="42"/>
      <c r="H3" s="35"/>
    </row>
    <row r="4" spans="1:8" s="29" customFormat="1" x14ac:dyDescent="0.2">
      <c r="B4" s="34"/>
      <c r="C4" s="43"/>
      <c r="D4" s="43"/>
      <c r="E4" s="42"/>
      <c r="F4" s="42"/>
      <c r="G4" s="42"/>
      <c r="H4" s="35"/>
    </row>
    <row r="5" spans="1:8" s="29" customFormat="1" x14ac:dyDescent="0.2">
      <c r="B5" s="34"/>
      <c r="C5" s="41" t="s">
        <v>52</v>
      </c>
      <c r="D5" s="40" t="s">
        <v>55</v>
      </c>
      <c r="E5" s="39" t="str">
        <f>PROPER(Currency)&amp;FamilyName&amp;".xml"</f>
        <v>Euribor365.xml</v>
      </c>
      <c r="F5" s="10">
        <f ca="1">IF(Serialize,_xll.ohObjectSave(F6:F20,SerializationPath&amp;FileName,FileOverwrite,,Serialize),"---")</f>
        <v>15</v>
      </c>
      <c r="G5" s="7" t="str">
        <f ca="1">_xll.ohRangeRetrieveError(F5)</f>
        <v/>
      </c>
      <c r="H5" s="35"/>
    </row>
    <row r="6" spans="1:8" s="29" customFormat="1" x14ac:dyDescent="0.2">
      <c r="B6" s="34"/>
      <c r="C6" s="52" t="s">
        <v>48</v>
      </c>
      <c r="D6" s="51" t="s">
        <v>21</v>
      </c>
      <c r="E6" s="50" t="str">
        <f>PROPER(Currency)&amp;FamilyName&amp;$C6</f>
        <v>Euribor365SW</v>
      </c>
      <c r="F6" s="30" t="str">
        <f>_xll.qlEuribor365($E6,$C6,Currency&amp;$D6,Permanent,Trigger,ObjectOverwrite)</f>
        <v>Euribor365SW#0046</v>
      </c>
      <c r="G6" s="7" t="str">
        <f>_xll.ohRangeRetrieveError(F6)</f>
        <v/>
      </c>
      <c r="H6" s="5"/>
    </row>
    <row r="7" spans="1:8" s="29" customFormat="1" x14ac:dyDescent="0.2">
      <c r="B7" s="34"/>
      <c r="C7" s="52" t="s">
        <v>47</v>
      </c>
      <c r="D7" s="51" t="s">
        <v>21</v>
      </c>
      <c r="E7" s="50" t="str">
        <f>PROPER(Currency)&amp;FamilyName&amp;$C7</f>
        <v>Euribor3652W</v>
      </c>
      <c r="F7" s="30" t="str">
        <f>_xll.qlEuribor365($E7,$C7,Currency&amp;$D7,Permanent,Trigger,ObjectOverwrite)</f>
        <v>Euribor3652W#0046</v>
      </c>
      <c r="G7" s="7" t="str">
        <f>_xll.ohRangeRetrieveError(F7)</f>
        <v/>
      </c>
      <c r="H7" s="5"/>
    </row>
    <row r="8" spans="1:8" s="29" customFormat="1" x14ac:dyDescent="0.2">
      <c r="B8" s="34"/>
      <c r="C8" s="52" t="s">
        <v>46</v>
      </c>
      <c r="D8" s="51" t="s">
        <v>20</v>
      </c>
      <c r="E8" s="50" t="str">
        <f>PROPER(Currency)&amp;FamilyName&amp;$C8</f>
        <v>Euribor3653W</v>
      </c>
      <c r="F8" s="30" t="str">
        <f>_xll.qlEuribor365($E8,$C8,Currency&amp;$D8,Permanent,Trigger,ObjectOverwrite)</f>
        <v>Euribor3653W#0046</v>
      </c>
      <c r="G8" s="7" t="str">
        <f>_xll.ohRangeRetrieveError(F8)</f>
        <v/>
      </c>
      <c r="H8" s="5"/>
    </row>
    <row r="9" spans="1:8" s="29" customFormat="1" x14ac:dyDescent="0.2">
      <c r="B9" s="34"/>
      <c r="C9" s="52" t="s">
        <v>45</v>
      </c>
      <c r="D9" s="51" t="s">
        <v>20</v>
      </c>
      <c r="E9" s="50" t="str">
        <f>PROPER(Currency)&amp;FamilyName&amp;$C9</f>
        <v>Euribor3651M</v>
      </c>
      <c r="F9" s="30" t="str">
        <f>_xll.qlEuribor365($E9,$C9,Currency&amp;$D9,Permanent,Trigger,ObjectOverwrite)</f>
        <v>Euribor3651M#0046</v>
      </c>
      <c r="G9" s="7" t="str">
        <f>_xll.ohRangeRetrieveError(F9)</f>
        <v/>
      </c>
      <c r="H9" s="5"/>
    </row>
    <row r="10" spans="1:8" s="29" customFormat="1" x14ac:dyDescent="0.2">
      <c r="B10" s="34"/>
      <c r="C10" s="52" t="s">
        <v>44</v>
      </c>
      <c r="D10" s="51" t="s">
        <v>19</v>
      </c>
      <c r="E10" s="50" t="str">
        <f>PROPER(Currency)&amp;FamilyName&amp;$C10</f>
        <v>Euribor3652M</v>
      </c>
      <c r="F10" s="30" t="str">
        <f>_xll.qlEuribor365($E10,$C10,Currency&amp;$D10,Permanent,Trigger,ObjectOverwrite)</f>
        <v>Euribor3652M#0046</v>
      </c>
      <c r="G10" s="7" t="str">
        <f>_xll.ohRangeRetrieveError(F10)</f>
        <v/>
      </c>
      <c r="H10" s="5"/>
    </row>
    <row r="11" spans="1:8" s="29" customFormat="1" x14ac:dyDescent="0.2">
      <c r="B11" s="34"/>
      <c r="C11" s="52" t="s">
        <v>43</v>
      </c>
      <c r="D11" s="51" t="s">
        <v>19</v>
      </c>
      <c r="E11" s="50" t="str">
        <f>PROPER(Currency)&amp;FamilyName&amp;$C11</f>
        <v>Euribor3653M</v>
      </c>
      <c r="F11" s="30" t="str">
        <f>_xll.qlEuribor365($E11,$C11,Currency&amp;$D11,Permanent,Trigger,ObjectOverwrite)</f>
        <v>Euribor3653M#0046</v>
      </c>
      <c r="G11" s="7" t="str">
        <f>_xll.ohRangeRetrieveError(F11)</f>
        <v/>
      </c>
      <c r="H11" s="5"/>
    </row>
    <row r="12" spans="1:8" s="29" customFormat="1" x14ac:dyDescent="0.2">
      <c r="B12" s="34"/>
      <c r="C12" s="52" t="s">
        <v>42</v>
      </c>
      <c r="D12" s="51" t="s">
        <v>19</v>
      </c>
      <c r="E12" s="50" t="str">
        <f>PROPER(Currency)&amp;FamilyName&amp;$C12</f>
        <v>Euribor3654M</v>
      </c>
      <c r="F12" s="30" t="str">
        <f>_xll.qlEuribor365($E12,$C12,Currency&amp;$D12,Permanent,Trigger,ObjectOverwrite)</f>
        <v>Euribor3654M#0046</v>
      </c>
      <c r="G12" s="7" t="str">
        <f>_xll.ohRangeRetrieveError(F12)</f>
        <v/>
      </c>
      <c r="H12" s="5"/>
    </row>
    <row r="13" spans="1:8" s="29" customFormat="1" x14ac:dyDescent="0.2">
      <c r="B13" s="34"/>
      <c r="C13" s="52" t="s">
        <v>41</v>
      </c>
      <c r="D13" s="51" t="s">
        <v>18</v>
      </c>
      <c r="E13" s="50" t="str">
        <f>PROPER(Currency)&amp;FamilyName&amp;$C13</f>
        <v>Euribor3655M</v>
      </c>
      <c r="F13" s="30" t="str">
        <f>_xll.qlEuribor365($E13,$C13,Currency&amp;$D13,Permanent,Trigger,ObjectOverwrite)</f>
        <v>Euribor3655M#0046</v>
      </c>
      <c r="G13" s="7" t="str">
        <f>_xll.ohRangeRetrieveError(F13)</f>
        <v/>
      </c>
      <c r="H13" s="5"/>
    </row>
    <row r="14" spans="1:8" s="29" customFormat="1" x14ac:dyDescent="0.2">
      <c r="B14" s="34"/>
      <c r="C14" s="52" t="s">
        <v>40</v>
      </c>
      <c r="D14" s="51" t="s">
        <v>18</v>
      </c>
      <c r="E14" s="50" t="str">
        <f>PROPER(Currency)&amp;FamilyName&amp;$C14</f>
        <v>Euribor3656M</v>
      </c>
      <c r="F14" s="30" t="str">
        <f>_xll.qlEuribor365($E14,$C14,Currency&amp;$D14,Permanent,Trigger,ObjectOverwrite)</f>
        <v>Euribor3656M#0046</v>
      </c>
      <c r="G14" s="7" t="str">
        <f>_xll.ohRangeRetrieveError(F14)</f>
        <v/>
      </c>
      <c r="H14" s="5"/>
    </row>
    <row r="15" spans="1:8" s="29" customFormat="1" x14ac:dyDescent="0.2">
      <c r="B15" s="34"/>
      <c r="C15" s="52" t="s">
        <v>39</v>
      </c>
      <c r="D15" s="51" t="s">
        <v>18</v>
      </c>
      <c r="E15" s="50" t="str">
        <f>PROPER(Currency)&amp;FamilyName&amp;$C15</f>
        <v>Euribor3657M</v>
      </c>
      <c r="F15" s="30" t="str">
        <f>_xll.qlEuribor365($E15,$C15,Currency&amp;$D15,Permanent,Trigger,ObjectOverwrite)</f>
        <v>Euribor3657M#0046</v>
      </c>
      <c r="G15" s="7" t="str">
        <f>_xll.ohRangeRetrieveError(F15)</f>
        <v/>
      </c>
      <c r="H15" s="5"/>
    </row>
    <row r="16" spans="1:8" s="29" customFormat="1" x14ac:dyDescent="0.2">
      <c r="B16" s="34"/>
      <c r="C16" s="52" t="s">
        <v>38</v>
      </c>
      <c r="D16" s="51" t="s">
        <v>18</v>
      </c>
      <c r="E16" s="50" t="str">
        <f>PROPER(Currency)&amp;FamilyName&amp;$C16</f>
        <v>Euribor3658M</v>
      </c>
      <c r="F16" s="30" t="str">
        <f>_xll.qlEuribor365($E16,$C16,Currency&amp;$D16,Permanent,Trigger,ObjectOverwrite)</f>
        <v>Euribor3658M#0046</v>
      </c>
      <c r="G16" s="7" t="str">
        <f>_xll.ohRangeRetrieveError(F16)</f>
        <v/>
      </c>
      <c r="H16" s="5"/>
    </row>
    <row r="17" spans="2:8" s="29" customFormat="1" x14ac:dyDescent="0.2">
      <c r="B17" s="34"/>
      <c r="C17" s="52" t="s">
        <v>37</v>
      </c>
      <c r="D17" s="51" t="s">
        <v>17</v>
      </c>
      <c r="E17" s="50" t="str">
        <f>PROPER(Currency)&amp;FamilyName&amp;$C17</f>
        <v>Euribor3659M</v>
      </c>
      <c r="F17" s="30" t="str">
        <f>_xll.qlEuribor365($E17,$C17,Currency&amp;$D17,Permanent,Trigger,ObjectOverwrite)</f>
        <v>Euribor3659M#0046</v>
      </c>
      <c r="G17" s="7" t="str">
        <f>_xll.ohRangeRetrieveError(F17)</f>
        <v/>
      </c>
      <c r="H17" s="5"/>
    </row>
    <row r="18" spans="2:8" s="29" customFormat="1" x14ac:dyDescent="0.2">
      <c r="B18" s="34"/>
      <c r="C18" s="52" t="s">
        <v>36</v>
      </c>
      <c r="D18" s="51" t="s">
        <v>17</v>
      </c>
      <c r="E18" s="50" t="str">
        <f>PROPER(Currency)&amp;FamilyName&amp;$C18</f>
        <v>Euribor36510M</v>
      </c>
      <c r="F18" s="30" t="str">
        <f>_xll.qlEuribor365($E18,$C18,Currency&amp;$D18,Permanent,Trigger,ObjectOverwrite)</f>
        <v>Euribor36510M#0046</v>
      </c>
      <c r="G18" s="7" t="str">
        <f>_xll.ohRangeRetrieveError(F18)</f>
        <v/>
      </c>
      <c r="H18" s="5"/>
    </row>
    <row r="19" spans="2:8" s="29" customFormat="1" x14ac:dyDescent="0.2">
      <c r="B19" s="34"/>
      <c r="C19" s="52" t="s">
        <v>35</v>
      </c>
      <c r="D19" s="51" t="s">
        <v>17</v>
      </c>
      <c r="E19" s="50" t="str">
        <f>PROPER(Currency)&amp;FamilyName&amp;$C19</f>
        <v>Euribor36511M</v>
      </c>
      <c r="F19" s="30" t="str">
        <f>_xll.qlEuribor365($E19,$C19,Currency&amp;$D19,Permanent,Trigger,ObjectOverwrite)</f>
        <v>Euribor36511M#0046</v>
      </c>
      <c r="G19" s="7" t="str">
        <f>_xll.ohRangeRetrieveError(F19)</f>
        <v/>
      </c>
      <c r="H19" s="5"/>
    </row>
    <row r="20" spans="2:8" s="29" customFormat="1" x14ac:dyDescent="0.2">
      <c r="B20" s="34"/>
      <c r="C20" s="52" t="s">
        <v>34</v>
      </c>
      <c r="D20" s="51" t="s">
        <v>17</v>
      </c>
      <c r="E20" s="50" t="str">
        <f>PROPER(Currency)&amp;FamilyName&amp;$C20</f>
        <v>Euribor3651Y</v>
      </c>
      <c r="F20" s="30" t="str">
        <f>_xll.qlEuribor365($E20,$C20,Currency&amp;$D20,Permanent,Trigger,ObjectOverwrite)</f>
        <v>Euribor3651Y#0046</v>
      </c>
      <c r="G20" s="7" t="str">
        <f>_xll.ohRangeRetrieveError(F20)</f>
        <v/>
      </c>
      <c r="H20" s="5"/>
    </row>
    <row r="21" spans="2:8" s="29" customFormat="1" ht="12" thickBot="1" x14ac:dyDescent="0.25">
      <c r="B21" s="4"/>
      <c r="C21" s="3"/>
      <c r="D21" s="3"/>
      <c r="E21" s="3"/>
      <c r="F21" s="3"/>
      <c r="G21" s="3"/>
      <c r="H21" s="2"/>
    </row>
    <row r="22" spans="2:8" s="29" customFormat="1" ht="11.25" x14ac:dyDescent="0.2"/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8"/>
  <sheetViews>
    <sheetView workbookViewId="0"/>
  </sheetViews>
  <sheetFormatPr defaultRowHeight="11.25" x14ac:dyDescent="0.2"/>
  <cols>
    <col min="1" max="1" width="3.140625" style="22" customWidth="1"/>
    <col min="2" max="2" width="4.4257812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20.140625" style="22" bestFit="1" customWidth="1"/>
    <col min="7" max="7" width="23.5703125" style="22" bestFit="1" customWidth="1"/>
    <col min="8" max="8" width="55" style="22" customWidth="1"/>
    <col min="9" max="9" width="5.28515625" style="22" customWidth="1"/>
    <col min="10" max="16384" width="9.140625" style="22"/>
  </cols>
  <sheetData>
    <row r="1" spans="1:9" s="53" customFormat="1" ht="12" thickBot="1" x14ac:dyDescent="0.25">
      <c r="A1" s="53" t="s">
        <v>124</v>
      </c>
    </row>
    <row r="2" spans="1:9" s="53" customFormat="1" x14ac:dyDescent="0.2">
      <c r="B2" s="74"/>
      <c r="C2" s="72"/>
      <c r="D2" s="72"/>
      <c r="E2" s="72"/>
      <c r="F2" s="73"/>
      <c r="G2" s="72"/>
      <c r="H2" s="72"/>
      <c r="I2" s="71"/>
    </row>
    <row r="3" spans="1:9" s="53" customFormat="1" x14ac:dyDescent="0.2">
      <c r="B3" s="63"/>
      <c r="C3" s="69"/>
      <c r="D3" s="69"/>
      <c r="E3" s="69"/>
      <c r="F3" s="70" t="s">
        <v>54</v>
      </c>
      <c r="G3" s="66" t="s">
        <v>120</v>
      </c>
      <c r="H3" s="69"/>
      <c r="I3" s="65"/>
    </row>
    <row r="4" spans="1:9" s="53" customFormat="1" x14ac:dyDescent="0.2">
      <c r="B4" s="63"/>
      <c r="C4" s="69"/>
      <c r="D4" s="69"/>
      <c r="E4" s="69"/>
      <c r="F4" s="70" t="s">
        <v>119</v>
      </c>
      <c r="G4" s="66" t="s">
        <v>118</v>
      </c>
      <c r="H4" s="69"/>
      <c r="I4" s="65"/>
    </row>
    <row r="5" spans="1:9" s="53" customFormat="1" x14ac:dyDescent="0.2">
      <c r="B5" s="63"/>
      <c r="C5" s="69"/>
      <c r="D5" s="69"/>
      <c r="E5" s="69"/>
      <c r="F5" s="69"/>
      <c r="G5" s="69"/>
      <c r="H5" s="69"/>
      <c r="I5" s="65"/>
    </row>
    <row r="6" spans="1:9" s="53" customFormat="1" x14ac:dyDescent="0.2">
      <c r="B6" s="63"/>
      <c r="C6" s="69"/>
      <c r="D6" s="68" t="s">
        <v>117</v>
      </c>
      <c r="E6" s="68" t="s">
        <v>116</v>
      </c>
      <c r="F6" s="67" t="str">
        <f>PROPER(Currency)&amp;FamilyName&amp;FixingType&amp;".xml"</f>
        <v>EuriborSwapIsdaFixA.xml</v>
      </c>
      <c r="G6" s="66">
        <f ca="1">IF(Serialize,_xll.ohObjectSave(G7:G66,SerializationPath&amp;FileName,FileOverwrite,,Serialize),"---")</f>
        <v>60</v>
      </c>
      <c r="H6" s="58" t="str">
        <f ca="1">_xll.ohRangeRetrieveError(G6)</f>
        <v/>
      </c>
      <c r="I6" s="65"/>
    </row>
    <row r="7" spans="1:9" s="53" customFormat="1" x14ac:dyDescent="0.2">
      <c r="B7" s="63"/>
      <c r="C7" s="62" t="s">
        <v>34</v>
      </c>
      <c r="D7" s="64" t="s">
        <v>19</v>
      </c>
      <c r="E7" s="61" t="s">
        <v>23</v>
      </c>
      <c r="F7" s="60" t="str">
        <f>PROPER(Currency)&amp;FamilyName&amp;FixingType&amp;$C7</f>
        <v>EuriborSwapIsdaFixA1Y</v>
      </c>
      <c r="G7" s="59" t="str">
        <f>_xll.qlEuriborSwap($F7,FixingType,$C7,Currency&amp;$D7,Currency&amp;$E7,Permanent,Trigger,ObjectOverwrite)</f>
        <v>EuriborSwapIsdaFixA1Y#0045</v>
      </c>
      <c r="H7" s="58" t="str">
        <f>_xll.ohRangeRetrieveError(G7)</f>
        <v/>
      </c>
      <c r="I7" s="57"/>
    </row>
    <row r="8" spans="1:9" s="53" customFormat="1" x14ac:dyDescent="0.2">
      <c r="B8" s="63"/>
      <c r="C8" s="62" t="s">
        <v>115</v>
      </c>
      <c r="D8" s="61" t="s">
        <v>18</v>
      </c>
      <c r="E8" s="61" t="s">
        <v>23</v>
      </c>
      <c r="F8" s="60" t="str">
        <f>PROPER(Currency)&amp;FamilyName&amp;FixingType&amp;$C8</f>
        <v>EuriborSwapIsdaFixA2Y</v>
      </c>
      <c r="G8" s="59" t="str">
        <f>_xll.qlEuriborSwap($F8,FixingType,$C8,Currency&amp;$D8,Currency&amp;$E8,Permanent,Trigger,ObjectOverwrite)</f>
        <v>EuriborSwapIsdaFixA2Y#0045</v>
      </c>
      <c r="H8" s="58" t="str">
        <f>_xll.ohRangeRetrieveError(G8)</f>
        <v/>
      </c>
      <c r="I8" s="57"/>
    </row>
    <row r="9" spans="1:9" s="53" customFormat="1" x14ac:dyDescent="0.2">
      <c r="B9" s="63"/>
      <c r="C9" s="62" t="s">
        <v>114</v>
      </c>
      <c r="D9" s="61" t="s">
        <v>18</v>
      </c>
      <c r="E9" s="61" t="s">
        <v>23</v>
      </c>
      <c r="F9" s="60" t="str">
        <f>PROPER(Currency)&amp;FamilyName&amp;FixingType&amp;$C9</f>
        <v>EuriborSwapIsdaFixA3Y</v>
      </c>
      <c r="G9" s="59" t="str">
        <f>_xll.qlEuriborSwap($F9,FixingType,$C9,Currency&amp;$D9,Currency&amp;$E9,Permanent,Trigger,ObjectOverwrite)</f>
        <v>EuriborSwapIsdaFixA3Y#0045</v>
      </c>
      <c r="H9" s="58" t="str">
        <f>_xll.ohRangeRetrieveError(G9)</f>
        <v/>
      </c>
      <c r="I9" s="57"/>
    </row>
    <row r="10" spans="1:9" s="53" customFormat="1" x14ac:dyDescent="0.2">
      <c r="B10" s="63"/>
      <c r="C10" s="62" t="s">
        <v>113</v>
      </c>
      <c r="D10" s="61" t="s">
        <v>18</v>
      </c>
      <c r="E10" s="61" t="s">
        <v>23</v>
      </c>
      <c r="F10" s="60" t="str">
        <f>PROPER(Currency)&amp;FamilyName&amp;FixingType&amp;$C10</f>
        <v>EuriborSwapIsdaFixA4Y</v>
      </c>
      <c r="G10" s="59" t="str">
        <f>_xll.qlEuriborSwap($F10,FixingType,$C10,Currency&amp;$D10,Currency&amp;$E10,Permanent,Trigger,ObjectOverwrite)</f>
        <v>EuriborSwapIsdaFixA4Y#0045</v>
      </c>
      <c r="H10" s="58" t="str">
        <f>_xll.ohRangeRetrieveError(G10)</f>
        <v/>
      </c>
      <c r="I10" s="57"/>
    </row>
    <row r="11" spans="1:9" s="53" customFormat="1" x14ac:dyDescent="0.2">
      <c r="B11" s="63"/>
      <c r="C11" s="62" t="s">
        <v>112</v>
      </c>
      <c r="D11" s="61" t="s">
        <v>18</v>
      </c>
      <c r="E11" s="61" t="s">
        <v>23</v>
      </c>
      <c r="F11" s="60" t="str">
        <f>PROPER(Currency)&amp;FamilyName&amp;FixingType&amp;$C11</f>
        <v>EuriborSwapIsdaFixA5Y</v>
      </c>
      <c r="G11" s="59" t="str">
        <f>_xll.qlEuriborSwap($F11,FixingType,$C11,Currency&amp;$D11,Currency&amp;$E11,Permanent,Trigger,ObjectOverwrite)</f>
        <v>EuriborSwapIsdaFixA5Y#0045</v>
      </c>
      <c r="H11" s="58" t="str">
        <f>_xll.ohRangeRetrieveError(G11)</f>
        <v/>
      </c>
      <c r="I11" s="57"/>
    </row>
    <row r="12" spans="1:9" s="53" customFormat="1" x14ac:dyDescent="0.2">
      <c r="B12" s="63"/>
      <c r="C12" s="62" t="s">
        <v>111</v>
      </c>
      <c r="D12" s="61" t="s">
        <v>18</v>
      </c>
      <c r="E12" s="61" t="s">
        <v>23</v>
      </c>
      <c r="F12" s="60" t="str">
        <f>PROPER(Currency)&amp;FamilyName&amp;FixingType&amp;$C12</f>
        <v>EuriborSwapIsdaFixA6Y</v>
      </c>
      <c r="G12" s="59" t="str">
        <f>_xll.qlEuriborSwap($F12,FixingType,$C12,Currency&amp;$D12,Currency&amp;$E12,Permanent,Trigger,ObjectOverwrite)</f>
        <v>EuriborSwapIsdaFixA6Y#0045</v>
      </c>
      <c r="H12" s="58" t="str">
        <f>_xll.ohRangeRetrieveError(G12)</f>
        <v/>
      </c>
      <c r="I12" s="57"/>
    </row>
    <row r="13" spans="1:9" s="53" customFormat="1" x14ac:dyDescent="0.2">
      <c r="B13" s="63"/>
      <c r="C13" s="62" t="s">
        <v>110</v>
      </c>
      <c r="D13" s="61" t="s">
        <v>18</v>
      </c>
      <c r="E13" s="61" t="s">
        <v>23</v>
      </c>
      <c r="F13" s="60" t="str">
        <f>PROPER(Currency)&amp;FamilyName&amp;FixingType&amp;$C13</f>
        <v>EuriborSwapIsdaFixA7Y</v>
      </c>
      <c r="G13" s="59" t="str">
        <f>_xll.qlEuriborSwap($F13,FixingType,$C13,Currency&amp;$D13,Currency&amp;$E13,Permanent,Trigger,ObjectOverwrite)</f>
        <v>EuriborSwapIsdaFixA7Y#0045</v>
      </c>
      <c r="H13" s="58" t="str">
        <f>_xll.ohRangeRetrieveError(G13)</f>
        <v/>
      </c>
      <c r="I13" s="57"/>
    </row>
    <row r="14" spans="1:9" s="53" customFormat="1" x14ac:dyDescent="0.2">
      <c r="B14" s="63"/>
      <c r="C14" s="62" t="s">
        <v>109</v>
      </c>
      <c r="D14" s="61" t="s">
        <v>18</v>
      </c>
      <c r="E14" s="61" t="s">
        <v>23</v>
      </c>
      <c r="F14" s="60" t="str">
        <f>PROPER(Currency)&amp;FamilyName&amp;FixingType&amp;$C14</f>
        <v>EuriborSwapIsdaFixA8Y</v>
      </c>
      <c r="G14" s="59" t="str">
        <f>_xll.qlEuriborSwap($F14,FixingType,$C14,Currency&amp;$D14,Currency&amp;$E14,Permanent,Trigger,ObjectOverwrite)</f>
        <v>EuriborSwapIsdaFixA8Y#0045</v>
      </c>
      <c r="H14" s="58" t="str">
        <f>_xll.ohRangeRetrieveError(G14)</f>
        <v/>
      </c>
      <c r="I14" s="57"/>
    </row>
    <row r="15" spans="1:9" s="53" customFormat="1" x14ac:dyDescent="0.2">
      <c r="B15" s="63"/>
      <c r="C15" s="62" t="s">
        <v>108</v>
      </c>
      <c r="D15" s="61" t="s">
        <v>18</v>
      </c>
      <c r="E15" s="61" t="s">
        <v>23</v>
      </c>
      <c r="F15" s="60" t="str">
        <f>PROPER(Currency)&amp;FamilyName&amp;FixingType&amp;$C15</f>
        <v>EuriborSwapIsdaFixA9Y</v>
      </c>
      <c r="G15" s="59" t="str">
        <f>_xll.qlEuriborSwap($F15,FixingType,$C15,Currency&amp;$D15,Currency&amp;$E15,Permanent,Trigger,ObjectOverwrite)</f>
        <v>EuriborSwapIsdaFixA9Y#0045</v>
      </c>
      <c r="H15" s="58" t="str">
        <f>_xll.ohRangeRetrieveError(G15)</f>
        <v/>
      </c>
      <c r="I15" s="57"/>
    </row>
    <row r="16" spans="1:9" s="53" customFormat="1" x14ac:dyDescent="0.2">
      <c r="B16" s="63"/>
      <c r="C16" s="62" t="s">
        <v>107</v>
      </c>
      <c r="D16" s="61" t="s">
        <v>18</v>
      </c>
      <c r="E16" s="61" t="s">
        <v>23</v>
      </c>
      <c r="F16" s="60" t="str">
        <f>PROPER(Currency)&amp;FamilyName&amp;FixingType&amp;$C16</f>
        <v>EuriborSwapIsdaFixA10Y</v>
      </c>
      <c r="G16" s="59" t="str">
        <f>_xll.qlEuriborSwap($F16,FixingType,$C16,Currency&amp;$D16,Currency&amp;$E16,Permanent,Trigger,ObjectOverwrite)</f>
        <v>EuriborSwapIsdaFixA10Y#0045</v>
      </c>
      <c r="H16" s="58" t="str">
        <f>_xll.ohRangeRetrieveError(G16)</f>
        <v/>
      </c>
      <c r="I16" s="57"/>
    </row>
    <row r="17" spans="2:9" s="53" customFormat="1" x14ac:dyDescent="0.2">
      <c r="B17" s="63"/>
      <c r="C17" s="62" t="s">
        <v>106</v>
      </c>
      <c r="D17" s="61" t="s">
        <v>18</v>
      </c>
      <c r="E17" s="61" t="s">
        <v>23</v>
      </c>
      <c r="F17" s="60" t="str">
        <f>PROPER(Currency)&amp;FamilyName&amp;FixingType&amp;$C17</f>
        <v>EuriborSwapIsdaFixA11Y</v>
      </c>
      <c r="G17" s="59" t="str">
        <f>_xll.qlEuriborSwap($F17,FixingType,$C17,Currency&amp;$D17,Currency&amp;$E17,Permanent,Trigger,ObjectOverwrite)</f>
        <v>EuriborSwapIsdaFixA11Y#0045</v>
      </c>
      <c r="H17" s="58" t="str">
        <f>_xll.ohRangeRetrieveError(G17)</f>
        <v/>
      </c>
      <c r="I17" s="57"/>
    </row>
    <row r="18" spans="2:9" s="53" customFormat="1" x14ac:dyDescent="0.2">
      <c r="B18" s="63"/>
      <c r="C18" s="62" t="s">
        <v>105</v>
      </c>
      <c r="D18" s="61" t="s">
        <v>18</v>
      </c>
      <c r="E18" s="61" t="s">
        <v>23</v>
      </c>
      <c r="F18" s="60" t="str">
        <f>PROPER(Currency)&amp;FamilyName&amp;FixingType&amp;$C18</f>
        <v>EuriborSwapIsdaFixA12Y</v>
      </c>
      <c r="G18" s="59" t="str">
        <f>_xll.qlEuriborSwap($F18,FixingType,$C18,Currency&amp;$D18,Currency&amp;$E18,Permanent,Trigger,ObjectOverwrite)</f>
        <v>EuriborSwapIsdaFixA12Y#0045</v>
      </c>
      <c r="H18" s="58" t="str">
        <f>_xll.ohRangeRetrieveError(G18)</f>
        <v/>
      </c>
      <c r="I18" s="57"/>
    </row>
    <row r="19" spans="2:9" s="53" customFormat="1" x14ac:dyDescent="0.2">
      <c r="B19" s="63"/>
      <c r="C19" s="62" t="s">
        <v>104</v>
      </c>
      <c r="D19" s="61" t="s">
        <v>18</v>
      </c>
      <c r="E19" s="61" t="s">
        <v>23</v>
      </c>
      <c r="F19" s="60" t="str">
        <f>PROPER(Currency)&amp;FamilyName&amp;FixingType&amp;$C19</f>
        <v>EuriborSwapIsdaFixA13Y</v>
      </c>
      <c r="G19" s="59" t="str">
        <f>_xll.qlEuriborSwap($F19,FixingType,$C19,Currency&amp;$D19,Currency&amp;$E19,Permanent,Trigger,ObjectOverwrite)</f>
        <v>EuriborSwapIsdaFixA13Y#0045</v>
      </c>
      <c r="H19" s="58" t="str">
        <f>_xll.ohRangeRetrieveError(G19)</f>
        <v/>
      </c>
      <c r="I19" s="57"/>
    </row>
    <row r="20" spans="2:9" s="53" customFormat="1" x14ac:dyDescent="0.2">
      <c r="B20" s="63"/>
      <c r="C20" s="62" t="s">
        <v>103</v>
      </c>
      <c r="D20" s="61" t="s">
        <v>18</v>
      </c>
      <c r="E20" s="61" t="s">
        <v>23</v>
      </c>
      <c r="F20" s="60" t="str">
        <f>PROPER(Currency)&amp;FamilyName&amp;FixingType&amp;$C20</f>
        <v>EuriborSwapIsdaFixA14Y</v>
      </c>
      <c r="G20" s="59" t="str">
        <f>_xll.qlEuriborSwap($F20,FixingType,$C20,Currency&amp;$D20,Currency&amp;$E20,Permanent,Trigger,ObjectOverwrite)</f>
        <v>EuriborSwapIsdaFixA14Y#0045</v>
      </c>
      <c r="H20" s="58" t="str">
        <f>_xll.ohRangeRetrieveError(G20)</f>
        <v/>
      </c>
      <c r="I20" s="57"/>
    </row>
    <row r="21" spans="2:9" s="53" customFormat="1" x14ac:dyDescent="0.2">
      <c r="B21" s="63"/>
      <c r="C21" s="62" t="s">
        <v>102</v>
      </c>
      <c r="D21" s="61" t="s">
        <v>18</v>
      </c>
      <c r="E21" s="61" t="s">
        <v>23</v>
      </c>
      <c r="F21" s="60" t="str">
        <f>PROPER(Currency)&amp;FamilyName&amp;FixingType&amp;$C21</f>
        <v>EuriborSwapIsdaFixA15Y</v>
      </c>
      <c r="G21" s="59" t="str">
        <f>_xll.qlEuriborSwap($F21,FixingType,$C21,Currency&amp;$D21,Currency&amp;$E21,Permanent,Trigger,ObjectOverwrite)</f>
        <v>EuriborSwapIsdaFixA15Y#0045</v>
      </c>
      <c r="H21" s="58" t="str">
        <f>_xll.ohRangeRetrieveError(G21)</f>
        <v/>
      </c>
      <c r="I21" s="57"/>
    </row>
    <row r="22" spans="2:9" s="53" customFormat="1" x14ac:dyDescent="0.2">
      <c r="B22" s="63"/>
      <c r="C22" s="62" t="s">
        <v>101</v>
      </c>
      <c r="D22" s="61" t="s">
        <v>18</v>
      </c>
      <c r="E22" s="61" t="s">
        <v>23</v>
      </c>
      <c r="F22" s="60" t="str">
        <f>PROPER(Currency)&amp;FamilyName&amp;FixingType&amp;$C22</f>
        <v>EuriborSwapIsdaFixA16Y</v>
      </c>
      <c r="G22" s="59" t="str">
        <f>_xll.qlEuriborSwap($F22,FixingType,$C22,Currency&amp;$D22,Currency&amp;$E22,Permanent,Trigger,ObjectOverwrite)</f>
        <v>EuriborSwapIsdaFixA16Y#0045</v>
      </c>
      <c r="H22" s="58" t="str">
        <f>_xll.ohRangeRetrieveError(G22)</f>
        <v/>
      </c>
      <c r="I22" s="57"/>
    </row>
    <row r="23" spans="2:9" s="53" customFormat="1" x14ac:dyDescent="0.2">
      <c r="B23" s="63"/>
      <c r="C23" s="62" t="s">
        <v>100</v>
      </c>
      <c r="D23" s="61" t="s">
        <v>18</v>
      </c>
      <c r="E23" s="61" t="s">
        <v>23</v>
      </c>
      <c r="F23" s="60" t="str">
        <f>PROPER(Currency)&amp;FamilyName&amp;FixingType&amp;$C23</f>
        <v>EuriborSwapIsdaFixA17Y</v>
      </c>
      <c r="G23" s="59" t="str">
        <f>_xll.qlEuriborSwap($F23,FixingType,$C23,Currency&amp;$D23,Currency&amp;$E23,Permanent,Trigger,ObjectOverwrite)</f>
        <v>EuriborSwapIsdaFixA17Y#0045</v>
      </c>
      <c r="H23" s="58" t="str">
        <f>_xll.ohRangeRetrieveError(G23)</f>
        <v/>
      </c>
      <c r="I23" s="57"/>
    </row>
    <row r="24" spans="2:9" s="53" customFormat="1" x14ac:dyDescent="0.2">
      <c r="B24" s="63"/>
      <c r="C24" s="62" t="s">
        <v>99</v>
      </c>
      <c r="D24" s="61" t="s">
        <v>18</v>
      </c>
      <c r="E24" s="61" t="s">
        <v>23</v>
      </c>
      <c r="F24" s="60" t="str">
        <f>PROPER(Currency)&amp;FamilyName&amp;FixingType&amp;$C24</f>
        <v>EuriborSwapIsdaFixA18Y</v>
      </c>
      <c r="G24" s="59" t="str">
        <f>_xll.qlEuriborSwap($F24,FixingType,$C24,Currency&amp;$D24,Currency&amp;$E24,Permanent,Trigger,ObjectOverwrite)</f>
        <v>EuriborSwapIsdaFixA18Y#0045</v>
      </c>
      <c r="H24" s="58" t="str">
        <f>_xll.ohRangeRetrieveError(G24)</f>
        <v/>
      </c>
      <c r="I24" s="57"/>
    </row>
    <row r="25" spans="2:9" s="53" customFormat="1" x14ac:dyDescent="0.2">
      <c r="B25" s="63"/>
      <c r="C25" s="62" t="s">
        <v>98</v>
      </c>
      <c r="D25" s="61" t="s">
        <v>18</v>
      </c>
      <c r="E25" s="61" t="s">
        <v>23</v>
      </c>
      <c r="F25" s="60" t="str">
        <f>PROPER(Currency)&amp;FamilyName&amp;FixingType&amp;$C25</f>
        <v>EuriborSwapIsdaFixA19Y</v>
      </c>
      <c r="G25" s="59" t="str">
        <f>_xll.qlEuriborSwap($F25,FixingType,$C25,Currency&amp;$D25,Currency&amp;$E25,Permanent,Trigger,ObjectOverwrite)</f>
        <v>EuriborSwapIsdaFixA19Y#0045</v>
      </c>
      <c r="H25" s="58" t="str">
        <f>_xll.ohRangeRetrieveError(G25)</f>
        <v/>
      </c>
      <c r="I25" s="57"/>
    </row>
    <row r="26" spans="2:9" s="53" customFormat="1" x14ac:dyDescent="0.2">
      <c r="B26" s="63"/>
      <c r="C26" s="62" t="s">
        <v>97</v>
      </c>
      <c r="D26" s="61" t="s">
        <v>18</v>
      </c>
      <c r="E26" s="61" t="s">
        <v>23</v>
      </c>
      <c r="F26" s="60" t="str">
        <f>PROPER(Currency)&amp;FamilyName&amp;FixingType&amp;$C26</f>
        <v>EuriborSwapIsdaFixA20Y</v>
      </c>
      <c r="G26" s="59" t="str">
        <f>_xll.qlEuriborSwap($F26,FixingType,$C26,Currency&amp;$D26,Currency&amp;$E26,Permanent,Trigger,ObjectOverwrite)</f>
        <v>EuriborSwapIsdaFixA20Y#0045</v>
      </c>
      <c r="H26" s="58" t="str">
        <f>_xll.ohRangeRetrieveError(G26)</f>
        <v/>
      </c>
      <c r="I26" s="57"/>
    </row>
    <row r="27" spans="2:9" s="53" customFormat="1" x14ac:dyDescent="0.2">
      <c r="B27" s="63"/>
      <c r="C27" s="62" t="s">
        <v>96</v>
      </c>
      <c r="D27" s="61" t="s">
        <v>18</v>
      </c>
      <c r="E27" s="61" t="s">
        <v>23</v>
      </c>
      <c r="F27" s="60" t="str">
        <f>PROPER(Currency)&amp;FamilyName&amp;FixingType&amp;$C27</f>
        <v>EuriborSwapIsdaFixA21Y</v>
      </c>
      <c r="G27" s="59" t="str">
        <f>_xll.qlEuriborSwap($F27,FixingType,$C27,Currency&amp;$D27,Currency&amp;$E27,Permanent,Trigger,ObjectOverwrite)</f>
        <v>EuriborSwapIsdaFixA21Y#0045</v>
      </c>
      <c r="H27" s="58" t="str">
        <f>_xll.ohRangeRetrieveError(G27)</f>
        <v/>
      </c>
      <c r="I27" s="57"/>
    </row>
    <row r="28" spans="2:9" s="53" customFormat="1" x14ac:dyDescent="0.2">
      <c r="B28" s="63"/>
      <c r="C28" s="62" t="s">
        <v>95</v>
      </c>
      <c r="D28" s="61" t="s">
        <v>18</v>
      </c>
      <c r="E28" s="61" t="s">
        <v>23</v>
      </c>
      <c r="F28" s="60" t="str">
        <f>PROPER(Currency)&amp;FamilyName&amp;FixingType&amp;$C28</f>
        <v>EuriborSwapIsdaFixA22Y</v>
      </c>
      <c r="G28" s="59" t="str">
        <f>_xll.qlEuriborSwap($F28,FixingType,$C28,Currency&amp;$D28,Currency&amp;$E28,Permanent,Trigger,ObjectOverwrite)</f>
        <v>EuriborSwapIsdaFixA22Y#0045</v>
      </c>
      <c r="H28" s="58" t="str">
        <f>_xll.ohRangeRetrieveError(G28)</f>
        <v/>
      </c>
      <c r="I28" s="57"/>
    </row>
    <row r="29" spans="2:9" s="53" customFormat="1" x14ac:dyDescent="0.2">
      <c r="B29" s="63"/>
      <c r="C29" s="62" t="s">
        <v>94</v>
      </c>
      <c r="D29" s="61" t="s">
        <v>18</v>
      </c>
      <c r="E29" s="61" t="s">
        <v>23</v>
      </c>
      <c r="F29" s="60" t="str">
        <f>PROPER(Currency)&amp;FamilyName&amp;FixingType&amp;$C29</f>
        <v>EuriborSwapIsdaFixA23Y</v>
      </c>
      <c r="G29" s="59" t="str">
        <f>_xll.qlEuriborSwap($F29,FixingType,$C29,Currency&amp;$D29,Currency&amp;$E29,Permanent,Trigger,ObjectOverwrite)</f>
        <v>EuriborSwapIsdaFixA23Y#0045</v>
      </c>
      <c r="H29" s="58" t="str">
        <f>_xll.ohRangeRetrieveError(G29)</f>
        <v/>
      </c>
      <c r="I29" s="57"/>
    </row>
    <row r="30" spans="2:9" s="53" customFormat="1" x14ac:dyDescent="0.2">
      <c r="B30" s="63"/>
      <c r="C30" s="62" t="s">
        <v>93</v>
      </c>
      <c r="D30" s="61" t="s">
        <v>18</v>
      </c>
      <c r="E30" s="61" t="s">
        <v>23</v>
      </c>
      <c r="F30" s="60" t="str">
        <f>PROPER(Currency)&amp;FamilyName&amp;FixingType&amp;$C30</f>
        <v>EuriborSwapIsdaFixA24Y</v>
      </c>
      <c r="G30" s="59" t="str">
        <f>_xll.qlEuriborSwap($F30,FixingType,$C30,Currency&amp;$D30,Currency&amp;$E30,Permanent,Trigger,ObjectOverwrite)</f>
        <v>EuriborSwapIsdaFixA24Y#0045</v>
      </c>
      <c r="H30" s="58" t="str">
        <f>_xll.ohRangeRetrieveError(G30)</f>
        <v/>
      </c>
      <c r="I30" s="57"/>
    </row>
    <row r="31" spans="2:9" s="53" customFormat="1" x14ac:dyDescent="0.2">
      <c r="B31" s="63"/>
      <c r="C31" s="62" t="s">
        <v>92</v>
      </c>
      <c r="D31" s="61" t="s">
        <v>18</v>
      </c>
      <c r="E31" s="61" t="s">
        <v>23</v>
      </c>
      <c r="F31" s="60" t="str">
        <f>PROPER(Currency)&amp;FamilyName&amp;FixingType&amp;$C31</f>
        <v>EuriborSwapIsdaFixA25Y</v>
      </c>
      <c r="G31" s="59" t="str">
        <f>_xll.qlEuriborSwap($F31,FixingType,$C31,Currency&amp;$D31,Currency&amp;$E31,Permanent,Trigger,ObjectOverwrite)</f>
        <v>EuriborSwapIsdaFixA25Y#0045</v>
      </c>
      <c r="H31" s="58" t="str">
        <f>_xll.ohRangeRetrieveError(G31)</f>
        <v/>
      </c>
      <c r="I31" s="57"/>
    </row>
    <row r="32" spans="2:9" s="53" customFormat="1" x14ac:dyDescent="0.2">
      <c r="B32" s="63"/>
      <c r="C32" s="62" t="s">
        <v>91</v>
      </c>
      <c r="D32" s="61" t="s">
        <v>18</v>
      </c>
      <c r="E32" s="61" t="s">
        <v>23</v>
      </c>
      <c r="F32" s="60" t="str">
        <f>PROPER(Currency)&amp;FamilyName&amp;FixingType&amp;$C32</f>
        <v>EuriborSwapIsdaFixA26Y</v>
      </c>
      <c r="G32" s="59" t="str">
        <f>_xll.qlEuriborSwap($F32,FixingType,$C32,Currency&amp;$D32,Currency&amp;$E32,Permanent,Trigger,ObjectOverwrite)</f>
        <v>EuriborSwapIsdaFixA26Y#0045</v>
      </c>
      <c r="H32" s="58" t="str">
        <f>_xll.ohRangeRetrieveError(G32)</f>
        <v/>
      </c>
      <c r="I32" s="57"/>
    </row>
    <row r="33" spans="2:9" s="53" customFormat="1" x14ac:dyDescent="0.2">
      <c r="B33" s="63"/>
      <c r="C33" s="62" t="s">
        <v>90</v>
      </c>
      <c r="D33" s="61" t="s">
        <v>18</v>
      </c>
      <c r="E33" s="61" t="s">
        <v>23</v>
      </c>
      <c r="F33" s="60" t="str">
        <f>PROPER(Currency)&amp;FamilyName&amp;FixingType&amp;$C33</f>
        <v>EuriborSwapIsdaFixA27Y</v>
      </c>
      <c r="G33" s="59" t="str">
        <f>_xll.qlEuriborSwap($F33,FixingType,$C33,Currency&amp;$D33,Currency&amp;$E33,Permanent,Trigger,ObjectOverwrite)</f>
        <v>EuriborSwapIsdaFixA27Y#0045</v>
      </c>
      <c r="H33" s="58" t="str">
        <f>_xll.ohRangeRetrieveError(G33)</f>
        <v/>
      </c>
      <c r="I33" s="57"/>
    </row>
    <row r="34" spans="2:9" s="53" customFormat="1" x14ac:dyDescent="0.2">
      <c r="B34" s="63"/>
      <c r="C34" s="62" t="s">
        <v>89</v>
      </c>
      <c r="D34" s="61" t="s">
        <v>18</v>
      </c>
      <c r="E34" s="61" t="s">
        <v>23</v>
      </c>
      <c r="F34" s="60" t="str">
        <f>PROPER(Currency)&amp;FamilyName&amp;FixingType&amp;$C34</f>
        <v>EuriborSwapIsdaFixA28Y</v>
      </c>
      <c r="G34" s="59" t="str">
        <f>_xll.qlEuriborSwap($F34,FixingType,$C34,Currency&amp;$D34,Currency&amp;$E34,Permanent,Trigger,ObjectOverwrite)</f>
        <v>EuriborSwapIsdaFixA28Y#0045</v>
      </c>
      <c r="H34" s="58" t="str">
        <f>_xll.ohRangeRetrieveError(G34)</f>
        <v/>
      </c>
      <c r="I34" s="57"/>
    </row>
    <row r="35" spans="2:9" s="53" customFormat="1" x14ac:dyDescent="0.2">
      <c r="B35" s="63"/>
      <c r="C35" s="62" t="s">
        <v>88</v>
      </c>
      <c r="D35" s="61" t="s">
        <v>18</v>
      </c>
      <c r="E35" s="61" t="s">
        <v>23</v>
      </c>
      <c r="F35" s="60" t="str">
        <f>PROPER(Currency)&amp;FamilyName&amp;FixingType&amp;$C35</f>
        <v>EuriborSwapIsdaFixA29Y</v>
      </c>
      <c r="G35" s="59" t="str">
        <f>_xll.qlEuriborSwap($F35,FixingType,$C35,Currency&amp;$D35,Currency&amp;$E35,Permanent,Trigger,ObjectOverwrite)</f>
        <v>EuriborSwapIsdaFixA29Y#0045</v>
      </c>
      <c r="H35" s="58" t="str">
        <f>_xll.ohRangeRetrieveError(G35)</f>
        <v/>
      </c>
      <c r="I35" s="57"/>
    </row>
    <row r="36" spans="2:9" s="53" customFormat="1" x14ac:dyDescent="0.2">
      <c r="B36" s="63"/>
      <c r="C36" s="62" t="s">
        <v>87</v>
      </c>
      <c r="D36" s="61" t="s">
        <v>18</v>
      </c>
      <c r="E36" s="61" t="s">
        <v>23</v>
      </c>
      <c r="F36" s="60" t="str">
        <f>PROPER(Currency)&amp;FamilyName&amp;FixingType&amp;$C36</f>
        <v>EuriborSwapIsdaFixA30Y</v>
      </c>
      <c r="G36" s="59" t="str">
        <f>_xll.qlEuriborSwap($F36,FixingType,$C36,Currency&amp;$D36,Currency&amp;$E36,Permanent,Trigger,ObjectOverwrite)</f>
        <v>EuriborSwapIsdaFixA30Y#0045</v>
      </c>
      <c r="H36" s="58" t="str">
        <f>_xll.ohRangeRetrieveError(G36)</f>
        <v/>
      </c>
      <c r="I36" s="57"/>
    </row>
    <row r="37" spans="2:9" s="53" customFormat="1" x14ac:dyDescent="0.2">
      <c r="B37" s="63"/>
      <c r="C37" s="62" t="s">
        <v>86</v>
      </c>
      <c r="D37" s="61" t="s">
        <v>18</v>
      </c>
      <c r="E37" s="61" t="s">
        <v>23</v>
      </c>
      <c r="F37" s="60" t="str">
        <f>PROPER(Currency)&amp;FamilyName&amp;FixingType&amp;$C37</f>
        <v>EuriborSwapIsdaFixA31Y</v>
      </c>
      <c r="G37" s="59" t="str">
        <f>_xll.qlEuriborSwap($F37,FixingType,$C37,Currency&amp;$D37,Currency&amp;$E37,Permanent,Trigger,ObjectOverwrite)</f>
        <v>EuriborSwapIsdaFixA31Y#0045</v>
      </c>
      <c r="H37" s="58" t="str">
        <f>_xll.ohRangeRetrieveError(G37)</f>
        <v/>
      </c>
      <c r="I37" s="57"/>
    </row>
    <row r="38" spans="2:9" s="53" customFormat="1" x14ac:dyDescent="0.2">
      <c r="B38" s="63"/>
      <c r="C38" s="62" t="s">
        <v>85</v>
      </c>
      <c r="D38" s="61" t="s">
        <v>18</v>
      </c>
      <c r="E38" s="61" t="s">
        <v>23</v>
      </c>
      <c r="F38" s="60" t="str">
        <f>PROPER(Currency)&amp;FamilyName&amp;FixingType&amp;$C38</f>
        <v>EuriborSwapIsdaFixA32Y</v>
      </c>
      <c r="G38" s="59" t="str">
        <f>_xll.qlEuriborSwap($F38,FixingType,$C38,Currency&amp;$D38,Currency&amp;$E38,Permanent,Trigger,ObjectOverwrite)</f>
        <v>EuriborSwapIsdaFixA32Y#0045</v>
      </c>
      <c r="H38" s="58" t="str">
        <f>_xll.ohRangeRetrieveError(G38)</f>
        <v/>
      </c>
      <c r="I38" s="57"/>
    </row>
    <row r="39" spans="2:9" s="53" customFormat="1" x14ac:dyDescent="0.2">
      <c r="B39" s="63"/>
      <c r="C39" s="62" t="s">
        <v>84</v>
      </c>
      <c r="D39" s="61" t="s">
        <v>18</v>
      </c>
      <c r="E39" s="61" t="s">
        <v>23</v>
      </c>
      <c r="F39" s="60" t="str">
        <f>PROPER(Currency)&amp;FamilyName&amp;FixingType&amp;$C39</f>
        <v>EuriborSwapIsdaFixA33Y</v>
      </c>
      <c r="G39" s="59" t="str">
        <f>_xll.qlEuriborSwap($F39,FixingType,$C39,Currency&amp;$D39,Currency&amp;$E39,Permanent,Trigger,ObjectOverwrite)</f>
        <v>EuriborSwapIsdaFixA33Y#0045</v>
      </c>
      <c r="H39" s="58" t="str">
        <f>_xll.ohRangeRetrieveError(G39)</f>
        <v/>
      </c>
      <c r="I39" s="57"/>
    </row>
    <row r="40" spans="2:9" s="53" customFormat="1" x14ac:dyDescent="0.2">
      <c r="B40" s="63"/>
      <c r="C40" s="62" t="s">
        <v>83</v>
      </c>
      <c r="D40" s="61" t="s">
        <v>18</v>
      </c>
      <c r="E40" s="61" t="s">
        <v>23</v>
      </c>
      <c r="F40" s="60" t="str">
        <f>PROPER(Currency)&amp;FamilyName&amp;FixingType&amp;$C40</f>
        <v>EuriborSwapIsdaFixA34Y</v>
      </c>
      <c r="G40" s="59" t="str">
        <f>_xll.qlEuriborSwap($F40,FixingType,$C40,Currency&amp;$D40,Currency&amp;$E40,Permanent,Trigger,ObjectOverwrite)</f>
        <v>EuriborSwapIsdaFixA34Y#0045</v>
      </c>
      <c r="H40" s="58" t="str">
        <f>_xll.ohRangeRetrieveError(G40)</f>
        <v/>
      </c>
      <c r="I40" s="57"/>
    </row>
    <row r="41" spans="2:9" s="53" customFormat="1" x14ac:dyDescent="0.2">
      <c r="B41" s="63"/>
      <c r="C41" s="62" t="s">
        <v>82</v>
      </c>
      <c r="D41" s="61" t="s">
        <v>18</v>
      </c>
      <c r="E41" s="61" t="s">
        <v>23</v>
      </c>
      <c r="F41" s="60" t="str">
        <f>PROPER(Currency)&amp;FamilyName&amp;FixingType&amp;$C41</f>
        <v>EuriborSwapIsdaFixA35Y</v>
      </c>
      <c r="G41" s="59" t="str">
        <f>_xll.qlEuriborSwap($F41,FixingType,$C41,Currency&amp;$D41,Currency&amp;$E41,Permanent,Trigger,ObjectOverwrite)</f>
        <v>EuriborSwapIsdaFixA35Y#0045</v>
      </c>
      <c r="H41" s="58" t="str">
        <f>_xll.ohRangeRetrieveError(G41)</f>
        <v/>
      </c>
      <c r="I41" s="57"/>
    </row>
    <row r="42" spans="2:9" s="53" customFormat="1" x14ac:dyDescent="0.2">
      <c r="B42" s="63"/>
      <c r="C42" s="62" t="s">
        <v>81</v>
      </c>
      <c r="D42" s="61" t="s">
        <v>18</v>
      </c>
      <c r="E42" s="61" t="s">
        <v>23</v>
      </c>
      <c r="F42" s="60" t="str">
        <f>PROPER(Currency)&amp;FamilyName&amp;FixingType&amp;$C42</f>
        <v>EuriborSwapIsdaFixA36Y</v>
      </c>
      <c r="G42" s="59" t="str">
        <f>_xll.qlEuriborSwap($F42,FixingType,$C42,Currency&amp;$D42,Currency&amp;$E42,Permanent,Trigger,ObjectOverwrite)</f>
        <v>EuriborSwapIsdaFixA36Y#0045</v>
      </c>
      <c r="H42" s="58" t="str">
        <f>_xll.ohRangeRetrieveError(G42)</f>
        <v/>
      </c>
      <c r="I42" s="57"/>
    </row>
    <row r="43" spans="2:9" s="53" customFormat="1" x14ac:dyDescent="0.2">
      <c r="B43" s="63"/>
      <c r="C43" s="62" t="s">
        <v>80</v>
      </c>
      <c r="D43" s="61" t="s">
        <v>18</v>
      </c>
      <c r="E43" s="61" t="s">
        <v>23</v>
      </c>
      <c r="F43" s="60" t="str">
        <f>PROPER(Currency)&amp;FamilyName&amp;FixingType&amp;$C43</f>
        <v>EuriborSwapIsdaFixA37Y</v>
      </c>
      <c r="G43" s="59" t="str">
        <f>_xll.qlEuriborSwap($F43,FixingType,$C43,Currency&amp;$D43,Currency&amp;$E43,Permanent,Trigger,ObjectOverwrite)</f>
        <v>EuriborSwapIsdaFixA37Y#0045</v>
      </c>
      <c r="H43" s="58" t="str">
        <f>_xll.ohRangeRetrieveError(G43)</f>
        <v/>
      </c>
      <c r="I43" s="57"/>
    </row>
    <row r="44" spans="2:9" s="53" customFormat="1" x14ac:dyDescent="0.2">
      <c r="B44" s="63"/>
      <c r="C44" s="62" t="s">
        <v>79</v>
      </c>
      <c r="D44" s="61" t="s">
        <v>18</v>
      </c>
      <c r="E44" s="61" t="s">
        <v>23</v>
      </c>
      <c r="F44" s="60" t="str">
        <f>PROPER(Currency)&amp;FamilyName&amp;FixingType&amp;$C44</f>
        <v>EuriborSwapIsdaFixA38Y</v>
      </c>
      <c r="G44" s="59" t="str">
        <f>_xll.qlEuriborSwap($F44,FixingType,$C44,Currency&amp;$D44,Currency&amp;$E44,Permanent,Trigger,ObjectOverwrite)</f>
        <v>EuriborSwapIsdaFixA38Y#0045</v>
      </c>
      <c r="H44" s="58" t="str">
        <f>_xll.ohRangeRetrieveError(G44)</f>
        <v/>
      </c>
      <c r="I44" s="57"/>
    </row>
    <row r="45" spans="2:9" s="53" customFormat="1" x14ac:dyDescent="0.2">
      <c r="B45" s="63"/>
      <c r="C45" s="62" t="s">
        <v>78</v>
      </c>
      <c r="D45" s="61" t="s">
        <v>18</v>
      </c>
      <c r="E45" s="61" t="s">
        <v>23</v>
      </c>
      <c r="F45" s="60" t="str">
        <f>PROPER(Currency)&amp;FamilyName&amp;FixingType&amp;$C45</f>
        <v>EuriborSwapIsdaFixA39Y</v>
      </c>
      <c r="G45" s="59" t="str">
        <f>_xll.qlEuriborSwap($F45,FixingType,$C45,Currency&amp;$D45,Currency&amp;$E45,Permanent,Trigger,ObjectOverwrite)</f>
        <v>EuriborSwapIsdaFixA39Y#0045</v>
      </c>
      <c r="H45" s="58" t="str">
        <f>_xll.ohRangeRetrieveError(G45)</f>
        <v/>
      </c>
      <c r="I45" s="57"/>
    </row>
    <row r="46" spans="2:9" s="53" customFormat="1" x14ac:dyDescent="0.2">
      <c r="B46" s="63"/>
      <c r="C46" s="62" t="s">
        <v>77</v>
      </c>
      <c r="D46" s="61" t="s">
        <v>18</v>
      </c>
      <c r="E46" s="61" t="s">
        <v>23</v>
      </c>
      <c r="F46" s="60" t="str">
        <f>PROPER(Currency)&amp;FamilyName&amp;FixingType&amp;$C46</f>
        <v>EuriborSwapIsdaFixA40Y</v>
      </c>
      <c r="G46" s="59" t="str">
        <f>_xll.qlEuriborSwap($F46,FixingType,$C46,Currency&amp;$D46,Currency&amp;$E46,Permanent,Trigger,ObjectOverwrite)</f>
        <v>EuriborSwapIsdaFixA40Y#0045</v>
      </c>
      <c r="H46" s="58" t="str">
        <f>_xll.ohRangeRetrieveError(G46)</f>
        <v/>
      </c>
      <c r="I46" s="57"/>
    </row>
    <row r="47" spans="2:9" s="53" customFormat="1" x14ac:dyDescent="0.2">
      <c r="B47" s="63"/>
      <c r="C47" s="62" t="s">
        <v>76</v>
      </c>
      <c r="D47" s="61" t="s">
        <v>18</v>
      </c>
      <c r="E47" s="61" t="s">
        <v>23</v>
      </c>
      <c r="F47" s="60" t="str">
        <f>PROPER(Currency)&amp;FamilyName&amp;FixingType&amp;$C47</f>
        <v>EuriborSwapIsdaFixA41Y</v>
      </c>
      <c r="G47" s="59" t="str">
        <f>_xll.qlEuriborSwap($F47,FixingType,$C47,Currency&amp;$D47,Currency&amp;$E47,Permanent,Trigger,ObjectOverwrite)</f>
        <v>EuriborSwapIsdaFixA41Y#0045</v>
      </c>
      <c r="H47" s="58" t="str">
        <f>_xll.ohRangeRetrieveError(G47)</f>
        <v/>
      </c>
      <c r="I47" s="57"/>
    </row>
    <row r="48" spans="2:9" s="53" customFormat="1" x14ac:dyDescent="0.2">
      <c r="B48" s="63"/>
      <c r="C48" s="62" t="s">
        <v>75</v>
      </c>
      <c r="D48" s="61" t="s">
        <v>18</v>
      </c>
      <c r="E48" s="61" t="s">
        <v>23</v>
      </c>
      <c r="F48" s="60" t="str">
        <f>PROPER(Currency)&amp;FamilyName&amp;FixingType&amp;$C48</f>
        <v>EuriborSwapIsdaFixA42Y</v>
      </c>
      <c r="G48" s="59" t="str">
        <f>_xll.qlEuriborSwap($F48,FixingType,$C48,Currency&amp;$D48,Currency&amp;$E48,Permanent,Trigger,ObjectOverwrite)</f>
        <v>EuriborSwapIsdaFixA42Y#0045</v>
      </c>
      <c r="H48" s="58" t="str">
        <f>_xll.ohRangeRetrieveError(G48)</f>
        <v/>
      </c>
      <c r="I48" s="57"/>
    </row>
    <row r="49" spans="2:9" s="53" customFormat="1" x14ac:dyDescent="0.2">
      <c r="B49" s="63"/>
      <c r="C49" s="62" t="s">
        <v>74</v>
      </c>
      <c r="D49" s="61" t="s">
        <v>18</v>
      </c>
      <c r="E49" s="61" t="s">
        <v>23</v>
      </c>
      <c r="F49" s="60" t="str">
        <f>PROPER(Currency)&amp;FamilyName&amp;FixingType&amp;$C49</f>
        <v>EuriborSwapIsdaFixA43Y</v>
      </c>
      <c r="G49" s="59" t="str">
        <f>_xll.qlEuriborSwap($F49,FixingType,$C49,Currency&amp;$D49,Currency&amp;$E49,Permanent,Trigger,ObjectOverwrite)</f>
        <v>EuriborSwapIsdaFixA43Y#0045</v>
      </c>
      <c r="H49" s="58" t="str">
        <f>_xll.ohRangeRetrieveError(G49)</f>
        <v/>
      </c>
      <c r="I49" s="57"/>
    </row>
    <row r="50" spans="2:9" s="53" customFormat="1" x14ac:dyDescent="0.2">
      <c r="B50" s="63"/>
      <c r="C50" s="62" t="s">
        <v>73</v>
      </c>
      <c r="D50" s="61" t="s">
        <v>18</v>
      </c>
      <c r="E50" s="61" t="s">
        <v>23</v>
      </c>
      <c r="F50" s="60" t="str">
        <f>PROPER(Currency)&amp;FamilyName&amp;FixingType&amp;$C50</f>
        <v>EuriborSwapIsdaFixA44Y</v>
      </c>
      <c r="G50" s="59" t="str">
        <f>_xll.qlEuriborSwap($F50,FixingType,$C50,Currency&amp;$D50,Currency&amp;$E50,Permanent,Trigger,ObjectOverwrite)</f>
        <v>EuriborSwapIsdaFixA44Y#0045</v>
      </c>
      <c r="H50" s="58" t="str">
        <f>_xll.ohRangeRetrieveError(G50)</f>
        <v/>
      </c>
      <c r="I50" s="57"/>
    </row>
    <row r="51" spans="2:9" s="53" customFormat="1" x14ac:dyDescent="0.2">
      <c r="B51" s="63"/>
      <c r="C51" s="62" t="s">
        <v>72</v>
      </c>
      <c r="D51" s="61" t="s">
        <v>18</v>
      </c>
      <c r="E51" s="61" t="s">
        <v>23</v>
      </c>
      <c r="F51" s="60" t="str">
        <f>PROPER(Currency)&amp;FamilyName&amp;FixingType&amp;$C51</f>
        <v>EuriborSwapIsdaFixA45Y</v>
      </c>
      <c r="G51" s="59" t="str">
        <f>_xll.qlEuriborSwap($F51,FixingType,$C51,Currency&amp;$D51,Currency&amp;$E51,Permanent,Trigger,ObjectOverwrite)</f>
        <v>EuriborSwapIsdaFixA45Y#0045</v>
      </c>
      <c r="H51" s="58" t="str">
        <f>_xll.ohRangeRetrieveError(G51)</f>
        <v/>
      </c>
      <c r="I51" s="57"/>
    </row>
    <row r="52" spans="2:9" s="53" customFormat="1" x14ac:dyDescent="0.2">
      <c r="B52" s="63"/>
      <c r="C52" s="62" t="s">
        <v>71</v>
      </c>
      <c r="D52" s="61" t="s">
        <v>18</v>
      </c>
      <c r="E52" s="61" t="s">
        <v>23</v>
      </c>
      <c r="F52" s="60" t="str">
        <f>PROPER(Currency)&amp;FamilyName&amp;FixingType&amp;$C52</f>
        <v>EuriborSwapIsdaFixA46Y</v>
      </c>
      <c r="G52" s="59" t="str">
        <f>_xll.qlEuriborSwap($F52,FixingType,$C52,Currency&amp;$D52,Currency&amp;$E52,Permanent,Trigger,ObjectOverwrite)</f>
        <v>EuriborSwapIsdaFixA46Y#0045</v>
      </c>
      <c r="H52" s="58" t="str">
        <f>_xll.ohRangeRetrieveError(G52)</f>
        <v/>
      </c>
      <c r="I52" s="57"/>
    </row>
    <row r="53" spans="2:9" s="53" customFormat="1" x14ac:dyDescent="0.2">
      <c r="B53" s="63"/>
      <c r="C53" s="62" t="s">
        <v>70</v>
      </c>
      <c r="D53" s="61" t="s">
        <v>18</v>
      </c>
      <c r="E53" s="61" t="s">
        <v>23</v>
      </c>
      <c r="F53" s="60" t="str">
        <f>PROPER(Currency)&amp;FamilyName&amp;FixingType&amp;$C53</f>
        <v>EuriborSwapIsdaFixA47Y</v>
      </c>
      <c r="G53" s="59" t="str">
        <f>_xll.qlEuriborSwap($F53,FixingType,$C53,Currency&amp;$D53,Currency&amp;$E53,Permanent,Trigger,ObjectOverwrite)</f>
        <v>EuriborSwapIsdaFixA47Y#0045</v>
      </c>
      <c r="H53" s="58" t="str">
        <f>_xll.ohRangeRetrieveError(G53)</f>
        <v/>
      </c>
      <c r="I53" s="57"/>
    </row>
    <row r="54" spans="2:9" s="53" customFormat="1" x14ac:dyDescent="0.2">
      <c r="B54" s="63"/>
      <c r="C54" s="62" t="s">
        <v>69</v>
      </c>
      <c r="D54" s="61" t="s">
        <v>18</v>
      </c>
      <c r="E54" s="61" t="s">
        <v>23</v>
      </c>
      <c r="F54" s="60" t="str">
        <f>PROPER(Currency)&amp;FamilyName&amp;FixingType&amp;$C54</f>
        <v>EuriborSwapIsdaFixA48Y</v>
      </c>
      <c r="G54" s="59" t="str">
        <f>_xll.qlEuriborSwap($F54,FixingType,$C54,Currency&amp;$D54,Currency&amp;$E54,Permanent,Trigger,ObjectOverwrite)</f>
        <v>EuriborSwapIsdaFixA48Y#0045</v>
      </c>
      <c r="H54" s="58" t="str">
        <f>_xll.ohRangeRetrieveError(G54)</f>
        <v/>
      </c>
      <c r="I54" s="57"/>
    </row>
    <row r="55" spans="2:9" s="53" customFormat="1" x14ac:dyDescent="0.2">
      <c r="B55" s="63"/>
      <c r="C55" s="62" t="s">
        <v>68</v>
      </c>
      <c r="D55" s="61" t="s">
        <v>18</v>
      </c>
      <c r="E55" s="61" t="s">
        <v>23</v>
      </c>
      <c r="F55" s="60" t="str">
        <f>PROPER(Currency)&amp;FamilyName&amp;FixingType&amp;$C55</f>
        <v>EuriborSwapIsdaFixA49Y</v>
      </c>
      <c r="G55" s="59" t="str">
        <f>_xll.qlEuriborSwap($F55,FixingType,$C55,Currency&amp;$D55,Currency&amp;$E55,Permanent,Trigger,ObjectOverwrite)</f>
        <v>EuriborSwapIsdaFixA49Y#0045</v>
      </c>
      <c r="H55" s="58" t="str">
        <f>_xll.ohRangeRetrieveError(G55)</f>
        <v/>
      </c>
      <c r="I55" s="57"/>
    </row>
    <row r="56" spans="2:9" s="53" customFormat="1" x14ac:dyDescent="0.2">
      <c r="B56" s="63"/>
      <c r="C56" s="62" t="s">
        <v>67</v>
      </c>
      <c r="D56" s="61" t="s">
        <v>18</v>
      </c>
      <c r="E56" s="61" t="s">
        <v>23</v>
      </c>
      <c r="F56" s="60" t="str">
        <f>PROPER(Currency)&amp;FamilyName&amp;FixingType&amp;$C56</f>
        <v>EuriborSwapIsdaFixA50Y</v>
      </c>
      <c r="G56" s="59" t="str">
        <f>_xll.qlEuriborSwap($F56,FixingType,$C56,Currency&amp;$D56,Currency&amp;$E56,Permanent,Trigger,ObjectOverwrite)</f>
        <v>EuriborSwapIsdaFixA50Y#0045</v>
      </c>
      <c r="H56" s="58" t="str">
        <f>_xll.ohRangeRetrieveError(G56)</f>
        <v/>
      </c>
      <c r="I56" s="57"/>
    </row>
    <row r="57" spans="2:9" s="53" customFormat="1" x14ac:dyDescent="0.2">
      <c r="B57" s="63"/>
      <c r="C57" s="62" t="s">
        <v>66</v>
      </c>
      <c r="D57" s="61" t="s">
        <v>18</v>
      </c>
      <c r="E57" s="61" t="s">
        <v>23</v>
      </c>
      <c r="F57" s="60" t="str">
        <f>PROPER(Currency)&amp;FamilyName&amp;FixingType&amp;$C57</f>
        <v>EuriborSwapIsdaFixA51Y</v>
      </c>
      <c r="G57" s="59" t="str">
        <f>_xll.qlEuriborSwap($F57,FixingType,$C57,Currency&amp;$D57,Currency&amp;$E57,Permanent,Trigger,ObjectOverwrite)</f>
        <v>EuriborSwapIsdaFixA51Y#0045</v>
      </c>
      <c r="H57" s="58" t="str">
        <f>_xll.ohRangeRetrieveError(G57)</f>
        <v/>
      </c>
      <c r="I57" s="57"/>
    </row>
    <row r="58" spans="2:9" s="53" customFormat="1" x14ac:dyDescent="0.2">
      <c r="B58" s="63"/>
      <c r="C58" s="62" t="s">
        <v>65</v>
      </c>
      <c r="D58" s="61" t="s">
        <v>18</v>
      </c>
      <c r="E58" s="61" t="s">
        <v>23</v>
      </c>
      <c r="F58" s="60" t="str">
        <f>PROPER(Currency)&amp;FamilyName&amp;FixingType&amp;$C58</f>
        <v>EuriborSwapIsdaFixA52Y</v>
      </c>
      <c r="G58" s="59" t="str">
        <f>_xll.qlEuriborSwap($F58,FixingType,$C58,Currency&amp;$D58,Currency&amp;$E58,Permanent,Trigger,ObjectOverwrite)</f>
        <v>EuriborSwapIsdaFixA52Y#0045</v>
      </c>
      <c r="H58" s="58" t="str">
        <f>_xll.ohRangeRetrieveError(G58)</f>
        <v/>
      </c>
      <c r="I58" s="57"/>
    </row>
    <row r="59" spans="2:9" s="53" customFormat="1" x14ac:dyDescent="0.2">
      <c r="B59" s="63"/>
      <c r="C59" s="62" t="s">
        <v>64</v>
      </c>
      <c r="D59" s="61" t="s">
        <v>18</v>
      </c>
      <c r="E59" s="61" t="s">
        <v>23</v>
      </c>
      <c r="F59" s="60" t="str">
        <f>PROPER(Currency)&amp;FamilyName&amp;FixingType&amp;$C59</f>
        <v>EuriborSwapIsdaFixA53Y</v>
      </c>
      <c r="G59" s="59" t="str">
        <f>_xll.qlEuriborSwap($F59,FixingType,$C59,Currency&amp;$D59,Currency&amp;$E59,Permanent,Trigger,ObjectOverwrite)</f>
        <v>EuriborSwapIsdaFixA53Y#0045</v>
      </c>
      <c r="H59" s="58" t="str">
        <f>_xll.ohRangeRetrieveError(G59)</f>
        <v/>
      </c>
      <c r="I59" s="57"/>
    </row>
    <row r="60" spans="2:9" s="53" customFormat="1" x14ac:dyDescent="0.2">
      <c r="B60" s="63"/>
      <c r="C60" s="62" t="s">
        <v>63</v>
      </c>
      <c r="D60" s="61" t="s">
        <v>18</v>
      </c>
      <c r="E60" s="61" t="s">
        <v>23</v>
      </c>
      <c r="F60" s="60" t="str">
        <f>PROPER(Currency)&amp;FamilyName&amp;FixingType&amp;$C60</f>
        <v>EuriborSwapIsdaFixA54Y</v>
      </c>
      <c r="G60" s="59" t="str">
        <f>_xll.qlEuriborSwap($F60,FixingType,$C60,Currency&amp;$D60,Currency&amp;$E60,Permanent,Trigger,ObjectOverwrite)</f>
        <v>EuriborSwapIsdaFixA54Y#0045</v>
      </c>
      <c r="H60" s="58" t="str">
        <f>_xll.ohRangeRetrieveError(G60)</f>
        <v/>
      </c>
      <c r="I60" s="57"/>
    </row>
    <row r="61" spans="2:9" s="53" customFormat="1" x14ac:dyDescent="0.2">
      <c r="B61" s="63"/>
      <c r="C61" s="62" t="s">
        <v>62</v>
      </c>
      <c r="D61" s="61" t="s">
        <v>18</v>
      </c>
      <c r="E61" s="61" t="s">
        <v>23</v>
      </c>
      <c r="F61" s="60" t="str">
        <f>PROPER(Currency)&amp;FamilyName&amp;FixingType&amp;$C61</f>
        <v>EuriborSwapIsdaFixA55Y</v>
      </c>
      <c r="G61" s="59" t="str">
        <f>_xll.qlEuriborSwap($F61,FixingType,$C61,Currency&amp;$D61,Currency&amp;$E61,Permanent,Trigger,ObjectOverwrite)</f>
        <v>EuriborSwapIsdaFixA55Y#0045</v>
      </c>
      <c r="H61" s="58" t="str">
        <f>_xll.ohRangeRetrieveError(G61)</f>
        <v/>
      </c>
      <c r="I61" s="57"/>
    </row>
    <row r="62" spans="2:9" s="53" customFormat="1" x14ac:dyDescent="0.2">
      <c r="B62" s="63"/>
      <c r="C62" s="62" t="s">
        <v>61</v>
      </c>
      <c r="D62" s="61" t="s">
        <v>18</v>
      </c>
      <c r="E62" s="61" t="s">
        <v>23</v>
      </c>
      <c r="F62" s="60" t="str">
        <f>PROPER(Currency)&amp;FamilyName&amp;FixingType&amp;$C62</f>
        <v>EuriborSwapIsdaFixA56Y</v>
      </c>
      <c r="G62" s="59" t="str">
        <f>_xll.qlEuriborSwap($F62,FixingType,$C62,Currency&amp;$D62,Currency&amp;$E62,Permanent,Trigger,ObjectOverwrite)</f>
        <v>EuriborSwapIsdaFixA56Y#0045</v>
      </c>
      <c r="H62" s="58" t="str">
        <f>_xll.ohRangeRetrieveError(G62)</f>
        <v/>
      </c>
      <c r="I62" s="57"/>
    </row>
    <row r="63" spans="2:9" s="53" customFormat="1" x14ac:dyDescent="0.2">
      <c r="B63" s="63"/>
      <c r="C63" s="62" t="s">
        <v>60</v>
      </c>
      <c r="D63" s="61" t="s">
        <v>18</v>
      </c>
      <c r="E63" s="61" t="s">
        <v>23</v>
      </c>
      <c r="F63" s="60" t="str">
        <f>PROPER(Currency)&amp;FamilyName&amp;FixingType&amp;$C63</f>
        <v>EuriborSwapIsdaFixA57Y</v>
      </c>
      <c r="G63" s="59" t="str">
        <f>_xll.qlEuriborSwap($F63,FixingType,$C63,Currency&amp;$D63,Currency&amp;$E63,Permanent,Trigger,ObjectOverwrite)</f>
        <v>EuriborSwapIsdaFixA57Y#0045</v>
      </c>
      <c r="H63" s="58" t="str">
        <f>_xll.ohRangeRetrieveError(G63)</f>
        <v/>
      </c>
      <c r="I63" s="57"/>
    </row>
    <row r="64" spans="2:9" s="53" customFormat="1" x14ac:dyDescent="0.2">
      <c r="B64" s="63"/>
      <c r="C64" s="62" t="s">
        <v>59</v>
      </c>
      <c r="D64" s="61" t="s">
        <v>18</v>
      </c>
      <c r="E64" s="61" t="s">
        <v>23</v>
      </c>
      <c r="F64" s="60" t="str">
        <f>PROPER(Currency)&amp;FamilyName&amp;FixingType&amp;$C64</f>
        <v>EuriborSwapIsdaFixA58Y</v>
      </c>
      <c r="G64" s="59" t="str">
        <f>_xll.qlEuriborSwap($F64,FixingType,$C64,Currency&amp;$D64,Currency&amp;$E64,Permanent,Trigger,ObjectOverwrite)</f>
        <v>EuriborSwapIsdaFixA58Y#0045</v>
      </c>
      <c r="H64" s="58" t="str">
        <f>_xll.ohRangeRetrieveError(G64)</f>
        <v/>
      </c>
      <c r="I64" s="57"/>
    </row>
    <row r="65" spans="2:9" s="53" customFormat="1" x14ac:dyDescent="0.2">
      <c r="B65" s="63"/>
      <c r="C65" s="62" t="s">
        <v>58</v>
      </c>
      <c r="D65" s="61" t="s">
        <v>18</v>
      </c>
      <c r="E65" s="61" t="s">
        <v>23</v>
      </c>
      <c r="F65" s="60" t="str">
        <f>PROPER(Currency)&amp;FamilyName&amp;FixingType&amp;$C65</f>
        <v>EuriborSwapIsdaFixA59Y</v>
      </c>
      <c r="G65" s="59" t="str">
        <f>_xll.qlEuriborSwap($F65,FixingType,$C65,Currency&amp;$D65,Currency&amp;$E65,Permanent,Trigger,ObjectOverwrite)</f>
        <v>EuriborSwapIsdaFixA59Y#0045</v>
      </c>
      <c r="H65" s="58" t="str">
        <f>_xll.ohRangeRetrieveError(G65)</f>
        <v/>
      </c>
      <c r="I65" s="57"/>
    </row>
    <row r="66" spans="2:9" s="53" customFormat="1" x14ac:dyDescent="0.2">
      <c r="B66" s="63"/>
      <c r="C66" s="62" t="s">
        <v>57</v>
      </c>
      <c r="D66" s="61" t="s">
        <v>18</v>
      </c>
      <c r="E66" s="61" t="s">
        <v>23</v>
      </c>
      <c r="F66" s="60" t="str">
        <f>PROPER(Currency)&amp;FamilyName&amp;FixingType&amp;$C66</f>
        <v>EuriborSwapIsdaFixA60Y</v>
      </c>
      <c r="G66" s="59" t="str">
        <f>_xll.qlEuriborSwap($F66,FixingType,$C66,Currency&amp;$D66,Currency&amp;$E66,Permanent,Trigger,ObjectOverwrite)</f>
        <v>EuriborSwapIsdaFixA60Y#0045</v>
      </c>
      <c r="H66" s="58" t="str">
        <f>_xll.ohRangeRetrieveError(G66)</f>
        <v/>
      </c>
      <c r="I66" s="57"/>
    </row>
    <row r="67" spans="2:9" s="53" customFormat="1" ht="12" thickBot="1" x14ac:dyDescent="0.25">
      <c r="B67" s="56"/>
      <c r="C67" s="55"/>
      <c r="D67" s="55"/>
      <c r="E67" s="55"/>
      <c r="F67" s="55"/>
      <c r="G67" s="55"/>
      <c r="H67" s="55"/>
      <c r="I67" s="54"/>
    </row>
    <row r="68" spans="2:9" s="5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8"/>
  <sheetViews>
    <sheetView workbookViewId="0"/>
  </sheetViews>
  <sheetFormatPr defaultRowHeight="11.25" x14ac:dyDescent="0.2"/>
  <cols>
    <col min="1" max="1" width="3.140625" style="22" customWidth="1"/>
    <col min="2" max="2" width="4.4257812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20.140625" style="22" bestFit="1" customWidth="1"/>
    <col min="7" max="7" width="23.5703125" style="22" bestFit="1" customWidth="1"/>
    <col min="8" max="8" width="55" style="22" customWidth="1"/>
    <col min="9" max="9" width="5.28515625" style="22" customWidth="1"/>
    <col min="10" max="16384" width="9.140625" style="22"/>
  </cols>
  <sheetData>
    <row r="1" spans="1:9" s="53" customFormat="1" ht="12" thickBot="1" x14ac:dyDescent="0.25">
      <c r="A1" s="53" t="s">
        <v>124</v>
      </c>
    </row>
    <row r="2" spans="1:9" s="53" customFormat="1" x14ac:dyDescent="0.2">
      <c r="B2" s="74"/>
      <c r="C2" s="72"/>
      <c r="D2" s="72"/>
      <c r="E2" s="72"/>
      <c r="F2" s="73"/>
      <c r="G2" s="72"/>
      <c r="H2" s="72"/>
      <c r="I2" s="71"/>
    </row>
    <row r="3" spans="1:9" s="53" customFormat="1" x14ac:dyDescent="0.2">
      <c r="B3" s="63"/>
      <c r="C3" s="69"/>
      <c r="D3" s="69"/>
      <c r="E3" s="69"/>
      <c r="F3" s="70" t="s">
        <v>54</v>
      </c>
      <c r="G3" s="66" t="s">
        <v>120</v>
      </c>
      <c r="H3" s="69"/>
      <c r="I3" s="65"/>
    </row>
    <row r="4" spans="1:9" s="53" customFormat="1" x14ac:dyDescent="0.2">
      <c r="B4" s="63"/>
      <c r="C4" s="69"/>
      <c r="D4" s="69"/>
      <c r="E4" s="69"/>
      <c r="F4" s="70" t="s">
        <v>119</v>
      </c>
      <c r="G4" s="66" t="s">
        <v>121</v>
      </c>
      <c r="H4" s="69"/>
      <c r="I4" s="65"/>
    </row>
    <row r="5" spans="1:9" s="53" customFormat="1" x14ac:dyDescent="0.2">
      <c r="B5" s="63"/>
      <c r="C5" s="69"/>
      <c r="D5" s="69"/>
      <c r="E5" s="69"/>
      <c r="F5" s="69"/>
      <c r="G5" s="69"/>
      <c r="H5" s="69"/>
      <c r="I5" s="65"/>
    </row>
    <row r="6" spans="1:9" s="53" customFormat="1" x14ac:dyDescent="0.2">
      <c r="B6" s="63"/>
      <c r="C6" s="69"/>
      <c r="D6" s="68" t="s">
        <v>117</v>
      </c>
      <c r="E6" s="68" t="s">
        <v>116</v>
      </c>
      <c r="F6" s="75" t="str">
        <f>PROPER(Currency)&amp;FamilyName&amp;FixingType&amp;".xml"</f>
        <v>EuriborSwapIsdaFixB.xml</v>
      </c>
      <c r="G6" s="66">
        <f ca="1">IF(Serialize,_xll.ohObjectSave(G7:G66,SerializationPath&amp;FileName,FileOverwrite,,Serialize),"---")</f>
        <v>60</v>
      </c>
      <c r="H6" s="58" t="str">
        <f ca="1">_xll.ohRangeRetrieveError(G6)</f>
        <v/>
      </c>
      <c r="I6" s="65"/>
    </row>
    <row r="7" spans="1:9" s="53" customFormat="1" x14ac:dyDescent="0.2">
      <c r="B7" s="63"/>
      <c r="C7" s="62" t="s">
        <v>34</v>
      </c>
      <c r="D7" s="64" t="s">
        <v>19</v>
      </c>
      <c r="E7" s="61" t="s">
        <v>23</v>
      </c>
      <c r="F7" s="60" t="str">
        <f>PROPER(Currency)&amp;FamilyName&amp;FixingType&amp;$C7</f>
        <v>EuriborSwapIsdaFixB1Y</v>
      </c>
      <c r="G7" s="59" t="str">
        <f>_xll.qlEuriborSwap($F7,FixingType,$C7,Currency&amp;$D7,Currency&amp;$E7,Permanent,Trigger,ObjectOverwrite)</f>
        <v>EuriborSwapIsdaFixB1Y#0044</v>
      </c>
      <c r="H7" s="58" t="str">
        <f>_xll.ohRangeRetrieveError(G7)</f>
        <v/>
      </c>
      <c r="I7" s="57"/>
    </row>
    <row r="8" spans="1:9" s="53" customFormat="1" x14ac:dyDescent="0.2">
      <c r="B8" s="63"/>
      <c r="C8" s="62" t="s">
        <v>115</v>
      </c>
      <c r="D8" s="61" t="s">
        <v>18</v>
      </c>
      <c r="E8" s="61" t="s">
        <v>23</v>
      </c>
      <c r="F8" s="60" t="str">
        <f>PROPER(Currency)&amp;FamilyName&amp;FixingType&amp;$C8</f>
        <v>EuriborSwapIsdaFixB2Y</v>
      </c>
      <c r="G8" s="59" t="str">
        <f>_xll.qlEuriborSwap($F8,FixingType,$C8,Currency&amp;$D8,Currency&amp;$E8,Permanent,Trigger,ObjectOverwrite)</f>
        <v>EuriborSwapIsdaFixB2Y#0044</v>
      </c>
      <c r="H8" s="58" t="str">
        <f>_xll.ohRangeRetrieveError(G8)</f>
        <v/>
      </c>
      <c r="I8" s="57"/>
    </row>
    <row r="9" spans="1:9" s="53" customFormat="1" x14ac:dyDescent="0.2">
      <c r="B9" s="63"/>
      <c r="C9" s="62" t="s">
        <v>114</v>
      </c>
      <c r="D9" s="61" t="s">
        <v>18</v>
      </c>
      <c r="E9" s="61" t="s">
        <v>23</v>
      </c>
      <c r="F9" s="60" t="str">
        <f>PROPER(Currency)&amp;FamilyName&amp;FixingType&amp;$C9</f>
        <v>EuriborSwapIsdaFixB3Y</v>
      </c>
      <c r="G9" s="59" t="str">
        <f>_xll.qlEuriborSwap($F9,FixingType,$C9,Currency&amp;$D9,Currency&amp;$E9,Permanent,Trigger,ObjectOverwrite)</f>
        <v>EuriborSwapIsdaFixB3Y#0044</v>
      </c>
      <c r="H9" s="58" t="str">
        <f>_xll.ohRangeRetrieveError(G9)</f>
        <v/>
      </c>
      <c r="I9" s="57"/>
    </row>
    <row r="10" spans="1:9" s="53" customFormat="1" x14ac:dyDescent="0.2">
      <c r="B10" s="63"/>
      <c r="C10" s="62" t="s">
        <v>113</v>
      </c>
      <c r="D10" s="61" t="s">
        <v>18</v>
      </c>
      <c r="E10" s="61" t="s">
        <v>23</v>
      </c>
      <c r="F10" s="60" t="str">
        <f>PROPER(Currency)&amp;FamilyName&amp;FixingType&amp;$C10</f>
        <v>EuriborSwapIsdaFixB4Y</v>
      </c>
      <c r="G10" s="59" t="str">
        <f>_xll.qlEuriborSwap($F10,FixingType,$C10,Currency&amp;$D10,Currency&amp;$E10,Permanent,Trigger,ObjectOverwrite)</f>
        <v>EuriborSwapIsdaFixB4Y#0044</v>
      </c>
      <c r="H10" s="58" t="str">
        <f>_xll.ohRangeRetrieveError(G10)</f>
        <v/>
      </c>
      <c r="I10" s="57"/>
    </row>
    <row r="11" spans="1:9" s="53" customFormat="1" x14ac:dyDescent="0.2">
      <c r="B11" s="63"/>
      <c r="C11" s="62" t="s">
        <v>112</v>
      </c>
      <c r="D11" s="61" t="s">
        <v>18</v>
      </c>
      <c r="E11" s="61" t="s">
        <v>23</v>
      </c>
      <c r="F11" s="60" t="str">
        <f>PROPER(Currency)&amp;FamilyName&amp;FixingType&amp;$C11</f>
        <v>EuriborSwapIsdaFixB5Y</v>
      </c>
      <c r="G11" s="59" t="str">
        <f>_xll.qlEuriborSwap($F11,FixingType,$C11,Currency&amp;$D11,Currency&amp;$E11,Permanent,Trigger,ObjectOverwrite)</f>
        <v>EuriborSwapIsdaFixB5Y#0044</v>
      </c>
      <c r="H11" s="58" t="str">
        <f>_xll.ohRangeRetrieveError(G11)</f>
        <v/>
      </c>
      <c r="I11" s="57"/>
    </row>
    <row r="12" spans="1:9" s="53" customFormat="1" x14ac:dyDescent="0.2">
      <c r="B12" s="63"/>
      <c r="C12" s="62" t="s">
        <v>111</v>
      </c>
      <c r="D12" s="61" t="s">
        <v>18</v>
      </c>
      <c r="E12" s="61" t="s">
        <v>23</v>
      </c>
      <c r="F12" s="60" t="str">
        <f>PROPER(Currency)&amp;FamilyName&amp;FixingType&amp;$C12</f>
        <v>EuriborSwapIsdaFixB6Y</v>
      </c>
      <c r="G12" s="59" t="str">
        <f>_xll.qlEuriborSwap($F12,FixingType,$C12,Currency&amp;$D12,Currency&amp;$E12,Permanent,Trigger,ObjectOverwrite)</f>
        <v>EuriborSwapIsdaFixB6Y#0044</v>
      </c>
      <c r="H12" s="58" t="str">
        <f>_xll.ohRangeRetrieveError(G12)</f>
        <v/>
      </c>
      <c r="I12" s="57"/>
    </row>
    <row r="13" spans="1:9" s="53" customFormat="1" x14ac:dyDescent="0.2">
      <c r="B13" s="63"/>
      <c r="C13" s="62" t="s">
        <v>110</v>
      </c>
      <c r="D13" s="61" t="s">
        <v>18</v>
      </c>
      <c r="E13" s="61" t="s">
        <v>23</v>
      </c>
      <c r="F13" s="60" t="str">
        <f>PROPER(Currency)&amp;FamilyName&amp;FixingType&amp;$C13</f>
        <v>EuriborSwapIsdaFixB7Y</v>
      </c>
      <c r="G13" s="59" t="str">
        <f>_xll.qlEuriborSwap($F13,FixingType,$C13,Currency&amp;$D13,Currency&amp;$E13,Permanent,Trigger,ObjectOverwrite)</f>
        <v>EuriborSwapIsdaFixB7Y#0044</v>
      </c>
      <c r="H13" s="58" t="str">
        <f>_xll.ohRangeRetrieveError(G13)</f>
        <v/>
      </c>
      <c r="I13" s="57"/>
    </row>
    <row r="14" spans="1:9" s="53" customFormat="1" x14ac:dyDescent="0.2">
      <c r="B14" s="63"/>
      <c r="C14" s="62" t="s">
        <v>109</v>
      </c>
      <c r="D14" s="61" t="s">
        <v>18</v>
      </c>
      <c r="E14" s="61" t="s">
        <v>23</v>
      </c>
      <c r="F14" s="60" t="str">
        <f>PROPER(Currency)&amp;FamilyName&amp;FixingType&amp;$C14</f>
        <v>EuriborSwapIsdaFixB8Y</v>
      </c>
      <c r="G14" s="59" t="str">
        <f>_xll.qlEuriborSwap($F14,FixingType,$C14,Currency&amp;$D14,Currency&amp;$E14,Permanent,Trigger,ObjectOverwrite)</f>
        <v>EuriborSwapIsdaFixB8Y#0044</v>
      </c>
      <c r="H14" s="58" t="str">
        <f>_xll.ohRangeRetrieveError(G14)</f>
        <v/>
      </c>
      <c r="I14" s="57"/>
    </row>
    <row r="15" spans="1:9" s="53" customFormat="1" x14ac:dyDescent="0.2">
      <c r="B15" s="63"/>
      <c r="C15" s="62" t="s">
        <v>108</v>
      </c>
      <c r="D15" s="61" t="s">
        <v>18</v>
      </c>
      <c r="E15" s="61" t="s">
        <v>23</v>
      </c>
      <c r="F15" s="60" t="str">
        <f>PROPER(Currency)&amp;FamilyName&amp;FixingType&amp;$C15</f>
        <v>EuriborSwapIsdaFixB9Y</v>
      </c>
      <c r="G15" s="59" t="str">
        <f>_xll.qlEuriborSwap($F15,FixingType,$C15,Currency&amp;$D15,Currency&amp;$E15,Permanent,Trigger,ObjectOverwrite)</f>
        <v>EuriborSwapIsdaFixB9Y#0044</v>
      </c>
      <c r="H15" s="58" t="str">
        <f>_xll.ohRangeRetrieveError(G15)</f>
        <v/>
      </c>
      <c r="I15" s="57"/>
    </row>
    <row r="16" spans="1:9" s="53" customFormat="1" x14ac:dyDescent="0.2">
      <c r="B16" s="63"/>
      <c r="C16" s="62" t="s">
        <v>107</v>
      </c>
      <c r="D16" s="61" t="s">
        <v>18</v>
      </c>
      <c r="E16" s="61" t="s">
        <v>23</v>
      </c>
      <c r="F16" s="60" t="str">
        <f>PROPER(Currency)&amp;FamilyName&amp;FixingType&amp;$C16</f>
        <v>EuriborSwapIsdaFixB10Y</v>
      </c>
      <c r="G16" s="59" t="str">
        <f>_xll.qlEuriborSwap($F16,FixingType,$C16,Currency&amp;$D16,Currency&amp;$E16,Permanent,Trigger,ObjectOverwrite)</f>
        <v>EuriborSwapIsdaFixB10Y#0044</v>
      </c>
      <c r="H16" s="58" t="str">
        <f>_xll.ohRangeRetrieveError(G16)</f>
        <v/>
      </c>
      <c r="I16" s="57"/>
    </row>
    <row r="17" spans="2:9" s="53" customFormat="1" x14ac:dyDescent="0.2">
      <c r="B17" s="63"/>
      <c r="C17" s="62" t="s">
        <v>106</v>
      </c>
      <c r="D17" s="61" t="s">
        <v>18</v>
      </c>
      <c r="E17" s="61" t="s">
        <v>23</v>
      </c>
      <c r="F17" s="60" t="str">
        <f>PROPER(Currency)&amp;FamilyName&amp;FixingType&amp;$C17</f>
        <v>EuriborSwapIsdaFixB11Y</v>
      </c>
      <c r="G17" s="59" t="str">
        <f>_xll.qlEuriborSwap($F17,FixingType,$C17,Currency&amp;$D17,Currency&amp;$E17,Permanent,Trigger,ObjectOverwrite)</f>
        <v>EuriborSwapIsdaFixB11Y#0044</v>
      </c>
      <c r="H17" s="58" t="str">
        <f>_xll.ohRangeRetrieveError(G17)</f>
        <v/>
      </c>
      <c r="I17" s="57"/>
    </row>
    <row r="18" spans="2:9" s="53" customFormat="1" x14ac:dyDescent="0.2">
      <c r="B18" s="63"/>
      <c r="C18" s="62" t="s">
        <v>105</v>
      </c>
      <c r="D18" s="61" t="s">
        <v>18</v>
      </c>
      <c r="E18" s="61" t="s">
        <v>23</v>
      </c>
      <c r="F18" s="60" t="str">
        <f>PROPER(Currency)&amp;FamilyName&amp;FixingType&amp;$C18</f>
        <v>EuriborSwapIsdaFixB12Y</v>
      </c>
      <c r="G18" s="59" t="str">
        <f>_xll.qlEuriborSwap($F18,FixingType,$C18,Currency&amp;$D18,Currency&amp;$E18,Permanent,Trigger,ObjectOverwrite)</f>
        <v>EuriborSwapIsdaFixB12Y#0044</v>
      </c>
      <c r="H18" s="58" t="str">
        <f>_xll.ohRangeRetrieveError(G18)</f>
        <v/>
      </c>
      <c r="I18" s="57"/>
    </row>
    <row r="19" spans="2:9" s="53" customFormat="1" x14ac:dyDescent="0.2">
      <c r="B19" s="63"/>
      <c r="C19" s="62" t="s">
        <v>104</v>
      </c>
      <c r="D19" s="61" t="s">
        <v>18</v>
      </c>
      <c r="E19" s="61" t="s">
        <v>23</v>
      </c>
      <c r="F19" s="60" t="str">
        <f>PROPER(Currency)&amp;FamilyName&amp;FixingType&amp;$C19</f>
        <v>EuriborSwapIsdaFixB13Y</v>
      </c>
      <c r="G19" s="59" t="str">
        <f>_xll.qlEuriborSwap($F19,FixingType,$C19,Currency&amp;$D19,Currency&amp;$E19,Permanent,Trigger,ObjectOverwrite)</f>
        <v>EuriborSwapIsdaFixB13Y#0044</v>
      </c>
      <c r="H19" s="58" t="str">
        <f>_xll.ohRangeRetrieveError(G19)</f>
        <v/>
      </c>
      <c r="I19" s="57"/>
    </row>
    <row r="20" spans="2:9" s="53" customFormat="1" x14ac:dyDescent="0.2">
      <c r="B20" s="63"/>
      <c r="C20" s="62" t="s">
        <v>103</v>
      </c>
      <c r="D20" s="61" t="s">
        <v>18</v>
      </c>
      <c r="E20" s="61" t="s">
        <v>23</v>
      </c>
      <c r="F20" s="60" t="str">
        <f>PROPER(Currency)&amp;FamilyName&amp;FixingType&amp;$C20</f>
        <v>EuriborSwapIsdaFixB14Y</v>
      </c>
      <c r="G20" s="59" t="str">
        <f>_xll.qlEuriborSwap($F20,FixingType,$C20,Currency&amp;$D20,Currency&amp;$E20,Permanent,Trigger,ObjectOverwrite)</f>
        <v>EuriborSwapIsdaFixB14Y#0044</v>
      </c>
      <c r="H20" s="58" t="str">
        <f>_xll.ohRangeRetrieveError(G20)</f>
        <v/>
      </c>
      <c r="I20" s="57"/>
    </row>
    <row r="21" spans="2:9" s="53" customFormat="1" x14ac:dyDescent="0.2">
      <c r="B21" s="63"/>
      <c r="C21" s="62" t="s">
        <v>102</v>
      </c>
      <c r="D21" s="61" t="s">
        <v>18</v>
      </c>
      <c r="E21" s="61" t="s">
        <v>23</v>
      </c>
      <c r="F21" s="60" t="str">
        <f>PROPER(Currency)&amp;FamilyName&amp;FixingType&amp;$C21</f>
        <v>EuriborSwapIsdaFixB15Y</v>
      </c>
      <c r="G21" s="59" t="str">
        <f>_xll.qlEuriborSwap($F21,FixingType,$C21,Currency&amp;$D21,Currency&amp;$E21,Permanent,Trigger,ObjectOverwrite)</f>
        <v>EuriborSwapIsdaFixB15Y#0044</v>
      </c>
      <c r="H21" s="58" t="str">
        <f>_xll.ohRangeRetrieveError(G21)</f>
        <v/>
      </c>
      <c r="I21" s="57"/>
    </row>
    <row r="22" spans="2:9" s="53" customFormat="1" x14ac:dyDescent="0.2">
      <c r="B22" s="63"/>
      <c r="C22" s="62" t="s">
        <v>101</v>
      </c>
      <c r="D22" s="61" t="s">
        <v>18</v>
      </c>
      <c r="E22" s="61" t="s">
        <v>23</v>
      </c>
      <c r="F22" s="60" t="str">
        <f>PROPER(Currency)&amp;FamilyName&amp;FixingType&amp;$C22</f>
        <v>EuriborSwapIsdaFixB16Y</v>
      </c>
      <c r="G22" s="59" t="str">
        <f>_xll.qlEuriborSwap($F22,FixingType,$C22,Currency&amp;$D22,Currency&amp;$E22,Permanent,Trigger,ObjectOverwrite)</f>
        <v>EuriborSwapIsdaFixB16Y#0044</v>
      </c>
      <c r="H22" s="58" t="str">
        <f>_xll.ohRangeRetrieveError(G22)</f>
        <v/>
      </c>
      <c r="I22" s="57"/>
    </row>
    <row r="23" spans="2:9" s="53" customFormat="1" x14ac:dyDescent="0.2">
      <c r="B23" s="63"/>
      <c r="C23" s="62" t="s">
        <v>100</v>
      </c>
      <c r="D23" s="61" t="s">
        <v>18</v>
      </c>
      <c r="E23" s="61" t="s">
        <v>23</v>
      </c>
      <c r="F23" s="60" t="str">
        <f>PROPER(Currency)&amp;FamilyName&amp;FixingType&amp;$C23</f>
        <v>EuriborSwapIsdaFixB17Y</v>
      </c>
      <c r="G23" s="59" t="str">
        <f>_xll.qlEuriborSwap($F23,FixingType,$C23,Currency&amp;$D23,Currency&amp;$E23,Permanent,Trigger,ObjectOverwrite)</f>
        <v>EuriborSwapIsdaFixB17Y#0044</v>
      </c>
      <c r="H23" s="58" t="str">
        <f>_xll.ohRangeRetrieveError(G23)</f>
        <v/>
      </c>
      <c r="I23" s="57"/>
    </row>
    <row r="24" spans="2:9" s="53" customFormat="1" x14ac:dyDescent="0.2">
      <c r="B24" s="63"/>
      <c r="C24" s="62" t="s">
        <v>99</v>
      </c>
      <c r="D24" s="61" t="s">
        <v>18</v>
      </c>
      <c r="E24" s="61" t="s">
        <v>23</v>
      </c>
      <c r="F24" s="60" t="str">
        <f>PROPER(Currency)&amp;FamilyName&amp;FixingType&amp;$C24</f>
        <v>EuriborSwapIsdaFixB18Y</v>
      </c>
      <c r="G24" s="59" t="str">
        <f>_xll.qlEuriborSwap($F24,FixingType,$C24,Currency&amp;$D24,Currency&amp;$E24,Permanent,Trigger,ObjectOverwrite)</f>
        <v>EuriborSwapIsdaFixB18Y#0044</v>
      </c>
      <c r="H24" s="58" t="str">
        <f>_xll.ohRangeRetrieveError(G24)</f>
        <v/>
      </c>
      <c r="I24" s="57"/>
    </row>
    <row r="25" spans="2:9" s="53" customFormat="1" x14ac:dyDescent="0.2">
      <c r="B25" s="63"/>
      <c r="C25" s="62" t="s">
        <v>98</v>
      </c>
      <c r="D25" s="61" t="s">
        <v>18</v>
      </c>
      <c r="E25" s="61" t="s">
        <v>23</v>
      </c>
      <c r="F25" s="60" t="str">
        <f>PROPER(Currency)&amp;FamilyName&amp;FixingType&amp;$C25</f>
        <v>EuriborSwapIsdaFixB19Y</v>
      </c>
      <c r="G25" s="59" t="str">
        <f>_xll.qlEuriborSwap($F25,FixingType,$C25,Currency&amp;$D25,Currency&amp;$E25,Permanent,Trigger,ObjectOverwrite)</f>
        <v>EuriborSwapIsdaFixB19Y#0044</v>
      </c>
      <c r="H25" s="58" t="str">
        <f>_xll.ohRangeRetrieveError(G25)</f>
        <v/>
      </c>
      <c r="I25" s="57"/>
    </row>
    <row r="26" spans="2:9" s="53" customFormat="1" x14ac:dyDescent="0.2">
      <c r="B26" s="63"/>
      <c r="C26" s="62" t="s">
        <v>97</v>
      </c>
      <c r="D26" s="61" t="s">
        <v>18</v>
      </c>
      <c r="E26" s="61" t="s">
        <v>23</v>
      </c>
      <c r="F26" s="60" t="str">
        <f>PROPER(Currency)&amp;FamilyName&amp;FixingType&amp;$C26</f>
        <v>EuriborSwapIsdaFixB20Y</v>
      </c>
      <c r="G26" s="59" t="str">
        <f>_xll.qlEuriborSwap($F26,FixingType,$C26,Currency&amp;$D26,Currency&amp;$E26,Permanent,Trigger,ObjectOverwrite)</f>
        <v>EuriborSwapIsdaFixB20Y#0044</v>
      </c>
      <c r="H26" s="58" t="str">
        <f>_xll.ohRangeRetrieveError(G26)</f>
        <v/>
      </c>
      <c r="I26" s="57"/>
    </row>
    <row r="27" spans="2:9" s="53" customFormat="1" x14ac:dyDescent="0.2">
      <c r="B27" s="63"/>
      <c r="C27" s="62" t="s">
        <v>96</v>
      </c>
      <c r="D27" s="61" t="s">
        <v>18</v>
      </c>
      <c r="E27" s="61" t="s">
        <v>23</v>
      </c>
      <c r="F27" s="60" t="str">
        <f>PROPER(Currency)&amp;FamilyName&amp;FixingType&amp;$C27</f>
        <v>EuriborSwapIsdaFixB21Y</v>
      </c>
      <c r="G27" s="59" t="str">
        <f>_xll.qlEuriborSwap($F27,FixingType,$C27,Currency&amp;$D27,Currency&amp;$E27,Permanent,Trigger,ObjectOverwrite)</f>
        <v>EuriborSwapIsdaFixB21Y#0044</v>
      </c>
      <c r="H27" s="58" t="str">
        <f>_xll.ohRangeRetrieveError(G27)</f>
        <v/>
      </c>
      <c r="I27" s="57"/>
    </row>
    <row r="28" spans="2:9" s="53" customFormat="1" x14ac:dyDescent="0.2">
      <c r="B28" s="63"/>
      <c r="C28" s="62" t="s">
        <v>95</v>
      </c>
      <c r="D28" s="61" t="s">
        <v>18</v>
      </c>
      <c r="E28" s="61" t="s">
        <v>23</v>
      </c>
      <c r="F28" s="60" t="str">
        <f>PROPER(Currency)&amp;FamilyName&amp;FixingType&amp;$C28</f>
        <v>EuriborSwapIsdaFixB22Y</v>
      </c>
      <c r="G28" s="59" t="str">
        <f>_xll.qlEuriborSwap($F28,FixingType,$C28,Currency&amp;$D28,Currency&amp;$E28,Permanent,Trigger,ObjectOverwrite)</f>
        <v>EuriborSwapIsdaFixB22Y#0044</v>
      </c>
      <c r="H28" s="58" t="str">
        <f>_xll.ohRangeRetrieveError(G28)</f>
        <v/>
      </c>
      <c r="I28" s="57"/>
    </row>
    <row r="29" spans="2:9" s="53" customFormat="1" x14ac:dyDescent="0.2">
      <c r="B29" s="63"/>
      <c r="C29" s="62" t="s">
        <v>94</v>
      </c>
      <c r="D29" s="61" t="s">
        <v>18</v>
      </c>
      <c r="E29" s="61" t="s">
        <v>23</v>
      </c>
      <c r="F29" s="60" t="str">
        <f>PROPER(Currency)&amp;FamilyName&amp;FixingType&amp;$C29</f>
        <v>EuriborSwapIsdaFixB23Y</v>
      </c>
      <c r="G29" s="59" t="str">
        <f>_xll.qlEuriborSwap($F29,FixingType,$C29,Currency&amp;$D29,Currency&amp;$E29,Permanent,Trigger,ObjectOverwrite)</f>
        <v>EuriborSwapIsdaFixB23Y#0044</v>
      </c>
      <c r="H29" s="58" t="str">
        <f>_xll.ohRangeRetrieveError(G29)</f>
        <v/>
      </c>
      <c r="I29" s="57"/>
    </row>
    <row r="30" spans="2:9" s="53" customFormat="1" x14ac:dyDescent="0.2">
      <c r="B30" s="63"/>
      <c r="C30" s="62" t="s">
        <v>93</v>
      </c>
      <c r="D30" s="61" t="s">
        <v>18</v>
      </c>
      <c r="E30" s="61" t="s">
        <v>23</v>
      </c>
      <c r="F30" s="60" t="str">
        <f>PROPER(Currency)&amp;FamilyName&amp;FixingType&amp;$C30</f>
        <v>EuriborSwapIsdaFixB24Y</v>
      </c>
      <c r="G30" s="59" t="str">
        <f>_xll.qlEuriborSwap($F30,FixingType,$C30,Currency&amp;$D30,Currency&amp;$E30,Permanent,Trigger,ObjectOverwrite)</f>
        <v>EuriborSwapIsdaFixB24Y#0044</v>
      </c>
      <c r="H30" s="58" t="str">
        <f>_xll.ohRangeRetrieveError(G30)</f>
        <v/>
      </c>
      <c r="I30" s="57"/>
    </row>
    <row r="31" spans="2:9" s="53" customFormat="1" x14ac:dyDescent="0.2">
      <c r="B31" s="63"/>
      <c r="C31" s="62" t="s">
        <v>92</v>
      </c>
      <c r="D31" s="61" t="s">
        <v>18</v>
      </c>
      <c r="E31" s="61" t="s">
        <v>23</v>
      </c>
      <c r="F31" s="60" t="str">
        <f>PROPER(Currency)&amp;FamilyName&amp;FixingType&amp;$C31</f>
        <v>EuriborSwapIsdaFixB25Y</v>
      </c>
      <c r="G31" s="59" t="str">
        <f>_xll.qlEuriborSwap($F31,FixingType,$C31,Currency&amp;$D31,Currency&amp;$E31,Permanent,Trigger,ObjectOverwrite)</f>
        <v>EuriborSwapIsdaFixB25Y#0044</v>
      </c>
      <c r="H31" s="58" t="str">
        <f>_xll.ohRangeRetrieveError(G31)</f>
        <v/>
      </c>
      <c r="I31" s="57"/>
    </row>
    <row r="32" spans="2:9" s="53" customFormat="1" x14ac:dyDescent="0.2">
      <c r="B32" s="63"/>
      <c r="C32" s="62" t="s">
        <v>91</v>
      </c>
      <c r="D32" s="61" t="s">
        <v>18</v>
      </c>
      <c r="E32" s="61" t="s">
        <v>23</v>
      </c>
      <c r="F32" s="60" t="str">
        <f>PROPER(Currency)&amp;FamilyName&amp;FixingType&amp;$C32</f>
        <v>EuriborSwapIsdaFixB26Y</v>
      </c>
      <c r="G32" s="59" t="str">
        <f>_xll.qlEuriborSwap($F32,FixingType,$C32,Currency&amp;$D32,Currency&amp;$E32,Permanent,Trigger,ObjectOverwrite)</f>
        <v>EuriborSwapIsdaFixB26Y#0044</v>
      </c>
      <c r="H32" s="58" t="str">
        <f>_xll.ohRangeRetrieveError(G32)</f>
        <v/>
      </c>
      <c r="I32" s="57"/>
    </row>
    <row r="33" spans="2:9" s="53" customFormat="1" x14ac:dyDescent="0.2">
      <c r="B33" s="63"/>
      <c r="C33" s="62" t="s">
        <v>90</v>
      </c>
      <c r="D33" s="61" t="s">
        <v>18</v>
      </c>
      <c r="E33" s="61" t="s">
        <v>23</v>
      </c>
      <c r="F33" s="60" t="str">
        <f>PROPER(Currency)&amp;FamilyName&amp;FixingType&amp;$C33</f>
        <v>EuriborSwapIsdaFixB27Y</v>
      </c>
      <c r="G33" s="59" t="str">
        <f>_xll.qlEuriborSwap($F33,FixingType,$C33,Currency&amp;$D33,Currency&amp;$E33,Permanent,Trigger,ObjectOverwrite)</f>
        <v>EuriborSwapIsdaFixB27Y#0044</v>
      </c>
      <c r="H33" s="58" t="str">
        <f>_xll.ohRangeRetrieveError(G33)</f>
        <v/>
      </c>
      <c r="I33" s="57"/>
    </row>
    <row r="34" spans="2:9" s="53" customFormat="1" x14ac:dyDescent="0.2">
      <c r="B34" s="63"/>
      <c r="C34" s="62" t="s">
        <v>89</v>
      </c>
      <c r="D34" s="61" t="s">
        <v>18</v>
      </c>
      <c r="E34" s="61" t="s">
        <v>23</v>
      </c>
      <c r="F34" s="60" t="str">
        <f>PROPER(Currency)&amp;FamilyName&amp;FixingType&amp;$C34</f>
        <v>EuriborSwapIsdaFixB28Y</v>
      </c>
      <c r="G34" s="59" t="str">
        <f>_xll.qlEuriborSwap($F34,FixingType,$C34,Currency&amp;$D34,Currency&amp;$E34,Permanent,Trigger,ObjectOverwrite)</f>
        <v>EuriborSwapIsdaFixB28Y#0044</v>
      </c>
      <c r="H34" s="58" t="str">
        <f>_xll.ohRangeRetrieveError(G34)</f>
        <v/>
      </c>
      <c r="I34" s="57"/>
    </row>
    <row r="35" spans="2:9" s="53" customFormat="1" x14ac:dyDescent="0.2">
      <c r="B35" s="63"/>
      <c r="C35" s="62" t="s">
        <v>88</v>
      </c>
      <c r="D35" s="61" t="s">
        <v>18</v>
      </c>
      <c r="E35" s="61" t="s">
        <v>23</v>
      </c>
      <c r="F35" s="60" t="str">
        <f>PROPER(Currency)&amp;FamilyName&amp;FixingType&amp;$C35</f>
        <v>EuriborSwapIsdaFixB29Y</v>
      </c>
      <c r="G35" s="59" t="str">
        <f>_xll.qlEuriborSwap($F35,FixingType,$C35,Currency&amp;$D35,Currency&amp;$E35,Permanent,Trigger,ObjectOverwrite)</f>
        <v>EuriborSwapIsdaFixB29Y#0044</v>
      </c>
      <c r="H35" s="58" t="str">
        <f>_xll.ohRangeRetrieveError(G35)</f>
        <v/>
      </c>
      <c r="I35" s="57"/>
    </row>
    <row r="36" spans="2:9" s="53" customFormat="1" x14ac:dyDescent="0.2">
      <c r="B36" s="63"/>
      <c r="C36" s="62" t="s">
        <v>87</v>
      </c>
      <c r="D36" s="61" t="s">
        <v>18</v>
      </c>
      <c r="E36" s="61" t="s">
        <v>23</v>
      </c>
      <c r="F36" s="60" t="str">
        <f>PROPER(Currency)&amp;FamilyName&amp;FixingType&amp;$C36</f>
        <v>EuriborSwapIsdaFixB30Y</v>
      </c>
      <c r="G36" s="59" t="str">
        <f>_xll.qlEuriborSwap($F36,FixingType,$C36,Currency&amp;$D36,Currency&amp;$E36,Permanent,Trigger,ObjectOverwrite)</f>
        <v>EuriborSwapIsdaFixB30Y#0044</v>
      </c>
      <c r="H36" s="58" t="str">
        <f>_xll.ohRangeRetrieveError(G36)</f>
        <v/>
      </c>
      <c r="I36" s="57"/>
    </row>
    <row r="37" spans="2:9" s="53" customFormat="1" x14ac:dyDescent="0.2">
      <c r="B37" s="63"/>
      <c r="C37" s="62" t="s">
        <v>86</v>
      </c>
      <c r="D37" s="61" t="s">
        <v>18</v>
      </c>
      <c r="E37" s="61" t="s">
        <v>23</v>
      </c>
      <c r="F37" s="60" t="str">
        <f>PROPER(Currency)&amp;FamilyName&amp;FixingType&amp;$C37</f>
        <v>EuriborSwapIsdaFixB31Y</v>
      </c>
      <c r="G37" s="59" t="str">
        <f>_xll.qlEuriborSwap($F37,FixingType,$C37,Currency&amp;$D37,Currency&amp;$E37,Permanent,Trigger,ObjectOverwrite)</f>
        <v>EuriborSwapIsdaFixB31Y#0044</v>
      </c>
      <c r="H37" s="58" t="str">
        <f>_xll.ohRangeRetrieveError(G37)</f>
        <v/>
      </c>
      <c r="I37" s="57"/>
    </row>
    <row r="38" spans="2:9" s="53" customFormat="1" x14ac:dyDescent="0.2">
      <c r="B38" s="63"/>
      <c r="C38" s="62" t="s">
        <v>85</v>
      </c>
      <c r="D38" s="61" t="s">
        <v>18</v>
      </c>
      <c r="E38" s="61" t="s">
        <v>23</v>
      </c>
      <c r="F38" s="60" t="str">
        <f>PROPER(Currency)&amp;FamilyName&amp;FixingType&amp;$C38</f>
        <v>EuriborSwapIsdaFixB32Y</v>
      </c>
      <c r="G38" s="59" t="str">
        <f>_xll.qlEuriborSwap($F38,FixingType,$C38,Currency&amp;$D38,Currency&amp;$E38,Permanent,Trigger,ObjectOverwrite)</f>
        <v>EuriborSwapIsdaFixB32Y#0044</v>
      </c>
      <c r="H38" s="58" t="str">
        <f>_xll.ohRangeRetrieveError(G38)</f>
        <v/>
      </c>
      <c r="I38" s="57"/>
    </row>
    <row r="39" spans="2:9" s="53" customFormat="1" x14ac:dyDescent="0.2">
      <c r="B39" s="63"/>
      <c r="C39" s="62" t="s">
        <v>84</v>
      </c>
      <c r="D39" s="61" t="s">
        <v>18</v>
      </c>
      <c r="E39" s="61" t="s">
        <v>23</v>
      </c>
      <c r="F39" s="60" t="str">
        <f>PROPER(Currency)&amp;FamilyName&amp;FixingType&amp;$C39</f>
        <v>EuriborSwapIsdaFixB33Y</v>
      </c>
      <c r="G39" s="59" t="str">
        <f>_xll.qlEuriborSwap($F39,FixingType,$C39,Currency&amp;$D39,Currency&amp;$E39,Permanent,Trigger,ObjectOverwrite)</f>
        <v>EuriborSwapIsdaFixB33Y#0044</v>
      </c>
      <c r="H39" s="58" t="str">
        <f>_xll.ohRangeRetrieveError(G39)</f>
        <v/>
      </c>
      <c r="I39" s="57"/>
    </row>
    <row r="40" spans="2:9" s="53" customFormat="1" x14ac:dyDescent="0.2">
      <c r="B40" s="63"/>
      <c r="C40" s="62" t="s">
        <v>83</v>
      </c>
      <c r="D40" s="61" t="s">
        <v>18</v>
      </c>
      <c r="E40" s="61" t="s">
        <v>23</v>
      </c>
      <c r="F40" s="60" t="str">
        <f>PROPER(Currency)&amp;FamilyName&amp;FixingType&amp;$C40</f>
        <v>EuriborSwapIsdaFixB34Y</v>
      </c>
      <c r="G40" s="59" t="str">
        <f>_xll.qlEuriborSwap($F40,FixingType,$C40,Currency&amp;$D40,Currency&amp;$E40,Permanent,Trigger,ObjectOverwrite)</f>
        <v>EuriborSwapIsdaFixB34Y#0044</v>
      </c>
      <c r="H40" s="58" t="str">
        <f>_xll.ohRangeRetrieveError(G40)</f>
        <v/>
      </c>
      <c r="I40" s="57"/>
    </row>
    <row r="41" spans="2:9" s="53" customFormat="1" x14ac:dyDescent="0.2">
      <c r="B41" s="63"/>
      <c r="C41" s="62" t="s">
        <v>82</v>
      </c>
      <c r="D41" s="61" t="s">
        <v>18</v>
      </c>
      <c r="E41" s="61" t="s">
        <v>23</v>
      </c>
      <c r="F41" s="60" t="str">
        <f>PROPER(Currency)&amp;FamilyName&amp;FixingType&amp;$C41</f>
        <v>EuriborSwapIsdaFixB35Y</v>
      </c>
      <c r="G41" s="59" t="str">
        <f>_xll.qlEuriborSwap($F41,FixingType,$C41,Currency&amp;$D41,Currency&amp;$E41,Permanent,Trigger,ObjectOverwrite)</f>
        <v>EuriborSwapIsdaFixB35Y#0044</v>
      </c>
      <c r="H41" s="58" t="str">
        <f>_xll.ohRangeRetrieveError(G41)</f>
        <v/>
      </c>
      <c r="I41" s="57"/>
    </row>
    <row r="42" spans="2:9" s="53" customFormat="1" x14ac:dyDescent="0.2">
      <c r="B42" s="63"/>
      <c r="C42" s="62" t="s">
        <v>81</v>
      </c>
      <c r="D42" s="61" t="s">
        <v>18</v>
      </c>
      <c r="E42" s="61" t="s">
        <v>23</v>
      </c>
      <c r="F42" s="60" t="str">
        <f>PROPER(Currency)&amp;FamilyName&amp;FixingType&amp;$C42</f>
        <v>EuriborSwapIsdaFixB36Y</v>
      </c>
      <c r="G42" s="59" t="str">
        <f>_xll.qlEuriborSwap($F42,FixingType,$C42,Currency&amp;$D42,Currency&amp;$E42,Permanent,Trigger,ObjectOverwrite)</f>
        <v>EuriborSwapIsdaFixB36Y#0044</v>
      </c>
      <c r="H42" s="58" t="str">
        <f>_xll.ohRangeRetrieveError(G42)</f>
        <v/>
      </c>
      <c r="I42" s="57"/>
    </row>
    <row r="43" spans="2:9" s="53" customFormat="1" x14ac:dyDescent="0.2">
      <c r="B43" s="63"/>
      <c r="C43" s="62" t="s">
        <v>80</v>
      </c>
      <c r="D43" s="61" t="s">
        <v>18</v>
      </c>
      <c r="E43" s="61" t="s">
        <v>23</v>
      </c>
      <c r="F43" s="60" t="str">
        <f>PROPER(Currency)&amp;FamilyName&amp;FixingType&amp;$C43</f>
        <v>EuriborSwapIsdaFixB37Y</v>
      </c>
      <c r="G43" s="59" t="str">
        <f>_xll.qlEuriborSwap($F43,FixingType,$C43,Currency&amp;$D43,Currency&amp;$E43,Permanent,Trigger,ObjectOverwrite)</f>
        <v>EuriborSwapIsdaFixB37Y#0044</v>
      </c>
      <c r="H43" s="58" t="str">
        <f>_xll.ohRangeRetrieveError(G43)</f>
        <v/>
      </c>
      <c r="I43" s="57"/>
    </row>
    <row r="44" spans="2:9" s="53" customFormat="1" x14ac:dyDescent="0.2">
      <c r="B44" s="63"/>
      <c r="C44" s="62" t="s">
        <v>79</v>
      </c>
      <c r="D44" s="61" t="s">
        <v>18</v>
      </c>
      <c r="E44" s="61" t="s">
        <v>23</v>
      </c>
      <c r="F44" s="60" t="str">
        <f>PROPER(Currency)&amp;FamilyName&amp;FixingType&amp;$C44</f>
        <v>EuriborSwapIsdaFixB38Y</v>
      </c>
      <c r="G44" s="59" t="str">
        <f>_xll.qlEuriborSwap($F44,FixingType,$C44,Currency&amp;$D44,Currency&amp;$E44,Permanent,Trigger,ObjectOverwrite)</f>
        <v>EuriborSwapIsdaFixB38Y#0044</v>
      </c>
      <c r="H44" s="58" t="str">
        <f>_xll.ohRangeRetrieveError(G44)</f>
        <v/>
      </c>
      <c r="I44" s="57"/>
    </row>
    <row r="45" spans="2:9" s="53" customFormat="1" x14ac:dyDescent="0.2">
      <c r="B45" s="63"/>
      <c r="C45" s="62" t="s">
        <v>78</v>
      </c>
      <c r="D45" s="61" t="s">
        <v>18</v>
      </c>
      <c r="E45" s="61" t="s">
        <v>23</v>
      </c>
      <c r="F45" s="60" t="str">
        <f>PROPER(Currency)&amp;FamilyName&amp;FixingType&amp;$C45</f>
        <v>EuriborSwapIsdaFixB39Y</v>
      </c>
      <c r="G45" s="59" t="str">
        <f>_xll.qlEuriborSwap($F45,FixingType,$C45,Currency&amp;$D45,Currency&amp;$E45,Permanent,Trigger,ObjectOverwrite)</f>
        <v>EuriborSwapIsdaFixB39Y#0044</v>
      </c>
      <c r="H45" s="58" t="str">
        <f>_xll.ohRangeRetrieveError(G45)</f>
        <v/>
      </c>
      <c r="I45" s="57"/>
    </row>
    <row r="46" spans="2:9" s="53" customFormat="1" x14ac:dyDescent="0.2">
      <c r="B46" s="63"/>
      <c r="C46" s="62" t="s">
        <v>77</v>
      </c>
      <c r="D46" s="61" t="s">
        <v>18</v>
      </c>
      <c r="E46" s="61" t="s">
        <v>23</v>
      </c>
      <c r="F46" s="60" t="str">
        <f>PROPER(Currency)&amp;FamilyName&amp;FixingType&amp;$C46</f>
        <v>EuriborSwapIsdaFixB40Y</v>
      </c>
      <c r="G46" s="59" t="str">
        <f>_xll.qlEuriborSwap($F46,FixingType,$C46,Currency&amp;$D46,Currency&amp;$E46,Permanent,Trigger,ObjectOverwrite)</f>
        <v>EuriborSwapIsdaFixB40Y#0044</v>
      </c>
      <c r="H46" s="58" t="str">
        <f>_xll.ohRangeRetrieveError(G46)</f>
        <v/>
      </c>
      <c r="I46" s="57"/>
    </row>
    <row r="47" spans="2:9" s="53" customFormat="1" x14ac:dyDescent="0.2">
      <c r="B47" s="63"/>
      <c r="C47" s="62" t="s">
        <v>76</v>
      </c>
      <c r="D47" s="61" t="s">
        <v>18</v>
      </c>
      <c r="E47" s="61" t="s">
        <v>23</v>
      </c>
      <c r="F47" s="60" t="str">
        <f>PROPER(Currency)&amp;FamilyName&amp;FixingType&amp;$C47</f>
        <v>EuriborSwapIsdaFixB41Y</v>
      </c>
      <c r="G47" s="59" t="str">
        <f>_xll.qlEuriborSwap($F47,FixingType,$C47,Currency&amp;$D47,Currency&amp;$E47,Permanent,Trigger,ObjectOverwrite)</f>
        <v>EuriborSwapIsdaFixB41Y#0044</v>
      </c>
      <c r="H47" s="58" t="str">
        <f>_xll.ohRangeRetrieveError(G47)</f>
        <v/>
      </c>
      <c r="I47" s="57"/>
    </row>
    <row r="48" spans="2:9" s="53" customFormat="1" x14ac:dyDescent="0.2">
      <c r="B48" s="63"/>
      <c r="C48" s="62" t="s">
        <v>75</v>
      </c>
      <c r="D48" s="61" t="s">
        <v>18</v>
      </c>
      <c r="E48" s="61" t="s">
        <v>23</v>
      </c>
      <c r="F48" s="60" t="str">
        <f>PROPER(Currency)&amp;FamilyName&amp;FixingType&amp;$C48</f>
        <v>EuriborSwapIsdaFixB42Y</v>
      </c>
      <c r="G48" s="59" t="str">
        <f>_xll.qlEuriborSwap($F48,FixingType,$C48,Currency&amp;$D48,Currency&amp;$E48,Permanent,Trigger,ObjectOverwrite)</f>
        <v>EuriborSwapIsdaFixB42Y#0044</v>
      </c>
      <c r="H48" s="58" t="str">
        <f>_xll.ohRangeRetrieveError(G48)</f>
        <v/>
      </c>
      <c r="I48" s="57"/>
    </row>
    <row r="49" spans="2:9" s="53" customFormat="1" x14ac:dyDescent="0.2">
      <c r="B49" s="63"/>
      <c r="C49" s="62" t="s">
        <v>74</v>
      </c>
      <c r="D49" s="61" t="s">
        <v>18</v>
      </c>
      <c r="E49" s="61" t="s">
        <v>23</v>
      </c>
      <c r="F49" s="60" t="str">
        <f>PROPER(Currency)&amp;FamilyName&amp;FixingType&amp;$C49</f>
        <v>EuriborSwapIsdaFixB43Y</v>
      </c>
      <c r="G49" s="59" t="str">
        <f>_xll.qlEuriborSwap($F49,FixingType,$C49,Currency&amp;$D49,Currency&amp;$E49,Permanent,Trigger,ObjectOverwrite)</f>
        <v>EuriborSwapIsdaFixB43Y#0044</v>
      </c>
      <c r="H49" s="58" t="str">
        <f>_xll.ohRangeRetrieveError(G49)</f>
        <v/>
      </c>
      <c r="I49" s="57"/>
    </row>
    <row r="50" spans="2:9" s="53" customFormat="1" x14ac:dyDescent="0.2">
      <c r="B50" s="63"/>
      <c r="C50" s="62" t="s">
        <v>73</v>
      </c>
      <c r="D50" s="61" t="s">
        <v>18</v>
      </c>
      <c r="E50" s="61" t="s">
        <v>23</v>
      </c>
      <c r="F50" s="60" t="str">
        <f>PROPER(Currency)&amp;FamilyName&amp;FixingType&amp;$C50</f>
        <v>EuriborSwapIsdaFixB44Y</v>
      </c>
      <c r="G50" s="59" t="str">
        <f>_xll.qlEuriborSwap($F50,FixingType,$C50,Currency&amp;$D50,Currency&amp;$E50,Permanent,Trigger,ObjectOverwrite)</f>
        <v>EuriborSwapIsdaFixB44Y#0044</v>
      </c>
      <c r="H50" s="58" t="str">
        <f>_xll.ohRangeRetrieveError(G50)</f>
        <v/>
      </c>
      <c r="I50" s="57"/>
    </row>
    <row r="51" spans="2:9" s="53" customFormat="1" x14ac:dyDescent="0.2">
      <c r="B51" s="63"/>
      <c r="C51" s="62" t="s">
        <v>72</v>
      </c>
      <c r="D51" s="61" t="s">
        <v>18</v>
      </c>
      <c r="E51" s="61" t="s">
        <v>23</v>
      </c>
      <c r="F51" s="60" t="str">
        <f>PROPER(Currency)&amp;FamilyName&amp;FixingType&amp;$C51</f>
        <v>EuriborSwapIsdaFixB45Y</v>
      </c>
      <c r="G51" s="59" t="str">
        <f>_xll.qlEuriborSwap($F51,FixingType,$C51,Currency&amp;$D51,Currency&amp;$E51,Permanent,Trigger,ObjectOverwrite)</f>
        <v>EuriborSwapIsdaFixB45Y#0044</v>
      </c>
      <c r="H51" s="58" t="str">
        <f>_xll.ohRangeRetrieveError(G51)</f>
        <v/>
      </c>
      <c r="I51" s="57"/>
    </row>
    <row r="52" spans="2:9" s="53" customFormat="1" x14ac:dyDescent="0.2">
      <c r="B52" s="63"/>
      <c r="C52" s="62" t="s">
        <v>71</v>
      </c>
      <c r="D52" s="61" t="s">
        <v>18</v>
      </c>
      <c r="E52" s="61" t="s">
        <v>23</v>
      </c>
      <c r="F52" s="60" t="str">
        <f>PROPER(Currency)&amp;FamilyName&amp;FixingType&amp;$C52</f>
        <v>EuriborSwapIsdaFixB46Y</v>
      </c>
      <c r="G52" s="59" t="str">
        <f>_xll.qlEuriborSwap($F52,FixingType,$C52,Currency&amp;$D52,Currency&amp;$E52,Permanent,Trigger,ObjectOverwrite)</f>
        <v>EuriborSwapIsdaFixB46Y#0044</v>
      </c>
      <c r="H52" s="58" t="str">
        <f>_xll.ohRangeRetrieveError(G52)</f>
        <v/>
      </c>
      <c r="I52" s="57"/>
    </row>
    <row r="53" spans="2:9" s="53" customFormat="1" x14ac:dyDescent="0.2">
      <c r="B53" s="63"/>
      <c r="C53" s="62" t="s">
        <v>70</v>
      </c>
      <c r="D53" s="61" t="s">
        <v>18</v>
      </c>
      <c r="E53" s="61" t="s">
        <v>23</v>
      </c>
      <c r="F53" s="60" t="str">
        <f>PROPER(Currency)&amp;FamilyName&amp;FixingType&amp;$C53</f>
        <v>EuriborSwapIsdaFixB47Y</v>
      </c>
      <c r="G53" s="59" t="str">
        <f>_xll.qlEuriborSwap($F53,FixingType,$C53,Currency&amp;$D53,Currency&amp;$E53,Permanent,Trigger,ObjectOverwrite)</f>
        <v>EuriborSwapIsdaFixB47Y#0044</v>
      </c>
      <c r="H53" s="58" t="str">
        <f>_xll.ohRangeRetrieveError(G53)</f>
        <v/>
      </c>
      <c r="I53" s="57"/>
    </row>
    <row r="54" spans="2:9" s="53" customFormat="1" x14ac:dyDescent="0.2">
      <c r="B54" s="63"/>
      <c r="C54" s="62" t="s">
        <v>69</v>
      </c>
      <c r="D54" s="61" t="s">
        <v>18</v>
      </c>
      <c r="E54" s="61" t="s">
        <v>23</v>
      </c>
      <c r="F54" s="60" t="str">
        <f>PROPER(Currency)&amp;FamilyName&amp;FixingType&amp;$C54</f>
        <v>EuriborSwapIsdaFixB48Y</v>
      </c>
      <c r="G54" s="59" t="str">
        <f>_xll.qlEuriborSwap($F54,FixingType,$C54,Currency&amp;$D54,Currency&amp;$E54,Permanent,Trigger,ObjectOverwrite)</f>
        <v>EuriborSwapIsdaFixB48Y#0044</v>
      </c>
      <c r="H54" s="58" t="str">
        <f>_xll.ohRangeRetrieveError(G54)</f>
        <v/>
      </c>
      <c r="I54" s="57"/>
    </row>
    <row r="55" spans="2:9" s="53" customFormat="1" x14ac:dyDescent="0.2">
      <c r="B55" s="63"/>
      <c r="C55" s="62" t="s">
        <v>68</v>
      </c>
      <c r="D55" s="61" t="s">
        <v>18</v>
      </c>
      <c r="E55" s="61" t="s">
        <v>23</v>
      </c>
      <c r="F55" s="60" t="str">
        <f>PROPER(Currency)&amp;FamilyName&amp;FixingType&amp;$C55</f>
        <v>EuriborSwapIsdaFixB49Y</v>
      </c>
      <c r="G55" s="59" t="str">
        <f>_xll.qlEuriborSwap($F55,FixingType,$C55,Currency&amp;$D55,Currency&amp;$E55,Permanent,Trigger,ObjectOverwrite)</f>
        <v>EuriborSwapIsdaFixB49Y#0044</v>
      </c>
      <c r="H55" s="58" t="str">
        <f>_xll.ohRangeRetrieveError(G55)</f>
        <v/>
      </c>
      <c r="I55" s="57"/>
    </row>
    <row r="56" spans="2:9" s="53" customFormat="1" x14ac:dyDescent="0.2">
      <c r="B56" s="63"/>
      <c r="C56" s="62" t="s">
        <v>67</v>
      </c>
      <c r="D56" s="61" t="s">
        <v>18</v>
      </c>
      <c r="E56" s="61" t="s">
        <v>23</v>
      </c>
      <c r="F56" s="60" t="str">
        <f>PROPER(Currency)&amp;FamilyName&amp;FixingType&amp;$C56</f>
        <v>EuriborSwapIsdaFixB50Y</v>
      </c>
      <c r="G56" s="59" t="str">
        <f>_xll.qlEuriborSwap($F56,FixingType,$C56,Currency&amp;$D56,Currency&amp;$E56,Permanent,Trigger,ObjectOverwrite)</f>
        <v>EuriborSwapIsdaFixB50Y#0044</v>
      </c>
      <c r="H56" s="58" t="str">
        <f>_xll.ohRangeRetrieveError(G56)</f>
        <v/>
      </c>
      <c r="I56" s="57"/>
    </row>
    <row r="57" spans="2:9" s="53" customFormat="1" x14ac:dyDescent="0.2">
      <c r="B57" s="63"/>
      <c r="C57" s="62" t="s">
        <v>66</v>
      </c>
      <c r="D57" s="61" t="s">
        <v>18</v>
      </c>
      <c r="E57" s="61" t="s">
        <v>23</v>
      </c>
      <c r="F57" s="60" t="str">
        <f>PROPER(Currency)&amp;FamilyName&amp;FixingType&amp;$C57</f>
        <v>EuriborSwapIsdaFixB51Y</v>
      </c>
      <c r="G57" s="59" t="str">
        <f>_xll.qlEuriborSwap($F57,FixingType,$C57,Currency&amp;$D57,Currency&amp;$E57,Permanent,Trigger,ObjectOverwrite)</f>
        <v>EuriborSwapIsdaFixB51Y#0044</v>
      </c>
      <c r="H57" s="58" t="str">
        <f>_xll.ohRangeRetrieveError(G57)</f>
        <v/>
      </c>
      <c r="I57" s="57"/>
    </row>
    <row r="58" spans="2:9" s="53" customFormat="1" x14ac:dyDescent="0.2">
      <c r="B58" s="63"/>
      <c r="C58" s="62" t="s">
        <v>65</v>
      </c>
      <c r="D58" s="61" t="s">
        <v>18</v>
      </c>
      <c r="E58" s="61" t="s">
        <v>23</v>
      </c>
      <c r="F58" s="60" t="str">
        <f>PROPER(Currency)&amp;FamilyName&amp;FixingType&amp;$C58</f>
        <v>EuriborSwapIsdaFixB52Y</v>
      </c>
      <c r="G58" s="59" t="str">
        <f>_xll.qlEuriborSwap($F58,FixingType,$C58,Currency&amp;$D58,Currency&amp;$E58,Permanent,Trigger,ObjectOverwrite)</f>
        <v>EuriborSwapIsdaFixB52Y#0044</v>
      </c>
      <c r="H58" s="58" t="str">
        <f>_xll.ohRangeRetrieveError(G58)</f>
        <v/>
      </c>
      <c r="I58" s="57"/>
    </row>
    <row r="59" spans="2:9" s="53" customFormat="1" x14ac:dyDescent="0.2">
      <c r="B59" s="63"/>
      <c r="C59" s="62" t="s">
        <v>64</v>
      </c>
      <c r="D59" s="61" t="s">
        <v>18</v>
      </c>
      <c r="E59" s="61" t="s">
        <v>23</v>
      </c>
      <c r="F59" s="60" t="str">
        <f>PROPER(Currency)&amp;FamilyName&amp;FixingType&amp;$C59</f>
        <v>EuriborSwapIsdaFixB53Y</v>
      </c>
      <c r="G59" s="59" t="str">
        <f>_xll.qlEuriborSwap($F59,FixingType,$C59,Currency&amp;$D59,Currency&amp;$E59,Permanent,Trigger,ObjectOverwrite)</f>
        <v>EuriborSwapIsdaFixB53Y#0044</v>
      </c>
      <c r="H59" s="58" t="str">
        <f>_xll.ohRangeRetrieveError(G59)</f>
        <v/>
      </c>
      <c r="I59" s="57"/>
    </row>
    <row r="60" spans="2:9" s="53" customFormat="1" x14ac:dyDescent="0.2">
      <c r="B60" s="63"/>
      <c r="C60" s="62" t="s">
        <v>63</v>
      </c>
      <c r="D60" s="61" t="s">
        <v>18</v>
      </c>
      <c r="E60" s="61" t="s">
        <v>23</v>
      </c>
      <c r="F60" s="60" t="str">
        <f>PROPER(Currency)&amp;FamilyName&amp;FixingType&amp;$C60</f>
        <v>EuriborSwapIsdaFixB54Y</v>
      </c>
      <c r="G60" s="59" t="str">
        <f>_xll.qlEuriborSwap($F60,FixingType,$C60,Currency&amp;$D60,Currency&amp;$E60,Permanent,Trigger,ObjectOverwrite)</f>
        <v>EuriborSwapIsdaFixB54Y#0044</v>
      </c>
      <c r="H60" s="58" t="str">
        <f>_xll.ohRangeRetrieveError(G60)</f>
        <v/>
      </c>
      <c r="I60" s="57"/>
    </row>
    <row r="61" spans="2:9" s="53" customFormat="1" x14ac:dyDescent="0.2">
      <c r="B61" s="63"/>
      <c r="C61" s="62" t="s">
        <v>62</v>
      </c>
      <c r="D61" s="61" t="s">
        <v>18</v>
      </c>
      <c r="E61" s="61" t="s">
        <v>23</v>
      </c>
      <c r="F61" s="60" t="str">
        <f>PROPER(Currency)&amp;FamilyName&amp;FixingType&amp;$C61</f>
        <v>EuriborSwapIsdaFixB55Y</v>
      </c>
      <c r="G61" s="59" t="str">
        <f>_xll.qlEuriborSwap($F61,FixingType,$C61,Currency&amp;$D61,Currency&amp;$E61,Permanent,Trigger,ObjectOverwrite)</f>
        <v>EuriborSwapIsdaFixB55Y#0044</v>
      </c>
      <c r="H61" s="58" t="str">
        <f>_xll.ohRangeRetrieveError(G61)</f>
        <v/>
      </c>
      <c r="I61" s="57"/>
    </row>
    <row r="62" spans="2:9" s="53" customFormat="1" x14ac:dyDescent="0.2">
      <c r="B62" s="63"/>
      <c r="C62" s="62" t="s">
        <v>61</v>
      </c>
      <c r="D62" s="61" t="s">
        <v>18</v>
      </c>
      <c r="E62" s="61" t="s">
        <v>23</v>
      </c>
      <c r="F62" s="60" t="str">
        <f>PROPER(Currency)&amp;FamilyName&amp;FixingType&amp;$C62</f>
        <v>EuriborSwapIsdaFixB56Y</v>
      </c>
      <c r="G62" s="59" t="str">
        <f>_xll.qlEuriborSwap($F62,FixingType,$C62,Currency&amp;$D62,Currency&amp;$E62,Permanent,Trigger,ObjectOverwrite)</f>
        <v>EuriborSwapIsdaFixB56Y#0044</v>
      </c>
      <c r="H62" s="58" t="str">
        <f>_xll.ohRangeRetrieveError(G62)</f>
        <v/>
      </c>
      <c r="I62" s="57"/>
    </row>
    <row r="63" spans="2:9" s="53" customFormat="1" x14ac:dyDescent="0.2">
      <c r="B63" s="63"/>
      <c r="C63" s="62" t="s">
        <v>60</v>
      </c>
      <c r="D63" s="61" t="s">
        <v>18</v>
      </c>
      <c r="E63" s="61" t="s">
        <v>23</v>
      </c>
      <c r="F63" s="60" t="str">
        <f>PROPER(Currency)&amp;FamilyName&amp;FixingType&amp;$C63</f>
        <v>EuriborSwapIsdaFixB57Y</v>
      </c>
      <c r="G63" s="59" t="str">
        <f>_xll.qlEuriborSwap($F63,FixingType,$C63,Currency&amp;$D63,Currency&amp;$E63,Permanent,Trigger,ObjectOverwrite)</f>
        <v>EuriborSwapIsdaFixB57Y#0044</v>
      </c>
      <c r="H63" s="58" t="str">
        <f>_xll.ohRangeRetrieveError(G63)</f>
        <v/>
      </c>
      <c r="I63" s="57"/>
    </row>
    <row r="64" spans="2:9" s="53" customFormat="1" x14ac:dyDescent="0.2">
      <c r="B64" s="63"/>
      <c r="C64" s="62" t="s">
        <v>59</v>
      </c>
      <c r="D64" s="61" t="s">
        <v>18</v>
      </c>
      <c r="E64" s="61" t="s">
        <v>23</v>
      </c>
      <c r="F64" s="60" t="str">
        <f>PROPER(Currency)&amp;FamilyName&amp;FixingType&amp;$C64</f>
        <v>EuriborSwapIsdaFixB58Y</v>
      </c>
      <c r="G64" s="59" t="str">
        <f>_xll.qlEuriborSwap($F64,FixingType,$C64,Currency&amp;$D64,Currency&amp;$E64,Permanent,Trigger,ObjectOverwrite)</f>
        <v>EuriborSwapIsdaFixB58Y#0044</v>
      </c>
      <c r="H64" s="58" t="str">
        <f>_xll.ohRangeRetrieveError(G64)</f>
        <v/>
      </c>
      <c r="I64" s="57"/>
    </row>
    <row r="65" spans="2:9" s="53" customFormat="1" x14ac:dyDescent="0.2">
      <c r="B65" s="63"/>
      <c r="C65" s="62" t="s">
        <v>58</v>
      </c>
      <c r="D65" s="61" t="s">
        <v>18</v>
      </c>
      <c r="E65" s="61" t="s">
        <v>23</v>
      </c>
      <c r="F65" s="60" t="str">
        <f>PROPER(Currency)&amp;FamilyName&amp;FixingType&amp;$C65</f>
        <v>EuriborSwapIsdaFixB59Y</v>
      </c>
      <c r="G65" s="59" t="str">
        <f>_xll.qlEuriborSwap($F65,FixingType,$C65,Currency&amp;$D65,Currency&amp;$E65,Permanent,Trigger,ObjectOverwrite)</f>
        <v>EuriborSwapIsdaFixB59Y#0044</v>
      </c>
      <c r="H65" s="58" t="str">
        <f>_xll.ohRangeRetrieveError(G65)</f>
        <v/>
      </c>
      <c r="I65" s="57"/>
    </row>
    <row r="66" spans="2:9" s="53" customFormat="1" x14ac:dyDescent="0.2">
      <c r="B66" s="63"/>
      <c r="C66" s="62" t="s">
        <v>57</v>
      </c>
      <c r="D66" s="61" t="s">
        <v>18</v>
      </c>
      <c r="E66" s="61" t="s">
        <v>23</v>
      </c>
      <c r="F66" s="60" t="str">
        <f>PROPER(Currency)&amp;FamilyName&amp;FixingType&amp;$C66</f>
        <v>EuriborSwapIsdaFixB60Y</v>
      </c>
      <c r="G66" s="59" t="str">
        <f>_xll.qlEuriborSwap($F66,FixingType,$C66,Currency&amp;$D66,Currency&amp;$E66,Permanent,Trigger,ObjectOverwrite)</f>
        <v>EuriborSwapIsdaFixB60Y#0044</v>
      </c>
      <c r="H66" s="58" t="str">
        <f>_xll.ohRangeRetrieveError(G66)</f>
        <v/>
      </c>
      <c r="I66" s="57"/>
    </row>
    <row r="67" spans="2:9" s="53" customFormat="1" ht="12" thickBot="1" x14ac:dyDescent="0.25">
      <c r="B67" s="56"/>
      <c r="C67" s="55"/>
      <c r="D67" s="55"/>
      <c r="E67" s="55"/>
      <c r="F67" s="55"/>
      <c r="G67" s="55"/>
      <c r="H67" s="55"/>
      <c r="I67" s="54"/>
    </row>
    <row r="68" spans="2:9" s="5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8"/>
  <sheetViews>
    <sheetView workbookViewId="0"/>
  </sheetViews>
  <sheetFormatPr defaultRowHeight="11.25" x14ac:dyDescent="0.2"/>
  <cols>
    <col min="1" max="1" width="3.140625" style="22" customWidth="1"/>
    <col min="2" max="2" width="4.4257812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17.5703125" style="22" bestFit="1" customWidth="1"/>
    <col min="7" max="7" width="20.85546875" style="22" bestFit="1" customWidth="1"/>
    <col min="8" max="8" width="55" style="22" customWidth="1"/>
    <col min="9" max="9" width="5.28515625" style="22" customWidth="1"/>
    <col min="10" max="16384" width="9.140625" style="22"/>
  </cols>
  <sheetData>
    <row r="1" spans="1:9" s="53" customFormat="1" ht="12" thickBot="1" x14ac:dyDescent="0.25">
      <c r="A1" s="53" t="s">
        <v>124</v>
      </c>
    </row>
    <row r="2" spans="1:9" s="53" customFormat="1" x14ac:dyDescent="0.2">
      <c r="B2" s="74"/>
      <c r="C2" s="72"/>
      <c r="D2" s="72"/>
      <c r="E2" s="72"/>
      <c r="F2" s="73"/>
      <c r="G2" s="72"/>
      <c r="H2" s="72"/>
      <c r="I2" s="71"/>
    </row>
    <row r="3" spans="1:9" s="53" customFormat="1" x14ac:dyDescent="0.2">
      <c r="B3" s="63"/>
      <c r="C3" s="69"/>
      <c r="D3" s="69"/>
      <c r="E3" s="69"/>
      <c r="F3" s="70" t="s">
        <v>54</v>
      </c>
      <c r="G3" s="66" t="s">
        <v>120</v>
      </c>
      <c r="H3" s="69"/>
      <c r="I3" s="65"/>
    </row>
    <row r="4" spans="1:9" s="53" customFormat="1" x14ac:dyDescent="0.2">
      <c r="B4" s="63"/>
      <c r="C4" s="69"/>
      <c r="D4" s="69"/>
      <c r="E4" s="69"/>
      <c r="F4" s="70" t="s">
        <v>119</v>
      </c>
      <c r="G4" s="66" t="s">
        <v>122</v>
      </c>
      <c r="H4" s="69"/>
      <c r="I4" s="65"/>
    </row>
    <row r="5" spans="1:9" s="53" customFormat="1" x14ac:dyDescent="0.2">
      <c r="B5" s="63"/>
      <c r="C5" s="69"/>
      <c r="D5" s="69"/>
      <c r="E5" s="69"/>
      <c r="F5" s="69"/>
      <c r="G5" s="69"/>
      <c r="H5" s="69"/>
      <c r="I5" s="65"/>
    </row>
    <row r="6" spans="1:9" s="53" customFormat="1" x14ac:dyDescent="0.2">
      <c r="B6" s="63"/>
      <c r="C6" s="69"/>
      <c r="D6" s="68" t="s">
        <v>117</v>
      </c>
      <c r="E6" s="68" t="s">
        <v>116</v>
      </c>
      <c r="F6" s="75" t="str">
        <f>PROPER(Currency)&amp;FamilyName&amp;FixingType&amp;".xml"</f>
        <v>EuriborSwapIfrFix.xml</v>
      </c>
      <c r="G6" s="66">
        <f ca="1">IF(Serialize,_xll.ohObjectSave(G7:G66,SerializationPath&amp;FileName,FileOverwrite,,Serialize),"---")</f>
        <v>60</v>
      </c>
      <c r="H6" s="58" t="str">
        <f ca="1">_xll.ohRangeRetrieveError(G6)</f>
        <v/>
      </c>
      <c r="I6" s="65"/>
    </row>
    <row r="7" spans="1:9" s="53" customFormat="1" x14ac:dyDescent="0.2">
      <c r="B7" s="63"/>
      <c r="C7" s="62" t="s">
        <v>34</v>
      </c>
      <c r="D7" s="64" t="s">
        <v>19</v>
      </c>
      <c r="E7" s="61" t="s">
        <v>23</v>
      </c>
      <c r="F7" s="60" t="str">
        <f>PROPER(Currency)&amp;FamilyName&amp;FixingType&amp;$C7</f>
        <v>EuriborSwapIfrFix1Y</v>
      </c>
      <c r="G7" s="59" t="str">
        <f>_xll.qlEuriborSwap($F7,FixingType,$C7,Currency&amp;$D7,Currency&amp;$E7,Permanent,Trigger,ObjectOverwrite)</f>
        <v>EuriborSwapIfrFix1Y#0043</v>
      </c>
      <c r="H7" s="58" t="str">
        <f>_xll.ohRangeRetrieveError(G7)</f>
        <v/>
      </c>
      <c r="I7" s="57"/>
    </row>
    <row r="8" spans="1:9" s="53" customFormat="1" x14ac:dyDescent="0.2">
      <c r="B8" s="63"/>
      <c r="C8" s="62" t="s">
        <v>115</v>
      </c>
      <c r="D8" s="61" t="s">
        <v>18</v>
      </c>
      <c r="E8" s="61" t="s">
        <v>23</v>
      </c>
      <c r="F8" s="60" t="str">
        <f>PROPER(Currency)&amp;FamilyName&amp;FixingType&amp;$C8</f>
        <v>EuriborSwapIfrFix2Y</v>
      </c>
      <c r="G8" s="59" t="str">
        <f>_xll.qlEuriborSwap($F8,FixingType,$C8,Currency&amp;$D8,Currency&amp;$E8,Permanent,Trigger,ObjectOverwrite)</f>
        <v>EuriborSwapIfrFix2Y#0043</v>
      </c>
      <c r="H8" s="58" t="str">
        <f>_xll.ohRangeRetrieveError(G8)</f>
        <v/>
      </c>
      <c r="I8" s="57"/>
    </row>
    <row r="9" spans="1:9" s="53" customFormat="1" x14ac:dyDescent="0.2">
      <c r="B9" s="63"/>
      <c r="C9" s="62" t="s">
        <v>114</v>
      </c>
      <c r="D9" s="61" t="s">
        <v>18</v>
      </c>
      <c r="E9" s="61" t="s">
        <v>23</v>
      </c>
      <c r="F9" s="60" t="str">
        <f>PROPER(Currency)&amp;FamilyName&amp;FixingType&amp;$C9</f>
        <v>EuriborSwapIfrFix3Y</v>
      </c>
      <c r="G9" s="59" t="str">
        <f>_xll.qlEuriborSwap($F9,FixingType,$C9,Currency&amp;$D9,Currency&amp;$E9,Permanent,Trigger,ObjectOverwrite)</f>
        <v>EuriborSwapIfrFix3Y#0043</v>
      </c>
      <c r="H9" s="58" t="str">
        <f>_xll.ohRangeRetrieveError(G9)</f>
        <v/>
      </c>
      <c r="I9" s="57"/>
    </row>
    <row r="10" spans="1:9" s="53" customFormat="1" x14ac:dyDescent="0.2">
      <c r="B10" s="63"/>
      <c r="C10" s="62" t="s">
        <v>113</v>
      </c>
      <c r="D10" s="61" t="s">
        <v>18</v>
      </c>
      <c r="E10" s="61" t="s">
        <v>23</v>
      </c>
      <c r="F10" s="60" t="str">
        <f>PROPER(Currency)&amp;FamilyName&amp;FixingType&amp;$C10</f>
        <v>EuriborSwapIfrFix4Y</v>
      </c>
      <c r="G10" s="59" t="str">
        <f>_xll.qlEuriborSwap($F10,FixingType,$C10,Currency&amp;$D10,Currency&amp;$E10,Permanent,Trigger,ObjectOverwrite)</f>
        <v>EuriborSwapIfrFix4Y#0043</v>
      </c>
      <c r="H10" s="58" t="str">
        <f>_xll.ohRangeRetrieveError(G10)</f>
        <v/>
      </c>
      <c r="I10" s="57"/>
    </row>
    <row r="11" spans="1:9" s="53" customFormat="1" x14ac:dyDescent="0.2">
      <c r="B11" s="63"/>
      <c r="C11" s="62" t="s">
        <v>112</v>
      </c>
      <c r="D11" s="61" t="s">
        <v>18</v>
      </c>
      <c r="E11" s="61" t="s">
        <v>23</v>
      </c>
      <c r="F11" s="60" t="str">
        <f>PROPER(Currency)&amp;FamilyName&amp;FixingType&amp;$C11</f>
        <v>EuriborSwapIfrFix5Y</v>
      </c>
      <c r="G11" s="59" t="str">
        <f>_xll.qlEuriborSwap($F11,FixingType,$C11,Currency&amp;$D11,Currency&amp;$E11,Permanent,Trigger,ObjectOverwrite)</f>
        <v>EuriborSwapIfrFix5Y#0043</v>
      </c>
      <c r="H11" s="58" t="str">
        <f>_xll.ohRangeRetrieveError(G11)</f>
        <v/>
      </c>
      <c r="I11" s="57"/>
    </row>
    <row r="12" spans="1:9" s="53" customFormat="1" x14ac:dyDescent="0.2">
      <c r="B12" s="63"/>
      <c r="C12" s="62" t="s">
        <v>111</v>
      </c>
      <c r="D12" s="61" t="s">
        <v>18</v>
      </c>
      <c r="E12" s="61" t="s">
        <v>23</v>
      </c>
      <c r="F12" s="60" t="str">
        <f>PROPER(Currency)&amp;FamilyName&amp;FixingType&amp;$C12</f>
        <v>EuriborSwapIfrFix6Y</v>
      </c>
      <c r="G12" s="59" t="str">
        <f>_xll.qlEuriborSwap($F12,FixingType,$C12,Currency&amp;$D12,Currency&amp;$E12,Permanent,Trigger,ObjectOverwrite)</f>
        <v>EuriborSwapIfrFix6Y#0043</v>
      </c>
      <c r="H12" s="58" t="str">
        <f>_xll.ohRangeRetrieveError(G12)</f>
        <v/>
      </c>
      <c r="I12" s="57"/>
    </row>
    <row r="13" spans="1:9" s="53" customFormat="1" x14ac:dyDescent="0.2">
      <c r="B13" s="63"/>
      <c r="C13" s="62" t="s">
        <v>110</v>
      </c>
      <c r="D13" s="61" t="s">
        <v>18</v>
      </c>
      <c r="E13" s="61" t="s">
        <v>23</v>
      </c>
      <c r="F13" s="60" t="str">
        <f>PROPER(Currency)&amp;FamilyName&amp;FixingType&amp;$C13</f>
        <v>EuriborSwapIfrFix7Y</v>
      </c>
      <c r="G13" s="59" t="str">
        <f>_xll.qlEuriborSwap($F13,FixingType,$C13,Currency&amp;$D13,Currency&amp;$E13,Permanent,Trigger,ObjectOverwrite)</f>
        <v>EuriborSwapIfrFix7Y#0043</v>
      </c>
      <c r="H13" s="58" t="str">
        <f>_xll.ohRangeRetrieveError(G13)</f>
        <v/>
      </c>
      <c r="I13" s="57"/>
    </row>
    <row r="14" spans="1:9" s="53" customFormat="1" x14ac:dyDescent="0.2">
      <c r="B14" s="63"/>
      <c r="C14" s="62" t="s">
        <v>109</v>
      </c>
      <c r="D14" s="61" t="s">
        <v>18</v>
      </c>
      <c r="E14" s="61" t="s">
        <v>23</v>
      </c>
      <c r="F14" s="60" t="str">
        <f>PROPER(Currency)&amp;FamilyName&amp;FixingType&amp;$C14</f>
        <v>EuriborSwapIfrFix8Y</v>
      </c>
      <c r="G14" s="59" t="str">
        <f>_xll.qlEuriborSwap($F14,FixingType,$C14,Currency&amp;$D14,Currency&amp;$E14,Permanent,Trigger,ObjectOverwrite)</f>
        <v>EuriborSwapIfrFix8Y#0043</v>
      </c>
      <c r="H14" s="58" t="str">
        <f>_xll.ohRangeRetrieveError(G14)</f>
        <v/>
      </c>
      <c r="I14" s="57"/>
    </row>
    <row r="15" spans="1:9" s="53" customFormat="1" x14ac:dyDescent="0.2">
      <c r="B15" s="63"/>
      <c r="C15" s="62" t="s">
        <v>108</v>
      </c>
      <c r="D15" s="61" t="s">
        <v>18</v>
      </c>
      <c r="E15" s="61" t="s">
        <v>23</v>
      </c>
      <c r="F15" s="60" t="str">
        <f>PROPER(Currency)&amp;FamilyName&amp;FixingType&amp;$C15</f>
        <v>EuriborSwapIfrFix9Y</v>
      </c>
      <c r="G15" s="59" t="str">
        <f>_xll.qlEuriborSwap($F15,FixingType,$C15,Currency&amp;$D15,Currency&amp;$E15,Permanent,Trigger,ObjectOverwrite)</f>
        <v>EuriborSwapIfrFix9Y#0043</v>
      </c>
      <c r="H15" s="58" t="str">
        <f>_xll.ohRangeRetrieveError(G15)</f>
        <v/>
      </c>
      <c r="I15" s="57"/>
    </row>
    <row r="16" spans="1:9" s="53" customFormat="1" x14ac:dyDescent="0.2">
      <c r="B16" s="63"/>
      <c r="C16" s="62" t="s">
        <v>107</v>
      </c>
      <c r="D16" s="61" t="s">
        <v>18</v>
      </c>
      <c r="E16" s="61" t="s">
        <v>23</v>
      </c>
      <c r="F16" s="60" t="str">
        <f>PROPER(Currency)&amp;FamilyName&amp;FixingType&amp;$C16</f>
        <v>EuriborSwapIfrFix10Y</v>
      </c>
      <c r="G16" s="59" t="str">
        <f>_xll.qlEuriborSwap($F16,FixingType,$C16,Currency&amp;$D16,Currency&amp;$E16,Permanent,Trigger,ObjectOverwrite)</f>
        <v>EuriborSwapIfrFix10Y#0043</v>
      </c>
      <c r="H16" s="58" t="str">
        <f>_xll.ohRangeRetrieveError(G16)</f>
        <v/>
      </c>
      <c r="I16" s="57"/>
    </row>
    <row r="17" spans="2:9" s="53" customFormat="1" x14ac:dyDescent="0.2">
      <c r="B17" s="63"/>
      <c r="C17" s="62" t="s">
        <v>106</v>
      </c>
      <c r="D17" s="61" t="s">
        <v>18</v>
      </c>
      <c r="E17" s="61" t="s">
        <v>23</v>
      </c>
      <c r="F17" s="60" t="str">
        <f>PROPER(Currency)&amp;FamilyName&amp;FixingType&amp;$C17</f>
        <v>EuriborSwapIfrFix11Y</v>
      </c>
      <c r="G17" s="59" t="str">
        <f>_xll.qlEuriborSwap($F17,FixingType,$C17,Currency&amp;$D17,Currency&amp;$E17,Permanent,Trigger,ObjectOverwrite)</f>
        <v>EuriborSwapIfrFix11Y#0043</v>
      </c>
      <c r="H17" s="58" t="str">
        <f>_xll.ohRangeRetrieveError(G17)</f>
        <v/>
      </c>
      <c r="I17" s="57"/>
    </row>
    <row r="18" spans="2:9" s="53" customFormat="1" x14ac:dyDescent="0.2">
      <c r="B18" s="63"/>
      <c r="C18" s="62" t="s">
        <v>105</v>
      </c>
      <c r="D18" s="61" t="s">
        <v>18</v>
      </c>
      <c r="E18" s="61" t="s">
        <v>23</v>
      </c>
      <c r="F18" s="60" t="str">
        <f>PROPER(Currency)&amp;FamilyName&amp;FixingType&amp;$C18</f>
        <v>EuriborSwapIfrFix12Y</v>
      </c>
      <c r="G18" s="59" t="str">
        <f>_xll.qlEuriborSwap($F18,FixingType,$C18,Currency&amp;$D18,Currency&amp;$E18,Permanent,Trigger,ObjectOverwrite)</f>
        <v>EuriborSwapIfrFix12Y#0043</v>
      </c>
      <c r="H18" s="58" t="str">
        <f>_xll.ohRangeRetrieveError(G18)</f>
        <v/>
      </c>
      <c r="I18" s="57"/>
    </row>
    <row r="19" spans="2:9" s="53" customFormat="1" x14ac:dyDescent="0.2">
      <c r="B19" s="63"/>
      <c r="C19" s="62" t="s">
        <v>104</v>
      </c>
      <c r="D19" s="61" t="s">
        <v>18</v>
      </c>
      <c r="E19" s="61" t="s">
        <v>23</v>
      </c>
      <c r="F19" s="60" t="str">
        <f>PROPER(Currency)&amp;FamilyName&amp;FixingType&amp;$C19</f>
        <v>EuriborSwapIfrFix13Y</v>
      </c>
      <c r="G19" s="59" t="str">
        <f>_xll.qlEuriborSwap($F19,FixingType,$C19,Currency&amp;$D19,Currency&amp;$E19,Permanent,Trigger,ObjectOverwrite)</f>
        <v>EuriborSwapIfrFix13Y#0043</v>
      </c>
      <c r="H19" s="58" t="str">
        <f>_xll.ohRangeRetrieveError(G19)</f>
        <v/>
      </c>
      <c r="I19" s="57"/>
    </row>
    <row r="20" spans="2:9" s="53" customFormat="1" x14ac:dyDescent="0.2">
      <c r="B20" s="63"/>
      <c r="C20" s="62" t="s">
        <v>103</v>
      </c>
      <c r="D20" s="61" t="s">
        <v>18</v>
      </c>
      <c r="E20" s="61" t="s">
        <v>23</v>
      </c>
      <c r="F20" s="60" t="str">
        <f>PROPER(Currency)&amp;FamilyName&amp;FixingType&amp;$C20</f>
        <v>EuriborSwapIfrFix14Y</v>
      </c>
      <c r="G20" s="59" t="str">
        <f>_xll.qlEuriborSwap($F20,FixingType,$C20,Currency&amp;$D20,Currency&amp;$E20,Permanent,Trigger,ObjectOverwrite)</f>
        <v>EuriborSwapIfrFix14Y#0043</v>
      </c>
      <c r="H20" s="58" t="str">
        <f>_xll.ohRangeRetrieveError(G20)</f>
        <v/>
      </c>
      <c r="I20" s="57"/>
    </row>
    <row r="21" spans="2:9" s="53" customFormat="1" x14ac:dyDescent="0.2">
      <c r="B21" s="63"/>
      <c r="C21" s="62" t="s">
        <v>102</v>
      </c>
      <c r="D21" s="61" t="s">
        <v>18</v>
      </c>
      <c r="E21" s="61" t="s">
        <v>23</v>
      </c>
      <c r="F21" s="60" t="str">
        <f>PROPER(Currency)&amp;FamilyName&amp;FixingType&amp;$C21</f>
        <v>EuriborSwapIfrFix15Y</v>
      </c>
      <c r="G21" s="59" t="str">
        <f>_xll.qlEuriborSwap($F21,FixingType,$C21,Currency&amp;$D21,Currency&amp;$E21,Permanent,Trigger,ObjectOverwrite)</f>
        <v>EuriborSwapIfrFix15Y#0043</v>
      </c>
      <c r="H21" s="58" t="str">
        <f>_xll.ohRangeRetrieveError(G21)</f>
        <v/>
      </c>
      <c r="I21" s="57"/>
    </row>
    <row r="22" spans="2:9" s="53" customFormat="1" x14ac:dyDescent="0.2">
      <c r="B22" s="63"/>
      <c r="C22" s="62" t="s">
        <v>101</v>
      </c>
      <c r="D22" s="61" t="s">
        <v>18</v>
      </c>
      <c r="E22" s="61" t="s">
        <v>23</v>
      </c>
      <c r="F22" s="60" t="str">
        <f>PROPER(Currency)&amp;FamilyName&amp;FixingType&amp;$C22</f>
        <v>EuriborSwapIfrFix16Y</v>
      </c>
      <c r="G22" s="59" t="str">
        <f>_xll.qlEuriborSwap($F22,FixingType,$C22,Currency&amp;$D22,Currency&amp;$E22,Permanent,Trigger,ObjectOverwrite)</f>
        <v>EuriborSwapIfrFix16Y#0043</v>
      </c>
      <c r="H22" s="58" t="str">
        <f>_xll.ohRangeRetrieveError(G22)</f>
        <v/>
      </c>
      <c r="I22" s="57"/>
    </row>
    <row r="23" spans="2:9" s="53" customFormat="1" x14ac:dyDescent="0.2">
      <c r="B23" s="63"/>
      <c r="C23" s="62" t="s">
        <v>100</v>
      </c>
      <c r="D23" s="61" t="s">
        <v>18</v>
      </c>
      <c r="E23" s="61" t="s">
        <v>23</v>
      </c>
      <c r="F23" s="60" t="str">
        <f>PROPER(Currency)&amp;FamilyName&amp;FixingType&amp;$C23</f>
        <v>EuriborSwapIfrFix17Y</v>
      </c>
      <c r="G23" s="59" t="str">
        <f>_xll.qlEuriborSwap($F23,FixingType,$C23,Currency&amp;$D23,Currency&amp;$E23,Permanent,Trigger,ObjectOverwrite)</f>
        <v>EuriborSwapIfrFix17Y#0043</v>
      </c>
      <c r="H23" s="58" t="str">
        <f>_xll.ohRangeRetrieveError(G23)</f>
        <v/>
      </c>
      <c r="I23" s="57"/>
    </row>
    <row r="24" spans="2:9" s="53" customFormat="1" x14ac:dyDescent="0.2">
      <c r="B24" s="63"/>
      <c r="C24" s="62" t="s">
        <v>99</v>
      </c>
      <c r="D24" s="61" t="s">
        <v>18</v>
      </c>
      <c r="E24" s="61" t="s">
        <v>23</v>
      </c>
      <c r="F24" s="60" t="str">
        <f>PROPER(Currency)&amp;FamilyName&amp;FixingType&amp;$C24</f>
        <v>EuriborSwapIfrFix18Y</v>
      </c>
      <c r="G24" s="59" t="str">
        <f>_xll.qlEuriborSwap($F24,FixingType,$C24,Currency&amp;$D24,Currency&amp;$E24,Permanent,Trigger,ObjectOverwrite)</f>
        <v>EuriborSwapIfrFix18Y#0043</v>
      </c>
      <c r="H24" s="58" t="str">
        <f>_xll.ohRangeRetrieveError(G24)</f>
        <v/>
      </c>
      <c r="I24" s="57"/>
    </row>
    <row r="25" spans="2:9" s="53" customFormat="1" x14ac:dyDescent="0.2">
      <c r="B25" s="63"/>
      <c r="C25" s="62" t="s">
        <v>98</v>
      </c>
      <c r="D25" s="61" t="s">
        <v>18</v>
      </c>
      <c r="E25" s="61" t="s">
        <v>23</v>
      </c>
      <c r="F25" s="60" t="str">
        <f>PROPER(Currency)&amp;FamilyName&amp;FixingType&amp;$C25</f>
        <v>EuriborSwapIfrFix19Y</v>
      </c>
      <c r="G25" s="59" t="str">
        <f>_xll.qlEuriborSwap($F25,FixingType,$C25,Currency&amp;$D25,Currency&amp;$E25,Permanent,Trigger,ObjectOverwrite)</f>
        <v>EuriborSwapIfrFix19Y#0043</v>
      </c>
      <c r="H25" s="58" t="str">
        <f>_xll.ohRangeRetrieveError(G25)</f>
        <v/>
      </c>
      <c r="I25" s="57"/>
    </row>
    <row r="26" spans="2:9" s="53" customFormat="1" x14ac:dyDescent="0.2">
      <c r="B26" s="63"/>
      <c r="C26" s="62" t="s">
        <v>97</v>
      </c>
      <c r="D26" s="61" t="s">
        <v>18</v>
      </c>
      <c r="E26" s="61" t="s">
        <v>23</v>
      </c>
      <c r="F26" s="60" t="str">
        <f>PROPER(Currency)&amp;FamilyName&amp;FixingType&amp;$C26</f>
        <v>EuriborSwapIfrFix20Y</v>
      </c>
      <c r="G26" s="59" t="str">
        <f>_xll.qlEuriborSwap($F26,FixingType,$C26,Currency&amp;$D26,Currency&amp;$E26,Permanent,Trigger,ObjectOverwrite)</f>
        <v>EuriborSwapIfrFix20Y#0043</v>
      </c>
      <c r="H26" s="58" t="str">
        <f>_xll.ohRangeRetrieveError(G26)</f>
        <v/>
      </c>
      <c r="I26" s="57"/>
    </row>
    <row r="27" spans="2:9" s="53" customFormat="1" x14ac:dyDescent="0.2">
      <c r="B27" s="63"/>
      <c r="C27" s="62" t="s">
        <v>96</v>
      </c>
      <c r="D27" s="61" t="s">
        <v>18</v>
      </c>
      <c r="E27" s="61" t="s">
        <v>23</v>
      </c>
      <c r="F27" s="60" t="str">
        <f>PROPER(Currency)&amp;FamilyName&amp;FixingType&amp;$C27</f>
        <v>EuriborSwapIfrFix21Y</v>
      </c>
      <c r="G27" s="59" t="str">
        <f>_xll.qlEuriborSwap($F27,FixingType,$C27,Currency&amp;$D27,Currency&amp;$E27,Permanent,Trigger,ObjectOverwrite)</f>
        <v>EuriborSwapIfrFix21Y#0043</v>
      </c>
      <c r="H27" s="58" t="str">
        <f>_xll.ohRangeRetrieveError(G27)</f>
        <v/>
      </c>
      <c r="I27" s="57"/>
    </row>
    <row r="28" spans="2:9" s="53" customFormat="1" x14ac:dyDescent="0.2">
      <c r="B28" s="63"/>
      <c r="C28" s="62" t="s">
        <v>95</v>
      </c>
      <c r="D28" s="61" t="s">
        <v>18</v>
      </c>
      <c r="E28" s="61" t="s">
        <v>23</v>
      </c>
      <c r="F28" s="60" t="str">
        <f>PROPER(Currency)&amp;FamilyName&amp;FixingType&amp;$C28</f>
        <v>EuriborSwapIfrFix22Y</v>
      </c>
      <c r="G28" s="59" t="str">
        <f>_xll.qlEuriborSwap($F28,FixingType,$C28,Currency&amp;$D28,Currency&amp;$E28,Permanent,Trigger,ObjectOverwrite)</f>
        <v>EuriborSwapIfrFix22Y#0043</v>
      </c>
      <c r="H28" s="58" t="str">
        <f>_xll.ohRangeRetrieveError(G28)</f>
        <v/>
      </c>
      <c r="I28" s="57"/>
    </row>
    <row r="29" spans="2:9" s="53" customFormat="1" x14ac:dyDescent="0.2">
      <c r="B29" s="63"/>
      <c r="C29" s="62" t="s">
        <v>94</v>
      </c>
      <c r="D29" s="61" t="s">
        <v>18</v>
      </c>
      <c r="E29" s="61" t="s">
        <v>23</v>
      </c>
      <c r="F29" s="60" t="str">
        <f>PROPER(Currency)&amp;FamilyName&amp;FixingType&amp;$C29</f>
        <v>EuriborSwapIfrFix23Y</v>
      </c>
      <c r="G29" s="59" t="str">
        <f>_xll.qlEuriborSwap($F29,FixingType,$C29,Currency&amp;$D29,Currency&amp;$E29,Permanent,Trigger,ObjectOverwrite)</f>
        <v>EuriborSwapIfrFix23Y#0043</v>
      </c>
      <c r="H29" s="58" t="str">
        <f>_xll.ohRangeRetrieveError(G29)</f>
        <v/>
      </c>
      <c r="I29" s="57"/>
    </row>
    <row r="30" spans="2:9" s="53" customFormat="1" x14ac:dyDescent="0.2">
      <c r="B30" s="63"/>
      <c r="C30" s="62" t="s">
        <v>93</v>
      </c>
      <c r="D30" s="61" t="s">
        <v>18</v>
      </c>
      <c r="E30" s="61" t="s">
        <v>23</v>
      </c>
      <c r="F30" s="60" t="str">
        <f>PROPER(Currency)&amp;FamilyName&amp;FixingType&amp;$C30</f>
        <v>EuriborSwapIfrFix24Y</v>
      </c>
      <c r="G30" s="59" t="str">
        <f>_xll.qlEuriborSwap($F30,FixingType,$C30,Currency&amp;$D30,Currency&amp;$E30,Permanent,Trigger,ObjectOverwrite)</f>
        <v>EuriborSwapIfrFix24Y#0043</v>
      </c>
      <c r="H30" s="58" t="str">
        <f>_xll.ohRangeRetrieveError(G30)</f>
        <v/>
      </c>
      <c r="I30" s="57"/>
    </row>
    <row r="31" spans="2:9" s="53" customFormat="1" x14ac:dyDescent="0.2">
      <c r="B31" s="63"/>
      <c r="C31" s="62" t="s">
        <v>92</v>
      </c>
      <c r="D31" s="61" t="s">
        <v>18</v>
      </c>
      <c r="E31" s="61" t="s">
        <v>23</v>
      </c>
      <c r="F31" s="60" t="str">
        <f>PROPER(Currency)&amp;FamilyName&amp;FixingType&amp;$C31</f>
        <v>EuriborSwapIfrFix25Y</v>
      </c>
      <c r="G31" s="59" t="str">
        <f>_xll.qlEuriborSwap($F31,FixingType,$C31,Currency&amp;$D31,Currency&amp;$E31,Permanent,Trigger,ObjectOverwrite)</f>
        <v>EuriborSwapIfrFix25Y#0043</v>
      </c>
      <c r="H31" s="58" t="str">
        <f>_xll.ohRangeRetrieveError(G31)</f>
        <v/>
      </c>
      <c r="I31" s="57"/>
    </row>
    <row r="32" spans="2:9" s="53" customFormat="1" x14ac:dyDescent="0.2">
      <c r="B32" s="63"/>
      <c r="C32" s="62" t="s">
        <v>91</v>
      </c>
      <c r="D32" s="61" t="s">
        <v>18</v>
      </c>
      <c r="E32" s="61" t="s">
        <v>23</v>
      </c>
      <c r="F32" s="60" t="str">
        <f>PROPER(Currency)&amp;FamilyName&amp;FixingType&amp;$C32</f>
        <v>EuriborSwapIfrFix26Y</v>
      </c>
      <c r="G32" s="59" t="str">
        <f>_xll.qlEuriborSwap($F32,FixingType,$C32,Currency&amp;$D32,Currency&amp;$E32,Permanent,Trigger,ObjectOverwrite)</f>
        <v>EuriborSwapIfrFix26Y#0043</v>
      </c>
      <c r="H32" s="58" t="str">
        <f>_xll.ohRangeRetrieveError(G32)</f>
        <v/>
      </c>
      <c r="I32" s="57"/>
    </row>
    <row r="33" spans="2:9" s="53" customFormat="1" x14ac:dyDescent="0.2">
      <c r="B33" s="63"/>
      <c r="C33" s="62" t="s">
        <v>90</v>
      </c>
      <c r="D33" s="61" t="s">
        <v>18</v>
      </c>
      <c r="E33" s="61" t="s">
        <v>23</v>
      </c>
      <c r="F33" s="60" t="str">
        <f>PROPER(Currency)&amp;FamilyName&amp;FixingType&amp;$C33</f>
        <v>EuriborSwapIfrFix27Y</v>
      </c>
      <c r="G33" s="59" t="str">
        <f>_xll.qlEuriborSwap($F33,FixingType,$C33,Currency&amp;$D33,Currency&amp;$E33,Permanent,Trigger,ObjectOverwrite)</f>
        <v>EuriborSwapIfrFix27Y#0043</v>
      </c>
      <c r="H33" s="58" t="str">
        <f>_xll.ohRangeRetrieveError(G33)</f>
        <v/>
      </c>
      <c r="I33" s="57"/>
    </row>
    <row r="34" spans="2:9" s="53" customFormat="1" x14ac:dyDescent="0.2">
      <c r="B34" s="63"/>
      <c r="C34" s="62" t="s">
        <v>89</v>
      </c>
      <c r="D34" s="61" t="s">
        <v>18</v>
      </c>
      <c r="E34" s="61" t="s">
        <v>23</v>
      </c>
      <c r="F34" s="60" t="str">
        <f>PROPER(Currency)&amp;FamilyName&amp;FixingType&amp;$C34</f>
        <v>EuriborSwapIfrFix28Y</v>
      </c>
      <c r="G34" s="59" t="str">
        <f>_xll.qlEuriborSwap($F34,FixingType,$C34,Currency&amp;$D34,Currency&amp;$E34,Permanent,Trigger,ObjectOverwrite)</f>
        <v>EuriborSwapIfrFix28Y#0043</v>
      </c>
      <c r="H34" s="58" t="str">
        <f>_xll.ohRangeRetrieveError(G34)</f>
        <v/>
      </c>
      <c r="I34" s="57"/>
    </row>
    <row r="35" spans="2:9" s="53" customFormat="1" x14ac:dyDescent="0.2">
      <c r="B35" s="63"/>
      <c r="C35" s="62" t="s">
        <v>88</v>
      </c>
      <c r="D35" s="61" t="s">
        <v>18</v>
      </c>
      <c r="E35" s="61" t="s">
        <v>23</v>
      </c>
      <c r="F35" s="60" t="str">
        <f>PROPER(Currency)&amp;FamilyName&amp;FixingType&amp;$C35</f>
        <v>EuriborSwapIfrFix29Y</v>
      </c>
      <c r="G35" s="59" t="str">
        <f>_xll.qlEuriborSwap($F35,FixingType,$C35,Currency&amp;$D35,Currency&amp;$E35,Permanent,Trigger,ObjectOverwrite)</f>
        <v>EuriborSwapIfrFix29Y#0043</v>
      </c>
      <c r="H35" s="58" t="str">
        <f>_xll.ohRangeRetrieveError(G35)</f>
        <v/>
      </c>
      <c r="I35" s="57"/>
    </row>
    <row r="36" spans="2:9" s="53" customFormat="1" x14ac:dyDescent="0.2">
      <c r="B36" s="63"/>
      <c r="C36" s="62" t="s">
        <v>87</v>
      </c>
      <c r="D36" s="61" t="s">
        <v>18</v>
      </c>
      <c r="E36" s="61" t="s">
        <v>23</v>
      </c>
      <c r="F36" s="60" t="str">
        <f>PROPER(Currency)&amp;FamilyName&amp;FixingType&amp;$C36</f>
        <v>EuriborSwapIfrFix30Y</v>
      </c>
      <c r="G36" s="59" t="str">
        <f>_xll.qlEuriborSwap($F36,FixingType,$C36,Currency&amp;$D36,Currency&amp;$E36,Permanent,Trigger,ObjectOverwrite)</f>
        <v>EuriborSwapIfrFix30Y#0043</v>
      </c>
      <c r="H36" s="58" t="str">
        <f>_xll.ohRangeRetrieveError(G36)</f>
        <v/>
      </c>
      <c r="I36" s="57"/>
    </row>
    <row r="37" spans="2:9" s="53" customFormat="1" x14ac:dyDescent="0.2">
      <c r="B37" s="63"/>
      <c r="C37" s="62" t="s">
        <v>86</v>
      </c>
      <c r="D37" s="61" t="s">
        <v>18</v>
      </c>
      <c r="E37" s="61" t="s">
        <v>23</v>
      </c>
      <c r="F37" s="60" t="str">
        <f>PROPER(Currency)&amp;FamilyName&amp;FixingType&amp;$C37</f>
        <v>EuriborSwapIfrFix31Y</v>
      </c>
      <c r="G37" s="59" t="str">
        <f>_xll.qlEuriborSwap($F37,FixingType,$C37,Currency&amp;$D37,Currency&amp;$E37,Permanent,Trigger,ObjectOverwrite)</f>
        <v>EuriborSwapIfrFix31Y#0043</v>
      </c>
      <c r="H37" s="58" t="str">
        <f>_xll.ohRangeRetrieveError(G37)</f>
        <v/>
      </c>
      <c r="I37" s="57"/>
    </row>
    <row r="38" spans="2:9" s="53" customFormat="1" x14ac:dyDescent="0.2">
      <c r="B38" s="63"/>
      <c r="C38" s="62" t="s">
        <v>85</v>
      </c>
      <c r="D38" s="61" t="s">
        <v>18</v>
      </c>
      <c r="E38" s="61" t="s">
        <v>23</v>
      </c>
      <c r="F38" s="60" t="str">
        <f>PROPER(Currency)&amp;FamilyName&amp;FixingType&amp;$C38</f>
        <v>EuriborSwapIfrFix32Y</v>
      </c>
      <c r="G38" s="59" t="str">
        <f>_xll.qlEuriborSwap($F38,FixingType,$C38,Currency&amp;$D38,Currency&amp;$E38,Permanent,Trigger,ObjectOverwrite)</f>
        <v>EuriborSwapIfrFix32Y#0043</v>
      </c>
      <c r="H38" s="58" t="str">
        <f>_xll.ohRangeRetrieveError(G38)</f>
        <v/>
      </c>
      <c r="I38" s="57"/>
    </row>
    <row r="39" spans="2:9" s="53" customFormat="1" x14ac:dyDescent="0.2">
      <c r="B39" s="63"/>
      <c r="C39" s="62" t="s">
        <v>84</v>
      </c>
      <c r="D39" s="61" t="s">
        <v>18</v>
      </c>
      <c r="E39" s="61" t="s">
        <v>23</v>
      </c>
      <c r="F39" s="60" t="str">
        <f>PROPER(Currency)&amp;FamilyName&amp;FixingType&amp;$C39</f>
        <v>EuriborSwapIfrFix33Y</v>
      </c>
      <c r="G39" s="59" t="str">
        <f>_xll.qlEuriborSwap($F39,FixingType,$C39,Currency&amp;$D39,Currency&amp;$E39,Permanent,Trigger,ObjectOverwrite)</f>
        <v>EuriborSwapIfrFix33Y#0043</v>
      </c>
      <c r="H39" s="58" t="str">
        <f>_xll.ohRangeRetrieveError(G39)</f>
        <v/>
      </c>
      <c r="I39" s="57"/>
    </row>
    <row r="40" spans="2:9" s="53" customFormat="1" x14ac:dyDescent="0.2">
      <c r="B40" s="63"/>
      <c r="C40" s="62" t="s">
        <v>83</v>
      </c>
      <c r="D40" s="61" t="s">
        <v>18</v>
      </c>
      <c r="E40" s="61" t="s">
        <v>23</v>
      </c>
      <c r="F40" s="60" t="str">
        <f>PROPER(Currency)&amp;FamilyName&amp;FixingType&amp;$C40</f>
        <v>EuriborSwapIfrFix34Y</v>
      </c>
      <c r="G40" s="59" t="str">
        <f>_xll.qlEuriborSwap($F40,FixingType,$C40,Currency&amp;$D40,Currency&amp;$E40,Permanent,Trigger,ObjectOverwrite)</f>
        <v>EuriborSwapIfrFix34Y#0043</v>
      </c>
      <c r="H40" s="58" t="str">
        <f>_xll.ohRangeRetrieveError(G40)</f>
        <v/>
      </c>
      <c r="I40" s="57"/>
    </row>
    <row r="41" spans="2:9" s="53" customFormat="1" x14ac:dyDescent="0.2">
      <c r="B41" s="63"/>
      <c r="C41" s="62" t="s">
        <v>82</v>
      </c>
      <c r="D41" s="61" t="s">
        <v>18</v>
      </c>
      <c r="E41" s="61" t="s">
        <v>23</v>
      </c>
      <c r="F41" s="60" t="str">
        <f>PROPER(Currency)&amp;FamilyName&amp;FixingType&amp;$C41</f>
        <v>EuriborSwapIfrFix35Y</v>
      </c>
      <c r="G41" s="59" t="str">
        <f>_xll.qlEuriborSwap($F41,FixingType,$C41,Currency&amp;$D41,Currency&amp;$E41,Permanent,Trigger,ObjectOverwrite)</f>
        <v>EuriborSwapIfrFix35Y#0043</v>
      </c>
      <c r="H41" s="58" t="str">
        <f>_xll.ohRangeRetrieveError(G41)</f>
        <v/>
      </c>
      <c r="I41" s="57"/>
    </row>
    <row r="42" spans="2:9" s="53" customFormat="1" x14ac:dyDescent="0.2">
      <c r="B42" s="63"/>
      <c r="C42" s="62" t="s">
        <v>81</v>
      </c>
      <c r="D42" s="61" t="s">
        <v>18</v>
      </c>
      <c r="E42" s="61" t="s">
        <v>23</v>
      </c>
      <c r="F42" s="60" t="str">
        <f>PROPER(Currency)&amp;FamilyName&amp;FixingType&amp;$C42</f>
        <v>EuriborSwapIfrFix36Y</v>
      </c>
      <c r="G42" s="59" t="str">
        <f>_xll.qlEuriborSwap($F42,FixingType,$C42,Currency&amp;$D42,Currency&amp;$E42,Permanent,Trigger,ObjectOverwrite)</f>
        <v>EuriborSwapIfrFix36Y#0043</v>
      </c>
      <c r="H42" s="58" t="str">
        <f>_xll.ohRangeRetrieveError(G42)</f>
        <v/>
      </c>
      <c r="I42" s="57"/>
    </row>
    <row r="43" spans="2:9" s="53" customFormat="1" x14ac:dyDescent="0.2">
      <c r="B43" s="63"/>
      <c r="C43" s="62" t="s">
        <v>80</v>
      </c>
      <c r="D43" s="61" t="s">
        <v>18</v>
      </c>
      <c r="E43" s="61" t="s">
        <v>23</v>
      </c>
      <c r="F43" s="60" t="str">
        <f>PROPER(Currency)&amp;FamilyName&amp;FixingType&amp;$C43</f>
        <v>EuriborSwapIfrFix37Y</v>
      </c>
      <c r="G43" s="59" t="str">
        <f>_xll.qlEuriborSwap($F43,FixingType,$C43,Currency&amp;$D43,Currency&amp;$E43,Permanent,Trigger,ObjectOverwrite)</f>
        <v>EuriborSwapIfrFix37Y#0043</v>
      </c>
      <c r="H43" s="58" t="str">
        <f>_xll.ohRangeRetrieveError(G43)</f>
        <v/>
      </c>
      <c r="I43" s="57"/>
    </row>
    <row r="44" spans="2:9" s="53" customFormat="1" x14ac:dyDescent="0.2">
      <c r="B44" s="63"/>
      <c r="C44" s="62" t="s">
        <v>79</v>
      </c>
      <c r="D44" s="61" t="s">
        <v>18</v>
      </c>
      <c r="E44" s="61" t="s">
        <v>23</v>
      </c>
      <c r="F44" s="60" t="str">
        <f>PROPER(Currency)&amp;FamilyName&amp;FixingType&amp;$C44</f>
        <v>EuriborSwapIfrFix38Y</v>
      </c>
      <c r="G44" s="59" t="str">
        <f>_xll.qlEuriborSwap($F44,FixingType,$C44,Currency&amp;$D44,Currency&amp;$E44,Permanent,Trigger,ObjectOverwrite)</f>
        <v>EuriborSwapIfrFix38Y#0043</v>
      </c>
      <c r="H44" s="58" t="str">
        <f>_xll.ohRangeRetrieveError(G44)</f>
        <v/>
      </c>
      <c r="I44" s="57"/>
    </row>
    <row r="45" spans="2:9" s="53" customFormat="1" x14ac:dyDescent="0.2">
      <c r="B45" s="63"/>
      <c r="C45" s="62" t="s">
        <v>78</v>
      </c>
      <c r="D45" s="61" t="s">
        <v>18</v>
      </c>
      <c r="E45" s="61" t="s">
        <v>23</v>
      </c>
      <c r="F45" s="60" t="str">
        <f>PROPER(Currency)&amp;FamilyName&amp;FixingType&amp;$C45</f>
        <v>EuriborSwapIfrFix39Y</v>
      </c>
      <c r="G45" s="59" t="str">
        <f>_xll.qlEuriborSwap($F45,FixingType,$C45,Currency&amp;$D45,Currency&amp;$E45,Permanent,Trigger,ObjectOverwrite)</f>
        <v>EuriborSwapIfrFix39Y#0043</v>
      </c>
      <c r="H45" s="58" t="str">
        <f>_xll.ohRangeRetrieveError(G45)</f>
        <v/>
      </c>
      <c r="I45" s="57"/>
    </row>
    <row r="46" spans="2:9" s="53" customFormat="1" x14ac:dyDescent="0.2">
      <c r="B46" s="63"/>
      <c r="C46" s="62" t="s">
        <v>77</v>
      </c>
      <c r="D46" s="61" t="s">
        <v>18</v>
      </c>
      <c r="E46" s="61" t="s">
        <v>23</v>
      </c>
      <c r="F46" s="60" t="str">
        <f>PROPER(Currency)&amp;FamilyName&amp;FixingType&amp;$C46</f>
        <v>EuriborSwapIfrFix40Y</v>
      </c>
      <c r="G46" s="59" t="str">
        <f>_xll.qlEuriborSwap($F46,FixingType,$C46,Currency&amp;$D46,Currency&amp;$E46,Permanent,Trigger,ObjectOverwrite)</f>
        <v>EuriborSwapIfrFix40Y#0043</v>
      </c>
      <c r="H46" s="58" t="str">
        <f>_xll.ohRangeRetrieveError(G46)</f>
        <v/>
      </c>
      <c r="I46" s="57"/>
    </row>
    <row r="47" spans="2:9" s="53" customFormat="1" x14ac:dyDescent="0.2">
      <c r="B47" s="63"/>
      <c r="C47" s="62" t="s">
        <v>76</v>
      </c>
      <c r="D47" s="61" t="s">
        <v>18</v>
      </c>
      <c r="E47" s="61" t="s">
        <v>23</v>
      </c>
      <c r="F47" s="60" t="str">
        <f>PROPER(Currency)&amp;FamilyName&amp;FixingType&amp;$C47</f>
        <v>EuriborSwapIfrFix41Y</v>
      </c>
      <c r="G47" s="59" t="str">
        <f>_xll.qlEuriborSwap($F47,FixingType,$C47,Currency&amp;$D47,Currency&amp;$E47,Permanent,Trigger,ObjectOverwrite)</f>
        <v>EuriborSwapIfrFix41Y#0043</v>
      </c>
      <c r="H47" s="58" t="str">
        <f>_xll.ohRangeRetrieveError(G47)</f>
        <v/>
      </c>
      <c r="I47" s="57"/>
    </row>
    <row r="48" spans="2:9" s="53" customFormat="1" x14ac:dyDescent="0.2">
      <c r="B48" s="63"/>
      <c r="C48" s="62" t="s">
        <v>75</v>
      </c>
      <c r="D48" s="61" t="s">
        <v>18</v>
      </c>
      <c r="E48" s="61" t="s">
        <v>23</v>
      </c>
      <c r="F48" s="60" t="str">
        <f>PROPER(Currency)&amp;FamilyName&amp;FixingType&amp;$C48</f>
        <v>EuriborSwapIfrFix42Y</v>
      </c>
      <c r="G48" s="59" t="str">
        <f>_xll.qlEuriborSwap($F48,FixingType,$C48,Currency&amp;$D48,Currency&amp;$E48,Permanent,Trigger,ObjectOverwrite)</f>
        <v>EuriborSwapIfrFix42Y#0043</v>
      </c>
      <c r="H48" s="58" t="str">
        <f>_xll.ohRangeRetrieveError(G48)</f>
        <v/>
      </c>
      <c r="I48" s="57"/>
    </row>
    <row r="49" spans="2:9" s="53" customFormat="1" x14ac:dyDescent="0.2">
      <c r="B49" s="63"/>
      <c r="C49" s="62" t="s">
        <v>74</v>
      </c>
      <c r="D49" s="61" t="s">
        <v>18</v>
      </c>
      <c r="E49" s="61" t="s">
        <v>23</v>
      </c>
      <c r="F49" s="60" t="str">
        <f>PROPER(Currency)&amp;FamilyName&amp;FixingType&amp;$C49</f>
        <v>EuriborSwapIfrFix43Y</v>
      </c>
      <c r="G49" s="59" t="str">
        <f>_xll.qlEuriborSwap($F49,FixingType,$C49,Currency&amp;$D49,Currency&amp;$E49,Permanent,Trigger,ObjectOverwrite)</f>
        <v>EuriborSwapIfrFix43Y#0043</v>
      </c>
      <c r="H49" s="58" t="str">
        <f>_xll.ohRangeRetrieveError(G49)</f>
        <v/>
      </c>
      <c r="I49" s="57"/>
    </row>
    <row r="50" spans="2:9" s="53" customFormat="1" x14ac:dyDescent="0.2">
      <c r="B50" s="63"/>
      <c r="C50" s="62" t="s">
        <v>73</v>
      </c>
      <c r="D50" s="61" t="s">
        <v>18</v>
      </c>
      <c r="E50" s="61" t="s">
        <v>23</v>
      </c>
      <c r="F50" s="60" t="str">
        <f>PROPER(Currency)&amp;FamilyName&amp;FixingType&amp;$C50</f>
        <v>EuriborSwapIfrFix44Y</v>
      </c>
      <c r="G50" s="59" t="str">
        <f>_xll.qlEuriborSwap($F50,FixingType,$C50,Currency&amp;$D50,Currency&amp;$E50,Permanent,Trigger,ObjectOverwrite)</f>
        <v>EuriborSwapIfrFix44Y#0043</v>
      </c>
      <c r="H50" s="58" t="str">
        <f>_xll.ohRangeRetrieveError(G50)</f>
        <v/>
      </c>
      <c r="I50" s="57"/>
    </row>
    <row r="51" spans="2:9" s="53" customFormat="1" x14ac:dyDescent="0.2">
      <c r="B51" s="63"/>
      <c r="C51" s="62" t="s">
        <v>72</v>
      </c>
      <c r="D51" s="61" t="s">
        <v>18</v>
      </c>
      <c r="E51" s="61" t="s">
        <v>23</v>
      </c>
      <c r="F51" s="60" t="str">
        <f>PROPER(Currency)&amp;FamilyName&amp;FixingType&amp;$C51</f>
        <v>EuriborSwapIfrFix45Y</v>
      </c>
      <c r="G51" s="59" t="str">
        <f>_xll.qlEuriborSwap($F51,FixingType,$C51,Currency&amp;$D51,Currency&amp;$E51,Permanent,Trigger,ObjectOverwrite)</f>
        <v>EuriborSwapIfrFix45Y#0043</v>
      </c>
      <c r="H51" s="58" t="str">
        <f>_xll.ohRangeRetrieveError(G51)</f>
        <v/>
      </c>
      <c r="I51" s="57"/>
    </row>
    <row r="52" spans="2:9" s="53" customFormat="1" x14ac:dyDescent="0.2">
      <c r="B52" s="63"/>
      <c r="C52" s="62" t="s">
        <v>71</v>
      </c>
      <c r="D52" s="61" t="s">
        <v>18</v>
      </c>
      <c r="E52" s="61" t="s">
        <v>23</v>
      </c>
      <c r="F52" s="60" t="str">
        <f>PROPER(Currency)&amp;FamilyName&amp;FixingType&amp;$C52</f>
        <v>EuriborSwapIfrFix46Y</v>
      </c>
      <c r="G52" s="59" t="str">
        <f>_xll.qlEuriborSwap($F52,FixingType,$C52,Currency&amp;$D52,Currency&amp;$E52,Permanent,Trigger,ObjectOverwrite)</f>
        <v>EuriborSwapIfrFix46Y#0043</v>
      </c>
      <c r="H52" s="58" t="str">
        <f>_xll.ohRangeRetrieveError(G52)</f>
        <v/>
      </c>
      <c r="I52" s="57"/>
    </row>
    <row r="53" spans="2:9" s="53" customFormat="1" x14ac:dyDescent="0.2">
      <c r="B53" s="63"/>
      <c r="C53" s="62" t="s">
        <v>70</v>
      </c>
      <c r="D53" s="61" t="s">
        <v>18</v>
      </c>
      <c r="E53" s="61" t="s">
        <v>23</v>
      </c>
      <c r="F53" s="60" t="str">
        <f>PROPER(Currency)&amp;FamilyName&amp;FixingType&amp;$C53</f>
        <v>EuriborSwapIfrFix47Y</v>
      </c>
      <c r="G53" s="59" t="str">
        <f>_xll.qlEuriborSwap($F53,FixingType,$C53,Currency&amp;$D53,Currency&amp;$E53,Permanent,Trigger,ObjectOverwrite)</f>
        <v>EuriborSwapIfrFix47Y#0043</v>
      </c>
      <c r="H53" s="58" t="str">
        <f>_xll.ohRangeRetrieveError(G53)</f>
        <v/>
      </c>
      <c r="I53" s="57"/>
    </row>
    <row r="54" spans="2:9" s="53" customFormat="1" x14ac:dyDescent="0.2">
      <c r="B54" s="63"/>
      <c r="C54" s="62" t="s">
        <v>69</v>
      </c>
      <c r="D54" s="61" t="s">
        <v>18</v>
      </c>
      <c r="E54" s="61" t="s">
        <v>23</v>
      </c>
      <c r="F54" s="60" t="str">
        <f>PROPER(Currency)&amp;FamilyName&amp;FixingType&amp;$C54</f>
        <v>EuriborSwapIfrFix48Y</v>
      </c>
      <c r="G54" s="59" t="str">
        <f>_xll.qlEuriborSwap($F54,FixingType,$C54,Currency&amp;$D54,Currency&amp;$E54,Permanent,Trigger,ObjectOverwrite)</f>
        <v>EuriborSwapIfrFix48Y#0043</v>
      </c>
      <c r="H54" s="58" t="str">
        <f>_xll.ohRangeRetrieveError(G54)</f>
        <v/>
      </c>
      <c r="I54" s="57"/>
    </row>
    <row r="55" spans="2:9" s="53" customFormat="1" x14ac:dyDescent="0.2">
      <c r="B55" s="63"/>
      <c r="C55" s="62" t="s">
        <v>68</v>
      </c>
      <c r="D55" s="61" t="s">
        <v>18</v>
      </c>
      <c r="E55" s="61" t="s">
        <v>23</v>
      </c>
      <c r="F55" s="60" t="str">
        <f>PROPER(Currency)&amp;FamilyName&amp;FixingType&amp;$C55</f>
        <v>EuriborSwapIfrFix49Y</v>
      </c>
      <c r="G55" s="59" t="str">
        <f>_xll.qlEuriborSwap($F55,FixingType,$C55,Currency&amp;$D55,Currency&amp;$E55,Permanent,Trigger,ObjectOverwrite)</f>
        <v>EuriborSwapIfrFix49Y#0043</v>
      </c>
      <c r="H55" s="58" t="str">
        <f>_xll.ohRangeRetrieveError(G55)</f>
        <v/>
      </c>
      <c r="I55" s="57"/>
    </row>
    <row r="56" spans="2:9" s="53" customFormat="1" x14ac:dyDescent="0.2">
      <c r="B56" s="63"/>
      <c r="C56" s="62" t="s">
        <v>67</v>
      </c>
      <c r="D56" s="61" t="s">
        <v>18</v>
      </c>
      <c r="E56" s="61" t="s">
        <v>23</v>
      </c>
      <c r="F56" s="60" t="str">
        <f>PROPER(Currency)&amp;FamilyName&amp;FixingType&amp;$C56</f>
        <v>EuriborSwapIfrFix50Y</v>
      </c>
      <c r="G56" s="59" t="str">
        <f>_xll.qlEuriborSwap($F56,FixingType,$C56,Currency&amp;$D56,Currency&amp;$E56,Permanent,Trigger,ObjectOverwrite)</f>
        <v>EuriborSwapIfrFix50Y#0043</v>
      </c>
      <c r="H56" s="58" t="str">
        <f>_xll.ohRangeRetrieveError(G56)</f>
        <v/>
      </c>
      <c r="I56" s="57"/>
    </row>
    <row r="57" spans="2:9" s="53" customFormat="1" x14ac:dyDescent="0.2">
      <c r="B57" s="63"/>
      <c r="C57" s="62" t="s">
        <v>66</v>
      </c>
      <c r="D57" s="61" t="s">
        <v>18</v>
      </c>
      <c r="E57" s="61" t="s">
        <v>23</v>
      </c>
      <c r="F57" s="60" t="str">
        <f>PROPER(Currency)&amp;FamilyName&amp;FixingType&amp;$C57</f>
        <v>EuriborSwapIfrFix51Y</v>
      </c>
      <c r="G57" s="59" t="str">
        <f>_xll.qlEuriborSwap($F57,FixingType,$C57,Currency&amp;$D57,Currency&amp;$E57,Permanent,Trigger,ObjectOverwrite)</f>
        <v>EuriborSwapIfrFix51Y#0043</v>
      </c>
      <c r="H57" s="58" t="str">
        <f>_xll.ohRangeRetrieveError(G57)</f>
        <v/>
      </c>
      <c r="I57" s="57"/>
    </row>
    <row r="58" spans="2:9" s="53" customFormat="1" x14ac:dyDescent="0.2">
      <c r="B58" s="63"/>
      <c r="C58" s="62" t="s">
        <v>65</v>
      </c>
      <c r="D58" s="61" t="s">
        <v>18</v>
      </c>
      <c r="E58" s="61" t="s">
        <v>23</v>
      </c>
      <c r="F58" s="60" t="str">
        <f>PROPER(Currency)&amp;FamilyName&amp;FixingType&amp;$C58</f>
        <v>EuriborSwapIfrFix52Y</v>
      </c>
      <c r="G58" s="59" t="str">
        <f>_xll.qlEuriborSwap($F58,FixingType,$C58,Currency&amp;$D58,Currency&amp;$E58,Permanent,Trigger,ObjectOverwrite)</f>
        <v>EuriborSwapIfrFix52Y#0043</v>
      </c>
      <c r="H58" s="58" t="str">
        <f>_xll.ohRangeRetrieveError(G58)</f>
        <v/>
      </c>
      <c r="I58" s="57"/>
    </row>
    <row r="59" spans="2:9" s="53" customFormat="1" x14ac:dyDescent="0.2">
      <c r="B59" s="63"/>
      <c r="C59" s="62" t="s">
        <v>64</v>
      </c>
      <c r="D59" s="61" t="s">
        <v>18</v>
      </c>
      <c r="E59" s="61" t="s">
        <v>23</v>
      </c>
      <c r="F59" s="60" t="str">
        <f>PROPER(Currency)&amp;FamilyName&amp;FixingType&amp;$C59</f>
        <v>EuriborSwapIfrFix53Y</v>
      </c>
      <c r="G59" s="59" t="str">
        <f>_xll.qlEuriborSwap($F59,FixingType,$C59,Currency&amp;$D59,Currency&amp;$E59,Permanent,Trigger,ObjectOverwrite)</f>
        <v>EuriborSwapIfrFix53Y#0043</v>
      </c>
      <c r="H59" s="58" t="str">
        <f>_xll.ohRangeRetrieveError(G59)</f>
        <v/>
      </c>
      <c r="I59" s="57"/>
    </row>
    <row r="60" spans="2:9" s="53" customFormat="1" x14ac:dyDescent="0.2">
      <c r="B60" s="63"/>
      <c r="C60" s="62" t="s">
        <v>63</v>
      </c>
      <c r="D60" s="61" t="s">
        <v>18</v>
      </c>
      <c r="E60" s="61" t="s">
        <v>23</v>
      </c>
      <c r="F60" s="60" t="str">
        <f>PROPER(Currency)&amp;FamilyName&amp;FixingType&amp;$C60</f>
        <v>EuriborSwapIfrFix54Y</v>
      </c>
      <c r="G60" s="59" t="str">
        <f>_xll.qlEuriborSwap($F60,FixingType,$C60,Currency&amp;$D60,Currency&amp;$E60,Permanent,Trigger,ObjectOverwrite)</f>
        <v>EuriborSwapIfrFix54Y#0043</v>
      </c>
      <c r="H60" s="58" t="str">
        <f>_xll.ohRangeRetrieveError(G60)</f>
        <v/>
      </c>
      <c r="I60" s="57"/>
    </row>
    <row r="61" spans="2:9" s="53" customFormat="1" x14ac:dyDescent="0.2">
      <c r="B61" s="63"/>
      <c r="C61" s="62" t="s">
        <v>62</v>
      </c>
      <c r="D61" s="61" t="s">
        <v>18</v>
      </c>
      <c r="E61" s="61" t="s">
        <v>23</v>
      </c>
      <c r="F61" s="60" t="str">
        <f>PROPER(Currency)&amp;FamilyName&amp;FixingType&amp;$C61</f>
        <v>EuriborSwapIfrFix55Y</v>
      </c>
      <c r="G61" s="59" t="str">
        <f>_xll.qlEuriborSwap($F61,FixingType,$C61,Currency&amp;$D61,Currency&amp;$E61,Permanent,Trigger,ObjectOverwrite)</f>
        <v>EuriborSwapIfrFix55Y#0043</v>
      </c>
      <c r="H61" s="58" t="str">
        <f>_xll.ohRangeRetrieveError(G61)</f>
        <v/>
      </c>
      <c r="I61" s="57"/>
    </row>
    <row r="62" spans="2:9" s="53" customFormat="1" x14ac:dyDescent="0.2">
      <c r="B62" s="63"/>
      <c r="C62" s="62" t="s">
        <v>61</v>
      </c>
      <c r="D62" s="61" t="s">
        <v>18</v>
      </c>
      <c r="E62" s="61" t="s">
        <v>23</v>
      </c>
      <c r="F62" s="60" t="str">
        <f>PROPER(Currency)&amp;FamilyName&amp;FixingType&amp;$C62</f>
        <v>EuriborSwapIfrFix56Y</v>
      </c>
      <c r="G62" s="59" t="str">
        <f>_xll.qlEuriborSwap($F62,FixingType,$C62,Currency&amp;$D62,Currency&amp;$E62,Permanent,Trigger,ObjectOverwrite)</f>
        <v>EuriborSwapIfrFix56Y#0043</v>
      </c>
      <c r="H62" s="58" t="str">
        <f>_xll.ohRangeRetrieveError(G62)</f>
        <v/>
      </c>
      <c r="I62" s="57"/>
    </row>
    <row r="63" spans="2:9" s="53" customFormat="1" x14ac:dyDescent="0.2">
      <c r="B63" s="63"/>
      <c r="C63" s="62" t="s">
        <v>60</v>
      </c>
      <c r="D63" s="61" t="s">
        <v>18</v>
      </c>
      <c r="E63" s="61" t="s">
        <v>23</v>
      </c>
      <c r="F63" s="60" t="str">
        <f>PROPER(Currency)&amp;FamilyName&amp;FixingType&amp;$C63</f>
        <v>EuriborSwapIfrFix57Y</v>
      </c>
      <c r="G63" s="59" t="str">
        <f>_xll.qlEuriborSwap($F63,FixingType,$C63,Currency&amp;$D63,Currency&amp;$E63,Permanent,Trigger,ObjectOverwrite)</f>
        <v>EuriborSwapIfrFix57Y#0043</v>
      </c>
      <c r="H63" s="58" t="str">
        <f>_xll.ohRangeRetrieveError(G63)</f>
        <v/>
      </c>
      <c r="I63" s="57"/>
    </row>
    <row r="64" spans="2:9" s="53" customFormat="1" x14ac:dyDescent="0.2">
      <c r="B64" s="63"/>
      <c r="C64" s="62" t="s">
        <v>59</v>
      </c>
      <c r="D64" s="61" t="s">
        <v>18</v>
      </c>
      <c r="E64" s="61" t="s">
        <v>23</v>
      </c>
      <c r="F64" s="60" t="str">
        <f>PROPER(Currency)&amp;FamilyName&amp;FixingType&amp;$C64</f>
        <v>EuriborSwapIfrFix58Y</v>
      </c>
      <c r="G64" s="59" t="str">
        <f>_xll.qlEuriborSwap($F64,FixingType,$C64,Currency&amp;$D64,Currency&amp;$E64,Permanent,Trigger,ObjectOverwrite)</f>
        <v>EuriborSwapIfrFix58Y#0043</v>
      </c>
      <c r="H64" s="58" t="str">
        <f>_xll.ohRangeRetrieveError(G64)</f>
        <v/>
      </c>
      <c r="I64" s="57"/>
    </row>
    <row r="65" spans="2:9" s="53" customFormat="1" x14ac:dyDescent="0.2">
      <c r="B65" s="63"/>
      <c r="C65" s="62" t="s">
        <v>58</v>
      </c>
      <c r="D65" s="61" t="s">
        <v>18</v>
      </c>
      <c r="E65" s="61" t="s">
        <v>23</v>
      </c>
      <c r="F65" s="60" t="str">
        <f>PROPER(Currency)&amp;FamilyName&amp;FixingType&amp;$C65</f>
        <v>EuriborSwapIfrFix59Y</v>
      </c>
      <c r="G65" s="59" t="str">
        <f>_xll.qlEuriborSwap($F65,FixingType,$C65,Currency&amp;$D65,Currency&amp;$E65,Permanent,Trigger,ObjectOverwrite)</f>
        <v>EuriborSwapIfrFix59Y#0043</v>
      </c>
      <c r="H65" s="58" t="str">
        <f>_xll.ohRangeRetrieveError(G65)</f>
        <v/>
      </c>
      <c r="I65" s="57"/>
    </row>
    <row r="66" spans="2:9" s="53" customFormat="1" x14ac:dyDescent="0.2">
      <c r="B66" s="63"/>
      <c r="C66" s="62" t="s">
        <v>57</v>
      </c>
      <c r="D66" s="61" t="s">
        <v>18</v>
      </c>
      <c r="E66" s="61" t="s">
        <v>23</v>
      </c>
      <c r="F66" s="60" t="str">
        <f>PROPER(Currency)&amp;FamilyName&amp;FixingType&amp;$C66</f>
        <v>EuriborSwapIfrFix60Y</v>
      </c>
      <c r="G66" s="59" t="str">
        <f>_xll.qlEuriborSwap($F66,FixingType,$C66,Currency&amp;$D66,Currency&amp;$E66,Permanent,Trigger,ObjectOverwrite)</f>
        <v>EuriborSwapIfrFix60Y#0043</v>
      </c>
      <c r="H66" s="58" t="str">
        <f>_xll.ohRangeRetrieveError(G66)</f>
        <v/>
      </c>
      <c r="I66" s="57"/>
    </row>
    <row r="67" spans="2:9" s="53" customFormat="1" ht="12" thickBot="1" x14ac:dyDescent="0.25">
      <c r="B67" s="56"/>
      <c r="C67" s="55"/>
      <c r="D67" s="55"/>
      <c r="E67" s="55"/>
      <c r="F67" s="55"/>
      <c r="G67" s="55"/>
      <c r="H67" s="55"/>
      <c r="I67" s="54"/>
    </row>
    <row r="68" spans="2:9" s="5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1"/>
  <sheetViews>
    <sheetView workbookViewId="0"/>
  </sheetViews>
  <sheetFormatPr defaultColWidth="8" defaultRowHeight="11.25" x14ac:dyDescent="0.2"/>
  <cols>
    <col min="1" max="1" width="6.140625" style="29" customWidth="1"/>
    <col min="2" max="2" width="4.28515625" style="29" customWidth="1"/>
    <col min="3" max="3" width="15.5703125" style="29" bestFit="1" customWidth="1"/>
    <col min="4" max="4" width="75.42578125" style="29" bestFit="1" customWidth="1"/>
    <col min="5" max="5" width="4.7109375" style="29" customWidth="1"/>
    <col min="6" max="6" width="35.28515625" style="29" customWidth="1"/>
    <col min="7" max="7" width="4.28515625" style="29" customWidth="1"/>
    <col min="8" max="16384" width="8" style="29"/>
  </cols>
  <sheetData>
    <row r="1" spans="1:5" ht="13.5" thickBot="1" x14ac:dyDescent="0.25">
      <c r="A1" s="29" t="s">
        <v>124</v>
      </c>
      <c r="B1" s="76" t="str">
        <f>_xll.qlxlVersion(TRUE,Trigger)</f>
        <v>QuantLibXL 1.3.0 - MS VC++ 9.0 - Multithreaded Static Runtime library - Release Configuration - Dec  5 2013 11:03:51</v>
      </c>
    </row>
    <row r="2" spans="1:5" s="1" customFormat="1" ht="15.75" x14ac:dyDescent="0.25">
      <c r="A2" s="23"/>
      <c r="B2" s="28" t="s">
        <v>32</v>
      </c>
      <c r="C2" s="27"/>
      <c r="D2" s="27"/>
      <c r="E2" s="26"/>
    </row>
    <row r="3" spans="1:5" s="1" customFormat="1" ht="12.75" x14ac:dyDescent="0.2">
      <c r="A3" s="23"/>
      <c r="B3" s="9"/>
      <c r="C3" s="13"/>
      <c r="D3" s="13"/>
      <c r="E3" s="5"/>
    </row>
    <row r="4" spans="1:5" s="1" customFormat="1" ht="12.75" x14ac:dyDescent="0.2">
      <c r="A4" s="23"/>
      <c r="B4" s="9"/>
      <c r="C4" s="16" t="s">
        <v>31</v>
      </c>
      <c r="D4" s="15"/>
      <c r="E4" s="14"/>
    </row>
    <row r="5" spans="1:5" s="1" customFormat="1" ht="12.75" x14ac:dyDescent="0.2">
      <c r="A5" s="23"/>
      <c r="B5" s="9"/>
      <c r="C5" s="16" t="s">
        <v>25</v>
      </c>
      <c r="D5" s="44" t="s">
        <v>123</v>
      </c>
      <c r="E5" s="14"/>
    </row>
    <row r="6" spans="1:5" s="1" customFormat="1" ht="12.75" x14ac:dyDescent="0.2">
      <c r="A6" s="23"/>
      <c r="B6" s="9"/>
      <c r="C6" s="16" t="s">
        <v>30</v>
      </c>
      <c r="D6" s="15" t="b">
        <v>1</v>
      </c>
      <c r="E6" s="14"/>
    </row>
    <row r="7" spans="1:5" s="1" customFormat="1" ht="12.75" x14ac:dyDescent="0.2">
      <c r="A7" s="23"/>
      <c r="B7" s="9"/>
      <c r="C7" s="16" t="s">
        <v>29</v>
      </c>
      <c r="D7" s="15" t="b">
        <v>0</v>
      </c>
      <c r="E7" s="14"/>
    </row>
    <row r="8" spans="1:5" s="1" customFormat="1" ht="12.75" x14ac:dyDescent="0.2">
      <c r="A8" s="23"/>
      <c r="B8" s="9"/>
      <c r="C8" s="16" t="s">
        <v>28</v>
      </c>
      <c r="D8" s="15" t="b">
        <v>1</v>
      </c>
      <c r="E8" s="14"/>
    </row>
    <row r="9" spans="1:5" s="1" customFormat="1" ht="12.75" x14ac:dyDescent="0.2">
      <c r="A9" s="23"/>
      <c r="B9" s="9"/>
      <c r="C9" s="16" t="s">
        <v>27</v>
      </c>
      <c r="D9" s="25" t="str">
        <f ca="1">SUBSTITUTE(LEFT(CELL("filename",A1),FIND("[",CELL("filename",A1),1)-1),"\XLS\","\XML\")</f>
        <v>C:\Users\erik\Documents\repos\quantlib_nando\QuantLibXL\Data2\XML\</v>
      </c>
      <c r="E9" s="14"/>
    </row>
    <row r="10" spans="1:5" s="1" customFormat="1" ht="12.75" x14ac:dyDescent="0.2">
      <c r="A10" s="23"/>
      <c r="B10" s="9"/>
      <c r="C10" s="16" t="s">
        <v>26</v>
      </c>
      <c r="D10" s="24" t="b">
        <v>1</v>
      </c>
      <c r="E10" s="14"/>
    </row>
    <row r="11" spans="1:5" s="1" customFormat="1" ht="13.5" thickBot="1" x14ac:dyDescent="0.25">
      <c r="A11" s="23"/>
      <c r="B11" s="4"/>
      <c r="C11" s="3"/>
      <c r="D11" s="3"/>
      <c r="E11" s="2"/>
    </row>
  </sheetData>
  <mergeCells count="1">
    <mergeCell ref="B2:E2"/>
  </mergeCells>
  <dataValidations count="1">
    <dataValidation type="list" allowBlank="1" showInputMessage="1" showErrorMessage="1" sqref="D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2"/>
  <sheetViews>
    <sheetView workbookViewId="0"/>
  </sheetViews>
  <sheetFormatPr defaultRowHeight="12.75" x14ac:dyDescent="0.2"/>
  <cols>
    <col min="1" max="1" width="3.140625" style="1" customWidth="1"/>
    <col min="2" max="2" width="4" style="1" bestFit="1" customWidth="1"/>
    <col min="3" max="3" width="5.5703125" style="1" bestFit="1" customWidth="1"/>
    <col min="4" max="4" width="9.28515625" style="1" bestFit="1" customWidth="1"/>
    <col min="5" max="5" width="9.7109375" style="1" bestFit="1" customWidth="1"/>
    <col min="6" max="6" width="14.140625" style="1" bestFit="1" customWidth="1"/>
    <col min="7" max="7" width="54.7109375" style="1" customWidth="1"/>
    <col min="8" max="16384" width="9.140625" style="1"/>
  </cols>
  <sheetData>
    <row r="1" spans="1:8" s="29" customFormat="1" ht="12" thickBot="1" x14ac:dyDescent="0.25">
      <c r="A1" s="29" t="s">
        <v>128</v>
      </c>
    </row>
    <row r="2" spans="1:8" s="29" customFormat="1" x14ac:dyDescent="0.2">
      <c r="B2" s="49"/>
      <c r="C2" s="48"/>
      <c r="D2" s="48"/>
      <c r="E2" s="47"/>
      <c r="F2" s="46"/>
      <c r="G2" s="46"/>
      <c r="H2" s="45"/>
    </row>
    <row r="3" spans="1:8" s="29" customFormat="1" x14ac:dyDescent="0.2">
      <c r="B3" s="34"/>
      <c r="C3" s="43"/>
      <c r="D3" s="43"/>
      <c r="E3" s="16" t="s">
        <v>54</v>
      </c>
      <c r="F3" s="44" t="s">
        <v>126</v>
      </c>
      <c r="G3" s="42"/>
      <c r="H3" s="35"/>
    </row>
    <row r="4" spans="1:8" s="29" customFormat="1" x14ac:dyDescent="0.2">
      <c r="B4" s="34"/>
      <c r="C4" s="43"/>
      <c r="D4" s="43"/>
      <c r="E4" s="42"/>
      <c r="F4" s="42"/>
      <c r="G4" s="42"/>
      <c r="H4" s="35"/>
    </row>
    <row r="5" spans="1:8" s="29" customFormat="1" x14ac:dyDescent="0.2">
      <c r="B5" s="34"/>
      <c r="C5" s="41" t="s">
        <v>52</v>
      </c>
      <c r="D5" s="68" t="s">
        <v>117</v>
      </c>
      <c r="E5" s="39" t="str">
        <f>PROPER(Currency)&amp;FamilyName&amp;".xml"</f>
        <v>EurLibor.xml</v>
      </c>
      <c r="F5" s="10">
        <f ca="1">IF(Serialize,_xll.ohObjectSave(F6:F20,SerializationPath&amp;FileName,FileOverwrite,,Serialize),"---")</f>
        <v>15</v>
      </c>
      <c r="G5" s="7" t="str">
        <f ca="1">_xll.ohRangeRetrieveError(F5)</f>
        <v/>
      </c>
      <c r="H5" s="35"/>
    </row>
    <row r="6" spans="1:8" s="29" customFormat="1" x14ac:dyDescent="0.2">
      <c r="B6" s="34"/>
      <c r="C6" s="52" t="s">
        <v>125</v>
      </c>
      <c r="D6" s="51" t="s">
        <v>21</v>
      </c>
      <c r="E6" s="50" t="str">
        <f>PROPER(Currency)&amp;FamilyName&amp;$C6</f>
        <v>EurLiborON</v>
      </c>
      <c r="F6" s="30" t="str">
        <f>_xll.qlLibor($E6,Currency,$C6,Currency&amp;$D6,Permanent,Trigger,ObjectOverwrite)</f>
        <v>EurLiborON#0041</v>
      </c>
      <c r="G6" s="7" t="str">
        <f>_xll.ohRangeRetrieveError(F6)</f>
        <v/>
      </c>
      <c r="H6" s="5"/>
    </row>
    <row r="7" spans="1:8" s="29" customFormat="1" x14ac:dyDescent="0.2">
      <c r="B7" s="34"/>
      <c r="C7" s="52" t="s">
        <v>48</v>
      </c>
      <c r="D7" s="51" t="s">
        <v>21</v>
      </c>
      <c r="E7" s="50" t="str">
        <f>PROPER(Currency)&amp;FamilyName&amp;$C7</f>
        <v>EurLiborSW</v>
      </c>
      <c r="F7" s="30" t="str">
        <f>_xll.qlLibor($E7,Currency,$C7,Currency&amp;$D7,Permanent,Trigger,ObjectOverwrite)</f>
        <v>EurLiborSW#0041</v>
      </c>
      <c r="G7" s="7" t="str">
        <f>_xll.ohRangeRetrieveError(F7)</f>
        <v/>
      </c>
      <c r="H7" s="5"/>
    </row>
    <row r="8" spans="1:8" s="29" customFormat="1" x14ac:dyDescent="0.2">
      <c r="B8" s="34"/>
      <c r="C8" s="52" t="s">
        <v>47</v>
      </c>
      <c r="D8" s="51" t="s">
        <v>21</v>
      </c>
      <c r="E8" s="50" t="str">
        <f>PROPER(Currency)&amp;FamilyName&amp;$C8</f>
        <v>EurLibor2W</v>
      </c>
      <c r="F8" s="30" t="str">
        <f>_xll.qlLibor($E8,Currency,$C8,Currency&amp;$D8,Permanent,Trigger,ObjectOverwrite)</f>
        <v>EurLibor2W#0041</v>
      </c>
      <c r="G8" s="7" t="str">
        <f>_xll.ohRangeRetrieveError(F8)</f>
        <v/>
      </c>
      <c r="H8" s="5"/>
    </row>
    <row r="9" spans="1:8" s="29" customFormat="1" x14ac:dyDescent="0.2">
      <c r="B9" s="34"/>
      <c r="C9" s="52" t="s">
        <v>45</v>
      </c>
      <c r="D9" s="51" t="s">
        <v>20</v>
      </c>
      <c r="E9" s="50" t="str">
        <f>PROPER(Currency)&amp;FamilyName&amp;$C9</f>
        <v>EurLibor1M</v>
      </c>
      <c r="F9" s="30" t="str">
        <f>_xll.qlLibor($E9,Currency,$C9,Currency&amp;$D9,Permanent,Trigger,ObjectOverwrite)</f>
        <v>EurLibor1M#0041</v>
      </c>
      <c r="G9" s="7" t="str">
        <f>_xll.ohRangeRetrieveError(F9)</f>
        <v/>
      </c>
      <c r="H9" s="5"/>
    </row>
    <row r="10" spans="1:8" s="29" customFormat="1" x14ac:dyDescent="0.2">
      <c r="B10" s="34"/>
      <c r="C10" s="52" t="s">
        <v>44</v>
      </c>
      <c r="D10" s="51" t="s">
        <v>19</v>
      </c>
      <c r="E10" s="50" t="str">
        <f>PROPER(Currency)&amp;FamilyName&amp;$C10</f>
        <v>EurLibor2M</v>
      </c>
      <c r="F10" s="30" t="str">
        <f>_xll.qlLibor($E10,Currency,$C10,Currency&amp;$D10,Permanent,Trigger,ObjectOverwrite)</f>
        <v>EurLibor2M#0041</v>
      </c>
      <c r="G10" s="7" t="str">
        <f>_xll.ohRangeRetrieveError(F10)</f>
        <v/>
      </c>
      <c r="H10" s="5"/>
    </row>
    <row r="11" spans="1:8" s="29" customFormat="1" x14ac:dyDescent="0.2">
      <c r="B11" s="34"/>
      <c r="C11" s="52" t="s">
        <v>43</v>
      </c>
      <c r="D11" s="51" t="s">
        <v>19</v>
      </c>
      <c r="E11" s="50" t="str">
        <f>PROPER(Currency)&amp;FamilyName&amp;$C11</f>
        <v>EurLibor3M</v>
      </c>
      <c r="F11" s="30" t="str">
        <f>_xll.qlLibor($E11,Currency,$C11,Currency&amp;$D11,Permanent,Trigger,ObjectOverwrite)</f>
        <v>EurLibor3M#0041</v>
      </c>
      <c r="G11" s="7" t="str">
        <f>_xll.ohRangeRetrieveError(F11)</f>
        <v/>
      </c>
      <c r="H11" s="5"/>
    </row>
    <row r="12" spans="1:8" s="29" customFormat="1" x14ac:dyDescent="0.2">
      <c r="B12" s="34"/>
      <c r="C12" s="52" t="s">
        <v>42</v>
      </c>
      <c r="D12" s="51" t="s">
        <v>19</v>
      </c>
      <c r="E12" s="50" t="str">
        <f>PROPER(Currency)&amp;FamilyName&amp;$C12</f>
        <v>EurLibor4M</v>
      </c>
      <c r="F12" s="30" t="str">
        <f>_xll.qlLibor($E12,Currency,$C12,Currency&amp;$D12,Permanent,Trigger,ObjectOverwrite)</f>
        <v>EurLibor4M#0041</v>
      </c>
      <c r="G12" s="7" t="str">
        <f>_xll.ohRangeRetrieveError(F12)</f>
        <v/>
      </c>
      <c r="H12" s="5"/>
    </row>
    <row r="13" spans="1:8" s="29" customFormat="1" x14ac:dyDescent="0.2">
      <c r="B13" s="34"/>
      <c r="C13" s="52" t="s">
        <v>41</v>
      </c>
      <c r="D13" s="51" t="s">
        <v>18</v>
      </c>
      <c r="E13" s="50" t="str">
        <f>PROPER(Currency)&amp;FamilyName&amp;$C13</f>
        <v>EurLibor5M</v>
      </c>
      <c r="F13" s="30" t="str">
        <f>_xll.qlLibor($E13,Currency,$C13,Currency&amp;$D13,Permanent,Trigger,ObjectOverwrite)</f>
        <v>EurLibor5M#0041</v>
      </c>
      <c r="G13" s="7" t="str">
        <f>_xll.ohRangeRetrieveError(F13)</f>
        <v/>
      </c>
      <c r="H13" s="5"/>
    </row>
    <row r="14" spans="1:8" s="29" customFormat="1" x14ac:dyDescent="0.2">
      <c r="B14" s="34"/>
      <c r="C14" s="52" t="s">
        <v>40</v>
      </c>
      <c r="D14" s="51" t="s">
        <v>18</v>
      </c>
      <c r="E14" s="50" t="str">
        <f>PROPER(Currency)&amp;FamilyName&amp;$C14</f>
        <v>EurLibor6M</v>
      </c>
      <c r="F14" s="30" t="str">
        <f>_xll.qlLibor($E14,Currency,$C14,Currency&amp;$D14,Permanent,Trigger,ObjectOverwrite)</f>
        <v>EurLibor6M#0041</v>
      </c>
      <c r="G14" s="7" t="str">
        <f>_xll.ohRangeRetrieveError(F14)</f>
        <v/>
      </c>
      <c r="H14" s="5"/>
    </row>
    <row r="15" spans="1:8" s="29" customFormat="1" x14ac:dyDescent="0.2">
      <c r="B15" s="34"/>
      <c r="C15" s="52" t="s">
        <v>39</v>
      </c>
      <c r="D15" s="51" t="s">
        <v>18</v>
      </c>
      <c r="E15" s="50" t="str">
        <f>PROPER(Currency)&amp;FamilyName&amp;$C15</f>
        <v>EurLibor7M</v>
      </c>
      <c r="F15" s="30" t="str">
        <f>_xll.qlLibor($E15,Currency,$C15,Currency&amp;$D15,Permanent,Trigger,ObjectOverwrite)</f>
        <v>EurLibor7M#0041</v>
      </c>
      <c r="G15" s="7" t="str">
        <f>_xll.ohRangeRetrieveError(F15)</f>
        <v/>
      </c>
      <c r="H15" s="5"/>
    </row>
    <row r="16" spans="1:8" s="29" customFormat="1" x14ac:dyDescent="0.2">
      <c r="B16" s="34"/>
      <c r="C16" s="52" t="s">
        <v>38</v>
      </c>
      <c r="D16" s="51" t="s">
        <v>18</v>
      </c>
      <c r="E16" s="50" t="str">
        <f>PROPER(Currency)&amp;FamilyName&amp;$C16</f>
        <v>EurLibor8M</v>
      </c>
      <c r="F16" s="30" t="str">
        <f>_xll.qlLibor($E16,Currency,$C16,Currency&amp;$D16,Permanent,Trigger,ObjectOverwrite)</f>
        <v>EurLibor8M#0041</v>
      </c>
      <c r="G16" s="7" t="str">
        <f>_xll.ohRangeRetrieveError(F16)</f>
        <v/>
      </c>
      <c r="H16" s="5"/>
    </row>
    <row r="17" spans="2:8" s="29" customFormat="1" x14ac:dyDescent="0.2">
      <c r="B17" s="34"/>
      <c r="C17" s="52" t="s">
        <v>37</v>
      </c>
      <c r="D17" s="51" t="s">
        <v>17</v>
      </c>
      <c r="E17" s="50" t="str">
        <f>PROPER(Currency)&amp;FamilyName&amp;$C17</f>
        <v>EurLibor9M</v>
      </c>
      <c r="F17" s="30" t="str">
        <f>_xll.qlLibor($E17,Currency,$C17,Currency&amp;$D17,Permanent,Trigger,ObjectOverwrite)</f>
        <v>EurLibor9M#0041</v>
      </c>
      <c r="G17" s="7" t="str">
        <f>_xll.ohRangeRetrieveError(F17)</f>
        <v/>
      </c>
      <c r="H17" s="5"/>
    </row>
    <row r="18" spans="2:8" s="29" customFormat="1" x14ac:dyDescent="0.2">
      <c r="B18" s="34"/>
      <c r="C18" s="52" t="s">
        <v>36</v>
      </c>
      <c r="D18" s="51" t="s">
        <v>17</v>
      </c>
      <c r="E18" s="50" t="str">
        <f>PROPER(Currency)&amp;FamilyName&amp;$C18</f>
        <v>EurLibor10M</v>
      </c>
      <c r="F18" s="30" t="str">
        <f>_xll.qlLibor($E18,Currency,$C18,Currency&amp;$D18,Permanent,Trigger,ObjectOverwrite)</f>
        <v>EurLibor10M#0041</v>
      </c>
      <c r="G18" s="7" t="str">
        <f>_xll.ohRangeRetrieveError(F18)</f>
        <v/>
      </c>
      <c r="H18" s="5"/>
    </row>
    <row r="19" spans="2:8" s="29" customFormat="1" x14ac:dyDescent="0.2">
      <c r="B19" s="34"/>
      <c r="C19" s="52" t="s">
        <v>35</v>
      </c>
      <c r="D19" s="51" t="s">
        <v>17</v>
      </c>
      <c r="E19" s="50" t="str">
        <f>PROPER(Currency)&amp;FamilyName&amp;$C19</f>
        <v>EurLibor11M</v>
      </c>
      <c r="F19" s="30" t="str">
        <f>_xll.qlLibor($E19,Currency,$C19,Currency&amp;$D19,Permanent,Trigger,ObjectOverwrite)</f>
        <v>EurLibor11M#0041</v>
      </c>
      <c r="G19" s="7" t="str">
        <f>_xll.ohRangeRetrieveError(F19)</f>
        <v/>
      </c>
      <c r="H19" s="5"/>
    </row>
    <row r="20" spans="2:8" s="29" customFormat="1" x14ac:dyDescent="0.2">
      <c r="B20" s="34"/>
      <c r="C20" s="52" t="s">
        <v>34</v>
      </c>
      <c r="D20" s="51" t="s">
        <v>17</v>
      </c>
      <c r="E20" s="50" t="str">
        <f>PROPER(Currency)&amp;FamilyName&amp;$C20</f>
        <v>EurLibor1Y</v>
      </c>
      <c r="F20" s="30" t="str">
        <f>_xll.qlLibor($E20,Currency,$C20,Currency&amp;$D20,Permanent,Trigger,ObjectOverwrite)</f>
        <v>EurLibor1Y#0041</v>
      </c>
      <c r="G20" s="7" t="str">
        <f>_xll.ohRangeRetrieveError(F20)</f>
        <v/>
      </c>
      <c r="H20" s="5"/>
    </row>
    <row r="21" spans="2:8" s="29" customFormat="1" ht="12" thickBot="1" x14ac:dyDescent="0.25">
      <c r="B21" s="4"/>
      <c r="C21" s="3"/>
      <c r="D21" s="3"/>
      <c r="E21" s="3"/>
      <c r="F21" s="3"/>
      <c r="G21" s="3"/>
      <c r="H21" s="2"/>
    </row>
    <row r="22" spans="2:8" s="29" customFormat="1" ht="11.25" x14ac:dyDescent="0.2"/>
  </sheetData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8"/>
  <sheetViews>
    <sheetView workbookViewId="0"/>
  </sheetViews>
  <sheetFormatPr defaultRowHeight="11.25" x14ac:dyDescent="0.2"/>
  <cols>
    <col min="1" max="1" width="3.140625" style="22" customWidth="1"/>
    <col min="2" max="2" width="4.42578125" style="22" customWidth="1"/>
    <col min="3" max="3" width="3.85546875" style="22" bestFit="1" customWidth="1"/>
    <col min="4" max="4" width="7.7109375" style="22" bestFit="1" customWidth="1"/>
    <col min="5" max="5" width="8.5703125" style="22" bestFit="1" customWidth="1"/>
    <col min="6" max="6" width="21" style="22" bestFit="1" customWidth="1"/>
    <col min="7" max="7" width="24.42578125" style="22" bestFit="1" customWidth="1"/>
    <col min="8" max="8" width="55" style="22" customWidth="1"/>
    <col min="9" max="9" width="5.28515625" style="22" customWidth="1"/>
    <col min="10" max="16384" width="9.140625" style="22"/>
  </cols>
  <sheetData>
    <row r="1" spans="1:9" s="53" customFormat="1" ht="12" thickBot="1" x14ac:dyDescent="0.25">
      <c r="A1" s="53" t="s">
        <v>128</v>
      </c>
    </row>
    <row r="2" spans="1:9" s="53" customFormat="1" x14ac:dyDescent="0.2">
      <c r="B2" s="74"/>
      <c r="C2" s="72"/>
      <c r="D2" s="72"/>
      <c r="E2" s="72"/>
      <c r="F2" s="73"/>
      <c r="G2" s="72"/>
      <c r="H2" s="72"/>
      <c r="I2" s="71"/>
    </row>
    <row r="3" spans="1:9" s="53" customFormat="1" x14ac:dyDescent="0.2">
      <c r="B3" s="63"/>
      <c r="C3" s="69"/>
      <c r="D3" s="69"/>
      <c r="E3" s="69"/>
      <c r="F3" s="70" t="s">
        <v>54</v>
      </c>
      <c r="G3" s="66" t="s">
        <v>127</v>
      </c>
      <c r="H3" s="69"/>
      <c r="I3" s="65"/>
    </row>
    <row r="4" spans="1:9" s="53" customFormat="1" x14ac:dyDescent="0.2">
      <c r="B4" s="63"/>
      <c r="C4" s="69"/>
      <c r="D4" s="69"/>
      <c r="E4" s="69"/>
      <c r="F4" s="70" t="s">
        <v>119</v>
      </c>
      <c r="G4" s="66" t="s">
        <v>118</v>
      </c>
      <c r="H4" s="69"/>
      <c r="I4" s="65"/>
    </row>
    <row r="5" spans="1:9" s="53" customFormat="1" x14ac:dyDescent="0.2">
      <c r="B5" s="63"/>
      <c r="C5" s="69"/>
      <c r="D5" s="69"/>
      <c r="E5" s="69"/>
      <c r="F5" s="69"/>
      <c r="G5" s="69"/>
      <c r="H5" s="69"/>
      <c r="I5" s="65"/>
    </row>
    <row r="6" spans="1:9" s="53" customFormat="1" x14ac:dyDescent="0.2">
      <c r="B6" s="63"/>
      <c r="C6" s="69"/>
      <c r="D6" s="68" t="s">
        <v>117</v>
      </c>
      <c r="E6" s="68" t="s">
        <v>116</v>
      </c>
      <c r="F6" s="75" t="str">
        <f>PROPER(Currency)&amp;FamilyName&amp;FixingType&amp;".xml"</f>
        <v>EurLiborSwapIsdaFixA.xml</v>
      </c>
      <c r="G6" s="66">
        <f ca="1">IF(Serialize,_xll.ohObjectSave(G7:G66,SerializationPath&amp;FileName,FileOverwrite,,Serialize),"---")</f>
        <v>60</v>
      </c>
      <c r="H6" s="58" t="str">
        <f ca="1">_xll.ohRangeRetrieveError(G6)</f>
        <v/>
      </c>
      <c r="I6" s="65"/>
    </row>
    <row r="7" spans="1:9" s="53" customFormat="1" x14ac:dyDescent="0.2">
      <c r="B7" s="63"/>
      <c r="C7" s="62" t="s">
        <v>34</v>
      </c>
      <c r="D7" s="64" t="s">
        <v>19</v>
      </c>
      <c r="E7" s="61" t="s">
        <v>23</v>
      </c>
      <c r="F7" s="60" t="str">
        <f>PROPER(Currency)&amp;FamilyName&amp;FixingType&amp;$C7</f>
        <v>EurLiborSwapIsdaFixA1Y</v>
      </c>
      <c r="G7" s="59" t="str">
        <f>_xll.qlLiborSwap($F7,Currency,FixingType,$C7,Currency&amp;$D7,Currency&amp;$E7,Permanent,Trigger,ObjectOverwrite)</f>
        <v>EurLiborSwapIsdaFixA1Y#0040</v>
      </c>
      <c r="H7" s="58" t="str">
        <f>_xll.ohRangeRetrieveError(G7)</f>
        <v/>
      </c>
      <c r="I7" s="57"/>
    </row>
    <row r="8" spans="1:9" s="53" customFormat="1" x14ac:dyDescent="0.2">
      <c r="B8" s="63"/>
      <c r="C8" s="62" t="s">
        <v>115</v>
      </c>
      <c r="D8" s="61" t="s">
        <v>18</v>
      </c>
      <c r="E8" s="61" t="s">
        <v>23</v>
      </c>
      <c r="F8" s="60" t="str">
        <f>PROPER(Currency)&amp;FamilyName&amp;FixingType&amp;$C8</f>
        <v>EurLiborSwapIsdaFixA2Y</v>
      </c>
      <c r="G8" s="59" t="str">
        <f>_xll.qlLiborSwap($F8,Currency,FixingType,$C8,Currency&amp;$D8,Currency&amp;$E8,Permanent,Trigger,ObjectOverwrite)</f>
        <v>EurLiborSwapIsdaFixA2Y#0040</v>
      </c>
      <c r="H8" s="58" t="str">
        <f>_xll.ohRangeRetrieveError(G8)</f>
        <v/>
      </c>
      <c r="I8" s="57"/>
    </row>
    <row r="9" spans="1:9" s="53" customFormat="1" x14ac:dyDescent="0.2">
      <c r="B9" s="63"/>
      <c r="C9" s="62" t="s">
        <v>114</v>
      </c>
      <c r="D9" s="61" t="s">
        <v>18</v>
      </c>
      <c r="E9" s="61" t="s">
        <v>23</v>
      </c>
      <c r="F9" s="60" t="str">
        <f>PROPER(Currency)&amp;FamilyName&amp;FixingType&amp;$C9</f>
        <v>EurLiborSwapIsdaFixA3Y</v>
      </c>
      <c r="G9" s="59" t="str">
        <f>_xll.qlLiborSwap($F9,Currency,FixingType,$C9,Currency&amp;$D9,Currency&amp;$E9,Permanent,Trigger,ObjectOverwrite)</f>
        <v>EurLiborSwapIsdaFixA3Y#0040</v>
      </c>
      <c r="H9" s="58" t="str">
        <f>_xll.ohRangeRetrieveError(G9)</f>
        <v/>
      </c>
      <c r="I9" s="57"/>
    </row>
    <row r="10" spans="1:9" s="53" customFormat="1" x14ac:dyDescent="0.2">
      <c r="B10" s="63"/>
      <c r="C10" s="62" t="s">
        <v>113</v>
      </c>
      <c r="D10" s="61" t="s">
        <v>18</v>
      </c>
      <c r="E10" s="61" t="s">
        <v>23</v>
      </c>
      <c r="F10" s="60" t="str">
        <f>PROPER(Currency)&amp;FamilyName&amp;FixingType&amp;$C10</f>
        <v>EurLiborSwapIsdaFixA4Y</v>
      </c>
      <c r="G10" s="59" t="str">
        <f>_xll.qlLiborSwap($F10,Currency,FixingType,$C10,Currency&amp;$D10,Currency&amp;$E10,Permanent,Trigger,ObjectOverwrite)</f>
        <v>EurLiborSwapIsdaFixA4Y#0040</v>
      </c>
      <c r="H10" s="58" t="str">
        <f>_xll.ohRangeRetrieveError(G10)</f>
        <v/>
      </c>
      <c r="I10" s="57"/>
    </row>
    <row r="11" spans="1:9" s="53" customFormat="1" x14ac:dyDescent="0.2">
      <c r="B11" s="63"/>
      <c r="C11" s="62" t="s">
        <v>112</v>
      </c>
      <c r="D11" s="61" t="s">
        <v>18</v>
      </c>
      <c r="E11" s="61" t="s">
        <v>23</v>
      </c>
      <c r="F11" s="60" t="str">
        <f>PROPER(Currency)&amp;FamilyName&amp;FixingType&amp;$C11</f>
        <v>EurLiborSwapIsdaFixA5Y</v>
      </c>
      <c r="G11" s="59" t="str">
        <f>_xll.qlLiborSwap($F11,Currency,FixingType,$C11,Currency&amp;$D11,Currency&amp;$E11,Permanent,Trigger,ObjectOverwrite)</f>
        <v>EurLiborSwapIsdaFixA5Y#0040</v>
      </c>
      <c r="H11" s="58" t="str">
        <f>_xll.ohRangeRetrieveError(G11)</f>
        <v/>
      </c>
      <c r="I11" s="57"/>
    </row>
    <row r="12" spans="1:9" s="53" customFormat="1" x14ac:dyDescent="0.2">
      <c r="B12" s="63"/>
      <c r="C12" s="62" t="s">
        <v>111</v>
      </c>
      <c r="D12" s="61" t="s">
        <v>18</v>
      </c>
      <c r="E12" s="61" t="s">
        <v>23</v>
      </c>
      <c r="F12" s="60" t="str">
        <f>PROPER(Currency)&amp;FamilyName&amp;FixingType&amp;$C12</f>
        <v>EurLiborSwapIsdaFixA6Y</v>
      </c>
      <c r="G12" s="59" t="str">
        <f>_xll.qlLiborSwap($F12,Currency,FixingType,$C12,Currency&amp;$D12,Currency&amp;$E12,Permanent,Trigger,ObjectOverwrite)</f>
        <v>EurLiborSwapIsdaFixA6Y#0040</v>
      </c>
      <c r="H12" s="58" t="str">
        <f>_xll.ohRangeRetrieveError(G12)</f>
        <v/>
      </c>
      <c r="I12" s="57"/>
    </row>
    <row r="13" spans="1:9" s="53" customFormat="1" x14ac:dyDescent="0.2">
      <c r="B13" s="63"/>
      <c r="C13" s="62" t="s">
        <v>110</v>
      </c>
      <c r="D13" s="61" t="s">
        <v>18</v>
      </c>
      <c r="E13" s="61" t="s">
        <v>23</v>
      </c>
      <c r="F13" s="60" t="str">
        <f>PROPER(Currency)&amp;FamilyName&amp;FixingType&amp;$C13</f>
        <v>EurLiborSwapIsdaFixA7Y</v>
      </c>
      <c r="G13" s="59" t="str">
        <f>_xll.qlLiborSwap($F13,Currency,FixingType,$C13,Currency&amp;$D13,Currency&amp;$E13,Permanent,Trigger,ObjectOverwrite)</f>
        <v>EurLiborSwapIsdaFixA7Y#0040</v>
      </c>
      <c r="H13" s="58" t="str">
        <f>_xll.ohRangeRetrieveError(G13)</f>
        <v/>
      </c>
      <c r="I13" s="57"/>
    </row>
    <row r="14" spans="1:9" s="53" customFormat="1" x14ac:dyDescent="0.2">
      <c r="B14" s="63"/>
      <c r="C14" s="62" t="s">
        <v>109</v>
      </c>
      <c r="D14" s="61" t="s">
        <v>18</v>
      </c>
      <c r="E14" s="61" t="s">
        <v>23</v>
      </c>
      <c r="F14" s="60" t="str">
        <f>PROPER(Currency)&amp;FamilyName&amp;FixingType&amp;$C14</f>
        <v>EurLiborSwapIsdaFixA8Y</v>
      </c>
      <c r="G14" s="59" t="str">
        <f>_xll.qlLiborSwap($F14,Currency,FixingType,$C14,Currency&amp;$D14,Currency&amp;$E14,Permanent,Trigger,ObjectOverwrite)</f>
        <v>EurLiborSwapIsdaFixA8Y#0040</v>
      </c>
      <c r="H14" s="58" t="str">
        <f>_xll.ohRangeRetrieveError(G14)</f>
        <v/>
      </c>
      <c r="I14" s="57"/>
    </row>
    <row r="15" spans="1:9" s="53" customFormat="1" x14ac:dyDescent="0.2">
      <c r="B15" s="63"/>
      <c r="C15" s="62" t="s">
        <v>108</v>
      </c>
      <c r="D15" s="61" t="s">
        <v>18</v>
      </c>
      <c r="E15" s="61" t="s">
        <v>23</v>
      </c>
      <c r="F15" s="60" t="str">
        <f>PROPER(Currency)&amp;FamilyName&amp;FixingType&amp;$C15</f>
        <v>EurLiborSwapIsdaFixA9Y</v>
      </c>
      <c r="G15" s="59" t="str">
        <f>_xll.qlLiborSwap($F15,Currency,FixingType,$C15,Currency&amp;$D15,Currency&amp;$E15,Permanent,Trigger,ObjectOverwrite)</f>
        <v>EurLiborSwapIsdaFixA9Y#0040</v>
      </c>
      <c r="H15" s="58" t="str">
        <f>_xll.ohRangeRetrieveError(G15)</f>
        <v/>
      </c>
      <c r="I15" s="57"/>
    </row>
    <row r="16" spans="1:9" s="53" customFormat="1" x14ac:dyDescent="0.2">
      <c r="B16" s="63"/>
      <c r="C16" s="62" t="s">
        <v>107</v>
      </c>
      <c r="D16" s="61" t="s">
        <v>18</v>
      </c>
      <c r="E16" s="61" t="s">
        <v>23</v>
      </c>
      <c r="F16" s="60" t="str">
        <f>PROPER(Currency)&amp;FamilyName&amp;FixingType&amp;$C16</f>
        <v>EurLiborSwapIsdaFixA10Y</v>
      </c>
      <c r="G16" s="59" t="str">
        <f>_xll.qlLiborSwap($F16,Currency,FixingType,$C16,Currency&amp;$D16,Currency&amp;$E16,Permanent,Trigger,ObjectOverwrite)</f>
        <v>EurLiborSwapIsdaFixA10Y#0040</v>
      </c>
      <c r="H16" s="58" t="str">
        <f>_xll.ohRangeRetrieveError(G16)</f>
        <v/>
      </c>
      <c r="I16" s="57"/>
    </row>
    <row r="17" spans="2:9" s="53" customFormat="1" x14ac:dyDescent="0.2">
      <c r="B17" s="63"/>
      <c r="C17" s="62" t="s">
        <v>106</v>
      </c>
      <c r="D17" s="61" t="s">
        <v>18</v>
      </c>
      <c r="E17" s="61" t="s">
        <v>23</v>
      </c>
      <c r="F17" s="60" t="str">
        <f>PROPER(Currency)&amp;FamilyName&amp;FixingType&amp;$C17</f>
        <v>EurLiborSwapIsdaFixA11Y</v>
      </c>
      <c r="G17" s="59" t="str">
        <f>_xll.qlLiborSwap($F17,Currency,FixingType,$C17,Currency&amp;$D17,Currency&amp;$E17,Permanent,Trigger,ObjectOverwrite)</f>
        <v>EurLiborSwapIsdaFixA11Y#0040</v>
      </c>
      <c r="H17" s="58" t="str">
        <f>_xll.ohRangeRetrieveError(G17)</f>
        <v/>
      </c>
      <c r="I17" s="57"/>
    </row>
    <row r="18" spans="2:9" s="53" customFormat="1" x14ac:dyDescent="0.2">
      <c r="B18" s="63"/>
      <c r="C18" s="62" t="s">
        <v>105</v>
      </c>
      <c r="D18" s="61" t="s">
        <v>18</v>
      </c>
      <c r="E18" s="61" t="s">
        <v>23</v>
      </c>
      <c r="F18" s="60" t="str">
        <f>PROPER(Currency)&amp;FamilyName&amp;FixingType&amp;$C18</f>
        <v>EurLiborSwapIsdaFixA12Y</v>
      </c>
      <c r="G18" s="59" t="str">
        <f>_xll.qlLiborSwap($F18,Currency,FixingType,$C18,Currency&amp;$D18,Currency&amp;$E18,Permanent,Trigger,ObjectOverwrite)</f>
        <v>EurLiborSwapIsdaFixA12Y#0040</v>
      </c>
      <c r="H18" s="58" t="str">
        <f>_xll.ohRangeRetrieveError(G18)</f>
        <v/>
      </c>
      <c r="I18" s="57"/>
    </row>
    <row r="19" spans="2:9" s="53" customFormat="1" x14ac:dyDescent="0.2">
      <c r="B19" s="63"/>
      <c r="C19" s="62" t="s">
        <v>104</v>
      </c>
      <c r="D19" s="61" t="s">
        <v>18</v>
      </c>
      <c r="E19" s="61" t="s">
        <v>23</v>
      </c>
      <c r="F19" s="60" t="str">
        <f>PROPER(Currency)&amp;FamilyName&amp;FixingType&amp;$C19</f>
        <v>EurLiborSwapIsdaFixA13Y</v>
      </c>
      <c r="G19" s="59" t="str">
        <f>_xll.qlLiborSwap($F19,Currency,FixingType,$C19,Currency&amp;$D19,Currency&amp;$E19,Permanent,Trigger,ObjectOverwrite)</f>
        <v>EurLiborSwapIsdaFixA13Y#0040</v>
      </c>
      <c r="H19" s="58" t="str">
        <f>_xll.ohRangeRetrieveError(G19)</f>
        <v/>
      </c>
      <c r="I19" s="57"/>
    </row>
    <row r="20" spans="2:9" s="53" customFormat="1" x14ac:dyDescent="0.2">
      <c r="B20" s="63"/>
      <c r="C20" s="62" t="s">
        <v>103</v>
      </c>
      <c r="D20" s="61" t="s">
        <v>18</v>
      </c>
      <c r="E20" s="61" t="s">
        <v>23</v>
      </c>
      <c r="F20" s="60" t="str">
        <f>PROPER(Currency)&amp;FamilyName&amp;FixingType&amp;$C20</f>
        <v>EurLiborSwapIsdaFixA14Y</v>
      </c>
      <c r="G20" s="59" t="str">
        <f>_xll.qlLiborSwap($F20,Currency,FixingType,$C20,Currency&amp;$D20,Currency&amp;$E20,Permanent,Trigger,ObjectOverwrite)</f>
        <v>EurLiborSwapIsdaFixA14Y#0040</v>
      </c>
      <c r="H20" s="58" t="str">
        <f>_xll.ohRangeRetrieveError(G20)</f>
        <v/>
      </c>
      <c r="I20" s="57"/>
    </row>
    <row r="21" spans="2:9" s="53" customFormat="1" x14ac:dyDescent="0.2">
      <c r="B21" s="63"/>
      <c r="C21" s="62" t="s">
        <v>102</v>
      </c>
      <c r="D21" s="61" t="s">
        <v>18</v>
      </c>
      <c r="E21" s="61" t="s">
        <v>23</v>
      </c>
      <c r="F21" s="60" t="str">
        <f>PROPER(Currency)&amp;FamilyName&amp;FixingType&amp;$C21</f>
        <v>EurLiborSwapIsdaFixA15Y</v>
      </c>
      <c r="G21" s="59" t="str">
        <f>_xll.qlLiborSwap($F21,Currency,FixingType,$C21,Currency&amp;$D21,Currency&amp;$E21,Permanent,Trigger,ObjectOverwrite)</f>
        <v>EurLiborSwapIsdaFixA15Y#0040</v>
      </c>
      <c r="H21" s="58" t="str">
        <f>_xll.ohRangeRetrieveError(G21)</f>
        <v/>
      </c>
      <c r="I21" s="57"/>
    </row>
    <row r="22" spans="2:9" s="53" customFormat="1" x14ac:dyDescent="0.2">
      <c r="B22" s="63"/>
      <c r="C22" s="62" t="s">
        <v>101</v>
      </c>
      <c r="D22" s="61" t="s">
        <v>18</v>
      </c>
      <c r="E22" s="61" t="s">
        <v>23</v>
      </c>
      <c r="F22" s="60" t="str">
        <f>PROPER(Currency)&amp;FamilyName&amp;FixingType&amp;$C22</f>
        <v>EurLiborSwapIsdaFixA16Y</v>
      </c>
      <c r="G22" s="59" t="str">
        <f>_xll.qlLiborSwap($F22,Currency,FixingType,$C22,Currency&amp;$D22,Currency&amp;$E22,Permanent,Trigger,ObjectOverwrite)</f>
        <v>EurLiborSwapIsdaFixA16Y#0040</v>
      </c>
      <c r="H22" s="58" t="str">
        <f>_xll.ohRangeRetrieveError(G22)</f>
        <v/>
      </c>
      <c r="I22" s="57"/>
    </row>
    <row r="23" spans="2:9" s="53" customFormat="1" x14ac:dyDescent="0.2">
      <c r="B23" s="63"/>
      <c r="C23" s="62" t="s">
        <v>100</v>
      </c>
      <c r="D23" s="61" t="s">
        <v>18</v>
      </c>
      <c r="E23" s="61" t="s">
        <v>23</v>
      </c>
      <c r="F23" s="60" t="str">
        <f>PROPER(Currency)&amp;FamilyName&amp;FixingType&amp;$C23</f>
        <v>EurLiborSwapIsdaFixA17Y</v>
      </c>
      <c r="G23" s="59" t="str">
        <f>_xll.qlLiborSwap($F23,Currency,FixingType,$C23,Currency&amp;$D23,Currency&amp;$E23,Permanent,Trigger,ObjectOverwrite)</f>
        <v>EurLiborSwapIsdaFixA17Y#0040</v>
      </c>
      <c r="H23" s="58" t="str">
        <f>_xll.ohRangeRetrieveError(G23)</f>
        <v/>
      </c>
      <c r="I23" s="57"/>
    </row>
    <row r="24" spans="2:9" s="53" customFormat="1" x14ac:dyDescent="0.2">
      <c r="B24" s="63"/>
      <c r="C24" s="62" t="s">
        <v>99</v>
      </c>
      <c r="D24" s="61" t="s">
        <v>18</v>
      </c>
      <c r="E24" s="61" t="s">
        <v>23</v>
      </c>
      <c r="F24" s="60" t="str">
        <f>PROPER(Currency)&amp;FamilyName&amp;FixingType&amp;$C24</f>
        <v>EurLiborSwapIsdaFixA18Y</v>
      </c>
      <c r="G24" s="59" t="str">
        <f>_xll.qlLiborSwap($F24,Currency,FixingType,$C24,Currency&amp;$D24,Currency&amp;$E24,Permanent,Trigger,ObjectOverwrite)</f>
        <v>EurLiborSwapIsdaFixA18Y#0040</v>
      </c>
      <c r="H24" s="58" t="str">
        <f>_xll.ohRangeRetrieveError(G24)</f>
        <v/>
      </c>
      <c r="I24" s="57"/>
    </row>
    <row r="25" spans="2:9" s="53" customFormat="1" x14ac:dyDescent="0.2">
      <c r="B25" s="63"/>
      <c r="C25" s="62" t="s">
        <v>98</v>
      </c>
      <c r="D25" s="61" t="s">
        <v>18</v>
      </c>
      <c r="E25" s="61" t="s">
        <v>23</v>
      </c>
      <c r="F25" s="60" t="str">
        <f>PROPER(Currency)&amp;FamilyName&amp;FixingType&amp;$C25</f>
        <v>EurLiborSwapIsdaFixA19Y</v>
      </c>
      <c r="G25" s="59" t="str">
        <f>_xll.qlLiborSwap($F25,Currency,FixingType,$C25,Currency&amp;$D25,Currency&amp;$E25,Permanent,Trigger,ObjectOverwrite)</f>
        <v>EurLiborSwapIsdaFixA19Y#0040</v>
      </c>
      <c r="H25" s="58" t="str">
        <f>_xll.ohRangeRetrieveError(G25)</f>
        <v/>
      </c>
      <c r="I25" s="57"/>
    </row>
    <row r="26" spans="2:9" s="53" customFormat="1" x14ac:dyDescent="0.2">
      <c r="B26" s="63"/>
      <c r="C26" s="62" t="s">
        <v>97</v>
      </c>
      <c r="D26" s="61" t="s">
        <v>18</v>
      </c>
      <c r="E26" s="61" t="s">
        <v>23</v>
      </c>
      <c r="F26" s="60" t="str">
        <f>PROPER(Currency)&amp;FamilyName&amp;FixingType&amp;$C26</f>
        <v>EurLiborSwapIsdaFixA20Y</v>
      </c>
      <c r="G26" s="59" t="str">
        <f>_xll.qlLiborSwap($F26,Currency,FixingType,$C26,Currency&amp;$D26,Currency&amp;$E26,Permanent,Trigger,ObjectOverwrite)</f>
        <v>EurLiborSwapIsdaFixA20Y#0040</v>
      </c>
      <c r="H26" s="58" t="str">
        <f>_xll.ohRangeRetrieveError(G26)</f>
        <v/>
      </c>
      <c r="I26" s="57"/>
    </row>
    <row r="27" spans="2:9" s="53" customFormat="1" x14ac:dyDescent="0.2">
      <c r="B27" s="63"/>
      <c r="C27" s="62" t="s">
        <v>96</v>
      </c>
      <c r="D27" s="61" t="s">
        <v>18</v>
      </c>
      <c r="E27" s="61" t="s">
        <v>23</v>
      </c>
      <c r="F27" s="60" t="str">
        <f>PROPER(Currency)&amp;FamilyName&amp;FixingType&amp;$C27</f>
        <v>EurLiborSwapIsdaFixA21Y</v>
      </c>
      <c r="G27" s="59" t="str">
        <f>_xll.qlLiborSwap($F27,Currency,FixingType,$C27,Currency&amp;$D27,Currency&amp;$E27,Permanent,Trigger,ObjectOverwrite)</f>
        <v>EurLiborSwapIsdaFixA21Y#0040</v>
      </c>
      <c r="H27" s="58" t="str">
        <f>_xll.ohRangeRetrieveError(G27)</f>
        <v/>
      </c>
      <c r="I27" s="57"/>
    </row>
    <row r="28" spans="2:9" s="53" customFormat="1" x14ac:dyDescent="0.2">
      <c r="B28" s="63"/>
      <c r="C28" s="62" t="s">
        <v>95</v>
      </c>
      <c r="D28" s="61" t="s">
        <v>18</v>
      </c>
      <c r="E28" s="61" t="s">
        <v>23</v>
      </c>
      <c r="F28" s="60" t="str">
        <f>PROPER(Currency)&amp;FamilyName&amp;FixingType&amp;$C28</f>
        <v>EurLiborSwapIsdaFixA22Y</v>
      </c>
      <c r="G28" s="59" t="str">
        <f>_xll.qlLiborSwap($F28,Currency,FixingType,$C28,Currency&amp;$D28,Currency&amp;$E28,Permanent,Trigger,ObjectOverwrite)</f>
        <v>EurLiborSwapIsdaFixA22Y#0040</v>
      </c>
      <c r="H28" s="58" t="str">
        <f>_xll.ohRangeRetrieveError(G28)</f>
        <v/>
      </c>
      <c r="I28" s="57"/>
    </row>
    <row r="29" spans="2:9" s="53" customFormat="1" x14ac:dyDescent="0.2">
      <c r="B29" s="63"/>
      <c r="C29" s="62" t="s">
        <v>94</v>
      </c>
      <c r="D29" s="61" t="s">
        <v>18</v>
      </c>
      <c r="E29" s="61" t="s">
        <v>23</v>
      </c>
      <c r="F29" s="60" t="str">
        <f>PROPER(Currency)&amp;FamilyName&amp;FixingType&amp;$C29</f>
        <v>EurLiborSwapIsdaFixA23Y</v>
      </c>
      <c r="G29" s="59" t="str">
        <f>_xll.qlLiborSwap($F29,Currency,FixingType,$C29,Currency&amp;$D29,Currency&amp;$E29,Permanent,Trigger,ObjectOverwrite)</f>
        <v>EurLiborSwapIsdaFixA23Y#0040</v>
      </c>
      <c r="H29" s="58" t="str">
        <f>_xll.ohRangeRetrieveError(G29)</f>
        <v/>
      </c>
      <c r="I29" s="57"/>
    </row>
    <row r="30" spans="2:9" s="53" customFormat="1" x14ac:dyDescent="0.2">
      <c r="B30" s="63"/>
      <c r="C30" s="62" t="s">
        <v>93</v>
      </c>
      <c r="D30" s="61" t="s">
        <v>18</v>
      </c>
      <c r="E30" s="61" t="s">
        <v>23</v>
      </c>
      <c r="F30" s="60" t="str">
        <f>PROPER(Currency)&amp;FamilyName&amp;FixingType&amp;$C30</f>
        <v>EurLiborSwapIsdaFixA24Y</v>
      </c>
      <c r="G30" s="59" t="str">
        <f>_xll.qlLiborSwap($F30,Currency,FixingType,$C30,Currency&amp;$D30,Currency&amp;$E30,Permanent,Trigger,ObjectOverwrite)</f>
        <v>EurLiborSwapIsdaFixA24Y#0040</v>
      </c>
      <c r="H30" s="58" t="str">
        <f>_xll.ohRangeRetrieveError(G30)</f>
        <v/>
      </c>
      <c r="I30" s="57"/>
    </row>
    <row r="31" spans="2:9" s="53" customFormat="1" x14ac:dyDescent="0.2">
      <c r="B31" s="63"/>
      <c r="C31" s="62" t="s">
        <v>92</v>
      </c>
      <c r="D31" s="61" t="s">
        <v>18</v>
      </c>
      <c r="E31" s="61" t="s">
        <v>23</v>
      </c>
      <c r="F31" s="60" t="str">
        <f>PROPER(Currency)&amp;FamilyName&amp;FixingType&amp;$C31</f>
        <v>EurLiborSwapIsdaFixA25Y</v>
      </c>
      <c r="G31" s="59" t="str">
        <f>_xll.qlLiborSwap($F31,Currency,FixingType,$C31,Currency&amp;$D31,Currency&amp;$E31,Permanent,Trigger,ObjectOverwrite)</f>
        <v>EurLiborSwapIsdaFixA25Y#0040</v>
      </c>
      <c r="H31" s="58" t="str">
        <f>_xll.ohRangeRetrieveError(G31)</f>
        <v/>
      </c>
      <c r="I31" s="57"/>
    </row>
    <row r="32" spans="2:9" s="53" customFormat="1" x14ac:dyDescent="0.2">
      <c r="B32" s="63"/>
      <c r="C32" s="62" t="s">
        <v>91</v>
      </c>
      <c r="D32" s="61" t="s">
        <v>18</v>
      </c>
      <c r="E32" s="61" t="s">
        <v>23</v>
      </c>
      <c r="F32" s="60" t="str">
        <f>PROPER(Currency)&amp;FamilyName&amp;FixingType&amp;$C32</f>
        <v>EurLiborSwapIsdaFixA26Y</v>
      </c>
      <c r="G32" s="59" t="str">
        <f>_xll.qlLiborSwap($F32,Currency,FixingType,$C32,Currency&amp;$D32,Currency&amp;$E32,Permanent,Trigger,ObjectOverwrite)</f>
        <v>EurLiborSwapIsdaFixA26Y#0040</v>
      </c>
      <c r="H32" s="58" t="str">
        <f>_xll.ohRangeRetrieveError(G32)</f>
        <v/>
      </c>
      <c r="I32" s="57"/>
    </row>
    <row r="33" spans="2:9" s="53" customFormat="1" x14ac:dyDescent="0.2">
      <c r="B33" s="63"/>
      <c r="C33" s="62" t="s">
        <v>90</v>
      </c>
      <c r="D33" s="61" t="s">
        <v>18</v>
      </c>
      <c r="E33" s="61" t="s">
        <v>23</v>
      </c>
      <c r="F33" s="60" t="str">
        <f>PROPER(Currency)&amp;FamilyName&amp;FixingType&amp;$C33</f>
        <v>EurLiborSwapIsdaFixA27Y</v>
      </c>
      <c r="G33" s="59" t="str">
        <f>_xll.qlLiborSwap($F33,Currency,FixingType,$C33,Currency&amp;$D33,Currency&amp;$E33,Permanent,Trigger,ObjectOverwrite)</f>
        <v>EurLiborSwapIsdaFixA27Y#0040</v>
      </c>
      <c r="H33" s="58" t="str">
        <f>_xll.ohRangeRetrieveError(G33)</f>
        <v/>
      </c>
      <c r="I33" s="57"/>
    </row>
    <row r="34" spans="2:9" s="53" customFormat="1" x14ac:dyDescent="0.2">
      <c r="B34" s="63"/>
      <c r="C34" s="62" t="s">
        <v>89</v>
      </c>
      <c r="D34" s="61" t="s">
        <v>18</v>
      </c>
      <c r="E34" s="61" t="s">
        <v>23</v>
      </c>
      <c r="F34" s="60" t="str">
        <f>PROPER(Currency)&amp;FamilyName&amp;FixingType&amp;$C34</f>
        <v>EurLiborSwapIsdaFixA28Y</v>
      </c>
      <c r="G34" s="59" t="str">
        <f>_xll.qlLiborSwap($F34,Currency,FixingType,$C34,Currency&amp;$D34,Currency&amp;$E34,Permanent,Trigger,ObjectOverwrite)</f>
        <v>EurLiborSwapIsdaFixA28Y#0040</v>
      </c>
      <c r="H34" s="58" t="str">
        <f>_xll.ohRangeRetrieveError(G34)</f>
        <v/>
      </c>
      <c r="I34" s="57"/>
    </row>
    <row r="35" spans="2:9" s="53" customFormat="1" x14ac:dyDescent="0.2">
      <c r="B35" s="63"/>
      <c r="C35" s="62" t="s">
        <v>88</v>
      </c>
      <c r="D35" s="61" t="s">
        <v>18</v>
      </c>
      <c r="E35" s="61" t="s">
        <v>23</v>
      </c>
      <c r="F35" s="60" t="str">
        <f>PROPER(Currency)&amp;FamilyName&amp;FixingType&amp;$C35</f>
        <v>EurLiborSwapIsdaFixA29Y</v>
      </c>
      <c r="G35" s="59" t="str">
        <f>_xll.qlLiborSwap($F35,Currency,FixingType,$C35,Currency&amp;$D35,Currency&amp;$E35,Permanent,Trigger,ObjectOverwrite)</f>
        <v>EurLiborSwapIsdaFixA29Y#0040</v>
      </c>
      <c r="H35" s="58" t="str">
        <f>_xll.ohRangeRetrieveError(G35)</f>
        <v/>
      </c>
      <c r="I35" s="57"/>
    </row>
    <row r="36" spans="2:9" s="53" customFormat="1" x14ac:dyDescent="0.2">
      <c r="B36" s="63"/>
      <c r="C36" s="62" t="s">
        <v>87</v>
      </c>
      <c r="D36" s="61" t="s">
        <v>18</v>
      </c>
      <c r="E36" s="61" t="s">
        <v>23</v>
      </c>
      <c r="F36" s="60" t="str">
        <f>PROPER(Currency)&amp;FamilyName&amp;FixingType&amp;$C36</f>
        <v>EurLiborSwapIsdaFixA30Y</v>
      </c>
      <c r="G36" s="59" t="str">
        <f>_xll.qlLiborSwap($F36,Currency,FixingType,$C36,Currency&amp;$D36,Currency&amp;$E36,Permanent,Trigger,ObjectOverwrite)</f>
        <v>EurLiborSwapIsdaFixA30Y#0040</v>
      </c>
      <c r="H36" s="58" t="str">
        <f>_xll.ohRangeRetrieveError(G36)</f>
        <v/>
      </c>
      <c r="I36" s="57"/>
    </row>
    <row r="37" spans="2:9" s="53" customFormat="1" x14ac:dyDescent="0.2">
      <c r="B37" s="63"/>
      <c r="C37" s="62" t="s">
        <v>86</v>
      </c>
      <c r="D37" s="61" t="s">
        <v>18</v>
      </c>
      <c r="E37" s="61" t="s">
        <v>23</v>
      </c>
      <c r="F37" s="60" t="str">
        <f>PROPER(Currency)&amp;FamilyName&amp;FixingType&amp;$C37</f>
        <v>EurLiborSwapIsdaFixA31Y</v>
      </c>
      <c r="G37" s="59" t="str">
        <f>_xll.qlLiborSwap($F37,Currency,FixingType,$C37,Currency&amp;$D37,Currency&amp;$E37,Permanent,Trigger,ObjectOverwrite)</f>
        <v>EurLiborSwapIsdaFixA31Y#0040</v>
      </c>
      <c r="H37" s="58" t="str">
        <f>_xll.ohRangeRetrieveError(G37)</f>
        <v/>
      </c>
      <c r="I37" s="57"/>
    </row>
    <row r="38" spans="2:9" s="53" customFormat="1" x14ac:dyDescent="0.2">
      <c r="B38" s="63"/>
      <c r="C38" s="62" t="s">
        <v>85</v>
      </c>
      <c r="D38" s="61" t="s">
        <v>18</v>
      </c>
      <c r="E38" s="61" t="s">
        <v>23</v>
      </c>
      <c r="F38" s="60" t="str">
        <f>PROPER(Currency)&amp;FamilyName&amp;FixingType&amp;$C38</f>
        <v>EurLiborSwapIsdaFixA32Y</v>
      </c>
      <c r="G38" s="59" t="str">
        <f>_xll.qlLiborSwap($F38,Currency,FixingType,$C38,Currency&amp;$D38,Currency&amp;$E38,Permanent,Trigger,ObjectOverwrite)</f>
        <v>EurLiborSwapIsdaFixA32Y#0040</v>
      </c>
      <c r="H38" s="58" t="str">
        <f>_xll.ohRangeRetrieveError(G38)</f>
        <v/>
      </c>
      <c r="I38" s="57"/>
    </row>
    <row r="39" spans="2:9" s="53" customFormat="1" x14ac:dyDescent="0.2">
      <c r="B39" s="63"/>
      <c r="C39" s="62" t="s">
        <v>84</v>
      </c>
      <c r="D39" s="61" t="s">
        <v>18</v>
      </c>
      <c r="E39" s="61" t="s">
        <v>23</v>
      </c>
      <c r="F39" s="60" t="str">
        <f>PROPER(Currency)&amp;FamilyName&amp;FixingType&amp;$C39</f>
        <v>EurLiborSwapIsdaFixA33Y</v>
      </c>
      <c r="G39" s="59" t="str">
        <f>_xll.qlLiborSwap($F39,Currency,FixingType,$C39,Currency&amp;$D39,Currency&amp;$E39,Permanent,Trigger,ObjectOverwrite)</f>
        <v>EurLiborSwapIsdaFixA33Y#0040</v>
      </c>
      <c r="H39" s="58" t="str">
        <f>_xll.ohRangeRetrieveError(G39)</f>
        <v/>
      </c>
      <c r="I39" s="57"/>
    </row>
    <row r="40" spans="2:9" s="53" customFormat="1" x14ac:dyDescent="0.2">
      <c r="B40" s="63"/>
      <c r="C40" s="62" t="s">
        <v>83</v>
      </c>
      <c r="D40" s="61" t="s">
        <v>18</v>
      </c>
      <c r="E40" s="61" t="s">
        <v>23</v>
      </c>
      <c r="F40" s="60" t="str">
        <f>PROPER(Currency)&amp;FamilyName&amp;FixingType&amp;$C40</f>
        <v>EurLiborSwapIsdaFixA34Y</v>
      </c>
      <c r="G40" s="59" t="str">
        <f>_xll.qlLiborSwap($F40,Currency,FixingType,$C40,Currency&amp;$D40,Currency&amp;$E40,Permanent,Trigger,ObjectOverwrite)</f>
        <v>EurLiborSwapIsdaFixA34Y#0040</v>
      </c>
      <c r="H40" s="58" t="str">
        <f>_xll.ohRangeRetrieveError(G40)</f>
        <v/>
      </c>
      <c r="I40" s="57"/>
    </row>
    <row r="41" spans="2:9" s="53" customFormat="1" x14ac:dyDescent="0.2">
      <c r="B41" s="63"/>
      <c r="C41" s="62" t="s">
        <v>82</v>
      </c>
      <c r="D41" s="61" t="s">
        <v>18</v>
      </c>
      <c r="E41" s="61" t="s">
        <v>23</v>
      </c>
      <c r="F41" s="60" t="str">
        <f>PROPER(Currency)&amp;FamilyName&amp;FixingType&amp;$C41</f>
        <v>EurLiborSwapIsdaFixA35Y</v>
      </c>
      <c r="G41" s="59" t="str">
        <f>_xll.qlLiborSwap($F41,Currency,FixingType,$C41,Currency&amp;$D41,Currency&amp;$E41,Permanent,Trigger,ObjectOverwrite)</f>
        <v>EurLiborSwapIsdaFixA35Y#0040</v>
      </c>
      <c r="H41" s="58" t="str">
        <f>_xll.ohRangeRetrieveError(G41)</f>
        <v/>
      </c>
      <c r="I41" s="57"/>
    </row>
    <row r="42" spans="2:9" s="53" customFormat="1" x14ac:dyDescent="0.2">
      <c r="B42" s="63"/>
      <c r="C42" s="62" t="s">
        <v>81</v>
      </c>
      <c r="D42" s="61" t="s">
        <v>18</v>
      </c>
      <c r="E42" s="61" t="s">
        <v>23</v>
      </c>
      <c r="F42" s="60" t="str">
        <f>PROPER(Currency)&amp;FamilyName&amp;FixingType&amp;$C42</f>
        <v>EurLiborSwapIsdaFixA36Y</v>
      </c>
      <c r="G42" s="59" t="str">
        <f>_xll.qlLiborSwap($F42,Currency,FixingType,$C42,Currency&amp;$D42,Currency&amp;$E42,Permanent,Trigger,ObjectOverwrite)</f>
        <v>EurLiborSwapIsdaFixA36Y#0040</v>
      </c>
      <c r="H42" s="58" t="str">
        <f>_xll.ohRangeRetrieveError(G42)</f>
        <v/>
      </c>
      <c r="I42" s="57"/>
    </row>
    <row r="43" spans="2:9" s="53" customFormat="1" x14ac:dyDescent="0.2">
      <c r="B43" s="63"/>
      <c r="C43" s="62" t="s">
        <v>80</v>
      </c>
      <c r="D43" s="61" t="s">
        <v>18</v>
      </c>
      <c r="E43" s="61" t="s">
        <v>23</v>
      </c>
      <c r="F43" s="60" t="str">
        <f>PROPER(Currency)&amp;FamilyName&amp;FixingType&amp;$C43</f>
        <v>EurLiborSwapIsdaFixA37Y</v>
      </c>
      <c r="G43" s="59" t="str">
        <f>_xll.qlLiborSwap($F43,Currency,FixingType,$C43,Currency&amp;$D43,Currency&amp;$E43,Permanent,Trigger,ObjectOverwrite)</f>
        <v>EurLiborSwapIsdaFixA37Y#0040</v>
      </c>
      <c r="H43" s="58" t="str">
        <f>_xll.ohRangeRetrieveError(G43)</f>
        <v/>
      </c>
      <c r="I43" s="57"/>
    </row>
    <row r="44" spans="2:9" s="53" customFormat="1" x14ac:dyDescent="0.2">
      <c r="B44" s="63"/>
      <c r="C44" s="62" t="s">
        <v>79</v>
      </c>
      <c r="D44" s="61" t="s">
        <v>18</v>
      </c>
      <c r="E44" s="61" t="s">
        <v>23</v>
      </c>
      <c r="F44" s="60" t="str">
        <f>PROPER(Currency)&amp;FamilyName&amp;FixingType&amp;$C44</f>
        <v>EurLiborSwapIsdaFixA38Y</v>
      </c>
      <c r="G44" s="59" t="str">
        <f>_xll.qlLiborSwap($F44,Currency,FixingType,$C44,Currency&amp;$D44,Currency&amp;$E44,Permanent,Trigger,ObjectOverwrite)</f>
        <v>EurLiborSwapIsdaFixA38Y#0040</v>
      </c>
      <c r="H44" s="58" t="str">
        <f>_xll.ohRangeRetrieveError(G44)</f>
        <v/>
      </c>
      <c r="I44" s="57"/>
    </row>
    <row r="45" spans="2:9" s="53" customFormat="1" x14ac:dyDescent="0.2">
      <c r="B45" s="63"/>
      <c r="C45" s="62" t="s">
        <v>78</v>
      </c>
      <c r="D45" s="61" t="s">
        <v>18</v>
      </c>
      <c r="E45" s="61" t="s">
        <v>23</v>
      </c>
      <c r="F45" s="60" t="str">
        <f>PROPER(Currency)&amp;FamilyName&amp;FixingType&amp;$C45</f>
        <v>EurLiborSwapIsdaFixA39Y</v>
      </c>
      <c r="G45" s="59" t="str">
        <f>_xll.qlLiborSwap($F45,Currency,FixingType,$C45,Currency&amp;$D45,Currency&amp;$E45,Permanent,Trigger,ObjectOverwrite)</f>
        <v>EurLiborSwapIsdaFixA39Y#0040</v>
      </c>
      <c r="H45" s="58" t="str">
        <f>_xll.ohRangeRetrieveError(G45)</f>
        <v/>
      </c>
      <c r="I45" s="57"/>
    </row>
    <row r="46" spans="2:9" s="53" customFormat="1" x14ac:dyDescent="0.2">
      <c r="B46" s="63"/>
      <c r="C46" s="62" t="s">
        <v>77</v>
      </c>
      <c r="D46" s="61" t="s">
        <v>18</v>
      </c>
      <c r="E46" s="61" t="s">
        <v>23</v>
      </c>
      <c r="F46" s="60" t="str">
        <f>PROPER(Currency)&amp;FamilyName&amp;FixingType&amp;$C46</f>
        <v>EurLiborSwapIsdaFixA40Y</v>
      </c>
      <c r="G46" s="59" t="str">
        <f>_xll.qlLiborSwap($F46,Currency,FixingType,$C46,Currency&amp;$D46,Currency&amp;$E46,Permanent,Trigger,ObjectOverwrite)</f>
        <v>EurLiborSwapIsdaFixA40Y#0040</v>
      </c>
      <c r="H46" s="58" t="str">
        <f>_xll.ohRangeRetrieveError(G46)</f>
        <v/>
      </c>
      <c r="I46" s="57"/>
    </row>
    <row r="47" spans="2:9" s="53" customFormat="1" x14ac:dyDescent="0.2">
      <c r="B47" s="63"/>
      <c r="C47" s="62" t="s">
        <v>76</v>
      </c>
      <c r="D47" s="61" t="s">
        <v>18</v>
      </c>
      <c r="E47" s="61" t="s">
        <v>23</v>
      </c>
      <c r="F47" s="60" t="str">
        <f>PROPER(Currency)&amp;FamilyName&amp;FixingType&amp;$C47</f>
        <v>EurLiborSwapIsdaFixA41Y</v>
      </c>
      <c r="G47" s="59" t="str">
        <f>_xll.qlLiborSwap($F47,Currency,FixingType,$C47,Currency&amp;$D47,Currency&amp;$E47,Permanent,Trigger,ObjectOverwrite)</f>
        <v>EurLiborSwapIsdaFixA41Y#0040</v>
      </c>
      <c r="H47" s="58" t="str">
        <f>_xll.ohRangeRetrieveError(G47)</f>
        <v/>
      </c>
      <c r="I47" s="57"/>
    </row>
    <row r="48" spans="2:9" s="53" customFormat="1" x14ac:dyDescent="0.2">
      <c r="B48" s="63"/>
      <c r="C48" s="62" t="s">
        <v>75</v>
      </c>
      <c r="D48" s="61" t="s">
        <v>18</v>
      </c>
      <c r="E48" s="61" t="s">
        <v>23</v>
      </c>
      <c r="F48" s="60" t="str">
        <f>PROPER(Currency)&amp;FamilyName&amp;FixingType&amp;$C48</f>
        <v>EurLiborSwapIsdaFixA42Y</v>
      </c>
      <c r="G48" s="59" t="str">
        <f>_xll.qlLiborSwap($F48,Currency,FixingType,$C48,Currency&amp;$D48,Currency&amp;$E48,Permanent,Trigger,ObjectOverwrite)</f>
        <v>EurLiborSwapIsdaFixA42Y#0040</v>
      </c>
      <c r="H48" s="58" t="str">
        <f>_xll.ohRangeRetrieveError(G48)</f>
        <v/>
      </c>
      <c r="I48" s="57"/>
    </row>
    <row r="49" spans="2:9" s="53" customFormat="1" x14ac:dyDescent="0.2">
      <c r="B49" s="63"/>
      <c r="C49" s="62" t="s">
        <v>74</v>
      </c>
      <c r="D49" s="61" t="s">
        <v>18</v>
      </c>
      <c r="E49" s="61" t="s">
        <v>23</v>
      </c>
      <c r="F49" s="60" t="str">
        <f>PROPER(Currency)&amp;FamilyName&amp;FixingType&amp;$C49</f>
        <v>EurLiborSwapIsdaFixA43Y</v>
      </c>
      <c r="G49" s="59" t="str">
        <f>_xll.qlLiborSwap($F49,Currency,FixingType,$C49,Currency&amp;$D49,Currency&amp;$E49,Permanent,Trigger,ObjectOverwrite)</f>
        <v>EurLiborSwapIsdaFixA43Y#0040</v>
      </c>
      <c r="H49" s="58" t="str">
        <f>_xll.ohRangeRetrieveError(G49)</f>
        <v/>
      </c>
      <c r="I49" s="57"/>
    </row>
    <row r="50" spans="2:9" s="53" customFormat="1" x14ac:dyDescent="0.2">
      <c r="B50" s="63"/>
      <c r="C50" s="62" t="s">
        <v>73</v>
      </c>
      <c r="D50" s="61" t="s">
        <v>18</v>
      </c>
      <c r="E50" s="61" t="s">
        <v>23</v>
      </c>
      <c r="F50" s="60" t="str">
        <f>PROPER(Currency)&amp;FamilyName&amp;FixingType&amp;$C50</f>
        <v>EurLiborSwapIsdaFixA44Y</v>
      </c>
      <c r="G50" s="59" t="str">
        <f>_xll.qlLiborSwap($F50,Currency,FixingType,$C50,Currency&amp;$D50,Currency&amp;$E50,Permanent,Trigger,ObjectOverwrite)</f>
        <v>EurLiborSwapIsdaFixA44Y#0040</v>
      </c>
      <c r="H50" s="58" t="str">
        <f>_xll.ohRangeRetrieveError(G50)</f>
        <v/>
      </c>
      <c r="I50" s="57"/>
    </row>
    <row r="51" spans="2:9" s="53" customFormat="1" x14ac:dyDescent="0.2">
      <c r="B51" s="63"/>
      <c r="C51" s="62" t="s">
        <v>72</v>
      </c>
      <c r="D51" s="61" t="s">
        <v>18</v>
      </c>
      <c r="E51" s="61" t="s">
        <v>23</v>
      </c>
      <c r="F51" s="60" t="str">
        <f>PROPER(Currency)&amp;FamilyName&amp;FixingType&amp;$C51</f>
        <v>EurLiborSwapIsdaFixA45Y</v>
      </c>
      <c r="G51" s="59" t="str">
        <f>_xll.qlLiborSwap($F51,Currency,FixingType,$C51,Currency&amp;$D51,Currency&amp;$E51,Permanent,Trigger,ObjectOverwrite)</f>
        <v>EurLiborSwapIsdaFixA45Y#0040</v>
      </c>
      <c r="H51" s="58" t="str">
        <f>_xll.ohRangeRetrieveError(G51)</f>
        <v/>
      </c>
      <c r="I51" s="57"/>
    </row>
    <row r="52" spans="2:9" s="53" customFormat="1" x14ac:dyDescent="0.2">
      <c r="B52" s="63"/>
      <c r="C52" s="62" t="s">
        <v>71</v>
      </c>
      <c r="D52" s="61" t="s">
        <v>18</v>
      </c>
      <c r="E52" s="61" t="s">
        <v>23</v>
      </c>
      <c r="F52" s="60" t="str">
        <f>PROPER(Currency)&amp;FamilyName&amp;FixingType&amp;$C52</f>
        <v>EurLiborSwapIsdaFixA46Y</v>
      </c>
      <c r="G52" s="59" t="str">
        <f>_xll.qlLiborSwap($F52,Currency,FixingType,$C52,Currency&amp;$D52,Currency&amp;$E52,Permanent,Trigger,ObjectOverwrite)</f>
        <v>EurLiborSwapIsdaFixA46Y#0040</v>
      </c>
      <c r="H52" s="58" t="str">
        <f>_xll.ohRangeRetrieveError(G52)</f>
        <v/>
      </c>
      <c r="I52" s="57"/>
    </row>
    <row r="53" spans="2:9" s="53" customFormat="1" x14ac:dyDescent="0.2">
      <c r="B53" s="63"/>
      <c r="C53" s="62" t="s">
        <v>70</v>
      </c>
      <c r="D53" s="61" t="s">
        <v>18</v>
      </c>
      <c r="E53" s="61" t="s">
        <v>23</v>
      </c>
      <c r="F53" s="60" t="str">
        <f>PROPER(Currency)&amp;FamilyName&amp;FixingType&amp;$C53</f>
        <v>EurLiborSwapIsdaFixA47Y</v>
      </c>
      <c r="G53" s="59" t="str">
        <f>_xll.qlLiborSwap($F53,Currency,FixingType,$C53,Currency&amp;$D53,Currency&amp;$E53,Permanent,Trigger,ObjectOverwrite)</f>
        <v>EurLiborSwapIsdaFixA47Y#0040</v>
      </c>
      <c r="H53" s="58" t="str">
        <f>_xll.ohRangeRetrieveError(G53)</f>
        <v/>
      </c>
      <c r="I53" s="57"/>
    </row>
    <row r="54" spans="2:9" s="53" customFormat="1" x14ac:dyDescent="0.2">
      <c r="B54" s="63"/>
      <c r="C54" s="62" t="s">
        <v>69</v>
      </c>
      <c r="D54" s="61" t="s">
        <v>18</v>
      </c>
      <c r="E54" s="61" t="s">
        <v>23</v>
      </c>
      <c r="F54" s="60" t="str">
        <f>PROPER(Currency)&amp;FamilyName&amp;FixingType&amp;$C54</f>
        <v>EurLiborSwapIsdaFixA48Y</v>
      </c>
      <c r="G54" s="59" t="str">
        <f>_xll.qlLiborSwap($F54,Currency,FixingType,$C54,Currency&amp;$D54,Currency&amp;$E54,Permanent,Trigger,ObjectOverwrite)</f>
        <v>EurLiborSwapIsdaFixA48Y#0040</v>
      </c>
      <c r="H54" s="58" t="str">
        <f>_xll.ohRangeRetrieveError(G54)</f>
        <v/>
      </c>
      <c r="I54" s="57"/>
    </row>
    <row r="55" spans="2:9" s="53" customFormat="1" x14ac:dyDescent="0.2">
      <c r="B55" s="63"/>
      <c r="C55" s="62" t="s">
        <v>68</v>
      </c>
      <c r="D55" s="61" t="s">
        <v>18</v>
      </c>
      <c r="E55" s="61" t="s">
        <v>23</v>
      </c>
      <c r="F55" s="60" t="str">
        <f>PROPER(Currency)&amp;FamilyName&amp;FixingType&amp;$C55</f>
        <v>EurLiborSwapIsdaFixA49Y</v>
      </c>
      <c r="G55" s="59" t="str">
        <f>_xll.qlLiborSwap($F55,Currency,FixingType,$C55,Currency&amp;$D55,Currency&amp;$E55,Permanent,Trigger,ObjectOverwrite)</f>
        <v>EurLiborSwapIsdaFixA49Y#0040</v>
      </c>
      <c r="H55" s="58" t="str">
        <f>_xll.ohRangeRetrieveError(G55)</f>
        <v/>
      </c>
      <c r="I55" s="57"/>
    </row>
    <row r="56" spans="2:9" s="53" customFormat="1" x14ac:dyDescent="0.2">
      <c r="B56" s="63"/>
      <c r="C56" s="62" t="s">
        <v>67</v>
      </c>
      <c r="D56" s="61" t="s">
        <v>18</v>
      </c>
      <c r="E56" s="61" t="s">
        <v>23</v>
      </c>
      <c r="F56" s="60" t="str">
        <f>PROPER(Currency)&amp;FamilyName&amp;FixingType&amp;$C56</f>
        <v>EurLiborSwapIsdaFixA50Y</v>
      </c>
      <c r="G56" s="59" t="str">
        <f>_xll.qlLiborSwap($F56,Currency,FixingType,$C56,Currency&amp;$D56,Currency&amp;$E56,Permanent,Trigger,ObjectOverwrite)</f>
        <v>EurLiborSwapIsdaFixA50Y#0040</v>
      </c>
      <c r="H56" s="58" t="str">
        <f>_xll.ohRangeRetrieveError(G56)</f>
        <v/>
      </c>
      <c r="I56" s="57"/>
    </row>
    <row r="57" spans="2:9" s="53" customFormat="1" x14ac:dyDescent="0.2">
      <c r="B57" s="63"/>
      <c r="C57" s="62" t="s">
        <v>66</v>
      </c>
      <c r="D57" s="61" t="s">
        <v>18</v>
      </c>
      <c r="E57" s="61" t="s">
        <v>23</v>
      </c>
      <c r="F57" s="60" t="str">
        <f>PROPER(Currency)&amp;FamilyName&amp;FixingType&amp;$C57</f>
        <v>EurLiborSwapIsdaFixA51Y</v>
      </c>
      <c r="G57" s="59" t="str">
        <f>_xll.qlLiborSwap($F57,Currency,FixingType,$C57,Currency&amp;$D57,Currency&amp;$E57,Permanent,Trigger,ObjectOverwrite)</f>
        <v>EurLiborSwapIsdaFixA51Y#0040</v>
      </c>
      <c r="H57" s="58" t="str">
        <f>_xll.ohRangeRetrieveError(G57)</f>
        <v/>
      </c>
      <c r="I57" s="57"/>
    </row>
    <row r="58" spans="2:9" s="53" customFormat="1" x14ac:dyDescent="0.2">
      <c r="B58" s="63"/>
      <c r="C58" s="62" t="s">
        <v>65</v>
      </c>
      <c r="D58" s="61" t="s">
        <v>18</v>
      </c>
      <c r="E58" s="61" t="s">
        <v>23</v>
      </c>
      <c r="F58" s="60" t="str">
        <f>PROPER(Currency)&amp;FamilyName&amp;FixingType&amp;$C58</f>
        <v>EurLiborSwapIsdaFixA52Y</v>
      </c>
      <c r="G58" s="59" t="str">
        <f>_xll.qlLiborSwap($F58,Currency,FixingType,$C58,Currency&amp;$D58,Currency&amp;$E58,Permanent,Trigger,ObjectOverwrite)</f>
        <v>EurLiborSwapIsdaFixA52Y#0040</v>
      </c>
      <c r="H58" s="58" t="str">
        <f>_xll.ohRangeRetrieveError(G58)</f>
        <v/>
      </c>
      <c r="I58" s="57"/>
    </row>
    <row r="59" spans="2:9" s="53" customFormat="1" x14ac:dyDescent="0.2">
      <c r="B59" s="63"/>
      <c r="C59" s="62" t="s">
        <v>64</v>
      </c>
      <c r="D59" s="61" t="s">
        <v>18</v>
      </c>
      <c r="E59" s="61" t="s">
        <v>23</v>
      </c>
      <c r="F59" s="60" t="str">
        <f>PROPER(Currency)&amp;FamilyName&amp;FixingType&amp;$C59</f>
        <v>EurLiborSwapIsdaFixA53Y</v>
      </c>
      <c r="G59" s="59" t="str">
        <f>_xll.qlLiborSwap($F59,Currency,FixingType,$C59,Currency&amp;$D59,Currency&amp;$E59,Permanent,Trigger,ObjectOverwrite)</f>
        <v>EurLiborSwapIsdaFixA53Y#0040</v>
      </c>
      <c r="H59" s="58" t="str">
        <f>_xll.ohRangeRetrieveError(G59)</f>
        <v/>
      </c>
      <c r="I59" s="57"/>
    </row>
    <row r="60" spans="2:9" s="53" customFormat="1" x14ac:dyDescent="0.2">
      <c r="B60" s="63"/>
      <c r="C60" s="62" t="s">
        <v>63</v>
      </c>
      <c r="D60" s="61" t="s">
        <v>18</v>
      </c>
      <c r="E60" s="61" t="s">
        <v>23</v>
      </c>
      <c r="F60" s="60" t="str">
        <f>PROPER(Currency)&amp;FamilyName&amp;FixingType&amp;$C60</f>
        <v>EurLiborSwapIsdaFixA54Y</v>
      </c>
      <c r="G60" s="59" t="str">
        <f>_xll.qlLiborSwap($F60,Currency,FixingType,$C60,Currency&amp;$D60,Currency&amp;$E60,Permanent,Trigger,ObjectOverwrite)</f>
        <v>EurLiborSwapIsdaFixA54Y#0040</v>
      </c>
      <c r="H60" s="58" t="str">
        <f>_xll.ohRangeRetrieveError(G60)</f>
        <v/>
      </c>
      <c r="I60" s="57"/>
    </row>
    <row r="61" spans="2:9" s="53" customFormat="1" x14ac:dyDescent="0.2">
      <c r="B61" s="63"/>
      <c r="C61" s="62" t="s">
        <v>62</v>
      </c>
      <c r="D61" s="61" t="s">
        <v>18</v>
      </c>
      <c r="E61" s="61" t="s">
        <v>23</v>
      </c>
      <c r="F61" s="60" t="str">
        <f>PROPER(Currency)&amp;FamilyName&amp;FixingType&amp;$C61</f>
        <v>EurLiborSwapIsdaFixA55Y</v>
      </c>
      <c r="G61" s="59" t="str">
        <f>_xll.qlLiborSwap($F61,Currency,FixingType,$C61,Currency&amp;$D61,Currency&amp;$E61,Permanent,Trigger,ObjectOverwrite)</f>
        <v>EurLiborSwapIsdaFixA55Y#0040</v>
      </c>
      <c r="H61" s="58" t="str">
        <f>_xll.ohRangeRetrieveError(G61)</f>
        <v/>
      </c>
      <c r="I61" s="57"/>
    </row>
    <row r="62" spans="2:9" s="53" customFormat="1" x14ac:dyDescent="0.2">
      <c r="B62" s="63"/>
      <c r="C62" s="62" t="s">
        <v>61</v>
      </c>
      <c r="D62" s="61" t="s">
        <v>18</v>
      </c>
      <c r="E62" s="61" t="s">
        <v>23</v>
      </c>
      <c r="F62" s="60" t="str">
        <f>PROPER(Currency)&amp;FamilyName&amp;FixingType&amp;$C62</f>
        <v>EurLiborSwapIsdaFixA56Y</v>
      </c>
      <c r="G62" s="59" t="str">
        <f>_xll.qlLiborSwap($F62,Currency,FixingType,$C62,Currency&amp;$D62,Currency&amp;$E62,Permanent,Trigger,ObjectOverwrite)</f>
        <v>EurLiborSwapIsdaFixA56Y#0040</v>
      </c>
      <c r="H62" s="58" t="str">
        <f>_xll.ohRangeRetrieveError(G62)</f>
        <v/>
      </c>
      <c r="I62" s="57"/>
    </row>
    <row r="63" spans="2:9" s="53" customFormat="1" x14ac:dyDescent="0.2">
      <c r="B63" s="63"/>
      <c r="C63" s="62" t="s">
        <v>60</v>
      </c>
      <c r="D63" s="61" t="s">
        <v>18</v>
      </c>
      <c r="E63" s="61" t="s">
        <v>23</v>
      </c>
      <c r="F63" s="60" t="str">
        <f>PROPER(Currency)&amp;FamilyName&amp;FixingType&amp;$C63</f>
        <v>EurLiborSwapIsdaFixA57Y</v>
      </c>
      <c r="G63" s="59" t="str">
        <f>_xll.qlLiborSwap($F63,Currency,FixingType,$C63,Currency&amp;$D63,Currency&amp;$E63,Permanent,Trigger,ObjectOverwrite)</f>
        <v>EurLiborSwapIsdaFixA57Y#0040</v>
      </c>
      <c r="H63" s="58" t="str">
        <f>_xll.ohRangeRetrieveError(G63)</f>
        <v/>
      </c>
      <c r="I63" s="57"/>
    </row>
    <row r="64" spans="2:9" s="53" customFormat="1" x14ac:dyDescent="0.2">
      <c r="B64" s="63"/>
      <c r="C64" s="62" t="s">
        <v>59</v>
      </c>
      <c r="D64" s="61" t="s">
        <v>18</v>
      </c>
      <c r="E64" s="61" t="s">
        <v>23</v>
      </c>
      <c r="F64" s="60" t="str">
        <f>PROPER(Currency)&amp;FamilyName&amp;FixingType&amp;$C64</f>
        <v>EurLiborSwapIsdaFixA58Y</v>
      </c>
      <c r="G64" s="59" t="str">
        <f>_xll.qlLiborSwap($F64,Currency,FixingType,$C64,Currency&amp;$D64,Currency&amp;$E64,Permanent,Trigger,ObjectOverwrite)</f>
        <v>EurLiborSwapIsdaFixA58Y#0040</v>
      </c>
      <c r="H64" s="58" t="str">
        <f>_xll.ohRangeRetrieveError(G64)</f>
        <v/>
      </c>
      <c r="I64" s="57"/>
    </row>
    <row r="65" spans="2:9" s="53" customFormat="1" x14ac:dyDescent="0.2">
      <c r="B65" s="63"/>
      <c r="C65" s="62" t="s">
        <v>58</v>
      </c>
      <c r="D65" s="61" t="s">
        <v>18</v>
      </c>
      <c r="E65" s="61" t="s">
        <v>23</v>
      </c>
      <c r="F65" s="60" t="str">
        <f>PROPER(Currency)&amp;FamilyName&amp;FixingType&amp;$C65</f>
        <v>EurLiborSwapIsdaFixA59Y</v>
      </c>
      <c r="G65" s="59" t="str">
        <f>_xll.qlLiborSwap($F65,Currency,FixingType,$C65,Currency&amp;$D65,Currency&amp;$E65,Permanent,Trigger,ObjectOverwrite)</f>
        <v>EurLiborSwapIsdaFixA59Y#0040</v>
      </c>
      <c r="H65" s="58" t="str">
        <f>_xll.ohRangeRetrieveError(G65)</f>
        <v/>
      </c>
      <c r="I65" s="57"/>
    </row>
    <row r="66" spans="2:9" s="53" customFormat="1" x14ac:dyDescent="0.2">
      <c r="B66" s="63"/>
      <c r="C66" s="62" t="s">
        <v>57</v>
      </c>
      <c r="D66" s="61" t="s">
        <v>18</v>
      </c>
      <c r="E66" s="61" t="s">
        <v>23</v>
      </c>
      <c r="F66" s="60" t="str">
        <f>PROPER(Currency)&amp;FamilyName&amp;FixingType&amp;$C66</f>
        <v>EurLiborSwapIsdaFixA60Y</v>
      </c>
      <c r="G66" s="59" t="str">
        <f>_xll.qlLiborSwap($F66,Currency,FixingType,$C66,Currency&amp;$D66,Currency&amp;$E66,Permanent,Trigger,ObjectOverwrite)</f>
        <v>EurLiborSwapIsdaFixA60Y#0040</v>
      </c>
      <c r="H66" s="58" t="str">
        <f>_xll.ohRangeRetrieveError(G66)</f>
        <v/>
      </c>
      <c r="I66" s="57"/>
    </row>
    <row r="67" spans="2:9" s="53" customFormat="1" ht="12" thickBot="1" x14ac:dyDescent="0.25">
      <c r="B67" s="56"/>
      <c r="C67" s="55"/>
      <c r="D67" s="55"/>
      <c r="E67" s="55"/>
      <c r="F67" s="55"/>
      <c r="G67" s="55"/>
      <c r="H67" s="55"/>
      <c r="I67" s="54"/>
    </row>
    <row r="68" spans="2:9" s="5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8"/>
  <sheetViews>
    <sheetView workbookViewId="0"/>
  </sheetViews>
  <sheetFormatPr defaultRowHeight="11.25" x14ac:dyDescent="0.2"/>
  <cols>
    <col min="1" max="1" width="3.140625" style="22" customWidth="1"/>
    <col min="2" max="2" width="4.42578125" style="22" customWidth="1"/>
    <col min="3" max="3" width="3.85546875" style="22" bestFit="1" customWidth="1"/>
    <col min="4" max="4" width="7.7109375" style="22" bestFit="1" customWidth="1"/>
    <col min="5" max="5" width="8.5703125" style="22" bestFit="1" customWidth="1"/>
    <col min="6" max="6" width="21" style="22" bestFit="1" customWidth="1"/>
    <col min="7" max="7" width="24.28515625" style="22" bestFit="1" customWidth="1"/>
    <col min="8" max="8" width="55" style="22" customWidth="1"/>
    <col min="9" max="9" width="5.28515625" style="22" customWidth="1"/>
    <col min="10" max="16384" width="9.140625" style="22"/>
  </cols>
  <sheetData>
    <row r="1" spans="1:9" s="53" customFormat="1" ht="12" thickBot="1" x14ac:dyDescent="0.25">
      <c r="A1" s="53" t="s">
        <v>128</v>
      </c>
    </row>
    <row r="2" spans="1:9" s="53" customFormat="1" x14ac:dyDescent="0.2">
      <c r="B2" s="74"/>
      <c r="C2" s="72"/>
      <c r="D2" s="72"/>
      <c r="E2" s="72"/>
      <c r="F2" s="73"/>
      <c r="G2" s="72"/>
      <c r="H2" s="72"/>
      <c r="I2" s="71"/>
    </row>
    <row r="3" spans="1:9" s="53" customFormat="1" x14ac:dyDescent="0.2">
      <c r="B3" s="63"/>
      <c r="C3" s="69"/>
      <c r="D3" s="69"/>
      <c r="E3" s="69"/>
      <c r="F3" s="70" t="s">
        <v>54</v>
      </c>
      <c r="G3" s="66" t="s">
        <v>127</v>
      </c>
      <c r="H3" s="69"/>
      <c r="I3" s="65"/>
    </row>
    <row r="4" spans="1:9" s="53" customFormat="1" x14ac:dyDescent="0.2">
      <c r="B4" s="63"/>
      <c r="C4" s="69"/>
      <c r="D4" s="69"/>
      <c r="E4" s="69"/>
      <c r="F4" s="70" t="s">
        <v>119</v>
      </c>
      <c r="G4" s="66" t="s">
        <v>121</v>
      </c>
      <c r="H4" s="69"/>
      <c r="I4" s="65"/>
    </row>
    <row r="5" spans="1:9" s="53" customFormat="1" x14ac:dyDescent="0.2">
      <c r="B5" s="63"/>
      <c r="C5" s="69"/>
      <c r="D5" s="69"/>
      <c r="E5" s="69"/>
      <c r="F5" s="69"/>
      <c r="G5" s="69"/>
      <c r="H5" s="69"/>
      <c r="I5" s="65"/>
    </row>
    <row r="6" spans="1:9" s="53" customFormat="1" x14ac:dyDescent="0.2">
      <c r="B6" s="63"/>
      <c r="C6" s="69"/>
      <c r="D6" s="68" t="s">
        <v>117</v>
      </c>
      <c r="E6" s="68" t="s">
        <v>116</v>
      </c>
      <c r="F6" s="75" t="str">
        <f>PROPER(Currency)&amp;FamilyName&amp;FixingType&amp;".xml"</f>
        <v>EurLiborSwapIsdaFixB.xml</v>
      </c>
      <c r="G6" s="66">
        <f ca="1">IF(Serialize,_xll.ohObjectSave(G7:G66,SerializationPath&amp;FileName,FileOverwrite,,Serialize),"---")</f>
        <v>60</v>
      </c>
      <c r="H6" s="58" t="str">
        <f ca="1">_xll.ohRangeRetrieveError(G6)</f>
        <v/>
      </c>
      <c r="I6" s="65"/>
    </row>
    <row r="7" spans="1:9" s="53" customFormat="1" x14ac:dyDescent="0.2">
      <c r="B7" s="63"/>
      <c r="C7" s="62" t="s">
        <v>34</v>
      </c>
      <c r="D7" s="64" t="s">
        <v>19</v>
      </c>
      <c r="E7" s="61" t="s">
        <v>23</v>
      </c>
      <c r="F7" s="60" t="str">
        <f>PROPER(Currency)&amp;FamilyName&amp;FixingType&amp;$C7</f>
        <v>EurLiborSwapIsdaFixB1Y</v>
      </c>
      <c r="G7" s="59" t="str">
        <f>_xll.qlLiborSwap($F7,Currency,FixingType,$C7,Currency&amp;$D7,Currency&amp;$E7,Permanent,Trigger,ObjectOverwrite)</f>
        <v>EurLiborSwapIsdaFixB1Y#0039</v>
      </c>
      <c r="H7" s="58" t="str">
        <f>_xll.ohRangeRetrieveError(G7)</f>
        <v/>
      </c>
      <c r="I7" s="57"/>
    </row>
    <row r="8" spans="1:9" s="53" customFormat="1" x14ac:dyDescent="0.2">
      <c r="B8" s="63"/>
      <c r="C8" s="62" t="s">
        <v>115</v>
      </c>
      <c r="D8" s="61" t="s">
        <v>18</v>
      </c>
      <c r="E8" s="61" t="s">
        <v>23</v>
      </c>
      <c r="F8" s="60" t="str">
        <f>PROPER(Currency)&amp;FamilyName&amp;FixingType&amp;$C8</f>
        <v>EurLiborSwapIsdaFixB2Y</v>
      </c>
      <c r="G8" s="59" t="str">
        <f>_xll.qlLiborSwap($F8,Currency,FixingType,$C8,Currency&amp;$D8,Currency&amp;$E8,Permanent,Trigger,ObjectOverwrite)</f>
        <v>EurLiborSwapIsdaFixB2Y#0039</v>
      </c>
      <c r="H8" s="58" t="str">
        <f>_xll.ohRangeRetrieveError(G8)</f>
        <v/>
      </c>
      <c r="I8" s="57"/>
    </row>
    <row r="9" spans="1:9" s="53" customFormat="1" x14ac:dyDescent="0.2">
      <c r="B9" s="63"/>
      <c r="C9" s="62" t="s">
        <v>114</v>
      </c>
      <c r="D9" s="61" t="s">
        <v>18</v>
      </c>
      <c r="E9" s="61" t="s">
        <v>23</v>
      </c>
      <c r="F9" s="60" t="str">
        <f>PROPER(Currency)&amp;FamilyName&amp;FixingType&amp;$C9</f>
        <v>EurLiborSwapIsdaFixB3Y</v>
      </c>
      <c r="G9" s="59" t="str">
        <f>_xll.qlLiborSwap($F9,Currency,FixingType,$C9,Currency&amp;$D9,Currency&amp;$E9,Permanent,Trigger,ObjectOverwrite)</f>
        <v>EurLiborSwapIsdaFixB3Y#0039</v>
      </c>
      <c r="H9" s="58" t="str">
        <f>_xll.ohRangeRetrieveError(G9)</f>
        <v/>
      </c>
      <c r="I9" s="57"/>
    </row>
    <row r="10" spans="1:9" s="53" customFormat="1" x14ac:dyDescent="0.2">
      <c r="B10" s="63"/>
      <c r="C10" s="62" t="s">
        <v>113</v>
      </c>
      <c r="D10" s="61" t="s">
        <v>18</v>
      </c>
      <c r="E10" s="61" t="s">
        <v>23</v>
      </c>
      <c r="F10" s="60" t="str">
        <f>PROPER(Currency)&amp;FamilyName&amp;FixingType&amp;$C10</f>
        <v>EurLiborSwapIsdaFixB4Y</v>
      </c>
      <c r="G10" s="59" t="str">
        <f>_xll.qlLiborSwap($F10,Currency,FixingType,$C10,Currency&amp;$D10,Currency&amp;$E10,Permanent,Trigger,ObjectOverwrite)</f>
        <v>EurLiborSwapIsdaFixB4Y#0039</v>
      </c>
      <c r="H10" s="58" t="str">
        <f>_xll.ohRangeRetrieveError(G10)</f>
        <v/>
      </c>
      <c r="I10" s="57"/>
    </row>
    <row r="11" spans="1:9" s="53" customFormat="1" x14ac:dyDescent="0.2">
      <c r="B11" s="63"/>
      <c r="C11" s="62" t="s">
        <v>112</v>
      </c>
      <c r="D11" s="61" t="s">
        <v>18</v>
      </c>
      <c r="E11" s="61" t="s">
        <v>23</v>
      </c>
      <c r="F11" s="60" t="str">
        <f>PROPER(Currency)&amp;FamilyName&amp;FixingType&amp;$C11</f>
        <v>EurLiborSwapIsdaFixB5Y</v>
      </c>
      <c r="G11" s="59" t="str">
        <f>_xll.qlLiborSwap($F11,Currency,FixingType,$C11,Currency&amp;$D11,Currency&amp;$E11,Permanent,Trigger,ObjectOverwrite)</f>
        <v>EurLiborSwapIsdaFixB5Y#0039</v>
      </c>
      <c r="H11" s="58" t="str">
        <f>_xll.ohRangeRetrieveError(G11)</f>
        <v/>
      </c>
      <c r="I11" s="57"/>
    </row>
    <row r="12" spans="1:9" s="53" customFormat="1" x14ac:dyDescent="0.2">
      <c r="B12" s="63"/>
      <c r="C12" s="62" t="s">
        <v>111</v>
      </c>
      <c r="D12" s="61" t="s">
        <v>18</v>
      </c>
      <c r="E12" s="61" t="s">
        <v>23</v>
      </c>
      <c r="F12" s="60" t="str">
        <f>PROPER(Currency)&amp;FamilyName&amp;FixingType&amp;$C12</f>
        <v>EurLiborSwapIsdaFixB6Y</v>
      </c>
      <c r="G12" s="59" t="str">
        <f>_xll.qlLiborSwap($F12,Currency,FixingType,$C12,Currency&amp;$D12,Currency&amp;$E12,Permanent,Trigger,ObjectOverwrite)</f>
        <v>EurLiborSwapIsdaFixB6Y#0039</v>
      </c>
      <c r="H12" s="58" t="str">
        <f>_xll.ohRangeRetrieveError(G12)</f>
        <v/>
      </c>
      <c r="I12" s="57"/>
    </row>
    <row r="13" spans="1:9" s="53" customFormat="1" x14ac:dyDescent="0.2">
      <c r="B13" s="63"/>
      <c r="C13" s="62" t="s">
        <v>110</v>
      </c>
      <c r="D13" s="61" t="s">
        <v>18</v>
      </c>
      <c r="E13" s="61" t="s">
        <v>23</v>
      </c>
      <c r="F13" s="60" t="str">
        <f>PROPER(Currency)&amp;FamilyName&amp;FixingType&amp;$C13</f>
        <v>EurLiborSwapIsdaFixB7Y</v>
      </c>
      <c r="G13" s="59" t="str">
        <f>_xll.qlLiborSwap($F13,Currency,FixingType,$C13,Currency&amp;$D13,Currency&amp;$E13,Permanent,Trigger,ObjectOverwrite)</f>
        <v>EurLiborSwapIsdaFixB7Y#0039</v>
      </c>
      <c r="H13" s="58" t="str">
        <f>_xll.ohRangeRetrieveError(G13)</f>
        <v/>
      </c>
      <c r="I13" s="57"/>
    </row>
    <row r="14" spans="1:9" s="53" customFormat="1" x14ac:dyDescent="0.2">
      <c r="B14" s="63"/>
      <c r="C14" s="62" t="s">
        <v>109</v>
      </c>
      <c r="D14" s="61" t="s">
        <v>18</v>
      </c>
      <c r="E14" s="61" t="s">
        <v>23</v>
      </c>
      <c r="F14" s="60" t="str">
        <f>PROPER(Currency)&amp;FamilyName&amp;FixingType&amp;$C14</f>
        <v>EurLiborSwapIsdaFixB8Y</v>
      </c>
      <c r="G14" s="59" t="str">
        <f>_xll.qlLiborSwap($F14,Currency,FixingType,$C14,Currency&amp;$D14,Currency&amp;$E14,Permanent,Trigger,ObjectOverwrite)</f>
        <v>EurLiborSwapIsdaFixB8Y#0039</v>
      </c>
      <c r="H14" s="58" t="str">
        <f>_xll.ohRangeRetrieveError(G14)</f>
        <v/>
      </c>
      <c r="I14" s="57"/>
    </row>
    <row r="15" spans="1:9" s="53" customFormat="1" x14ac:dyDescent="0.2">
      <c r="B15" s="63"/>
      <c r="C15" s="62" t="s">
        <v>108</v>
      </c>
      <c r="D15" s="61" t="s">
        <v>18</v>
      </c>
      <c r="E15" s="61" t="s">
        <v>23</v>
      </c>
      <c r="F15" s="60" t="str">
        <f>PROPER(Currency)&amp;FamilyName&amp;FixingType&amp;$C15</f>
        <v>EurLiborSwapIsdaFixB9Y</v>
      </c>
      <c r="G15" s="59" t="str">
        <f>_xll.qlLiborSwap($F15,Currency,FixingType,$C15,Currency&amp;$D15,Currency&amp;$E15,Permanent,Trigger,ObjectOverwrite)</f>
        <v>EurLiborSwapIsdaFixB9Y#0039</v>
      </c>
      <c r="H15" s="58" t="str">
        <f>_xll.ohRangeRetrieveError(G15)</f>
        <v/>
      </c>
      <c r="I15" s="57"/>
    </row>
    <row r="16" spans="1:9" s="53" customFormat="1" x14ac:dyDescent="0.2">
      <c r="B16" s="63"/>
      <c r="C16" s="62" t="s">
        <v>107</v>
      </c>
      <c r="D16" s="61" t="s">
        <v>18</v>
      </c>
      <c r="E16" s="61" t="s">
        <v>23</v>
      </c>
      <c r="F16" s="60" t="str">
        <f>PROPER(Currency)&amp;FamilyName&amp;FixingType&amp;$C16</f>
        <v>EurLiborSwapIsdaFixB10Y</v>
      </c>
      <c r="G16" s="59" t="str">
        <f>_xll.qlLiborSwap($F16,Currency,FixingType,$C16,Currency&amp;$D16,Currency&amp;$E16,Permanent,Trigger,ObjectOverwrite)</f>
        <v>EurLiborSwapIsdaFixB10Y#0039</v>
      </c>
      <c r="H16" s="58" t="str">
        <f>_xll.ohRangeRetrieveError(G16)</f>
        <v/>
      </c>
      <c r="I16" s="57"/>
    </row>
    <row r="17" spans="2:9" s="53" customFormat="1" x14ac:dyDescent="0.2">
      <c r="B17" s="63"/>
      <c r="C17" s="62" t="s">
        <v>106</v>
      </c>
      <c r="D17" s="61" t="s">
        <v>18</v>
      </c>
      <c r="E17" s="61" t="s">
        <v>23</v>
      </c>
      <c r="F17" s="60" t="str">
        <f>PROPER(Currency)&amp;FamilyName&amp;FixingType&amp;$C17</f>
        <v>EurLiborSwapIsdaFixB11Y</v>
      </c>
      <c r="G17" s="59" t="str">
        <f>_xll.qlLiborSwap($F17,Currency,FixingType,$C17,Currency&amp;$D17,Currency&amp;$E17,Permanent,Trigger,ObjectOverwrite)</f>
        <v>EurLiborSwapIsdaFixB11Y#0039</v>
      </c>
      <c r="H17" s="58" t="str">
        <f>_xll.ohRangeRetrieveError(G17)</f>
        <v/>
      </c>
      <c r="I17" s="57"/>
    </row>
    <row r="18" spans="2:9" s="53" customFormat="1" x14ac:dyDescent="0.2">
      <c r="B18" s="63"/>
      <c r="C18" s="62" t="s">
        <v>105</v>
      </c>
      <c r="D18" s="61" t="s">
        <v>18</v>
      </c>
      <c r="E18" s="61" t="s">
        <v>23</v>
      </c>
      <c r="F18" s="60" t="str">
        <f>PROPER(Currency)&amp;FamilyName&amp;FixingType&amp;$C18</f>
        <v>EurLiborSwapIsdaFixB12Y</v>
      </c>
      <c r="G18" s="59" t="str">
        <f>_xll.qlLiborSwap($F18,Currency,FixingType,$C18,Currency&amp;$D18,Currency&amp;$E18,Permanent,Trigger,ObjectOverwrite)</f>
        <v>EurLiborSwapIsdaFixB12Y#0039</v>
      </c>
      <c r="H18" s="58" t="str">
        <f>_xll.ohRangeRetrieveError(G18)</f>
        <v/>
      </c>
      <c r="I18" s="57"/>
    </row>
    <row r="19" spans="2:9" s="53" customFormat="1" x14ac:dyDescent="0.2">
      <c r="B19" s="63"/>
      <c r="C19" s="62" t="s">
        <v>104</v>
      </c>
      <c r="D19" s="61" t="s">
        <v>18</v>
      </c>
      <c r="E19" s="61" t="s">
        <v>23</v>
      </c>
      <c r="F19" s="60" t="str">
        <f>PROPER(Currency)&amp;FamilyName&amp;FixingType&amp;$C19</f>
        <v>EurLiborSwapIsdaFixB13Y</v>
      </c>
      <c r="G19" s="59" t="str">
        <f>_xll.qlLiborSwap($F19,Currency,FixingType,$C19,Currency&amp;$D19,Currency&amp;$E19,Permanent,Trigger,ObjectOverwrite)</f>
        <v>EurLiborSwapIsdaFixB13Y#0039</v>
      </c>
      <c r="H19" s="58" t="str">
        <f>_xll.ohRangeRetrieveError(G19)</f>
        <v/>
      </c>
      <c r="I19" s="57"/>
    </row>
    <row r="20" spans="2:9" s="53" customFormat="1" x14ac:dyDescent="0.2">
      <c r="B20" s="63"/>
      <c r="C20" s="62" t="s">
        <v>103</v>
      </c>
      <c r="D20" s="61" t="s">
        <v>18</v>
      </c>
      <c r="E20" s="61" t="s">
        <v>23</v>
      </c>
      <c r="F20" s="60" t="str">
        <f>PROPER(Currency)&amp;FamilyName&amp;FixingType&amp;$C20</f>
        <v>EurLiborSwapIsdaFixB14Y</v>
      </c>
      <c r="G20" s="59" t="str">
        <f>_xll.qlLiborSwap($F20,Currency,FixingType,$C20,Currency&amp;$D20,Currency&amp;$E20,Permanent,Trigger,ObjectOverwrite)</f>
        <v>EurLiborSwapIsdaFixB14Y#0039</v>
      </c>
      <c r="H20" s="58" t="str">
        <f>_xll.ohRangeRetrieveError(G20)</f>
        <v/>
      </c>
      <c r="I20" s="57"/>
    </row>
    <row r="21" spans="2:9" s="53" customFormat="1" x14ac:dyDescent="0.2">
      <c r="B21" s="63"/>
      <c r="C21" s="62" t="s">
        <v>102</v>
      </c>
      <c r="D21" s="61" t="s">
        <v>18</v>
      </c>
      <c r="E21" s="61" t="s">
        <v>23</v>
      </c>
      <c r="F21" s="60" t="str">
        <f>PROPER(Currency)&amp;FamilyName&amp;FixingType&amp;$C21</f>
        <v>EurLiborSwapIsdaFixB15Y</v>
      </c>
      <c r="G21" s="59" t="str">
        <f>_xll.qlLiborSwap($F21,Currency,FixingType,$C21,Currency&amp;$D21,Currency&amp;$E21,Permanent,Trigger,ObjectOverwrite)</f>
        <v>EurLiborSwapIsdaFixB15Y#0039</v>
      </c>
      <c r="H21" s="58" t="str">
        <f>_xll.ohRangeRetrieveError(G21)</f>
        <v/>
      </c>
      <c r="I21" s="57"/>
    </row>
    <row r="22" spans="2:9" s="53" customFormat="1" x14ac:dyDescent="0.2">
      <c r="B22" s="63"/>
      <c r="C22" s="62" t="s">
        <v>101</v>
      </c>
      <c r="D22" s="61" t="s">
        <v>18</v>
      </c>
      <c r="E22" s="61" t="s">
        <v>23</v>
      </c>
      <c r="F22" s="60" t="str">
        <f>PROPER(Currency)&amp;FamilyName&amp;FixingType&amp;$C22</f>
        <v>EurLiborSwapIsdaFixB16Y</v>
      </c>
      <c r="G22" s="59" t="str">
        <f>_xll.qlLiborSwap($F22,Currency,FixingType,$C22,Currency&amp;$D22,Currency&amp;$E22,Permanent,Trigger,ObjectOverwrite)</f>
        <v>EurLiborSwapIsdaFixB16Y#0039</v>
      </c>
      <c r="H22" s="58" t="str">
        <f>_xll.ohRangeRetrieveError(G22)</f>
        <v/>
      </c>
      <c r="I22" s="57"/>
    </row>
    <row r="23" spans="2:9" s="53" customFormat="1" x14ac:dyDescent="0.2">
      <c r="B23" s="63"/>
      <c r="C23" s="62" t="s">
        <v>100</v>
      </c>
      <c r="D23" s="61" t="s">
        <v>18</v>
      </c>
      <c r="E23" s="61" t="s">
        <v>23</v>
      </c>
      <c r="F23" s="60" t="str">
        <f>PROPER(Currency)&amp;FamilyName&amp;FixingType&amp;$C23</f>
        <v>EurLiborSwapIsdaFixB17Y</v>
      </c>
      <c r="G23" s="59" t="str">
        <f>_xll.qlLiborSwap($F23,Currency,FixingType,$C23,Currency&amp;$D23,Currency&amp;$E23,Permanent,Trigger,ObjectOverwrite)</f>
        <v>EurLiborSwapIsdaFixB17Y#0039</v>
      </c>
      <c r="H23" s="58" t="str">
        <f>_xll.ohRangeRetrieveError(G23)</f>
        <v/>
      </c>
      <c r="I23" s="57"/>
    </row>
    <row r="24" spans="2:9" s="53" customFormat="1" x14ac:dyDescent="0.2">
      <c r="B24" s="63"/>
      <c r="C24" s="62" t="s">
        <v>99</v>
      </c>
      <c r="D24" s="61" t="s">
        <v>18</v>
      </c>
      <c r="E24" s="61" t="s">
        <v>23</v>
      </c>
      <c r="F24" s="60" t="str">
        <f>PROPER(Currency)&amp;FamilyName&amp;FixingType&amp;$C24</f>
        <v>EurLiborSwapIsdaFixB18Y</v>
      </c>
      <c r="G24" s="59" t="str">
        <f>_xll.qlLiborSwap($F24,Currency,FixingType,$C24,Currency&amp;$D24,Currency&amp;$E24,Permanent,Trigger,ObjectOverwrite)</f>
        <v>EurLiborSwapIsdaFixB18Y#0039</v>
      </c>
      <c r="H24" s="58" t="str">
        <f>_xll.ohRangeRetrieveError(G24)</f>
        <v/>
      </c>
      <c r="I24" s="57"/>
    </row>
    <row r="25" spans="2:9" s="53" customFormat="1" x14ac:dyDescent="0.2">
      <c r="B25" s="63"/>
      <c r="C25" s="62" t="s">
        <v>98</v>
      </c>
      <c r="D25" s="61" t="s">
        <v>18</v>
      </c>
      <c r="E25" s="61" t="s">
        <v>23</v>
      </c>
      <c r="F25" s="60" t="str">
        <f>PROPER(Currency)&amp;FamilyName&amp;FixingType&amp;$C25</f>
        <v>EurLiborSwapIsdaFixB19Y</v>
      </c>
      <c r="G25" s="59" t="str">
        <f>_xll.qlLiborSwap($F25,Currency,FixingType,$C25,Currency&amp;$D25,Currency&amp;$E25,Permanent,Trigger,ObjectOverwrite)</f>
        <v>EurLiborSwapIsdaFixB19Y#0039</v>
      </c>
      <c r="H25" s="58" t="str">
        <f>_xll.ohRangeRetrieveError(G25)</f>
        <v/>
      </c>
      <c r="I25" s="57"/>
    </row>
    <row r="26" spans="2:9" s="53" customFormat="1" x14ac:dyDescent="0.2">
      <c r="B26" s="63"/>
      <c r="C26" s="62" t="s">
        <v>97</v>
      </c>
      <c r="D26" s="61" t="s">
        <v>18</v>
      </c>
      <c r="E26" s="61" t="s">
        <v>23</v>
      </c>
      <c r="F26" s="60" t="str">
        <f>PROPER(Currency)&amp;FamilyName&amp;FixingType&amp;$C26</f>
        <v>EurLiborSwapIsdaFixB20Y</v>
      </c>
      <c r="G26" s="59" t="str">
        <f>_xll.qlLiborSwap($F26,Currency,FixingType,$C26,Currency&amp;$D26,Currency&amp;$E26,Permanent,Trigger,ObjectOverwrite)</f>
        <v>EurLiborSwapIsdaFixB20Y#0039</v>
      </c>
      <c r="H26" s="58" t="str">
        <f>_xll.ohRangeRetrieveError(G26)</f>
        <v/>
      </c>
      <c r="I26" s="57"/>
    </row>
    <row r="27" spans="2:9" s="53" customFormat="1" x14ac:dyDescent="0.2">
      <c r="B27" s="63"/>
      <c r="C27" s="62" t="s">
        <v>96</v>
      </c>
      <c r="D27" s="61" t="s">
        <v>18</v>
      </c>
      <c r="E27" s="61" t="s">
        <v>23</v>
      </c>
      <c r="F27" s="60" t="str">
        <f>PROPER(Currency)&amp;FamilyName&amp;FixingType&amp;$C27</f>
        <v>EurLiborSwapIsdaFixB21Y</v>
      </c>
      <c r="G27" s="59" t="str">
        <f>_xll.qlLiborSwap($F27,Currency,FixingType,$C27,Currency&amp;$D27,Currency&amp;$E27,Permanent,Trigger,ObjectOverwrite)</f>
        <v>EurLiborSwapIsdaFixB21Y#0039</v>
      </c>
      <c r="H27" s="58" t="str">
        <f>_xll.ohRangeRetrieveError(G27)</f>
        <v/>
      </c>
      <c r="I27" s="57"/>
    </row>
    <row r="28" spans="2:9" s="53" customFormat="1" x14ac:dyDescent="0.2">
      <c r="B28" s="63"/>
      <c r="C28" s="62" t="s">
        <v>95</v>
      </c>
      <c r="D28" s="61" t="s">
        <v>18</v>
      </c>
      <c r="E28" s="61" t="s">
        <v>23</v>
      </c>
      <c r="F28" s="60" t="str">
        <f>PROPER(Currency)&amp;FamilyName&amp;FixingType&amp;$C28</f>
        <v>EurLiborSwapIsdaFixB22Y</v>
      </c>
      <c r="G28" s="59" t="str">
        <f>_xll.qlLiborSwap($F28,Currency,FixingType,$C28,Currency&amp;$D28,Currency&amp;$E28,Permanent,Trigger,ObjectOverwrite)</f>
        <v>EurLiborSwapIsdaFixB22Y#0039</v>
      </c>
      <c r="H28" s="58" t="str">
        <f>_xll.ohRangeRetrieveError(G28)</f>
        <v/>
      </c>
      <c r="I28" s="57"/>
    </row>
    <row r="29" spans="2:9" s="53" customFormat="1" x14ac:dyDescent="0.2">
      <c r="B29" s="63"/>
      <c r="C29" s="62" t="s">
        <v>94</v>
      </c>
      <c r="D29" s="61" t="s">
        <v>18</v>
      </c>
      <c r="E29" s="61" t="s">
        <v>23</v>
      </c>
      <c r="F29" s="60" t="str">
        <f>PROPER(Currency)&amp;FamilyName&amp;FixingType&amp;$C29</f>
        <v>EurLiborSwapIsdaFixB23Y</v>
      </c>
      <c r="G29" s="59" t="str">
        <f>_xll.qlLiborSwap($F29,Currency,FixingType,$C29,Currency&amp;$D29,Currency&amp;$E29,Permanent,Trigger,ObjectOverwrite)</f>
        <v>EurLiborSwapIsdaFixB23Y#0039</v>
      </c>
      <c r="H29" s="58" t="str">
        <f>_xll.ohRangeRetrieveError(G29)</f>
        <v/>
      </c>
      <c r="I29" s="57"/>
    </row>
    <row r="30" spans="2:9" s="53" customFormat="1" x14ac:dyDescent="0.2">
      <c r="B30" s="63"/>
      <c r="C30" s="62" t="s">
        <v>93</v>
      </c>
      <c r="D30" s="61" t="s">
        <v>18</v>
      </c>
      <c r="E30" s="61" t="s">
        <v>23</v>
      </c>
      <c r="F30" s="60" t="str">
        <f>PROPER(Currency)&amp;FamilyName&amp;FixingType&amp;$C30</f>
        <v>EurLiborSwapIsdaFixB24Y</v>
      </c>
      <c r="G30" s="59" t="str">
        <f>_xll.qlLiborSwap($F30,Currency,FixingType,$C30,Currency&amp;$D30,Currency&amp;$E30,Permanent,Trigger,ObjectOverwrite)</f>
        <v>EurLiborSwapIsdaFixB24Y#0039</v>
      </c>
      <c r="H30" s="58" t="str">
        <f>_xll.ohRangeRetrieveError(G30)</f>
        <v/>
      </c>
      <c r="I30" s="57"/>
    </row>
    <row r="31" spans="2:9" s="53" customFormat="1" x14ac:dyDescent="0.2">
      <c r="B31" s="63"/>
      <c r="C31" s="62" t="s">
        <v>92</v>
      </c>
      <c r="D31" s="61" t="s">
        <v>18</v>
      </c>
      <c r="E31" s="61" t="s">
        <v>23</v>
      </c>
      <c r="F31" s="60" t="str">
        <f>PROPER(Currency)&amp;FamilyName&amp;FixingType&amp;$C31</f>
        <v>EurLiborSwapIsdaFixB25Y</v>
      </c>
      <c r="G31" s="59" t="str">
        <f>_xll.qlLiborSwap($F31,Currency,FixingType,$C31,Currency&amp;$D31,Currency&amp;$E31,Permanent,Trigger,ObjectOverwrite)</f>
        <v>EurLiborSwapIsdaFixB25Y#0039</v>
      </c>
      <c r="H31" s="58" t="str">
        <f>_xll.ohRangeRetrieveError(G31)</f>
        <v/>
      </c>
      <c r="I31" s="57"/>
    </row>
    <row r="32" spans="2:9" s="53" customFormat="1" x14ac:dyDescent="0.2">
      <c r="B32" s="63"/>
      <c r="C32" s="62" t="s">
        <v>91</v>
      </c>
      <c r="D32" s="61" t="s">
        <v>18</v>
      </c>
      <c r="E32" s="61" t="s">
        <v>23</v>
      </c>
      <c r="F32" s="60" t="str">
        <f>PROPER(Currency)&amp;FamilyName&amp;FixingType&amp;$C32</f>
        <v>EurLiborSwapIsdaFixB26Y</v>
      </c>
      <c r="G32" s="59" t="str">
        <f>_xll.qlLiborSwap($F32,Currency,FixingType,$C32,Currency&amp;$D32,Currency&amp;$E32,Permanent,Trigger,ObjectOverwrite)</f>
        <v>EurLiborSwapIsdaFixB26Y#0039</v>
      </c>
      <c r="H32" s="58" t="str">
        <f>_xll.ohRangeRetrieveError(G32)</f>
        <v/>
      </c>
      <c r="I32" s="57"/>
    </row>
    <row r="33" spans="2:9" s="53" customFormat="1" x14ac:dyDescent="0.2">
      <c r="B33" s="63"/>
      <c r="C33" s="62" t="s">
        <v>90</v>
      </c>
      <c r="D33" s="61" t="s">
        <v>18</v>
      </c>
      <c r="E33" s="61" t="s">
        <v>23</v>
      </c>
      <c r="F33" s="60" t="str">
        <f>PROPER(Currency)&amp;FamilyName&amp;FixingType&amp;$C33</f>
        <v>EurLiborSwapIsdaFixB27Y</v>
      </c>
      <c r="G33" s="59" t="str">
        <f>_xll.qlLiborSwap($F33,Currency,FixingType,$C33,Currency&amp;$D33,Currency&amp;$E33,Permanent,Trigger,ObjectOverwrite)</f>
        <v>EurLiborSwapIsdaFixB27Y#0039</v>
      </c>
      <c r="H33" s="58" t="str">
        <f>_xll.ohRangeRetrieveError(G33)</f>
        <v/>
      </c>
      <c r="I33" s="57"/>
    </row>
    <row r="34" spans="2:9" s="53" customFormat="1" x14ac:dyDescent="0.2">
      <c r="B34" s="63"/>
      <c r="C34" s="62" t="s">
        <v>89</v>
      </c>
      <c r="D34" s="61" t="s">
        <v>18</v>
      </c>
      <c r="E34" s="61" t="s">
        <v>23</v>
      </c>
      <c r="F34" s="60" t="str">
        <f>PROPER(Currency)&amp;FamilyName&amp;FixingType&amp;$C34</f>
        <v>EurLiborSwapIsdaFixB28Y</v>
      </c>
      <c r="G34" s="59" t="str">
        <f>_xll.qlLiborSwap($F34,Currency,FixingType,$C34,Currency&amp;$D34,Currency&amp;$E34,Permanent,Trigger,ObjectOverwrite)</f>
        <v>EurLiborSwapIsdaFixB28Y#0039</v>
      </c>
      <c r="H34" s="58" t="str">
        <f>_xll.ohRangeRetrieveError(G34)</f>
        <v/>
      </c>
      <c r="I34" s="57"/>
    </row>
    <row r="35" spans="2:9" s="53" customFormat="1" x14ac:dyDescent="0.2">
      <c r="B35" s="63"/>
      <c r="C35" s="62" t="s">
        <v>88</v>
      </c>
      <c r="D35" s="61" t="s">
        <v>18</v>
      </c>
      <c r="E35" s="61" t="s">
        <v>23</v>
      </c>
      <c r="F35" s="60" t="str">
        <f>PROPER(Currency)&amp;FamilyName&amp;FixingType&amp;$C35</f>
        <v>EurLiborSwapIsdaFixB29Y</v>
      </c>
      <c r="G35" s="59" t="str">
        <f>_xll.qlLiborSwap($F35,Currency,FixingType,$C35,Currency&amp;$D35,Currency&amp;$E35,Permanent,Trigger,ObjectOverwrite)</f>
        <v>EurLiborSwapIsdaFixB29Y#0039</v>
      </c>
      <c r="H35" s="58" t="str">
        <f>_xll.ohRangeRetrieveError(G35)</f>
        <v/>
      </c>
      <c r="I35" s="57"/>
    </row>
    <row r="36" spans="2:9" s="53" customFormat="1" x14ac:dyDescent="0.2">
      <c r="B36" s="63"/>
      <c r="C36" s="62" t="s">
        <v>87</v>
      </c>
      <c r="D36" s="61" t="s">
        <v>18</v>
      </c>
      <c r="E36" s="61" t="s">
        <v>23</v>
      </c>
      <c r="F36" s="60" t="str">
        <f>PROPER(Currency)&amp;FamilyName&amp;FixingType&amp;$C36</f>
        <v>EurLiborSwapIsdaFixB30Y</v>
      </c>
      <c r="G36" s="59" t="str">
        <f>_xll.qlLiborSwap($F36,Currency,FixingType,$C36,Currency&amp;$D36,Currency&amp;$E36,Permanent,Trigger,ObjectOverwrite)</f>
        <v>EurLiborSwapIsdaFixB30Y#0039</v>
      </c>
      <c r="H36" s="58" t="str">
        <f>_xll.ohRangeRetrieveError(G36)</f>
        <v/>
      </c>
      <c r="I36" s="57"/>
    </row>
    <row r="37" spans="2:9" s="53" customFormat="1" x14ac:dyDescent="0.2">
      <c r="B37" s="63"/>
      <c r="C37" s="62" t="s">
        <v>86</v>
      </c>
      <c r="D37" s="61" t="s">
        <v>18</v>
      </c>
      <c r="E37" s="61" t="s">
        <v>23</v>
      </c>
      <c r="F37" s="60" t="str">
        <f>PROPER(Currency)&amp;FamilyName&amp;FixingType&amp;$C37</f>
        <v>EurLiborSwapIsdaFixB31Y</v>
      </c>
      <c r="G37" s="59" t="str">
        <f>_xll.qlLiborSwap($F37,Currency,FixingType,$C37,Currency&amp;$D37,Currency&amp;$E37,Permanent,Trigger,ObjectOverwrite)</f>
        <v>EurLiborSwapIsdaFixB31Y#0039</v>
      </c>
      <c r="H37" s="58" t="str">
        <f>_xll.ohRangeRetrieveError(G37)</f>
        <v/>
      </c>
      <c r="I37" s="57"/>
    </row>
    <row r="38" spans="2:9" s="53" customFormat="1" x14ac:dyDescent="0.2">
      <c r="B38" s="63"/>
      <c r="C38" s="62" t="s">
        <v>85</v>
      </c>
      <c r="D38" s="61" t="s">
        <v>18</v>
      </c>
      <c r="E38" s="61" t="s">
        <v>23</v>
      </c>
      <c r="F38" s="60" t="str">
        <f>PROPER(Currency)&amp;FamilyName&amp;FixingType&amp;$C38</f>
        <v>EurLiborSwapIsdaFixB32Y</v>
      </c>
      <c r="G38" s="59" t="str">
        <f>_xll.qlLiborSwap($F38,Currency,FixingType,$C38,Currency&amp;$D38,Currency&amp;$E38,Permanent,Trigger,ObjectOverwrite)</f>
        <v>EurLiborSwapIsdaFixB32Y#0039</v>
      </c>
      <c r="H38" s="58" t="str">
        <f>_xll.ohRangeRetrieveError(G38)</f>
        <v/>
      </c>
      <c r="I38" s="57"/>
    </row>
    <row r="39" spans="2:9" s="53" customFormat="1" x14ac:dyDescent="0.2">
      <c r="B39" s="63"/>
      <c r="C39" s="62" t="s">
        <v>84</v>
      </c>
      <c r="D39" s="61" t="s">
        <v>18</v>
      </c>
      <c r="E39" s="61" t="s">
        <v>23</v>
      </c>
      <c r="F39" s="60" t="str">
        <f>PROPER(Currency)&amp;FamilyName&amp;FixingType&amp;$C39</f>
        <v>EurLiborSwapIsdaFixB33Y</v>
      </c>
      <c r="G39" s="59" t="str">
        <f>_xll.qlLiborSwap($F39,Currency,FixingType,$C39,Currency&amp;$D39,Currency&amp;$E39,Permanent,Trigger,ObjectOverwrite)</f>
        <v>EurLiborSwapIsdaFixB33Y#0039</v>
      </c>
      <c r="H39" s="58" t="str">
        <f>_xll.ohRangeRetrieveError(G39)</f>
        <v/>
      </c>
      <c r="I39" s="57"/>
    </row>
    <row r="40" spans="2:9" s="53" customFormat="1" x14ac:dyDescent="0.2">
      <c r="B40" s="63"/>
      <c r="C40" s="62" t="s">
        <v>83</v>
      </c>
      <c r="D40" s="61" t="s">
        <v>18</v>
      </c>
      <c r="E40" s="61" t="s">
        <v>23</v>
      </c>
      <c r="F40" s="60" t="str">
        <f>PROPER(Currency)&amp;FamilyName&amp;FixingType&amp;$C40</f>
        <v>EurLiborSwapIsdaFixB34Y</v>
      </c>
      <c r="G40" s="59" t="str">
        <f>_xll.qlLiborSwap($F40,Currency,FixingType,$C40,Currency&amp;$D40,Currency&amp;$E40,Permanent,Trigger,ObjectOverwrite)</f>
        <v>EurLiborSwapIsdaFixB34Y#0039</v>
      </c>
      <c r="H40" s="58" t="str">
        <f>_xll.ohRangeRetrieveError(G40)</f>
        <v/>
      </c>
      <c r="I40" s="57"/>
    </row>
    <row r="41" spans="2:9" s="53" customFormat="1" x14ac:dyDescent="0.2">
      <c r="B41" s="63"/>
      <c r="C41" s="62" t="s">
        <v>82</v>
      </c>
      <c r="D41" s="61" t="s">
        <v>18</v>
      </c>
      <c r="E41" s="61" t="s">
        <v>23</v>
      </c>
      <c r="F41" s="60" t="str">
        <f>PROPER(Currency)&amp;FamilyName&amp;FixingType&amp;$C41</f>
        <v>EurLiborSwapIsdaFixB35Y</v>
      </c>
      <c r="G41" s="59" t="str">
        <f>_xll.qlLiborSwap($F41,Currency,FixingType,$C41,Currency&amp;$D41,Currency&amp;$E41,Permanent,Trigger,ObjectOverwrite)</f>
        <v>EurLiborSwapIsdaFixB35Y#0039</v>
      </c>
      <c r="H41" s="58" t="str">
        <f>_xll.ohRangeRetrieveError(G41)</f>
        <v/>
      </c>
      <c r="I41" s="57"/>
    </row>
    <row r="42" spans="2:9" s="53" customFormat="1" x14ac:dyDescent="0.2">
      <c r="B42" s="63"/>
      <c r="C42" s="62" t="s">
        <v>81</v>
      </c>
      <c r="D42" s="61" t="s">
        <v>18</v>
      </c>
      <c r="E42" s="61" t="s">
        <v>23</v>
      </c>
      <c r="F42" s="60" t="str">
        <f>PROPER(Currency)&amp;FamilyName&amp;FixingType&amp;$C42</f>
        <v>EurLiborSwapIsdaFixB36Y</v>
      </c>
      <c r="G42" s="59" t="str">
        <f>_xll.qlLiborSwap($F42,Currency,FixingType,$C42,Currency&amp;$D42,Currency&amp;$E42,Permanent,Trigger,ObjectOverwrite)</f>
        <v>EurLiborSwapIsdaFixB36Y#0039</v>
      </c>
      <c r="H42" s="58" t="str">
        <f>_xll.ohRangeRetrieveError(G42)</f>
        <v/>
      </c>
      <c r="I42" s="57"/>
    </row>
    <row r="43" spans="2:9" s="53" customFormat="1" x14ac:dyDescent="0.2">
      <c r="B43" s="63"/>
      <c r="C43" s="62" t="s">
        <v>80</v>
      </c>
      <c r="D43" s="61" t="s">
        <v>18</v>
      </c>
      <c r="E43" s="61" t="s">
        <v>23</v>
      </c>
      <c r="F43" s="60" t="str">
        <f>PROPER(Currency)&amp;FamilyName&amp;FixingType&amp;$C43</f>
        <v>EurLiborSwapIsdaFixB37Y</v>
      </c>
      <c r="G43" s="59" t="str">
        <f>_xll.qlLiborSwap($F43,Currency,FixingType,$C43,Currency&amp;$D43,Currency&amp;$E43,Permanent,Trigger,ObjectOverwrite)</f>
        <v>EurLiborSwapIsdaFixB37Y#0039</v>
      </c>
      <c r="H43" s="58" t="str">
        <f>_xll.ohRangeRetrieveError(G43)</f>
        <v/>
      </c>
      <c r="I43" s="57"/>
    </row>
    <row r="44" spans="2:9" s="53" customFormat="1" x14ac:dyDescent="0.2">
      <c r="B44" s="63"/>
      <c r="C44" s="62" t="s">
        <v>79</v>
      </c>
      <c r="D44" s="61" t="s">
        <v>18</v>
      </c>
      <c r="E44" s="61" t="s">
        <v>23</v>
      </c>
      <c r="F44" s="60" t="str">
        <f>PROPER(Currency)&amp;FamilyName&amp;FixingType&amp;$C44</f>
        <v>EurLiborSwapIsdaFixB38Y</v>
      </c>
      <c r="G44" s="59" t="str">
        <f>_xll.qlLiborSwap($F44,Currency,FixingType,$C44,Currency&amp;$D44,Currency&amp;$E44,Permanent,Trigger,ObjectOverwrite)</f>
        <v>EurLiborSwapIsdaFixB38Y#0039</v>
      </c>
      <c r="H44" s="58" t="str">
        <f>_xll.ohRangeRetrieveError(G44)</f>
        <v/>
      </c>
      <c r="I44" s="57"/>
    </row>
    <row r="45" spans="2:9" s="53" customFormat="1" x14ac:dyDescent="0.2">
      <c r="B45" s="63"/>
      <c r="C45" s="62" t="s">
        <v>78</v>
      </c>
      <c r="D45" s="61" t="s">
        <v>18</v>
      </c>
      <c r="E45" s="61" t="s">
        <v>23</v>
      </c>
      <c r="F45" s="60" t="str">
        <f>PROPER(Currency)&amp;FamilyName&amp;FixingType&amp;$C45</f>
        <v>EurLiborSwapIsdaFixB39Y</v>
      </c>
      <c r="G45" s="59" t="str">
        <f>_xll.qlLiborSwap($F45,Currency,FixingType,$C45,Currency&amp;$D45,Currency&amp;$E45,Permanent,Trigger,ObjectOverwrite)</f>
        <v>EurLiborSwapIsdaFixB39Y#0039</v>
      </c>
      <c r="H45" s="58" t="str">
        <f>_xll.ohRangeRetrieveError(G45)</f>
        <v/>
      </c>
      <c r="I45" s="57"/>
    </row>
    <row r="46" spans="2:9" s="53" customFormat="1" x14ac:dyDescent="0.2">
      <c r="B46" s="63"/>
      <c r="C46" s="62" t="s">
        <v>77</v>
      </c>
      <c r="D46" s="61" t="s">
        <v>18</v>
      </c>
      <c r="E46" s="61" t="s">
        <v>23</v>
      </c>
      <c r="F46" s="60" t="str">
        <f>PROPER(Currency)&amp;FamilyName&amp;FixingType&amp;$C46</f>
        <v>EurLiborSwapIsdaFixB40Y</v>
      </c>
      <c r="G46" s="59" t="str">
        <f>_xll.qlLiborSwap($F46,Currency,FixingType,$C46,Currency&amp;$D46,Currency&amp;$E46,Permanent,Trigger,ObjectOverwrite)</f>
        <v>EurLiborSwapIsdaFixB40Y#0039</v>
      </c>
      <c r="H46" s="58" t="str">
        <f>_xll.ohRangeRetrieveError(G46)</f>
        <v/>
      </c>
      <c r="I46" s="57"/>
    </row>
    <row r="47" spans="2:9" s="53" customFormat="1" x14ac:dyDescent="0.2">
      <c r="B47" s="63"/>
      <c r="C47" s="62" t="s">
        <v>76</v>
      </c>
      <c r="D47" s="61" t="s">
        <v>18</v>
      </c>
      <c r="E47" s="61" t="s">
        <v>23</v>
      </c>
      <c r="F47" s="60" t="str">
        <f>PROPER(Currency)&amp;FamilyName&amp;FixingType&amp;$C47</f>
        <v>EurLiborSwapIsdaFixB41Y</v>
      </c>
      <c r="G47" s="59" t="str">
        <f>_xll.qlLiborSwap($F47,Currency,FixingType,$C47,Currency&amp;$D47,Currency&amp;$E47,Permanent,Trigger,ObjectOverwrite)</f>
        <v>EurLiborSwapIsdaFixB41Y#0039</v>
      </c>
      <c r="H47" s="58" t="str">
        <f>_xll.ohRangeRetrieveError(G47)</f>
        <v/>
      </c>
      <c r="I47" s="57"/>
    </row>
    <row r="48" spans="2:9" s="53" customFormat="1" x14ac:dyDescent="0.2">
      <c r="B48" s="63"/>
      <c r="C48" s="62" t="s">
        <v>75</v>
      </c>
      <c r="D48" s="61" t="s">
        <v>18</v>
      </c>
      <c r="E48" s="61" t="s">
        <v>23</v>
      </c>
      <c r="F48" s="60" t="str">
        <f>PROPER(Currency)&amp;FamilyName&amp;FixingType&amp;$C48</f>
        <v>EurLiborSwapIsdaFixB42Y</v>
      </c>
      <c r="G48" s="59" t="str">
        <f>_xll.qlLiborSwap($F48,Currency,FixingType,$C48,Currency&amp;$D48,Currency&amp;$E48,Permanent,Trigger,ObjectOverwrite)</f>
        <v>EurLiborSwapIsdaFixB42Y#0039</v>
      </c>
      <c r="H48" s="58" t="str">
        <f>_xll.ohRangeRetrieveError(G48)</f>
        <v/>
      </c>
      <c r="I48" s="57"/>
    </row>
    <row r="49" spans="2:9" s="53" customFormat="1" x14ac:dyDescent="0.2">
      <c r="B49" s="63"/>
      <c r="C49" s="62" t="s">
        <v>74</v>
      </c>
      <c r="D49" s="61" t="s">
        <v>18</v>
      </c>
      <c r="E49" s="61" t="s">
        <v>23</v>
      </c>
      <c r="F49" s="60" t="str">
        <f>PROPER(Currency)&amp;FamilyName&amp;FixingType&amp;$C49</f>
        <v>EurLiborSwapIsdaFixB43Y</v>
      </c>
      <c r="G49" s="59" t="str">
        <f>_xll.qlLiborSwap($F49,Currency,FixingType,$C49,Currency&amp;$D49,Currency&amp;$E49,Permanent,Trigger,ObjectOverwrite)</f>
        <v>EurLiborSwapIsdaFixB43Y#0039</v>
      </c>
      <c r="H49" s="58" t="str">
        <f>_xll.ohRangeRetrieveError(G49)</f>
        <v/>
      </c>
      <c r="I49" s="57"/>
    </row>
    <row r="50" spans="2:9" s="53" customFormat="1" x14ac:dyDescent="0.2">
      <c r="B50" s="63"/>
      <c r="C50" s="62" t="s">
        <v>73</v>
      </c>
      <c r="D50" s="61" t="s">
        <v>18</v>
      </c>
      <c r="E50" s="61" t="s">
        <v>23</v>
      </c>
      <c r="F50" s="60" t="str">
        <f>PROPER(Currency)&amp;FamilyName&amp;FixingType&amp;$C50</f>
        <v>EurLiborSwapIsdaFixB44Y</v>
      </c>
      <c r="G50" s="59" t="str">
        <f>_xll.qlLiborSwap($F50,Currency,FixingType,$C50,Currency&amp;$D50,Currency&amp;$E50,Permanent,Trigger,ObjectOverwrite)</f>
        <v>EurLiborSwapIsdaFixB44Y#0039</v>
      </c>
      <c r="H50" s="58" t="str">
        <f>_xll.ohRangeRetrieveError(G50)</f>
        <v/>
      </c>
      <c r="I50" s="57"/>
    </row>
    <row r="51" spans="2:9" s="53" customFormat="1" x14ac:dyDescent="0.2">
      <c r="B51" s="63"/>
      <c r="C51" s="62" t="s">
        <v>72</v>
      </c>
      <c r="D51" s="61" t="s">
        <v>18</v>
      </c>
      <c r="E51" s="61" t="s">
        <v>23</v>
      </c>
      <c r="F51" s="60" t="str">
        <f>PROPER(Currency)&amp;FamilyName&amp;FixingType&amp;$C51</f>
        <v>EurLiborSwapIsdaFixB45Y</v>
      </c>
      <c r="G51" s="59" t="str">
        <f>_xll.qlLiborSwap($F51,Currency,FixingType,$C51,Currency&amp;$D51,Currency&amp;$E51,Permanent,Trigger,ObjectOverwrite)</f>
        <v>EurLiborSwapIsdaFixB45Y#0039</v>
      </c>
      <c r="H51" s="58" t="str">
        <f>_xll.ohRangeRetrieveError(G51)</f>
        <v/>
      </c>
      <c r="I51" s="57"/>
    </row>
    <row r="52" spans="2:9" s="53" customFormat="1" x14ac:dyDescent="0.2">
      <c r="B52" s="63"/>
      <c r="C52" s="62" t="s">
        <v>71</v>
      </c>
      <c r="D52" s="61" t="s">
        <v>18</v>
      </c>
      <c r="E52" s="61" t="s">
        <v>23</v>
      </c>
      <c r="F52" s="60" t="str">
        <f>PROPER(Currency)&amp;FamilyName&amp;FixingType&amp;$C52</f>
        <v>EurLiborSwapIsdaFixB46Y</v>
      </c>
      <c r="G52" s="59" t="str">
        <f>_xll.qlLiborSwap($F52,Currency,FixingType,$C52,Currency&amp;$D52,Currency&amp;$E52,Permanent,Trigger,ObjectOverwrite)</f>
        <v>EurLiborSwapIsdaFixB46Y#0039</v>
      </c>
      <c r="H52" s="58" t="str">
        <f>_xll.ohRangeRetrieveError(G52)</f>
        <v/>
      </c>
      <c r="I52" s="57"/>
    </row>
    <row r="53" spans="2:9" s="53" customFormat="1" x14ac:dyDescent="0.2">
      <c r="B53" s="63"/>
      <c r="C53" s="62" t="s">
        <v>70</v>
      </c>
      <c r="D53" s="61" t="s">
        <v>18</v>
      </c>
      <c r="E53" s="61" t="s">
        <v>23</v>
      </c>
      <c r="F53" s="60" t="str">
        <f>PROPER(Currency)&amp;FamilyName&amp;FixingType&amp;$C53</f>
        <v>EurLiborSwapIsdaFixB47Y</v>
      </c>
      <c r="G53" s="59" t="str">
        <f>_xll.qlLiborSwap($F53,Currency,FixingType,$C53,Currency&amp;$D53,Currency&amp;$E53,Permanent,Trigger,ObjectOverwrite)</f>
        <v>EurLiborSwapIsdaFixB47Y#0039</v>
      </c>
      <c r="H53" s="58" t="str">
        <f>_xll.ohRangeRetrieveError(G53)</f>
        <v/>
      </c>
      <c r="I53" s="57"/>
    </row>
    <row r="54" spans="2:9" s="53" customFormat="1" x14ac:dyDescent="0.2">
      <c r="B54" s="63"/>
      <c r="C54" s="62" t="s">
        <v>69</v>
      </c>
      <c r="D54" s="61" t="s">
        <v>18</v>
      </c>
      <c r="E54" s="61" t="s">
        <v>23</v>
      </c>
      <c r="F54" s="60" t="str">
        <f>PROPER(Currency)&amp;FamilyName&amp;FixingType&amp;$C54</f>
        <v>EurLiborSwapIsdaFixB48Y</v>
      </c>
      <c r="G54" s="59" t="str">
        <f>_xll.qlLiborSwap($F54,Currency,FixingType,$C54,Currency&amp;$D54,Currency&amp;$E54,Permanent,Trigger,ObjectOverwrite)</f>
        <v>EurLiborSwapIsdaFixB48Y#0039</v>
      </c>
      <c r="H54" s="58" t="str">
        <f>_xll.ohRangeRetrieveError(G54)</f>
        <v/>
      </c>
      <c r="I54" s="57"/>
    </row>
    <row r="55" spans="2:9" s="53" customFormat="1" x14ac:dyDescent="0.2">
      <c r="B55" s="63"/>
      <c r="C55" s="62" t="s">
        <v>68</v>
      </c>
      <c r="D55" s="61" t="s">
        <v>18</v>
      </c>
      <c r="E55" s="61" t="s">
        <v>23</v>
      </c>
      <c r="F55" s="60" t="str">
        <f>PROPER(Currency)&amp;FamilyName&amp;FixingType&amp;$C55</f>
        <v>EurLiborSwapIsdaFixB49Y</v>
      </c>
      <c r="G55" s="59" t="str">
        <f>_xll.qlLiborSwap($F55,Currency,FixingType,$C55,Currency&amp;$D55,Currency&amp;$E55,Permanent,Trigger,ObjectOverwrite)</f>
        <v>EurLiborSwapIsdaFixB49Y#0039</v>
      </c>
      <c r="H55" s="58" t="str">
        <f>_xll.ohRangeRetrieveError(G55)</f>
        <v/>
      </c>
      <c r="I55" s="57"/>
    </row>
    <row r="56" spans="2:9" s="53" customFormat="1" x14ac:dyDescent="0.2">
      <c r="B56" s="63"/>
      <c r="C56" s="62" t="s">
        <v>67</v>
      </c>
      <c r="D56" s="61" t="s">
        <v>18</v>
      </c>
      <c r="E56" s="61" t="s">
        <v>23</v>
      </c>
      <c r="F56" s="60" t="str">
        <f>PROPER(Currency)&amp;FamilyName&amp;FixingType&amp;$C56</f>
        <v>EurLiborSwapIsdaFixB50Y</v>
      </c>
      <c r="G56" s="59" t="str">
        <f>_xll.qlLiborSwap($F56,Currency,FixingType,$C56,Currency&amp;$D56,Currency&amp;$E56,Permanent,Trigger,ObjectOverwrite)</f>
        <v>EurLiborSwapIsdaFixB50Y#0039</v>
      </c>
      <c r="H56" s="58" t="str">
        <f>_xll.ohRangeRetrieveError(G56)</f>
        <v/>
      </c>
      <c r="I56" s="57"/>
    </row>
    <row r="57" spans="2:9" s="53" customFormat="1" x14ac:dyDescent="0.2">
      <c r="B57" s="63"/>
      <c r="C57" s="62" t="s">
        <v>66</v>
      </c>
      <c r="D57" s="61" t="s">
        <v>18</v>
      </c>
      <c r="E57" s="61" t="s">
        <v>23</v>
      </c>
      <c r="F57" s="60" t="str">
        <f>PROPER(Currency)&amp;FamilyName&amp;FixingType&amp;$C57</f>
        <v>EurLiborSwapIsdaFixB51Y</v>
      </c>
      <c r="G57" s="59" t="str">
        <f>_xll.qlLiborSwap($F57,Currency,FixingType,$C57,Currency&amp;$D57,Currency&amp;$E57,Permanent,Trigger,ObjectOverwrite)</f>
        <v>EurLiborSwapIsdaFixB51Y#0039</v>
      </c>
      <c r="H57" s="58" t="str">
        <f>_xll.ohRangeRetrieveError(G57)</f>
        <v/>
      </c>
      <c r="I57" s="57"/>
    </row>
    <row r="58" spans="2:9" s="53" customFormat="1" x14ac:dyDescent="0.2">
      <c r="B58" s="63"/>
      <c r="C58" s="62" t="s">
        <v>65</v>
      </c>
      <c r="D58" s="61" t="s">
        <v>18</v>
      </c>
      <c r="E58" s="61" t="s">
        <v>23</v>
      </c>
      <c r="F58" s="60" t="str">
        <f>PROPER(Currency)&amp;FamilyName&amp;FixingType&amp;$C58</f>
        <v>EurLiborSwapIsdaFixB52Y</v>
      </c>
      <c r="G58" s="59" t="str">
        <f>_xll.qlLiborSwap($F58,Currency,FixingType,$C58,Currency&amp;$D58,Currency&amp;$E58,Permanent,Trigger,ObjectOverwrite)</f>
        <v>EurLiborSwapIsdaFixB52Y#0039</v>
      </c>
      <c r="H58" s="58" t="str">
        <f>_xll.ohRangeRetrieveError(G58)</f>
        <v/>
      </c>
      <c r="I58" s="57"/>
    </row>
    <row r="59" spans="2:9" s="53" customFormat="1" x14ac:dyDescent="0.2">
      <c r="B59" s="63"/>
      <c r="C59" s="62" t="s">
        <v>64</v>
      </c>
      <c r="D59" s="61" t="s">
        <v>18</v>
      </c>
      <c r="E59" s="61" t="s">
        <v>23</v>
      </c>
      <c r="F59" s="60" t="str">
        <f>PROPER(Currency)&amp;FamilyName&amp;FixingType&amp;$C59</f>
        <v>EurLiborSwapIsdaFixB53Y</v>
      </c>
      <c r="G59" s="59" t="str">
        <f>_xll.qlLiborSwap($F59,Currency,FixingType,$C59,Currency&amp;$D59,Currency&amp;$E59,Permanent,Trigger,ObjectOverwrite)</f>
        <v>EurLiborSwapIsdaFixB53Y#0039</v>
      </c>
      <c r="H59" s="58" t="str">
        <f>_xll.ohRangeRetrieveError(G59)</f>
        <v/>
      </c>
      <c r="I59" s="57"/>
    </row>
    <row r="60" spans="2:9" s="53" customFormat="1" x14ac:dyDescent="0.2">
      <c r="B60" s="63"/>
      <c r="C60" s="62" t="s">
        <v>63</v>
      </c>
      <c r="D60" s="61" t="s">
        <v>18</v>
      </c>
      <c r="E60" s="61" t="s">
        <v>23</v>
      </c>
      <c r="F60" s="60" t="str">
        <f>PROPER(Currency)&amp;FamilyName&amp;FixingType&amp;$C60</f>
        <v>EurLiborSwapIsdaFixB54Y</v>
      </c>
      <c r="G60" s="59" t="str">
        <f>_xll.qlLiborSwap($F60,Currency,FixingType,$C60,Currency&amp;$D60,Currency&amp;$E60,Permanent,Trigger,ObjectOverwrite)</f>
        <v>EurLiborSwapIsdaFixB54Y#0039</v>
      </c>
      <c r="H60" s="58" t="str">
        <f>_xll.ohRangeRetrieveError(G60)</f>
        <v/>
      </c>
      <c r="I60" s="57"/>
    </row>
    <row r="61" spans="2:9" s="53" customFormat="1" x14ac:dyDescent="0.2">
      <c r="B61" s="63"/>
      <c r="C61" s="62" t="s">
        <v>62</v>
      </c>
      <c r="D61" s="61" t="s">
        <v>18</v>
      </c>
      <c r="E61" s="61" t="s">
        <v>23</v>
      </c>
      <c r="F61" s="60" t="str">
        <f>PROPER(Currency)&amp;FamilyName&amp;FixingType&amp;$C61</f>
        <v>EurLiborSwapIsdaFixB55Y</v>
      </c>
      <c r="G61" s="59" t="str">
        <f>_xll.qlLiborSwap($F61,Currency,FixingType,$C61,Currency&amp;$D61,Currency&amp;$E61,Permanent,Trigger,ObjectOverwrite)</f>
        <v>EurLiborSwapIsdaFixB55Y#0039</v>
      </c>
      <c r="H61" s="58" t="str">
        <f>_xll.ohRangeRetrieveError(G61)</f>
        <v/>
      </c>
      <c r="I61" s="57"/>
    </row>
    <row r="62" spans="2:9" s="53" customFormat="1" x14ac:dyDescent="0.2">
      <c r="B62" s="63"/>
      <c r="C62" s="62" t="s">
        <v>61</v>
      </c>
      <c r="D62" s="61" t="s">
        <v>18</v>
      </c>
      <c r="E62" s="61" t="s">
        <v>23</v>
      </c>
      <c r="F62" s="60" t="str">
        <f>PROPER(Currency)&amp;FamilyName&amp;FixingType&amp;$C62</f>
        <v>EurLiborSwapIsdaFixB56Y</v>
      </c>
      <c r="G62" s="59" t="str">
        <f>_xll.qlLiborSwap($F62,Currency,FixingType,$C62,Currency&amp;$D62,Currency&amp;$E62,Permanent,Trigger,ObjectOverwrite)</f>
        <v>EurLiborSwapIsdaFixB56Y#0039</v>
      </c>
      <c r="H62" s="58" t="str">
        <f>_xll.ohRangeRetrieveError(G62)</f>
        <v/>
      </c>
      <c r="I62" s="57"/>
    </row>
    <row r="63" spans="2:9" s="53" customFormat="1" x14ac:dyDescent="0.2">
      <c r="B63" s="63"/>
      <c r="C63" s="62" t="s">
        <v>60</v>
      </c>
      <c r="D63" s="61" t="s">
        <v>18</v>
      </c>
      <c r="E63" s="61" t="s">
        <v>23</v>
      </c>
      <c r="F63" s="60" t="str">
        <f>PROPER(Currency)&amp;FamilyName&amp;FixingType&amp;$C63</f>
        <v>EurLiborSwapIsdaFixB57Y</v>
      </c>
      <c r="G63" s="59" t="str">
        <f>_xll.qlLiborSwap($F63,Currency,FixingType,$C63,Currency&amp;$D63,Currency&amp;$E63,Permanent,Trigger,ObjectOverwrite)</f>
        <v>EurLiborSwapIsdaFixB57Y#0039</v>
      </c>
      <c r="H63" s="58" t="str">
        <f>_xll.ohRangeRetrieveError(G63)</f>
        <v/>
      </c>
      <c r="I63" s="57"/>
    </row>
    <row r="64" spans="2:9" s="53" customFormat="1" x14ac:dyDescent="0.2">
      <c r="B64" s="63"/>
      <c r="C64" s="62" t="s">
        <v>59</v>
      </c>
      <c r="D64" s="61" t="s">
        <v>18</v>
      </c>
      <c r="E64" s="61" t="s">
        <v>23</v>
      </c>
      <c r="F64" s="60" t="str">
        <f>PROPER(Currency)&amp;FamilyName&amp;FixingType&amp;$C64</f>
        <v>EurLiborSwapIsdaFixB58Y</v>
      </c>
      <c r="G64" s="59" t="str">
        <f>_xll.qlLiborSwap($F64,Currency,FixingType,$C64,Currency&amp;$D64,Currency&amp;$E64,Permanent,Trigger,ObjectOverwrite)</f>
        <v>EurLiborSwapIsdaFixB58Y#0039</v>
      </c>
      <c r="H64" s="58" t="str">
        <f>_xll.ohRangeRetrieveError(G64)</f>
        <v/>
      </c>
      <c r="I64" s="57"/>
    </row>
    <row r="65" spans="2:9" s="53" customFormat="1" x14ac:dyDescent="0.2">
      <c r="B65" s="63"/>
      <c r="C65" s="62" t="s">
        <v>58</v>
      </c>
      <c r="D65" s="61" t="s">
        <v>18</v>
      </c>
      <c r="E65" s="61" t="s">
        <v>23</v>
      </c>
      <c r="F65" s="60" t="str">
        <f>PROPER(Currency)&amp;FamilyName&amp;FixingType&amp;$C65</f>
        <v>EurLiborSwapIsdaFixB59Y</v>
      </c>
      <c r="G65" s="59" t="str">
        <f>_xll.qlLiborSwap($F65,Currency,FixingType,$C65,Currency&amp;$D65,Currency&amp;$E65,Permanent,Trigger,ObjectOverwrite)</f>
        <v>EurLiborSwapIsdaFixB59Y#0039</v>
      </c>
      <c r="H65" s="58" t="str">
        <f>_xll.ohRangeRetrieveError(G65)</f>
        <v/>
      </c>
      <c r="I65" s="57"/>
    </row>
    <row r="66" spans="2:9" s="53" customFormat="1" x14ac:dyDescent="0.2">
      <c r="B66" s="63"/>
      <c r="C66" s="62" t="s">
        <v>57</v>
      </c>
      <c r="D66" s="61" t="s">
        <v>18</v>
      </c>
      <c r="E66" s="61" t="s">
        <v>23</v>
      </c>
      <c r="F66" s="60" t="str">
        <f>PROPER(Currency)&amp;FamilyName&amp;FixingType&amp;$C66</f>
        <v>EurLiborSwapIsdaFixB60Y</v>
      </c>
      <c r="G66" s="59" t="str">
        <f>_xll.qlLiborSwap($F66,Currency,FixingType,$C66,Currency&amp;$D66,Currency&amp;$E66,Permanent,Trigger,ObjectOverwrite)</f>
        <v>EurLiborSwapIsdaFixB60Y#0039</v>
      </c>
      <c r="H66" s="58" t="str">
        <f>_xll.ohRangeRetrieveError(G66)</f>
        <v/>
      </c>
      <c r="I66" s="57"/>
    </row>
    <row r="67" spans="2:9" s="53" customFormat="1" ht="12" thickBot="1" x14ac:dyDescent="0.25">
      <c r="B67" s="56"/>
      <c r="C67" s="55"/>
      <c r="D67" s="55"/>
      <c r="E67" s="55"/>
      <c r="F67" s="55"/>
      <c r="G67" s="55"/>
      <c r="H67" s="55"/>
      <c r="I67" s="54"/>
    </row>
    <row r="68" spans="2:9" s="5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8"/>
  <sheetViews>
    <sheetView workbookViewId="0"/>
  </sheetViews>
  <sheetFormatPr defaultRowHeight="11.25" x14ac:dyDescent="0.2"/>
  <cols>
    <col min="1" max="1" width="3.140625" style="22" customWidth="1"/>
    <col min="2" max="2" width="4.4257812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18.42578125" style="22" bestFit="1" customWidth="1"/>
    <col min="7" max="7" width="21.85546875" style="22" bestFit="1" customWidth="1"/>
    <col min="8" max="8" width="55" style="22" customWidth="1"/>
    <col min="9" max="9" width="5.28515625" style="22" customWidth="1"/>
    <col min="10" max="16384" width="9.140625" style="22"/>
  </cols>
  <sheetData>
    <row r="1" spans="1:9" s="53" customFormat="1" ht="12" thickBot="1" x14ac:dyDescent="0.25">
      <c r="A1" s="53" t="s">
        <v>128</v>
      </c>
    </row>
    <row r="2" spans="1:9" s="53" customFormat="1" x14ac:dyDescent="0.2">
      <c r="B2" s="74"/>
      <c r="C2" s="72"/>
      <c r="D2" s="72"/>
      <c r="E2" s="72"/>
      <c r="F2" s="73"/>
      <c r="G2" s="72"/>
      <c r="H2" s="72"/>
      <c r="I2" s="71"/>
    </row>
    <row r="3" spans="1:9" s="53" customFormat="1" x14ac:dyDescent="0.2">
      <c r="B3" s="63"/>
      <c r="C3" s="69"/>
      <c r="D3" s="69"/>
      <c r="E3" s="69"/>
      <c r="F3" s="70" t="s">
        <v>54</v>
      </c>
      <c r="G3" s="66" t="s">
        <v>127</v>
      </c>
      <c r="H3" s="69"/>
      <c r="I3" s="65"/>
    </row>
    <row r="4" spans="1:9" s="53" customFormat="1" x14ac:dyDescent="0.2">
      <c r="B4" s="63"/>
      <c r="C4" s="69"/>
      <c r="D4" s="69"/>
      <c r="E4" s="69"/>
      <c r="F4" s="70" t="s">
        <v>119</v>
      </c>
      <c r="G4" s="66" t="s">
        <v>122</v>
      </c>
      <c r="H4" s="69"/>
      <c r="I4" s="65"/>
    </row>
    <row r="5" spans="1:9" s="53" customFormat="1" x14ac:dyDescent="0.2">
      <c r="B5" s="63"/>
      <c r="C5" s="69"/>
      <c r="D5" s="69"/>
      <c r="E5" s="69"/>
      <c r="F5" s="69"/>
      <c r="G5" s="69"/>
      <c r="H5" s="69"/>
      <c r="I5" s="65"/>
    </row>
    <row r="6" spans="1:9" s="53" customFormat="1" x14ac:dyDescent="0.2">
      <c r="B6" s="63"/>
      <c r="C6" s="69"/>
      <c r="D6" s="68" t="s">
        <v>117</v>
      </c>
      <c r="E6" s="68" t="s">
        <v>116</v>
      </c>
      <c r="F6" s="75" t="str">
        <f>PROPER(Currency)&amp;FamilyName&amp;FixingType&amp;".xml"</f>
        <v>EurLiborSwapIfrFix.xml</v>
      </c>
      <c r="G6" s="66">
        <f ca="1">IF(Serialize,_xll.ohObjectSave(G7:G66,SerializationPath&amp;FileName,FileOverwrite,,Serialize),"---")</f>
        <v>60</v>
      </c>
      <c r="H6" s="58" t="str">
        <f ca="1">_xll.ohRangeRetrieveError(G6)</f>
        <v/>
      </c>
      <c r="I6" s="65"/>
    </row>
    <row r="7" spans="1:9" s="53" customFormat="1" x14ac:dyDescent="0.2">
      <c r="B7" s="63"/>
      <c r="C7" s="62" t="s">
        <v>34</v>
      </c>
      <c r="D7" s="64" t="s">
        <v>19</v>
      </c>
      <c r="E7" s="61" t="s">
        <v>23</v>
      </c>
      <c r="F7" s="60" t="str">
        <f>PROPER(Currency)&amp;FamilyName&amp;FixingType&amp;$C7</f>
        <v>EurLiborSwapIfrFix1Y</v>
      </c>
      <c r="G7" s="59" t="str">
        <f>_xll.qlLiborSwap($F7,Currency,FixingType,$C7,Currency&amp;$D7,Currency&amp;$E7,Permanent,Trigger,ObjectOverwrite)</f>
        <v>EurLiborSwapIfrFix1Y#0038</v>
      </c>
      <c r="H7" s="58" t="str">
        <f>_xll.ohRangeRetrieveError(G7)</f>
        <v/>
      </c>
      <c r="I7" s="57"/>
    </row>
    <row r="8" spans="1:9" s="53" customFormat="1" x14ac:dyDescent="0.2">
      <c r="B8" s="63"/>
      <c r="C8" s="62" t="s">
        <v>115</v>
      </c>
      <c r="D8" s="61" t="s">
        <v>18</v>
      </c>
      <c r="E8" s="61" t="s">
        <v>23</v>
      </c>
      <c r="F8" s="60" t="str">
        <f>PROPER(Currency)&amp;FamilyName&amp;FixingType&amp;$C8</f>
        <v>EurLiborSwapIfrFix2Y</v>
      </c>
      <c r="G8" s="59" t="str">
        <f>_xll.qlLiborSwap($F8,Currency,FixingType,$C8,Currency&amp;$D8,Currency&amp;$E8,Permanent,Trigger,ObjectOverwrite)</f>
        <v>EurLiborSwapIfrFix2Y#0038</v>
      </c>
      <c r="H8" s="58" t="str">
        <f>_xll.ohRangeRetrieveError(G8)</f>
        <v/>
      </c>
      <c r="I8" s="57"/>
    </row>
    <row r="9" spans="1:9" s="53" customFormat="1" x14ac:dyDescent="0.2">
      <c r="B9" s="63"/>
      <c r="C9" s="62" t="s">
        <v>114</v>
      </c>
      <c r="D9" s="61" t="s">
        <v>18</v>
      </c>
      <c r="E9" s="61" t="s">
        <v>23</v>
      </c>
      <c r="F9" s="60" t="str">
        <f>PROPER(Currency)&amp;FamilyName&amp;FixingType&amp;$C9</f>
        <v>EurLiborSwapIfrFix3Y</v>
      </c>
      <c r="G9" s="59" t="str">
        <f>_xll.qlLiborSwap($F9,Currency,FixingType,$C9,Currency&amp;$D9,Currency&amp;$E9,Permanent,Trigger,ObjectOverwrite)</f>
        <v>EurLiborSwapIfrFix3Y#0038</v>
      </c>
      <c r="H9" s="58" t="str">
        <f>_xll.ohRangeRetrieveError(G9)</f>
        <v/>
      </c>
      <c r="I9" s="57"/>
    </row>
    <row r="10" spans="1:9" s="53" customFormat="1" x14ac:dyDescent="0.2">
      <c r="B10" s="63"/>
      <c r="C10" s="62" t="s">
        <v>113</v>
      </c>
      <c r="D10" s="61" t="s">
        <v>18</v>
      </c>
      <c r="E10" s="61" t="s">
        <v>23</v>
      </c>
      <c r="F10" s="60" t="str">
        <f>PROPER(Currency)&amp;FamilyName&amp;FixingType&amp;$C10</f>
        <v>EurLiborSwapIfrFix4Y</v>
      </c>
      <c r="G10" s="59" t="str">
        <f>_xll.qlLiborSwap($F10,Currency,FixingType,$C10,Currency&amp;$D10,Currency&amp;$E10,Permanent,Trigger,ObjectOverwrite)</f>
        <v>EurLiborSwapIfrFix4Y#0038</v>
      </c>
      <c r="H10" s="58" t="str">
        <f>_xll.ohRangeRetrieveError(G10)</f>
        <v/>
      </c>
      <c r="I10" s="57"/>
    </row>
    <row r="11" spans="1:9" s="53" customFormat="1" x14ac:dyDescent="0.2">
      <c r="B11" s="63"/>
      <c r="C11" s="62" t="s">
        <v>112</v>
      </c>
      <c r="D11" s="61" t="s">
        <v>18</v>
      </c>
      <c r="E11" s="61" t="s">
        <v>23</v>
      </c>
      <c r="F11" s="60" t="str">
        <f>PROPER(Currency)&amp;FamilyName&amp;FixingType&amp;$C11</f>
        <v>EurLiborSwapIfrFix5Y</v>
      </c>
      <c r="G11" s="59" t="str">
        <f>_xll.qlLiborSwap($F11,Currency,FixingType,$C11,Currency&amp;$D11,Currency&amp;$E11,Permanent,Trigger,ObjectOverwrite)</f>
        <v>EurLiborSwapIfrFix5Y#0038</v>
      </c>
      <c r="H11" s="58" t="str">
        <f>_xll.ohRangeRetrieveError(G11)</f>
        <v/>
      </c>
      <c r="I11" s="57"/>
    </row>
    <row r="12" spans="1:9" s="53" customFormat="1" x14ac:dyDescent="0.2">
      <c r="B12" s="63"/>
      <c r="C12" s="62" t="s">
        <v>111</v>
      </c>
      <c r="D12" s="61" t="s">
        <v>18</v>
      </c>
      <c r="E12" s="61" t="s">
        <v>23</v>
      </c>
      <c r="F12" s="60" t="str">
        <f>PROPER(Currency)&amp;FamilyName&amp;FixingType&amp;$C12</f>
        <v>EurLiborSwapIfrFix6Y</v>
      </c>
      <c r="G12" s="59" t="str">
        <f>_xll.qlLiborSwap($F12,Currency,FixingType,$C12,Currency&amp;$D12,Currency&amp;$E12,Permanent,Trigger,ObjectOverwrite)</f>
        <v>EurLiborSwapIfrFix6Y#0038</v>
      </c>
      <c r="H12" s="58" t="str">
        <f>_xll.ohRangeRetrieveError(G12)</f>
        <v/>
      </c>
      <c r="I12" s="57"/>
    </row>
    <row r="13" spans="1:9" s="53" customFormat="1" x14ac:dyDescent="0.2">
      <c r="B13" s="63"/>
      <c r="C13" s="62" t="s">
        <v>110</v>
      </c>
      <c r="D13" s="61" t="s">
        <v>18</v>
      </c>
      <c r="E13" s="61" t="s">
        <v>23</v>
      </c>
      <c r="F13" s="60" t="str">
        <f>PROPER(Currency)&amp;FamilyName&amp;FixingType&amp;$C13</f>
        <v>EurLiborSwapIfrFix7Y</v>
      </c>
      <c r="G13" s="59" t="str">
        <f>_xll.qlLiborSwap($F13,Currency,FixingType,$C13,Currency&amp;$D13,Currency&amp;$E13,Permanent,Trigger,ObjectOverwrite)</f>
        <v>EurLiborSwapIfrFix7Y#0038</v>
      </c>
      <c r="H13" s="58" t="str">
        <f>_xll.ohRangeRetrieveError(G13)</f>
        <v/>
      </c>
      <c r="I13" s="57"/>
    </row>
    <row r="14" spans="1:9" s="53" customFormat="1" x14ac:dyDescent="0.2">
      <c r="B14" s="63"/>
      <c r="C14" s="62" t="s">
        <v>109</v>
      </c>
      <c r="D14" s="61" t="s">
        <v>18</v>
      </c>
      <c r="E14" s="61" t="s">
        <v>23</v>
      </c>
      <c r="F14" s="60" t="str">
        <f>PROPER(Currency)&amp;FamilyName&amp;FixingType&amp;$C14</f>
        <v>EurLiborSwapIfrFix8Y</v>
      </c>
      <c r="G14" s="59" t="str">
        <f>_xll.qlLiborSwap($F14,Currency,FixingType,$C14,Currency&amp;$D14,Currency&amp;$E14,Permanent,Trigger,ObjectOverwrite)</f>
        <v>EurLiborSwapIfrFix8Y#0038</v>
      </c>
      <c r="H14" s="58" t="str">
        <f>_xll.ohRangeRetrieveError(G14)</f>
        <v/>
      </c>
      <c r="I14" s="57"/>
    </row>
    <row r="15" spans="1:9" s="53" customFormat="1" x14ac:dyDescent="0.2">
      <c r="B15" s="63"/>
      <c r="C15" s="62" t="s">
        <v>108</v>
      </c>
      <c r="D15" s="61" t="s">
        <v>18</v>
      </c>
      <c r="E15" s="61" t="s">
        <v>23</v>
      </c>
      <c r="F15" s="60" t="str">
        <f>PROPER(Currency)&amp;FamilyName&amp;FixingType&amp;$C15</f>
        <v>EurLiborSwapIfrFix9Y</v>
      </c>
      <c r="G15" s="59" t="str">
        <f>_xll.qlLiborSwap($F15,Currency,FixingType,$C15,Currency&amp;$D15,Currency&amp;$E15,Permanent,Trigger,ObjectOverwrite)</f>
        <v>EurLiborSwapIfrFix9Y#0038</v>
      </c>
      <c r="H15" s="58" t="str">
        <f>_xll.ohRangeRetrieveError(G15)</f>
        <v/>
      </c>
      <c r="I15" s="57"/>
    </row>
    <row r="16" spans="1:9" s="53" customFormat="1" x14ac:dyDescent="0.2">
      <c r="B16" s="63"/>
      <c r="C16" s="62" t="s">
        <v>107</v>
      </c>
      <c r="D16" s="61" t="s">
        <v>18</v>
      </c>
      <c r="E16" s="61" t="s">
        <v>23</v>
      </c>
      <c r="F16" s="60" t="str">
        <f>PROPER(Currency)&amp;FamilyName&amp;FixingType&amp;$C16</f>
        <v>EurLiborSwapIfrFix10Y</v>
      </c>
      <c r="G16" s="59" t="str">
        <f>_xll.qlLiborSwap($F16,Currency,FixingType,$C16,Currency&amp;$D16,Currency&amp;$E16,Permanent,Trigger,ObjectOverwrite)</f>
        <v>EurLiborSwapIfrFix10Y#0038</v>
      </c>
      <c r="H16" s="58" t="str">
        <f>_xll.ohRangeRetrieveError(G16)</f>
        <v/>
      </c>
      <c r="I16" s="57"/>
    </row>
    <row r="17" spans="2:9" s="53" customFormat="1" x14ac:dyDescent="0.2">
      <c r="B17" s="63"/>
      <c r="C17" s="62" t="s">
        <v>106</v>
      </c>
      <c r="D17" s="61" t="s">
        <v>18</v>
      </c>
      <c r="E17" s="61" t="s">
        <v>23</v>
      </c>
      <c r="F17" s="60" t="str">
        <f>PROPER(Currency)&amp;FamilyName&amp;FixingType&amp;$C17</f>
        <v>EurLiborSwapIfrFix11Y</v>
      </c>
      <c r="G17" s="59" t="str">
        <f>_xll.qlLiborSwap($F17,Currency,FixingType,$C17,Currency&amp;$D17,Currency&amp;$E17,Permanent,Trigger,ObjectOverwrite)</f>
        <v>EurLiborSwapIfrFix11Y#0038</v>
      </c>
      <c r="H17" s="58" t="str">
        <f>_xll.ohRangeRetrieveError(G17)</f>
        <v/>
      </c>
      <c r="I17" s="57"/>
    </row>
    <row r="18" spans="2:9" s="53" customFormat="1" x14ac:dyDescent="0.2">
      <c r="B18" s="63"/>
      <c r="C18" s="62" t="s">
        <v>105</v>
      </c>
      <c r="D18" s="61" t="s">
        <v>18</v>
      </c>
      <c r="E18" s="61" t="s">
        <v>23</v>
      </c>
      <c r="F18" s="60" t="str">
        <f>PROPER(Currency)&amp;FamilyName&amp;FixingType&amp;$C18</f>
        <v>EurLiborSwapIfrFix12Y</v>
      </c>
      <c r="G18" s="59" t="str">
        <f>_xll.qlLiborSwap($F18,Currency,FixingType,$C18,Currency&amp;$D18,Currency&amp;$E18,Permanent,Trigger,ObjectOverwrite)</f>
        <v>EurLiborSwapIfrFix12Y#0038</v>
      </c>
      <c r="H18" s="58" t="str">
        <f>_xll.ohRangeRetrieveError(G18)</f>
        <v/>
      </c>
      <c r="I18" s="57"/>
    </row>
    <row r="19" spans="2:9" s="53" customFormat="1" x14ac:dyDescent="0.2">
      <c r="B19" s="63"/>
      <c r="C19" s="62" t="s">
        <v>104</v>
      </c>
      <c r="D19" s="61" t="s">
        <v>18</v>
      </c>
      <c r="E19" s="61" t="s">
        <v>23</v>
      </c>
      <c r="F19" s="60" t="str">
        <f>PROPER(Currency)&amp;FamilyName&amp;FixingType&amp;$C19</f>
        <v>EurLiborSwapIfrFix13Y</v>
      </c>
      <c r="G19" s="59" t="str">
        <f>_xll.qlLiborSwap($F19,Currency,FixingType,$C19,Currency&amp;$D19,Currency&amp;$E19,Permanent,Trigger,ObjectOverwrite)</f>
        <v>EurLiborSwapIfrFix13Y#0038</v>
      </c>
      <c r="H19" s="58" t="str">
        <f>_xll.ohRangeRetrieveError(G19)</f>
        <v/>
      </c>
      <c r="I19" s="57"/>
    </row>
    <row r="20" spans="2:9" s="53" customFormat="1" x14ac:dyDescent="0.2">
      <c r="B20" s="63"/>
      <c r="C20" s="62" t="s">
        <v>103</v>
      </c>
      <c r="D20" s="61" t="s">
        <v>18</v>
      </c>
      <c r="E20" s="61" t="s">
        <v>23</v>
      </c>
      <c r="F20" s="60" t="str">
        <f>PROPER(Currency)&amp;FamilyName&amp;FixingType&amp;$C20</f>
        <v>EurLiborSwapIfrFix14Y</v>
      </c>
      <c r="G20" s="59" t="str">
        <f>_xll.qlLiborSwap($F20,Currency,FixingType,$C20,Currency&amp;$D20,Currency&amp;$E20,Permanent,Trigger,ObjectOverwrite)</f>
        <v>EurLiborSwapIfrFix14Y#0038</v>
      </c>
      <c r="H20" s="58" t="str">
        <f>_xll.ohRangeRetrieveError(G20)</f>
        <v/>
      </c>
      <c r="I20" s="57"/>
    </row>
    <row r="21" spans="2:9" s="53" customFormat="1" x14ac:dyDescent="0.2">
      <c r="B21" s="63"/>
      <c r="C21" s="62" t="s">
        <v>102</v>
      </c>
      <c r="D21" s="61" t="s">
        <v>18</v>
      </c>
      <c r="E21" s="61" t="s">
        <v>23</v>
      </c>
      <c r="F21" s="60" t="str">
        <f>PROPER(Currency)&amp;FamilyName&amp;FixingType&amp;$C21</f>
        <v>EurLiborSwapIfrFix15Y</v>
      </c>
      <c r="G21" s="59" t="str">
        <f>_xll.qlLiborSwap($F21,Currency,FixingType,$C21,Currency&amp;$D21,Currency&amp;$E21,Permanent,Trigger,ObjectOverwrite)</f>
        <v>EurLiborSwapIfrFix15Y#0038</v>
      </c>
      <c r="H21" s="58" t="str">
        <f>_xll.ohRangeRetrieveError(G21)</f>
        <v/>
      </c>
      <c r="I21" s="57"/>
    </row>
    <row r="22" spans="2:9" s="53" customFormat="1" x14ac:dyDescent="0.2">
      <c r="B22" s="63"/>
      <c r="C22" s="62" t="s">
        <v>101</v>
      </c>
      <c r="D22" s="61" t="s">
        <v>18</v>
      </c>
      <c r="E22" s="61" t="s">
        <v>23</v>
      </c>
      <c r="F22" s="60" t="str">
        <f>PROPER(Currency)&amp;FamilyName&amp;FixingType&amp;$C22</f>
        <v>EurLiborSwapIfrFix16Y</v>
      </c>
      <c r="G22" s="59" t="str">
        <f>_xll.qlLiborSwap($F22,Currency,FixingType,$C22,Currency&amp;$D22,Currency&amp;$E22,Permanent,Trigger,ObjectOverwrite)</f>
        <v>EurLiborSwapIfrFix16Y#0038</v>
      </c>
      <c r="H22" s="58" t="str">
        <f>_xll.ohRangeRetrieveError(G22)</f>
        <v/>
      </c>
      <c r="I22" s="57"/>
    </row>
    <row r="23" spans="2:9" s="53" customFormat="1" x14ac:dyDescent="0.2">
      <c r="B23" s="63"/>
      <c r="C23" s="62" t="s">
        <v>100</v>
      </c>
      <c r="D23" s="61" t="s">
        <v>18</v>
      </c>
      <c r="E23" s="61" t="s">
        <v>23</v>
      </c>
      <c r="F23" s="60" t="str">
        <f>PROPER(Currency)&amp;FamilyName&amp;FixingType&amp;$C23</f>
        <v>EurLiborSwapIfrFix17Y</v>
      </c>
      <c r="G23" s="59" t="str">
        <f>_xll.qlLiborSwap($F23,Currency,FixingType,$C23,Currency&amp;$D23,Currency&amp;$E23,Permanent,Trigger,ObjectOverwrite)</f>
        <v>EurLiborSwapIfrFix17Y#0038</v>
      </c>
      <c r="H23" s="58" t="str">
        <f>_xll.ohRangeRetrieveError(G23)</f>
        <v/>
      </c>
      <c r="I23" s="57"/>
    </row>
    <row r="24" spans="2:9" s="53" customFormat="1" x14ac:dyDescent="0.2">
      <c r="B24" s="63"/>
      <c r="C24" s="62" t="s">
        <v>99</v>
      </c>
      <c r="D24" s="61" t="s">
        <v>18</v>
      </c>
      <c r="E24" s="61" t="s">
        <v>23</v>
      </c>
      <c r="F24" s="60" t="str">
        <f>PROPER(Currency)&amp;FamilyName&amp;FixingType&amp;$C24</f>
        <v>EurLiborSwapIfrFix18Y</v>
      </c>
      <c r="G24" s="59" t="str">
        <f>_xll.qlLiborSwap($F24,Currency,FixingType,$C24,Currency&amp;$D24,Currency&amp;$E24,Permanent,Trigger,ObjectOverwrite)</f>
        <v>EurLiborSwapIfrFix18Y#0038</v>
      </c>
      <c r="H24" s="58" t="str">
        <f>_xll.ohRangeRetrieveError(G24)</f>
        <v/>
      </c>
      <c r="I24" s="57"/>
    </row>
    <row r="25" spans="2:9" s="53" customFormat="1" x14ac:dyDescent="0.2">
      <c r="B25" s="63"/>
      <c r="C25" s="62" t="s">
        <v>98</v>
      </c>
      <c r="D25" s="61" t="s">
        <v>18</v>
      </c>
      <c r="E25" s="61" t="s">
        <v>23</v>
      </c>
      <c r="F25" s="60" t="str">
        <f>PROPER(Currency)&amp;FamilyName&amp;FixingType&amp;$C25</f>
        <v>EurLiborSwapIfrFix19Y</v>
      </c>
      <c r="G25" s="59" t="str">
        <f>_xll.qlLiborSwap($F25,Currency,FixingType,$C25,Currency&amp;$D25,Currency&amp;$E25,Permanent,Trigger,ObjectOverwrite)</f>
        <v>EurLiborSwapIfrFix19Y#0038</v>
      </c>
      <c r="H25" s="58" t="str">
        <f>_xll.ohRangeRetrieveError(G25)</f>
        <v/>
      </c>
      <c r="I25" s="57"/>
    </row>
    <row r="26" spans="2:9" s="53" customFormat="1" x14ac:dyDescent="0.2">
      <c r="B26" s="63"/>
      <c r="C26" s="62" t="s">
        <v>97</v>
      </c>
      <c r="D26" s="61" t="s">
        <v>18</v>
      </c>
      <c r="E26" s="61" t="s">
        <v>23</v>
      </c>
      <c r="F26" s="60" t="str">
        <f>PROPER(Currency)&amp;FamilyName&amp;FixingType&amp;$C26</f>
        <v>EurLiborSwapIfrFix20Y</v>
      </c>
      <c r="G26" s="59" t="str">
        <f>_xll.qlLiborSwap($F26,Currency,FixingType,$C26,Currency&amp;$D26,Currency&amp;$E26,Permanent,Trigger,ObjectOverwrite)</f>
        <v>EurLiborSwapIfrFix20Y#0038</v>
      </c>
      <c r="H26" s="58" t="str">
        <f>_xll.ohRangeRetrieveError(G26)</f>
        <v/>
      </c>
      <c r="I26" s="57"/>
    </row>
    <row r="27" spans="2:9" s="53" customFormat="1" x14ac:dyDescent="0.2">
      <c r="B27" s="63"/>
      <c r="C27" s="62" t="s">
        <v>96</v>
      </c>
      <c r="D27" s="61" t="s">
        <v>18</v>
      </c>
      <c r="E27" s="61" t="s">
        <v>23</v>
      </c>
      <c r="F27" s="60" t="str">
        <f>PROPER(Currency)&amp;FamilyName&amp;FixingType&amp;$C27</f>
        <v>EurLiborSwapIfrFix21Y</v>
      </c>
      <c r="G27" s="59" t="str">
        <f>_xll.qlLiborSwap($F27,Currency,FixingType,$C27,Currency&amp;$D27,Currency&amp;$E27,Permanent,Trigger,ObjectOverwrite)</f>
        <v>EurLiborSwapIfrFix21Y#0038</v>
      </c>
      <c r="H27" s="58" t="str">
        <f>_xll.ohRangeRetrieveError(G27)</f>
        <v/>
      </c>
      <c r="I27" s="57"/>
    </row>
    <row r="28" spans="2:9" s="53" customFormat="1" x14ac:dyDescent="0.2">
      <c r="B28" s="63"/>
      <c r="C28" s="62" t="s">
        <v>95</v>
      </c>
      <c r="D28" s="61" t="s">
        <v>18</v>
      </c>
      <c r="E28" s="61" t="s">
        <v>23</v>
      </c>
      <c r="F28" s="60" t="str">
        <f>PROPER(Currency)&amp;FamilyName&amp;FixingType&amp;$C28</f>
        <v>EurLiborSwapIfrFix22Y</v>
      </c>
      <c r="G28" s="59" t="str">
        <f>_xll.qlLiborSwap($F28,Currency,FixingType,$C28,Currency&amp;$D28,Currency&amp;$E28,Permanent,Trigger,ObjectOverwrite)</f>
        <v>EurLiborSwapIfrFix22Y#0038</v>
      </c>
      <c r="H28" s="58" t="str">
        <f>_xll.ohRangeRetrieveError(G28)</f>
        <v/>
      </c>
      <c r="I28" s="57"/>
    </row>
    <row r="29" spans="2:9" s="53" customFormat="1" x14ac:dyDescent="0.2">
      <c r="B29" s="63"/>
      <c r="C29" s="62" t="s">
        <v>94</v>
      </c>
      <c r="D29" s="61" t="s">
        <v>18</v>
      </c>
      <c r="E29" s="61" t="s">
        <v>23</v>
      </c>
      <c r="F29" s="60" t="str">
        <f>PROPER(Currency)&amp;FamilyName&amp;FixingType&amp;$C29</f>
        <v>EurLiborSwapIfrFix23Y</v>
      </c>
      <c r="G29" s="59" t="str">
        <f>_xll.qlLiborSwap($F29,Currency,FixingType,$C29,Currency&amp;$D29,Currency&amp;$E29,Permanent,Trigger,ObjectOverwrite)</f>
        <v>EurLiborSwapIfrFix23Y#0038</v>
      </c>
      <c r="H29" s="58" t="str">
        <f>_xll.ohRangeRetrieveError(G29)</f>
        <v/>
      </c>
      <c r="I29" s="57"/>
    </row>
    <row r="30" spans="2:9" s="53" customFormat="1" x14ac:dyDescent="0.2">
      <c r="B30" s="63"/>
      <c r="C30" s="62" t="s">
        <v>93</v>
      </c>
      <c r="D30" s="61" t="s">
        <v>18</v>
      </c>
      <c r="E30" s="61" t="s">
        <v>23</v>
      </c>
      <c r="F30" s="60" t="str">
        <f>PROPER(Currency)&amp;FamilyName&amp;FixingType&amp;$C30</f>
        <v>EurLiborSwapIfrFix24Y</v>
      </c>
      <c r="G30" s="59" t="str">
        <f>_xll.qlLiborSwap($F30,Currency,FixingType,$C30,Currency&amp;$D30,Currency&amp;$E30,Permanent,Trigger,ObjectOverwrite)</f>
        <v>EurLiborSwapIfrFix24Y#0038</v>
      </c>
      <c r="H30" s="58" t="str">
        <f>_xll.ohRangeRetrieveError(G30)</f>
        <v/>
      </c>
      <c r="I30" s="57"/>
    </row>
    <row r="31" spans="2:9" s="53" customFormat="1" x14ac:dyDescent="0.2">
      <c r="B31" s="63"/>
      <c r="C31" s="62" t="s">
        <v>92</v>
      </c>
      <c r="D31" s="61" t="s">
        <v>18</v>
      </c>
      <c r="E31" s="61" t="s">
        <v>23</v>
      </c>
      <c r="F31" s="60" t="str">
        <f>PROPER(Currency)&amp;FamilyName&amp;FixingType&amp;$C31</f>
        <v>EurLiborSwapIfrFix25Y</v>
      </c>
      <c r="G31" s="59" t="str">
        <f>_xll.qlLiborSwap($F31,Currency,FixingType,$C31,Currency&amp;$D31,Currency&amp;$E31,Permanent,Trigger,ObjectOverwrite)</f>
        <v>EurLiborSwapIfrFix25Y#0038</v>
      </c>
      <c r="H31" s="58" t="str">
        <f>_xll.ohRangeRetrieveError(G31)</f>
        <v/>
      </c>
      <c r="I31" s="57"/>
    </row>
    <row r="32" spans="2:9" s="53" customFormat="1" x14ac:dyDescent="0.2">
      <c r="B32" s="63"/>
      <c r="C32" s="62" t="s">
        <v>91</v>
      </c>
      <c r="D32" s="61" t="s">
        <v>18</v>
      </c>
      <c r="E32" s="61" t="s">
        <v>23</v>
      </c>
      <c r="F32" s="60" t="str">
        <f>PROPER(Currency)&amp;FamilyName&amp;FixingType&amp;$C32</f>
        <v>EurLiborSwapIfrFix26Y</v>
      </c>
      <c r="G32" s="59" t="str">
        <f>_xll.qlLiborSwap($F32,Currency,FixingType,$C32,Currency&amp;$D32,Currency&amp;$E32,Permanent,Trigger,ObjectOverwrite)</f>
        <v>EurLiborSwapIfrFix26Y#0038</v>
      </c>
      <c r="H32" s="58" t="str">
        <f>_xll.ohRangeRetrieveError(G32)</f>
        <v/>
      </c>
      <c r="I32" s="57"/>
    </row>
    <row r="33" spans="2:9" s="53" customFormat="1" x14ac:dyDescent="0.2">
      <c r="B33" s="63"/>
      <c r="C33" s="62" t="s">
        <v>90</v>
      </c>
      <c r="D33" s="61" t="s">
        <v>18</v>
      </c>
      <c r="E33" s="61" t="s">
        <v>23</v>
      </c>
      <c r="F33" s="60" t="str">
        <f>PROPER(Currency)&amp;FamilyName&amp;FixingType&amp;$C33</f>
        <v>EurLiborSwapIfrFix27Y</v>
      </c>
      <c r="G33" s="59" t="str">
        <f>_xll.qlLiborSwap($F33,Currency,FixingType,$C33,Currency&amp;$D33,Currency&amp;$E33,Permanent,Trigger,ObjectOverwrite)</f>
        <v>EurLiborSwapIfrFix27Y#0038</v>
      </c>
      <c r="H33" s="58" t="str">
        <f>_xll.ohRangeRetrieveError(G33)</f>
        <v/>
      </c>
      <c r="I33" s="57"/>
    </row>
    <row r="34" spans="2:9" s="53" customFormat="1" x14ac:dyDescent="0.2">
      <c r="B34" s="63"/>
      <c r="C34" s="62" t="s">
        <v>89</v>
      </c>
      <c r="D34" s="61" t="s">
        <v>18</v>
      </c>
      <c r="E34" s="61" t="s">
        <v>23</v>
      </c>
      <c r="F34" s="60" t="str">
        <f>PROPER(Currency)&amp;FamilyName&amp;FixingType&amp;$C34</f>
        <v>EurLiborSwapIfrFix28Y</v>
      </c>
      <c r="G34" s="59" t="str">
        <f>_xll.qlLiborSwap($F34,Currency,FixingType,$C34,Currency&amp;$D34,Currency&amp;$E34,Permanent,Trigger,ObjectOverwrite)</f>
        <v>EurLiborSwapIfrFix28Y#0038</v>
      </c>
      <c r="H34" s="58" t="str">
        <f>_xll.ohRangeRetrieveError(G34)</f>
        <v/>
      </c>
      <c r="I34" s="57"/>
    </row>
    <row r="35" spans="2:9" s="53" customFormat="1" x14ac:dyDescent="0.2">
      <c r="B35" s="63"/>
      <c r="C35" s="62" t="s">
        <v>88</v>
      </c>
      <c r="D35" s="61" t="s">
        <v>18</v>
      </c>
      <c r="E35" s="61" t="s">
        <v>23</v>
      </c>
      <c r="F35" s="60" t="str">
        <f>PROPER(Currency)&amp;FamilyName&amp;FixingType&amp;$C35</f>
        <v>EurLiborSwapIfrFix29Y</v>
      </c>
      <c r="G35" s="59" t="str">
        <f>_xll.qlLiborSwap($F35,Currency,FixingType,$C35,Currency&amp;$D35,Currency&amp;$E35,Permanent,Trigger,ObjectOverwrite)</f>
        <v>EurLiborSwapIfrFix29Y#0038</v>
      </c>
      <c r="H35" s="58" t="str">
        <f>_xll.ohRangeRetrieveError(G35)</f>
        <v/>
      </c>
      <c r="I35" s="57"/>
    </row>
    <row r="36" spans="2:9" s="53" customFormat="1" x14ac:dyDescent="0.2">
      <c r="B36" s="63"/>
      <c r="C36" s="62" t="s">
        <v>87</v>
      </c>
      <c r="D36" s="61" t="s">
        <v>18</v>
      </c>
      <c r="E36" s="61" t="s">
        <v>23</v>
      </c>
      <c r="F36" s="60" t="str">
        <f>PROPER(Currency)&amp;FamilyName&amp;FixingType&amp;$C36</f>
        <v>EurLiborSwapIfrFix30Y</v>
      </c>
      <c r="G36" s="59" t="str">
        <f>_xll.qlLiborSwap($F36,Currency,FixingType,$C36,Currency&amp;$D36,Currency&amp;$E36,Permanent,Trigger,ObjectOverwrite)</f>
        <v>EurLiborSwapIfrFix30Y#0038</v>
      </c>
      <c r="H36" s="58" t="str">
        <f>_xll.ohRangeRetrieveError(G36)</f>
        <v/>
      </c>
      <c r="I36" s="57"/>
    </row>
    <row r="37" spans="2:9" s="53" customFormat="1" x14ac:dyDescent="0.2">
      <c r="B37" s="63"/>
      <c r="C37" s="62" t="s">
        <v>86</v>
      </c>
      <c r="D37" s="61" t="s">
        <v>18</v>
      </c>
      <c r="E37" s="61" t="s">
        <v>23</v>
      </c>
      <c r="F37" s="60" t="str">
        <f>PROPER(Currency)&amp;FamilyName&amp;FixingType&amp;$C37</f>
        <v>EurLiborSwapIfrFix31Y</v>
      </c>
      <c r="G37" s="59" t="str">
        <f>_xll.qlLiborSwap($F37,Currency,FixingType,$C37,Currency&amp;$D37,Currency&amp;$E37,Permanent,Trigger,ObjectOverwrite)</f>
        <v>EurLiborSwapIfrFix31Y#0038</v>
      </c>
      <c r="H37" s="58" t="str">
        <f>_xll.ohRangeRetrieveError(G37)</f>
        <v/>
      </c>
      <c r="I37" s="57"/>
    </row>
    <row r="38" spans="2:9" s="53" customFormat="1" x14ac:dyDescent="0.2">
      <c r="B38" s="63"/>
      <c r="C38" s="62" t="s">
        <v>85</v>
      </c>
      <c r="D38" s="61" t="s">
        <v>18</v>
      </c>
      <c r="E38" s="61" t="s">
        <v>23</v>
      </c>
      <c r="F38" s="60" t="str">
        <f>PROPER(Currency)&amp;FamilyName&amp;FixingType&amp;$C38</f>
        <v>EurLiborSwapIfrFix32Y</v>
      </c>
      <c r="G38" s="59" t="str">
        <f>_xll.qlLiborSwap($F38,Currency,FixingType,$C38,Currency&amp;$D38,Currency&amp;$E38,Permanent,Trigger,ObjectOverwrite)</f>
        <v>EurLiborSwapIfrFix32Y#0038</v>
      </c>
      <c r="H38" s="58" t="str">
        <f>_xll.ohRangeRetrieveError(G38)</f>
        <v/>
      </c>
      <c r="I38" s="57"/>
    </row>
    <row r="39" spans="2:9" s="53" customFormat="1" x14ac:dyDescent="0.2">
      <c r="B39" s="63"/>
      <c r="C39" s="62" t="s">
        <v>84</v>
      </c>
      <c r="D39" s="61" t="s">
        <v>18</v>
      </c>
      <c r="E39" s="61" t="s">
        <v>23</v>
      </c>
      <c r="F39" s="60" t="str">
        <f>PROPER(Currency)&amp;FamilyName&amp;FixingType&amp;$C39</f>
        <v>EurLiborSwapIfrFix33Y</v>
      </c>
      <c r="G39" s="59" t="str">
        <f>_xll.qlLiborSwap($F39,Currency,FixingType,$C39,Currency&amp;$D39,Currency&amp;$E39,Permanent,Trigger,ObjectOverwrite)</f>
        <v>EurLiborSwapIfrFix33Y#0038</v>
      </c>
      <c r="H39" s="58" t="str">
        <f>_xll.ohRangeRetrieveError(G39)</f>
        <v/>
      </c>
      <c r="I39" s="57"/>
    </row>
    <row r="40" spans="2:9" s="53" customFormat="1" x14ac:dyDescent="0.2">
      <c r="B40" s="63"/>
      <c r="C40" s="62" t="s">
        <v>83</v>
      </c>
      <c r="D40" s="61" t="s">
        <v>18</v>
      </c>
      <c r="E40" s="61" t="s">
        <v>23</v>
      </c>
      <c r="F40" s="60" t="str">
        <f>PROPER(Currency)&amp;FamilyName&amp;FixingType&amp;$C40</f>
        <v>EurLiborSwapIfrFix34Y</v>
      </c>
      <c r="G40" s="59" t="str">
        <f>_xll.qlLiborSwap($F40,Currency,FixingType,$C40,Currency&amp;$D40,Currency&amp;$E40,Permanent,Trigger,ObjectOverwrite)</f>
        <v>EurLiborSwapIfrFix34Y#0038</v>
      </c>
      <c r="H40" s="58" t="str">
        <f>_xll.ohRangeRetrieveError(G40)</f>
        <v/>
      </c>
      <c r="I40" s="57"/>
    </row>
    <row r="41" spans="2:9" s="53" customFormat="1" x14ac:dyDescent="0.2">
      <c r="B41" s="63"/>
      <c r="C41" s="62" t="s">
        <v>82</v>
      </c>
      <c r="D41" s="61" t="s">
        <v>18</v>
      </c>
      <c r="E41" s="61" t="s">
        <v>23</v>
      </c>
      <c r="F41" s="60" t="str">
        <f>PROPER(Currency)&amp;FamilyName&amp;FixingType&amp;$C41</f>
        <v>EurLiborSwapIfrFix35Y</v>
      </c>
      <c r="G41" s="59" t="str">
        <f>_xll.qlLiborSwap($F41,Currency,FixingType,$C41,Currency&amp;$D41,Currency&amp;$E41,Permanent,Trigger,ObjectOverwrite)</f>
        <v>EurLiborSwapIfrFix35Y#0038</v>
      </c>
      <c r="H41" s="58" t="str">
        <f>_xll.ohRangeRetrieveError(G41)</f>
        <v/>
      </c>
      <c r="I41" s="57"/>
    </row>
    <row r="42" spans="2:9" s="53" customFormat="1" x14ac:dyDescent="0.2">
      <c r="B42" s="63"/>
      <c r="C42" s="62" t="s">
        <v>81</v>
      </c>
      <c r="D42" s="61" t="s">
        <v>18</v>
      </c>
      <c r="E42" s="61" t="s">
        <v>23</v>
      </c>
      <c r="F42" s="60" t="str">
        <f>PROPER(Currency)&amp;FamilyName&amp;FixingType&amp;$C42</f>
        <v>EurLiborSwapIfrFix36Y</v>
      </c>
      <c r="G42" s="59" t="str">
        <f>_xll.qlLiborSwap($F42,Currency,FixingType,$C42,Currency&amp;$D42,Currency&amp;$E42,Permanent,Trigger,ObjectOverwrite)</f>
        <v>EurLiborSwapIfrFix36Y#0038</v>
      </c>
      <c r="H42" s="58" t="str">
        <f>_xll.ohRangeRetrieveError(G42)</f>
        <v/>
      </c>
      <c r="I42" s="57"/>
    </row>
    <row r="43" spans="2:9" s="53" customFormat="1" x14ac:dyDescent="0.2">
      <c r="B43" s="63"/>
      <c r="C43" s="62" t="s">
        <v>80</v>
      </c>
      <c r="D43" s="61" t="s">
        <v>18</v>
      </c>
      <c r="E43" s="61" t="s">
        <v>23</v>
      </c>
      <c r="F43" s="60" t="str">
        <f>PROPER(Currency)&amp;FamilyName&amp;FixingType&amp;$C43</f>
        <v>EurLiborSwapIfrFix37Y</v>
      </c>
      <c r="G43" s="59" t="str">
        <f>_xll.qlLiborSwap($F43,Currency,FixingType,$C43,Currency&amp;$D43,Currency&amp;$E43,Permanent,Trigger,ObjectOverwrite)</f>
        <v>EurLiborSwapIfrFix37Y#0038</v>
      </c>
      <c r="H43" s="58" t="str">
        <f>_xll.ohRangeRetrieveError(G43)</f>
        <v/>
      </c>
      <c r="I43" s="57"/>
    </row>
    <row r="44" spans="2:9" s="53" customFormat="1" x14ac:dyDescent="0.2">
      <c r="B44" s="63"/>
      <c r="C44" s="62" t="s">
        <v>79</v>
      </c>
      <c r="D44" s="61" t="s">
        <v>18</v>
      </c>
      <c r="E44" s="61" t="s">
        <v>23</v>
      </c>
      <c r="F44" s="60" t="str">
        <f>PROPER(Currency)&amp;FamilyName&amp;FixingType&amp;$C44</f>
        <v>EurLiborSwapIfrFix38Y</v>
      </c>
      <c r="G44" s="59" t="str">
        <f>_xll.qlLiborSwap($F44,Currency,FixingType,$C44,Currency&amp;$D44,Currency&amp;$E44,Permanent,Trigger,ObjectOverwrite)</f>
        <v>EurLiborSwapIfrFix38Y#0038</v>
      </c>
      <c r="H44" s="58" t="str">
        <f>_xll.ohRangeRetrieveError(G44)</f>
        <v/>
      </c>
      <c r="I44" s="57"/>
    </row>
    <row r="45" spans="2:9" s="53" customFormat="1" x14ac:dyDescent="0.2">
      <c r="B45" s="63"/>
      <c r="C45" s="62" t="s">
        <v>78</v>
      </c>
      <c r="D45" s="61" t="s">
        <v>18</v>
      </c>
      <c r="E45" s="61" t="s">
        <v>23</v>
      </c>
      <c r="F45" s="60" t="str">
        <f>PROPER(Currency)&amp;FamilyName&amp;FixingType&amp;$C45</f>
        <v>EurLiborSwapIfrFix39Y</v>
      </c>
      <c r="G45" s="59" t="str">
        <f>_xll.qlLiborSwap($F45,Currency,FixingType,$C45,Currency&amp;$D45,Currency&amp;$E45,Permanent,Trigger,ObjectOverwrite)</f>
        <v>EurLiborSwapIfrFix39Y#0038</v>
      </c>
      <c r="H45" s="58" t="str">
        <f>_xll.ohRangeRetrieveError(G45)</f>
        <v/>
      </c>
      <c r="I45" s="57"/>
    </row>
    <row r="46" spans="2:9" s="53" customFormat="1" x14ac:dyDescent="0.2">
      <c r="B46" s="63"/>
      <c r="C46" s="62" t="s">
        <v>77</v>
      </c>
      <c r="D46" s="61" t="s">
        <v>18</v>
      </c>
      <c r="E46" s="61" t="s">
        <v>23</v>
      </c>
      <c r="F46" s="60" t="str">
        <f>PROPER(Currency)&amp;FamilyName&amp;FixingType&amp;$C46</f>
        <v>EurLiborSwapIfrFix40Y</v>
      </c>
      <c r="G46" s="59" t="str">
        <f>_xll.qlLiborSwap($F46,Currency,FixingType,$C46,Currency&amp;$D46,Currency&amp;$E46,Permanent,Trigger,ObjectOverwrite)</f>
        <v>EurLiborSwapIfrFix40Y#0038</v>
      </c>
      <c r="H46" s="58" t="str">
        <f>_xll.ohRangeRetrieveError(G46)</f>
        <v/>
      </c>
      <c r="I46" s="57"/>
    </row>
    <row r="47" spans="2:9" s="53" customFormat="1" x14ac:dyDescent="0.2">
      <c r="B47" s="63"/>
      <c r="C47" s="62" t="s">
        <v>76</v>
      </c>
      <c r="D47" s="61" t="s">
        <v>18</v>
      </c>
      <c r="E47" s="61" t="s">
        <v>23</v>
      </c>
      <c r="F47" s="60" t="str">
        <f>PROPER(Currency)&amp;FamilyName&amp;FixingType&amp;$C47</f>
        <v>EurLiborSwapIfrFix41Y</v>
      </c>
      <c r="G47" s="59" t="str">
        <f>_xll.qlLiborSwap($F47,Currency,FixingType,$C47,Currency&amp;$D47,Currency&amp;$E47,Permanent,Trigger,ObjectOverwrite)</f>
        <v>EurLiborSwapIfrFix41Y#0038</v>
      </c>
      <c r="H47" s="58" t="str">
        <f>_xll.ohRangeRetrieveError(G47)</f>
        <v/>
      </c>
      <c r="I47" s="57"/>
    </row>
    <row r="48" spans="2:9" s="53" customFormat="1" x14ac:dyDescent="0.2">
      <c r="B48" s="63"/>
      <c r="C48" s="62" t="s">
        <v>75</v>
      </c>
      <c r="D48" s="61" t="s">
        <v>18</v>
      </c>
      <c r="E48" s="61" t="s">
        <v>23</v>
      </c>
      <c r="F48" s="60" t="str">
        <f>PROPER(Currency)&amp;FamilyName&amp;FixingType&amp;$C48</f>
        <v>EurLiborSwapIfrFix42Y</v>
      </c>
      <c r="G48" s="59" t="str">
        <f>_xll.qlLiborSwap($F48,Currency,FixingType,$C48,Currency&amp;$D48,Currency&amp;$E48,Permanent,Trigger,ObjectOverwrite)</f>
        <v>EurLiborSwapIfrFix42Y#0038</v>
      </c>
      <c r="H48" s="58" t="str">
        <f>_xll.ohRangeRetrieveError(G48)</f>
        <v/>
      </c>
      <c r="I48" s="57"/>
    </row>
    <row r="49" spans="2:9" s="53" customFormat="1" x14ac:dyDescent="0.2">
      <c r="B49" s="63"/>
      <c r="C49" s="62" t="s">
        <v>74</v>
      </c>
      <c r="D49" s="61" t="s">
        <v>18</v>
      </c>
      <c r="E49" s="61" t="s">
        <v>23</v>
      </c>
      <c r="F49" s="60" t="str">
        <f>PROPER(Currency)&amp;FamilyName&amp;FixingType&amp;$C49</f>
        <v>EurLiborSwapIfrFix43Y</v>
      </c>
      <c r="G49" s="59" t="str">
        <f>_xll.qlLiborSwap($F49,Currency,FixingType,$C49,Currency&amp;$D49,Currency&amp;$E49,Permanent,Trigger,ObjectOverwrite)</f>
        <v>EurLiborSwapIfrFix43Y#0038</v>
      </c>
      <c r="H49" s="58" t="str">
        <f>_xll.ohRangeRetrieveError(G49)</f>
        <v/>
      </c>
      <c r="I49" s="57"/>
    </row>
    <row r="50" spans="2:9" s="53" customFormat="1" x14ac:dyDescent="0.2">
      <c r="B50" s="63"/>
      <c r="C50" s="62" t="s">
        <v>73</v>
      </c>
      <c r="D50" s="61" t="s">
        <v>18</v>
      </c>
      <c r="E50" s="61" t="s">
        <v>23</v>
      </c>
      <c r="F50" s="60" t="str">
        <f>PROPER(Currency)&amp;FamilyName&amp;FixingType&amp;$C50</f>
        <v>EurLiborSwapIfrFix44Y</v>
      </c>
      <c r="G50" s="59" t="str">
        <f>_xll.qlLiborSwap($F50,Currency,FixingType,$C50,Currency&amp;$D50,Currency&amp;$E50,Permanent,Trigger,ObjectOverwrite)</f>
        <v>EurLiborSwapIfrFix44Y#0038</v>
      </c>
      <c r="H50" s="58" t="str">
        <f>_xll.ohRangeRetrieveError(G50)</f>
        <v/>
      </c>
      <c r="I50" s="57"/>
    </row>
    <row r="51" spans="2:9" s="53" customFormat="1" x14ac:dyDescent="0.2">
      <c r="B51" s="63"/>
      <c r="C51" s="62" t="s">
        <v>72</v>
      </c>
      <c r="D51" s="61" t="s">
        <v>18</v>
      </c>
      <c r="E51" s="61" t="s">
        <v>23</v>
      </c>
      <c r="F51" s="60" t="str">
        <f>PROPER(Currency)&amp;FamilyName&amp;FixingType&amp;$C51</f>
        <v>EurLiborSwapIfrFix45Y</v>
      </c>
      <c r="G51" s="59" t="str">
        <f>_xll.qlLiborSwap($F51,Currency,FixingType,$C51,Currency&amp;$D51,Currency&amp;$E51,Permanent,Trigger,ObjectOverwrite)</f>
        <v>EurLiborSwapIfrFix45Y#0038</v>
      </c>
      <c r="H51" s="58" t="str">
        <f>_xll.ohRangeRetrieveError(G51)</f>
        <v/>
      </c>
      <c r="I51" s="57"/>
    </row>
    <row r="52" spans="2:9" s="53" customFormat="1" x14ac:dyDescent="0.2">
      <c r="B52" s="63"/>
      <c r="C52" s="62" t="s">
        <v>71</v>
      </c>
      <c r="D52" s="61" t="s">
        <v>18</v>
      </c>
      <c r="E52" s="61" t="s">
        <v>23</v>
      </c>
      <c r="F52" s="60" t="str">
        <f>PROPER(Currency)&amp;FamilyName&amp;FixingType&amp;$C52</f>
        <v>EurLiborSwapIfrFix46Y</v>
      </c>
      <c r="G52" s="59" t="str">
        <f>_xll.qlLiborSwap($F52,Currency,FixingType,$C52,Currency&amp;$D52,Currency&amp;$E52,Permanent,Trigger,ObjectOverwrite)</f>
        <v>EurLiborSwapIfrFix46Y#0038</v>
      </c>
      <c r="H52" s="58" t="str">
        <f>_xll.ohRangeRetrieveError(G52)</f>
        <v/>
      </c>
      <c r="I52" s="57"/>
    </row>
    <row r="53" spans="2:9" s="53" customFormat="1" x14ac:dyDescent="0.2">
      <c r="B53" s="63"/>
      <c r="C53" s="62" t="s">
        <v>70</v>
      </c>
      <c r="D53" s="61" t="s">
        <v>18</v>
      </c>
      <c r="E53" s="61" t="s">
        <v>23</v>
      </c>
      <c r="F53" s="60" t="str">
        <f>PROPER(Currency)&amp;FamilyName&amp;FixingType&amp;$C53</f>
        <v>EurLiborSwapIfrFix47Y</v>
      </c>
      <c r="G53" s="59" t="str">
        <f>_xll.qlLiborSwap($F53,Currency,FixingType,$C53,Currency&amp;$D53,Currency&amp;$E53,Permanent,Trigger,ObjectOverwrite)</f>
        <v>EurLiborSwapIfrFix47Y#0038</v>
      </c>
      <c r="H53" s="58" t="str">
        <f>_xll.ohRangeRetrieveError(G53)</f>
        <v/>
      </c>
      <c r="I53" s="57"/>
    </row>
    <row r="54" spans="2:9" s="53" customFormat="1" x14ac:dyDescent="0.2">
      <c r="B54" s="63"/>
      <c r="C54" s="62" t="s">
        <v>69</v>
      </c>
      <c r="D54" s="61" t="s">
        <v>18</v>
      </c>
      <c r="E54" s="61" t="s">
        <v>23</v>
      </c>
      <c r="F54" s="60" t="str">
        <f>PROPER(Currency)&amp;FamilyName&amp;FixingType&amp;$C54</f>
        <v>EurLiborSwapIfrFix48Y</v>
      </c>
      <c r="G54" s="59" t="str">
        <f>_xll.qlLiborSwap($F54,Currency,FixingType,$C54,Currency&amp;$D54,Currency&amp;$E54,Permanent,Trigger,ObjectOverwrite)</f>
        <v>EurLiborSwapIfrFix48Y#0038</v>
      </c>
      <c r="H54" s="58" t="str">
        <f>_xll.ohRangeRetrieveError(G54)</f>
        <v/>
      </c>
      <c r="I54" s="57"/>
    </row>
    <row r="55" spans="2:9" s="53" customFormat="1" x14ac:dyDescent="0.2">
      <c r="B55" s="63"/>
      <c r="C55" s="62" t="s">
        <v>68</v>
      </c>
      <c r="D55" s="61" t="s">
        <v>18</v>
      </c>
      <c r="E55" s="61" t="s">
        <v>23</v>
      </c>
      <c r="F55" s="60" t="str">
        <f>PROPER(Currency)&amp;FamilyName&amp;FixingType&amp;$C55</f>
        <v>EurLiborSwapIfrFix49Y</v>
      </c>
      <c r="G55" s="59" t="str">
        <f>_xll.qlLiborSwap($F55,Currency,FixingType,$C55,Currency&amp;$D55,Currency&amp;$E55,Permanent,Trigger,ObjectOverwrite)</f>
        <v>EurLiborSwapIfrFix49Y#0038</v>
      </c>
      <c r="H55" s="58" t="str">
        <f>_xll.ohRangeRetrieveError(G55)</f>
        <v/>
      </c>
      <c r="I55" s="57"/>
    </row>
    <row r="56" spans="2:9" s="53" customFormat="1" x14ac:dyDescent="0.2">
      <c r="B56" s="63"/>
      <c r="C56" s="62" t="s">
        <v>67</v>
      </c>
      <c r="D56" s="61" t="s">
        <v>18</v>
      </c>
      <c r="E56" s="61" t="s">
        <v>23</v>
      </c>
      <c r="F56" s="60" t="str">
        <f>PROPER(Currency)&amp;FamilyName&amp;FixingType&amp;$C56</f>
        <v>EurLiborSwapIfrFix50Y</v>
      </c>
      <c r="G56" s="59" t="str">
        <f>_xll.qlLiborSwap($F56,Currency,FixingType,$C56,Currency&amp;$D56,Currency&amp;$E56,Permanent,Trigger,ObjectOverwrite)</f>
        <v>EurLiborSwapIfrFix50Y#0038</v>
      </c>
      <c r="H56" s="58" t="str">
        <f>_xll.ohRangeRetrieveError(G56)</f>
        <v/>
      </c>
      <c r="I56" s="57"/>
    </row>
    <row r="57" spans="2:9" s="53" customFormat="1" x14ac:dyDescent="0.2">
      <c r="B57" s="63"/>
      <c r="C57" s="62" t="s">
        <v>66</v>
      </c>
      <c r="D57" s="61" t="s">
        <v>18</v>
      </c>
      <c r="E57" s="61" t="s">
        <v>23</v>
      </c>
      <c r="F57" s="60" t="str">
        <f>PROPER(Currency)&amp;FamilyName&amp;FixingType&amp;$C57</f>
        <v>EurLiborSwapIfrFix51Y</v>
      </c>
      <c r="G57" s="59" t="str">
        <f>_xll.qlLiborSwap($F57,Currency,FixingType,$C57,Currency&amp;$D57,Currency&amp;$E57,Permanent,Trigger,ObjectOverwrite)</f>
        <v>EurLiborSwapIfrFix51Y#0038</v>
      </c>
      <c r="H57" s="58" t="str">
        <f>_xll.ohRangeRetrieveError(G57)</f>
        <v/>
      </c>
      <c r="I57" s="57"/>
    </row>
    <row r="58" spans="2:9" s="53" customFormat="1" x14ac:dyDescent="0.2">
      <c r="B58" s="63"/>
      <c r="C58" s="62" t="s">
        <v>65</v>
      </c>
      <c r="D58" s="61" t="s">
        <v>18</v>
      </c>
      <c r="E58" s="61" t="s">
        <v>23</v>
      </c>
      <c r="F58" s="60" t="str">
        <f>PROPER(Currency)&amp;FamilyName&amp;FixingType&amp;$C58</f>
        <v>EurLiborSwapIfrFix52Y</v>
      </c>
      <c r="G58" s="59" t="str">
        <f>_xll.qlLiborSwap($F58,Currency,FixingType,$C58,Currency&amp;$D58,Currency&amp;$E58,Permanent,Trigger,ObjectOverwrite)</f>
        <v>EurLiborSwapIfrFix52Y#0038</v>
      </c>
      <c r="H58" s="58" t="str">
        <f>_xll.ohRangeRetrieveError(G58)</f>
        <v/>
      </c>
      <c r="I58" s="57"/>
    </row>
    <row r="59" spans="2:9" s="53" customFormat="1" x14ac:dyDescent="0.2">
      <c r="B59" s="63"/>
      <c r="C59" s="62" t="s">
        <v>64</v>
      </c>
      <c r="D59" s="61" t="s">
        <v>18</v>
      </c>
      <c r="E59" s="61" t="s">
        <v>23</v>
      </c>
      <c r="F59" s="60" t="str">
        <f>PROPER(Currency)&amp;FamilyName&amp;FixingType&amp;$C59</f>
        <v>EurLiborSwapIfrFix53Y</v>
      </c>
      <c r="G59" s="59" t="str">
        <f>_xll.qlLiborSwap($F59,Currency,FixingType,$C59,Currency&amp;$D59,Currency&amp;$E59,Permanent,Trigger,ObjectOverwrite)</f>
        <v>EurLiborSwapIfrFix53Y#0038</v>
      </c>
      <c r="H59" s="58" t="str">
        <f>_xll.ohRangeRetrieveError(G59)</f>
        <v/>
      </c>
      <c r="I59" s="57"/>
    </row>
    <row r="60" spans="2:9" s="53" customFormat="1" x14ac:dyDescent="0.2">
      <c r="B60" s="63"/>
      <c r="C60" s="62" t="s">
        <v>63</v>
      </c>
      <c r="D60" s="61" t="s">
        <v>18</v>
      </c>
      <c r="E60" s="61" t="s">
        <v>23</v>
      </c>
      <c r="F60" s="60" t="str">
        <f>PROPER(Currency)&amp;FamilyName&amp;FixingType&amp;$C60</f>
        <v>EurLiborSwapIfrFix54Y</v>
      </c>
      <c r="G60" s="59" t="str">
        <f>_xll.qlLiborSwap($F60,Currency,FixingType,$C60,Currency&amp;$D60,Currency&amp;$E60,Permanent,Trigger,ObjectOverwrite)</f>
        <v>EurLiborSwapIfrFix54Y#0038</v>
      </c>
      <c r="H60" s="58" t="str">
        <f>_xll.ohRangeRetrieveError(G60)</f>
        <v/>
      </c>
      <c r="I60" s="57"/>
    </row>
    <row r="61" spans="2:9" s="53" customFormat="1" x14ac:dyDescent="0.2">
      <c r="B61" s="63"/>
      <c r="C61" s="62" t="s">
        <v>62</v>
      </c>
      <c r="D61" s="61" t="s">
        <v>18</v>
      </c>
      <c r="E61" s="61" t="s">
        <v>23</v>
      </c>
      <c r="F61" s="60" t="str">
        <f>PROPER(Currency)&amp;FamilyName&amp;FixingType&amp;$C61</f>
        <v>EurLiborSwapIfrFix55Y</v>
      </c>
      <c r="G61" s="59" t="str">
        <f>_xll.qlLiborSwap($F61,Currency,FixingType,$C61,Currency&amp;$D61,Currency&amp;$E61,Permanent,Trigger,ObjectOverwrite)</f>
        <v>EurLiborSwapIfrFix55Y#0038</v>
      </c>
      <c r="H61" s="58" t="str">
        <f>_xll.ohRangeRetrieveError(G61)</f>
        <v/>
      </c>
      <c r="I61" s="57"/>
    </row>
    <row r="62" spans="2:9" s="53" customFormat="1" x14ac:dyDescent="0.2">
      <c r="B62" s="63"/>
      <c r="C62" s="62" t="s">
        <v>61</v>
      </c>
      <c r="D62" s="61" t="s">
        <v>18</v>
      </c>
      <c r="E62" s="61" t="s">
        <v>23</v>
      </c>
      <c r="F62" s="60" t="str">
        <f>PROPER(Currency)&amp;FamilyName&amp;FixingType&amp;$C62</f>
        <v>EurLiborSwapIfrFix56Y</v>
      </c>
      <c r="G62" s="59" t="str">
        <f>_xll.qlLiborSwap($F62,Currency,FixingType,$C62,Currency&amp;$D62,Currency&amp;$E62,Permanent,Trigger,ObjectOverwrite)</f>
        <v>EurLiborSwapIfrFix56Y#0038</v>
      </c>
      <c r="H62" s="58" t="str">
        <f>_xll.ohRangeRetrieveError(G62)</f>
        <v/>
      </c>
      <c r="I62" s="57"/>
    </row>
    <row r="63" spans="2:9" s="53" customFormat="1" x14ac:dyDescent="0.2">
      <c r="B63" s="63"/>
      <c r="C63" s="62" t="s">
        <v>60</v>
      </c>
      <c r="D63" s="61" t="s">
        <v>18</v>
      </c>
      <c r="E63" s="61" t="s">
        <v>23</v>
      </c>
      <c r="F63" s="60" t="str">
        <f>PROPER(Currency)&amp;FamilyName&amp;FixingType&amp;$C63</f>
        <v>EurLiborSwapIfrFix57Y</v>
      </c>
      <c r="G63" s="59" t="str">
        <f>_xll.qlLiborSwap($F63,Currency,FixingType,$C63,Currency&amp;$D63,Currency&amp;$E63,Permanent,Trigger,ObjectOverwrite)</f>
        <v>EurLiborSwapIfrFix57Y#0038</v>
      </c>
      <c r="H63" s="58" t="str">
        <f>_xll.ohRangeRetrieveError(G63)</f>
        <v/>
      </c>
      <c r="I63" s="57"/>
    </row>
    <row r="64" spans="2:9" s="53" customFormat="1" x14ac:dyDescent="0.2">
      <c r="B64" s="63"/>
      <c r="C64" s="62" t="s">
        <v>59</v>
      </c>
      <c r="D64" s="61" t="s">
        <v>18</v>
      </c>
      <c r="E64" s="61" t="s">
        <v>23</v>
      </c>
      <c r="F64" s="60" t="str">
        <f>PROPER(Currency)&amp;FamilyName&amp;FixingType&amp;$C64</f>
        <v>EurLiborSwapIfrFix58Y</v>
      </c>
      <c r="G64" s="59" t="str">
        <f>_xll.qlLiborSwap($F64,Currency,FixingType,$C64,Currency&amp;$D64,Currency&amp;$E64,Permanent,Trigger,ObjectOverwrite)</f>
        <v>EurLiborSwapIfrFix58Y#0038</v>
      </c>
      <c r="H64" s="58" t="str">
        <f>_xll.ohRangeRetrieveError(G64)</f>
        <v/>
      </c>
      <c r="I64" s="57"/>
    </row>
    <row r="65" spans="2:9" s="53" customFormat="1" x14ac:dyDescent="0.2">
      <c r="B65" s="63"/>
      <c r="C65" s="62" t="s">
        <v>58</v>
      </c>
      <c r="D65" s="61" t="s">
        <v>18</v>
      </c>
      <c r="E65" s="61" t="s">
        <v>23</v>
      </c>
      <c r="F65" s="60" t="str">
        <f>PROPER(Currency)&amp;FamilyName&amp;FixingType&amp;$C65</f>
        <v>EurLiborSwapIfrFix59Y</v>
      </c>
      <c r="G65" s="59" t="str">
        <f>_xll.qlLiborSwap($F65,Currency,FixingType,$C65,Currency&amp;$D65,Currency&amp;$E65,Permanent,Trigger,ObjectOverwrite)</f>
        <v>EurLiborSwapIfrFix59Y#0038</v>
      </c>
      <c r="H65" s="58" t="str">
        <f>_xll.ohRangeRetrieveError(G65)</f>
        <v/>
      </c>
      <c r="I65" s="57"/>
    </row>
    <row r="66" spans="2:9" s="53" customFormat="1" x14ac:dyDescent="0.2">
      <c r="B66" s="63"/>
      <c r="C66" s="62" t="s">
        <v>57</v>
      </c>
      <c r="D66" s="61" t="s">
        <v>18</v>
      </c>
      <c r="E66" s="61" t="s">
        <v>23</v>
      </c>
      <c r="F66" s="60" t="str">
        <f>PROPER(Currency)&amp;FamilyName&amp;FixingType&amp;$C66</f>
        <v>EurLiborSwapIfrFix60Y</v>
      </c>
      <c r="G66" s="59" t="str">
        <f>_xll.qlLiborSwap($F66,Currency,FixingType,$C66,Currency&amp;$D66,Currency&amp;$E66,Permanent,Trigger,ObjectOverwrite)</f>
        <v>EurLiborSwapIfrFix60Y#0038</v>
      </c>
      <c r="H66" s="58" t="str">
        <f>_xll.ohRangeRetrieveError(G66)</f>
        <v/>
      </c>
      <c r="I66" s="57"/>
    </row>
    <row r="67" spans="2:9" s="53" customFormat="1" ht="12" thickBot="1" x14ac:dyDescent="0.25">
      <c r="B67" s="56"/>
      <c r="C67" s="55"/>
      <c r="D67" s="55"/>
      <c r="E67" s="55"/>
      <c r="F67" s="55"/>
      <c r="G67" s="55"/>
      <c r="H67" s="55"/>
      <c r="I67" s="54"/>
    </row>
    <row r="68" spans="2:9" s="5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1"/>
  <sheetViews>
    <sheetView workbookViewId="0"/>
  </sheetViews>
  <sheetFormatPr defaultColWidth="8" defaultRowHeight="11.25" x14ac:dyDescent="0.2"/>
  <cols>
    <col min="1" max="1" width="6.140625" style="29" customWidth="1"/>
    <col min="2" max="2" width="4.28515625" style="29" customWidth="1"/>
    <col min="3" max="3" width="15.5703125" style="29" bestFit="1" customWidth="1"/>
    <col min="4" max="4" width="75.42578125" style="29" bestFit="1" customWidth="1"/>
    <col min="5" max="5" width="4.7109375" style="29" customWidth="1"/>
    <col min="6" max="6" width="35.28515625" style="29" customWidth="1"/>
    <col min="7" max="7" width="4.28515625" style="29" customWidth="1"/>
    <col min="8" max="16384" width="8" style="29"/>
  </cols>
  <sheetData>
    <row r="1" spans="1:5" ht="13.5" thickBot="1" x14ac:dyDescent="0.25">
      <c r="A1" s="29" t="s">
        <v>128</v>
      </c>
      <c r="B1" s="76" t="str">
        <f>_xll.qlxlVersion(TRUE,Trigger)</f>
        <v>QuantLibXL 1.3.0 - MS VC++ 9.0 - Multithreaded Static Runtime library - Release Configuration - Dec  5 2013 11:03:51</v>
      </c>
    </row>
    <row r="2" spans="1:5" s="1" customFormat="1" ht="15.75" x14ac:dyDescent="0.25">
      <c r="A2" s="23"/>
      <c r="B2" s="28" t="s">
        <v>32</v>
      </c>
      <c r="C2" s="27"/>
      <c r="D2" s="27"/>
      <c r="E2" s="26"/>
    </row>
    <row r="3" spans="1:5" s="1" customFormat="1" ht="12.75" x14ac:dyDescent="0.2">
      <c r="A3" s="23"/>
      <c r="B3" s="9"/>
      <c r="C3" s="13"/>
      <c r="D3" s="13"/>
      <c r="E3" s="5"/>
    </row>
    <row r="4" spans="1:5" s="1" customFormat="1" ht="12.75" x14ac:dyDescent="0.2">
      <c r="A4" s="23"/>
      <c r="B4" s="9"/>
      <c r="C4" s="16" t="s">
        <v>31</v>
      </c>
      <c r="D4" s="15"/>
      <c r="E4" s="14"/>
    </row>
    <row r="5" spans="1:5" s="1" customFormat="1" ht="12.75" x14ac:dyDescent="0.2">
      <c r="A5" s="23"/>
      <c r="B5" s="9"/>
      <c r="C5" s="16" t="s">
        <v>25</v>
      </c>
      <c r="D5" s="44" t="s">
        <v>123</v>
      </c>
      <c r="E5" s="14"/>
    </row>
    <row r="6" spans="1:5" s="1" customFormat="1" ht="12.75" x14ac:dyDescent="0.2">
      <c r="A6" s="23"/>
      <c r="B6" s="9"/>
      <c r="C6" s="16" t="s">
        <v>30</v>
      </c>
      <c r="D6" s="15" t="b">
        <v>1</v>
      </c>
      <c r="E6" s="14"/>
    </row>
    <row r="7" spans="1:5" s="1" customFormat="1" ht="12.75" x14ac:dyDescent="0.2">
      <c r="A7" s="23"/>
      <c r="B7" s="9"/>
      <c r="C7" s="16" t="s">
        <v>29</v>
      </c>
      <c r="D7" s="15" t="b">
        <v>0</v>
      </c>
      <c r="E7" s="14"/>
    </row>
    <row r="8" spans="1:5" s="1" customFormat="1" ht="12.75" x14ac:dyDescent="0.2">
      <c r="A8" s="23"/>
      <c r="B8" s="9"/>
      <c r="C8" s="16" t="s">
        <v>28</v>
      </c>
      <c r="D8" s="15" t="b">
        <v>1</v>
      </c>
      <c r="E8" s="14"/>
    </row>
    <row r="9" spans="1:5" s="1" customFormat="1" ht="12.75" x14ac:dyDescent="0.2">
      <c r="A9" s="23"/>
      <c r="B9" s="9"/>
      <c r="C9" s="16" t="s">
        <v>27</v>
      </c>
      <c r="D9" s="25" t="str">
        <f ca="1">SUBSTITUTE(LEFT(CELL("filename",A1),FIND("[",CELL("filename",A1),1)-1),"\XLS\","\XML\")</f>
        <v>C:\Users\erik\Documents\repos\quantlib_nando\QuantLibXL\Data2\XML\</v>
      </c>
      <c r="E9" s="14"/>
    </row>
    <row r="10" spans="1:5" s="1" customFormat="1" ht="12.75" x14ac:dyDescent="0.2">
      <c r="A10" s="23"/>
      <c r="B10" s="9"/>
      <c r="C10" s="16" t="s">
        <v>26</v>
      </c>
      <c r="D10" s="24" t="b">
        <v>1</v>
      </c>
      <c r="E10" s="14"/>
    </row>
    <row r="11" spans="1:5" s="1" customFormat="1" ht="13.5" thickBot="1" x14ac:dyDescent="0.25">
      <c r="A11" s="23"/>
      <c r="B11" s="4"/>
      <c r="C11" s="3"/>
      <c r="D11" s="3"/>
      <c r="E11" s="2"/>
    </row>
  </sheetData>
  <mergeCells count="1">
    <mergeCell ref="B2:E2"/>
  </mergeCells>
  <dataValidations count="1">
    <dataValidation type="list" allowBlank="1" showInputMessage="1" showErrorMessage="1" sqref="D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1"/>
  <sheetViews>
    <sheetView workbookViewId="0"/>
  </sheetViews>
  <sheetFormatPr defaultRowHeight="11.25" x14ac:dyDescent="0.2"/>
  <cols>
    <col min="1" max="1" width="3.7109375" style="77" customWidth="1"/>
    <col min="2" max="2" width="6.5703125" style="21" bestFit="1" customWidth="1"/>
    <col min="3" max="4" width="2.7109375" style="77" bestFit="1" customWidth="1"/>
    <col min="5" max="5" width="17.85546875" style="77" bestFit="1" customWidth="1"/>
    <col min="6" max="6" width="19.7109375" style="78" bestFit="1" customWidth="1"/>
    <col min="7" max="7" width="38.28515625" style="77" customWidth="1"/>
    <col min="8" max="8" width="4.42578125" style="77" customWidth="1"/>
    <col min="9" max="12" width="3.5703125" style="77" customWidth="1"/>
    <col min="13" max="16384" width="9.140625" style="77"/>
  </cols>
  <sheetData>
    <row r="1" spans="1:12" x14ac:dyDescent="0.2">
      <c r="A1" s="117" t="s">
        <v>151</v>
      </c>
      <c r="B1" s="107"/>
      <c r="C1" s="107"/>
      <c r="D1" s="107"/>
      <c r="E1" s="105"/>
      <c r="F1" s="106"/>
      <c r="G1" s="105"/>
      <c r="H1" s="104"/>
    </row>
    <row r="2" spans="1:12" x14ac:dyDescent="0.2">
      <c r="A2" s="89"/>
      <c r="B2" s="102" t="s">
        <v>141</v>
      </c>
      <c r="C2" s="103"/>
      <c r="D2" s="102"/>
      <c r="E2" s="101" t="str">
        <f>Currency&amp;"_010_Sw"&amp;$C$4&amp;$D$4&amp;".xml"</f>
        <v>EUR_010_Sw1E6E.xml</v>
      </c>
      <c r="F2" s="100">
        <f ca="1">IF(Serialize,_xll.ohObjectSave(F3:F40,SerializationPath&amp;E2,FileOverwrite,Serialize),"---")</f>
        <v>38</v>
      </c>
      <c r="G2" s="84" t="str">
        <f ca="1">_xll.ohRangeRetrieveError(F2)</f>
        <v/>
      </c>
      <c r="H2" s="83"/>
    </row>
    <row r="3" spans="1:12" x14ac:dyDescent="0.2">
      <c r="A3" s="89"/>
      <c r="B3" s="99" t="s">
        <v>40</v>
      </c>
      <c r="C3" s="87" t="str">
        <f>VLOOKUP(Currency,$J$8:$L$12,2)</f>
        <v>1E</v>
      </c>
      <c r="D3" s="86" t="str">
        <f>VLOOKUP(Currency,$J$8:$L$12,3)</f>
        <v>6E</v>
      </c>
      <c r="E3" s="85" t="str">
        <f>IF(ISBLANK(C3),"#",Currency&amp;$C3&amp;$D3&amp;$B3&amp;QuoteSuffix)</f>
        <v>EUR1E6E6M_Quote</v>
      </c>
      <c r="F3" s="85" t="str">
        <f>_xll.qlSimpleQuote(E3,,RateTickValue,Permanent,Trigger,ObjectOverwrite)</f>
        <v>EUR1E6E6M_Quote#0036</v>
      </c>
      <c r="G3" s="84" t="str">
        <f>_xll.ohRangeRetrieveError(F3)</f>
        <v/>
      </c>
      <c r="H3" s="83"/>
    </row>
    <row r="4" spans="1:12" x14ac:dyDescent="0.2">
      <c r="A4" s="89"/>
      <c r="B4" s="99" t="s">
        <v>34</v>
      </c>
      <c r="C4" s="87" t="str">
        <f>C3</f>
        <v>1E</v>
      </c>
      <c r="D4" s="86" t="str">
        <f>D3</f>
        <v>6E</v>
      </c>
      <c r="E4" s="85" t="str">
        <f>IF(ISBLANK(C4),"#",Currency&amp;$C4&amp;$D4&amp;$B4&amp;QuoteSuffix)</f>
        <v>EUR1E6E1Y_Quote</v>
      </c>
      <c r="F4" s="85" t="str">
        <f>_xll.qlSimpleQuote(E4,,RateTickValue,Permanent,Trigger,ObjectOverwrite)</f>
        <v>EUR1E6E1Y_Quote#0036</v>
      </c>
      <c r="G4" s="84" t="str">
        <f>_xll.ohRangeRetrieveError(F4)</f>
        <v/>
      </c>
      <c r="H4" s="83"/>
    </row>
    <row r="5" spans="1:12" s="20" customFormat="1" ht="12.75" x14ac:dyDescent="0.2">
      <c r="A5" s="89"/>
      <c r="B5" s="99" t="s">
        <v>140</v>
      </c>
      <c r="C5" s="87" t="str">
        <f>C4</f>
        <v>1E</v>
      </c>
      <c r="D5" s="86" t="str">
        <f>D4</f>
        <v>6E</v>
      </c>
      <c r="E5" s="85" t="str">
        <f>IF(ISBLANK(C5),"#",Currency&amp;$C5&amp;$D5&amp;$B5&amp;QuoteSuffix)</f>
        <v>EUR1E6E15M_Quote</v>
      </c>
      <c r="F5" s="85" t="str">
        <f>_xll.qlSimpleQuote(E5,,RateTickValue,Permanent,Trigger,ObjectOverwrite)</f>
        <v>EUR1E6E15M_Quote#0036</v>
      </c>
      <c r="G5" s="84" t="str">
        <f>_xll.ohRangeRetrieveError(F5)</f>
        <v/>
      </c>
      <c r="H5" s="83"/>
    </row>
    <row r="6" spans="1:12" s="20" customFormat="1" ht="12.75" x14ac:dyDescent="0.2">
      <c r="A6" s="89"/>
      <c r="B6" s="99" t="s">
        <v>139</v>
      </c>
      <c r="C6" s="87" t="str">
        <f>C5</f>
        <v>1E</v>
      </c>
      <c r="D6" s="86" t="str">
        <f>D5</f>
        <v>6E</v>
      </c>
      <c r="E6" s="85" t="str">
        <f>IF(ISBLANK(C6),"#",Currency&amp;$C6&amp;$D6&amp;$B6&amp;QuoteSuffix)</f>
        <v>EUR1E6E18M_Quote</v>
      </c>
      <c r="F6" s="85" t="str">
        <f>_xll.qlSimpleQuote(E6,,RateTickValue,Permanent,Trigger,ObjectOverwrite)</f>
        <v>EUR1E6E18M_Quote#0036</v>
      </c>
      <c r="G6" s="84" t="str">
        <f>_xll.ohRangeRetrieveError(F6)</f>
        <v/>
      </c>
      <c r="H6" s="83"/>
    </row>
    <row r="7" spans="1:12" s="20" customFormat="1" ht="13.5" thickBot="1" x14ac:dyDescent="0.25">
      <c r="A7" s="89"/>
      <c r="B7" s="99" t="s">
        <v>138</v>
      </c>
      <c r="C7" s="87" t="str">
        <f>C6</f>
        <v>1E</v>
      </c>
      <c r="D7" s="86" t="str">
        <f>D6</f>
        <v>6E</v>
      </c>
      <c r="E7" s="85" t="str">
        <f>IF(ISBLANK(C7),"#",Currency&amp;$C7&amp;$D7&amp;$B7&amp;QuoteSuffix)</f>
        <v>EUR1E6E21M_Quote</v>
      </c>
      <c r="F7" s="85" t="str">
        <f>_xll.qlSimpleQuote(E7,,RateTickValue,Permanent,Trigger,ObjectOverwrite)</f>
        <v>EUR1E6E21M_Quote#0036</v>
      </c>
      <c r="G7" s="84" t="str">
        <f>_xll.ohRangeRetrieveError(F7)</f>
        <v/>
      </c>
      <c r="H7" s="83"/>
    </row>
    <row r="8" spans="1:12" x14ac:dyDescent="0.2">
      <c r="A8" s="89"/>
      <c r="B8" s="88" t="s">
        <v>115</v>
      </c>
      <c r="C8" s="87" t="str">
        <f>C7</f>
        <v>1E</v>
      </c>
      <c r="D8" s="86" t="str">
        <f>D7</f>
        <v>6E</v>
      </c>
      <c r="E8" s="85" t="str">
        <f>IF(ISBLANK(C8),"#",Currency&amp;$C8&amp;$D8&amp;$B8&amp;QuoteSuffix)</f>
        <v>EUR1E6E2Y_Quote</v>
      </c>
      <c r="F8" s="85" t="str">
        <f>_xll.qlSimpleQuote(E8,,RateTickValue,Permanent,Trigger,ObjectOverwrite)</f>
        <v>EUR1E6E2Y_Quote#0036</v>
      </c>
      <c r="G8" s="84" t="str">
        <f>_xll.ohRangeRetrieveError(F8)</f>
        <v/>
      </c>
      <c r="H8" s="83"/>
      <c r="J8" s="98" t="s">
        <v>137</v>
      </c>
      <c r="K8" s="97" t="s">
        <v>129</v>
      </c>
      <c r="L8" s="96" t="s">
        <v>132</v>
      </c>
    </row>
    <row r="9" spans="1:12" x14ac:dyDescent="0.2">
      <c r="A9" s="89"/>
      <c r="B9" s="88" t="s">
        <v>114</v>
      </c>
      <c r="C9" s="87" t="str">
        <f>C8</f>
        <v>1E</v>
      </c>
      <c r="D9" s="86" t="str">
        <f>D8</f>
        <v>6E</v>
      </c>
      <c r="E9" s="85" t="str">
        <f>IF(ISBLANK(C9),"#",Currency&amp;$C9&amp;$D9&amp;$B9&amp;QuoteSuffix)</f>
        <v>EUR1E6E3Y_Quote</v>
      </c>
      <c r="F9" s="85" t="str">
        <f>_xll.qlSimpleQuote(E9,,RateTickValue,Permanent,Trigger,ObjectOverwrite)</f>
        <v>EUR1E6E3Y_Quote#0036</v>
      </c>
      <c r="G9" s="84" t="str">
        <f>_xll.ohRangeRetrieveError(F9)</f>
        <v/>
      </c>
      <c r="H9" s="83"/>
      <c r="J9" s="95" t="s">
        <v>123</v>
      </c>
      <c r="K9" s="94" t="s">
        <v>136</v>
      </c>
      <c r="L9" s="93" t="s">
        <v>135</v>
      </c>
    </row>
    <row r="10" spans="1:12" x14ac:dyDescent="0.2">
      <c r="A10" s="89"/>
      <c r="B10" s="88" t="s">
        <v>113</v>
      </c>
      <c r="C10" s="87" t="str">
        <f>C9</f>
        <v>1E</v>
      </c>
      <c r="D10" s="86" t="str">
        <f>D9</f>
        <v>6E</v>
      </c>
      <c r="E10" s="85" t="str">
        <f>IF(ISBLANK(C10),"#",Currency&amp;$C10&amp;$D10&amp;$B10&amp;QuoteSuffix)</f>
        <v>EUR1E6E4Y_Quote</v>
      </c>
      <c r="F10" s="85" t="str">
        <f>_xll.qlSimpleQuote(E10,,RateTickValue,Permanent,Trigger,ObjectOverwrite)</f>
        <v>EUR1E6E4Y_Quote#0036</v>
      </c>
      <c r="G10" s="84" t="str">
        <f>_xll.ohRangeRetrieveError(F10)</f>
        <v/>
      </c>
      <c r="H10" s="83"/>
      <c r="J10" s="95" t="s">
        <v>134</v>
      </c>
      <c r="K10" s="94" t="s">
        <v>129</v>
      </c>
      <c r="L10" s="93" t="s">
        <v>132</v>
      </c>
    </row>
    <row r="11" spans="1:12" x14ac:dyDescent="0.2">
      <c r="A11" s="89"/>
      <c r="B11" s="88" t="s">
        <v>112</v>
      </c>
      <c r="C11" s="87" t="str">
        <f>C10</f>
        <v>1E</v>
      </c>
      <c r="D11" s="86" t="str">
        <f>D10</f>
        <v>6E</v>
      </c>
      <c r="E11" s="85" t="str">
        <f>IF(ISBLANK(C11),"#",Currency&amp;$C11&amp;$D11&amp;$B11&amp;QuoteSuffix)</f>
        <v>EUR1E6E5Y_Quote</v>
      </c>
      <c r="F11" s="85" t="str">
        <f>_xll.qlSimpleQuote(E11,,RateTickValue,Permanent,Trigger,ObjectOverwrite)</f>
        <v>EUR1E6E5Y_Quote#0036</v>
      </c>
      <c r="G11" s="84" t="str">
        <f>_xll.ohRangeRetrieveError(F11)</f>
        <v/>
      </c>
      <c r="H11" s="83"/>
      <c r="J11" s="95" t="s">
        <v>133</v>
      </c>
      <c r="K11" s="94" t="s">
        <v>129</v>
      </c>
      <c r="L11" s="93" t="s">
        <v>132</v>
      </c>
    </row>
    <row r="12" spans="1:12" ht="12" thickBot="1" x14ac:dyDescent="0.25">
      <c r="A12" s="89"/>
      <c r="B12" s="88" t="s">
        <v>111</v>
      </c>
      <c r="C12" s="87" t="str">
        <f>C11</f>
        <v>1E</v>
      </c>
      <c r="D12" s="86" t="str">
        <f>D11</f>
        <v>6E</v>
      </c>
      <c r="E12" s="85" t="str">
        <f>IF(ISBLANK(C12),"#",Currency&amp;$C12&amp;$D12&amp;$B12&amp;QuoteSuffix)</f>
        <v>EUR1E6E6Y_Quote</v>
      </c>
      <c r="F12" s="85" t="str">
        <f>_xll.qlSimpleQuote(E12,,RateTickValue,Permanent,Trigger,ObjectOverwrite)</f>
        <v>EUR1E6E6Y_Quote#0036</v>
      </c>
      <c r="G12" s="84" t="str">
        <f>_xll.ohRangeRetrieveError(F12)</f>
        <v/>
      </c>
      <c r="H12" s="83"/>
      <c r="J12" s="92" t="s">
        <v>131</v>
      </c>
      <c r="K12" s="91" t="s">
        <v>130</v>
      </c>
      <c r="L12" s="90" t="s">
        <v>129</v>
      </c>
    </row>
    <row r="13" spans="1:12" x14ac:dyDescent="0.2">
      <c r="A13" s="89"/>
      <c r="B13" s="88" t="s">
        <v>110</v>
      </c>
      <c r="C13" s="87" t="str">
        <f>C12</f>
        <v>1E</v>
      </c>
      <c r="D13" s="86" t="str">
        <f>D12</f>
        <v>6E</v>
      </c>
      <c r="E13" s="85" t="str">
        <f>IF(ISBLANK(C13),"#",Currency&amp;$C13&amp;$D13&amp;$B13&amp;QuoteSuffix)</f>
        <v>EUR1E6E7Y_Quote</v>
      </c>
      <c r="F13" s="85" t="str">
        <f>_xll.qlSimpleQuote(E13,,RateTickValue,Permanent,Trigger,ObjectOverwrite)</f>
        <v>EUR1E6E7Y_Quote#0036</v>
      </c>
      <c r="G13" s="84" t="str">
        <f>_xll.ohRangeRetrieveError(F13)</f>
        <v/>
      </c>
      <c r="H13" s="83"/>
    </row>
    <row r="14" spans="1:12" x14ac:dyDescent="0.2">
      <c r="A14" s="89"/>
      <c r="B14" s="88" t="s">
        <v>109</v>
      </c>
      <c r="C14" s="87" t="str">
        <f>C13</f>
        <v>1E</v>
      </c>
      <c r="D14" s="86" t="str">
        <f>D13</f>
        <v>6E</v>
      </c>
      <c r="E14" s="85" t="str">
        <f>IF(ISBLANK(C14),"#",Currency&amp;$C14&amp;$D14&amp;$B14&amp;QuoteSuffix)</f>
        <v>EUR1E6E8Y_Quote</v>
      </c>
      <c r="F14" s="85" t="str">
        <f>_xll.qlSimpleQuote(E14,,RateTickValue,Permanent,Trigger,ObjectOverwrite)</f>
        <v>EUR1E6E8Y_Quote#0036</v>
      </c>
      <c r="G14" s="84" t="str">
        <f>_xll.ohRangeRetrieveError(F14)</f>
        <v/>
      </c>
      <c r="H14" s="83"/>
    </row>
    <row r="15" spans="1:12" x14ac:dyDescent="0.2">
      <c r="A15" s="89"/>
      <c r="B15" s="88" t="s">
        <v>108</v>
      </c>
      <c r="C15" s="87" t="str">
        <f>C14</f>
        <v>1E</v>
      </c>
      <c r="D15" s="86" t="str">
        <f>D14</f>
        <v>6E</v>
      </c>
      <c r="E15" s="85" t="str">
        <f>IF(ISBLANK(C15),"#",Currency&amp;$C15&amp;$D15&amp;$B15&amp;QuoteSuffix)</f>
        <v>EUR1E6E9Y_Quote</v>
      </c>
      <c r="F15" s="85" t="str">
        <f>_xll.qlSimpleQuote(E15,,RateTickValue,Permanent,Trigger,ObjectOverwrite)</f>
        <v>EUR1E6E9Y_Quote#0036</v>
      </c>
      <c r="G15" s="84" t="str">
        <f>_xll.ohRangeRetrieveError(F15)</f>
        <v/>
      </c>
      <c r="H15" s="83"/>
    </row>
    <row r="16" spans="1:12" x14ac:dyDescent="0.2">
      <c r="A16" s="89"/>
      <c r="B16" s="88" t="s">
        <v>107</v>
      </c>
      <c r="C16" s="87" t="str">
        <f>C15</f>
        <v>1E</v>
      </c>
      <c r="D16" s="86" t="str">
        <f>D15</f>
        <v>6E</v>
      </c>
      <c r="E16" s="85" t="str">
        <f>IF(ISBLANK(C16),"#",Currency&amp;$C16&amp;$D16&amp;$B16&amp;QuoteSuffix)</f>
        <v>EUR1E6E10Y_Quote</v>
      </c>
      <c r="F16" s="85" t="str">
        <f>_xll.qlSimpleQuote(E16,,RateTickValue,Permanent,Trigger,ObjectOverwrite)</f>
        <v>EUR1E6E10Y_Quote#0036</v>
      </c>
      <c r="G16" s="84" t="str">
        <f>_xll.ohRangeRetrieveError(F16)</f>
        <v/>
      </c>
      <c r="H16" s="83"/>
    </row>
    <row r="17" spans="1:8" x14ac:dyDescent="0.2">
      <c r="A17" s="89"/>
      <c r="B17" s="88" t="s">
        <v>106</v>
      </c>
      <c r="C17" s="87" t="str">
        <f>C16</f>
        <v>1E</v>
      </c>
      <c r="D17" s="86" t="str">
        <f>D16</f>
        <v>6E</v>
      </c>
      <c r="E17" s="85" t="str">
        <f>IF(ISBLANK(C17),"#",Currency&amp;$C17&amp;$D17&amp;$B17&amp;QuoteSuffix)</f>
        <v>EUR1E6E11Y_Quote</v>
      </c>
      <c r="F17" s="85" t="str">
        <f>_xll.qlSimpleQuote(E17,,RateTickValue,Permanent,Trigger,ObjectOverwrite)</f>
        <v>EUR1E6E11Y_Quote#0036</v>
      </c>
      <c r="G17" s="84" t="str">
        <f>_xll.ohRangeRetrieveError(F17)</f>
        <v/>
      </c>
      <c r="H17" s="83"/>
    </row>
    <row r="18" spans="1:8" x14ac:dyDescent="0.2">
      <c r="A18" s="89"/>
      <c r="B18" s="88" t="s">
        <v>105</v>
      </c>
      <c r="C18" s="87" t="str">
        <f>C17</f>
        <v>1E</v>
      </c>
      <c r="D18" s="86" t="str">
        <f>D17</f>
        <v>6E</v>
      </c>
      <c r="E18" s="85" t="str">
        <f>IF(ISBLANK(C18),"#",Currency&amp;$C18&amp;$D18&amp;$B18&amp;QuoteSuffix)</f>
        <v>EUR1E6E12Y_Quote</v>
      </c>
      <c r="F18" s="85" t="str">
        <f>_xll.qlSimpleQuote(E18,,RateTickValue,Permanent,Trigger,ObjectOverwrite)</f>
        <v>EUR1E6E12Y_Quote#0036</v>
      </c>
      <c r="G18" s="84" t="str">
        <f>_xll.ohRangeRetrieveError(F18)</f>
        <v/>
      </c>
      <c r="H18" s="83"/>
    </row>
    <row r="19" spans="1:8" x14ac:dyDescent="0.2">
      <c r="A19" s="89"/>
      <c r="B19" s="88" t="s">
        <v>104</v>
      </c>
      <c r="C19" s="87" t="str">
        <f>C18</f>
        <v>1E</v>
      </c>
      <c r="D19" s="86" t="str">
        <f>D18</f>
        <v>6E</v>
      </c>
      <c r="E19" s="85" t="str">
        <f>IF(ISBLANK(C19),"#",Currency&amp;$C19&amp;$D19&amp;$B19&amp;QuoteSuffix)</f>
        <v>EUR1E6E13Y_Quote</v>
      </c>
      <c r="F19" s="85" t="str">
        <f>_xll.qlSimpleQuote(E19,,RateTickValue,Permanent,Trigger,ObjectOverwrite)</f>
        <v>EUR1E6E13Y_Quote#0036</v>
      </c>
      <c r="G19" s="84" t="str">
        <f>_xll.ohRangeRetrieveError(F19)</f>
        <v/>
      </c>
      <c r="H19" s="83"/>
    </row>
    <row r="20" spans="1:8" x14ac:dyDescent="0.2">
      <c r="A20" s="89"/>
      <c r="B20" s="88" t="s">
        <v>103</v>
      </c>
      <c r="C20" s="87" t="str">
        <f>C19</f>
        <v>1E</v>
      </c>
      <c r="D20" s="86" t="str">
        <f>D19</f>
        <v>6E</v>
      </c>
      <c r="E20" s="85" t="str">
        <f>IF(ISBLANK(C20),"#",Currency&amp;$C20&amp;$D20&amp;$B20&amp;QuoteSuffix)</f>
        <v>EUR1E6E14Y_Quote</v>
      </c>
      <c r="F20" s="85" t="str">
        <f>_xll.qlSimpleQuote(E20,,RateTickValue,Permanent,Trigger,ObjectOverwrite)</f>
        <v>EUR1E6E14Y_Quote#0036</v>
      </c>
      <c r="G20" s="84" t="str">
        <f>_xll.ohRangeRetrieveError(F20)</f>
        <v/>
      </c>
      <c r="H20" s="83"/>
    </row>
    <row r="21" spans="1:8" x14ac:dyDescent="0.2">
      <c r="A21" s="89"/>
      <c r="B21" s="88" t="s">
        <v>102</v>
      </c>
      <c r="C21" s="87" t="str">
        <f>C20</f>
        <v>1E</v>
      </c>
      <c r="D21" s="86" t="str">
        <f>D20</f>
        <v>6E</v>
      </c>
      <c r="E21" s="85" t="str">
        <f>IF(ISBLANK(C21),"#",Currency&amp;$C21&amp;$D21&amp;$B21&amp;QuoteSuffix)</f>
        <v>EUR1E6E15Y_Quote</v>
      </c>
      <c r="F21" s="85" t="str">
        <f>_xll.qlSimpleQuote(E21,,RateTickValue,Permanent,Trigger,ObjectOverwrite)</f>
        <v>EUR1E6E15Y_Quote#0036</v>
      </c>
      <c r="G21" s="84" t="str">
        <f>_xll.ohRangeRetrieveError(F21)</f>
        <v/>
      </c>
      <c r="H21" s="83"/>
    </row>
    <row r="22" spans="1:8" x14ac:dyDescent="0.2">
      <c r="A22" s="89"/>
      <c r="B22" s="88" t="s">
        <v>101</v>
      </c>
      <c r="C22" s="87" t="str">
        <f>C21</f>
        <v>1E</v>
      </c>
      <c r="D22" s="86" t="str">
        <f>D21</f>
        <v>6E</v>
      </c>
      <c r="E22" s="85" t="str">
        <f>IF(ISBLANK(C22),"#",Currency&amp;$C22&amp;$D22&amp;$B22&amp;QuoteSuffix)</f>
        <v>EUR1E6E16Y_Quote</v>
      </c>
      <c r="F22" s="85" t="str">
        <f>_xll.qlSimpleQuote(E22,,RateTickValue,Permanent,Trigger,ObjectOverwrite)</f>
        <v>EUR1E6E16Y_Quote#0036</v>
      </c>
      <c r="G22" s="84" t="str">
        <f>_xll.ohRangeRetrieveError(F22)</f>
        <v/>
      </c>
      <c r="H22" s="83"/>
    </row>
    <row r="23" spans="1:8" x14ac:dyDescent="0.2">
      <c r="A23" s="89"/>
      <c r="B23" s="88" t="s">
        <v>100</v>
      </c>
      <c r="C23" s="87" t="str">
        <f>C22</f>
        <v>1E</v>
      </c>
      <c r="D23" s="86" t="str">
        <f>D22</f>
        <v>6E</v>
      </c>
      <c r="E23" s="85" t="str">
        <f>IF(ISBLANK(C23),"#",Currency&amp;$C23&amp;$D23&amp;$B23&amp;QuoteSuffix)</f>
        <v>EUR1E6E17Y_Quote</v>
      </c>
      <c r="F23" s="85" t="str">
        <f>_xll.qlSimpleQuote(E23,,RateTickValue,Permanent,Trigger,ObjectOverwrite)</f>
        <v>EUR1E6E17Y_Quote#0036</v>
      </c>
      <c r="G23" s="84" t="str">
        <f>_xll.ohRangeRetrieveError(F23)</f>
        <v/>
      </c>
      <c r="H23" s="83"/>
    </row>
    <row r="24" spans="1:8" x14ac:dyDescent="0.2">
      <c r="A24" s="89"/>
      <c r="B24" s="88" t="s">
        <v>99</v>
      </c>
      <c r="C24" s="87" t="str">
        <f>C23</f>
        <v>1E</v>
      </c>
      <c r="D24" s="86" t="str">
        <f>D23</f>
        <v>6E</v>
      </c>
      <c r="E24" s="85" t="str">
        <f>IF(ISBLANK(C24),"#",Currency&amp;$C24&amp;$D24&amp;$B24&amp;QuoteSuffix)</f>
        <v>EUR1E6E18Y_Quote</v>
      </c>
      <c r="F24" s="85" t="str">
        <f>_xll.qlSimpleQuote(E24,,RateTickValue,Permanent,Trigger,ObjectOverwrite)</f>
        <v>EUR1E6E18Y_Quote#0036</v>
      </c>
      <c r="G24" s="84" t="str">
        <f>_xll.ohRangeRetrieveError(F24)</f>
        <v/>
      </c>
      <c r="H24" s="83"/>
    </row>
    <row r="25" spans="1:8" x14ac:dyDescent="0.2">
      <c r="A25" s="89"/>
      <c r="B25" s="88" t="s">
        <v>98</v>
      </c>
      <c r="C25" s="87" t="str">
        <f>C24</f>
        <v>1E</v>
      </c>
      <c r="D25" s="86" t="str">
        <f>D24</f>
        <v>6E</v>
      </c>
      <c r="E25" s="85" t="str">
        <f>IF(ISBLANK(C25),"#",Currency&amp;$C25&amp;$D25&amp;$B25&amp;QuoteSuffix)</f>
        <v>EUR1E6E19Y_Quote</v>
      </c>
      <c r="F25" s="85" t="str">
        <f>_xll.qlSimpleQuote(E25,,RateTickValue,Permanent,Trigger,ObjectOverwrite)</f>
        <v>EUR1E6E19Y_Quote#0036</v>
      </c>
      <c r="G25" s="84" t="str">
        <f>_xll.ohRangeRetrieveError(F25)</f>
        <v/>
      </c>
      <c r="H25" s="83"/>
    </row>
    <row r="26" spans="1:8" x14ac:dyDescent="0.2">
      <c r="A26" s="89"/>
      <c r="B26" s="88" t="s">
        <v>97</v>
      </c>
      <c r="C26" s="87" t="str">
        <f>C25</f>
        <v>1E</v>
      </c>
      <c r="D26" s="86" t="str">
        <f>D25</f>
        <v>6E</v>
      </c>
      <c r="E26" s="85" t="str">
        <f>IF(ISBLANK(C26),"#",Currency&amp;$C26&amp;$D26&amp;$B26&amp;QuoteSuffix)</f>
        <v>EUR1E6E20Y_Quote</v>
      </c>
      <c r="F26" s="85" t="str">
        <f>_xll.qlSimpleQuote(E26,,RateTickValue,Permanent,Trigger,ObjectOverwrite)</f>
        <v>EUR1E6E20Y_Quote#0036</v>
      </c>
      <c r="G26" s="84" t="str">
        <f>_xll.ohRangeRetrieveError(F26)</f>
        <v/>
      </c>
      <c r="H26" s="83"/>
    </row>
    <row r="27" spans="1:8" x14ac:dyDescent="0.2">
      <c r="A27" s="89"/>
      <c r="B27" s="88" t="s">
        <v>96</v>
      </c>
      <c r="C27" s="87" t="str">
        <f>C26</f>
        <v>1E</v>
      </c>
      <c r="D27" s="86" t="str">
        <f>D26</f>
        <v>6E</v>
      </c>
      <c r="E27" s="85" t="str">
        <f>IF(ISBLANK(C27),"#",Currency&amp;$C27&amp;$D27&amp;$B27&amp;QuoteSuffix)</f>
        <v>EUR1E6E21Y_Quote</v>
      </c>
      <c r="F27" s="85" t="str">
        <f>_xll.qlSimpleQuote(E27,,RateTickValue,Permanent,Trigger,ObjectOverwrite)</f>
        <v>EUR1E6E21Y_Quote#0036</v>
      </c>
      <c r="G27" s="84" t="str">
        <f>_xll.ohRangeRetrieveError(F27)</f>
        <v/>
      </c>
      <c r="H27" s="83"/>
    </row>
    <row r="28" spans="1:8" x14ac:dyDescent="0.2">
      <c r="A28" s="89"/>
      <c r="B28" s="88" t="s">
        <v>95</v>
      </c>
      <c r="C28" s="87" t="str">
        <f>C27</f>
        <v>1E</v>
      </c>
      <c r="D28" s="86" t="str">
        <f>D27</f>
        <v>6E</v>
      </c>
      <c r="E28" s="85" t="str">
        <f>IF(ISBLANK(C28),"#",Currency&amp;$C28&amp;$D28&amp;$B28&amp;QuoteSuffix)</f>
        <v>EUR1E6E22Y_Quote</v>
      </c>
      <c r="F28" s="85" t="str">
        <f>_xll.qlSimpleQuote(E28,,RateTickValue,Permanent,Trigger,ObjectOverwrite)</f>
        <v>EUR1E6E22Y_Quote#0036</v>
      </c>
      <c r="G28" s="84" t="str">
        <f>_xll.ohRangeRetrieveError(F28)</f>
        <v/>
      </c>
      <c r="H28" s="83"/>
    </row>
    <row r="29" spans="1:8" x14ac:dyDescent="0.2">
      <c r="A29" s="89"/>
      <c r="B29" s="88" t="s">
        <v>94</v>
      </c>
      <c r="C29" s="87" t="str">
        <f>C28</f>
        <v>1E</v>
      </c>
      <c r="D29" s="86" t="str">
        <f>D28</f>
        <v>6E</v>
      </c>
      <c r="E29" s="85" t="str">
        <f>IF(ISBLANK(C29),"#",Currency&amp;$C29&amp;$D29&amp;$B29&amp;QuoteSuffix)</f>
        <v>EUR1E6E23Y_Quote</v>
      </c>
      <c r="F29" s="85" t="str">
        <f>_xll.qlSimpleQuote(E29,,RateTickValue,Permanent,Trigger,ObjectOverwrite)</f>
        <v>EUR1E6E23Y_Quote#0036</v>
      </c>
      <c r="G29" s="84" t="str">
        <f>_xll.ohRangeRetrieveError(F29)</f>
        <v/>
      </c>
      <c r="H29" s="83"/>
    </row>
    <row r="30" spans="1:8" x14ac:dyDescent="0.2">
      <c r="A30" s="89"/>
      <c r="B30" s="88" t="s">
        <v>93</v>
      </c>
      <c r="C30" s="87" t="str">
        <f>C29</f>
        <v>1E</v>
      </c>
      <c r="D30" s="86" t="str">
        <f>D29</f>
        <v>6E</v>
      </c>
      <c r="E30" s="85" t="str">
        <f>IF(ISBLANK(C30),"#",Currency&amp;$C30&amp;$D30&amp;$B30&amp;QuoteSuffix)</f>
        <v>EUR1E6E24Y_Quote</v>
      </c>
      <c r="F30" s="85" t="str">
        <f>_xll.qlSimpleQuote(E30,,RateTickValue,Permanent,Trigger,ObjectOverwrite)</f>
        <v>EUR1E6E24Y_Quote#0036</v>
      </c>
      <c r="G30" s="84" t="str">
        <f>_xll.ohRangeRetrieveError(F30)</f>
        <v/>
      </c>
      <c r="H30" s="83"/>
    </row>
    <row r="31" spans="1:8" x14ac:dyDescent="0.2">
      <c r="A31" s="89"/>
      <c r="B31" s="88" t="s">
        <v>92</v>
      </c>
      <c r="C31" s="87" t="str">
        <f>C30</f>
        <v>1E</v>
      </c>
      <c r="D31" s="86" t="str">
        <f>D30</f>
        <v>6E</v>
      </c>
      <c r="E31" s="85" t="str">
        <f>IF(ISBLANK(C31),"#",Currency&amp;$C31&amp;$D31&amp;$B31&amp;QuoteSuffix)</f>
        <v>EUR1E6E25Y_Quote</v>
      </c>
      <c r="F31" s="85" t="str">
        <f>_xll.qlSimpleQuote(E31,,RateTickValue,Permanent,Trigger,ObjectOverwrite)</f>
        <v>EUR1E6E25Y_Quote#0036</v>
      </c>
      <c r="G31" s="84" t="str">
        <f>_xll.ohRangeRetrieveError(F31)</f>
        <v/>
      </c>
      <c r="H31" s="83"/>
    </row>
    <row r="32" spans="1:8" x14ac:dyDescent="0.2">
      <c r="A32" s="89"/>
      <c r="B32" s="88" t="s">
        <v>91</v>
      </c>
      <c r="C32" s="87" t="str">
        <f>C31</f>
        <v>1E</v>
      </c>
      <c r="D32" s="86" t="str">
        <f>D31</f>
        <v>6E</v>
      </c>
      <c r="E32" s="85" t="str">
        <f>IF(ISBLANK(C32),"#",Currency&amp;$C32&amp;$D32&amp;$B32&amp;QuoteSuffix)</f>
        <v>EUR1E6E26Y_Quote</v>
      </c>
      <c r="F32" s="85" t="str">
        <f>_xll.qlSimpleQuote(E32,,RateTickValue,Permanent,Trigger,ObjectOverwrite)</f>
        <v>EUR1E6E26Y_Quote#0036</v>
      </c>
      <c r="G32" s="84" t="str">
        <f>_xll.ohRangeRetrieveError(F32)</f>
        <v/>
      </c>
      <c r="H32" s="83"/>
    </row>
    <row r="33" spans="1:8" x14ac:dyDescent="0.2">
      <c r="A33" s="89"/>
      <c r="B33" s="88" t="s">
        <v>90</v>
      </c>
      <c r="C33" s="87" t="str">
        <f>C32</f>
        <v>1E</v>
      </c>
      <c r="D33" s="86" t="str">
        <f>D32</f>
        <v>6E</v>
      </c>
      <c r="E33" s="85" t="str">
        <f>IF(ISBLANK(C33),"#",Currency&amp;$C33&amp;$D33&amp;$B33&amp;QuoteSuffix)</f>
        <v>EUR1E6E27Y_Quote</v>
      </c>
      <c r="F33" s="85" t="str">
        <f>_xll.qlSimpleQuote(E33,,RateTickValue,Permanent,Trigger,ObjectOverwrite)</f>
        <v>EUR1E6E27Y_Quote#0036</v>
      </c>
      <c r="G33" s="84" t="str">
        <f>_xll.ohRangeRetrieveError(F33)</f>
        <v/>
      </c>
      <c r="H33" s="83"/>
    </row>
    <row r="34" spans="1:8" x14ac:dyDescent="0.2">
      <c r="A34" s="89"/>
      <c r="B34" s="88" t="s">
        <v>89</v>
      </c>
      <c r="C34" s="87" t="str">
        <f>C33</f>
        <v>1E</v>
      </c>
      <c r="D34" s="86" t="str">
        <f>D33</f>
        <v>6E</v>
      </c>
      <c r="E34" s="85" t="str">
        <f>IF(ISBLANK(C34),"#",Currency&amp;$C34&amp;$D34&amp;$B34&amp;QuoteSuffix)</f>
        <v>EUR1E6E28Y_Quote</v>
      </c>
      <c r="F34" s="85" t="str">
        <f>_xll.qlSimpleQuote(E34,,RateTickValue,Permanent,Trigger,ObjectOverwrite)</f>
        <v>EUR1E6E28Y_Quote#0036</v>
      </c>
      <c r="G34" s="84" t="str">
        <f>_xll.ohRangeRetrieveError(F34)</f>
        <v/>
      </c>
      <c r="H34" s="83"/>
    </row>
    <row r="35" spans="1:8" x14ac:dyDescent="0.2">
      <c r="A35" s="89"/>
      <c r="B35" s="88" t="s">
        <v>88</v>
      </c>
      <c r="C35" s="87" t="str">
        <f>C34</f>
        <v>1E</v>
      </c>
      <c r="D35" s="86" t="str">
        <f>D34</f>
        <v>6E</v>
      </c>
      <c r="E35" s="85" t="str">
        <f>IF(ISBLANK(C35),"#",Currency&amp;$C35&amp;$D35&amp;$B35&amp;QuoteSuffix)</f>
        <v>EUR1E6E29Y_Quote</v>
      </c>
      <c r="F35" s="85" t="str">
        <f>_xll.qlSimpleQuote(E35,,RateTickValue,Permanent,Trigger,ObjectOverwrite)</f>
        <v>EUR1E6E29Y_Quote#0036</v>
      </c>
      <c r="G35" s="84" t="str">
        <f>_xll.ohRangeRetrieveError(F35)</f>
        <v/>
      </c>
      <c r="H35" s="83"/>
    </row>
    <row r="36" spans="1:8" x14ac:dyDescent="0.2">
      <c r="A36" s="89"/>
      <c r="B36" s="88" t="s">
        <v>87</v>
      </c>
      <c r="C36" s="87" t="str">
        <f>C35</f>
        <v>1E</v>
      </c>
      <c r="D36" s="86" t="str">
        <f>D35</f>
        <v>6E</v>
      </c>
      <c r="E36" s="85" t="str">
        <f>IF(ISBLANK(C36),"#",Currency&amp;$C36&amp;$D36&amp;$B36&amp;QuoteSuffix)</f>
        <v>EUR1E6E30Y_Quote</v>
      </c>
      <c r="F36" s="85" t="str">
        <f>_xll.qlSimpleQuote(E36,,RateTickValue,Permanent,Trigger,ObjectOverwrite)</f>
        <v>EUR1E6E30Y_Quote#0036</v>
      </c>
      <c r="G36" s="84" t="str">
        <f>_xll.ohRangeRetrieveError(F36)</f>
        <v/>
      </c>
      <c r="H36" s="83"/>
    </row>
    <row r="37" spans="1:8" x14ac:dyDescent="0.2">
      <c r="A37" s="89"/>
      <c r="B37" s="88" t="s">
        <v>82</v>
      </c>
      <c r="C37" s="87" t="str">
        <f>C36</f>
        <v>1E</v>
      </c>
      <c r="D37" s="86" t="str">
        <f>D36</f>
        <v>6E</v>
      </c>
      <c r="E37" s="85" t="str">
        <f>IF(ISBLANK(C37),"#",Currency&amp;$C37&amp;$D37&amp;$B37&amp;QuoteSuffix)</f>
        <v>EUR1E6E35Y_Quote</v>
      </c>
      <c r="F37" s="85" t="str">
        <f>_xll.qlSimpleQuote(E37,,RateTickValue,Permanent,Trigger,ObjectOverwrite)</f>
        <v>EUR1E6E35Y_Quote#0036</v>
      </c>
      <c r="G37" s="84" t="str">
        <f>_xll.ohRangeRetrieveError(F37)</f>
        <v/>
      </c>
      <c r="H37" s="83"/>
    </row>
    <row r="38" spans="1:8" x14ac:dyDescent="0.2">
      <c r="A38" s="89"/>
      <c r="B38" s="88" t="s">
        <v>77</v>
      </c>
      <c r="C38" s="87" t="str">
        <f>C37</f>
        <v>1E</v>
      </c>
      <c r="D38" s="86" t="str">
        <f>D37</f>
        <v>6E</v>
      </c>
      <c r="E38" s="85" t="str">
        <f>IF(ISBLANK(C38),"#",Currency&amp;$C38&amp;$D38&amp;$B38&amp;QuoteSuffix)</f>
        <v>EUR1E6E40Y_Quote</v>
      </c>
      <c r="F38" s="85" t="str">
        <f>_xll.qlSimpleQuote(E38,,RateTickValue,Permanent,Trigger,ObjectOverwrite)</f>
        <v>EUR1E6E40Y_Quote#0036</v>
      </c>
      <c r="G38" s="84" t="str">
        <f>_xll.ohRangeRetrieveError(F38)</f>
        <v/>
      </c>
      <c r="H38" s="83"/>
    </row>
    <row r="39" spans="1:8" x14ac:dyDescent="0.2">
      <c r="A39" s="89"/>
      <c r="B39" s="88" t="s">
        <v>67</v>
      </c>
      <c r="C39" s="87" t="str">
        <f>C38</f>
        <v>1E</v>
      </c>
      <c r="D39" s="86" t="str">
        <f>D38</f>
        <v>6E</v>
      </c>
      <c r="E39" s="85" t="str">
        <f>IF(ISBLANK(C39),"#",Currency&amp;$C39&amp;$D39&amp;$B39&amp;QuoteSuffix)</f>
        <v>EUR1E6E50Y_Quote</v>
      </c>
      <c r="F39" s="85" t="str">
        <f>_xll.qlSimpleQuote(E39,,RateTickValue,Permanent,Trigger,ObjectOverwrite)</f>
        <v>EUR1E6E50Y_Quote#0036</v>
      </c>
      <c r="G39" s="84" t="str">
        <f>_xll.ohRangeRetrieveError(F39)</f>
        <v/>
      </c>
      <c r="H39" s="83"/>
    </row>
    <row r="40" spans="1:8" x14ac:dyDescent="0.2">
      <c r="A40" s="89"/>
      <c r="B40" s="88" t="s">
        <v>57</v>
      </c>
      <c r="C40" s="87" t="str">
        <f>C39</f>
        <v>1E</v>
      </c>
      <c r="D40" s="86" t="str">
        <f>D39</f>
        <v>6E</v>
      </c>
      <c r="E40" s="85" t="str">
        <f>IF(ISBLANK(C40),"#",Currency&amp;$C40&amp;$D40&amp;$B40&amp;QuoteSuffix)</f>
        <v>EUR1E6E60Y_Quote</v>
      </c>
      <c r="F40" s="85" t="str">
        <f>_xll.qlSimpleQuote(E40,,RateTickValue,Permanent,Trigger,ObjectOverwrite)</f>
        <v>EUR1E6E60Y_Quote#0036</v>
      </c>
      <c r="G40" s="84" t="str">
        <f>_xll.ohRangeRetrieveError(F40)</f>
        <v/>
      </c>
      <c r="H40" s="83"/>
    </row>
    <row r="41" spans="1:8" x14ac:dyDescent="0.2">
      <c r="A41" s="82"/>
      <c r="B41" s="81"/>
      <c r="C41" s="81"/>
      <c r="D41" s="81"/>
      <c r="E41" s="81"/>
      <c r="F41" s="80"/>
      <c r="G41" s="80"/>
      <c r="H41" s="79"/>
    </row>
  </sheetData>
  <pageMargins left="0.75" right="0.75" top="1" bottom="1" header="0.5" footer="0.5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1"/>
  <sheetViews>
    <sheetView workbookViewId="0"/>
  </sheetViews>
  <sheetFormatPr defaultRowHeight="12.75" x14ac:dyDescent="0.2"/>
  <cols>
    <col min="1" max="1" width="4.28515625" style="20" customWidth="1"/>
    <col min="2" max="2" width="6.5703125" style="20" bestFit="1" customWidth="1"/>
    <col min="3" max="4" width="2.7109375" style="20" bestFit="1" customWidth="1"/>
    <col min="5" max="5" width="17.85546875" style="20" bestFit="1" customWidth="1"/>
    <col min="6" max="6" width="19.7109375" style="20" bestFit="1" customWidth="1"/>
    <col min="7" max="7" width="36.28515625" style="20" customWidth="1"/>
    <col min="8" max="8" width="3.7109375" style="20" customWidth="1"/>
    <col min="9" max="12" width="3.5703125" style="20" customWidth="1"/>
    <col min="13" max="16384" width="9.140625" style="20"/>
  </cols>
  <sheetData>
    <row r="1" spans="1:12" x14ac:dyDescent="0.2">
      <c r="A1" s="117" t="s">
        <v>151</v>
      </c>
      <c r="B1" s="107"/>
      <c r="C1" s="107"/>
      <c r="D1" s="107"/>
      <c r="E1" s="108"/>
      <c r="F1" s="109"/>
      <c r="G1" s="108"/>
      <c r="H1" s="104"/>
    </row>
    <row r="2" spans="1:12" x14ac:dyDescent="0.2">
      <c r="A2" s="89"/>
      <c r="B2" s="102" t="s">
        <v>141</v>
      </c>
      <c r="C2" s="103"/>
      <c r="D2" s="102"/>
      <c r="E2" s="101" t="str">
        <f>Currency&amp;"_010_Sw"&amp;$C$4&amp;$D$4&amp;".xml"</f>
        <v>EUR_010_Sw3E6E.xml</v>
      </c>
      <c r="F2" s="100">
        <f ca="1">IF(Serialize,_xll.ohObjectSave(F3:F40,SerializationPath&amp;E2,FileOverwrite,Serialize),"---")</f>
        <v>38</v>
      </c>
      <c r="G2" s="84" t="str">
        <f ca="1">_xll.ohRangeRetrieveError(F2)</f>
        <v/>
      </c>
      <c r="H2" s="83"/>
    </row>
    <row r="3" spans="1:12" x14ac:dyDescent="0.2">
      <c r="A3" s="89"/>
      <c r="B3" s="99" t="s">
        <v>40</v>
      </c>
      <c r="C3" s="87" t="str">
        <f>VLOOKUP(Currency,$J$8:$L$12,2)</f>
        <v>3E</v>
      </c>
      <c r="D3" s="86" t="str">
        <f>VLOOKUP(Currency,$J$8:$L$12,3)</f>
        <v>6E</v>
      </c>
      <c r="E3" s="85" t="str">
        <f>IF(ISBLANK(C3),"#",Currency&amp;$C3&amp;$D3&amp;$B3&amp;QuoteSuffix)</f>
        <v>EUR3E6E6M_Quote</v>
      </c>
      <c r="F3" s="85" t="str">
        <f>_xll.qlSimpleQuote(E3,,RateTickValue,Permanent,Trigger,ObjectOverwrite)</f>
        <v>EUR3E6E6M_Quote#0035</v>
      </c>
      <c r="G3" s="84" t="str">
        <f>_xll.ohRangeRetrieveError(F3)</f>
        <v/>
      </c>
      <c r="H3" s="83"/>
    </row>
    <row r="4" spans="1:12" x14ac:dyDescent="0.2">
      <c r="A4" s="89"/>
      <c r="B4" s="99" t="s">
        <v>34</v>
      </c>
      <c r="C4" s="87" t="str">
        <f>C3</f>
        <v>3E</v>
      </c>
      <c r="D4" s="86" t="str">
        <f>D3</f>
        <v>6E</v>
      </c>
      <c r="E4" s="85" t="str">
        <f>IF(ISBLANK(C4),"#",Currency&amp;$C4&amp;$D4&amp;$B4&amp;QuoteSuffix)</f>
        <v>EUR3E6E1Y_Quote</v>
      </c>
      <c r="F4" s="85" t="str">
        <f>_xll.qlSimpleQuote(E4,,RateTickValue,Permanent,Trigger,ObjectOverwrite)</f>
        <v>EUR3E6E1Y_Quote#0035</v>
      </c>
      <c r="G4" s="84" t="str">
        <f>_xll.ohRangeRetrieveError(F4)</f>
        <v/>
      </c>
      <c r="H4" s="83"/>
    </row>
    <row r="5" spans="1:12" x14ac:dyDescent="0.2">
      <c r="A5" s="89"/>
      <c r="B5" s="99" t="s">
        <v>140</v>
      </c>
      <c r="C5" s="87" t="str">
        <f>C4</f>
        <v>3E</v>
      </c>
      <c r="D5" s="86" t="str">
        <f>D4</f>
        <v>6E</v>
      </c>
      <c r="E5" s="85" t="str">
        <f>IF(ISBLANK(C5),"#",Currency&amp;$C5&amp;$D5&amp;$B5&amp;QuoteSuffix)</f>
        <v>EUR3E6E15M_Quote</v>
      </c>
      <c r="F5" s="85" t="str">
        <f>_xll.qlSimpleQuote(E5,,RateTickValue,Permanent,Trigger,ObjectOverwrite)</f>
        <v>EUR3E6E15M_Quote#0035</v>
      </c>
      <c r="G5" s="84" t="str">
        <f>_xll.ohRangeRetrieveError(F5)</f>
        <v/>
      </c>
      <c r="H5" s="83"/>
    </row>
    <row r="6" spans="1:12" x14ac:dyDescent="0.2">
      <c r="A6" s="89"/>
      <c r="B6" s="99" t="s">
        <v>139</v>
      </c>
      <c r="C6" s="87" t="str">
        <f>C5</f>
        <v>3E</v>
      </c>
      <c r="D6" s="86" t="str">
        <f>D5</f>
        <v>6E</v>
      </c>
      <c r="E6" s="85" t="str">
        <f>IF(ISBLANK(C6),"#",Currency&amp;$C6&amp;$D6&amp;$B6&amp;QuoteSuffix)</f>
        <v>EUR3E6E18M_Quote</v>
      </c>
      <c r="F6" s="85" t="str">
        <f>_xll.qlSimpleQuote(E6,,RateTickValue,Permanent,Trigger,ObjectOverwrite)</f>
        <v>EUR3E6E18M_Quote#0035</v>
      </c>
      <c r="G6" s="84" t="str">
        <f>_xll.ohRangeRetrieveError(F6)</f>
        <v/>
      </c>
      <c r="H6" s="83"/>
    </row>
    <row r="7" spans="1:12" ht="13.5" thickBot="1" x14ac:dyDescent="0.25">
      <c r="A7" s="89"/>
      <c r="B7" s="99" t="s">
        <v>138</v>
      </c>
      <c r="C7" s="87" t="str">
        <f>C6</f>
        <v>3E</v>
      </c>
      <c r="D7" s="86" t="str">
        <f>D6</f>
        <v>6E</v>
      </c>
      <c r="E7" s="85" t="str">
        <f>IF(ISBLANK(C7),"#",Currency&amp;$C7&amp;$D7&amp;$B7&amp;QuoteSuffix)</f>
        <v>EUR3E6E21M_Quote</v>
      </c>
      <c r="F7" s="85" t="str">
        <f>_xll.qlSimpleQuote(E7,,RateTickValue,Permanent,Trigger,ObjectOverwrite)</f>
        <v>EUR3E6E21M_Quote#0035</v>
      </c>
      <c r="G7" s="84" t="str">
        <f>_xll.ohRangeRetrieveError(F7)</f>
        <v/>
      </c>
      <c r="H7" s="83"/>
    </row>
    <row r="8" spans="1:12" x14ac:dyDescent="0.2">
      <c r="A8" s="89"/>
      <c r="B8" s="88" t="s">
        <v>115</v>
      </c>
      <c r="C8" s="87" t="str">
        <f>C7</f>
        <v>3E</v>
      </c>
      <c r="D8" s="86" t="str">
        <f>D7</f>
        <v>6E</v>
      </c>
      <c r="E8" s="85" t="str">
        <f>IF(ISBLANK(C8),"#",Currency&amp;$C8&amp;$D8&amp;$B8&amp;QuoteSuffix)</f>
        <v>EUR3E6E2Y_Quote</v>
      </c>
      <c r="F8" s="85" t="str">
        <f>_xll.qlSimpleQuote(E8,,RateTickValue,Permanent,Trigger,ObjectOverwrite)</f>
        <v>EUR3E6E2Y_Quote#0035</v>
      </c>
      <c r="G8" s="84" t="str">
        <f>_xll.ohRangeRetrieveError(F8)</f>
        <v/>
      </c>
      <c r="H8" s="83"/>
      <c r="J8" s="98" t="s">
        <v>137</v>
      </c>
      <c r="K8" s="97" t="s">
        <v>130</v>
      </c>
      <c r="L8" s="96" t="s">
        <v>132</v>
      </c>
    </row>
    <row r="9" spans="1:12" x14ac:dyDescent="0.2">
      <c r="A9" s="89"/>
      <c r="B9" s="88" t="s">
        <v>114</v>
      </c>
      <c r="C9" s="87" t="str">
        <f>C8</f>
        <v>3E</v>
      </c>
      <c r="D9" s="86" t="str">
        <f>D8</f>
        <v>6E</v>
      </c>
      <c r="E9" s="85" t="str">
        <f>IF(ISBLANK(C9),"#",Currency&amp;$C9&amp;$D9&amp;$B9&amp;QuoteSuffix)</f>
        <v>EUR3E6E3Y_Quote</v>
      </c>
      <c r="F9" s="85" t="str">
        <f>_xll.qlSimpleQuote(E9,,RateTickValue,Permanent,Trigger,ObjectOverwrite)</f>
        <v>EUR3E6E3Y_Quote#0035</v>
      </c>
      <c r="G9" s="84" t="str">
        <f>_xll.ohRangeRetrieveError(F9)</f>
        <v/>
      </c>
      <c r="H9" s="83"/>
      <c r="J9" s="95" t="s">
        <v>123</v>
      </c>
      <c r="K9" s="94" t="s">
        <v>142</v>
      </c>
      <c r="L9" s="93" t="s">
        <v>135</v>
      </c>
    </row>
    <row r="10" spans="1:12" x14ac:dyDescent="0.2">
      <c r="A10" s="89"/>
      <c r="B10" s="88" t="s">
        <v>113</v>
      </c>
      <c r="C10" s="87" t="str">
        <f>C9</f>
        <v>3E</v>
      </c>
      <c r="D10" s="86" t="str">
        <f>D9</f>
        <v>6E</v>
      </c>
      <c r="E10" s="85" t="str">
        <f>IF(ISBLANK(C10),"#",Currency&amp;$C10&amp;$D10&amp;$B10&amp;QuoteSuffix)</f>
        <v>EUR3E6E4Y_Quote</v>
      </c>
      <c r="F10" s="85" t="str">
        <f>_xll.qlSimpleQuote(E10,,RateTickValue,Permanent,Trigger,ObjectOverwrite)</f>
        <v>EUR3E6E4Y_Quote#0035</v>
      </c>
      <c r="G10" s="84" t="str">
        <f>_xll.ohRangeRetrieveError(F10)</f>
        <v/>
      </c>
      <c r="H10" s="83"/>
      <c r="J10" s="95" t="s">
        <v>134</v>
      </c>
      <c r="K10" s="94" t="s">
        <v>130</v>
      </c>
      <c r="L10" s="93" t="s">
        <v>132</v>
      </c>
    </row>
    <row r="11" spans="1:12" x14ac:dyDescent="0.2">
      <c r="A11" s="89"/>
      <c r="B11" s="88" t="s">
        <v>112</v>
      </c>
      <c r="C11" s="87" t="str">
        <f>C10</f>
        <v>3E</v>
      </c>
      <c r="D11" s="86" t="str">
        <f>D10</f>
        <v>6E</v>
      </c>
      <c r="E11" s="85" t="str">
        <f>IF(ISBLANK(C11),"#",Currency&amp;$C11&amp;$D11&amp;$B11&amp;QuoteSuffix)</f>
        <v>EUR3E6E5Y_Quote</v>
      </c>
      <c r="F11" s="85" t="str">
        <f>_xll.qlSimpleQuote(E11,,RateTickValue,Permanent,Trigger,ObjectOverwrite)</f>
        <v>EUR3E6E5Y_Quote#0035</v>
      </c>
      <c r="G11" s="84" t="str">
        <f>_xll.ohRangeRetrieveError(F11)</f>
        <v/>
      </c>
      <c r="H11" s="83"/>
      <c r="J11" s="95" t="s">
        <v>133</v>
      </c>
      <c r="K11" s="94" t="s">
        <v>130</v>
      </c>
      <c r="L11" s="93" t="s">
        <v>132</v>
      </c>
    </row>
    <row r="12" spans="1:12" ht="13.5" thickBot="1" x14ac:dyDescent="0.25">
      <c r="A12" s="89"/>
      <c r="B12" s="88" t="s">
        <v>111</v>
      </c>
      <c r="C12" s="87" t="str">
        <f>C11</f>
        <v>3E</v>
      </c>
      <c r="D12" s="86" t="str">
        <f>D11</f>
        <v>6E</v>
      </c>
      <c r="E12" s="85" t="str">
        <f>IF(ISBLANK(C12),"#",Currency&amp;$C12&amp;$D12&amp;$B12&amp;QuoteSuffix)</f>
        <v>EUR3E6E6Y_Quote</v>
      </c>
      <c r="F12" s="85" t="str">
        <f>_xll.qlSimpleQuote(E12,,RateTickValue,Permanent,Trigger,ObjectOverwrite)</f>
        <v>EUR3E6E6Y_Quote#0035</v>
      </c>
      <c r="G12" s="84" t="str">
        <f>_xll.ohRangeRetrieveError(F12)</f>
        <v/>
      </c>
      <c r="H12" s="83"/>
      <c r="J12" s="92" t="s">
        <v>131</v>
      </c>
      <c r="K12" s="91" t="s">
        <v>132</v>
      </c>
      <c r="L12" s="90" t="s">
        <v>130</v>
      </c>
    </row>
    <row r="13" spans="1:12" x14ac:dyDescent="0.2">
      <c r="A13" s="89"/>
      <c r="B13" s="88" t="s">
        <v>110</v>
      </c>
      <c r="C13" s="87" t="str">
        <f>C12</f>
        <v>3E</v>
      </c>
      <c r="D13" s="86" t="str">
        <f>D12</f>
        <v>6E</v>
      </c>
      <c r="E13" s="85" t="str">
        <f>IF(ISBLANK(C13),"#",Currency&amp;$C13&amp;$D13&amp;$B13&amp;QuoteSuffix)</f>
        <v>EUR3E6E7Y_Quote</v>
      </c>
      <c r="F13" s="85" t="str">
        <f>_xll.qlSimpleQuote(E13,,RateTickValue,Permanent,Trigger,ObjectOverwrite)</f>
        <v>EUR3E6E7Y_Quote#0035</v>
      </c>
      <c r="G13" s="84" t="str">
        <f>_xll.ohRangeRetrieveError(F13)</f>
        <v/>
      </c>
      <c r="H13" s="83"/>
    </row>
    <row r="14" spans="1:12" x14ac:dyDescent="0.2">
      <c r="A14" s="89"/>
      <c r="B14" s="88" t="s">
        <v>109</v>
      </c>
      <c r="C14" s="87" t="str">
        <f>C13</f>
        <v>3E</v>
      </c>
      <c r="D14" s="86" t="str">
        <f>D13</f>
        <v>6E</v>
      </c>
      <c r="E14" s="85" t="str">
        <f>IF(ISBLANK(C14),"#",Currency&amp;$C14&amp;$D14&amp;$B14&amp;QuoteSuffix)</f>
        <v>EUR3E6E8Y_Quote</v>
      </c>
      <c r="F14" s="85" t="str">
        <f>_xll.qlSimpleQuote(E14,,RateTickValue,Permanent,Trigger,ObjectOverwrite)</f>
        <v>EUR3E6E8Y_Quote#0035</v>
      </c>
      <c r="G14" s="84" t="str">
        <f>_xll.ohRangeRetrieveError(F14)</f>
        <v/>
      </c>
      <c r="H14" s="83"/>
    </row>
    <row r="15" spans="1:12" x14ac:dyDescent="0.2">
      <c r="A15" s="89"/>
      <c r="B15" s="88" t="s">
        <v>108</v>
      </c>
      <c r="C15" s="87" t="str">
        <f>C14</f>
        <v>3E</v>
      </c>
      <c r="D15" s="86" t="str">
        <f>D14</f>
        <v>6E</v>
      </c>
      <c r="E15" s="85" t="str">
        <f>IF(ISBLANK(C15),"#",Currency&amp;$C15&amp;$D15&amp;$B15&amp;QuoteSuffix)</f>
        <v>EUR3E6E9Y_Quote</v>
      </c>
      <c r="F15" s="85" t="str">
        <f>_xll.qlSimpleQuote(E15,,RateTickValue,Permanent,Trigger,ObjectOverwrite)</f>
        <v>EUR3E6E9Y_Quote#0035</v>
      </c>
      <c r="G15" s="84" t="str">
        <f>_xll.ohRangeRetrieveError(F15)</f>
        <v/>
      </c>
      <c r="H15" s="83"/>
    </row>
    <row r="16" spans="1:12" x14ac:dyDescent="0.2">
      <c r="A16" s="89"/>
      <c r="B16" s="88" t="s">
        <v>107</v>
      </c>
      <c r="C16" s="87" t="str">
        <f>C15</f>
        <v>3E</v>
      </c>
      <c r="D16" s="86" t="str">
        <f>D15</f>
        <v>6E</v>
      </c>
      <c r="E16" s="85" t="str">
        <f>IF(ISBLANK(C16),"#",Currency&amp;$C16&amp;$D16&amp;$B16&amp;QuoteSuffix)</f>
        <v>EUR3E6E10Y_Quote</v>
      </c>
      <c r="F16" s="85" t="str">
        <f>_xll.qlSimpleQuote(E16,,RateTickValue,Permanent,Trigger,ObjectOverwrite)</f>
        <v>EUR3E6E10Y_Quote#0035</v>
      </c>
      <c r="G16" s="84" t="str">
        <f>_xll.ohRangeRetrieveError(F16)</f>
        <v/>
      </c>
      <c r="H16" s="83"/>
    </row>
    <row r="17" spans="1:8" x14ac:dyDescent="0.2">
      <c r="A17" s="89"/>
      <c r="B17" s="88" t="s">
        <v>106</v>
      </c>
      <c r="C17" s="87" t="str">
        <f>C16</f>
        <v>3E</v>
      </c>
      <c r="D17" s="86" t="str">
        <f>D16</f>
        <v>6E</v>
      </c>
      <c r="E17" s="85" t="str">
        <f>IF(ISBLANK(C17),"#",Currency&amp;$C17&amp;$D17&amp;$B17&amp;QuoteSuffix)</f>
        <v>EUR3E6E11Y_Quote</v>
      </c>
      <c r="F17" s="85" t="str">
        <f>_xll.qlSimpleQuote(E17,,RateTickValue,Permanent,Trigger,ObjectOverwrite)</f>
        <v>EUR3E6E11Y_Quote#0035</v>
      </c>
      <c r="G17" s="84" t="str">
        <f>_xll.ohRangeRetrieveError(F17)</f>
        <v/>
      </c>
      <c r="H17" s="83"/>
    </row>
    <row r="18" spans="1:8" x14ac:dyDescent="0.2">
      <c r="A18" s="89"/>
      <c r="B18" s="88" t="s">
        <v>105</v>
      </c>
      <c r="C18" s="87" t="str">
        <f>C17</f>
        <v>3E</v>
      </c>
      <c r="D18" s="86" t="str">
        <f>D17</f>
        <v>6E</v>
      </c>
      <c r="E18" s="85" t="str">
        <f>IF(ISBLANK(C18),"#",Currency&amp;$C18&amp;$D18&amp;$B18&amp;QuoteSuffix)</f>
        <v>EUR3E6E12Y_Quote</v>
      </c>
      <c r="F18" s="85" t="str">
        <f>_xll.qlSimpleQuote(E18,,RateTickValue,Permanent,Trigger,ObjectOverwrite)</f>
        <v>EUR3E6E12Y_Quote#0035</v>
      </c>
      <c r="G18" s="84" t="str">
        <f>_xll.ohRangeRetrieveError(F18)</f>
        <v/>
      </c>
      <c r="H18" s="83"/>
    </row>
    <row r="19" spans="1:8" x14ac:dyDescent="0.2">
      <c r="A19" s="89"/>
      <c r="B19" s="88" t="s">
        <v>104</v>
      </c>
      <c r="C19" s="87" t="str">
        <f>C18</f>
        <v>3E</v>
      </c>
      <c r="D19" s="86" t="str">
        <f>D18</f>
        <v>6E</v>
      </c>
      <c r="E19" s="85" t="str">
        <f>IF(ISBLANK(C19),"#",Currency&amp;$C19&amp;$D19&amp;$B19&amp;QuoteSuffix)</f>
        <v>EUR3E6E13Y_Quote</v>
      </c>
      <c r="F19" s="85" t="str">
        <f>_xll.qlSimpleQuote(E19,,RateTickValue,Permanent,Trigger,ObjectOverwrite)</f>
        <v>EUR3E6E13Y_Quote#0035</v>
      </c>
      <c r="G19" s="84" t="str">
        <f>_xll.ohRangeRetrieveError(F19)</f>
        <v/>
      </c>
      <c r="H19" s="83"/>
    </row>
    <row r="20" spans="1:8" x14ac:dyDescent="0.2">
      <c r="A20" s="89"/>
      <c r="B20" s="88" t="s">
        <v>103</v>
      </c>
      <c r="C20" s="87" t="str">
        <f>C19</f>
        <v>3E</v>
      </c>
      <c r="D20" s="86" t="str">
        <f>D19</f>
        <v>6E</v>
      </c>
      <c r="E20" s="85" t="str">
        <f>IF(ISBLANK(C20),"#",Currency&amp;$C20&amp;$D20&amp;$B20&amp;QuoteSuffix)</f>
        <v>EUR3E6E14Y_Quote</v>
      </c>
      <c r="F20" s="85" t="str">
        <f>_xll.qlSimpleQuote(E20,,RateTickValue,Permanent,Trigger,ObjectOverwrite)</f>
        <v>EUR3E6E14Y_Quote#0035</v>
      </c>
      <c r="G20" s="84" t="str">
        <f>_xll.ohRangeRetrieveError(F20)</f>
        <v/>
      </c>
      <c r="H20" s="83"/>
    </row>
    <row r="21" spans="1:8" x14ac:dyDescent="0.2">
      <c r="A21" s="89"/>
      <c r="B21" s="88" t="s">
        <v>102</v>
      </c>
      <c r="C21" s="87" t="str">
        <f>C20</f>
        <v>3E</v>
      </c>
      <c r="D21" s="86" t="str">
        <f>D20</f>
        <v>6E</v>
      </c>
      <c r="E21" s="85" t="str">
        <f>IF(ISBLANK(C21),"#",Currency&amp;$C21&amp;$D21&amp;$B21&amp;QuoteSuffix)</f>
        <v>EUR3E6E15Y_Quote</v>
      </c>
      <c r="F21" s="85" t="str">
        <f>_xll.qlSimpleQuote(E21,,RateTickValue,Permanent,Trigger,ObjectOverwrite)</f>
        <v>EUR3E6E15Y_Quote#0035</v>
      </c>
      <c r="G21" s="84" t="str">
        <f>_xll.ohRangeRetrieveError(F21)</f>
        <v/>
      </c>
      <c r="H21" s="83"/>
    </row>
    <row r="22" spans="1:8" x14ac:dyDescent="0.2">
      <c r="A22" s="89"/>
      <c r="B22" s="88" t="s">
        <v>101</v>
      </c>
      <c r="C22" s="87" t="str">
        <f>C21</f>
        <v>3E</v>
      </c>
      <c r="D22" s="86" t="str">
        <f>D21</f>
        <v>6E</v>
      </c>
      <c r="E22" s="85" t="str">
        <f>IF(ISBLANK(C22),"#",Currency&amp;$C22&amp;$D22&amp;$B22&amp;QuoteSuffix)</f>
        <v>EUR3E6E16Y_Quote</v>
      </c>
      <c r="F22" s="85" t="str">
        <f>_xll.qlSimpleQuote(E22,,RateTickValue,Permanent,Trigger,ObjectOverwrite)</f>
        <v>EUR3E6E16Y_Quote#0035</v>
      </c>
      <c r="G22" s="84" t="str">
        <f>_xll.ohRangeRetrieveError(F22)</f>
        <v/>
      </c>
      <c r="H22" s="83"/>
    </row>
    <row r="23" spans="1:8" x14ac:dyDescent="0.2">
      <c r="A23" s="89"/>
      <c r="B23" s="88" t="s">
        <v>100</v>
      </c>
      <c r="C23" s="87" t="str">
        <f>C22</f>
        <v>3E</v>
      </c>
      <c r="D23" s="86" t="str">
        <f>D22</f>
        <v>6E</v>
      </c>
      <c r="E23" s="85" t="str">
        <f>IF(ISBLANK(C23),"#",Currency&amp;$C23&amp;$D23&amp;$B23&amp;QuoteSuffix)</f>
        <v>EUR3E6E17Y_Quote</v>
      </c>
      <c r="F23" s="85" t="str">
        <f>_xll.qlSimpleQuote(E23,,RateTickValue,Permanent,Trigger,ObjectOverwrite)</f>
        <v>EUR3E6E17Y_Quote#0035</v>
      </c>
      <c r="G23" s="84" t="str">
        <f>_xll.ohRangeRetrieveError(F23)</f>
        <v/>
      </c>
      <c r="H23" s="83"/>
    </row>
    <row r="24" spans="1:8" x14ac:dyDescent="0.2">
      <c r="A24" s="89"/>
      <c r="B24" s="88" t="s">
        <v>99</v>
      </c>
      <c r="C24" s="87" t="str">
        <f>C23</f>
        <v>3E</v>
      </c>
      <c r="D24" s="86" t="str">
        <f>D23</f>
        <v>6E</v>
      </c>
      <c r="E24" s="85" t="str">
        <f>IF(ISBLANK(C24),"#",Currency&amp;$C24&amp;$D24&amp;$B24&amp;QuoteSuffix)</f>
        <v>EUR3E6E18Y_Quote</v>
      </c>
      <c r="F24" s="85" t="str">
        <f>_xll.qlSimpleQuote(E24,,RateTickValue,Permanent,Trigger,ObjectOverwrite)</f>
        <v>EUR3E6E18Y_Quote#0035</v>
      </c>
      <c r="G24" s="84" t="str">
        <f>_xll.ohRangeRetrieveError(F24)</f>
        <v/>
      </c>
      <c r="H24" s="83"/>
    </row>
    <row r="25" spans="1:8" x14ac:dyDescent="0.2">
      <c r="A25" s="89"/>
      <c r="B25" s="88" t="s">
        <v>98</v>
      </c>
      <c r="C25" s="87" t="str">
        <f>C24</f>
        <v>3E</v>
      </c>
      <c r="D25" s="86" t="str">
        <f>D24</f>
        <v>6E</v>
      </c>
      <c r="E25" s="85" t="str">
        <f>IF(ISBLANK(C25),"#",Currency&amp;$C25&amp;$D25&amp;$B25&amp;QuoteSuffix)</f>
        <v>EUR3E6E19Y_Quote</v>
      </c>
      <c r="F25" s="85" t="str">
        <f>_xll.qlSimpleQuote(E25,,RateTickValue,Permanent,Trigger,ObjectOverwrite)</f>
        <v>EUR3E6E19Y_Quote#0035</v>
      </c>
      <c r="G25" s="84" t="str">
        <f>_xll.ohRangeRetrieveError(F25)</f>
        <v/>
      </c>
      <c r="H25" s="83"/>
    </row>
    <row r="26" spans="1:8" x14ac:dyDescent="0.2">
      <c r="A26" s="89"/>
      <c r="B26" s="88" t="s">
        <v>97</v>
      </c>
      <c r="C26" s="87" t="str">
        <f>C25</f>
        <v>3E</v>
      </c>
      <c r="D26" s="86" t="str">
        <f>D25</f>
        <v>6E</v>
      </c>
      <c r="E26" s="85" t="str">
        <f>IF(ISBLANK(C26),"#",Currency&amp;$C26&amp;$D26&amp;$B26&amp;QuoteSuffix)</f>
        <v>EUR3E6E20Y_Quote</v>
      </c>
      <c r="F26" s="85" t="str">
        <f>_xll.qlSimpleQuote(E26,,RateTickValue,Permanent,Trigger,ObjectOverwrite)</f>
        <v>EUR3E6E20Y_Quote#0035</v>
      </c>
      <c r="G26" s="84" t="str">
        <f>_xll.ohRangeRetrieveError(F26)</f>
        <v/>
      </c>
      <c r="H26" s="83"/>
    </row>
    <row r="27" spans="1:8" x14ac:dyDescent="0.2">
      <c r="A27" s="89"/>
      <c r="B27" s="88" t="s">
        <v>96</v>
      </c>
      <c r="C27" s="87" t="str">
        <f>C26</f>
        <v>3E</v>
      </c>
      <c r="D27" s="86" t="str">
        <f>D26</f>
        <v>6E</v>
      </c>
      <c r="E27" s="85" t="str">
        <f>IF(ISBLANK(C27),"#",Currency&amp;$C27&amp;$D27&amp;$B27&amp;QuoteSuffix)</f>
        <v>EUR3E6E21Y_Quote</v>
      </c>
      <c r="F27" s="85" t="str">
        <f>_xll.qlSimpleQuote(E27,,RateTickValue,Permanent,Trigger,ObjectOverwrite)</f>
        <v>EUR3E6E21Y_Quote#0035</v>
      </c>
      <c r="G27" s="84" t="str">
        <f>_xll.ohRangeRetrieveError(F27)</f>
        <v/>
      </c>
      <c r="H27" s="83"/>
    </row>
    <row r="28" spans="1:8" x14ac:dyDescent="0.2">
      <c r="A28" s="89"/>
      <c r="B28" s="88" t="s">
        <v>95</v>
      </c>
      <c r="C28" s="87" t="str">
        <f>C27</f>
        <v>3E</v>
      </c>
      <c r="D28" s="86" t="str">
        <f>D27</f>
        <v>6E</v>
      </c>
      <c r="E28" s="85" t="str">
        <f>IF(ISBLANK(C28),"#",Currency&amp;$C28&amp;$D28&amp;$B28&amp;QuoteSuffix)</f>
        <v>EUR3E6E22Y_Quote</v>
      </c>
      <c r="F28" s="85" t="str">
        <f>_xll.qlSimpleQuote(E28,,RateTickValue,Permanent,Trigger,ObjectOverwrite)</f>
        <v>EUR3E6E22Y_Quote#0035</v>
      </c>
      <c r="G28" s="84" t="str">
        <f>_xll.ohRangeRetrieveError(F28)</f>
        <v/>
      </c>
      <c r="H28" s="83"/>
    </row>
    <row r="29" spans="1:8" x14ac:dyDescent="0.2">
      <c r="A29" s="89"/>
      <c r="B29" s="88" t="s">
        <v>94</v>
      </c>
      <c r="C29" s="87" t="str">
        <f>C28</f>
        <v>3E</v>
      </c>
      <c r="D29" s="86" t="str">
        <f>D28</f>
        <v>6E</v>
      </c>
      <c r="E29" s="85" t="str">
        <f>IF(ISBLANK(C29),"#",Currency&amp;$C29&amp;$D29&amp;$B29&amp;QuoteSuffix)</f>
        <v>EUR3E6E23Y_Quote</v>
      </c>
      <c r="F29" s="85" t="str">
        <f>_xll.qlSimpleQuote(E29,,RateTickValue,Permanent,Trigger,ObjectOverwrite)</f>
        <v>EUR3E6E23Y_Quote#0035</v>
      </c>
      <c r="G29" s="84" t="str">
        <f>_xll.ohRangeRetrieveError(F29)</f>
        <v/>
      </c>
      <c r="H29" s="83"/>
    </row>
    <row r="30" spans="1:8" x14ac:dyDescent="0.2">
      <c r="A30" s="89"/>
      <c r="B30" s="88" t="s">
        <v>93</v>
      </c>
      <c r="C30" s="87" t="str">
        <f>C29</f>
        <v>3E</v>
      </c>
      <c r="D30" s="86" t="str">
        <f>D29</f>
        <v>6E</v>
      </c>
      <c r="E30" s="85" t="str">
        <f>IF(ISBLANK(C30),"#",Currency&amp;$C30&amp;$D30&amp;$B30&amp;QuoteSuffix)</f>
        <v>EUR3E6E24Y_Quote</v>
      </c>
      <c r="F30" s="85" t="str">
        <f>_xll.qlSimpleQuote(E30,,RateTickValue,Permanent,Trigger,ObjectOverwrite)</f>
        <v>EUR3E6E24Y_Quote#0035</v>
      </c>
      <c r="G30" s="84" t="str">
        <f>_xll.ohRangeRetrieveError(F30)</f>
        <v/>
      </c>
      <c r="H30" s="83"/>
    </row>
    <row r="31" spans="1:8" x14ac:dyDescent="0.2">
      <c r="A31" s="89"/>
      <c r="B31" s="88" t="s">
        <v>92</v>
      </c>
      <c r="C31" s="87" t="str">
        <f>C30</f>
        <v>3E</v>
      </c>
      <c r="D31" s="86" t="str">
        <f>D30</f>
        <v>6E</v>
      </c>
      <c r="E31" s="85" t="str">
        <f>IF(ISBLANK(C31),"#",Currency&amp;$C31&amp;$D31&amp;$B31&amp;QuoteSuffix)</f>
        <v>EUR3E6E25Y_Quote</v>
      </c>
      <c r="F31" s="85" t="str">
        <f>_xll.qlSimpleQuote(E31,,RateTickValue,Permanent,Trigger,ObjectOverwrite)</f>
        <v>EUR3E6E25Y_Quote#0035</v>
      </c>
      <c r="G31" s="84" t="str">
        <f>_xll.ohRangeRetrieveError(F31)</f>
        <v/>
      </c>
      <c r="H31" s="83"/>
    </row>
    <row r="32" spans="1:8" x14ac:dyDescent="0.2">
      <c r="A32" s="89"/>
      <c r="B32" s="88" t="s">
        <v>91</v>
      </c>
      <c r="C32" s="87" t="str">
        <f>C31</f>
        <v>3E</v>
      </c>
      <c r="D32" s="86" t="str">
        <f>D31</f>
        <v>6E</v>
      </c>
      <c r="E32" s="85" t="str">
        <f>IF(ISBLANK(C32),"#",Currency&amp;$C32&amp;$D32&amp;$B32&amp;QuoteSuffix)</f>
        <v>EUR3E6E26Y_Quote</v>
      </c>
      <c r="F32" s="85" t="str">
        <f>_xll.qlSimpleQuote(E32,,RateTickValue,Permanent,Trigger,ObjectOverwrite)</f>
        <v>EUR3E6E26Y_Quote#0035</v>
      </c>
      <c r="G32" s="84" t="str">
        <f>_xll.ohRangeRetrieveError(F32)</f>
        <v/>
      </c>
      <c r="H32" s="83"/>
    </row>
    <row r="33" spans="1:8" x14ac:dyDescent="0.2">
      <c r="A33" s="89"/>
      <c r="B33" s="88" t="s">
        <v>90</v>
      </c>
      <c r="C33" s="87" t="str">
        <f>C32</f>
        <v>3E</v>
      </c>
      <c r="D33" s="86" t="str">
        <f>D32</f>
        <v>6E</v>
      </c>
      <c r="E33" s="85" t="str">
        <f>IF(ISBLANK(C33),"#",Currency&amp;$C33&amp;$D33&amp;$B33&amp;QuoteSuffix)</f>
        <v>EUR3E6E27Y_Quote</v>
      </c>
      <c r="F33" s="85" t="str">
        <f>_xll.qlSimpleQuote(E33,,RateTickValue,Permanent,Trigger,ObjectOverwrite)</f>
        <v>EUR3E6E27Y_Quote#0035</v>
      </c>
      <c r="G33" s="84" t="str">
        <f>_xll.ohRangeRetrieveError(F33)</f>
        <v/>
      </c>
      <c r="H33" s="83"/>
    </row>
    <row r="34" spans="1:8" x14ac:dyDescent="0.2">
      <c r="A34" s="89"/>
      <c r="B34" s="88" t="s">
        <v>89</v>
      </c>
      <c r="C34" s="87" t="str">
        <f>C33</f>
        <v>3E</v>
      </c>
      <c r="D34" s="86" t="str">
        <f>D33</f>
        <v>6E</v>
      </c>
      <c r="E34" s="85" t="str">
        <f>IF(ISBLANK(C34),"#",Currency&amp;$C34&amp;$D34&amp;$B34&amp;QuoteSuffix)</f>
        <v>EUR3E6E28Y_Quote</v>
      </c>
      <c r="F34" s="85" t="str">
        <f>_xll.qlSimpleQuote(E34,,RateTickValue,Permanent,Trigger,ObjectOverwrite)</f>
        <v>EUR3E6E28Y_Quote#0035</v>
      </c>
      <c r="G34" s="84" t="str">
        <f>_xll.ohRangeRetrieveError(F34)</f>
        <v/>
      </c>
      <c r="H34" s="83"/>
    </row>
    <row r="35" spans="1:8" x14ac:dyDescent="0.2">
      <c r="A35" s="89"/>
      <c r="B35" s="88" t="s">
        <v>88</v>
      </c>
      <c r="C35" s="87" t="str">
        <f>C34</f>
        <v>3E</v>
      </c>
      <c r="D35" s="86" t="str">
        <f>D34</f>
        <v>6E</v>
      </c>
      <c r="E35" s="85" t="str">
        <f>IF(ISBLANK(C35),"#",Currency&amp;$C35&amp;$D35&amp;$B35&amp;QuoteSuffix)</f>
        <v>EUR3E6E29Y_Quote</v>
      </c>
      <c r="F35" s="85" t="str">
        <f>_xll.qlSimpleQuote(E35,,RateTickValue,Permanent,Trigger,ObjectOverwrite)</f>
        <v>EUR3E6E29Y_Quote#0035</v>
      </c>
      <c r="G35" s="84" t="str">
        <f>_xll.ohRangeRetrieveError(F35)</f>
        <v/>
      </c>
      <c r="H35" s="83"/>
    </row>
    <row r="36" spans="1:8" x14ac:dyDescent="0.2">
      <c r="A36" s="89"/>
      <c r="B36" s="88" t="s">
        <v>87</v>
      </c>
      <c r="C36" s="87" t="str">
        <f>C35</f>
        <v>3E</v>
      </c>
      <c r="D36" s="86" t="str">
        <f>D35</f>
        <v>6E</v>
      </c>
      <c r="E36" s="85" t="str">
        <f>IF(ISBLANK(C36),"#",Currency&amp;$C36&amp;$D36&amp;$B36&amp;QuoteSuffix)</f>
        <v>EUR3E6E30Y_Quote</v>
      </c>
      <c r="F36" s="85" t="str">
        <f>_xll.qlSimpleQuote(E36,,RateTickValue,Permanent,Trigger,ObjectOverwrite)</f>
        <v>EUR3E6E30Y_Quote#0035</v>
      </c>
      <c r="G36" s="84" t="str">
        <f>_xll.ohRangeRetrieveError(F36)</f>
        <v/>
      </c>
      <c r="H36" s="83"/>
    </row>
    <row r="37" spans="1:8" x14ac:dyDescent="0.2">
      <c r="A37" s="89"/>
      <c r="B37" s="88" t="s">
        <v>82</v>
      </c>
      <c r="C37" s="87" t="str">
        <f>C36</f>
        <v>3E</v>
      </c>
      <c r="D37" s="86" t="str">
        <f>D36</f>
        <v>6E</v>
      </c>
      <c r="E37" s="85" t="str">
        <f>IF(ISBLANK(C37),"#",Currency&amp;$C37&amp;$D37&amp;$B37&amp;QuoteSuffix)</f>
        <v>EUR3E6E35Y_Quote</v>
      </c>
      <c r="F37" s="85" t="str">
        <f>_xll.qlSimpleQuote(E37,,RateTickValue,Permanent,Trigger,ObjectOverwrite)</f>
        <v>EUR3E6E35Y_Quote#0035</v>
      </c>
      <c r="G37" s="84" t="str">
        <f>_xll.ohRangeRetrieveError(F37)</f>
        <v/>
      </c>
      <c r="H37" s="83"/>
    </row>
    <row r="38" spans="1:8" x14ac:dyDescent="0.2">
      <c r="A38" s="89"/>
      <c r="B38" s="88" t="s">
        <v>77</v>
      </c>
      <c r="C38" s="87" t="str">
        <f>C37</f>
        <v>3E</v>
      </c>
      <c r="D38" s="86" t="str">
        <f>D37</f>
        <v>6E</v>
      </c>
      <c r="E38" s="85" t="str">
        <f>IF(ISBLANK(C38),"#",Currency&amp;$C38&amp;$D38&amp;$B38&amp;QuoteSuffix)</f>
        <v>EUR3E6E40Y_Quote</v>
      </c>
      <c r="F38" s="85" t="str">
        <f>_xll.qlSimpleQuote(E38,,RateTickValue,Permanent,Trigger,ObjectOverwrite)</f>
        <v>EUR3E6E40Y_Quote#0035</v>
      </c>
      <c r="G38" s="84" t="str">
        <f>_xll.ohRangeRetrieveError(F38)</f>
        <v/>
      </c>
      <c r="H38" s="83"/>
    </row>
    <row r="39" spans="1:8" x14ac:dyDescent="0.2">
      <c r="A39" s="89"/>
      <c r="B39" s="88" t="s">
        <v>67</v>
      </c>
      <c r="C39" s="87" t="str">
        <f>C38</f>
        <v>3E</v>
      </c>
      <c r="D39" s="86" t="str">
        <f>D38</f>
        <v>6E</v>
      </c>
      <c r="E39" s="85" t="str">
        <f>IF(ISBLANK(C39),"#",Currency&amp;$C39&amp;$D39&amp;$B39&amp;QuoteSuffix)</f>
        <v>EUR3E6E50Y_Quote</v>
      </c>
      <c r="F39" s="85" t="str">
        <f>_xll.qlSimpleQuote(E39,,RateTickValue,Permanent,Trigger,ObjectOverwrite)</f>
        <v>EUR3E6E50Y_Quote#0035</v>
      </c>
      <c r="G39" s="84" t="str">
        <f>_xll.ohRangeRetrieveError(F39)</f>
        <v/>
      </c>
      <c r="H39" s="83"/>
    </row>
    <row r="40" spans="1:8" x14ac:dyDescent="0.2">
      <c r="A40" s="89"/>
      <c r="B40" s="88" t="s">
        <v>57</v>
      </c>
      <c r="C40" s="87" t="str">
        <f>C39</f>
        <v>3E</v>
      </c>
      <c r="D40" s="86" t="str">
        <f>D39</f>
        <v>6E</v>
      </c>
      <c r="E40" s="85" t="str">
        <f>IF(ISBLANK(C40),"#",Currency&amp;$C40&amp;$D40&amp;$B40&amp;QuoteSuffix)</f>
        <v>EUR3E6E60Y_Quote</v>
      </c>
      <c r="F40" s="85" t="str">
        <f>_xll.qlSimpleQuote(E40,,RateTickValue,Permanent,Trigger,ObjectOverwrite)</f>
        <v>EUR3E6E60Y_Quote#0035</v>
      </c>
      <c r="G40" s="84" t="str">
        <f>_xll.ohRangeRetrieveError(F40)</f>
        <v/>
      </c>
      <c r="H40" s="83"/>
    </row>
    <row r="41" spans="1:8" x14ac:dyDescent="0.2">
      <c r="A41" s="82"/>
      <c r="B41" s="81"/>
      <c r="C41" s="81"/>
      <c r="D41" s="81"/>
      <c r="E41" s="81"/>
      <c r="F41" s="80"/>
      <c r="G41" s="80"/>
      <c r="H41" s="79"/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1"/>
  <sheetViews>
    <sheetView workbookViewId="0"/>
  </sheetViews>
  <sheetFormatPr defaultRowHeight="12.75" x14ac:dyDescent="0.2"/>
  <cols>
    <col min="1" max="1" width="4.140625" style="20" customWidth="1"/>
    <col min="2" max="2" width="6.5703125" style="20" bestFit="1" customWidth="1"/>
    <col min="3" max="3" width="2.7109375" style="20" bestFit="1" customWidth="1"/>
    <col min="4" max="4" width="3.5703125" style="20" bestFit="1" customWidth="1"/>
    <col min="5" max="5" width="18.7109375" style="20" bestFit="1" customWidth="1"/>
    <col min="6" max="6" width="20.5703125" style="20" bestFit="1" customWidth="1"/>
    <col min="7" max="7" width="34.42578125" style="20" customWidth="1"/>
    <col min="8" max="8" width="3.7109375" style="20" customWidth="1"/>
    <col min="9" max="9" width="3.140625" style="20" customWidth="1"/>
    <col min="10" max="10" width="4" style="20" bestFit="1" customWidth="1"/>
    <col min="11" max="11" width="3.5703125" style="20" customWidth="1"/>
    <col min="12" max="12" width="3.5703125" style="20" bestFit="1" customWidth="1"/>
    <col min="13" max="16384" width="9.140625" style="20"/>
  </cols>
  <sheetData>
    <row r="1" spans="1:12" x14ac:dyDescent="0.2">
      <c r="A1" s="117" t="s">
        <v>151</v>
      </c>
      <c r="B1" s="107"/>
      <c r="C1" s="107"/>
      <c r="D1" s="107"/>
      <c r="E1" s="108"/>
      <c r="F1" s="109"/>
      <c r="G1" s="108"/>
      <c r="H1" s="104"/>
    </row>
    <row r="2" spans="1:12" x14ac:dyDescent="0.2">
      <c r="A2" s="89"/>
      <c r="B2" s="102" t="s">
        <v>141</v>
      </c>
      <c r="C2" s="103"/>
      <c r="D2" s="102"/>
      <c r="E2" s="101" t="str">
        <f>Currency&amp;"_010_Sw"&amp;$C$7&amp;$D$7&amp;".xml"</f>
        <v>EUR_010_Sw6E12E.xml</v>
      </c>
      <c r="F2" s="100">
        <f ca="1">IF(Serialize,_xll.ohObjectSave(F3:F40,SerializationPath&amp;E2,FileOverwrite,Serialize),"---")</f>
        <v>38</v>
      </c>
      <c r="G2" s="84" t="str">
        <f ca="1">_xll.ohRangeRetrieveError(F2)</f>
        <v/>
      </c>
      <c r="H2" s="83"/>
    </row>
    <row r="3" spans="1:12" x14ac:dyDescent="0.2">
      <c r="A3" s="89"/>
      <c r="B3" s="99" t="s">
        <v>40</v>
      </c>
      <c r="C3" s="87" t="str">
        <f>VLOOKUP(Currency,$J$8:$L$12,2)</f>
        <v>6E</v>
      </c>
      <c r="D3" s="86" t="str">
        <f>VLOOKUP(Currency,$J$8:$L$12,3)</f>
        <v>12E</v>
      </c>
      <c r="E3" s="85" t="str">
        <f>IF(ISBLANK(C3),"#",Currency&amp;$C3&amp;$D3&amp;$B3&amp;QuoteSuffix)</f>
        <v>EUR6E12E6M_Quote</v>
      </c>
      <c r="F3" s="85" t="str">
        <f>_xll.qlSimpleQuote(E3,,RateTickValue,Permanent,Trigger,ObjectOverwrite)</f>
        <v>EUR6E12E6M_Quote#0034</v>
      </c>
      <c r="G3" s="84" t="str">
        <f>_xll.ohRangeRetrieveError(F3)</f>
        <v/>
      </c>
      <c r="H3" s="83"/>
    </row>
    <row r="4" spans="1:12" x14ac:dyDescent="0.2">
      <c r="A4" s="89"/>
      <c r="B4" s="99" t="s">
        <v>34</v>
      </c>
      <c r="C4" s="87" t="str">
        <f>C3</f>
        <v>6E</v>
      </c>
      <c r="D4" s="86" t="str">
        <f>D3</f>
        <v>12E</v>
      </c>
      <c r="E4" s="85" t="str">
        <f>IF(ISBLANK(C4),"#",Currency&amp;$C4&amp;$D4&amp;$B4&amp;QuoteSuffix)</f>
        <v>EUR6E12E1Y_Quote</v>
      </c>
      <c r="F4" s="85" t="str">
        <f>_xll.qlSimpleQuote(E4,,RateTickValue,Permanent,Trigger,ObjectOverwrite)</f>
        <v>EUR6E12E1Y_Quote#0034</v>
      </c>
      <c r="G4" s="84" t="str">
        <f>_xll.ohRangeRetrieveError(F4)</f>
        <v/>
      </c>
      <c r="H4" s="83"/>
    </row>
    <row r="5" spans="1:12" x14ac:dyDescent="0.2">
      <c r="A5" s="89"/>
      <c r="B5" s="99" t="s">
        <v>140</v>
      </c>
      <c r="C5" s="87" t="str">
        <f>C4</f>
        <v>6E</v>
      </c>
      <c r="D5" s="86" t="str">
        <f>D4</f>
        <v>12E</v>
      </c>
      <c r="E5" s="85" t="str">
        <f>IF(ISBLANK(C5),"#",Currency&amp;$C5&amp;$D5&amp;$B5&amp;QuoteSuffix)</f>
        <v>EUR6E12E15M_Quote</v>
      </c>
      <c r="F5" s="85" t="str">
        <f>_xll.qlSimpleQuote(E5,,RateTickValue,Permanent,Trigger,ObjectOverwrite)</f>
        <v>EUR6E12E15M_Quote#0034</v>
      </c>
      <c r="G5" s="84" t="str">
        <f>_xll.ohRangeRetrieveError(F5)</f>
        <v/>
      </c>
      <c r="H5" s="83"/>
    </row>
    <row r="6" spans="1:12" x14ac:dyDescent="0.2">
      <c r="A6" s="89"/>
      <c r="B6" s="99" t="s">
        <v>139</v>
      </c>
      <c r="C6" s="87" t="str">
        <f>C5</f>
        <v>6E</v>
      </c>
      <c r="D6" s="86" t="str">
        <f>D5</f>
        <v>12E</v>
      </c>
      <c r="E6" s="85" t="str">
        <f>IF(ISBLANK(C6),"#",Currency&amp;$C6&amp;$D6&amp;$B6&amp;QuoteSuffix)</f>
        <v>EUR6E12E18M_Quote</v>
      </c>
      <c r="F6" s="85" t="str">
        <f>_xll.qlSimpleQuote(E6,,RateTickValue,Permanent,Trigger,ObjectOverwrite)</f>
        <v>EUR6E12E18M_Quote#0034</v>
      </c>
      <c r="G6" s="84" t="str">
        <f>_xll.ohRangeRetrieveError(F6)</f>
        <v/>
      </c>
      <c r="H6" s="83"/>
    </row>
    <row r="7" spans="1:12" ht="13.5" thickBot="1" x14ac:dyDescent="0.25">
      <c r="A7" s="89"/>
      <c r="B7" s="99" t="s">
        <v>138</v>
      </c>
      <c r="C7" s="87" t="str">
        <f>C6</f>
        <v>6E</v>
      </c>
      <c r="D7" s="86" t="str">
        <f>D6</f>
        <v>12E</v>
      </c>
      <c r="E7" s="85" t="str">
        <f>IF(ISBLANK(C7),"#",Currency&amp;$C7&amp;$D7&amp;$B7&amp;QuoteSuffix)</f>
        <v>EUR6E12E21M_Quote</v>
      </c>
      <c r="F7" s="85" t="str">
        <f>_xll.qlSimpleQuote(E7,,RateTickValue,Permanent,Trigger,ObjectOverwrite)</f>
        <v>EUR6E12E21M_Quote#0034</v>
      </c>
      <c r="G7" s="84" t="str">
        <f>_xll.ohRangeRetrieveError(F7)</f>
        <v/>
      </c>
      <c r="H7" s="83"/>
    </row>
    <row r="8" spans="1:12" x14ac:dyDescent="0.2">
      <c r="A8" s="89"/>
      <c r="B8" s="88" t="s">
        <v>115</v>
      </c>
      <c r="C8" s="87" t="str">
        <f>C7</f>
        <v>6E</v>
      </c>
      <c r="D8" s="86" t="str">
        <f>D7</f>
        <v>12E</v>
      </c>
      <c r="E8" s="85" t="str">
        <f>IF(ISBLANK(C8),"#",Currency&amp;$C8&amp;$D8&amp;$B8&amp;QuoteSuffix)</f>
        <v>EUR6E12E2Y_Quote</v>
      </c>
      <c r="F8" s="85" t="str">
        <f>_xll.qlSimpleQuote(E8,,RateTickValue,Permanent,Trigger,ObjectOverwrite)</f>
        <v>EUR6E12E2Y_Quote#0034</v>
      </c>
      <c r="G8" s="84" t="str">
        <f>_xll.ohRangeRetrieveError(F8)</f>
        <v/>
      </c>
      <c r="H8" s="83"/>
      <c r="J8" s="98" t="s">
        <v>137</v>
      </c>
      <c r="K8" s="97" t="s">
        <v>132</v>
      </c>
      <c r="L8" s="96" t="s">
        <v>143</v>
      </c>
    </row>
    <row r="9" spans="1:12" x14ac:dyDescent="0.2">
      <c r="A9" s="89"/>
      <c r="B9" s="88" t="s">
        <v>114</v>
      </c>
      <c r="C9" s="87" t="str">
        <f>C8</f>
        <v>6E</v>
      </c>
      <c r="D9" s="86" t="str">
        <f>D8</f>
        <v>12E</v>
      </c>
      <c r="E9" s="85" t="str">
        <f>IF(ISBLANK(C9),"#",Currency&amp;$C9&amp;$D9&amp;$B9&amp;QuoteSuffix)</f>
        <v>EUR6E12E3Y_Quote</v>
      </c>
      <c r="F9" s="85" t="str">
        <f>_xll.qlSimpleQuote(E9,,RateTickValue,Permanent,Trigger,ObjectOverwrite)</f>
        <v>EUR6E12E3Y_Quote#0034</v>
      </c>
      <c r="G9" s="84" t="str">
        <f>_xll.ohRangeRetrieveError(F9)</f>
        <v/>
      </c>
      <c r="H9" s="83"/>
      <c r="J9" s="95" t="s">
        <v>123</v>
      </c>
      <c r="K9" s="94" t="s">
        <v>135</v>
      </c>
      <c r="L9" s="93" t="s">
        <v>144</v>
      </c>
    </row>
    <row r="10" spans="1:12" x14ac:dyDescent="0.2">
      <c r="A10" s="89"/>
      <c r="B10" s="88" t="s">
        <v>113</v>
      </c>
      <c r="C10" s="87" t="str">
        <f>C9</f>
        <v>6E</v>
      </c>
      <c r="D10" s="86" t="str">
        <f>D9</f>
        <v>12E</v>
      </c>
      <c r="E10" s="85" t="str">
        <f>IF(ISBLANK(C10),"#",Currency&amp;$C10&amp;$D10&amp;$B10&amp;QuoteSuffix)</f>
        <v>EUR6E12E4Y_Quote</v>
      </c>
      <c r="F10" s="85" t="str">
        <f>_xll.qlSimpleQuote(E10,,RateTickValue,Permanent,Trigger,ObjectOverwrite)</f>
        <v>EUR6E12E4Y_Quote#0034</v>
      </c>
      <c r="G10" s="84" t="str">
        <f>_xll.ohRangeRetrieveError(F10)</f>
        <v/>
      </c>
      <c r="H10" s="83"/>
      <c r="J10" s="95" t="s">
        <v>134</v>
      </c>
      <c r="K10" s="94" t="s">
        <v>132</v>
      </c>
      <c r="L10" s="93" t="s">
        <v>143</v>
      </c>
    </row>
    <row r="11" spans="1:12" x14ac:dyDescent="0.2">
      <c r="A11" s="89"/>
      <c r="B11" s="88" t="s">
        <v>112</v>
      </c>
      <c r="C11" s="87" t="str">
        <f>C10</f>
        <v>6E</v>
      </c>
      <c r="D11" s="86" t="str">
        <f>D10</f>
        <v>12E</v>
      </c>
      <c r="E11" s="85" t="str">
        <f>IF(ISBLANK(C11),"#",Currency&amp;$C11&amp;$D11&amp;$B11&amp;QuoteSuffix)</f>
        <v>EUR6E12E5Y_Quote</v>
      </c>
      <c r="F11" s="85" t="str">
        <f>_xll.qlSimpleQuote(E11,,RateTickValue,Permanent,Trigger,ObjectOverwrite)</f>
        <v>EUR6E12E5Y_Quote#0034</v>
      </c>
      <c r="G11" s="84" t="str">
        <f>_xll.ohRangeRetrieveError(F11)</f>
        <v/>
      </c>
      <c r="H11" s="83"/>
      <c r="J11" s="95" t="s">
        <v>133</v>
      </c>
      <c r="K11" s="94" t="s">
        <v>132</v>
      </c>
      <c r="L11" s="93" t="s">
        <v>143</v>
      </c>
    </row>
    <row r="12" spans="1:12" ht="13.5" thickBot="1" x14ac:dyDescent="0.25">
      <c r="A12" s="89"/>
      <c r="B12" s="88" t="s">
        <v>111</v>
      </c>
      <c r="C12" s="87" t="str">
        <f>C11</f>
        <v>6E</v>
      </c>
      <c r="D12" s="86" t="str">
        <f>D11</f>
        <v>12E</v>
      </c>
      <c r="E12" s="85" t="str">
        <f>IF(ISBLANK(C12),"#",Currency&amp;$C12&amp;$D12&amp;$B12&amp;QuoteSuffix)</f>
        <v>EUR6E12E6Y_Quote</v>
      </c>
      <c r="F12" s="85" t="str">
        <f>_xll.qlSimpleQuote(E12,,RateTickValue,Permanent,Trigger,ObjectOverwrite)</f>
        <v>EUR6E12E6Y_Quote#0034</v>
      </c>
      <c r="G12" s="84" t="str">
        <f>_xll.ohRangeRetrieveError(F12)</f>
        <v/>
      </c>
      <c r="H12" s="83"/>
      <c r="J12" s="92" t="s">
        <v>131</v>
      </c>
      <c r="K12" s="91" t="s">
        <v>143</v>
      </c>
      <c r="L12" s="90" t="s">
        <v>130</v>
      </c>
    </row>
    <row r="13" spans="1:12" x14ac:dyDescent="0.2">
      <c r="A13" s="89"/>
      <c r="B13" s="88" t="s">
        <v>110</v>
      </c>
      <c r="C13" s="87" t="str">
        <f>C12</f>
        <v>6E</v>
      </c>
      <c r="D13" s="86" t="str">
        <f>D12</f>
        <v>12E</v>
      </c>
      <c r="E13" s="85" t="str">
        <f>IF(ISBLANK(C13),"#",Currency&amp;$C13&amp;$D13&amp;$B13&amp;QuoteSuffix)</f>
        <v>EUR6E12E7Y_Quote</v>
      </c>
      <c r="F13" s="85" t="str">
        <f>_xll.qlSimpleQuote(E13,,RateTickValue,Permanent,Trigger,ObjectOverwrite)</f>
        <v>EUR6E12E7Y_Quote#0034</v>
      </c>
      <c r="G13" s="84" t="str">
        <f>_xll.ohRangeRetrieveError(F13)</f>
        <v/>
      </c>
      <c r="H13" s="83"/>
    </row>
    <row r="14" spans="1:12" x14ac:dyDescent="0.2">
      <c r="A14" s="89"/>
      <c r="B14" s="88" t="s">
        <v>109</v>
      </c>
      <c r="C14" s="87" t="str">
        <f>C13</f>
        <v>6E</v>
      </c>
      <c r="D14" s="86" t="str">
        <f>D13</f>
        <v>12E</v>
      </c>
      <c r="E14" s="85" t="str">
        <f>IF(ISBLANK(C14),"#",Currency&amp;$C14&amp;$D14&amp;$B14&amp;QuoteSuffix)</f>
        <v>EUR6E12E8Y_Quote</v>
      </c>
      <c r="F14" s="85" t="str">
        <f>_xll.qlSimpleQuote(E14,,RateTickValue,Permanent,Trigger,ObjectOverwrite)</f>
        <v>EUR6E12E8Y_Quote#0034</v>
      </c>
      <c r="G14" s="84" t="str">
        <f>_xll.ohRangeRetrieveError(F14)</f>
        <v/>
      </c>
      <c r="H14" s="83"/>
    </row>
    <row r="15" spans="1:12" x14ac:dyDescent="0.2">
      <c r="A15" s="89"/>
      <c r="B15" s="88" t="s">
        <v>108</v>
      </c>
      <c r="C15" s="87" t="str">
        <f>C14</f>
        <v>6E</v>
      </c>
      <c r="D15" s="86" t="str">
        <f>D14</f>
        <v>12E</v>
      </c>
      <c r="E15" s="85" t="str">
        <f>IF(ISBLANK(C15),"#",Currency&amp;$C15&amp;$D15&amp;$B15&amp;QuoteSuffix)</f>
        <v>EUR6E12E9Y_Quote</v>
      </c>
      <c r="F15" s="85" t="str">
        <f>_xll.qlSimpleQuote(E15,,RateTickValue,Permanent,Trigger,ObjectOverwrite)</f>
        <v>EUR6E12E9Y_Quote#0034</v>
      </c>
      <c r="G15" s="84" t="str">
        <f>_xll.ohRangeRetrieveError(F15)</f>
        <v/>
      </c>
      <c r="H15" s="83"/>
    </row>
    <row r="16" spans="1:12" x14ac:dyDescent="0.2">
      <c r="A16" s="89"/>
      <c r="B16" s="88" t="s">
        <v>107</v>
      </c>
      <c r="C16" s="87" t="str">
        <f>C15</f>
        <v>6E</v>
      </c>
      <c r="D16" s="86" t="str">
        <f>D15</f>
        <v>12E</v>
      </c>
      <c r="E16" s="85" t="str">
        <f>IF(ISBLANK(C16),"#",Currency&amp;$C16&amp;$D16&amp;$B16&amp;QuoteSuffix)</f>
        <v>EUR6E12E10Y_Quote</v>
      </c>
      <c r="F16" s="85" t="str">
        <f>_xll.qlSimpleQuote(E16,,RateTickValue,Permanent,Trigger,ObjectOverwrite)</f>
        <v>EUR6E12E10Y_Quote#0034</v>
      </c>
      <c r="G16" s="84" t="str">
        <f>_xll.ohRangeRetrieveError(F16)</f>
        <v/>
      </c>
      <c r="H16" s="83"/>
    </row>
    <row r="17" spans="1:8" x14ac:dyDescent="0.2">
      <c r="A17" s="89"/>
      <c r="B17" s="88" t="s">
        <v>106</v>
      </c>
      <c r="C17" s="87" t="str">
        <f>C16</f>
        <v>6E</v>
      </c>
      <c r="D17" s="86" t="str">
        <f>D16</f>
        <v>12E</v>
      </c>
      <c r="E17" s="85" t="str">
        <f>IF(ISBLANK(C17),"#",Currency&amp;$C17&amp;$D17&amp;$B17&amp;QuoteSuffix)</f>
        <v>EUR6E12E11Y_Quote</v>
      </c>
      <c r="F17" s="85" t="str">
        <f>_xll.qlSimpleQuote(E17,,RateTickValue,Permanent,Trigger,ObjectOverwrite)</f>
        <v>EUR6E12E11Y_Quote#0034</v>
      </c>
      <c r="G17" s="84" t="str">
        <f>_xll.ohRangeRetrieveError(F17)</f>
        <v/>
      </c>
      <c r="H17" s="83"/>
    </row>
    <row r="18" spans="1:8" x14ac:dyDescent="0.2">
      <c r="A18" s="89"/>
      <c r="B18" s="88" t="s">
        <v>105</v>
      </c>
      <c r="C18" s="87" t="str">
        <f>C17</f>
        <v>6E</v>
      </c>
      <c r="D18" s="86" t="str">
        <f>D17</f>
        <v>12E</v>
      </c>
      <c r="E18" s="85" t="str">
        <f>IF(ISBLANK(C18),"#",Currency&amp;$C18&amp;$D18&amp;$B18&amp;QuoteSuffix)</f>
        <v>EUR6E12E12Y_Quote</v>
      </c>
      <c r="F18" s="85" t="str">
        <f>_xll.qlSimpleQuote(E18,,RateTickValue,Permanent,Trigger,ObjectOverwrite)</f>
        <v>EUR6E12E12Y_Quote#0034</v>
      </c>
      <c r="G18" s="84" t="str">
        <f>_xll.ohRangeRetrieveError(F18)</f>
        <v/>
      </c>
      <c r="H18" s="83"/>
    </row>
    <row r="19" spans="1:8" x14ac:dyDescent="0.2">
      <c r="A19" s="89"/>
      <c r="B19" s="88" t="s">
        <v>104</v>
      </c>
      <c r="C19" s="87" t="str">
        <f>C18</f>
        <v>6E</v>
      </c>
      <c r="D19" s="86" t="str">
        <f>D18</f>
        <v>12E</v>
      </c>
      <c r="E19" s="85" t="str">
        <f>IF(ISBLANK(C19),"#",Currency&amp;$C19&amp;$D19&amp;$B19&amp;QuoteSuffix)</f>
        <v>EUR6E12E13Y_Quote</v>
      </c>
      <c r="F19" s="85" t="str">
        <f>_xll.qlSimpleQuote(E19,,RateTickValue,Permanent,Trigger,ObjectOverwrite)</f>
        <v>EUR6E12E13Y_Quote#0034</v>
      </c>
      <c r="G19" s="84" t="str">
        <f>_xll.ohRangeRetrieveError(F19)</f>
        <v/>
      </c>
      <c r="H19" s="83"/>
    </row>
    <row r="20" spans="1:8" x14ac:dyDescent="0.2">
      <c r="A20" s="89"/>
      <c r="B20" s="88" t="s">
        <v>103</v>
      </c>
      <c r="C20" s="87" t="str">
        <f>C19</f>
        <v>6E</v>
      </c>
      <c r="D20" s="86" t="str">
        <f>D19</f>
        <v>12E</v>
      </c>
      <c r="E20" s="85" t="str">
        <f>IF(ISBLANK(C20),"#",Currency&amp;$C20&amp;$D20&amp;$B20&amp;QuoteSuffix)</f>
        <v>EUR6E12E14Y_Quote</v>
      </c>
      <c r="F20" s="85" t="str">
        <f>_xll.qlSimpleQuote(E20,,RateTickValue,Permanent,Trigger,ObjectOverwrite)</f>
        <v>EUR6E12E14Y_Quote#0034</v>
      </c>
      <c r="G20" s="84" t="str">
        <f>_xll.ohRangeRetrieveError(F20)</f>
        <v/>
      </c>
      <c r="H20" s="83"/>
    </row>
    <row r="21" spans="1:8" x14ac:dyDescent="0.2">
      <c r="A21" s="89"/>
      <c r="B21" s="88" t="s">
        <v>102</v>
      </c>
      <c r="C21" s="87" t="str">
        <f>C20</f>
        <v>6E</v>
      </c>
      <c r="D21" s="86" t="str">
        <f>D20</f>
        <v>12E</v>
      </c>
      <c r="E21" s="85" t="str">
        <f>IF(ISBLANK(C21),"#",Currency&amp;$C21&amp;$D21&amp;$B21&amp;QuoteSuffix)</f>
        <v>EUR6E12E15Y_Quote</v>
      </c>
      <c r="F21" s="85" t="str">
        <f>_xll.qlSimpleQuote(E21,,RateTickValue,Permanent,Trigger,ObjectOverwrite)</f>
        <v>EUR6E12E15Y_Quote#0034</v>
      </c>
      <c r="G21" s="84" t="str">
        <f>_xll.ohRangeRetrieveError(F21)</f>
        <v/>
      </c>
      <c r="H21" s="83"/>
    </row>
    <row r="22" spans="1:8" x14ac:dyDescent="0.2">
      <c r="A22" s="89"/>
      <c r="B22" s="88" t="s">
        <v>101</v>
      </c>
      <c r="C22" s="87" t="str">
        <f>C21</f>
        <v>6E</v>
      </c>
      <c r="D22" s="86" t="str">
        <f>D21</f>
        <v>12E</v>
      </c>
      <c r="E22" s="85" t="str">
        <f>IF(ISBLANK(C22),"#",Currency&amp;$C22&amp;$D22&amp;$B22&amp;QuoteSuffix)</f>
        <v>EUR6E12E16Y_Quote</v>
      </c>
      <c r="F22" s="85" t="str">
        <f>_xll.qlSimpleQuote(E22,,RateTickValue,Permanent,Trigger,ObjectOverwrite)</f>
        <v>EUR6E12E16Y_Quote#0034</v>
      </c>
      <c r="G22" s="84" t="str">
        <f>_xll.ohRangeRetrieveError(F22)</f>
        <v/>
      </c>
      <c r="H22" s="83"/>
    </row>
    <row r="23" spans="1:8" x14ac:dyDescent="0.2">
      <c r="A23" s="89"/>
      <c r="B23" s="88" t="s">
        <v>100</v>
      </c>
      <c r="C23" s="87" t="str">
        <f>C22</f>
        <v>6E</v>
      </c>
      <c r="D23" s="86" t="str">
        <f>D22</f>
        <v>12E</v>
      </c>
      <c r="E23" s="85" t="str">
        <f>IF(ISBLANK(C23),"#",Currency&amp;$C23&amp;$D23&amp;$B23&amp;QuoteSuffix)</f>
        <v>EUR6E12E17Y_Quote</v>
      </c>
      <c r="F23" s="85" t="str">
        <f>_xll.qlSimpleQuote(E23,,RateTickValue,Permanent,Trigger,ObjectOverwrite)</f>
        <v>EUR6E12E17Y_Quote#0034</v>
      </c>
      <c r="G23" s="84" t="str">
        <f>_xll.ohRangeRetrieveError(F23)</f>
        <v/>
      </c>
      <c r="H23" s="83"/>
    </row>
    <row r="24" spans="1:8" x14ac:dyDescent="0.2">
      <c r="A24" s="89"/>
      <c r="B24" s="88" t="s">
        <v>99</v>
      </c>
      <c r="C24" s="87" t="str">
        <f>C23</f>
        <v>6E</v>
      </c>
      <c r="D24" s="86" t="str">
        <f>D23</f>
        <v>12E</v>
      </c>
      <c r="E24" s="85" t="str">
        <f>IF(ISBLANK(C24),"#",Currency&amp;$C24&amp;$D24&amp;$B24&amp;QuoteSuffix)</f>
        <v>EUR6E12E18Y_Quote</v>
      </c>
      <c r="F24" s="85" t="str">
        <f>_xll.qlSimpleQuote(E24,,RateTickValue,Permanent,Trigger,ObjectOverwrite)</f>
        <v>EUR6E12E18Y_Quote#0034</v>
      </c>
      <c r="G24" s="84" t="str">
        <f>_xll.ohRangeRetrieveError(F24)</f>
        <v/>
      </c>
      <c r="H24" s="83"/>
    </row>
    <row r="25" spans="1:8" x14ac:dyDescent="0.2">
      <c r="A25" s="89"/>
      <c r="B25" s="88" t="s">
        <v>98</v>
      </c>
      <c r="C25" s="87" t="str">
        <f>C24</f>
        <v>6E</v>
      </c>
      <c r="D25" s="86" t="str">
        <f>D24</f>
        <v>12E</v>
      </c>
      <c r="E25" s="85" t="str">
        <f>IF(ISBLANK(C25),"#",Currency&amp;$C25&amp;$D25&amp;$B25&amp;QuoteSuffix)</f>
        <v>EUR6E12E19Y_Quote</v>
      </c>
      <c r="F25" s="85" t="str">
        <f>_xll.qlSimpleQuote(E25,,RateTickValue,Permanent,Trigger,ObjectOverwrite)</f>
        <v>EUR6E12E19Y_Quote#0034</v>
      </c>
      <c r="G25" s="84" t="str">
        <f>_xll.ohRangeRetrieveError(F25)</f>
        <v/>
      </c>
      <c r="H25" s="83"/>
    </row>
    <row r="26" spans="1:8" x14ac:dyDescent="0.2">
      <c r="A26" s="89"/>
      <c r="B26" s="88" t="s">
        <v>97</v>
      </c>
      <c r="C26" s="87" t="str">
        <f>C25</f>
        <v>6E</v>
      </c>
      <c r="D26" s="86" t="str">
        <f>D25</f>
        <v>12E</v>
      </c>
      <c r="E26" s="85" t="str">
        <f>IF(ISBLANK(C26),"#",Currency&amp;$C26&amp;$D26&amp;$B26&amp;QuoteSuffix)</f>
        <v>EUR6E12E20Y_Quote</v>
      </c>
      <c r="F26" s="85" t="str">
        <f>_xll.qlSimpleQuote(E26,,RateTickValue,Permanent,Trigger,ObjectOverwrite)</f>
        <v>EUR6E12E20Y_Quote#0034</v>
      </c>
      <c r="G26" s="84" t="str">
        <f>_xll.ohRangeRetrieveError(F26)</f>
        <v/>
      </c>
      <c r="H26" s="83"/>
    </row>
    <row r="27" spans="1:8" x14ac:dyDescent="0.2">
      <c r="A27" s="89"/>
      <c r="B27" s="88" t="s">
        <v>96</v>
      </c>
      <c r="C27" s="87" t="str">
        <f>C26</f>
        <v>6E</v>
      </c>
      <c r="D27" s="86" t="str">
        <f>D26</f>
        <v>12E</v>
      </c>
      <c r="E27" s="85" t="str">
        <f>IF(ISBLANK(C27),"#",Currency&amp;$C27&amp;$D27&amp;$B27&amp;QuoteSuffix)</f>
        <v>EUR6E12E21Y_Quote</v>
      </c>
      <c r="F27" s="85" t="str">
        <f>_xll.qlSimpleQuote(E27,,RateTickValue,Permanent,Trigger,ObjectOverwrite)</f>
        <v>EUR6E12E21Y_Quote#0034</v>
      </c>
      <c r="G27" s="84" t="str">
        <f>_xll.ohRangeRetrieveError(F27)</f>
        <v/>
      </c>
      <c r="H27" s="83"/>
    </row>
    <row r="28" spans="1:8" x14ac:dyDescent="0.2">
      <c r="A28" s="89"/>
      <c r="B28" s="88" t="s">
        <v>95</v>
      </c>
      <c r="C28" s="87" t="str">
        <f>C27</f>
        <v>6E</v>
      </c>
      <c r="D28" s="86" t="str">
        <f>D27</f>
        <v>12E</v>
      </c>
      <c r="E28" s="85" t="str">
        <f>IF(ISBLANK(C28),"#",Currency&amp;$C28&amp;$D28&amp;$B28&amp;QuoteSuffix)</f>
        <v>EUR6E12E22Y_Quote</v>
      </c>
      <c r="F28" s="85" t="str">
        <f>_xll.qlSimpleQuote(E28,,RateTickValue,Permanent,Trigger,ObjectOverwrite)</f>
        <v>EUR6E12E22Y_Quote#0034</v>
      </c>
      <c r="G28" s="84" t="str">
        <f>_xll.ohRangeRetrieveError(F28)</f>
        <v/>
      </c>
      <c r="H28" s="83"/>
    </row>
    <row r="29" spans="1:8" x14ac:dyDescent="0.2">
      <c r="A29" s="89"/>
      <c r="B29" s="88" t="s">
        <v>94</v>
      </c>
      <c r="C29" s="87" t="str">
        <f>C28</f>
        <v>6E</v>
      </c>
      <c r="D29" s="86" t="str">
        <f>D28</f>
        <v>12E</v>
      </c>
      <c r="E29" s="85" t="str">
        <f>IF(ISBLANK(C29),"#",Currency&amp;$C29&amp;$D29&amp;$B29&amp;QuoteSuffix)</f>
        <v>EUR6E12E23Y_Quote</v>
      </c>
      <c r="F29" s="85" t="str">
        <f>_xll.qlSimpleQuote(E29,,RateTickValue,Permanent,Trigger,ObjectOverwrite)</f>
        <v>EUR6E12E23Y_Quote#0034</v>
      </c>
      <c r="G29" s="84" t="str">
        <f>_xll.ohRangeRetrieveError(F29)</f>
        <v/>
      </c>
      <c r="H29" s="83"/>
    </row>
    <row r="30" spans="1:8" x14ac:dyDescent="0.2">
      <c r="A30" s="89"/>
      <c r="B30" s="88" t="s">
        <v>93</v>
      </c>
      <c r="C30" s="87" t="str">
        <f>C29</f>
        <v>6E</v>
      </c>
      <c r="D30" s="86" t="str">
        <f>D29</f>
        <v>12E</v>
      </c>
      <c r="E30" s="85" t="str">
        <f>IF(ISBLANK(C30),"#",Currency&amp;$C30&amp;$D30&amp;$B30&amp;QuoteSuffix)</f>
        <v>EUR6E12E24Y_Quote</v>
      </c>
      <c r="F30" s="85" t="str">
        <f>_xll.qlSimpleQuote(E30,,RateTickValue,Permanent,Trigger,ObjectOverwrite)</f>
        <v>EUR6E12E24Y_Quote#0034</v>
      </c>
      <c r="G30" s="84" t="str">
        <f>_xll.ohRangeRetrieveError(F30)</f>
        <v/>
      </c>
      <c r="H30" s="83"/>
    </row>
    <row r="31" spans="1:8" x14ac:dyDescent="0.2">
      <c r="A31" s="89"/>
      <c r="B31" s="88" t="s">
        <v>92</v>
      </c>
      <c r="C31" s="87" t="str">
        <f>C30</f>
        <v>6E</v>
      </c>
      <c r="D31" s="86" t="str">
        <f>D30</f>
        <v>12E</v>
      </c>
      <c r="E31" s="85" t="str">
        <f>IF(ISBLANK(C31),"#",Currency&amp;$C31&amp;$D31&amp;$B31&amp;QuoteSuffix)</f>
        <v>EUR6E12E25Y_Quote</v>
      </c>
      <c r="F31" s="85" t="str">
        <f>_xll.qlSimpleQuote(E31,,RateTickValue,Permanent,Trigger,ObjectOverwrite)</f>
        <v>EUR6E12E25Y_Quote#0034</v>
      </c>
      <c r="G31" s="84" t="str">
        <f>_xll.ohRangeRetrieveError(F31)</f>
        <v/>
      </c>
      <c r="H31" s="83"/>
    </row>
    <row r="32" spans="1:8" x14ac:dyDescent="0.2">
      <c r="A32" s="89"/>
      <c r="B32" s="88" t="s">
        <v>91</v>
      </c>
      <c r="C32" s="87" t="str">
        <f>C31</f>
        <v>6E</v>
      </c>
      <c r="D32" s="86" t="str">
        <f>D31</f>
        <v>12E</v>
      </c>
      <c r="E32" s="85" t="str">
        <f>IF(ISBLANK(C32),"#",Currency&amp;$C32&amp;$D32&amp;$B32&amp;QuoteSuffix)</f>
        <v>EUR6E12E26Y_Quote</v>
      </c>
      <c r="F32" s="85" t="str">
        <f>_xll.qlSimpleQuote(E32,,RateTickValue,Permanent,Trigger,ObjectOverwrite)</f>
        <v>EUR6E12E26Y_Quote#0034</v>
      </c>
      <c r="G32" s="84" t="str">
        <f>_xll.ohRangeRetrieveError(F32)</f>
        <v/>
      </c>
      <c r="H32" s="83"/>
    </row>
    <row r="33" spans="1:8" x14ac:dyDescent="0.2">
      <c r="A33" s="89"/>
      <c r="B33" s="88" t="s">
        <v>90</v>
      </c>
      <c r="C33" s="87" t="str">
        <f>C32</f>
        <v>6E</v>
      </c>
      <c r="D33" s="86" t="str">
        <f>D32</f>
        <v>12E</v>
      </c>
      <c r="E33" s="85" t="str">
        <f>IF(ISBLANK(C33),"#",Currency&amp;$C33&amp;$D33&amp;$B33&amp;QuoteSuffix)</f>
        <v>EUR6E12E27Y_Quote</v>
      </c>
      <c r="F33" s="85" t="str">
        <f>_xll.qlSimpleQuote(E33,,RateTickValue,Permanent,Trigger,ObjectOverwrite)</f>
        <v>EUR6E12E27Y_Quote#0034</v>
      </c>
      <c r="G33" s="84" t="str">
        <f>_xll.ohRangeRetrieveError(F33)</f>
        <v/>
      </c>
      <c r="H33" s="83"/>
    </row>
    <row r="34" spans="1:8" x14ac:dyDescent="0.2">
      <c r="A34" s="89"/>
      <c r="B34" s="88" t="s">
        <v>89</v>
      </c>
      <c r="C34" s="87" t="str">
        <f>C33</f>
        <v>6E</v>
      </c>
      <c r="D34" s="86" t="str">
        <f>D33</f>
        <v>12E</v>
      </c>
      <c r="E34" s="85" t="str">
        <f>IF(ISBLANK(C34),"#",Currency&amp;$C34&amp;$D34&amp;$B34&amp;QuoteSuffix)</f>
        <v>EUR6E12E28Y_Quote</v>
      </c>
      <c r="F34" s="85" t="str">
        <f>_xll.qlSimpleQuote(E34,,RateTickValue,Permanent,Trigger,ObjectOverwrite)</f>
        <v>EUR6E12E28Y_Quote#0034</v>
      </c>
      <c r="G34" s="84" t="str">
        <f>_xll.ohRangeRetrieveError(F34)</f>
        <v/>
      </c>
      <c r="H34" s="83"/>
    </row>
    <row r="35" spans="1:8" x14ac:dyDescent="0.2">
      <c r="A35" s="89"/>
      <c r="B35" s="88" t="s">
        <v>88</v>
      </c>
      <c r="C35" s="87" t="str">
        <f>C34</f>
        <v>6E</v>
      </c>
      <c r="D35" s="86" t="str">
        <f>D34</f>
        <v>12E</v>
      </c>
      <c r="E35" s="85" t="str">
        <f>IF(ISBLANK(C35),"#",Currency&amp;$C35&amp;$D35&amp;$B35&amp;QuoteSuffix)</f>
        <v>EUR6E12E29Y_Quote</v>
      </c>
      <c r="F35" s="85" t="str">
        <f>_xll.qlSimpleQuote(E35,,RateTickValue,Permanent,Trigger,ObjectOverwrite)</f>
        <v>EUR6E12E29Y_Quote#0034</v>
      </c>
      <c r="G35" s="84" t="str">
        <f>_xll.ohRangeRetrieveError(F35)</f>
        <v/>
      </c>
      <c r="H35" s="83"/>
    </row>
    <row r="36" spans="1:8" x14ac:dyDescent="0.2">
      <c r="A36" s="89"/>
      <c r="B36" s="88" t="s">
        <v>87</v>
      </c>
      <c r="C36" s="87" t="str">
        <f>C35</f>
        <v>6E</v>
      </c>
      <c r="D36" s="86" t="str">
        <f>D35</f>
        <v>12E</v>
      </c>
      <c r="E36" s="85" t="str">
        <f>IF(ISBLANK(C36),"#",Currency&amp;$C36&amp;$D36&amp;$B36&amp;QuoteSuffix)</f>
        <v>EUR6E12E30Y_Quote</v>
      </c>
      <c r="F36" s="85" t="str">
        <f>_xll.qlSimpleQuote(E36,,RateTickValue,Permanent,Trigger,ObjectOverwrite)</f>
        <v>EUR6E12E30Y_Quote#0034</v>
      </c>
      <c r="G36" s="84" t="str">
        <f>_xll.ohRangeRetrieveError(F36)</f>
        <v/>
      </c>
      <c r="H36" s="83"/>
    </row>
    <row r="37" spans="1:8" x14ac:dyDescent="0.2">
      <c r="A37" s="89"/>
      <c r="B37" s="88" t="s">
        <v>82</v>
      </c>
      <c r="C37" s="87" t="str">
        <f>C36</f>
        <v>6E</v>
      </c>
      <c r="D37" s="86" t="str">
        <f>D36</f>
        <v>12E</v>
      </c>
      <c r="E37" s="85" t="str">
        <f>IF(ISBLANK(C37),"#",Currency&amp;$C37&amp;$D37&amp;$B37&amp;QuoteSuffix)</f>
        <v>EUR6E12E35Y_Quote</v>
      </c>
      <c r="F37" s="85" t="str">
        <f>_xll.qlSimpleQuote(E37,,RateTickValue,Permanent,Trigger,ObjectOverwrite)</f>
        <v>EUR6E12E35Y_Quote#0034</v>
      </c>
      <c r="G37" s="84" t="str">
        <f>_xll.ohRangeRetrieveError(F37)</f>
        <v/>
      </c>
      <c r="H37" s="83"/>
    </row>
    <row r="38" spans="1:8" x14ac:dyDescent="0.2">
      <c r="A38" s="89"/>
      <c r="B38" s="88" t="s">
        <v>77</v>
      </c>
      <c r="C38" s="87" t="str">
        <f>C37</f>
        <v>6E</v>
      </c>
      <c r="D38" s="86" t="str">
        <f>D37</f>
        <v>12E</v>
      </c>
      <c r="E38" s="85" t="str">
        <f>IF(ISBLANK(C38),"#",Currency&amp;$C38&amp;$D38&amp;$B38&amp;QuoteSuffix)</f>
        <v>EUR6E12E40Y_Quote</v>
      </c>
      <c r="F38" s="85" t="str">
        <f>_xll.qlSimpleQuote(E38,,RateTickValue,Permanent,Trigger,ObjectOverwrite)</f>
        <v>EUR6E12E40Y_Quote#0034</v>
      </c>
      <c r="G38" s="84" t="str">
        <f>_xll.ohRangeRetrieveError(F38)</f>
        <v/>
      </c>
      <c r="H38" s="83"/>
    </row>
    <row r="39" spans="1:8" x14ac:dyDescent="0.2">
      <c r="A39" s="89"/>
      <c r="B39" s="88" t="s">
        <v>67</v>
      </c>
      <c r="C39" s="87" t="str">
        <f>C38</f>
        <v>6E</v>
      </c>
      <c r="D39" s="86" t="str">
        <f>D38</f>
        <v>12E</v>
      </c>
      <c r="E39" s="85" t="str">
        <f>IF(ISBLANK(C39),"#",Currency&amp;$C39&amp;$D39&amp;$B39&amp;QuoteSuffix)</f>
        <v>EUR6E12E50Y_Quote</v>
      </c>
      <c r="F39" s="85" t="str">
        <f>_xll.qlSimpleQuote(E39,,RateTickValue,Permanent,Trigger,ObjectOverwrite)</f>
        <v>EUR6E12E50Y_Quote#0034</v>
      </c>
      <c r="G39" s="84" t="str">
        <f>_xll.ohRangeRetrieveError(F39)</f>
        <v/>
      </c>
      <c r="H39" s="83"/>
    </row>
    <row r="40" spans="1:8" x14ac:dyDescent="0.2">
      <c r="A40" s="89"/>
      <c r="B40" s="88" t="s">
        <v>57</v>
      </c>
      <c r="C40" s="87" t="str">
        <f>C39</f>
        <v>6E</v>
      </c>
      <c r="D40" s="86" t="str">
        <f>D39</f>
        <v>12E</v>
      </c>
      <c r="E40" s="85" t="str">
        <f>IF(ISBLANK(C40),"#",Currency&amp;$C40&amp;$D40&amp;$B40&amp;QuoteSuffix)</f>
        <v>EUR6E12E60Y_Quote</v>
      </c>
      <c r="F40" s="85" t="str">
        <f>_xll.qlSimpleQuote(E40,,RateTickValue,Permanent,Trigger,ObjectOverwrite)</f>
        <v>EUR6E12E60Y_Quote#0034</v>
      </c>
      <c r="G40" s="84" t="str">
        <f>_xll.ohRangeRetrieveError(F40)</f>
        <v/>
      </c>
      <c r="H40" s="83"/>
    </row>
    <row r="41" spans="1:8" x14ac:dyDescent="0.2">
      <c r="A41" s="82"/>
      <c r="B41" s="81"/>
      <c r="C41" s="81"/>
      <c r="D41" s="81"/>
      <c r="E41" s="81"/>
      <c r="F41" s="80"/>
      <c r="G41" s="80"/>
      <c r="H41" s="79"/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8"/>
  <sheetViews>
    <sheetView workbookViewId="0"/>
  </sheetViews>
  <sheetFormatPr defaultColWidth="8" defaultRowHeight="11.25" x14ac:dyDescent="0.2"/>
  <cols>
    <col min="1" max="1" width="3.28515625" style="110" customWidth="1"/>
    <col min="2" max="2" width="4.28515625" style="110" customWidth="1"/>
    <col min="3" max="3" width="15.5703125" style="110" bestFit="1" customWidth="1"/>
    <col min="4" max="4" width="90.7109375" style="110" bestFit="1" customWidth="1"/>
    <col min="5" max="5" width="3.7109375" style="110" customWidth="1"/>
    <col min="6" max="6" width="35.28515625" style="110" customWidth="1"/>
    <col min="7" max="7" width="4.28515625" style="110" customWidth="1"/>
    <col min="8" max="16384" width="8" style="110"/>
  </cols>
  <sheetData>
    <row r="1" spans="1:5" ht="13.5" thickBot="1" x14ac:dyDescent="0.25">
      <c r="A1" s="110" t="s">
        <v>151</v>
      </c>
      <c r="B1" s="116" t="str">
        <f>_xll.qlxlVersion(TRUE,Trigger)</f>
        <v>QuantLibXL 1.3.0 - MS VC++ 9.0 - Multithreaded Static Runtime library - Release Configuration - Dec  5 2013 11:03:51</v>
      </c>
    </row>
    <row r="2" spans="1:5" s="1" customFormat="1" ht="15.75" x14ac:dyDescent="0.25">
      <c r="A2" s="23"/>
      <c r="B2" s="115" t="s">
        <v>150</v>
      </c>
      <c r="C2" s="114"/>
      <c r="D2" s="114"/>
      <c r="E2" s="113"/>
    </row>
    <row r="3" spans="1:5" s="1" customFormat="1" ht="12.75" x14ac:dyDescent="0.2">
      <c r="A3" s="23"/>
      <c r="B3" s="9"/>
      <c r="C3" s="13"/>
      <c r="D3" s="13"/>
      <c r="E3" s="5"/>
    </row>
    <row r="4" spans="1:5" s="1" customFormat="1" ht="12.75" x14ac:dyDescent="0.2">
      <c r="A4" s="23"/>
      <c r="B4" s="9"/>
      <c r="C4" s="16" t="s">
        <v>31</v>
      </c>
      <c r="D4" s="15"/>
      <c r="E4" s="14"/>
    </row>
    <row r="5" spans="1:5" s="1" customFormat="1" ht="12.75" x14ac:dyDescent="0.2">
      <c r="A5" s="23"/>
      <c r="B5" s="9"/>
      <c r="C5" s="16" t="s">
        <v>30</v>
      </c>
      <c r="D5" s="15" t="b">
        <v>1</v>
      </c>
      <c r="E5" s="14"/>
    </row>
    <row r="6" spans="1:5" s="1" customFormat="1" ht="12.75" x14ac:dyDescent="0.2">
      <c r="A6" s="23"/>
      <c r="B6" s="9"/>
      <c r="C6" s="16" t="s">
        <v>29</v>
      </c>
      <c r="D6" s="15" t="b">
        <v>0</v>
      </c>
      <c r="E6" s="14"/>
    </row>
    <row r="7" spans="1:5" s="1" customFormat="1" ht="12.75" x14ac:dyDescent="0.2">
      <c r="A7" s="23"/>
      <c r="B7" s="9"/>
      <c r="C7" s="16" t="s">
        <v>28</v>
      </c>
      <c r="D7" s="15" t="b">
        <v>1</v>
      </c>
      <c r="E7" s="14"/>
    </row>
    <row r="8" spans="1:5" s="1" customFormat="1" ht="12.75" x14ac:dyDescent="0.2">
      <c r="A8" s="23"/>
      <c r="B8" s="9"/>
      <c r="C8" s="16" t="s">
        <v>27</v>
      </c>
      <c r="D8" s="25" t="str">
        <f ca="1">SUBSTITUTE(LEFT(CELL("filename",A1),FIND("[",CELL("filename",A1),1)-1),"\XLS\","\XML\")</f>
        <v>C:\Users\erik\Documents\repos\quantlib_nando\QuantLibXL\Data2\XML\</v>
      </c>
      <c r="E8" s="14"/>
    </row>
    <row r="9" spans="1:5" s="1" customFormat="1" ht="12.75" x14ac:dyDescent="0.2">
      <c r="A9" s="23"/>
      <c r="B9" s="9"/>
      <c r="C9" s="16" t="s">
        <v>26</v>
      </c>
      <c r="D9" s="24" t="b">
        <v>1</v>
      </c>
      <c r="E9" s="14"/>
    </row>
    <row r="10" spans="1:5" s="1" customFormat="1" ht="13.5" thickBot="1" x14ac:dyDescent="0.25">
      <c r="A10" s="23"/>
      <c r="B10" s="4"/>
      <c r="C10" s="3"/>
      <c r="D10" s="3"/>
      <c r="E10" s="2"/>
    </row>
    <row r="11" spans="1:5" ht="12" thickBot="1" x14ac:dyDescent="0.25"/>
    <row r="12" spans="1:5" ht="15.75" x14ac:dyDescent="0.25">
      <c r="B12" s="115" t="s">
        <v>149</v>
      </c>
      <c r="C12" s="114"/>
      <c r="D12" s="114"/>
      <c r="E12" s="113"/>
    </row>
    <row r="13" spans="1:5" x14ac:dyDescent="0.2">
      <c r="B13" s="9"/>
      <c r="C13" s="13"/>
      <c r="D13" s="13"/>
      <c r="E13" s="5"/>
    </row>
    <row r="14" spans="1:5" x14ac:dyDescent="0.2">
      <c r="B14" s="9"/>
      <c r="C14" s="16" t="s">
        <v>25</v>
      </c>
      <c r="D14" s="15" t="s">
        <v>123</v>
      </c>
      <c r="E14" s="14"/>
    </row>
    <row r="15" spans="1:5" x14ac:dyDescent="0.2">
      <c r="B15" s="9"/>
      <c r="C15" s="16" t="s">
        <v>148</v>
      </c>
      <c r="D15" s="24" t="s">
        <v>147</v>
      </c>
      <c r="E15" s="14"/>
    </row>
    <row r="16" spans="1:5" x14ac:dyDescent="0.2">
      <c r="B16" s="9"/>
      <c r="C16" s="16" t="s">
        <v>146</v>
      </c>
      <c r="D16" s="112">
        <v>1E-4</v>
      </c>
      <c r="E16" s="14"/>
    </row>
    <row r="17" spans="2:5" x14ac:dyDescent="0.2">
      <c r="B17" s="9"/>
      <c r="C17" s="16" t="s">
        <v>145</v>
      </c>
      <c r="D17" s="111">
        <v>-0.01</v>
      </c>
      <c r="E17" s="14"/>
    </row>
    <row r="18" spans="2:5" ht="12" thickBot="1" x14ac:dyDescent="0.25">
      <c r="B18" s="4"/>
      <c r="C18" s="3"/>
      <c r="D18" s="3"/>
      <c r="E18" s="2"/>
    </row>
  </sheetData>
  <mergeCells count="2">
    <mergeCell ref="B2:E2"/>
    <mergeCell ref="B12:E12"/>
  </mergeCells>
  <dataValidations count="1">
    <dataValidation type="list" allowBlank="1" showInputMessage="1" showErrorMessage="1" sqref="D14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1"/>
  <sheetViews>
    <sheetView workbookViewId="0"/>
  </sheetViews>
  <sheetFormatPr defaultRowHeight="11.25" x14ac:dyDescent="0.2"/>
  <cols>
    <col min="1" max="1" width="4.42578125" style="77" customWidth="1"/>
    <col min="2" max="2" width="4.42578125" style="77" bestFit="1" customWidth="1"/>
    <col min="3" max="3" width="17.85546875" style="77" bestFit="1" customWidth="1"/>
    <col min="4" max="4" width="16.7109375" style="77" bestFit="1" customWidth="1"/>
    <col min="5" max="5" width="36.85546875" style="77" bestFit="1" customWidth="1"/>
    <col min="6" max="6" width="5" style="77" customWidth="1"/>
    <col min="7" max="16384" width="9.140625" style="77"/>
  </cols>
  <sheetData>
    <row r="1" spans="1:6" x14ac:dyDescent="0.2">
      <c r="A1" s="178" t="s">
        <v>191</v>
      </c>
      <c r="B1" s="126"/>
      <c r="C1" s="126"/>
      <c r="D1" s="126"/>
      <c r="E1" s="126"/>
      <c r="F1" s="125"/>
    </row>
    <row r="2" spans="1:6" ht="21" customHeight="1" x14ac:dyDescent="0.2">
      <c r="A2" s="89"/>
      <c r="B2" s="124"/>
      <c r="C2" s="101" t="str">
        <f>Currency&amp;"_010_"&amp;"Deposits.xml"</f>
        <v>EUR_010_Deposits.xml</v>
      </c>
      <c r="D2" s="123">
        <f ca="1">IF(Serialize,_xll.ohObjectSave(D3:D20,SerializationPath&amp;C2,FileOverwrite,Serialize),"---")</f>
        <v>18</v>
      </c>
      <c r="E2" s="122" t="str">
        <f ca="1">_xll.ohRangeRetrieveError(D2)</f>
        <v/>
      </c>
      <c r="F2" s="118"/>
    </row>
    <row r="3" spans="1:6" x14ac:dyDescent="0.2">
      <c r="A3" s="89"/>
      <c r="B3" s="121" t="s">
        <v>169</v>
      </c>
      <c r="C3" s="120" t="str">
        <f>Currency&amp;$B3&amp;QuoteSuffix</f>
        <v>EUROND_Quote</v>
      </c>
      <c r="D3" s="120" t="str">
        <f>_xll.qlSimpleQuote(C3,,RateTickValue,Permanent,Trigger,ObjectOverwrite)</f>
        <v>EUROND_Quote#0032</v>
      </c>
      <c r="E3" s="119" t="str">
        <f>_xll.ohRangeRetrieveError(D3)</f>
        <v/>
      </c>
      <c r="F3" s="118"/>
    </row>
    <row r="4" spans="1:6" x14ac:dyDescent="0.2">
      <c r="A4" s="89"/>
      <c r="B4" s="121" t="s">
        <v>168</v>
      </c>
      <c r="C4" s="120" t="str">
        <f>Currency&amp;$B4&amp;QuoteSuffix</f>
        <v>EURTND_Quote</v>
      </c>
      <c r="D4" s="120" t="str">
        <f>_xll.qlSimpleQuote(C4,,RateTickValue,Permanent,Trigger,ObjectOverwrite)</f>
        <v>EURTND_Quote#0032</v>
      </c>
      <c r="E4" s="119" t="str">
        <f>_xll.ohRangeRetrieveError(D4)</f>
        <v/>
      </c>
      <c r="F4" s="118"/>
    </row>
    <row r="5" spans="1:6" x14ac:dyDescent="0.2">
      <c r="A5" s="89"/>
      <c r="B5" s="121" t="s">
        <v>167</v>
      </c>
      <c r="C5" s="120" t="str">
        <f>Currency&amp;$B5&amp;QuoteSuffix</f>
        <v>EURSND_Quote</v>
      </c>
      <c r="D5" s="120" t="str">
        <f>_xll.qlSimpleQuote(C5,,RateTickValue,Permanent,Trigger,ObjectOverwrite)</f>
        <v>EURSND_Quote#0032</v>
      </c>
      <c r="E5" s="119" t="str">
        <f>_xll.ohRangeRetrieveError(D5)</f>
        <v/>
      </c>
      <c r="F5" s="118"/>
    </row>
    <row r="6" spans="1:6" x14ac:dyDescent="0.2">
      <c r="A6" s="89"/>
      <c r="B6" s="121" t="s">
        <v>166</v>
      </c>
      <c r="C6" s="120" t="str">
        <f>Currency&amp;$B6&amp;QuoteSuffix</f>
        <v>EURSWD_Quote</v>
      </c>
      <c r="D6" s="120" t="str">
        <f>_xll.qlSimpleQuote(C6,,RateTickValue,Permanent,Trigger,ObjectOverwrite)</f>
        <v>EURSWD_Quote#0032</v>
      </c>
      <c r="E6" s="119" t="str">
        <f>_xll.ohRangeRetrieveError(D6)</f>
        <v/>
      </c>
      <c r="F6" s="118"/>
    </row>
    <row r="7" spans="1:6" x14ac:dyDescent="0.2">
      <c r="A7" s="89"/>
      <c r="B7" s="121" t="s">
        <v>165</v>
      </c>
      <c r="C7" s="120" t="str">
        <f>Currency&amp;$B7&amp;QuoteSuffix</f>
        <v>EUR2WD_Quote</v>
      </c>
      <c r="D7" s="120" t="str">
        <f>_xll.qlSimpleQuote(C7,,RateTickValue,Permanent,Trigger,ObjectOverwrite)</f>
        <v>EUR2WD_Quote#0032</v>
      </c>
      <c r="E7" s="119" t="str">
        <f>_xll.ohRangeRetrieveError(D7)</f>
        <v/>
      </c>
      <c r="F7" s="118"/>
    </row>
    <row r="8" spans="1:6" x14ac:dyDescent="0.2">
      <c r="A8" s="89"/>
      <c r="B8" s="121" t="s">
        <v>164</v>
      </c>
      <c r="C8" s="120" t="str">
        <f>Currency&amp;$B8&amp;QuoteSuffix</f>
        <v>EUR3WD_Quote</v>
      </c>
      <c r="D8" s="120" t="str">
        <f>_xll.qlSimpleQuote(C8,,RateTickValue,Permanent,Trigger,ObjectOverwrite)</f>
        <v>EUR3WD_Quote#0032</v>
      </c>
      <c r="E8" s="119" t="str">
        <f>_xll.ohRangeRetrieveError(D8)</f>
        <v/>
      </c>
      <c r="F8" s="118"/>
    </row>
    <row r="9" spans="1:6" x14ac:dyDescent="0.2">
      <c r="A9" s="89"/>
      <c r="B9" s="121" t="s">
        <v>163</v>
      </c>
      <c r="C9" s="120" t="str">
        <f>Currency&amp;$B9&amp;QuoteSuffix</f>
        <v>EUR1MD_Quote</v>
      </c>
      <c r="D9" s="120" t="str">
        <f>_xll.qlSimpleQuote(C9,,RateTickValue,Permanent,Trigger,ObjectOverwrite)</f>
        <v>EUR1MD_Quote#0032</v>
      </c>
      <c r="E9" s="119" t="str">
        <f>_xll.ohRangeRetrieveError(D9)</f>
        <v/>
      </c>
      <c r="F9" s="118"/>
    </row>
    <row r="10" spans="1:6" x14ac:dyDescent="0.2">
      <c r="A10" s="89"/>
      <c r="B10" s="121" t="s">
        <v>162</v>
      </c>
      <c r="C10" s="120" t="str">
        <f>Currency&amp;$B10&amp;QuoteSuffix</f>
        <v>EUR2MD_Quote</v>
      </c>
      <c r="D10" s="120" t="str">
        <f>_xll.qlSimpleQuote(C10,,RateTickValue,Permanent,Trigger,ObjectOverwrite)</f>
        <v>EUR2MD_Quote#0032</v>
      </c>
      <c r="E10" s="119" t="str">
        <f>_xll.ohRangeRetrieveError(D10)</f>
        <v/>
      </c>
      <c r="F10" s="118"/>
    </row>
    <row r="11" spans="1:6" x14ac:dyDescent="0.2">
      <c r="A11" s="89"/>
      <c r="B11" s="121" t="s">
        <v>161</v>
      </c>
      <c r="C11" s="120" t="str">
        <f>Currency&amp;$B11&amp;QuoteSuffix</f>
        <v>EUR3MD_Quote</v>
      </c>
      <c r="D11" s="120" t="str">
        <f>_xll.qlSimpleQuote(C11,,RateTickValue,Permanent,Trigger,ObjectOverwrite)</f>
        <v>EUR3MD_Quote#0032</v>
      </c>
      <c r="E11" s="119" t="str">
        <f>_xll.ohRangeRetrieveError(D11)</f>
        <v/>
      </c>
      <c r="F11" s="118"/>
    </row>
    <row r="12" spans="1:6" x14ac:dyDescent="0.2">
      <c r="A12" s="89"/>
      <c r="B12" s="121" t="s">
        <v>160</v>
      </c>
      <c r="C12" s="120" t="str">
        <f>Currency&amp;$B12&amp;QuoteSuffix</f>
        <v>EUR4MD_Quote</v>
      </c>
      <c r="D12" s="120" t="str">
        <f>_xll.qlSimpleQuote(C12,,RateTickValue,Permanent,Trigger,ObjectOverwrite)</f>
        <v>EUR4MD_Quote#0032</v>
      </c>
      <c r="E12" s="119" t="str">
        <f>_xll.ohRangeRetrieveError(D12)</f>
        <v/>
      </c>
      <c r="F12" s="118"/>
    </row>
    <row r="13" spans="1:6" x14ac:dyDescent="0.2">
      <c r="A13" s="89"/>
      <c r="B13" s="121" t="s">
        <v>159</v>
      </c>
      <c r="C13" s="120" t="str">
        <f>Currency&amp;$B13&amp;QuoteSuffix</f>
        <v>EUR5MD_Quote</v>
      </c>
      <c r="D13" s="120" t="str">
        <f>_xll.qlSimpleQuote(C13,,RateTickValue,Permanent,Trigger,ObjectOverwrite)</f>
        <v>EUR5MD_Quote#0032</v>
      </c>
      <c r="E13" s="119" t="str">
        <f>_xll.ohRangeRetrieveError(D13)</f>
        <v/>
      </c>
      <c r="F13" s="118"/>
    </row>
    <row r="14" spans="1:6" x14ac:dyDescent="0.2">
      <c r="A14" s="89"/>
      <c r="B14" s="121" t="s">
        <v>158</v>
      </c>
      <c r="C14" s="120" t="str">
        <f>Currency&amp;$B14&amp;QuoteSuffix</f>
        <v>EUR6MD_Quote</v>
      </c>
      <c r="D14" s="120" t="str">
        <f>_xll.qlSimpleQuote(C14,,RateTickValue,Permanent,Trigger,ObjectOverwrite)</f>
        <v>EUR6MD_Quote#0032</v>
      </c>
      <c r="E14" s="119" t="str">
        <f>_xll.ohRangeRetrieveError(D14)</f>
        <v/>
      </c>
      <c r="F14" s="118"/>
    </row>
    <row r="15" spans="1:6" x14ac:dyDescent="0.2">
      <c r="A15" s="89"/>
      <c r="B15" s="121" t="s">
        <v>157</v>
      </c>
      <c r="C15" s="120" t="str">
        <f>Currency&amp;$B15&amp;QuoteSuffix</f>
        <v>EUR7MD_Quote</v>
      </c>
      <c r="D15" s="120" t="str">
        <f>_xll.qlSimpleQuote(C15,,RateTickValue,Permanent,Trigger,ObjectOverwrite)</f>
        <v>EUR7MD_Quote#0032</v>
      </c>
      <c r="E15" s="119" t="str">
        <f>_xll.ohRangeRetrieveError(D15)</f>
        <v/>
      </c>
      <c r="F15" s="118"/>
    </row>
    <row r="16" spans="1:6" x14ac:dyDescent="0.2">
      <c r="A16" s="89"/>
      <c r="B16" s="121" t="s">
        <v>156</v>
      </c>
      <c r="C16" s="120" t="str">
        <f>Currency&amp;$B16&amp;QuoteSuffix</f>
        <v>EUR8MD_Quote</v>
      </c>
      <c r="D16" s="120" t="str">
        <f>_xll.qlSimpleQuote(C16,,RateTickValue,Permanent,Trigger,ObjectOverwrite)</f>
        <v>EUR8MD_Quote#0032</v>
      </c>
      <c r="E16" s="119" t="str">
        <f>_xll.ohRangeRetrieveError(D16)</f>
        <v/>
      </c>
      <c r="F16" s="118"/>
    </row>
    <row r="17" spans="1:6" x14ac:dyDescent="0.2">
      <c r="A17" s="89"/>
      <c r="B17" s="121" t="s">
        <v>155</v>
      </c>
      <c r="C17" s="120" t="str">
        <f>Currency&amp;$B17&amp;QuoteSuffix</f>
        <v>EUR9MD_Quote</v>
      </c>
      <c r="D17" s="120" t="str">
        <f>_xll.qlSimpleQuote(C17,,RateTickValue,Permanent,Trigger,ObjectOverwrite)</f>
        <v>EUR9MD_Quote#0032</v>
      </c>
      <c r="E17" s="119" t="str">
        <f>_xll.ohRangeRetrieveError(D17)</f>
        <v/>
      </c>
      <c r="F17" s="118"/>
    </row>
    <row r="18" spans="1:6" x14ac:dyDescent="0.2">
      <c r="A18" s="89"/>
      <c r="B18" s="121" t="s">
        <v>154</v>
      </c>
      <c r="C18" s="120" t="str">
        <f>Currency&amp;$B18&amp;QuoteSuffix</f>
        <v>EUR10MD_Quote</v>
      </c>
      <c r="D18" s="120" t="str">
        <f>_xll.qlSimpleQuote(C18,,RateTickValue,Permanent,Trigger,ObjectOverwrite)</f>
        <v>EUR10MD_Quote#0032</v>
      </c>
      <c r="E18" s="119" t="str">
        <f>_xll.ohRangeRetrieveError(D18)</f>
        <v/>
      </c>
      <c r="F18" s="118"/>
    </row>
    <row r="19" spans="1:6" x14ac:dyDescent="0.2">
      <c r="A19" s="89"/>
      <c r="B19" s="121" t="s">
        <v>153</v>
      </c>
      <c r="C19" s="120" t="str">
        <f>Currency&amp;$B19&amp;QuoteSuffix</f>
        <v>EUR11MD_Quote</v>
      </c>
      <c r="D19" s="120" t="str">
        <f>_xll.qlSimpleQuote(C19,,RateTickValue,Permanent,Trigger,ObjectOverwrite)</f>
        <v>EUR11MD_Quote#0032</v>
      </c>
      <c r="E19" s="119" t="str">
        <f>_xll.ohRangeRetrieveError(D19)</f>
        <v/>
      </c>
      <c r="F19" s="118"/>
    </row>
    <row r="20" spans="1:6" x14ac:dyDescent="0.2">
      <c r="A20" s="89"/>
      <c r="B20" s="121" t="s">
        <v>152</v>
      </c>
      <c r="C20" s="120" t="str">
        <f>Currency&amp;$B20&amp;QuoteSuffix</f>
        <v>EUR1YD_Quote</v>
      </c>
      <c r="D20" s="120" t="str">
        <f>_xll.qlSimpleQuote(C20,,RateTickValue,Permanent,Trigger,ObjectOverwrite)</f>
        <v>EUR1YD_Quote#0032</v>
      </c>
      <c r="E20" s="119" t="str">
        <f>_xll.ohRangeRetrieveError(D20)</f>
        <v/>
      </c>
      <c r="F20" s="118"/>
    </row>
    <row r="21" spans="1:6" x14ac:dyDescent="0.2">
      <c r="A21" s="82"/>
      <c r="B21" s="81"/>
      <c r="C21" s="81"/>
      <c r="D21" s="81"/>
      <c r="E21" s="81"/>
      <c r="F21" s="79"/>
    </row>
  </sheetData>
  <pageMargins left="0.75" right="0.75" top="1" bottom="1" header="0.5" footer="0.5"/>
  <pageSetup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6"/>
  <sheetViews>
    <sheetView workbookViewId="0"/>
  </sheetViews>
  <sheetFormatPr defaultRowHeight="12.75" x14ac:dyDescent="0.2"/>
  <cols>
    <col min="1" max="1" width="4.28515625" style="20" customWidth="1"/>
    <col min="2" max="2" width="5.85546875" style="20" bestFit="1" customWidth="1"/>
    <col min="3" max="3" width="4.42578125" style="20" bestFit="1" customWidth="1"/>
    <col min="4" max="4" width="15.5703125" style="129" bestFit="1" customWidth="1"/>
    <col min="5" max="5" width="20" style="20" bestFit="1" customWidth="1"/>
    <col min="6" max="6" width="57.42578125" style="128" customWidth="1"/>
    <col min="7" max="7" width="4.28515625" style="20" customWidth="1"/>
    <col min="8" max="8" width="4.42578125" style="20" customWidth="1"/>
    <col min="9" max="16384" width="9.140625" style="20"/>
  </cols>
  <sheetData>
    <row r="1" spans="1:7" x14ac:dyDescent="0.2">
      <c r="A1" s="178" t="s">
        <v>191</v>
      </c>
      <c r="B1" s="151"/>
      <c r="C1" s="151"/>
      <c r="D1" s="20"/>
      <c r="E1" s="128"/>
      <c r="F1" s="20"/>
      <c r="G1" s="57"/>
    </row>
    <row r="2" spans="1:7" ht="24" customHeight="1" x14ac:dyDescent="0.2">
      <c r="A2" s="136"/>
      <c r="B2" s="150"/>
      <c r="C2" s="149"/>
      <c r="D2" s="148" t="str">
        <f>Currency&amp;"_010_"&amp;"FRA.xml"</f>
        <v>EUR_010_FRA.xml</v>
      </c>
      <c r="E2" s="147">
        <f ca="1">IF(Serialize,_xll.ohObjectSave(E3:E35,SerializationPath&amp;D2,FileOverwrite,Serialize),"---")</f>
        <v>33</v>
      </c>
      <c r="F2" s="146" t="str">
        <f ca="1">_xll.ohRangeRetrieveError(E2)</f>
        <v/>
      </c>
      <c r="G2" s="57"/>
    </row>
    <row r="3" spans="1:7" x14ac:dyDescent="0.2">
      <c r="A3" s="136"/>
      <c r="B3" s="140" t="s">
        <v>185</v>
      </c>
      <c r="C3" s="141" t="s">
        <v>171</v>
      </c>
      <c r="D3" s="140" t="str">
        <f>Currency&amp;$B3&amp;$C3&amp;QuoteSuffix</f>
        <v>EURT1F1_Quote</v>
      </c>
      <c r="E3" s="139" t="str">
        <f>_xll.qlSimpleQuote(D3,,RateTickValue,Permanent,Trigger,ObjectOverwrite)</f>
        <v>EURT1F1_Quote#0031</v>
      </c>
      <c r="F3" s="138" t="str">
        <f>_xll.ohRangeRetrieveError(E3)</f>
        <v/>
      </c>
      <c r="G3" s="57"/>
    </row>
    <row r="4" spans="1:7" x14ac:dyDescent="0.2">
      <c r="A4" s="136"/>
      <c r="B4" s="133" t="s">
        <v>184</v>
      </c>
      <c r="C4" s="137" t="s">
        <v>171</v>
      </c>
      <c r="D4" s="133" t="str">
        <f>Currency&amp;$B4&amp;$C4&amp;QuoteSuffix</f>
        <v>EURTOM1F1_Quote</v>
      </c>
      <c r="E4" s="132" t="str">
        <f>_xll.qlSimpleQuote(D4,,RateTickValue,Permanent,Trigger,ObjectOverwrite)</f>
        <v>EURTOM1F1_Quote#0031</v>
      </c>
      <c r="F4" s="131" t="str">
        <f>_xll.ohRangeRetrieveError(E4)</f>
        <v/>
      </c>
      <c r="G4" s="57"/>
    </row>
    <row r="5" spans="1:7" x14ac:dyDescent="0.2">
      <c r="A5" s="136"/>
      <c r="B5" s="140" t="s">
        <v>183</v>
      </c>
      <c r="C5" s="141" t="s">
        <v>171</v>
      </c>
      <c r="D5" s="140" t="str">
        <f>Currency&amp;$B5&amp;$C5&amp;QuoteSuffix</f>
        <v>EURT3F1_Quote</v>
      </c>
      <c r="E5" s="139" t="str">
        <f>_xll.qlSimpleQuote(D5,,RateTickValue,Permanent,Trigger,ObjectOverwrite)</f>
        <v>EURT3F1_Quote#0031</v>
      </c>
      <c r="F5" s="138" t="str">
        <f>_xll.ohRangeRetrieveError(E5)</f>
        <v/>
      </c>
      <c r="G5" s="57"/>
    </row>
    <row r="6" spans="1:7" x14ac:dyDescent="0.2">
      <c r="A6" s="136"/>
      <c r="B6" s="133" t="s">
        <v>182</v>
      </c>
      <c r="C6" s="137" t="s">
        <v>171</v>
      </c>
      <c r="D6" s="133" t="str">
        <f>Currency&amp;$B6&amp;$C6&amp;QuoteSuffix</f>
        <v>EURTOM3F1_Quote</v>
      </c>
      <c r="E6" s="132" t="str">
        <f>_xll.qlSimpleQuote(D6,,RateTickValue,Permanent,Trigger,ObjectOverwrite)</f>
        <v>EURTOM3F1_Quote#0031</v>
      </c>
      <c r="F6" s="131" t="str">
        <f>_xll.ohRangeRetrieveError(E6)</f>
        <v/>
      </c>
      <c r="G6" s="57"/>
    </row>
    <row r="7" spans="1:7" x14ac:dyDescent="0.2">
      <c r="A7" s="136"/>
      <c r="B7" s="140">
        <v>1</v>
      </c>
      <c r="C7" s="141" t="s">
        <v>181</v>
      </c>
      <c r="D7" s="140" t="str">
        <f>Currency&amp;$B7&amp;$C7&amp;QuoteSuffix</f>
        <v>EUR1x4F_Quote</v>
      </c>
      <c r="E7" s="139" t="str">
        <f>_xll.qlSimpleQuote(D7,,RateTickValue,Permanent,Trigger,ObjectOverwrite)</f>
        <v>EUR1x4F_Quote#0031</v>
      </c>
      <c r="F7" s="138" t="str">
        <f>_xll.ohRangeRetrieveError(E7)</f>
        <v/>
      </c>
      <c r="G7" s="57"/>
    </row>
    <row r="8" spans="1:7" x14ac:dyDescent="0.2">
      <c r="A8" s="136"/>
      <c r="B8" s="144">
        <v>2</v>
      </c>
      <c r="C8" s="145" t="s">
        <v>180</v>
      </c>
      <c r="D8" s="144" t="str">
        <f>Currency&amp;$B8&amp;$C8&amp;QuoteSuffix</f>
        <v>EUR2x5F_Quote</v>
      </c>
      <c r="E8" s="143" t="str">
        <f>_xll.qlSimpleQuote(D8,,RateTickValue,Permanent,Trigger,ObjectOverwrite)</f>
        <v>EUR2x5F_Quote#0031</v>
      </c>
      <c r="F8" s="142" t="str">
        <f>_xll.ohRangeRetrieveError(E8)</f>
        <v/>
      </c>
      <c r="G8" s="57"/>
    </row>
    <row r="9" spans="1:7" x14ac:dyDescent="0.2">
      <c r="A9" s="136"/>
      <c r="B9" s="144">
        <v>3</v>
      </c>
      <c r="C9" s="145" t="s">
        <v>179</v>
      </c>
      <c r="D9" s="144" t="str">
        <f>Currency&amp;$B9&amp;$C9&amp;QuoteSuffix</f>
        <v>EUR3x6F_Quote</v>
      </c>
      <c r="E9" s="143" t="str">
        <f>_xll.qlSimpleQuote(D9,,RateTickValue,Permanent,Trigger,ObjectOverwrite)</f>
        <v>EUR3x6F_Quote#0031</v>
      </c>
      <c r="F9" s="142" t="str">
        <f>_xll.ohRangeRetrieveError(E9)</f>
        <v/>
      </c>
      <c r="G9" s="57"/>
    </row>
    <row r="10" spans="1:7" x14ac:dyDescent="0.2">
      <c r="A10" s="136"/>
      <c r="B10" s="144">
        <v>4</v>
      </c>
      <c r="C10" s="145" t="s">
        <v>178</v>
      </c>
      <c r="D10" s="144" t="str">
        <f>Currency&amp;$B10&amp;$C10&amp;QuoteSuffix</f>
        <v>EUR4x7F_Quote</v>
      </c>
      <c r="E10" s="143" t="str">
        <f>_xll.qlSimpleQuote(D10,,RateTickValue,Permanent,Trigger,ObjectOverwrite)</f>
        <v>EUR4x7F_Quote#0031</v>
      </c>
      <c r="F10" s="142" t="str">
        <f>_xll.ohRangeRetrieveError(E10)</f>
        <v/>
      </c>
      <c r="G10" s="57"/>
    </row>
    <row r="11" spans="1:7" x14ac:dyDescent="0.2">
      <c r="A11" s="136"/>
      <c r="B11" s="144">
        <v>5</v>
      </c>
      <c r="C11" s="145" t="s">
        <v>177</v>
      </c>
      <c r="D11" s="144" t="str">
        <f>Currency&amp;$B11&amp;$C11&amp;QuoteSuffix</f>
        <v>EUR5x8F_Quote</v>
      </c>
      <c r="E11" s="143" t="str">
        <f>_xll.qlSimpleQuote(D11,,RateTickValue,Permanent,Trigger,ObjectOverwrite)</f>
        <v>EUR5x8F_Quote#0031</v>
      </c>
      <c r="F11" s="142" t="str">
        <f>_xll.ohRangeRetrieveError(E11)</f>
        <v/>
      </c>
      <c r="G11" s="57"/>
    </row>
    <row r="12" spans="1:7" x14ac:dyDescent="0.2">
      <c r="A12" s="136"/>
      <c r="B12" s="133">
        <v>6</v>
      </c>
      <c r="C12" s="137" t="s">
        <v>176</v>
      </c>
      <c r="D12" s="133" t="str">
        <f>Currency&amp;$B12&amp;$C12&amp;QuoteSuffix</f>
        <v>EUR6x9F_Quote</v>
      </c>
      <c r="E12" s="132" t="str">
        <f>_xll.qlSimpleQuote(D12,,RateTickValue,Permanent,Trigger,ObjectOverwrite)</f>
        <v>EUR6x9F_Quote#0031</v>
      </c>
      <c r="F12" s="131" t="str">
        <f>_xll.ohRangeRetrieveError(E12)</f>
        <v/>
      </c>
      <c r="G12" s="57"/>
    </row>
    <row r="13" spans="1:7" x14ac:dyDescent="0.2">
      <c r="A13" s="136"/>
      <c r="B13" s="140" t="s">
        <v>175</v>
      </c>
      <c r="C13" s="141" t="s">
        <v>171</v>
      </c>
      <c r="D13" s="140" t="str">
        <f>Currency&amp;$B13&amp;$C13&amp;QuoteSuffix</f>
        <v>EURT6F1_Quote</v>
      </c>
      <c r="E13" s="139" t="str">
        <f>_xll.qlSimpleQuote(D13,,RateTickValue,Permanent,Trigger,ObjectOverwrite)</f>
        <v>EURT6F1_Quote#0031</v>
      </c>
      <c r="F13" s="138" t="str">
        <f>_xll.ohRangeRetrieveError(E13)</f>
        <v/>
      </c>
      <c r="G13" s="57"/>
    </row>
    <row r="14" spans="1:7" x14ac:dyDescent="0.2">
      <c r="A14" s="136"/>
      <c r="B14" s="133" t="s">
        <v>174</v>
      </c>
      <c r="C14" s="137" t="s">
        <v>171</v>
      </c>
      <c r="D14" s="133" t="str">
        <f>Currency&amp;$B14&amp;$C14&amp;QuoteSuffix</f>
        <v>EURTOM6F1_Quote</v>
      </c>
      <c r="E14" s="132" t="str">
        <f>_xll.qlSimpleQuote(D14,,RateTickValue,Permanent,Trigger,ObjectOverwrite)</f>
        <v>EURTOM6F1_Quote#0031</v>
      </c>
      <c r="F14" s="131" t="str">
        <f>_xll.ohRangeRetrieveError(E14)</f>
        <v/>
      </c>
      <c r="G14" s="57"/>
    </row>
    <row r="15" spans="1:7" x14ac:dyDescent="0.2">
      <c r="A15" s="136"/>
      <c r="B15" s="144">
        <v>1</v>
      </c>
      <c r="C15" s="145" t="str">
        <f>"x"&amp;B15+6&amp;"F"</f>
        <v>x7F</v>
      </c>
      <c r="D15" s="144" t="str">
        <f>Currency&amp;$B15&amp;$C15&amp;QuoteSuffix</f>
        <v>EUR1x7F_Quote</v>
      </c>
      <c r="E15" s="143" t="str">
        <f>_xll.qlSimpleQuote(D15,,RateTickValue,Permanent,Trigger,ObjectOverwrite)</f>
        <v>EUR1x7F_Quote#0031</v>
      </c>
      <c r="F15" s="142" t="str">
        <f>_xll.ohRangeRetrieveError(E15)</f>
        <v/>
      </c>
      <c r="G15" s="57"/>
    </row>
    <row r="16" spans="1:7" x14ac:dyDescent="0.2">
      <c r="A16" s="136"/>
      <c r="B16" s="144">
        <v>2</v>
      </c>
      <c r="C16" s="145" t="str">
        <f>"x"&amp;B16+6&amp;"F"</f>
        <v>x8F</v>
      </c>
      <c r="D16" s="144" t="str">
        <f>Currency&amp;$B16&amp;$C16&amp;QuoteSuffix</f>
        <v>EUR2x8F_Quote</v>
      </c>
      <c r="E16" s="143" t="str">
        <f>_xll.qlSimpleQuote(D16,,RateTickValue,Permanent,Trigger,ObjectOverwrite)</f>
        <v>EUR2x8F_Quote#0031</v>
      </c>
      <c r="F16" s="142" t="str">
        <f>_xll.ohRangeRetrieveError(E16)</f>
        <v/>
      </c>
      <c r="G16" s="57"/>
    </row>
    <row r="17" spans="1:7" x14ac:dyDescent="0.2">
      <c r="A17" s="136"/>
      <c r="B17" s="144">
        <v>3</v>
      </c>
      <c r="C17" s="145" t="str">
        <f>"x"&amp;B17+6&amp;"F"</f>
        <v>x9F</v>
      </c>
      <c r="D17" s="144" t="str">
        <f>Currency&amp;$B17&amp;$C17&amp;QuoteSuffix</f>
        <v>EUR3x9F_Quote</v>
      </c>
      <c r="E17" s="143" t="str">
        <f>_xll.qlSimpleQuote(D17,,RateTickValue,Permanent,Trigger,ObjectOverwrite)</f>
        <v>EUR3x9F_Quote#0031</v>
      </c>
      <c r="F17" s="142" t="str">
        <f>_xll.ohRangeRetrieveError(E17)</f>
        <v/>
      </c>
      <c r="G17" s="57"/>
    </row>
    <row r="18" spans="1:7" x14ac:dyDescent="0.2">
      <c r="A18" s="136"/>
      <c r="B18" s="144">
        <v>4</v>
      </c>
      <c r="C18" s="145" t="str">
        <f>"x"&amp;B18+6&amp;"F"</f>
        <v>x10F</v>
      </c>
      <c r="D18" s="144" t="str">
        <f>Currency&amp;$B18&amp;$C18&amp;QuoteSuffix</f>
        <v>EUR4x10F_Quote</v>
      </c>
      <c r="E18" s="143" t="str">
        <f>_xll.qlSimpleQuote(D18,,RateTickValue,Permanent,Trigger,ObjectOverwrite)</f>
        <v>EUR4x10F_Quote#0031</v>
      </c>
      <c r="F18" s="142" t="str">
        <f>_xll.ohRangeRetrieveError(E18)</f>
        <v/>
      </c>
      <c r="G18" s="57"/>
    </row>
    <row r="19" spans="1:7" x14ac:dyDescent="0.2">
      <c r="A19" s="136"/>
      <c r="B19" s="144">
        <v>5</v>
      </c>
      <c r="C19" s="145" t="str">
        <f>"x"&amp;B19+6&amp;"F"</f>
        <v>x11F</v>
      </c>
      <c r="D19" s="144" t="str">
        <f>Currency&amp;$B19&amp;$C19&amp;QuoteSuffix</f>
        <v>EUR5x11F_Quote</v>
      </c>
      <c r="E19" s="143" t="str">
        <f>_xll.qlSimpleQuote(D19,,RateTickValue,Permanent,Trigger,ObjectOverwrite)</f>
        <v>EUR5x11F_Quote#0031</v>
      </c>
      <c r="F19" s="142" t="str">
        <f>_xll.ohRangeRetrieveError(E19)</f>
        <v/>
      </c>
      <c r="G19" s="57"/>
    </row>
    <row r="20" spans="1:7" x14ac:dyDescent="0.2">
      <c r="A20" s="136"/>
      <c r="B20" s="144">
        <v>6</v>
      </c>
      <c r="C20" s="145" t="str">
        <f>"x"&amp;B20+6&amp;"F"</f>
        <v>x12F</v>
      </c>
      <c r="D20" s="144" t="str">
        <f>Currency&amp;$B20&amp;$C20&amp;QuoteSuffix</f>
        <v>EUR6x12F_Quote</v>
      </c>
      <c r="E20" s="143" t="str">
        <f>_xll.qlSimpleQuote(D20,,RateTickValue,Permanent,Trigger,ObjectOverwrite)</f>
        <v>EUR6x12F_Quote#0031</v>
      </c>
      <c r="F20" s="142" t="str">
        <f>_xll.ohRangeRetrieveError(E20)</f>
        <v/>
      </c>
      <c r="G20" s="57"/>
    </row>
    <row r="21" spans="1:7" x14ac:dyDescent="0.2">
      <c r="A21" s="136"/>
      <c r="B21" s="144">
        <v>7</v>
      </c>
      <c r="C21" s="145" t="str">
        <f>"x"&amp;B21+6&amp;"F"</f>
        <v>x13F</v>
      </c>
      <c r="D21" s="144" t="str">
        <f>Currency&amp;$B21&amp;$C21&amp;QuoteSuffix</f>
        <v>EUR7x13F_Quote</v>
      </c>
      <c r="E21" s="143" t="str">
        <f>_xll.qlSimpleQuote(D21,,RateTickValue,Permanent,Trigger,ObjectOverwrite)</f>
        <v>EUR7x13F_Quote#0031</v>
      </c>
      <c r="F21" s="142" t="str">
        <f>_xll.ohRangeRetrieveError(E21)</f>
        <v/>
      </c>
      <c r="G21" s="57"/>
    </row>
    <row r="22" spans="1:7" x14ac:dyDescent="0.2">
      <c r="A22" s="136"/>
      <c r="B22" s="144">
        <v>8</v>
      </c>
      <c r="C22" s="145" t="str">
        <f>"x"&amp;B22+6&amp;"F"</f>
        <v>x14F</v>
      </c>
      <c r="D22" s="144" t="str">
        <f>Currency&amp;$B22&amp;$C22&amp;QuoteSuffix</f>
        <v>EUR8x14F_Quote</v>
      </c>
      <c r="E22" s="143" t="str">
        <f>_xll.qlSimpleQuote(D22,,RateTickValue,Permanent,Trigger,ObjectOverwrite)</f>
        <v>EUR8x14F_Quote#0031</v>
      </c>
      <c r="F22" s="142" t="str">
        <f>_xll.ohRangeRetrieveError(E22)</f>
        <v/>
      </c>
      <c r="G22" s="57"/>
    </row>
    <row r="23" spans="1:7" x14ac:dyDescent="0.2">
      <c r="A23" s="136"/>
      <c r="B23" s="144">
        <v>9</v>
      </c>
      <c r="C23" s="145" t="str">
        <f>"x"&amp;B23+6&amp;"F"</f>
        <v>x15F</v>
      </c>
      <c r="D23" s="144" t="str">
        <f>Currency&amp;$B23&amp;$C23&amp;QuoteSuffix</f>
        <v>EUR9x15F_Quote</v>
      </c>
      <c r="E23" s="143" t="str">
        <f>_xll.qlSimpleQuote(D23,,RateTickValue,Permanent,Trigger,ObjectOverwrite)</f>
        <v>EUR9x15F_Quote#0031</v>
      </c>
      <c r="F23" s="142" t="str">
        <f>_xll.ohRangeRetrieveError(E23)</f>
        <v/>
      </c>
      <c r="G23" s="57"/>
    </row>
    <row r="24" spans="1:7" x14ac:dyDescent="0.2">
      <c r="A24" s="136"/>
      <c r="B24" s="144">
        <v>10</v>
      </c>
      <c r="C24" s="145" t="str">
        <f>"x"&amp;B24+6&amp;"F"</f>
        <v>x16F</v>
      </c>
      <c r="D24" s="144" t="str">
        <f>Currency&amp;$B24&amp;$C24&amp;QuoteSuffix</f>
        <v>EUR10x16F_Quote</v>
      </c>
      <c r="E24" s="143" t="str">
        <f>_xll.qlSimpleQuote(D24,,RateTickValue,Permanent,Trigger,ObjectOverwrite)</f>
        <v>EUR10x16F_Quote#0031</v>
      </c>
      <c r="F24" s="142" t="str">
        <f>_xll.ohRangeRetrieveError(E24)</f>
        <v/>
      </c>
      <c r="G24" s="57"/>
    </row>
    <row r="25" spans="1:7" x14ac:dyDescent="0.2">
      <c r="A25" s="136"/>
      <c r="B25" s="144">
        <v>11</v>
      </c>
      <c r="C25" s="145" t="str">
        <f>"x"&amp;B25+6&amp;"F"</f>
        <v>x17F</v>
      </c>
      <c r="D25" s="144" t="str">
        <f>Currency&amp;$B25&amp;$C25&amp;QuoteSuffix</f>
        <v>EUR11x17F_Quote</v>
      </c>
      <c r="E25" s="143" t="str">
        <f>_xll.qlSimpleQuote(D25,,RateTickValue,Permanent,Trigger,ObjectOverwrite)</f>
        <v>EUR11x17F_Quote#0031</v>
      </c>
      <c r="F25" s="142" t="str">
        <f>_xll.ohRangeRetrieveError(E25)</f>
        <v/>
      </c>
      <c r="G25" s="57"/>
    </row>
    <row r="26" spans="1:7" x14ac:dyDescent="0.2">
      <c r="A26" s="136"/>
      <c r="B26" s="144">
        <v>12</v>
      </c>
      <c r="C26" s="145" t="str">
        <f>"x"&amp;B26+6&amp;"F"</f>
        <v>x18F</v>
      </c>
      <c r="D26" s="144" t="str">
        <f>Currency&amp;$B26&amp;$C26&amp;QuoteSuffix</f>
        <v>EUR12x18F_Quote</v>
      </c>
      <c r="E26" s="143" t="str">
        <f>_xll.qlSimpleQuote(D26,,RateTickValue,Permanent,Trigger,ObjectOverwrite)</f>
        <v>EUR12x18F_Quote#0031</v>
      </c>
      <c r="F26" s="142" t="str">
        <f>_xll.ohRangeRetrieveError(E26)</f>
        <v/>
      </c>
      <c r="G26" s="57"/>
    </row>
    <row r="27" spans="1:7" x14ac:dyDescent="0.2">
      <c r="A27" s="136"/>
      <c r="B27" s="144">
        <v>13</v>
      </c>
      <c r="C27" s="145" t="str">
        <f>"x"&amp;B27+6&amp;"F"</f>
        <v>x19F</v>
      </c>
      <c r="D27" s="144" t="str">
        <f>Currency&amp;$B27&amp;$C27&amp;QuoteSuffix</f>
        <v>EUR13x19F_Quote</v>
      </c>
      <c r="E27" s="143" t="str">
        <f>_xll.qlSimpleQuote(D27,,RateTickValue,Permanent,Trigger,ObjectOverwrite)</f>
        <v>EUR13x19F_Quote#0031</v>
      </c>
      <c r="F27" s="142" t="str">
        <f>_xll.ohRangeRetrieveError(E27)</f>
        <v/>
      </c>
      <c r="G27" s="57"/>
    </row>
    <row r="28" spans="1:7" x14ac:dyDescent="0.2">
      <c r="A28" s="136"/>
      <c r="B28" s="144">
        <v>14</v>
      </c>
      <c r="C28" s="145" t="str">
        <f>"x"&amp;B28+6&amp;"F"</f>
        <v>x20F</v>
      </c>
      <c r="D28" s="144" t="str">
        <f>Currency&amp;$B28&amp;$C28&amp;QuoteSuffix</f>
        <v>EUR14x20F_Quote</v>
      </c>
      <c r="E28" s="143" t="str">
        <f>_xll.qlSimpleQuote(D28,,RateTickValue,Permanent,Trigger,ObjectOverwrite)</f>
        <v>EUR14x20F_Quote#0031</v>
      </c>
      <c r="F28" s="142" t="str">
        <f>_xll.ohRangeRetrieveError(E28)</f>
        <v/>
      </c>
      <c r="G28" s="57"/>
    </row>
    <row r="29" spans="1:7" x14ac:dyDescent="0.2">
      <c r="A29" s="136"/>
      <c r="B29" s="144">
        <v>15</v>
      </c>
      <c r="C29" s="145" t="str">
        <f>"x"&amp;B29+6&amp;"F"</f>
        <v>x21F</v>
      </c>
      <c r="D29" s="144" t="str">
        <f>Currency&amp;$B29&amp;$C29&amp;QuoteSuffix</f>
        <v>EUR15x21F_Quote</v>
      </c>
      <c r="E29" s="143" t="str">
        <f>_xll.qlSimpleQuote(D29,,RateTickValue,Permanent,Trigger,ObjectOverwrite)</f>
        <v>EUR15x21F_Quote#0031</v>
      </c>
      <c r="F29" s="142" t="str">
        <f>_xll.ohRangeRetrieveError(E29)</f>
        <v/>
      </c>
      <c r="G29" s="57"/>
    </row>
    <row r="30" spans="1:7" x14ac:dyDescent="0.2">
      <c r="A30" s="136"/>
      <c r="B30" s="144">
        <v>16</v>
      </c>
      <c r="C30" s="145" t="str">
        <f>"x"&amp;B30+6&amp;"F"</f>
        <v>x22F</v>
      </c>
      <c r="D30" s="144" t="str">
        <f>Currency&amp;$B30&amp;$C30&amp;QuoteSuffix</f>
        <v>EUR16x22F_Quote</v>
      </c>
      <c r="E30" s="143" t="str">
        <f>_xll.qlSimpleQuote(D30,,RateTickValue,Permanent,Trigger,ObjectOverwrite)</f>
        <v>EUR16x22F_Quote#0031</v>
      </c>
      <c r="F30" s="142" t="str">
        <f>_xll.ohRangeRetrieveError(E30)</f>
        <v/>
      </c>
      <c r="G30" s="57"/>
    </row>
    <row r="31" spans="1:7" x14ac:dyDescent="0.2">
      <c r="A31" s="136"/>
      <c r="B31" s="144">
        <v>17</v>
      </c>
      <c r="C31" s="145" t="str">
        <f>"x"&amp;B31+6&amp;"F"</f>
        <v>x23F</v>
      </c>
      <c r="D31" s="144" t="str">
        <f>Currency&amp;$B31&amp;$C31&amp;QuoteSuffix</f>
        <v>EUR17x23F_Quote</v>
      </c>
      <c r="E31" s="143" t="str">
        <f>_xll.qlSimpleQuote(D31,,RateTickValue,Permanent,Trigger,ObjectOverwrite)</f>
        <v>EUR17x23F_Quote#0031</v>
      </c>
      <c r="F31" s="142" t="str">
        <f>_xll.ohRangeRetrieveError(E31)</f>
        <v/>
      </c>
      <c r="G31" s="57"/>
    </row>
    <row r="32" spans="1:7" x14ac:dyDescent="0.2">
      <c r="A32" s="136"/>
      <c r="B32" s="144">
        <v>18</v>
      </c>
      <c r="C32" s="145" t="str">
        <f>"x"&amp;B32+6&amp;"F"</f>
        <v>x24F</v>
      </c>
      <c r="D32" s="144" t="str">
        <f>Currency&amp;$B32&amp;$C32&amp;QuoteSuffix</f>
        <v>EUR18x24F_Quote</v>
      </c>
      <c r="E32" s="143" t="str">
        <f>_xll.qlSimpleQuote(D32,,RateTickValue,Permanent,Trigger,ObjectOverwrite)</f>
        <v>EUR18x24F_Quote#0031</v>
      </c>
      <c r="F32" s="142" t="str">
        <f>_xll.ohRangeRetrieveError(E32)</f>
        <v/>
      </c>
      <c r="G32" s="57"/>
    </row>
    <row r="33" spans="1:7" x14ac:dyDescent="0.2">
      <c r="A33" s="136"/>
      <c r="B33" s="140" t="s">
        <v>173</v>
      </c>
      <c r="C33" s="141" t="s">
        <v>171</v>
      </c>
      <c r="D33" s="140" t="str">
        <f>Currency&amp;$B33&amp;$C33&amp;QuoteSuffix</f>
        <v>EURT12F1_Quote</v>
      </c>
      <c r="E33" s="139" t="str">
        <f>_xll.qlSimpleQuote(D33,,RateTickValue,Permanent,Trigger,ObjectOverwrite)</f>
        <v>EURT12F1_Quote#0031</v>
      </c>
      <c r="F33" s="138" t="str">
        <f>_xll.ohRangeRetrieveError(E33)</f>
        <v/>
      </c>
      <c r="G33" s="57"/>
    </row>
    <row r="34" spans="1:7" x14ac:dyDescent="0.2">
      <c r="A34" s="136"/>
      <c r="B34" s="133" t="s">
        <v>172</v>
      </c>
      <c r="C34" s="137" t="s">
        <v>171</v>
      </c>
      <c r="D34" s="133" t="str">
        <f>Currency&amp;$B34&amp;$C34&amp;QuoteSuffix</f>
        <v>EURTOM12F1_Quote</v>
      </c>
      <c r="E34" s="132" t="str">
        <f>_xll.qlSimpleQuote(D34,,RateTickValue,Permanent,Trigger,ObjectOverwrite)</f>
        <v>EURTOM12F1_Quote#0031</v>
      </c>
      <c r="F34" s="131" t="str">
        <f>_xll.ohRangeRetrieveError(E34)</f>
        <v/>
      </c>
      <c r="G34" s="57"/>
    </row>
    <row r="35" spans="1:7" x14ac:dyDescent="0.2">
      <c r="A35" s="136"/>
      <c r="B35" s="135">
        <v>12</v>
      </c>
      <c r="C35" s="134" t="s">
        <v>170</v>
      </c>
      <c r="D35" s="133" t="str">
        <f>Currency&amp;$B35&amp;$C35&amp;QuoteSuffix</f>
        <v>EUR12x24F_Quote</v>
      </c>
      <c r="E35" s="132" t="str">
        <f>_xll.qlSimpleQuote(D35,,RateTickValue,Permanent,Trigger,ObjectOverwrite)</f>
        <v>EUR12x24F_Quote#0031</v>
      </c>
      <c r="F35" s="131" t="str">
        <f>_xll.ohRangeRetrieveError(E35)</f>
        <v/>
      </c>
      <c r="G35" s="57"/>
    </row>
    <row r="36" spans="1:7" ht="13.5" thickBot="1" x14ac:dyDescent="0.25">
      <c r="A36" s="56"/>
      <c r="B36" s="55"/>
      <c r="C36" s="55"/>
      <c r="D36" s="55"/>
      <c r="E36" s="130"/>
      <c r="F36" s="130"/>
      <c r="G36" s="54"/>
    </row>
  </sheetData>
  <pageMargins left="0.75" right="0.75" top="1" bottom="1" header="0.5" footer="0.5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3"/>
  <sheetViews>
    <sheetView workbookViewId="0"/>
  </sheetViews>
  <sheetFormatPr defaultRowHeight="11.25" x14ac:dyDescent="0.2"/>
  <cols>
    <col min="1" max="1" width="3.28515625" style="77" customWidth="1"/>
    <col min="2" max="2" width="3.5703125" style="77" bestFit="1" customWidth="1"/>
    <col min="3" max="3" width="5.7109375" style="77" bestFit="1" customWidth="1"/>
    <col min="4" max="4" width="6.140625" style="77" bestFit="1" customWidth="1"/>
    <col min="5" max="5" width="19.140625" style="77" bestFit="1" customWidth="1"/>
    <col min="6" max="6" width="20.140625" style="77" bestFit="1" customWidth="1"/>
    <col min="7" max="7" width="33.85546875" style="77" customWidth="1"/>
    <col min="8" max="8" width="4.5703125" style="77" customWidth="1"/>
    <col min="9" max="16384" width="9.140625" style="77"/>
  </cols>
  <sheetData>
    <row r="1" spans="1:8" x14ac:dyDescent="0.2">
      <c r="A1" s="171" t="s">
        <v>191</v>
      </c>
      <c r="B1" s="170"/>
      <c r="C1" s="170"/>
      <c r="D1" s="169" t="s">
        <v>189</v>
      </c>
      <c r="E1" s="169" t="s">
        <v>45</v>
      </c>
      <c r="F1" s="168"/>
      <c r="G1" s="168"/>
      <c r="H1" s="167"/>
    </row>
    <row r="2" spans="1:8" ht="22.5" x14ac:dyDescent="0.2">
      <c r="A2" s="166"/>
      <c r="B2" s="102" t="s">
        <v>188</v>
      </c>
      <c r="C2" s="103" t="s">
        <v>187</v>
      </c>
      <c r="D2" s="103" t="s">
        <v>186</v>
      </c>
      <c r="E2" s="101" t="str">
        <f>Currency&amp;"_010_"&amp;$D$1&amp;$E$1&amp;".xml"</f>
        <v>EUR_010_FUT1M.xml</v>
      </c>
      <c r="F2" s="100">
        <f ca="1">IF(Serialize,_xll.ohObjectSave(F3:F122,SerializationPath&amp;E2,FileOverwrite,Serialize),"---")</f>
        <v>120</v>
      </c>
      <c r="G2" s="122" t="str">
        <f ca="1">_xll.ohRangeRetrieveError(F2)</f>
        <v/>
      </c>
      <c r="H2" s="155"/>
    </row>
    <row r="3" spans="1:8" x14ac:dyDescent="0.2">
      <c r="A3" s="160"/>
      <c r="B3" s="165">
        <v>1</v>
      </c>
      <c r="C3" s="164" t="b">
        <v>0</v>
      </c>
      <c r="D3" s="163" t="str">
        <f t="array" ref="D3:D122">_xll.qlIMMNextCodes(_xll.qlSettingsEvaluationDate(Trigger)-1,$C3:$C122)</f>
        <v>Z3</v>
      </c>
      <c r="E3" s="157" t="str">
        <f>Currency&amp;$D$1&amp;$E$1&amp;$D3&amp;QuoteSuffix</f>
        <v>EURFUT1MZ3_Quote</v>
      </c>
      <c r="F3" s="162" t="str">
        <f>_xll.qlSimpleQuote(E3,,PriceTickValue,Permanent,Trigger,ObjectOverwrite)</f>
        <v>EURFUT1MZ3_Quote#0030</v>
      </c>
      <c r="G3" s="161" t="str">
        <f>_xll.ohRangeRetrieveError(F3)</f>
        <v/>
      </c>
      <c r="H3" s="155"/>
    </row>
    <row r="4" spans="1:8" x14ac:dyDescent="0.2">
      <c r="A4" s="160"/>
      <c r="B4" s="121">
        <v>2</v>
      </c>
      <c r="C4" s="159" t="b">
        <v>0</v>
      </c>
      <c r="D4" s="158" t="str">
        <v>F4</v>
      </c>
      <c r="E4" s="157" t="str">
        <f>Currency&amp;$D$1&amp;$E$1&amp;$D4&amp;QuoteSuffix</f>
        <v>EURFUT1MF4_Quote</v>
      </c>
      <c r="F4" s="156" t="str">
        <f>_xll.qlSimpleQuote(E4,,PriceTickValue,Permanent,Trigger,ObjectOverwrite)</f>
        <v>EURFUT1MF4_Quote#0030</v>
      </c>
      <c r="G4" s="119" t="str">
        <f>_xll.ohRangeRetrieveError(F4)</f>
        <v/>
      </c>
      <c r="H4" s="155"/>
    </row>
    <row r="5" spans="1:8" x14ac:dyDescent="0.2">
      <c r="A5" s="160"/>
      <c r="B5" s="121">
        <v>3</v>
      </c>
      <c r="C5" s="159" t="b">
        <v>0</v>
      </c>
      <c r="D5" s="158" t="str">
        <v>G4</v>
      </c>
      <c r="E5" s="157" t="str">
        <f>Currency&amp;$D$1&amp;$E$1&amp;$D5&amp;QuoteSuffix</f>
        <v>EURFUT1MG4_Quote</v>
      </c>
      <c r="F5" s="156" t="str">
        <f>_xll.qlSimpleQuote(E5,,PriceTickValue,Permanent,Trigger,ObjectOverwrite)</f>
        <v>EURFUT1MG4_Quote#0030</v>
      </c>
      <c r="G5" s="119" t="str">
        <f>_xll.ohRangeRetrieveError(F5)</f>
        <v/>
      </c>
      <c r="H5" s="155"/>
    </row>
    <row r="6" spans="1:8" x14ac:dyDescent="0.2">
      <c r="A6" s="160"/>
      <c r="B6" s="121">
        <v>4</v>
      </c>
      <c r="C6" s="159" t="b">
        <v>0</v>
      </c>
      <c r="D6" s="158" t="str">
        <v>H4</v>
      </c>
      <c r="E6" s="157" t="str">
        <f>Currency&amp;$D$1&amp;$E$1&amp;$D6&amp;QuoteSuffix</f>
        <v>EURFUT1MH4_Quote</v>
      </c>
      <c r="F6" s="156" t="str">
        <f>_xll.qlSimpleQuote(E6,,PriceTickValue,Permanent,Trigger,ObjectOverwrite)</f>
        <v>EURFUT1MH4_Quote#0030</v>
      </c>
      <c r="G6" s="119" t="str">
        <f>_xll.ohRangeRetrieveError(F6)</f>
        <v/>
      </c>
      <c r="H6" s="155"/>
    </row>
    <row r="7" spans="1:8" x14ac:dyDescent="0.2">
      <c r="A7" s="160"/>
      <c r="B7" s="121">
        <v>5</v>
      </c>
      <c r="C7" s="159" t="b">
        <v>0</v>
      </c>
      <c r="D7" s="158" t="str">
        <v>J4</v>
      </c>
      <c r="E7" s="157" t="str">
        <f>Currency&amp;$D$1&amp;$E$1&amp;$D7&amp;QuoteSuffix</f>
        <v>EURFUT1MJ4_Quote</v>
      </c>
      <c r="F7" s="156" t="str">
        <f>_xll.qlSimpleQuote(E7,,PriceTickValue,Permanent,Trigger,ObjectOverwrite)</f>
        <v>EURFUT1MJ4_Quote#0030</v>
      </c>
      <c r="G7" s="119" t="str">
        <f>_xll.ohRangeRetrieveError(F7)</f>
        <v/>
      </c>
      <c r="H7" s="155"/>
    </row>
    <row r="8" spans="1:8" x14ac:dyDescent="0.2">
      <c r="A8" s="160"/>
      <c r="B8" s="121">
        <v>6</v>
      </c>
      <c r="C8" s="159" t="b">
        <v>0</v>
      </c>
      <c r="D8" s="158" t="str">
        <v>K4</v>
      </c>
      <c r="E8" s="157" t="str">
        <f>Currency&amp;$D$1&amp;$E$1&amp;$D8&amp;QuoteSuffix</f>
        <v>EURFUT1MK4_Quote</v>
      </c>
      <c r="F8" s="156" t="str">
        <f>_xll.qlSimpleQuote(E8,,PriceTickValue,Permanent,Trigger,ObjectOverwrite)</f>
        <v>EURFUT1MK4_Quote#0030</v>
      </c>
      <c r="G8" s="119" t="str">
        <f>_xll.ohRangeRetrieveError(F8)</f>
        <v/>
      </c>
      <c r="H8" s="155"/>
    </row>
    <row r="9" spans="1:8" x14ac:dyDescent="0.2">
      <c r="A9" s="160"/>
      <c r="B9" s="121">
        <v>7</v>
      </c>
      <c r="C9" s="159" t="b">
        <v>0</v>
      </c>
      <c r="D9" s="158" t="str">
        <v>M4</v>
      </c>
      <c r="E9" s="157" t="str">
        <f>Currency&amp;$D$1&amp;$E$1&amp;$D9&amp;QuoteSuffix</f>
        <v>EURFUT1MM4_Quote</v>
      </c>
      <c r="F9" s="156" t="str">
        <f>_xll.qlSimpleQuote(E9,,PriceTickValue,Permanent,Trigger,ObjectOverwrite)</f>
        <v>EURFUT1MM4_Quote#0030</v>
      </c>
      <c r="G9" s="119" t="str">
        <f>_xll.ohRangeRetrieveError(F9)</f>
        <v/>
      </c>
      <c r="H9" s="155"/>
    </row>
    <row r="10" spans="1:8" x14ac:dyDescent="0.2">
      <c r="A10" s="160"/>
      <c r="B10" s="121">
        <v>8</v>
      </c>
      <c r="C10" s="159" t="b">
        <v>0</v>
      </c>
      <c r="D10" s="158" t="str">
        <v>N4</v>
      </c>
      <c r="E10" s="157" t="str">
        <f>Currency&amp;$D$1&amp;$E$1&amp;$D10&amp;QuoteSuffix</f>
        <v>EURFUT1MN4_Quote</v>
      </c>
      <c r="F10" s="156" t="str">
        <f>_xll.qlSimpleQuote(E10,,PriceTickValue,Permanent,Trigger,ObjectOverwrite)</f>
        <v>EURFUT1MN4_Quote#0030</v>
      </c>
      <c r="G10" s="119" t="str">
        <f>_xll.ohRangeRetrieveError(F10)</f>
        <v/>
      </c>
      <c r="H10" s="155"/>
    </row>
    <row r="11" spans="1:8" x14ac:dyDescent="0.2">
      <c r="A11" s="160"/>
      <c r="B11" s="121">
        <v>9</v>
      </c>
      <c r="C11" s="159" t="b">
        <v>0</v>
      </c>
      <c r="D11" s="158" t="str">
        <v>Q4</v>
      </c>
      <c r="E11" s="157" t="str">
        <f>Currency&amp;$D$1&amp;$E$1&amp;$D11&amp;QuoteSuffix</f>
        <v>EURFUT1MQ4_Quote</v>
      </c>
      <c r="F11" s="156" t="str">
        <f>_xll.qlSimpleQuote(E11,,PriceTickValue,Permanent,Trigger,ObjectOverwrite)</f>
        <v>EURFUT1MQ4_Quote#0030</v>
      </c>
      <c r="G11" s="119" t="str">
        <f>_xll.ohRangeRetrieveError(F11)</f>
        <v/>
      </c>
      <c r="H11" s="155"/>
    </row>
    <row r="12" spans="1:8" x14ac:dyDescent="0.2">
      <c r="A12" s="160"/>
      <c r="B12" s="121">
        <v>10</v>
      </c>
      <c r="C12" s="159" t="b">
        <v>0</v>
      </c>
      <c r="D12" s="158" t="str">
        <v>U4</v>
      </c>
      <c r="E12" s="157" t="str">
        <f>Currency&amp;$D$1&amp;$E$1&amp;$D12&amp;QuoteSuffix</f>
        <v>EURFUT1MU4_Quote</v>
      </c>
      <c r="F12" s="156" t="str">
        <f>_xll.qlSimpleQuote(E12,,PriceTickValue,Permanent,Trigger,ObjectOverwrite)</f>
        <v>EURFUT1MU4_Quote#0030</v>
      </c>
      <c r="G12" s="119" t="str">
        <f>_xll.ohRangeRetrieveError(F12)</f>
        <v/>
      </c>
      <c r="H12" s="155"/>
    </row>
    <row r="13" spans="1:8" x14ac:dyDescent="0.2">
      <c r="A13" s="160"/>
      <c r="B13" s="121">
        <v>11</v>
      </c>
      <c r="C13" s="159" t="b">
        <v>0</v>
      </c>
      <c r="D13" s="158" t="str">
        <v>V4</v>
      </c>
      <c r="E13" s="157" t="str">
        <f>Currency&amp;$D$1&amp;$E$1&amp;$D13&amp;QuoteSuffix</f>
        <v>EURFUT1MV4_Quote</v>
      </c>
      <c r="F13" s="156" t="str">
        <f>_xll.qlSimpleQuote(E13,,PriceTickValue,Permanent,Trigger,ObjectOverwrite)</f>
        <v>EURFUT1MV4_Quote#0030</v>
      </c>
      <c r="G13" s="119" t="str">
        <f>_xll.ohRangeRetrieveError(F13)</f>
        <v/>
      </c>
      <c r="H13" s="155"/>
    </row>
    <row r="14" spans="1:8" x14ac:dyDescent="0.2">
      <c r="A14" s="160"/>
      <c r="B14" s="121">
        <v>12</v>
      </c>
      <c r="C14" s="159" t="b">
        <v>0</v>
      </c>
      <c r="D14" s="158" t="str">
        <v>X4</v>
      </c>
      <c r="E14" s="157" t="str">
        <f>Currency&amp;$D$1&amp;$E$1&amp;$D14&amp;QuoteSuffix</f>
        <v>EURFUT1MX4_Quote</v>
      </c>
      <c r="F14" s="156" t="str">
        <f>_xll.qlSimpleQuote(E14,,PriceTickValue,Permanent,Trigger,ObjectOverwrite)</f>
        <v>EURFUT1MX4_Quote#0030</v>
      </c>
      <c r="G14" s="119" t="str">
        <f>_xll.ohRangeRetrieveError(F14)</f>
        <v/>
      </c>
      <c r="H14" s="155"/>
    </row>
    <row r="15" spans="1:8" x14ac:dyDescent="0.2">
      <c r="A15" s="160"/>
      <c r="B15" s="121">
        <v>13</v>
      </c>
      <c r="C15" s="159" t="b">
        <v>0</v>
      </c>
      <c r="D15" s="158" t="str">
        <v>Z4</v>
      </c>
      <c r="E15" s="157" t="str">
        <f>Currency&amp;$D$1&amp;$E$1&amp;$D15&amp;QuoteSuffix</f>
        <v>EURFUT1MZ4_Quote</v>
      </c>
      <c r="F15" s="156" t="str">
        <f>_xll.qlSimpleQuote(E15,,PriceTickValue,Permanent,Trigger,ObjectOverwrite)</f>
        <v>EURFUT1MZ4_Quote#0030</v>
      </c>
      <c r="G15" s="119" t="str">
        <f>_xll.ohRangeRetrieveError(F15)</f>
        <v/>
      </c>
      <c r="H15" s="155"/>
    </row>
    <row r="16" spans="1:8" x14ac:dyDescent="0.2">
      <c r="A16" s="160"/>
      <c r="B16" s="121">
        <v>14</v>
      </c>
      <c r="C16" s="159" t="b">
        <v>0</v>
      </c>
      <c r="D16" s="158" t="str">
        <v>F5</v>
      </c>
      <c r="E16" s="157" t="str">
        <f>Currency&amp;$D$1&amp;$E$1&amp;$D16&amp;QuoteSuffix</f>
        <v>EURFUT1MF5_Quote</v>
      </c>
      <c r="F16" s="156" t="str">
        <f>_xll.qlSimpleQuote(E16,,PriceTickValue,Permanent,Trigger,ObjectOverwrite)</f>
        <v>EURFUT1MF5_Quote#0030</v>
      </c>
      <c r="G16" s="119" t="str">
        <f>_xll.ohRangeRetrieveError(F16)</f>
        <v/>
      </c>
      <c r="H16" s="155"/>
    </row>
    <row r="17" spans="1:8" x14ac:dyDescent="0.2">
      <c r="A17" s="160"/>
      <c r="B17" s="121">
        <v>15</v>
      </c>
      <c r="C17" s="159" t="b">
        <v>0</v>
      </c>
      <c r="D17" s="158" t="str">
        <v>G5</v>
      </c>
      <c r="E17" s="157" t="str">
        <f>Currency&amp;$D$1&amp;$E$1&amp;$D17&amp;QuoteSuffix</f>
        <v>EURFUT1MG5_Quote</v>
      </c>
      <c r="F17" s="156" t="str">
        <f>_xll.qlSimpleQuote(E17,,PriceTickValue,Permanent,Trigger,ObjectOverwrite)</f>
        <v>EURFUT1MG5_Quote#0030</v>
      </c>
      <c r="G17" s="119" t="str">
        <f>_xll.ohRangeRetrieveError(F17)</f>
        <v/>
      </c>
      <c r="H17" s="155"/>
    </row>
    <row r="18" spans="1:8" x14ac:dyDescent="0.2">
      <c r="A18" s="160"/>
      <c r="B18" s="121">
        <v>16</v>
      </c>
      <c r="C18" s="159" t="b">
        <v>0</v>
      </c>
      <c r="D18" s="158" t="str">
        <v>H5</v>
      </c>
      <c r="E18" s="157" t="str">
        <f>Currency&amp;$D$1&amp;$E$1&amp;$D18&amp;QuoteSuffix</f>
        <v>EURFUT1MH5_Quote</v>
      </c>
      <c r="F18" s="156" t="str">
        <f>_xll.qlSimpleQuote(E18,,PriceTickValue,Permanent,Trigger,ObjectOverwrite)</f>
        <v>EURFUT1MH5_Quote#0030</v>
      </c>
      <c r="G18" s="119" t="str">
        <f>_xll.ohRangeRetrieveError(F18)</f>
        <v/>
      </c>
      <c r="H18" s="155"/>
    </row>
    <row r="19" spans="1:8" x14ac:dyDescent="0.2">
      <c r="A19" s="160"/>
      <c r="B19" s="121">
        <v>17</v>
      </c>
      <c r="C19" s="159" t="b">
        <v>0</v>
      </c>
      <c r="D19" s="158" t="str">
        <v>J5</v>
      </c>
      <c r="E19" s="157" t="str">
        <f>Currency&amp;$D$1&amp;$E$1&amp;$D19&amp;QuoteSuffix</f>
        <v>EURFUT1MJ5_Quote</v>
      </c>
      <c r="F19" s="156" t="str">
        <f>_xll.qlSimpleQuote(E19,,PriceTickValue,Permanent,Trigger,ObjectOverwrite)</f>
        <v>EURFUT1MJ5_Quote#0030</v>
      </c>
      <c r="G19" s="119" t="str">
        <f>_xll.ohRangeRetrieveError(F19)</f>
        <v/>
      </c>
      <c r="H19" s="155"/>
    </row>
    <row r="20" spans="1:8" x14ac:dyDescent="0.2">
      <c r="A20" s="160"/>
      <c r="B20" s="121">
        <v>18</v>
      </c>
      <c r="C20" s="159" t="b">
        <v>0</v>
      </c>
      <c r="D20" s="158" t="str">
        <v>K5</v>
      </c>
      <c r="E20" s="157" t="str">
        <f>Currency&amp;$D$1&amp;$E$1&amp;$D20&amp;QuoteSuffix</f>
        <v>EURFUT1MK5_Quote</v>
      </c>
      <c r="F20" s="156" t="str">
        <f>_xll.qlSimpleQuote(E20,,PriceTickValue,Permanent,Trigger,ObjectOverwrite)</f>
        <v>EURFUT1MK5_Quote#0030</v>
      </c>
      <c r="G20" s="119" t="str">
        <f>_xll.ohRangeRetrieveError(F20)</f>
        <v/>
      </c>
      <c r="H20" s="155"/>
    </row>
    <row r="21" spans="1:8" x14ac:dyDescent="0.2">
      <c r="A21" s="160"/>
      <c r="B21" s="121">
        <v>19</v>
      </c>
      <c r="C21" s="159" t="b">
        <v>0</v>
      </c>
      <c r="D21" s="158" t="str">
        <v>M5</v>
      </c>
      <c r="E21" s="157" t="str">
        <f>Currency&amp;$D$1&amp;$E$1&amp;$D21&amp;QuoteSuffix</f>
        <v>EURFUT1MM5_Quote</v>
      </c>
      <c r="F21" s="156" t="str">
        <f>_xll.qlSimpleQuote(E21,,PriceTickValue,Permanent,Trigger,ObjectOverwrite)</f>
        <v>EURFUT1MM5_Quote#0030</v>
      </c>
      <c r="G21" s="119" t="str">
        <f>_xll.ohRangeRetrieveError(F21)</f>
        <v/>
      </c>
      <c r="H21" s="155"/>
    </row>
    <row r="22" spans="1:8" x14ac:dyDescent="0.2">
      <c r="A22" s="160"/>
      <c r="B22" s="121">
        <v>20</v>
      </c>
      <c r="C22" s="159" t="b">
        <v>0</v>
      </c>
      <c r="D22" s="158" t="str">
        <v>N5</v>
      </c>
      <c r="E22" s="157" t="str">
        <f>Currency&amp;$D$1&amp;$E$1&amp;$D22&amp;QuoteSuffix</f>
        <v>EURFUT1MN5_Quote</v>
      </c>
      <c r="F22" s="156" t="str">
        <f>_xll.qlSimpleQuote(E22,,PriceTickValue,Permanent,Trigger,ObjectOverwrite)</f>
        <v>EURFUT1MN5_Quote#0030</v>
      </c>
      <c r="G22" s="119" t="str">
        <f>_xll.ohRangeRetrieveError(F22)</f>
        <v/>
      </c>
      <c r="H22" s="155"/>
    </row>
    <row r="23" spans="1:8" x14ac:dyDescent="0.2">
      <c r="A23" s="160"/>
      <c r="B23" s="121">
        <v>21</v>
      </c>
      <c r="C23" s="159" t="b">
        <v>0</v>
      </c>
      <c r="D23" s="158" t="str">
        <v>Q5</v>
      </c>
      <c r="E23" s="157" t="str">
        <f>Currency&amp;$D$1&amp;$E$1&amp;$D23&amp;QuoteSuffix</f>
        <v>EURFUT1MQ5_Quote</v>
      </c>
      <c r="F23" s="156" t="str">
        <f>_xll.qlSimpleQuote(E23,,PriceTickValue,Permanent,Trigger,ObjectOverwrite)</f>
        <v>EURFUT1MQ5_Quote#0030</v>
      </c>
      <c r="G23" s="119" t="str">
        <f>_xll.ohRangeRetrieveError(F23)</f>
        <v/>
      </c>
      <c r="H23" s="155"/>
    </row>
    <row r="24" spans="1:8" x14ac:dyDescent="0.2">
      <c r="A24" s="160"/>
      <c r="B24" s="121">
        <v>22</v>
      </c>
      <c r="C24" s="159" t="b">
        <v>0</v>
      </c>
      <c r="D24" s="158" t="str">
        <v>U5</v>
      </c>
      <c r="E24" s="157" t="str">
        <f>Currency&amp;$D$1&amp;$E$1&amp;$D24&amp;QuoteSuffix</f>
        <v>EURFUT1MU5_Quote</v>
      </c>
      <c r="F24" s="156" t="str">
        <f>_xll.qlSimpleQuote(E24,,PriceTickValue,Permanent,Trigger,ObjectOverwrite)</f>
        <v>EURFUT1MU5_Quote#0030</v>
      </c>
      <c r="G24" s="119" t="str">
        <f>_xll.ohRangeRetrieveError(F24)</f>
        <v/>
      </c>
      <c r="H24" s="155"/>
    </row>
    <row r="25" spans="1:8" x14ac:dyDescent="0.2">
      <c r="A25" s="160"/>
      <c r="B25" s="121">
        <v>23</v>
      </c>
      <c r="C25" s="159" t="b">
        <v>0</v>
      </c>
      <c r="D25" s="158" t="str">
        <v>V5</v>
      </c>
      <c r="E25" s="157" t="str">
        <f>Currency&amp;$D$1&amp;$E$1&amp;$D25&amp;QuoteSuffix</f>
        <v>EURFUT1MV5_Quote</v>
      </c>
      <c r="F25" s="156" t="str">
        <f>_xll.qlSimpleQuote(E25,,PriceTickValue,Permanent,Trigger,ObjectOverwrite)</f>
        <v>EURFUT1MV5_Quote#0030</v>
      </c>
      <c r="G25" s="119" t="str">
        <f>_xll.ohRangeRetrieveError(F25)</f>
        <v/>
      </c>
      <c r="H25" s="155"/>
    </row>
    <row r="26" spans="1:8" x14ac:dyDescent="0.2">
      <c r="A26" s="160"/>
      <c r="B26" s="121">
        <v>24</v>
      </c>
      <c r="C26" s="159" t="b">
        <v>0</v>
      </c>
      <c r="D26" s="158" t="str">
        <v>X5</v>
      </c>
      <c r="E26" s="157" t="str">
        <f>Currency&amp;$D$1&amp;$E$1&amp;$D26&amp;QuoteSuffix</f>
        <v>EURFUT1MX5_Quote</v>
      </c>
      <c r="F26" s="156" t="str">
        <f>_xll.qlSimpleQuote(E26,,PriceTickValue,Permanent,Trigger,ObjectOverwrite)</f>
        <v>EURFUT1MX5_Quote#0030</v>
      </c>
      <c r="G26" s="119" t="str">
        <f>_xll.ohRangeRetrieveError(F26)</f>
        <v/>
      </c>
      <c r="H26" s="155"/>
    </row>
    <row r="27" spans="1:8" x14ac:dyDescent="0.2">
      <c r="A27" s="160"/>
      <c r="B27" s="121">
        <v>25</v>
      </c>
      <c r="C27" s="159" t="b">
        <v>0</v>
      </c>
      <c r="D27" s="158" t="str">
        <v>Z5</v>
      </c>
      <c r="E27" s="157" t="str">
        <f>Currency&amp;$D$1&amp;$E$1&amp;$D27&amp;QuoteSuffix</f>
        <v>EURFUT1MZ5_Quote</v>
      </c>
      <c r="F27" s="156" t="str">
        <f>_xll.qlSimpleQuote(E27,,PriceTickValue,Permanent,Trigger,ObjectOverwrite)</f>
        <v>EURFUT1MZ5_Quote#0030</v>
      </c>
      <c r="G27" s="119" t="str">
        <f>_xll.ohRangeRetrieveError(F27)</f>
        <v/>
      </c>
      <c r="H27" s="155"/>
    </row>
    <row r="28" spans="1:8" x14ac:dyDescent="0.2">
      <c r="A28" s="160"/>
      <c r="B28" s="121">
        <v>26</v>
      </c>
      <c r="C28" s="159" t="b">
        <v>0</v>
      </c>
      <c r="D28" s="158" t="str">
        <v>F6</v>
      </c>
      <c r="E28" s="157" t="str">
        <f>Currency&amp;$D$1&amp;$E$1&amp;$D28&amp;QuoteSuffix</f>
        <v>EURFUT1MF6_Quote</v>
      </c>
      <c r="F28" s="156" t="str">
        <f>_xll.qlSimpleQuote(E28,,PriceTickValue,Permanent,Trigger,ObjectOverwrite)</f>
        <v>EURFUT1MF6_Quote#0030</v>
      </c>
      <c r="G28" s="119" t="str">
        <f>_xll.ohRangeRetrieveError(F28)</f>
        <v/>
      </c>
      <c r="H28" s="155"/>
    </row>
    <row r="29" spans="1:8" x14ac:dyDescent="0.2">
      <c r="A29" s="160"/>
      <c r="B29" s="121">
        <v>27</v>
      </c>
      <c r="C29" s="159" t="b">
        <v>0</v>
      </c>
      <c r="D29" s="158" t="str">
        <v>G6</v>
      </c>
      <c r="E29" s="157" t="str">
        <f>Currency&amp;$D$1&amp;$E$1&amp;$D29&amp;QuoteSuffix</f>
        <v>EURFUT1MG6_Quote</v>
      </c>
      <c r="F29" s="156" t="str">
        <f>_xll.qlSimpleQuote(E29,,PriceTickValue,Permanent,Trigger,ObjectOverwrite)</f>
        <v>EURFUT1MG6_Quote#0030</v>
      </c>
      <c r="G29" s="119" t="str">
        <f>_xll.ohRangeRetrieveError(F29)</f>
        <v/>
      </c>
      <c r="H29" s="155"/>
    </row>
    <row r="30" spans="1:8" x14ac:dyDescent="0.2">
      <c r="A30" s="160"/>
      <c r="B30" s="121">
        <v>28</v>
      </c>
      <c r="C30" s="159" t="b">
        <v>0</v>
      </c>
      <c r="D30" s="158" t="str">
        <v>H6</v>
      </c>
      <c r="E30" s="157" t="str">
        <f>Currency&amp;$D$1&amp;$E$1&amp;$D30&amp;QuoteSuffix</f>
        <v>EURFUT1MH6_Quote</v>
      </c>
      <c r="F30" s="156" t="str">
        <f>_xll.qlSimpleQuote(E30,,PriceTickValue,Permanent,Trigger,ObjectOverwrite)</f>
        <v>EURFUT1MH6_Quote#0030</v>
      </c>
      <c r="G30" s="119" t="str">
        <f>_xll.ohRangeRetrieveError(F30)</f>
        <v/>
      </c>
      <c r="H30" s="155"/>
    </row>
    <row r="31" spans="1:8" x14ac:dyDescent="0.2">
      <c r="A31" s="160"/>
      <c r="B31" s="121">
        <v>29</v>
      </c>
      <c r="C31" s="159" t="b">
        <v>0</v>
      </c>
      <c r="D31" s="158" t="str">
        <v>J6</v>
      </c>
      <c r="E31" s="157" t="str">
        <f>Currency&amp;$D$1&amp;$E$1&amp;$D31&amp;QuoteSuffix</f>
        <v>EURFUT1MJ6_Quote</v>
      </c>
      <c r="F31" s="156" t="str">
        <f>_xll.qlSimpleQuote(E31,,PriceTickValue,Permanent,Trigger,ObjectOverwrite)</f>
        <v>EURFUT1MJ6_Quote#0030</v>
      </c>
      <c r="G31" s="119" t="str">
        <f>_xll.ohRangeRetrieveError(F31)</f>
        <v/>
      </c>
      <c r="H31" s="155"/>
    </row>
    <row r="32" spans="1:8" x14ac:dyDescent="0.2">
      <c r="A32" s="160"/>
      <c r="B32" s="121">
        <v>30</v>
      </c>
      <c r="C32" s="159" t="b">
        <v>0</v>
      </c>
      <c r="D32" s="158" t="str">
        <v>K6</v>
      </c>
      <c r="E32" s="157" t="str">
        <f>Currency&amp;$D$1&amp;$E$1&amp;$D32&amp;QuoteSuffix</f>
        <v>EURFUT1MK6_Quote</v>
      </c>
      <c r="F32" s="156" t="str">
        <f>_xll.qlSimpleQuote(E32,,PriceTickValue,Permanent,Trigger,ObjectOverwrite)</f>
        <v>EURFUT1MK6_Quote#0030</v>
      </c>
      <c r="G32" s="119" t="str">
        <f>_xll.ohRangeRetrieveError(F32)</f>
        <v/>
      </c>
      <c r="H32" s="155"/>
    </row>
    <row r="33" spans="1:8" x14ac:dyDescent="0.2">
      <c r="A33" s="160"/>
      <c r="B33" s="121">
        <v>31</v>
      </c>
      <c r="C33" s="159" t="b">
        <v>0</v>
      </c>
      <c r="D33" s="158" t="str">
        <v>M6</v>
      </c>
      <c r="E33" s="157" t="str">
        <f>Currency&amp;$D$1&amp;$E$1&amp;$D33&amp;QuoteSuffix</f>
        <v>EURFUT1MM6_Quote</v>
      </c>
      <c r="F33" s="156" t="str">
        <f>_xll.qlSimpleQuote(E33,,PriceTickValue,Permanent,Trigger,ObjectOverwrite)</f>
        <v>EURFUT1MM6_Quote#0030</v>
      </c>
      <c r="G33" s="119" t="str">
        <f>_xll.ohRangeRetrieveError(F33)</f>
        <v/>
      </c>
      <c r="H33" s="155"/>
    </row>
    <row r="34" spans="1:8" x14ac:dyDescent="0.2">
      <c r="A34" s="160"/>
      <c r="B34" s="121">
        <v>32</v>
      </c>
      <c r="C34" s="159" t="b">
        <v>0</v>
      </c>
      <c r="D34" s="158" t="str">
        <v>N6</v>
      </c>
      <c r="E34" s="157" t="str">
        <f>Currency&amp;$D$1&amp;$E$1&amp;$D34&amp;QuoteSuffix</f>
        <v>EURFUT1MN6_Quote</v>
      </c>
      <c r="F34" s="156" t="str">
        <f>_xll.qlSimpleQuote(E34,,PriceTickValue,Permanent,Trigger,ObjectOverwrite)</f>
        <v>EURFUT1MN6_Quote#0030</v>
      </c>
      <c r="G34" s="119" t="str">
        <f>_xll.ohRangeRetrieveError(F34)</f>
        <v/>
      </c>
      <c r="H34" s="155"/>
    </row>
    <row r="35" spans="1:8" x14ac:dyDescent="0.2">
      <c r="A35" s="160"/>
      <c r="B35" s="121">
        <v>33</v>
      </c>
      <c r="C35" s="159" t="b">
        <v>0</v>
      </c>
      <c r="D35" s="158" t="str">
        <v>Q6</v>
      </c>
      <c r="E35" s="157" t="str">
        <f>Currency&amp;$D$1&amp;$E$1&amp;$D35&amp;QuoteSuffix</f>
        <v>EURFUT1MQ6_Quote</v>
      </c>
      <c r="F35" s="156" t="str">
        <f>_xll.qlSimpleQuote(E35,,PriceTickValue,Permanent,Trigger,ObjectOverwrite)</f>
        <v>EURFUT1MQ6_Quote#0030</v>
      </c>
      <c r="G35" s="119" t="str">
        <f>_xll.ohRangeRetrieveError(F35)</f>
        <v/>
      </c>
      <c r="H35" s="155"/>
    </row>
    <row r="36" spans="1:8" x14ac:dyDescent="0.2">
      <c r="A36" s="160"/>
      <c r="B36" s="121">
        <v>34</v>
      </c>
      <c r="C36" s="159" t="b">
        <v>0</v>
      </c>
      <c r="D36" s="158" t="str">
        <v>U6</v>
      </c>
      <c r="E36" s="157" t="str">
        <f>Currency&amp;$D$1&amp;$E$1&amp;$D36&amp;QuoteSuffix</f>
        <v>EURFUT1MU6_Quote</v>
      </c>
      <c r="F36" s="156" t="str">
        <f>_xll.qlSimpleQuote(E36,,PriceTickValue,Permanent,Trigger,ObjectOverwrite)</f>
        <v>EURFUT1MU6_Quote#0030</v>
      </c>
      <c r="G36" s="119" t="str">
        <f>_xll.ohRangeRetrieveError(F36)</f>
        <v/>
      </c>
      <c r="H36" s="155"/>
    </row>
    <row r="37" spans="1:8" x14ac:dyDescent="0.2">
      <c r="A37" s="160"/>
      <c r="B37" s="121">
        <v>35</v>
      </c>
      <c r="C37" s="159" t="b">
        <v>0</v>
      </c>
      <c r="D37" s="158" t="str">
        <v>V6</v>
      </c>
      <c r="E37" s="157" t="str">
        <f>Currency&amp;$D$1&amp;$E$1&amp;$D37&amp;QuoteSuffix</f>
        <v>EURFUT1MV6_Quote</v>
      </c>
      <c r="F37" s="156" t="str">
        <f>_xll.qlSimpleQuote(E37,,PriceTickValue,Permanent,Trigger,ObjectOverwrite)</f>
        <v>EURFUT1MV6_Quote#0030</v>
      </c>
      <c r="G37" s="119" t="str">
        <f>_xll.ohRangeRetrieveError(F37)</f>
        <v/>
      </c>
      <c r="H37" s="155"/>
    </row>
    <row r="38" spans="1:8" x14ac:dyDescent="0.2">
      <c r="A38" s="160"/>
      <c r="B38" s="121">
        <v>36</v>
      </c>
      <c r="C38" s="159" t="b">
        <v>0</v>
      </c>
      <c r="D38" s="158" t="str">
        <v>X6</v>
      </c>
      <c r="E38" s="157" t="str">
        <f>Currency&amp;$D$1&amp;$E$1&amp;$D38&amp;QuoteSuffix</f>
        <v>EURFUT1MX6_Quote</v>
      </c>
      <c r="F38" s="156" t="str">
        <f>_xll.qlSimpleQuote(E38,,PriceTickValue,Permanent,Trigger,ObjectOverwrite)</f>
        <v>EURFUT1MX6_Quote#0030</v>
      </c>
      <c r="G38" s="119" t="str">
        <f>_xll.ohRangeRetrieveError(F38)</f>
        <v/>
      </c>
      <c r="H38" s="155"/>
    </row>
    <row r="39" spans="1:8" x14ac:dyDescent="0.2">
      <c r="A39" s="160"/>
      <c r="B39" s="121">
        <v>37</v>
      </c>
      <c r="C39" s="159" t="b">
        <v>0</v>
      </c>
      <c r="D39" s="158" t="str">
        <v>Z6</v>
      </c>
      <c r="E39" s="157" t="str">
        <f>Currency&amp;$D$1&amp;$E$1&amp;$D39&amp;QuoteSuffix</f>
        <v>EURFUT1MZ6_Quote</v>
      </c>
      <c r="F39" s="156" t="str">
        <f>_xll.qlSimpleQuote(E39,,PriceTickValue,Permanent,Trigger,ObjectOverwrite)</f>
        <v>EURFUT1MZ6_Quote#0030</v>
      </c>
      <c r="G39" s="119" t="str">
        <f>_xll.ohRangeRetrieveError(F39)</f>
        <v/>
      </c>
      <c r="H39" s="155"/>
    </row>
    <row r="40" spans="1:8" x14ac:dyDescent="0.2">
      <c r="A40" s="160"/>
      <c r="B40" s="121">
        <v>38</v>
      </c>
      <c r="C40" s="159" t="b">
        <v>0</v>
      </c>
      <c r="D40" s="158" t="str">
        <v>F7</v>
      </c>
      <c r="E40" s="157" t="str">
        <f>Currency&amp;$D$1&amp;$E$1&amp;$D40&amp;QuoteSuffix</f>
        <v>EURFUT1MF7_Quote</v>
      </c>
      <c r="F40" s="156" t="str">
        <f>_xll.qlSimpleQuote(E40,,PriceTickValue,Permanent,Trigger,ObjectOverwrite)</f>
        <v>EURFUT1MF7_Quote#0030</v>
      </c>
      <c r="G40" s="119" t="str">
        <f>_xll.ohRangeRetrieveError(F40)</f>
        <v/>
      </c>
      <c r="H40" s="155"/>
    </row>
    <row r="41" spans="1:8" x14ac:dyDescent="0.2">
      <c r="A41" s="160"/>
      <c r="B41" s="121">
        <v>39</v>
      </c>
      <c r="C41" s="159" t="b">
        <v>0</v>
      </c>
      <c r="D41" s="158" t="str">
        <v>G7</v>
      </c>
      <c r="E41" s="157" t="str">
        <f>Currency&amp;$D$1&amp;$E$1&amp;$D41&amp;QuoteSuffix</f>
        <v>EURFUT1MG7_Quote</v>
      </c>
      <c r="F41" s="156" t="str">
        <f>_xll.qlSimpleQuote(E41,,PriceTickValue,Permanent,Trigger,ObjectOverwrite)</f>
        <v>EURFUT1MG7_Quote#0030</v>
      </c>
      <c r="G41" s="119" t="str">
        <f>_xll.ohRangeRetrieveError(F41)</f>
        <v/>
      </c>
      <c r="H41" s="155"/>
    </row>
    <row r="42" spans="1:8" x14ac:dyDescent="0.2">
      <c r="A42" s="160"/>
      <c r="B42" s="121">
        <v>40</v>
      </c>
      <c r="C42" s="159" t="b">
        <v>0</v>
      </c>
      <c r="D42" s="158" t="str">
        <v>H7</v>
      </c>
      <c r="E42" s="157" t="str">
        <f>Currency&amp;$D$1&amp;$E$1&amp;$D42&amp;QuoteSuffix</f>
        <v>EURFUT1MH7_Quote</v>
      </c>
      <c r="F42" s="156" t="str">
        <f>_xll.qlSimpleQuote(E42,,PriceTickValue,Permanent,Trigger,ObjectOverwrite)</f>
        <v>EURFUT1MH7_Quote#0030</v>
      </c>
      <c r="G42" s="119" t="str">
        <f>_xll.ohRangeRetrieveError(F42)</f>
        <v/>
      </c>
      <c r="H42" s="155"/>
    </row>
    <row r="43" spans="1:8" x14ac:dyDescent="0.2">
      <c r="A43" s="160"/>
      <c r="B43" s="121">
        <v>41</v>
      </c>
      <c r="C43" s="159" t="b">
        <v>0</v>
      </c>
      <c r="D43" s="158" t="str">
        <v>J7</v>
      </c>
      <c r="E43" s="157" t="str">
        <f>Currency&amp;$D$1&amp;$E$1&amp;$D43&amp;QuoteSuffix</f>
        <v>EURFUT1MJ7_Quote</v>
      </c>
      <c r="F43" s="156" t="str">
        <f>_xll.qlSimpleQuote(E43,,PriceTickValue,Permanent,Trigger,ObjectOverwrite)</f>
        <v>EURFUT1MJ7_Quote#0030</v>
      </c>
      <c r="G43" s="119" t="str">
        <f>_xll.ohRangeRetrieveError(F43)</f>
        <v/>
      </c>
      <c r="H43" s="155"/>
    </row>
    <row r="44" spans="1:8" x14ac:dyDescent="0.2">
      <c r="A44" s="160"/>
      <c r="B44" s="121">
        <v>42</v>
      </c>
      <c r="C44" s="159" t="b">
        <v>0</v>
      </c>
      <c r="D44" s="158" t="str">
        <v>K7</v>
      </c>
      <c r="E44" s="157" t="str">
        <f>Currency&amp;$D$1&amp;$E$1&amp;$D44&amp;QuoteSuffix</f>
        <v>EURFUT1MK7_Quote</v>
      </c>
      <c r="F44" s="156" t="str">
        <f>_xll.qlSimpleQuote(E44,,PriceTickValue,Permanent,Trigger,ObjectOverwrite)</f>
        <v>EURFUT1MK7_Quote#0030</v>
      </c>
      <c r="G44" s="119" t="str">
        <f>_xll.ohRangeRetrieveError(F44)</f>
        <v/>
      </c>
      <c r="H44" s="155"/>
    </row>
    <row r="45" spans="1:8" x14ac:dyDescent="0.2">
      <c r="A45" s="160"/>
      <c r="B45" s="121">
        <v>43</v>
      </c>
      <c r="C45" s="159" t="b">
        <v>0</v>
      </c>
      <c r="D45" s="158" t="str">
        <v>M7</v>
      </c>
      <c r="E45" s="157" t="str">
        <f>Currency&amp;$D$1&amp;$E$1&amp;$D45&amp;QuoteSuffix</f>
        <v>EURFUT1MM7_Quote</v>
      </c>
      <c r="F45" s="156" t="str">
        <f>_xll.qlSimpleQuote(E45,,PriceTickValue,Permanent,Trigger,ObjectOverwrite)</f>
        <v>EURFUT1MM7_Quote#0030</v>
      </c>
      <c r="G45" s="119" t="str">
        <f>_xll.ohRangeRetrieveError(F45)</f>
        <v/>
      </c>
      <c r="H45" s="155"/>
    </row>
    <row r="46" spans="1:8" x14ac:dyDescent="0.2">
      <c r="A46" s="160"/>
      <c r="B46" s="121">
        <v>44</v>
      </c>
      <c r="C46" s="159" t="b">
        <v>0</v>
      </c>
      <c r="D46" s="158" t="str">
        <v>N7</v>
      </c>
      <c r="E46" s="157" t="str">
        <f>Currency&amp;$D$1&amp;$E$1&amp;$D46&amp;QuoteSuffix</f>
        <v>EURFUT1MN7_Quote</v>
      </c>
      <c r="F46" s="156" t="str">
        <f>_xll.qlSimpleQuote(E46,,PriceTickValue,Permanent,Trigger,ObjectOverwrite)</f>
        <v>EURFUT1MN7_Quote#0030</v>
      </c>
      <c r="G46" s="119" t="str">
        <f>_xll.ohRangeRetrieveError(F46)</f>
        <v/>
      </c>
      <c r="H46" s="155"/>
    </row>
    <row r="47" spans="1:8" x14ac:dyDescent="0.2">
      <c r="A47" s="160"/>
      <c r="B47" s="121">
        <v>45</v>
      </c>
      <c r="C47" s="159" t="b">
        <v>0</v>
      </c>
      <c r="D47" s="158" t="str">
        <v>Q7</v>
      </c>
      <c r="E47" s="157" t="str">
        <f>Currency&amp;$D$1&amp;$E$1&amp;$D47&amp;QuoteSuffix</f>
        <v>EURFUT1MQ7_Quote</v>
      </c>
      <c r="F47" s="156" t="str">
        <f>_xll.qlSimpleQuote(E47,,PriceTickValue,Permanent,Trigger,ObjectOverwrite)</f>
        <v>EURFUT1MQ7_Quote#0030</v>
      </c>
      <c r="G47" s="119" t="str">
        <f>_xll.ohRangeRetrieveError(F47)</f>
        <v/>
      </c>
      <c r="H47" s="155"/>
    </row>
    <row r="48" spans="1:8" x14ac:dyDescent="0.2">
      <c r="A48" s="160"/>
      <c r="B48" s="121">
        <v>46</v>
      </c>
      <c r="C48" s="159" t="b">
        <v>0</v>
      </c>
      <c r="D48" s="158" t="str">
        <v>U7</v>
      </c>
      <c r="E48" s="157" t="str">
        <f>Currency&amp;$D$1&amp;$E$1&amp;$D48&amp;QuoteSuffix</f>
        <v>EURFUT1MU7_Quote</v>
      </c>
      <c r="F48" s="156" t="str">
        <f>_xll.qlSimpleQuote(E48,,PriceTickValue,Permanent,Trigger,ObjectOverwrite)</f>
        <v>EURFUT1MU7_Quote#0030</v>
      </c>
      <c r="G48" s="119" t="str">
        <f>_xll.ohRangeRetrieveError(F48)</f>
        <v/>
      </c>
      <c r="H48" s="155"/>
    </row>
    <row r="49" spans="1:8" x14ac:dyDescent="0.2">
      <c r="A49" s="160"/>
      <c r="B49" s="121">
        <v>47</v>
      </c>
      <c r="C49" s="159" t="b">
        <v>0</v>
      </c>
      <c r="D49" s="158" t="str">
        <v>V7</v>
      </c>
      <c r="E49" s="157" t="str">
        <f>Currency&amp;$D$1&amp;$E$1&amp;$D49&amp;QuoteSuffix</f>
        <v>EURFUT1MV7_Quote</v>
      </c>
      <c r="F49" s="156" t="str">
        <f>_xll.qlSimpleQuote(E49,,PriceTickValue,Permanent,Trigger,ObjectOverwrite)</f>
        <v>EURFUT1MV7_Quote#0030</v>
      </c>
      <c r="G49" s="119" t="str">
        <f>_xll.ohRangeRetrieveError(F49)</f>
        <v/>
      </c>
      <c r="H49" s="155"/>
    </row>
    <row r="50" spans="1:8" x14ac:dyDescent="0.2">
      <c r="A50" s="160"/>
      <c r="B50" s="121">
        <v>48</v>
      </c>
      <c r="C50" s="159" t="b">
        <v>0</v>
      </c>
      <c r="D50" s="158" t="str">
        <v>X7</v>
      </c>
      <c r="E50" s="157" t="str">
        <f>Currency&amp;$D$1&amp;$E$1&amp;$D50&amp;QuoteSuffix</f>
        <v>EURFUT1MX7_Quote</v>
      </c>
      <c r="F50" s="156" t="str">
        <f>_xll.qlSimpleQuote(E50,,PriceTickValue,Permanent,Trigger,ObjectOverwrite)</f>
        <v>EURFUT1MX7_Quote#0030</v>
      </c>
      <c r="G50" s="119" t="str">
        <f>_xll.ohRangeRetrieveError(F50)</f>
        <v/>
      </c>
      <c r="H50" s="155"/>
    </row>
    <row r="51" spans="1:8" x14ac:dyDescent="0.2">
      <c r="A51" s="160"/>
      <c r="B51" s="121">
        <v>49</v>
      </c>
      <c r="C51" s="159" t="b">
        <v>0</v>
      </c>
      <c r="D51" s="158" t="str">
        <v>Z7</v>
      </c>
      <c r="E51" s="157" t="str">
        <f>Currency&amp;$D$1&amp;$E$1&amp;$D51&amp;QuoteSuffix</f>
        <v>EURFUT1MZ7_Quote</v>
      </c>
      <c r="F51" s="156" t="str">
        <f>_xll.qlSimpleQuote(E51,,PriceTickValue,Permanent,Trigger,ObjectOverwrite)</f>
        <v>EURFUT1MZ7_Quote#0030</v>
      </c>
      <c r="G51" s="119" t="str">
        <f>_xll.ohRangeRetrieveError(F51)</f>
        <v/>
      </c>
      <c r="H51" s="155"/>
    </row>
    <row r="52" spans="1:8" x14ac:dyDescent="0.2">
      <c r="A52" s="160"/>
      <c r="B52" s="121">
        <v>50</v>
      </c>
      <c r="C52" s="159" t="b">
        <v>0</v>
      </c>
      <c r="D52" s="158" t="str">
        <v>F8</v>
      </c>
      <c r="E52" s="157" t="str">
        <f>Currency&amp;$D$1&amp;$E$1&amp;$D52&amp;QuoteSuffix</f>
        <v>EURFUT1MF8_Quote</v>
      </c>
      <c r="F52" s="156" t="str">
        <f>_xll.qlSimpleQuote(E52,,PriceTickValue,Permanent,Trigger,ObjectOverwrite)</f>
        <v>EURFUT1MF8_Quote#0030</v>
      </c>
      <c r="G52" s="119" t="str">
        <f>_xll.ohRangeRetrieveError(F52)</f>
        <v/>
      </c>
      <c r="H52" s="155"/>
    </row>
    <row r="53" spans="1:8" x14ac:dyDescent="0.2">
      <c r="A53" s="160"/>
      <c r="B53" s="121">
        <v>51</v>
      </c>
      <c r="C53" s="159" t="b">
        <v>0</v>
      </c>
      <c r="D53" s="158" t="str">
        <v>G8</v>
      </c>
      <c r="E53" s="157" t="str">
        <f>Currency&amp;$D$1&amp;$E$1&amp;$D53&amp;QuoteSuffix</f>
        <v>EURFUT1MG8_Quote</v>
      </c>
      <c r="F53" s="156" t="str">
        <f>_xll.qlSimpleQuote(E53,,PriceTickValue,Permanent,Trigger,ObjectOverwrite)</f>
        <v>EURFUT1MG8_Quote#0030</v>
      </c>
      <c r="G53" s="119" t="str">
        <f>_xll.ohRangeRetrieveError(F53)</f>
        <v/>
      </c>
      <c r="H53" s="155"/>
    </row>
    <row r="54" spans="1:8" x14ac:dyDescent="0.2">
      <c r="A54" s="160"/>
      <c r="B54" s="121">
        <v>52</v>
      </c>
      <c r="C54" s="159" t="b">
        <v>0</v>
      </c>
      <c r="D54" s="158" t="str">
        <v>H8</v>
      </c>
      <c r="E54" s="157" t="str">
        <f>Currency&amp;$D$1&amp;$E$1&amp;$D54&amp;QuoteSuffix</f>
        <v>EURFUT1MH8_Quote</v>
      </c>
      <c r="F54" s="156" t="str">
        <f>_xll.qlSimpleQuote(E54,,PriceTickValue,Permanent,Trigger,ObjectOverwrite)</f>
        <v>EURFUT1MH8_Quote#0030</v>
      </c>
      <c r="G54" s="119" t="str">
        <f>_xll.ohRangeRetrieveError(F54)</f>
        <v/>
      </c>
      <c r="H54" s="155"/>
    </row>
    <row r="55" spans="1:8" x14ac:dyDescent="0.2">
      <c r="A55" s="160"/>
      <c r="B55" s="121">
        <v>53</v>
      </c>
      <c r="C55" s="159" t="b">
        <v>0</v>
      </c>
      <c r="D55" s="158" t="str">
        <v>J8</v>
      </c>
      <c r="E55" s="157" t="str">
        <f>Currency&amp;$D$1&amp;$E$1&amp;$D55&amp;QuoteSuffix</f>
        <v>EURFUT1MJ8_Quote</v>
      </c>
      <c r="F55" s="156" t="str">
        <f>_xll.qlSimpleQuote(E55,,PriceTickValue,Permanent,Trigger,ObjectOverwrite)</f>
        <v>EURFUT1MJ8_Quote#0030</v>
      </c>
      <c r="G55" s="119" t="str">
        <f>_xll.ohRangeRetrieveError(F55)</f>
        <v/>
      </c>
      <c r="H55" s="155"/>
    </row>
    <row r="56" spans="1:8" x14ac:dyDescent="0.2">
      <c r="A56" s="160"/>
      <c r="B56" s="121">
        <v>54</v>
      </c>
      <c r="C56" s="159" t="b">
        <v>0</v>
      </c>
      <c r="D56" s="158" t="str">
        <v>K8</v>
      </c>
      <c r="E56" s="157" t="str">
        <f>Currency&amp;$D$1&amp;$E$1&amp;$D56&amp;QuoteSuffix</f>
        <v>EURFUT1MK8_Quote</v>
      </c>
      <c r="F56" s="156" t="str">
        <f>_xll.qlSimpleQuote(E56,,PriceTickValue,Permanent,Trigger,ObjectOverwrite)</f>
        <v>EURFUT1MK8_Quote#0030</v>
      </c>
      <c r="G56" s="119" t="str">
        <f>_xll.ohRangeRetrieveError(F56)</f>
        <v/>
      </c>
      <c r="H56" s="155"/>
    </row>
    <row r="57" spans="1:8" x14ac:dyDescent="0.2">
      <c r="A57" s="160"/>
      <c r="B57" s="121">
        <v>55</v>
      </c>
      <c r="C57" s="159" t="b">
        <v>0</v>
      </c>
      <c r="D57" s="158" t="str">
        <v>M8</v>
      </c>
      <c r="E57" s="157" t="str">
        <f>Currency&amp;$D$1&amp;$E$1&amp;$D57&amp;QuoteSuffix</f>
        <v>EURFUT1MM8_Quote</v>
      </c>
      <c r="F57" s="156" t="str">
        <f>_xll.qlSimpleQuote(E57,,PriceTickValue,Permanent,Trigger,ObjectOverwrite)</f>
        <v>EURFUT1MM8_Quote#0030</v>
      </c>
      <c r="G57" s="119" t="str">
        <f>_xll.ohRangeRetrieveError(F57)</f>
        <v/>
      </c>
      <c r="H57" s="155"/>
    </row>
    <row r="58" spans="1:8" x14ac:dyDescent="0.2">
      <c r="A58" s="160"/>
      <c r="B58" s="121">
        <v>56</v>
      </c>
      <c r="C58" s="159" t="b">
        <v>0</v>
      </c>
      <c r="D58" s="158" t="str">
        <v>N8</v>
      </c>
      <c r="E58" s="157" t="str">
        <f>Currency&amp;$D$1&amp;$E$1&amp;$D58&amp;QuoteSuffix</f>
        <v>EURFUT1MN8_Quote</v>
      </c>
      <c r="F58" s="156" t="str">
        <f>_xll.qlSimpleQuote(E58,,PriceTickValue,Permanent,Trigger,ObjectOverwrite)</f>
        <v>EURFUT1MN8_Quote#0030</v>
      </c>
      <c r="G58" s="119" t="str">
        <f>_xll.ohRangeRetrieveError(F58)</f>
        <v/>
      </c>
      <c r="H58" s="155"/>
    </row>
    <row r="59" spans="1:8" x14ac:dyDescent="0.2">
      <c r="A59" s="160"/>
      <c r="B59" s="121">
        <v>57</v>
      </c>
      <c r="C59" s="159" t="b">
        <v>0</v>
      </c>
      <c r="D59" s="158" t="str">
        <v>Q8</v>
      </c>
      <c r="E59" s="157" t="str">
        <f>Currency&amp;$D$1&amp;$E$1&amp;$D59&amp;QuoteSuffix</f>
        <v>EURFUT1MQ8_Quote</v>
      </c>
      <c r="F59" s="156" t="str">
        <f>_xll.qlSimpleQuote(E59,,PriceTickValue,Permanent,Trigger,ObjectOverwrite)</f>
        <v>EURFUT1MQ8_Quote#0030</v>
      </c>
      <c r="G59" s="119" t="str">
        <f>_xll.ohRangeRetrieveError(F59)</f>
        <v/>
      </c>
      <c r="H59" s="155"/>
    </row>
    <row r="60" spans="1:8" x14ac:dyDescent="0.2">
      <c r="A60" s="160"/>
      <c r="B60" s="121">
        <v>58</v>
      </c>
      <c r="C60" s="159" t="b">
        <v>0</v>
      </c>
      <c r="D60" s="158" t="str">
        <v>U8</v>
      </c>
      <c r="E60" s="157" t="str">
        <f>Currency&amp;$D$1&amp;$E$1&amp;$D60&amp;QuoteSuffix</f>
        <v>EURFUT1MU8_Quote</v>
      </c>
      <c r="F60" s="156" t="str">
        <f>_xll.qlSimpleQuote(E60,,PriceTickValue,Permanent,Trigger,ObjectOverwrite)</f>
        <v>EURFUT1MU8_Quote#0030</v>
      </c>
      <c r="G60" s="119" t="str">
        <f>_xll.ohRangeRetrieveError(F60)</f>
        <v/>
      </c>
      <c r="H60" s="155"/>
    </row>
    <row r="61" spans="1:8" x14ac:dyDescent="0.2">
      <c r="A61" s="160"/>
      <c r="B61" s="121">
        <v>59</v>
      </c>
      <c r="C61" s="159" t="b">
        <v>0</v>
      </c>
      <c r="D61" s="158" t="str">
        <v>V8</v>
      </c>
      <c r="E61" s="157" t="str">
        <f>Currency&amp;$D$1&amp;$E$1&amp;$D61&amp;QuoteSuffix</f>
        <v>EURFUT1MV8_Quote</v>
      </c>
      <c r="F61" s="156" t="str">
        <f>_xll.qlSimpleQuote(E61,,PriceTickValue,Permanent,Trigger,ObjectOverwrite)</f>
        <v>EURFUT1MV8_Quote#0030</v>
      </c>
      <c r="G61" s="119" t="str">
        <f>_xll.ohRangeRetrieveError(F61)</f>
        <v/>
      </c>
      <c r="H61" s="155"/>
    </row>
    <row r="62" spans="1:8" x14ac:dyDescent="0.2">
      <c r="A62" s="160"/>
      <c r="B62" s="121">
        <v>60</v>
      </c>
      <c r="C62" s="159" t="b">
        <v>0</v>
      </c>
      <c r="D62" s="158" t="str">
        <v>X8</v>
      </c>
      <c r="E62" s="157" t="str">
        <f>Currency&amp;$D$1&amp;$E$1&amp;$D62&amp;QuoteSuffix</f>
        <v>EURFUT1MX8_Quote</v>
      </c>
      <c r="F62" s="156" t="str">
        <f>_xll.qlSimpleQuote(E62,,PriceTickValue,Permanent,Trigger,ObjectOverwrite)</f>
        <v>EURFUT1MX8_Quote#0030</v>
      </c>
      <c r="G62" s="119" t="str">
        <f>_xll.ohRangeRetrieveError(F62)</f>
        <v/>
      </c>
      <c r="H62" s="155"/>
    </row>
    <row r="63" spans="1:8" x14ac:dyDescent="0.2">
      <c r="A63" s="160"/>
      <c r="B63" s="121">
        <v>61</v>
      </c>
      <c r="C63" s="159" t="b">
        <v>0</v>
      </c>
      <c r="D63" s="158" t="str">
        <v>Z8</v>
      </c>
      <c r="E63" s="157" t="str">
        <f>Currency&amp;$D$1&amp;$E$1&amp;$D63&amp;QuoteSuffix</f>
        <v>EURFUT1MZ8_Quote</v>
      </c>
      <c r="F63" s="156" t="str">
        <f>_xll.qlSimpleQuote(E63,,PriceTickValue,Permanent,Trigger,ObjectOverwrite)</f>
        <v>EURFUT1MZ8_Quote#0030</v>
      </c>
      <c r="G63" s="119" t="str">
        <f>_xll.ohRangeRetrieveError(F63)</f>
        <v/>
      </c>
      <c r="H63" s="155"/>
    </row>
    <row r="64" spans="1:8" x14ac:dyDescent="0.2">
      <c r="A64" s="160"/>
      <c r="B64" s="121">
        <v>62</v>
      </c>
      <c r="C64" s="159" t="b">
        <v>0</v>
      </c>
      <c r="D64" s="158" t="str">
        <v>F9</v>
      </c>
      <c r="E64" s="157" t="str">
        <f>Currency&amp;$D$1&amp;$E$1&amp;$D64&amp;QuoteSuffix</f>
        <v>EURFUT1MF9_Quote</v>
      </c>
      <c r="F64" s="156" t="str">
        <f>_xll.qlSimpleQuote(E64,,PriceTickValue,Permanent,Trigger,ObjectOverwrite)</f>
        <v>EURFUT1MF9_Quote#0030</v>
      </c>
      <c r="G64" s="119" t="str">
        <f>_xll.ohRangeRetrieveError(F64)</f>
        <v/>
      </c>
      <c r="H64" s="155"/>
    </row>
    <row r="65" spans="1:8" x14ac:dyDescent="0.2">
      <c r="A65" s="160"/>
      <c r="B65" s="121">
        <v>63</v>
      </c>
      <c r="C65" s="159" t="b">
        <v>0</v>
      </c>
      <c r="D65" s="158" t="str">
        <v>G9</v>
      </c>
      <c r="E65" s="157" t="str">
        <f>Currency&amp;$D$1&amp;$E$1&amp;$D65&amp;QuoteSuffix</f>
        <v>EURFUT1MG9_Quote</v>
      </c>
      <c r="F65" s="156" t="str">
        <f>_xll.qlSimpleQuote(E65,,PriceTickValue,Permanent,Trigger,ObjectOverwrite)</f>
        <v>EURFUT1MG9_Quote#0030</v>
      </c>
      <c r="G65" s="119" t="str">
        <f>_xll.ohRangeRetrieveError(F65)</f>
        <v/>
      </c>
      <c r="H65" s="155"/>
    </row>
    <row r="66" spans="1:8" x14ac:dyDescent="0.2">
      <c r="A66" s="160"/>
      <c r="B66" s="121">
        <v>64</v>
      </c>
      <c r="C66" s="159" t="b">
        <v>0</v>
      </c>
      <c r="D66" s="158" t="str">
        <v>H9</v>
      </c>
      <c r="E66" s="157" t="str">
        <f>Currency&amp;$D$1&amp;$E$1&amp;$D66&amp;QuoteSuffix</f>
        <v>EURFUT1MH9_Quote</v>
      </c>
      <c r="F66" s="156" t="str">
        <f>_xll.qlSimpleQuote(E66,,PriceTickValue,Permanent,Trigger,ObjectOverwrite)</f>
        <v>EURFUT1MH9_Quote#0030</v>
      </c>
      <c r="G66" s="119" t="str">
        <f>_xll.ohRangeRetrieveError(F66)</f>
        <v/>
      </c>
      <c r="H66" s="155"/>
    </row>
    <row r="67" spans="1:8" x14ac:dyDescent="0.2">
      <c r="A67" s="160"/>
      <c r="B67" s="121">
        <v>65</v>
      </c>
      <c r="C67" s="159" t="b">
        <v>0</v>
      </c>
      <c r="D67" s="158" t="str">
        <v>J9</v>
      </c>
      <c r="E67" s="157" t="str">
        <f>Currency&amp;$D$1&amp;$E$1&amp;$D67&amp;QuoteSuffix</f>
        <v>EURFUT1MJ9_Quote</v>
      </c>
      <c r="F67" s="156" t="str">
        <f>_xll.qlSimpleQuote(E67,,PriceTickValue,Permanent,Trigger,ObjectOverwrite)</f>
        <v>EURFUT1MJ9_Quote#0030</v>
      </c>
      <c r="G67" s="119" t="str">
        <f>_xll.ohRangeRetrieveError(F67)</f>
        <v/>
      </c>
      <c r="H67" s="155"/>
    </row>
    <row r="68" spans="1:8" x14ac:dyDescent="0.2">
      <c r="A68" s="160"/>
      <c r="B68" s="121">
        <v>66</v>
      </c>
      <c r="C68" s="159" t="b">
        <v>0</v>
      </c>
      <c r="D68" s="158" t="str">
        <v>K9</v>
      </c>
      <c r="E68" s="157" t="str">
        <f>Currency&amp;$D$1&amp;$E$1&amp;$D68&amp;QuoteSuffix</f>
        <v>EURFUT1MK9_Quote</v>
      </c>
      <c r="F68" s="156" t="str">
        <f>_xll.qlSimpleQuote(E68,,PriceTickValue,Permanent,Trigger,ObjectOverwrite)</f>
        <v>EURFUT1MK9_Quote#0030</v>
      </c>
      <c r="G68" s="119" t="str">
        <f>_xll.ohRangeRetrieveError(F68)</f>
        <v/>
      </c>
      <c r="H68" s="155"/>
    </row>
    <row r="69" spans="1:8" x14ac:dyDescent="0.2">
      <c r="A69" s="160"/>
      <c r="B69" s="121">
        <v>67</v>
      </c>
      <c r="C69" s="159" t="b">
        <v>0</v>
      </c>
      <c r="D69" s="158" t="str">
        <v>M9</v>
      </c>
      <c r="E69" s="157" t="str">
        <f>Currency&amp;$D$1&amp;$E$1&amp;$D69&amp;QuoteSuffix</f>
        <v>EURFUT1MM9_Quote</v>
      </c>
      <c r="F69" s="156" t="str">
        <f>_xll.qlSimpleQuote(E69,,PriceTickValue,Permanent,Trigger,ObjectOverwrite)</f>
        <v>EURFUT1MM9_Quote#0030</v>
      </c>
      <c r="G69" s="119" t="str">
        <f>_xll.ohRangeRetrieveError(F69)</f>
        <v/>
      </c>
      <c r="H69" s="155"/>
    </row>
    <row r="70" spans="1:8" x14ac:dyDescent="0.2">
      <c r="A70" s="160"/>
      <c r="B70" s="121">
        <v>68</v>
      </c>
      <c r="C70" s="159" t="b">
        <v>0</v>
      </c>
      <c r="D70" s="158" t="str">
        <v>N9</v>
      </c>
      <c r="E70" s="157" t="str">
        <f>Currency&amp;$D$1&amp;$E$1&amp;$D70&amp;QuoteSuffix</f>
        <v>EURFUT1MN9_Quote</v>
      </c>
      <c r="F70" s="156" t="str">
        <f>_xll.qlSimpleQuote(E70,,PriceTickValue,Permanent,Trigger,ObjectOverwrite)</f>
        <v>EURFUT1MN9_Quote#0030</v>
      </c>
      <c r="G70" s="119" t="str">
        <f>_xll.ohRangeRetrieveError(F70)</f>
        <v/>
      </c>
      <c r="H70" s="155"/>
    </row>
    <row r="71" spans="1:8" x14ac:dyDescent="0.2">
      <c r="A71" s="160"/>
      <c r="B71" s="121">
        <v>69</v>
      </c>
      <c r="C71" s="159" t="b">
        <v>0</v>
      </c>
      <c r="D71" s="158" t="str">
        <v>Q9</v>
      </c>
      <c r="E71" s="157" t="str">
        <f>Currency&amp;$D$1&amp;$E$1&amp;$D71&amp;QuoteSuffix</f>
        <v>EURFUT1MQ9_Quote</v>
      </c>
      <c r="F71" s="156" t="str">
        <f>_xll.qlSimpleQuote(E71,,PriceTickValue,Permanent,Trigger,ObjectOverwrite)</f>
        <v>EURFUT1MQ9_Quote#0030</v>
      </c>
      <c r="G71" s="119" t="str">
        <f>_xll.ohRangeRetrieveError(F71)</f>
        <v/>
      </c>
      <c r="H71" s="155"/>
    </row>
    <row r="72" spans="1:8" x14ac:dyDescent="0.2">
      <c r="A72" s="160"/>
      <c r="B72" s="121">
        <v>70</v>
      </c>
      <c r="C72" s="159" t="b">
        <v>0</v>
      </c>
      <c r="D72" s="158" t="str">
        <v>U9</v>
      </c>
      <c r="E72" s="157" t="str">
        <f>Currency&amp;$D$1&amp;$E$1&amp;$D72&amp;QuoteSuffix</f>
        <v>EURFUT1MU9_Quote</v>
      </c>
      <c r="F72" s="156" t="str">
        <f>_xll.qlSimpleQuote(E72,,PriceTickValue,Permanent,Trigger,ObjectOverwrite)</f>
        <v>EURFUT1MU9_Quote#0030</v>
      </c>
      <c r="G72" s="119" t="str">
        <f>_xll.ohRangeRetrieveError(F72)</f>
        <v/>
      </c>
      <c r="H72" s="155"/>
    </row>
    <row r="73" spans="1:8" x14ac:dyDescent="0.2">
      <c r="A73" s="160"/>
      <c r="B73" s="121">
        <v>71</v>
      </c>
      <c r="C73" s="159" t="b">
        <v>0</v>
      </c>
      <c r="D73" s="158" t="str">
        <v>V9</v>
      </c>
      <c r="E73" s="157" t="str">
        <f>Currency&amp;$D$1&amp;$E$1&amp;$D73&amp;QuoteSuffix</f>
        <v>EURFUT1MV9_Quote</v>
      </c>
      <c r="F73" s="156" t="str">
        <f>_xll.qlSimpleQuote(E73,,PriceTickValue,Permanent,Trigger,ObjectOverwrite)</f>
        <v>EURFUT1MV9_Quote#0030</v>
      </c>
      <c r="G73" s="119" t="str">
        <f>_xll.ohRangeRetrieveError(F73)</f>
        <v/>
      </c>
      <c r="H73" s="155"/>
    </row>
    <row r="74" spans="1:8" x14ac:dyDescent="0.2">
      <c r="A74" s="160"/>
      <c r="B74" s="121">
        <v>72</v>
      </c>
      <c r="C74" s="159" t="b">
        <v>0</v>
      </c>
      <c r="D74" s="158" t="str">
        <v>X9</v>
      </c>
      <c r="E74" s="157" t="str">
        <f>Currency&amp;$D$1&amp;$E$1&amp;$D74&amp;QuoteSuffix</f>
        <v>EURFUT1MX9_Quote</v>
      </c>
      <c r="F74" s="156" t="str">
        <f>_xll.qlSimpleQuote(E74,,PriceTickValue,Permanent,Trigger,ObjectOverwrite)</f>
        <v>EURFUT1MX9_Quote#0030</v>
      </c>
      <c r="G74" s="119" t="str">
        <f>_xll.ohRangeRetrieveError(F74)</f>
        <v/>
      </c>
      <c r="H74" s="155"/>
    </row>
    <row r="75" spans="1:8" x14ac:dyDescent="0.2">
      <c r="A75" s="160"/>
      <c r="B75" s="121">
        <v>73</v>
      </c>
      <c r="C75" s="159" t="b">
        <v>0</v>
      </c>
      <c r="D75" s="158" t="str">
        <v>Z9</v>
      </c>
      <c r="E75" s="157" t="str">
        <f>Currency&amp;$D$1&amp;$E$1&amp;$D75&amp;QuoteSuffix</f>
        <v>EURFUT1MZ9_Quote</v>
      </c>
      <c r="F75" s="156" t="str">
        <f>_xll.qlSimpleQuote(E75,,PriceTickValue,Permanent,Trigger,ObjectOverwrite)</f>
        <v>EURFUT1MZ9_Quote#0030</v>
      </c>
      <c r="G75" s="119" t="str">
        <f>_xll.ohRangeRetrieveError(F75)</f>
        <v/>
      </c>
      <c r="H75" s="155"/>
    </row>
    <row r="76" spans="1:8" x14ac:dyDescent="0.2">
      <c r="A76" s="160"/>
      <c r="B76" s="121">
        <v>74</v>
      </c>
      <c r="C76" s="159" t="b">
        <v>0</v>
      </c>
      <c r="D76" s="158" t="str">
        <v>F0</v>
      </c>
      <c r="E76" s="157" t="str">
        <f>Currency&amp;$D$1&amp;$E$1&amp;$D76&amp;QuoteSuffix</f>
        <v>EURFUT1MF0_Quote</v>
      </c>
      <c r="F76" s="156" t="str">
        <f>_xll.qlSimpleQuote(E76,,PriceTickValue,Permanent,Trigger,ObjectOverwrite)</f>
        <v>EURFUT1MF0_Quote#0030</v>
      </c>
      <c r="G76" s="119" t="str">
        <f>_xll.ohRangeRetrieveError(F76)</f>
        <v/>
      </c>
      <c r="H76" s="155"/>
    </row>
    <row r="77" spans="1:8" x14ac:dyDescent="0.2">
      <c r="A77" s="160"/>
      <c r="B77" s="121">
        <v>75</v>
      </c>
      <c r="C77" s="159" t="b">
        <v>0</v>
      </c>
      <c r="D77" s="158" t="str">
        <v>G0</v>
      </c>
      <c r="E77" s="157" t="str">
        <f>Currency&amp;$D$1&amp;$E$1&amp;$D77&amp;QuoteSuffix</f>
        <v>EURFUT1MG0_Quote</v>
      </c>
      <c r="F77" s="156" t="str">
        <f>_xll.qlSimpleQuote(E77,,PriceTickValue,Permanent,Trigger,ObjectOverwrite)</f>
        <v>EURFUT1MG0_Quote#0030</v>
      </c>
      <c r="G77" s="119" t="str">
        <f>_xll.ohRangeRetrieveError(F77)</f>
        <v/>
      </c>
      <c r="H77" s="155"/>
    </row>
    <row r="78" spans="1:8" x14ac:dyDescent="0.2">
      <c r="A78" s="160"/>
      <c r="B78" s="121">
        <v>76</v>
      </c>
      <c r="C78" s="159" t="b">
        <v>0</v>
      </c>
      <c r="D78" s="158" t="str">
        <v>H0</v>
      </c>
      <c r="E78" s="157" t="str">
        <f>Currency&amp;$D$1&amp;$E$1&amp;$D78&amp;QuoteSuffix</f>
        <v>EURFUT1MH0_Quote</v>
      </c>
      <c r="F78" s="156" t="str">
        <f>_xll.qlSimpleQuote(E78,,PriceTickValue,Permanent,Trigger,ObjectOverwrite)</f>
        <v>EURFUT1MH0_Quote#0030</v>
      </c>
      <c r="G78" s="119" t="str">
        <f>_xll.ohRangeRetrieveError(F78)</f>
        <v/>
      </c>
      <c r="H78" s="155"/>
    </row>
    <row r="79" spans="1:8" x14ac:dyDescent="0.2">
      <c r="A79" s="160"/>
      <c r="B79" s="121">
        <v>77</v>
      </c>
      <c r="C79" s="159" t="b">
        <v>0</v>
      </c>
      <c r="D79" s="158" t="str">
        <v>J0</v>
      </c>
      <c r="E79" s="157" t="str">
        <f>Currency&amp;$D$1&amp;$E$1&amp;$D79&amp;QuoteSuffix</f>
        <v>EURFUT1MJ0_Quote</v>
      </c>
      <c r="F79" s="156" t="str">
        <f>_xll.qlSimpleQuote(E79,,PriceTickValue,Permanent,Trigger,ObjectOverwrite)</f>
        <v>EURFUT1MJ0_Quote#0030</v>
      </c>
      <c r="G79" s="119" t="str">
        <f>_xll.ohRangeRetrieveError(F79)</f>
        <v/>
      </c>
      <c r="H79" s="155"/>
    </row>
    <row r="80" spans="1:8" x14ac:dyDescent="0.2">
      <c r="A80" s="160"/>
      <c r="B80" s="121">
        <v>78</v>
      </c>
      <c r="C80" s="159" t="b">
        <v>0</v>
      </c>
      <c r="D80" s="158" t="str">
        <v>K0</v>
      </c>
      <c r="E80" s="157" t="str">
        <f>Currency&amp;$D$1&amp;$E$1&amp;$D80&amp;QuoteSuffix</f>
        <v>EURFUT1MK0_Quote</v>
      </c>
      <c r="F80" s="156" t="str">
        <f>_xll.qlSimpleQuote(E80,,PriceTickValue,Permanent,Trigger,ObjectOverwrite)</f>
        <v>EURFUT1MK0_Quote#0030</v>
      </c>
      <c r="G80" s="119" t="str">
        <f>_xll.ohRangeRetrieveError(F80)</f>
        <v/>
      </c>
      <c r="H80" s="155"/>
    </row>
    <row r="81" spans="1:8" x14ac:dyDescent="0.2">
      <c r="A81" s="160"/>
      <c r="B81" s="121">
        <v>79</v>
      </c>
      <c r="C81" s="159" t="b">
        <v>0</v>
      </c>
      <c r="D81" s="158" t="str">
        <v>M0</v>
      </c>
      <c r="E81" s="157" t="str">
        <f>Currency&amp;$D$1&amp;$E$1&amp;$D81&amp;QuoteSuffix</f>
        <v>EURFUT1MM0_Quote</v>
      </c>
      <c r="F81" s="156" t="str">
        <f>_xll.qlSimpleQuote(E81,,PriceTickValue,Permanent,Trigger,ObjectOverwrite)</f>
        <v>EURFUT1MM0_Quote#0030</v>
      </c>
      <c r="G81" s="119" t="str">
        <f>_xll.ohRangeRetrieveError(F81)</f>
        <v/>
      </c>
      <c r="H81" s="155"/>
    </row>
    <row r="82" spans="1:8" x14ac:dyDescent="0.2">
      <c r="A82" s="160"/>
      <c r="B82" s="121">
        <v>80</v>
      </c>
      <c r="C82" s="159" t="b">
        <v>0</v>
      </c>
      <c r="D82" s="158" t="str">
        <v>N0</v>
      </c>
      <c r="E82" s="157" t="str">
        <f>Currency&amp;$D$1&amp;$E$1&amp;$D82&amp;QuoteSuffix</f>
        <v>EURFUT1MN0_Quote</v>
      </c>
      <c r="F82" s="156" t="str">
        <f>_xll.qlSimpleQuote(E82,,PriceTickValue,Permanent,Trigger,ObjectOverwrite)</f>
        <v>EURFUT1MN0_Quote#0030</v>
      </c>
      <c r="G82" s="119" t="str">
        <f>_xll.ohRangeRetrieveError(F82)</f>
        <v/>
      </c>
      <c r="H82" s="155"/>
    </row>
    <row r="83" spans="1:8" x14ac:dyDescent="0.2">
      <c r="A83" s="160"/>
      <c r="B83" s="121">
        <v>81</v>
      </c>
      <c r="C83" s="159" t="b">
        <v>0</v>
      </c>
      <c r="D83" s="158" t="str">
        <v>Q0</v>
      </c>
      <c r="E83" s="157" t="str">
        <f>Currency&amp;$D$1&amp;$E$1&amp;$D83&amp;QuoteSuffix</f>
        <v>EURFUT1MQ0_Quote</v>
      </c>
      <c r="F83" s="156" t="str">
        <f>_xll.qlSimpleQuote(E83,,PriceTickValue,Permanent,Trigger,ObjectOverwrite)</f>
        <v>EURFUT1MQ0_Quote#0030</v>
      </c>
      <c r="G83" s="119" t="str">
        <f>_xll.ohRangeRetrieveError(F83)</f>
        <v/>
      </c>
      <c r="H83" s="155"/>
    </row>
    <row r="84" spans="1:8" x14ac:dyDescent="0.2">
      <c r="A84" s="160"/>
      <c r="B84" s="121">
        <v>82</v>
      </c>
      <c r="C84" s="159" t="b">
        <v>0</v>
      </c>
      <c r="D84" s="158" t="str">
        <v>U0</v>
      </c>
      <c r="E84" s="157" t="str">
        <f>Currency&amp;$D$1&amp;$E$1&amp;$D84&amp;QuoteSuffix</f>
        <v>EURFUT1MU0_Quote</v>
      </c>
      <c r="F84" s="156" t="str">
        <f>_xll.qlSimpleQuote(E84,,PriceTickValue,Permanent,Trigger,ObjectOverwrite)</f>
        <v>EURFUT1MU0_Quote#0030</v>
      </c>
      <c r="G84" s="119" t="str">
        <f>_xll.ohRangeRetrieveError(F84)</f>
        <v/>
      </c>
      <c r="H84" s="155"/>
    </row>
    <row r="85" spans="1:8" x14ac:dyDescent="0.2">
      <c r="A85" s="160"/>
      <c r="B85" s="121">
        <v>83</v>
      </c>
      <c r="C85" s="159" t="b">
        <v>0</v>
      </c>
      <c r="D85" s="158" t="str">
        <v>V0</v>
      </c>
      <c r="E85" s="157" t="str">
        <f>Currency&amp;$D$1&amp;$E$1&amp;$D85&amp;QuoteSuffix</f>
        <v>EURFUT1MV0_Quote</v>
      </c>
      <c r="F85" s="156" t="str">
        <f>_xll.qlSimpleQuote(E85,,PriceTickValue,Permanent,Trigger,ObjectOverwrite)</f>
        <v>EURFUT1MV0_Quote#0030</v>
      </c>
      <c r="G85" s="119" t="str">
        <f>_xll.ohRangeRetrieveError(F85)</f>
        <v/>
      </c>
      <c r="H85" s="155"/>
    </row>
    <row r="86" spans="1:8" x14ac:dyDescent="0.2">
      <c r="A86" s="160"/>
      <c r="B86" s="121">
        <v>84</v>
      </c>
      <c r="C86" s="159" t="b">
        <v>0</v>
      </c>
      <c r="D86" s="158" t="str">
        <v>X0</v>
      </c>
      <c r="E86" s="157" t="str">
        <f>Currency&amp;$D$1&amp;$E$1&amp;$D86&amp;QuoteSuffix</f>
        <v>EURFUT1MX0_Quote</v>
      </c>
      <c r="F86" s="156" t="str">
        <f>_xll.qlSimpleQuote(E86,,PriceTickValue,Permanent,Trigger,ObjectOverwrite)</f>
        <v>EURFUT1MX0_Quote#0030</v>
      </c>
      <c r="G86" s="119" t="str">
        <f>_xll.ohRangeRetrieveError(F86)</f>
        <v/>
      </c>
      <c r="H86" s="155"/>
    </row>
    <row r="87" spans="1:8" x14ac:dyDescent="0.2">
      <c r="A87" s="160"/>
      <c r="B87" s="121">
        <v>85</v>
      </c>
      <c r="C87" s="159" t="b">
        <v>0</v>
      </c>
      <c r="D87" s="158" t="str">
        <v>Z0</v>
      </c>
      <c r="E87" s="157" t="str">
        <f>Currency&amp;$D$1&amp;$E$1&amp;$D87&amp;QuoteSuffix</f>
        <v>EURFUT1MZ0_Quote</v>
      </c>
      <c r="F87" s="156" t="str">
        <f>_xll.qlSimpleQuote(E87,,PriceTickValue,Permanent,Trigger,ObjectOverwrite)</f>
        <v>EURFUT1MZ0_Quote#0030</v>
      </c>
      <c r="G87" s="119" t="str">
        <f>_xll.ohRangeRetrieveError(F87)</f>
        <v/>
      </c>
      <c r="H87" s="155"/>
    </row>
    <row r="88" spans="1:8" x14ac:dyDescent="0.2">
      <c r="A88" s="160"/>
      <c r="B88" s="121">
        <v>86</v>
      </c>
      <c r="C88" s="159" t="b">
        <v>0</v>
      </c>
      <c r="D88" s="158" t="str">
        <v>F1</v>
      </c>
      <c r="E88" s="157" t="str">
        <f>Currency&amp;$D$1&amp;$E$1&amp;$D88&amp;QuoteSuffix</f>
        <v>EURFUT1MF1_Quote</v>
      </c>
      <c r="F88" s="156" t="str">
        <f>_xll.qlSimpleQuote(E88,,PriceTickValue,Permanent,Trigger,ObjectOverwrite)</f>
        <v>EURFUT1MF1_Quote#0030</v>
      </c>
      <c r="G88" s="119" t="str">
        <f>_xll.ohRangeRetrieveError(F88)</f>
        <v/>
      </c>
      <c r="H88" s="155"/>
    </row>
    <row r="89" spans="1:8" x14ac:dyDescent="0.2">
      <c r="A89" s="160"/>
      <c r="B89" s="121">
        <v>87</v>
      </c>
      <c r="C89" s="159" t="b">
        <v>0</v>
      </c>
      <c r="D89" s="158" t="str">
        <v>G1</v>
      </c>
      <c r="E89" s="157" t="str">
        <f>Currency&amp;$D$1&amp;$E$1&amp;$D89&amp;QuoteSuffix</f>
        <v>EURFUT1MG1_Quote</v>
      </c>
      <c r="F89" s="156" t="str">
        <f>_xll.qlSimpleQuote(E89,,PriceTickValue,Permanent,Trigger,ObjectOverwrite)</f>
        <v>EURFUT1MG1_Quote#0030</v>
      </c>
      <c r="G89" s="119" t="str">
        <f>_xll.ohRangeRetrieveError(F89)</f>
        <v/>
      </c>
      <c r="H89" s="155"/>
    </row>
    <row r="90" spans="1:8" x14ac:dyDescent="0.2">
      <c r="A90" s="160"/>
      <c r="B90" s="121">
        <v>88</v>
      </c>
      <c r="C90" s="159" t="b">
        <v>0</v>
      </c>
      <c r="D90" s="158" t="str">
        <v>H1</v>
      </c>
      <c r="E90" s="157" t="str">
        <f>Currency&amp;$D$1&amp;$E$1&amp;$D90&amp;QuoteSuffix</f>
        <v>EURFUT1MH1_Quote</v>
      </c>
      <c r="F90" s="156" t="str">
        <f>_xll.qlSimpleQuote(E90,,PriceTickValue,Permanent,Trigger,ObjectOverwrite)</f>
        <v>EURFUT1MH1_Quote#0030</v>
      </c>
      <c r="G90" s="119" t="str">
        <f>_xll.ohRangeRetrieveError(F90)</f>
        <v/>
      </c>
      <c r="H90" s="155"/>
    </row>
    <row r="91" spans="1:8" x14ac:dyDescent="0.2">
      <c r="A91" s="160"/>
      <c r="B91" s="121">
        <v>89</v>
      </c>
      <c r="C91" s="159" t="b">
        <v>0</v>
      </c>
      <c r="D91" s="158" t="str">
        <v>J1</v>
      </c>
      <c r="E91" s="157" t="str">
        <f>Currency&amp;$D$1&amp;$E$1&amp;$D91&amp;QuoteSuffix</f>
        <v>EURFUT1MJ1_Quote</v>
      </c>
      <c r="F91" s="156" t="str">
        <f>_xll.qlSimpleQuote(E91,,PriceTickValue,Permanent,Trigger,ObjectOverwrite)</f>
        <v>EURFUT1MJ1_Quote#0030</v>
      </c>
      <c r="G91" s="119" t="str">
        <f>_xll.ohRangeRetrieveError(F91)</f>
        <v/>
      </c>
      <c r="H91" s="155"/>
    </row>
    <row r="92" spans="1:8" x14ac:dyDescent="0.2">
      <c r="A92" s="160"/>
      <c r="B92" s="121">
        <v>90</v>
      </c>
      <c r="C92" s="159" t="b">
        <v>0</v>
      </c>
      <c r="D92" s="158" t="str">
        <v>K1</v>
      </c>
      <c r="E92" s="157" t="str">
        <f>Currency&amp;$D$1&amp;$E$1&amp;$D92&amp;QuoteSuffix</f>
        <v>EURFUT1MK1_Quote</v>
      </c>
      <c r="F92" s="156" t="str">
        <f>_xll.qlSimpleQuote(E92,,PriceTickValue,Permanent,Trigger,ObjectOverwrite)</f>
        <v>EURFUT1MK1_Quote#0030</v>
      </c>
      <c r="G92" s="119" t="str">
        <f>_xll.ohRangeRetrieveError(F92)</f>
        <v/>
      </c>
      <c r="H92" s="155"/>
    </row>
    <row r="93" spans="1:8" x14ac:dyDescent="0.2">
      <c r="A93" s="160"/>
      <c r="B93" s="121">
        <v>91</v>
      </c>
      <c r="C93" s="159" t="b">
        <v>0</v>
      </c>
      <c r="D93" s="158" t="str">
        <v>M1</v>
      </c>
      <c r="E93" s="157" t="str">
        <f>Currency&amp;$D$1&amp;$E$1&amp;$D93&amp;QuoteSuffix</f>
        <v>EURFUT1MM1_Quote</v>
      </c>
      <c r="F93" s="156" t="str">
        <f>_xll.qlSimpleQuote(E93,,PriceTickValue,Permanent,Trigger,ObjectOverwrite)</f>
        <v>EURFUT1MM1_Quote#0030</v>
      </c>
      <c r="G93" s="119" t="str">
        <f>_xll.ohRangeRetrieveError(F93)</f>
        <v/>
      </c>
      <c r="H93" s="155"/>
    </row>
    <row r="94" spans="1:8" x14ac:dyDescent="0.2">
      <c r="A94" s="160"/>
      <c r="B94" s="121">
        <v>92</v>
      </c>
      <c r="C94" s="159" t="b">
        <v>0</v>
      </c>
      <c r="D94" s="158" t="str">
        <v>N1</v>
      </c>
      <c r="E94" s="157" t="str">
        <f>Currency&amp;$D$1&amp;$E$1&amp;$D94&amp;QuoteSuffix</f>
        <v>EURFUT1MN1_Quote</v>
      </c>
      <c r="F94" s="156" t="str">
        <f>_xll.qlSimpleQuote(E94,,PriceTickValue,Permanent,Trigger,ObjectOverwrite)</f>
        <v>EURFUT1MN1_Quote#0030</v>
      </c>
      <c r="G94" s="119" t="str">
        <f>_xll.ohRangeRetrieveError(F94)</f>
        <v/>
      </c>
      <c r="H94" s="155"/>
    </row>
    <row r="95" spans="1:8" x14ac:dyDescent="0.2">
      <c r="A95" s="160"/>
      <c r="B95" s="121">
        <v>93</v>
      </c>
      <c r="C95" s="159" t="b">
        <v>0</v>
      </c>
      <c r="D95" s="158" t="str">
        <v>Q1</v>
      </c>
      <c r="E95" s="157" t="str">
        <f>Currency&amp;$D$1&amp;$E$1&amp;$D95&amp;QuoteSuffix</f>
        <v>EURFUT1MQ1_Quote</v>
      </c>
      <c r="F95" s="156" t="str">
        <f>_xll.qlSimpleQuote(E95,,PriceTickValue,Permanent,Trigger,ObjectOverwrite)</f>
        <v>EURFUT1MQ1_Quote#0030</v>
      </c>
      <c r="G95" s="119" t="str">
        <f>_xll.ohRangeRetrieveError(F95)</f>
        <v/>
      </c>
      <c r="H95" s="155"/>
    </row>
    <row r="96" spans="1:8" x14ac:dyDescent="0.2">
      <c r="A96" s="160"/>
      <c r="B96" s="121">
        <v>94</v>
      </c>
      <c r="C96" s="159" t="b">
        <v>0</v>
      </c>
      <c r="D96" s="158" t="str">
        <v>U1</v>
      </c>
      <c r="E96" s="157" t="str">
        <f>Currency&amp;$D$1&amp;$E$1&amp;$D96&amp;QuoteSuffix</f>
        <v>EURFUT1MU1_Quote</v>
      </c>
      <c r="F96" s="156" t="str">
        <f>_xll.qlSimpleQuote(E96,,PriceTickValue,Permanent,Trigger,ObjectOverwrite)</f>
        <v>EURFUT1MU1_Quote#0030</v>
      </c>
      <c r="G96" s="119" t="str">
        <f>_xll.ohRangeRetrieveError(F96)</f>
        <v/>
      </c>
      <c r="H96" s="155"/>
    </row>
    <row r="97" spans="1:8" x14ac:dyDescent="0.2">
      <c r="A97" s="160"/>
      <c r="B97" s="121">
        <v>95</v>
      </c>
      <c r="C97" s="159" t="b">
        <v>0</v>
      </c>
      <c r="D97" s="158" t="str">
        <v>V1</v>
      </c>
      <c r="E97" s="157" t="str">
        <f>Currency&amp;$D$1&amp;$E$1&amp;$D97&amp;QuoteSuffix</f>
        <v>EURFUT1MV1_Quote</v>
      </c>
      <c r="F97" s="156" t="str">
        <f>_xll.qlSimpleQuote(E97,,PriceTickValue,Permanent,Trigger,ObjectOverwrite)</f>
        <v>EURFUT1MV1_Quote#0030</v>
      </c>
      <c r="G97" s="119" t="str">
        <f>_xll.ohRangeRetrieveError(F97)</f>
        <v/>
      </c>
      <c r="H97" s="155"/>
    </row>
    <row r="98" spans="1:8" x14ac:dyDescent="0.2">
      <c r="A98" s="160"/>
      <c r="B98" s="121">
        <v>96</v>
      </c>
      <c r="C98" s="159" t="b">
        <v>0</v>
      </c>
      <c r="D98" s="158" t="str">
        <v>X1</v>
      </c>
      <c r="E98" s="157" t="str">
        <f>Currency&amp;$D$1&amp;$E$1&amp;$D98&amp;QuoteSuffix</f>
        <v>EURFUT1MX1_Quote</v>
      </c>
      <c r="F98" s="156" t="str">
        <f>_xll.qlSimpleQuote(E98,,PriceTickValue,Permanent,Trigger,ObjectOverwrite)</f>
        <v>EURFUT1MX1_Quote#0030</v>
      </c>
      <c r="G98" s="119" t="str">
        <f>_xll.ohRangeRetrieveError(F98)</f>
        <v/>
      </c>
      <c r="H98" s="155"/>
    </row>
    <row r="99" spans="1:8" x14ac:dyDescent="0.2">
      <c r="A99" s="160"/>
      <c r="B99" s="121">
        <v>97</v>
      </c>
      <c r="C99" s="159" t="b">
        <v>0</v>
      </c>
      <c r="D99" s="158" t="str">
        <v>Z1</v>
      </c>
      <c r="E99" s="157" t="str">
        <f>Currency&amp;$D$1&amp;$E$1&amp;$D99&amp;QuoteSuffix</f>
        <v>EURFUT1MZ1_Quote</v>
      </c>
      <c r="F99" s="156" t="str">
        <f>_xll.qlSimpleQuote(E99,,PriceTickValue,Permanent,Trigger,ObjectOverwrite)</f>
        <v>EURFUT1MZ1_Quote#0030</v>
      </c>
      <c r="G99" s="119" t="str">
        <f>_xll.ohRangeRetrieveError(F99)</f>
        <v/>
      </c>
      <c r="H99" s="155"/>
    </row>
    <row r="100" spans="1:8" x14ac:dyDescent="0.2">
      <c r="A100" s="160"/>
      <c r="B100" s="121">
        <v>98</v>
      </c>
      <c r="C100" s="159" t="b">
        <v>0</v>
      </c>
      <c r="D100" s="158" t="str">
        <v>F2</v>
      </c>
      <c r="E100" s="157" t="str">
        <f>Currency&amp;$D$1&amp;$E$1&amp;$D100&amp;QuoteSuffix</f>
        <v>EURFUT1MF2_Quote</v>
      </c>
      <c r="F100" s="156" t="str">
        <f>_xll.qlSimpleQuote(E100,,PriceTickValue,Permanent,Trigger,ObjectOverwrite)</f>
        <v>EURFUT1MF2_Quote#0030</v>
      </c>
      <c r="G100" s="119" t="str">
        <f>_xll.ohRangeRetrieveError(F100)</f>
        <v/>
      </c>
      <c r="H100" s="155"/>
    </row>
    <row r="101" spans="1:8" x14ac:dyDescent="0.2">
      <c r="A101" s="160"/>
      <c r="B101" s="121">
        <v>99</v>
      </c>
      <c r="C101" s="159" t="b">
        <v>0</v>
      </c>
      <c r="D101" s="158" t="str">
        <v>G2</v>
      </c>
      <c r="E101" s="157" t="str">
        <f>Currency&amp;$D$1&amp;$E$1&amp;$D101&amp;QuoteSuffix</f>
        <v>EURFUT1MG2_Quote</v>
      </c>
      <c r="F101" s="156" t="str">
        <f>_xll.qlSimpleQuote(E101,,PriceTickValue,Permanent,Trigger,ObjectOverwrite)</f>
        <v>EURFUT1MG2_Quote#0030</v>
      </c>
      <c r="G101" s="119" t="str">
        <f>_xll.ohRangeRetrieveError(F101)</f>
        <v/>
      </c>
      <c r="H101" s="155"/>
    </row>
    <row r="102" spans="1:8" x14ac:dyDescent="0.2">
      <c r="A102" s="160"/>
      <c r="B102" s="121">
        <v>100</v>
      </c>
      <c r="C102" s="159" t="b">
        <v>0</v>
      </c>
      <c r="D102" s="158" t="str">
        <v>H2</v>
      </c>
      <c r="E102" s="157" t="str">
        <f>Currency&amp;$D$1&amp;$E$1&amp;$D102&amp;QuoteSuffix</f>
        <v>EURFUT1MH2_Quote</v>
      </c>
      <c r="F102" s="156" t="str">
        <f>_xll.qlSimpleQuote(E102,,PriceTickValue,Permanent,Trigger,ObjectOverwrite)</f>
        <v>EURFUT1MH2_Quote#0030</v>
      </c>
      <c r="G102" s="119" t="str">
        <f>_xll.ohRangeRetrieveError(F102)</f>
        <v/>
      </c>
      <c r="H102" s="155"/>
    </row>
    <row r="103" spans="1:8" x14ac:dyDescent="0.2">
      <c r="A103" s="160"/>
      <c r="B103" s="121">
        <v>101</v>
      </c>
      <c r="C103" s="159" t="b">
        <v>0</v>
      </c>
      <c r="D103" s="158" t="str">
        <v>J2</v>
      </c>
      <c r="E103" s="157" t="str">
        <f>Currency&amp;$D$1&amp;$E$1&amp;$D103&amp;QuoteSuffix</f>
        <v>EURFUT1MJ2_Quote</v>
      </c>
      <c r="F103" s="156" t="str">
        <f>_xll.qlSimpleQuote(E103,,PriceTickValue,Permanent,Trigger,ObjectOverwrite)</f>
        <v>EURFUT1MJ2_Quote#0030</v>
      </c>
      <c r="G103" s="119" t="str">
        <f>_xll.ohRangeRetrieveError(F103)</f>
        <v/>
      </c>
      <c r="H103" s="155"/>
    </row>
    <row r="104" spans="1:8" x14ac:dyDescent="0.2">
      <c r="A104" s="160"/>
      <c r="B104" s="121">
        <v>102</v>
      </c>
      <c r="C104" s="159" t="b">
        <v>0</v>
      </c>
      <c r="D104" s="158" t="str">
        <v>K2</v>
      </c>
      <c r="E104" s="157" t="str">
        <f>Currency&amp;$D$1&amp;$E$1&amp;$D104&amp;QuoteSuffix</f>
        <v>EURFUT1MK2_Quote</v>
      </c>
      <c r="F104" s="156" t="str">
        <f>_xll.qlSimpleQuote(E104,,PriceTickValue,Permanent,Trigger,ObjectOverwrite)</f>
        <v>EURFUT1MK2_Quote#0030</v>
      </c>
      <c r="G104" s="119" t="str">
        <f>_xll.ohRangeRetrieveError(F104)</f>
        <v/>
      </c>
      <c r="H104" s="155"/>
    </row>
    <row r="105" spans="1:8" x14ac:dyDescent="0.2">
      <c r="A105" s="160"/>
      <c r="B105" s="121">
        <v>103</v>
      </c>
      <c r="C105" s="159" t="b">
        <v>0</v>
      </c>
      <c r="D105" s="158" t="str">
        <v>M2</v>
      </c>
      <c r="E105" s="157" t="str">
        <f>Currency&amp;$D$1&amp;$E$1&amp;$D105&amp;QuoteSuffix</f>
        <v>EURFUT1MM2_Quote</v>
      </c>
      <c r="F105" s="156" t="str">
        <f>_xll.qlSimpleQuote(E105,,PriceTickValue,Permanent,Trigger,ObjectOverwrite)</f>
        <v>EURFUT1MM2_Quote#0030</v>
      </c>
      <c r="G105" s="119" t="str">
        <f>_xll.ohRangeRetrieveError(F105)</f>
        <v/>
      </c>
      <c r="H105" s="155"/>
    </row>
    <row r="106" spans="1:8" x14ac:dyDescent="0.2">
      <c r="A106" s="160"/>
      <c r="B106" s="121">
        <v>104</v>
      </c>
      <c r="C106" s="159" t="b">
        <v>0</v>
      </c>
      <c r="D106" s="158" t="str">
        <v>N2</v>
      </c>
      <c r="E106" s="157" t="str">
        <f>Currency&amp;$D$1&amp;$E$1&amp;$D106&amp;QuoteSuffix</f>
        <v>EURFUT1MN2_Quote</v>
      </c>
      <c r="F106" s="156" t="str">
        <f>_xll.qlSimpleQuote(E106,,PriceTickValue,Permanent,Trigger,ObjectOverwrite)</f>
        <v>EURFUT1MN2_Quote#0030</v>
      </c>
      <c r="G106" s="119" t="str">
        <f>_xll.ohRangeRetrieveError(F106)</f>
        <v/>
      </c>
      <c r="H106" s="155"/>
    </row>
    <row r="107" spans="1:8" x14ac:dyDescent="0.2">
      <c r="A107" s="160"/>
      <c r="B107" s="121">
        <v>105</v>
      </c>
      <c r="C107" s="159" t="b">
        <v>0</v>
      </c>
      <c r="D107" s="158" t="str">
        <v>Q2</v>
      </c>
      <c r="E107" s="157" t="str">
        <f>Currency&amp;$D$1&amp;$E$1&amp;$D107&amp;QuoteSuffix</f>
        <v>EURFUT1MQ2_Quote</v>
      </c>
      <c r="F107" s="156" t="str">
        <f>_xll.qlSimpleQuote(E107,,PriceTickValue,Permanent,Trigger,ObjectOverwrite)</f>
        <v>EURFUT1MQ2_Quote#0030</v>
      </c>
      <c r="G107" s="119" t="str">
        <f>_xll.ohRangeRetrieveError(F107)</f>
        <v/>
      </c>
      <c r="H107" s="155"/>
    </row>
    <row r="108" spans="1:8" x14ac:dyDescent="0.2">
      <c r="A108" s="160"/>
      <c r="B108" s="121">
        <v>106</v>
      </c>
      <c r="C108" s="159" t="b">
        <v>0</v>
      </c>
      <c r="D108" s="158" t="str">
        <v>U2</v>
      </c>
      <c r="E108" s="157" t="str">
        <f>Currency&amp;$D$1&amp;$E$1&amp;$D108&amp;QuoteSuffix</f>
        <v>EURFUT1MU2_Quote</v>
      </c>
      <c r="F108" s="156" t="str">
        <f>_xll.qlSimpleQuote(E108,,PriceTickValue,Permanent,Trigger,ObjectOverwrite)</f>
        <v>EURFUT1MU2_Quote#0030</v>
      </c>
      <c r="G108" s="119" t="str">
        <f>_xll.ohRangeRetrieveError(F108)</f>
        <v/>
      </c>
      <c r="H108" s="155"/>
    </row>
    <row r="109" spans="1:8" x14ac:dyDescent="0.2">
      <c r="A109" s="160"/>
      <c r="B109" s="121">
        <v>107</v>
      </c>
      <c r="C109" s="159" t="b">
        <v>0</v>
      </c>
      <c r="D109" s="158" t="str">
        <v>V2</v>
      </c>
      <c r="E109" s="157" t="str">
        <f>Currency&amp;$D$1&amp;$E$1&amp;$D109&amp;QuoteSuffix</f>
        <v>EURFUT1MV2_Quote</v>
      </c>
      <c r="F109" s="156" t="str">
        <f>_xll.qlSimpleQuote(E109,,PriceTickValue,Permanent,Trigger,ObjectOverwrite)</f>
        <v>EURFUT1MV2_Quote#0030</v>
      </c>
      <c r="G109" s="119" t="str">
        <f>_xll.ohRangeRetrieveError(F109)</f>
        <v/>
      </c>
      <c r="H109" s="155"/>
    </row>
    <row r="110" spans="1:8" x14ac:dyDescent="0.2">
      <c r="A110" s="160"/>
      <c r="B110" s="121">
        <v>108</v>
      </c>
      <c r="C110" s="159" t="b">
        <v>0</v>
      </c>
      <c r="D110" s="158" t="str">
        <v>X2</v>
      </c>
      <c r="E110" s="157" t="str">
        <f>Currency&amp;$D$1&amp;$E$1&amp;$D110&amp;QuoteSuffix</f>
        <v>EURFUT1MX2_Quote</v>
      </c>
      <c r="F110" s="156" t="str">
        <f>_xll.qlSimpleQuote(E110,,PriceTickValue,Permanent,Trigger,ObjectOverwrite)</f>
        <v>EURFUT1MX2_Quote#0030</v>
      </c>
      <c r="G110" s="119" t="str">
        <f>_xll.ohRangeRetrieveError(F110)</f>
        <v/>
      </c>
      <c r="H110" s="155"/>
    </row>
    <row r="111" spans="1:8" x14ac:dyDescent="0.2">
      <c r="A111" s="160"/>
      <c r="B111" s="121">
        <v>109</v>
      </c>
      <c r="C111" s="159" t="b">
        <v>0</v>
      </c>
      <c r="D111" s="158" t="str">
        <v>Z2</v>
      </c>
      <c r="E111" s="157" t="str">
        <f>Currency&amp;$D$1&amp;$E$1&amp;$D111&amp;QuoteSuffix</f>
        <v>EURFUT1MZ2_Quote</v>
      </c>
      <c r="F111" s="156" t="str">
        <f>_xll.qlSimpleQuote(E111,,PriceTickValue,Permanent,Trigger,ObjectOverwrite)</f>
        <v>EURFUT1MZ2_Quote#0030</v>
      </c>
      <c r="G111" s="119" t="str">
        <f>_xll.ohRangeRetrieveError(F111)</f>
        <v/>
      </c>
      <c r="H111" s="155"/>
    </row>
    <row r="112" spans="1:8" x14ac:dyDescent="0.2">
      <c r="A112" s="160"/>
      <c r="B112" s="121">
        <v>110</v>
      </c>
      <c r="C112" s="159" t="b">
        <v>0</v>
      </c>
      <c r="D112" s="158" t="str">
        <v>F3</v>
      </c>
      <c r="E112" s="157" t="str">
        <f>Currency&amp;$D$1&amp;$E$1&amp;$D112&amp;QuoteSuffix</f>
        <v>EURFUT1MF3_Quote</v>
      </c>
      <c r="F112" s="156" t="str">
        <f>_xll.qlSimpleQuote(E112,,PriceTickValue,Permanent,Trigger,ObjectOverwrite)</f>
        <v>EURFUT1MF3_Quote#0030</v>
      </c>
      <c r="G112" s="119" t="str">
        <f>_xll.ohRangeRetrieveError(F112)</f>
        <v/>
      </c>
      <c r="H112" s="155"/>
    </row>
    <row r="113" spans="1:8" x14ac:dyDescent="0.2">
      <c r="A113" s="160"/>
      <c r="B113" s="121">
        <v>111</v>
      </c>
      <c r="C113" s="159" t="b">
        <v>0</v>
      </c>
      <c r="D113" s="158" t="str">
        <v>G3</v>
      </c>
      <c r="E113" s="157" t="str">
        <f>Currency&amp;$D$1&amp;$E$1&amp;$D113&amp;QuoteSuffix</f>
        <v>EURFUT1MG3_Quote</v>
      </c>
      <c r="F113" s="156" t="str">
        <f>_xll.qlSimpleQuote(E113,,PriceTickValue,Permanent,Trigger,ObjectOverwrite)</f>
        <v>EURFUT1MG3_Quote#0030</v>
      </c>
      <c r="G113" s="119" t="str">
        <f>_xll.ohRangeRetrieveError(F113)</f>
        <v/>
      </c>
      <c r="H113" s="155"/>
    </row>
    <row r="114" spans="1:8" x14ac:dyDescent="0.2">
      <c r="A114" s="160"/>
      <c r="B114" s="121">
        <v>112</v>
      </c>
      <c r="C114" s="159" t="b">
        <v>0</v>
      </c>
      <c r="D114" s="158" t="str">
        <v>H3</v>
      </c>
      <c r="E114" s="157" t="str">
        <f>Currency&amp;$D$1&amp;$E$1&amp;$D114&amp;QuoteSuffix</f>
        <v>EURFUT1MH3_Quote</v>
      </c>
      <c r="F114" s="156" t="str">
        <f>_xll.qlSimpleQuote(E114,,PriceTickValue,Permanent,Trigger,ObjectOverwrite)</f>
        <v>EURFUT1MH3_Quote#0030</v>
      </c>
      <c r="G114" s="119" t="str">
        <f>_xll.ohRangeRetrieveError(F114)</f>
        <v/>
      </c>
      <c r="H114" s="155"/>
    </row>
    <row r="115" spans="1:8" x14ac:dyDescent="0.2">
      <c r="A115" s="160"/>
      <c r="B115" s="121">
        <v>113</v>
      </c>
      <c r="C115" s="159" t="b">
        <v>0</v>
      </c>
      <c r="D115" s="158" t="str">
        <v>J3</v>
      </c>
      <c r="E115" s="157" t="str">
        <f>Currency&amp;$D$1&amp;$E$1&amp;$D115&amp;QuoteSuffix</f>
        <v>EURFUT1MJ3_Quote</v>
      </c>
      <c r="F115" s="156" t="str">
        <f>_xll.qlSimpleQuote(E115,,PriceTickValue,Permanent,Trigger,ObjectOverwrite)</f>
        <v>EURFUT1MJ3_Quote#0030</v>
      </c>
      <c r="G115" s="119" t="str">
        <f>_xll.ohRangeRetrieveError(F115)</f>
        <v/>
      </c>
      <c r="H115" s="155"/>
    </row>
    <row r="116" spans="1:8" x14ac:dyDescent="0.2">
      <c r="A116" s="160"/>
      <c r="B116" s="121">
        <v>114</v>
      </c>
      <c r="C116" s="159" t="b">
        <v>0</v>
      </c>
      <c r="D116" s="158" t="str">
        <v>K3</v>
      </c>
      <c r="E116" s="157" t="str">
        <f>Currency&amp;$D$1&amp;$E$1&amp;$D116&amp;QuoteSuffix</f>
        <v>EURFUT1MK3_Quote</v>
      </c>
      <c r="F116" s="156" t="str">
        <f>_xll.qlSimpleQuote(E116,,PriceTickValue,Permanent,Trigger,ObjectOverwrite)</f>
        <v>EURFUT1MK3_Quote#0030</v>
      </c>
      <c r="G116" s="119" t="str">
        <f>_xll.ohRangeRetrieveError(F116)</f>
        <v/>
      </c>
      <c r="H116" s="155"/>
    </row>
    <row r="117" spans="1:8" x14ac:dyDescent="0.2">
      <c r="A117" s="160"/>
      <c r="B117" s="121">
        <v>115</v>
      </c>
      <c r="C117" s="159" t="b">
        <v>0</v>
      </c>
      <c r="D117" s="158" t="str">
        <v>M3</v>
      </c>
      <c r="E117" s="157" t="str">
        <f>Currency&amp;$D$1&amp;$E$1&amp;$D117&amp;QuoteSuffix</f>
        <v>EURFUT1MM3_Quote</v>
      </c>
      <c r="F117" s="156" t="str">
        <f>_xll.qlSimpleQuote(E117,,PriceTickValue,Permanent,Trigger,ObjectOverwrite)</f>
        <v>EURFUT1MM3_Quote#0030</v>
      </c>
      <c r="G117" s="119" t="str">
        <f>_xll.ohRangeRetrieveError(F117)</f>
        <v/>
      </c>
      <c r="H117" s="155"/>
    </row>
    <row r="118" spans="1:8" x14ac:dyDescent="0.2">
      <c r="A118" s="160"/>
      <c r="B118" s="121">
        <v>116</v>
      </c>
      <c r="C118" s="159" t="b">
        <v>0</v>
      </c>
      <c r="D118" s="158" t="str">
        <v>N3</v>
      </c>
      <c r="E118" s="157" t="str">
        <f>Currency&amp;$D$1&amp;$E$1&amp;$D118&amp;QuoteSuffix</f>
        <v>EURFUT1MN3_Quote</v>
      </c>
      <c r="F118" s="156" t="str">
        <f>_xll.qlSimpleQuote(E118,,PriceTickValue,Permanent,Trigger,ObjectOverwrite)</f>
        <v>EURFUT1MN3_Quote#0030</v>
      </c>
      <c r="G118" s="119" t="str">
        <f>_xll.ohRangeRetrieveError(F118)</f>
        <v/>
      </c>
      <c r="H118" s="155"/>
    </row>
    <row r="119" spans="1:8" x14ac:dyDescent="0.2">
      <c r="A119" s="160"/>
      <c r="B119" s="121">
        <v>117</v>
      </c>
      <c r="C119" s="159" t="b">
        <v>0</v>
      </c>
      <c r="D119" s="158" t="str">
        <v>Q3</v>
      </c>
      <c r="E119" s="157" t="str">
        <f>Currency&amp;$D$1&amp;$E$1&amp;$D119&amp;QuoteSuffix</f>
        <v>EURFUT1MQ3_Quote</v>
      </c>
      <c r="F119" s="156" t="str">
        <f>_xll.qlSimpleQuote(E119,,PriceTickValue,Permanent,Trigger,ObjectOverwrite)</f>
        <v>EURFUT1MQ3_Quote#0030</v>
      </c>
      <c r="G119" s="119" t="str">
        <f>_xll.ohRangeRetrieveError(F119)</f>
        <v/>
      </c>
      <c r="H119" s="155"/>
    </row>
    <row r="120" spans="1:8" x14ac:dyDescent="0.2">
      <c r="A120" s="160"/>
      <c r="B120" s="121">
        <v>118</v>
      </c>
      <c r="C120" s="159" t="b">
        <v>0</v>
      </c>
      <c r="D120" s="158" t="str">
        <v>U3</v>
      </c>
      <c r="E120" s="157" t="str">
        <f>Currency&amp;$D$1&amp;$E$1&amp;$D120&amp;QuoteSuffix</f>
        <v>EURFUT1MU3_Quote</v>
      </c>
      <c r="F120" s="156" t="str">
        <f>_xll.qlSimpleQuote(E120,,PriceTickValue,Permanent,Trigger,ObjectOverwrite)</f>
        <v>EURFUT1MU3_Quote#0030</v>
      </c>
      <c r="G120" s="119" t="str">
        <f>_xll.ohRangeRetrieveError(F120)</f>
        <v/>
      </c>
      <c r="H120" s="155"/>
    </row>
    <row r="121" spans="1:8" x14ac:dyDescent="0.2">
      <c r="A121" s="160"/>
      <c r="B121" s="121">
        <v>119</v>
      </c>
      <c r="C121" s="159" t="b">
        <v>0</v>
      </c>
      <c r="D121" s="158" t="str">
        <v>V3</v>
      </c>
      <c r="E121" s="157" t="str">
        <f>Currency&amp;$D$1&amp;$E$1&amp;$D121&amp;QuoteSuffix</f>
        <v>EURFUT1MV3_Quote</v>
      </c>
      <c r="F121" s="156" t="str">
        <f>_xll.qlSimpleQuote(E121,,PriceTickValue,Permanent,Trigger,ObjectOverwrite)</f>
        <v>EURFUT1MV3_Quote#0030</v>
      </c>
      <c r="G121" s="119" t="str">
        <f>_xll.ohRangeRetrieveError(F121)</f>
        <v/>
      </c>
      <c r="H121" s="155"/>
    </row>
    <row r="122" spans="1:8" x14ac:dyDescent="0.2">
      <c r="A122" s="160"/>
      <c r="B122" s="121">
        <v>120</v>
      </c>
      <c r="C122" s="159" t="b">
        <v>0</v>
      </c>
      <c r="D122" s="158" t="str">
        <v>X3</v>
      </c>
      <c r="E122" s="157" t="str">
        <f>Currency&amp;$D$1&amp;$E$1&amp;$D122&amp;QuoteSuffix</f>
        <v>EURFUT1MX3_Quote</v>
      </c>
      <c r="F122" s="156" t="str">
        <f>_xll.qlSimpleQuote(E122,,PriceTickValue,Permanent,Trigger,ObjectOverwrite)</f>
        <v>EURFUT1MX3_Quote#0030</v>
      </c>
      <c r="G122" s="119" t="str">
        <f>_xll.ohRangeRetrieveError(F122)</f>
        <v/>
      </c>
      <c r="H122" s="155"/>
    </row>
    <row r="123" spans="1:8" ht="12" thickBot="1" x14ac:dyDescent="0.25">
      <c r="A123" s="154"/>
      <c r="B123" s="153"/>
      <c r="C123" s="153"/>
      <c r="D123" s="153"/>
      <c r="E123" s="153"/>
      <c r="F123" s="153"/>
      <c r="G123" s="153"/>
      <c r="H123" s="152"/>
    </row>
  </sheetData>
  <pageMargins left="0.75" right="0.75" top="1" bottom="1" header="0.5" footer="0.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3"/>
  <sheetViews>
    <sheetView workbookViewId="0"/>
  </sheetViews>
  <sheetFormatPr defaultRowHeight="11.25" x14ac:dyDescent="0.2"/>
  <cols>
    <col min="1" max="1" width="3.28515625" style="77" customWidth="1"/>
    <col min="2" max="2" width="3.5703125" style="77" bestFit="1" customWidth="1"/>
    <col min="3" max="3" width="5.7109375" style="77" bestFit="1" customWidth="1"/>
    <col min="4" max="4" width="6.140625" style="77" bestFit="1" customWidth="1"/>
    <col min="5" max="5" width="19.140625" style="77" bestFit="1" customWidth="1"/>
    <col min="6" max="6" width="20.140625" style="77" bestFit="1" customWidth="1"/>
    <col min="7" max="7" width="33.85546875" style="77" customWidth="1"/>
    <col min="8" max="8" width="4.5703125" style="77" customWidth="1"/>
    <col min="9" max="16384" width="9.140625" style="77"/>
  </cols>
  <sheetData>
    <row r="1" spans="1:8" x14ac:dyDescent="0.2">
      <c r="A1" s="171" t="s">
        <v>191</v>
      </c>
      <c r="B1" s="170"/>
      <c r="C1" s="170"/>
      <c r="D1" s="169" t="s">
        <v>189</v>
      </c>
      <c r="E1" s="169" t="s">
        <v>43</v>
      </c>
      <c r="F1" s="168"/>
      <c r="G1" s="168"/>
      <c r="H1" s="167"/>
    </row>
    <row r="2" spans="1:8" ht="22.5" x14ac:dyDescent="0.2">
      <c r="A2" s="166"/>
      <c r="B2" s="102" t="s">
        <v>188</v>
      </c>
      <c r="C2" s="103" t="s">
        <v>187</v>
      </c>
      <c r="D2" s="103" t="s">
        <v>186</v>
      </c>
      <c r="E2" s="101" t="str">
        <f>Currency&amp;"_010_"&amp;$D$1&amp;$E$1&amp;".xml"</f>
        <v>EUR_010_FUT3M.xml</v>
      </c>
      <c r="F2" s="100">
        <f ca="1">IF(Serialize,_xll.ohObjectSave(F3:F122,SerializationPath&amp;E2,FileOverwrite,Serialize),"---")</f>
        <v>120</v>
      </c>
      <c r="G2" s="122" t="str">
        <f ca="1">_xll.ohRangeRetrieveError(F2)</f>
        <v/>
      </c>
      <c r="H2" s="155"/>
    </row>
    <row r="3" spans="1:8" x14ac:dyDescent="0.2">
      <c r="A3" s="160"/>
      <c r="B3" s="165">
        <v>1</v>
      </c>
      <c r="C3" s="164" t="b">
        <v>0</v>
      </c>
      <c r="D3" s="163" t="str">
        <f t="array" ref="D3:D122">_xll.qlIMMNextCodes(_xll.qlSettingsEvaluationDate(Trigger)-1,$C3:$C122)</f>
        <v>Z3</v>
      </c>
      <c r="E3" s="157" t="str">
        <f>Currency&amp;$D$1&amp;$E$1&amp;$D3&amp;QuoteSuffix</f>
        <v>EURFUT3MZ3_Quote</v>
      </c>
      <c r="F3" s="162" t="str">
        <f>_xll.qlSimpleQuote(E3,,PriceTickValue,Permanent,Trigger,ObjectOverwrite)</f>
        <v>EURFUT3MZ3_Quote#0029</v>
      </c>
      <c r="G3" s="161" t="str">
        <f>_xll.ohRangeRetrieveError(F3)</f>
        <v/>
      </c>
      <c r="H3" s="155"/>
    </row>
    <row r="4" spans="1:8" x14ac:dyDescent="0.2">
      <c r="A4" s="160"/>
      <c r="B4" s="121">
        <v>2</v>
      </c>
      <c r="C4" s="159" t="b">
        <v>0</v>
      </c>
      <c r="D4" s="158" t="str">
        <v>F4</v>
      </c>
      <c r="E4" s="157" t="str">
        <f>Currency&amp;$D$1&amp;$E$1&amp;$D4&amp;QuoteSuffix</f>
        <v>EURFUT3MF4_Quote</v>
      </c>
      <c r="F4" s="156" t="str">
        <f>_xll.qlSimpleQuote(E4,,PriceTickValue,Permanent,Trigger,ObjectOverwrite)</f>
        <v>EURFUT3MF4_Quote#0029</v>
      </c>
      <c r="G4" s="119" t="str">
        <f>_xll.ohRangeRetrieveError(F4)</f>
        <v/>
      </c>
      <c r="H4" s="155"/>
    </row>
    <row r="5" spans="1:8" x14ac:dyDescent="0.2">
      <c r="A5" s="160"/>
      <c r="B5" s="121">
        <v>3</v>
      </c>
      <c r="C5" s="159" t="b">
        <v>0</v>
      </c>
      <c r="D5" s="158" t="str">
        <v>G4</v>
      </c>
      <c r="E5" s="157" t="str">
        <f>Currency&amp;$D$1&amp;$E$1&amp;$D5&amp;QuoteSuffix</f>
        <v>EURFUT3MG4_Quote</v>
      </c>
      <c r="F5" s="156" t="str">
        <f>_xll.qlSimpleQuote(E5,,PriceTickValue,Permanent,Trigger,ObjectOverwrite)</f>
        <v>EURFUT3MG4_Quote#0029</v>
      </c>
      <c r="G5" s="119" t="str">
        <f>_xll.ohRangeRetrieveError(F5)</f>
        <v/>
      </c>
      <c r="H5" s="155"/>
    </row>
    <row r="6" spans="1:8" x14ac:dyDescent="0.2">
      <c r="A6" s="160"/>
      <c r="B6" s="121">
        <v>4</v>
      </c>
      <c r="C6" s="159" t="b">
        <v>0</v>
      </c>
      <c r="D6" s="158" t="str">
        <v>H4</v>
      </c>
      <c r="E6" s="157" t="str">
        <f>Currency&amp;$D$1&amp;$E$1&amp;$D6&amp;QuoteSuffix</f>
        <v>EURFUT3MH4_Quote</v>
      </c>
      <c r="F6" s="156" t="str">
        <f>_xll.qlSimpleQuote(E6,,PriceTickValue,Permanent,Trigger,ObjectOverwrite)</f>
        <v>EURFUT3MH4_Quote#0029</v>
      </c>
      <c r="G6" s="119" t="str">
        <f>_xll.ohRangeRetrieveError(F6)</f>
        <v/>
      </c>
      <c r="H6" s="155"/>
    </row>
    <row r="7" spans="1:8" x14ac:dyDescent="0.2">
      <c r="A7" s="160"/>
      <c r="B7" s="121">
        <v>5</v>
      </c>
      <c r="C7" s="159" t="b">
        <v>0</v>
      </c>
      <c r="D7" s="158" t="str">
        <v>J4</v>
      </c>
      <c r="E7" s="157" t="str">
        <f>Currency&amp;$D$1&amp;$E$1&amp;$D7&amp;QuoteSuffix</f>
        <v>EURFUT3MJ4_Quote</v>
      </c>
      <c r="F7" s="156" t="str">
        <f>_xll.qlSimpleQuote(E7,,PriceTickValue,Permanent,Trigger,ObjectOverwrite)</f>
        <v>EURFUT3MJ4_Quote#0029</v>
      </c>
      <c r="G7" s="119" t="str">
        <f>_xll.ohRangeRetrieveError(F7)</f>
        <v/>
      </c>
      <c r="H7" s="155"/>
    </row>
    <row r="8" spans="1:8" x14ac:dyDescent="0.2">
      <c r="A8" s="160"/>
      <c r="B8" s="121">
        <v>6</v>
      </c>
      <c r="C8" s="159" t="b">
        <v>0</v>
      </c>
      <c r="D8" s="158" t="str">
        <v>K4</v>
      </c>
      <c r="E8" s="157" t="str">
        <f>Currency&amp;$D$1&amp;$E$1&amp;$D8&amp;QuoteSuffix</f>
        <v>EURFUT3MK4_Quote</v>
      </c>
      <c r="F8" s="156" t="str">
        <f>_xll.qlSimpleQuote(E8,,PriceTickValue,Permanent,Trigger,ObjectOverwrite)</f>
        <v>EURFUT3MK4_Quote#0029</v>
      </c>
      <c r="G8" s="119" t="str">
        <f>_xll.ohRangeRetrieveError(F8)</f>
        <v/>
      </c>
      <c r="H8" s="155"/>
    </row>
    <row r="9" spans="1:8" x14ac:dyDescent="0.2">
      <c r="A9" s="160"/>
      <c r="B9" s="121">
        <v>7</v>
      </c>
      <c r="C9" s="159" t="b">
        <v>0</v>
      </c>
      <c r="D9" s="158" t="str">
        <v>M4</v>
      </c>
      <c r="E9" s="157" t="str">
        <f>Currency&amp;$D$1&amp;$E$1&amp;$D9&amp;QuoteSuffix</f>
        <v>EURFUT3MM4_Quote</v>
      </c>
      <c r="F9" s="156" t="str">
        <f>_xll.qlSimpleQuote(E9,,PriceTickValue,Permanent,Trigger,ObjectOverwrite)</f>
        <v>EURFUT3MM4_Quote#0029</v>
      </c>
      <c r="G9" s="119" t="str">
        <f>_xll.ohRangeRetrieveError(F9)</f>
        <v/>
      </c>
      <c r="H9" s="155"/>
    </row>
    <row r="10" spans="1:8" x14ac:dyDescent="0.2">
      <c r="A10" s="160"/>
      <c r="B10" s="121">
        <v>8</v>
      </c>
      <c r="C10" s="159" t="b">
        <v>0</v>
      </c>
      <c r="D10" s="158" t="str">
        <v>N4</v>
      </c>
      <c r="E10" s="157" t="str">
        <f>Currency&amp;$D$1&amp;$E$1&amp;$D10&amp;QuoteSuffix</f>
        <v>EURFUT3MN4_Quote</v>
      </c>
      <c r="F10" s="156" t="str">
        <f>_xll.qlSimpleQuote(E10,,PriceTickValue,Permanent,Trigger,ObjectOverwrite)</f>
        <v>EURFUT3MN4_Quote#0029</v>
      </c>
      <c r="G10" s="119" t="str">
        <f>_xll.ohRangeRetrieveError(F10)</f>
        <v/>
      </c>
      <c r="H10" s="155"/>
    </row>
    <row r="11" spans="1:8" x14ac:dyDescent="0.2">
      <c r="A11" s="160"/>
      <c r="B11" s="121">
        <v>9</v>
      </c>
      <c r="C11" s="159" t="b">
        <v>0</v>
      </c>
      <c r="D11" s="158" t="str">
        <v>Q4</v>
      </c>
      <c r="E11" s="157" t="str">
        <f>Currency&amp;$D$1&amp;$E$1&amp;$D11&amp;QuoteSuffix</f>
        <v>EURFUT3MQ4_Quote</v>
      </c>
      <c r="F11" s="156" t="str">
        <f>_xll.qlSimpleQuote(E11,,PriceTickValue,Permanent,Trigger,ObjectOverwrite)</f>
        <v>EURFUT3MQ4_Quote#0029</v>
      </c>
      <c r="G11" s="119" t="str">
        <f>_xll.ohRangeRetrieveError(F11)</f>
        <v/>
      </c>
      <c r="H11" s="155"/>
    </row>
    <row r="12" spans="1:8" x14ac:dyDescent="0.2">
      <c r="A12" s="160"/>
      <c r="B12" s="121">
        <v>10</v>
      </c>
      <c r="C12" s="159" t="b">
        <v>0</v>
      </c>
      <c r="D12" s="158" t="str">
        <v>U4</v>
      </c>
      <c r="E12" s="157" t="str">
        <f>Currency&amp;$D$1&amp;$E$1&amp;$D12&amp;QuoteSuffix</f>
        <v>EURFUT3MU4_Quote</v>
      </c>
      <c r="F12" s="156" t="str">
        <f>_xll.qlSimpleQuote(E12,,PriceTickValue,Permanent,Trigger,ObjectOverwrite)</f>
        <v>EURFUT3MU4_Quote#0029</v>
      </c>
      <c r="G12" s="119" t="str">
        <f>_xll.ohRangeRetrieveError(F12)</f>
        <v/>
      </c>
      <c r="H12" s="155"/>
    </row>
    <row r="13" spans="1:8" x14ac:dyDescent="0.2">
      <c r="A13" s="160"/>
      <c r="B13" s="121">
        <v>11</v>
      </c>
      <c r="C13" s="159" t="b">
        <v>0</v>
      </c>
      <c r="D13" s="158" t="str">
        <v>V4</v>
      </c>
      <c r="E13" s="157" t="str">
        <f>Currency&amp;$D$1&amp;$E$1&amp;$D13&amp;QuoteSuffix</f>
        <v>EURFUT3MV4_Quote</v>
      </c>
      <c r="F13" s="156" t="str">
        <f>_xll.qlSimpleQuote(E13,,PriceTickValue,Permanent,Trigger,ObjectOverwrite)</f>
        <v>EURFUT3MV4_Quote#0029</v>
      </c>
      <c r="G13" s="119" t="str">
        <f>_xll.ohRangeRetrieveError(F13)</f>
        <v/>
      </c>
      <c r="H13" s="155"/>
    </row>
    <row r="14" spans="1:8" x14ac:dyDescent="0.2">
      <c r="A14" s="160"/>
      <c r="B14" s="121">
        <v>12</v>
      </c>
      <c r="C14" s="159" t="b">
        <v>0</v>
      </c>
      <c r="D14" s="158" t="str">
        <v>X4</v>
      </c>
      <c r="E14" s="157" t="str">
        <f>Currency&amp;$D$1&amp;$E$1&amp;$D14&amp;QuoteSuffix</f>
        <v>EURFUT3MX4_Quote</v>
      </c>
      <c r="F14" s="156" t="str">
        <f>_xll.qlSimpleQuote(E14,,PriceTickValue,Permanent,Trigger,ObjectOverwrite)</f>
        <v>EURFUT3MX4_Quote#0029</v>
      </c>
      <c r="G14" s="119" t="str">
        <f>_xll.ohRangeRetrieveError(F14)</f>
        <v/>
      </c>
      <c r="H14" s="155"/>
    </row>
    <row r="15" spans="1:8" x14ac:dyDescent="0.2">
      <c r="A15" s="160"/>
      <c r="B15" s="121">
        <v>13</v>
      </c>
      <c r="C15" s="159" t="b">
        <v>0</v>
      </c>
      <c r="D15" s="158" t="str">
        <v>Z4</v>
      </c>
      <c r="E15" s="157" t="str">
        <f>Currency&amp;$D$1&amp;$E$1&amp;$D15&amp;QuoteSuffix</f>
        <v>EURFUT3MZ4_Quote</v>
      </c>
      <c r="F15" s="156" t="str">
        <f>_xll.qlSimpleQuote(E15,,PriceTickValue,Permanent,Trigger,ObjectOverwrite)</f>
        <v>EURFUT3MZ4_Quote#0029</v>
      </c>
      <c r="G15" s="119" t="str">
        <f>_xll.ohRangeRetrieveError(F15)</f>
        <v/>
      </c>
      <c r="H15" s="155"/>
    </row>
    <row r="16" spans="1:8" x14ac:dyDescent="0.2">
      <c r="A16" s="160"/>
      <c r="B16" s="121">
        <v>14</v>
      </c>
      <c r="C16" s="159" t="b">
        <v>0</v>
      </c>
      <c r="D16" s="158" t="str">
        <v>F5</v>
      </c>
      <c r="E16" s="157" t="str">
        <f>Currency&amp;$D$1&amp;$E$1&amp;$D16&amp;QuoteSuffix</f>
        <v>EURFUT3MF5_Quote</v>
      </c>
      <c r="F16" s="156" t="str">
        <f>_xll.qlSimpleQuote(E16,,PriceTickValue,Permanent,Trigger,ObjectOverwrite)</f>
        <v>EURFUT3MF5_Quote#0029</v>
      </c>
      <c r="G16" s="119" t="str">
        <f>_xll.ohRangeRetrieveError(F16)</f>
        <v/>
      </c>
      <c r="H16" s="155"/>
    </row>
    <row r="17" spans="1:8" x14ac:dyDescent="0.2">
      <c r="A17" s="160"/>
      <c r="B17" s="121">
        <v>15</v>
      </c>
      <c r="C17" s="159" t="b">
        <v>0</v>
      </c>
      <c r="D17" s="158" t="str">
        <v>G5</v>
      </c>
      <c r="E17" s="157" t="str">
        <f>Currency&amp;$D$1&amp;$E$1&amp;$D17&amp;QuoteSuffix</f>
        <v>EURFUT3MG5_Quote</v>
      </c>
      <c r="F17" s="156" t="str">
        <f>_xll.qlSimpleQuote(E17,,PriceTickValue,Permanent,Trigger,ObjectOverwrite)</f>
        <v>EURFUT3MG5_Quote#0029</v>
      </c>
      <c r="G17" s="119" t="str">
        <f>_xll.ohRangeRetrieveError(F17)</f>
        <v/>
      </c>
      <c r="H17" s="155"/>
    </row>
    <row r="18" spans="1:8" x14ac:dyDescent="0.2">
      <c r="A18" s="160"/>
      <c r="B18" s="121">
        <v>16</v>
      </c>
      <c r="C18" s="159" t="b">
        <v>0</v>
      </c>
      <c r="D18" s="158" t="str">
        <v>H5</v>
      </c>
      <c r="E18" s="157" t="str">
        <f>Currency&amp;$D$1&amp;$E$1&amp;$D18&amp;QuoteSuffix</f>
        <v>EURFUT3MH5_Quote</v>
      </c>
      <c r="F18" s="156" t="str">
        <f>_xll.qlSimpleQuote(E18,,PriceTickValue,Permanent,Trigger,ObjectOverwrite)</f>
        <v>EURFUT3MH5_Quote#0029</v>
      </c>
      <c r="G18" s="119" t="str">
        <f>_xll.ohRangeRetrieveError(F18)</f>
        <v/>
      </c>
      <c r="H18" s="155"/>
    </row>
    <row r="19" spans="1:8" x14ac:dyDescent="0.2">
      <c r="A19" s="160"/>
      <c r="B19" s="121">
        <v>17</v>
      </c>
      <c r="C19" s="159" t="b">
        <v>0</v>
      </c>
      <c r="D19" s="158" t="str">
        <v>J5</v>
      </c>
      <c r="E19" s="157" t="str">
        <f>Currency&amp;$D$1&amp;$E$1&amp;$D19&amp;QuoteSuffix</f>
        <v>EURFUT3MJ5_Quote</v>
      </c>
      <c r="F19" s="156" t="str">
        <f>_xll.qlSimpleQuote(E19,,PriceTickValue,Permanent,Trigger,ObjectOverwrite)</f>
        <v>EURFUT3MJ5_Quote#0029</v>
      </c>
      <c r="G19" s="119" t="str">
        <f>_xll.ohRangeRetrieveError(F19)</f>
        <v/>
      </c>
      <c r="H19" s="155"/>
    </row>
    <row r="20" spans="1:8" x14ac:dyDescent="0.2">
      <c r="A20" s="160"/>
      <c r="B20" s="121">
        <v>18</v>
      </c>
      <c r="C20" s="159" t="b">
        <v>0</v>
      </c>
      <c r="D20" s="158" t="str">
        <v>K5</v>
      </c>
      <c r="E20" s="157" t="str">
        <f>Currency&amp;$D$1&amp;$E$1&amp;$D20&amp;QuoteSuffix</f>
        <v>EURFUT3MK5_Quote</v>
      </c>
      <c r="F20" s="156" t="str">
        <f>_xll.qlSimpleQuote(E20,,PriceTickValue,Permanent,Trigger,ObjectOverwrite)</f>
        <v>EURFUT3MK5_Quote#0029</v>
      </c>
      <c r="G20" s="119" t="str">
        <f>_xll.ohRangeRetrieveError(F20)</f>
        <v/>
      </c>
      <c r="H20" s="155"/>
    </row>
    <row r="21" spans="1:8" x14ac:dyDescent="0.2">
      <c r="A21" s="160"/>
      <c r="B21" s="121">
        <v>19</v>
      </c>
      <c r="C21" s="159" t="b">
        <v>0</v>
      </c>
      <c r="D21" s="158" t="str">
        <v>M5</v>
      </c>
      <c r="E21" s="157" t="str">
        <f>Currency&amp;$D$1&amp;$E$1&amp;$D21&amp;QuoteSuffix</f>
        <v>EURFUT3MM5_Quote</v>
      </c>
      <c r="F21" s="156" t="str">
        <f>_xll.qlSimpleQuote(E21,,PriceTickValue,Permanent,Trigger,ObjectOverwrite)</f>
        <v>EURFUT3MM5_Quote#0029</v>
      </c>
      <c r="G21" s="119" t="str">
        <f>_xll.ohRangeRetrieveError(F21)</f>
        <v/>
      </c>
      <c r="H21" s="155"/>
    </row>
    <row r="22" spans="1:8" x14ac:dyDescent="0.2">
      <c r="A22" s="160"/>
      <c r="B22" s="121">
        <v>20</v>
      </c>
      <c r="C22" s="159" t="b">
        <v>0</v>
      </c>
      <c r="D22" s="158" t="str">
        <v>N5</v>
      </c>
      <c r="E22" s="157" t="str">
        <f>Currency&amp;$D$1&amp;$E$1&amp;$D22&amp;QuoteSuffix</f>
        <v>EURFUT3MN5_Quote</v>
      </c>
      <c r="F22" s="156" t="str">
        <f>_xll.qlSimpleQuote(E22,,PriceTickValue,Permanent,Trigger,ObjectOverwrite)</f>
        <v>EURFUT3MN5_Quote#0029</v>
      </c>
      <c r="G22" s="119" t="str">
        <f>_xll.ohRangeRetrieveError(F22)</f>
        <v/>
      </c>
      <c r="H22" s="155"/>
    </row>
    <row r="23" spans="1:8" x14ac:dyDescent="0.2">
      <c r="A23" s="160"/>
      <c r="B23" s="121">
        <v>21</v>
      </c>
      <c r="C23" s="159" t="b">
        <v>0</v>
      </c>
      <c r="D23" s="158" t="str">
        <v>Q5</v>
      </c>
      <c r="E23" s="157" t="str">
        <f>Currency&amp;$D$1&amp;$E$1&amp;$D23&amp;QuoteSuffix</f>
        <v>EURFUT3MQ5_Quote</v>
      </c>
      <c r="F23" s="156" t="str">
        <f>_xll.qlSimpleQuote(E23,,PriceTickValue,Permanent,Trigger,ObjectOverwrite)</f>
        <v>EURFUT3MQ5_Quote#0029</v>
      </c>
      <c r="G23" s="119" t="str">
        <f>_xll.ohRangeRetrieveError(F23)</f>
        <v/>
      </c>
      <c r="H23" s="155"/>
    </row>
    <row r="24" spans="1:8" x14ac:dyDescent="0.2">
      <c r="A24" s="160"/>
      <c r="B24" s="121">
        <v>22</v>
      </c>
      <c r="C24" s="159" t="b">
        <v>0</v>
      </c>
      <c r="D24" s="158" t="str">
        <v>U5</v>
      </c>
      <c r="E24" s="157" t="str">
        <f>Currency&amp;$D$1&amp;$E$1&amp;$D24&amp;QuoteSuffix</f>
        <v>EURFUT3MU5_Quote</v>
      </c>
      <c r="F24" s="156" t="str">
        <f>_xll.qlSimpleQuote(E24,,PriceTickValue,Permanent,Trigger,ObjectOverwrite)</f>
        <v>EURFUT3MU5_Quote#0029</v>
      </c>
      <c r="G24" s="119" t="str">
        <f>_xll.ohRangeRetrieveError(F24)</f>
        <v/>
      </c>
      <c r="H24" s="155"/>
    </row>
    <row r="25" spans="1:8" x14ac:dyDescent="0.2">
      <c r="A25" s="160"/>
      <c r="B25" s="121">
        <v>23</v>
      </c>
      <c r="C25" s="159" t="b">
        <v>0</v>
      </c>
      <c r="D25" s="158" t="str">
        <v>V5</v>
      </c>
      <c r="E25" s="157" t="str">
        <f>Currency&amp;$D$1&amp;$E$1&amp;$D25&amp;QuoteSuffix</f>
        <v>EURFUT3MV5_Quote</v>
      </c>
      <c r="F25" s="156" t="str">
        <f>_xll.qlSimpleQuote(E25,,PriceTickValue,Permanent,Trigger,ObjectOverwrite)</f>
        <v>EURFUT3MV5_Quote#0029</v>
      </c>
      <c r="G25" s="119" t="str">
        <f>_xll.ohRangeRetrieveError(F25)</f>
        <v/>
      </c>
      <c r="H25" s="155"/>
    </row>
    <row r="26" spans="1:8" x14ac:dyDescent="0.2">
      <c r="A26" s="160"/>
      <c r="B26" s="121">
        <v>24</v>
      </c>
      <c r="C26" s="159" t="b">
        <v>0</v>
      </c>
      <c r="D26" s="158" t="str">
        <v>X5</v>
      </c>
      <c r="E26" s="157" t="str">
        <f>Currency&amp;$D$1&amp;$E$1&amp;$D26&amp;QuoteSuffix</f>
        <v>EURFUT3MX5_Quote</v>
      </c>
      <c r="F26" s="156" t="str">
        <f>_xll.qlSimpleQuote(E26,,PriceTickValue,Permanent,Trigger,ObjectOverwrite)</f>
        <v>EURFUT3MX5_Quote#0029</v>
      </c>
      <c r="G26" s="119" t="str">
        <f>_xll.ohRangeRetrieveError(F26)</f>
        <v/>
      </c>
      <c r="H26" s="155"/>
    </row>
    <row r="27" spans="1:8" x14ac:dyDescent="0.2">
      <c r="A27" s="160"/>
      <c r="B27" s="121">
        <v>25</v>
      </c>
      <c r="C27" s="159" t="b">
        <v>0</v>
      </c>
      <c r="D27" s="158" t="str">
        <v>Z5</v>
      </c>
      <c r="E27" s="157" t="str">
        <f>Currency&amp;$D$1&amp;$E$1&amp;$D27&amp;QuoteSuffix</f>
        <v>EURFUT3MZ5_Quote</v>
      </c>
      <c r="F27" s="156" t="str">
        <f>_xll.qlSimpleQuote(E27,,PriceTickValue,Permanent,Trigger,ObjectOverwrite)</f>
        <v>EURFUT3MZ5_Quote#0029</v>
      </c>
      <c r="G27" s="119" t="str">
        <f>_xll.ohRangeRetrieveError(F27)</f>
        <v/>
      </c>
      <c r="H27" s="155"/>
    </row>
    <row r="28" spans="1:8" x14ac:dyDescent="0.2">
      <c r="A28" s="160"/>
      <c r="B28" s="121">
        <v>26</v>
      </c>
      <c r="C28" s="159" t="b">
        <v>0</v>
      </c>
      <c r="D28" s="158" t="str">
        <v>F6</v>
      </c>
      <c r="E28" s="157" t="str">
        <f>Currency&amp;$D$1&amp;$E$1&amp;$D28&amp;QuoteSuffix</f>
        <v>EURFUT3MF6_Quote</v>
      </c>
      <c r="F28" s="156" t="str">
        <f>_xll.qlSimpleQuote(E28,,PriceTickValue,Permanent,Trigger,ObjectOverwrite)</f>
        <v>EURFUT3MF6_Quote#0029</v>
      </c>
      <c r="G28" s="119" t="str">
        <f>_xll.ohRangeRetrieveError(F28)</f>
        <v/>
      </c>
      <c r="H28" s="155"/>
    </row>
    <row r="29" spans="1:8" x14ac:dyDescent="0.2">
      <c r="A29" s="160"/>
      <c r="B29" s="121">
        <v>27</v>
      </c>
      <c r="C29" s="159" t="b">
        <v>0</v>
      </c>
      <c r="D29" s="158" t="str">
        <v>G6</v>
      </c>
      <c r="E29" s="157" t="str">
        <f>Currency&amp;$D$1&amp;$E$1&amp;$D29&amp;QuoteSuffix</f>
        <v>EURFUT3MG6_Quote</v>
      </c>
      <c r="F29" s="156" t="str">
        <f>_xll.qlSimpleQuote(E29,,PriceTickValue,Permanent,Trigger,ObjectOverwrite)</f>
        <v>EURFUT3MG6_Quote#0029</v>
      </c>
      <c r="G29" s="119" t="str">
        <f>_xll.ohRangeRetrieveError(F29)</f>
        <v/>
      </c>
      <c r="H29" s="155"/>
    </row>
    <row r="30" spans="1:8" x14ac:dyDescent="0.2">
      <c r="A30" s="160"/>
      <c r="B30" s="121">
        <v>28</v>
      </c>
      <c r="C30" s="159" t="b">
        <v>0</v>
      </c>
      <c r="D30" s="158" t="str">
        <v>H6</v>
      </c>
      <c r="E30" s="157" t="str">
        <f>Currency&amp;$D$1&amp;$E$1&amp;$D30&amp;QuoteSuffix</f>
        <v>EURFUT3MH6_Quote</v>
      </c>
      <c r="F30" s="156" t="str">
        <f>_xll.qlSimpleQuote(E30,,PriceTickValue,Permanent,Trigger,ObjectOverwrite)</f>
        <v>EURFUT3MH6_Quote#0029</v>
      </c>
      <c r="G30" s="119" t="str">
        <f>_xll.ohRangeRetrieveError(F30)</f>
        <v/>
      </c>
      <c r="H30" s="155"/>
    </row>
    <row r="31" spans="1:8" x14ac:dyDescent="0.2">
      <c r="A31" s="160"/>
      <c r="B31" s="121">
        <v>29</v>
      </c>
      <c r="C31" s="159" t="b">
        <v>0</v>
      </c>
      <c r="D31" s="158" t="str">
        <v>J6</v>
      </c>
      <c r="E31" s="157" t="str">
        <f>Currency&amp;$D$1&amp;$E$1&amp;$D31&amp;QuoteSuffix</f>
        <v>EURFUT3MJ6_Quote</v>
      </c>
      <c r="F31" s="156" t="str">
        <f>_xll.qlSimpleQuote(E31,,PriceTickValue,Permanent,Trigger,ObjectOverwrite)</f>
        <v>EURFUT3MJ6_Quote#0029</v>
      </c>
      <c r="G31" s="119" t="str">
        <f>_xll.ohRangeRetrieveError(F31)</f>
        <v/>
      </c>
      <c r="H31" s="155"/>
    </row>
    <row r="32" spans="1:8" x14ac:dyDescent="0.2">
      <c r="A32" s="160"/>
      <c r="B32" s="121">
        <v>30</v>
      </c>
      <c r="C32" s="159" t="b">
        <v>0</v>
      </c>
      <c r="D32" s="158" t="str">
        <v>K6</v>
      </c>
      <c r="E32" s="157" t="str">
        <f>Currency&amp;$D$1&amp;$E$1&amp;$D32&amp;QuoteSuffix</f>
        <v>EURFUT3MK6_Quote</v>
      </c>
      <c r="F32" s="156" t="str">
        <f>_xll.qlSimpleQuote(E32,,PriceTickValue,Permanent,Trigger,ObjectOverwrite)</f>
        <v>EURFUT3MK6_Quote#0029</v>
      </c>
      <c r="G32" s="119" t="str">
        <f>_xll.ohRangeRetrieveError(F32)</f>
        <v/>
      </c>
      <c r="H32" s="155"/>
    </row>
    <row r="33" spans="1:8" x14ac:dyDescent="0.2">
      <c r="A33" s="160"/>
      <c r="B33" s="121">
        <v>31</v>
      </c>
      <c r="C33" s="159" t="b">
        <v>0</v>
      </c>
      <c r="D33" s="158" t="str">
        <v>M6</v>
      </c>
      <c r="E33" s="157" t="str">
        <f>Currency&amp;$D$1&amp;$E$1&amp;$D33&amp;QuoteSuffix</f>
        <v>EURFUT3MM6_Quote</v>
      </c>
      <c r="F33" s="156" t="str">
        <f>_xll.qlSimpleQuote(E33,,PriceTickValue,Permanent,Trigger,ObjectOverwrite)</f>
        <v>EURFUT3MM6_Quote#0029</v>
      </c>
      <c r="G33" s="119" t="str">
        <f>_xll.ohRangeRetrieveError(F33)</f>
        <v/>
      </c>
      <c r="H33" s="155"/>
    </row>
    <row r="34" spans="1:8" x14ac:dyDescent="0.2">
      <c r="A34" s="160"/>
      <c r="B34" s="121">
        <v>32</v>
      </c>
      <c r="C34" s="159" t="b">
        <v>0</v>
      </c>
      <c r="D34" s="158" t="str">
        <v>N6</v>
      </c>
      <c r="E34" s="157" t="str">
        <f>Currency&amp;$D$1&amp;$E$1&amp;$D34&amp;QuoteSuffix</f>
        <v>EURFUT3MN6_Quote</v>
      </c>
      <c r="F34" s="156" t="str">
        <f>_xll.qlSimpleQuote(E34,,PriceTickValue,Permanent,Trigger,ObjectOverwrite)</f>
        <v>EURFUT3MN6_Quote#0029</v>
      </c>
      <c r="G34" s="119" t="str">
        <f>_xll.ohRangeRetrieveError(F34)</f>
        <v/>
      </c>
      <c r="H34" s="155"/>
    </row>
    <row r="35" spans="1:8" x14ac:dyDescent="0.2">
      <c r="A35" s="160"/>
      <c r="B35" s="121">
        <v>33</v>
      </c>
      <c r="C35" s="159" t="b">
        <v>0</v>
      </c>
      <c r="D35" s="158" t="str">
        <v>Q6</v>
      </c>
      <c r="E35" s="157" t="str">
        <f>Currency&amp;$D$1&amp;$E$1&amp;$D35&amp;QuoteSuffix</f>
        <v>EURFUT3MQ6_Quote</v>
      </c>
      <c r="F35" s="156" t="str">
        <f>_xll.qlSimpleQuote(E35,,PriceTickValue,Permanent,Trigger,ObjectOverwrite)</f>
        <v>EURFUT3MQ6_Quote#0029</v>
      </c>
      <c r="G35" s="119" t="str">
        <f>_xll.ohRangeRetrieveError(F35)</f>
        <v/>
      </c>
      <c r="H35" s="155"/>
    </row>
    <row r="36" spans="1:8" x14ac:dyDescent="0.2">
      <c r="A36" s="160"/>
      <c r="B36" s="121">
        <v>34</v>
      </c>
      <c r="C36" s="159" t="b">
        <v>0</v>
      </c>
      <c r="D36" s="158" t="str">
        <v>U6</v>
      </c>
      <c r="E36" s="157" t="str">
        <f>Currency&amp;$D$1&amp;$E$1&amp;$D36&amp;QuoteSuffix</f>
        <v>EURFUT3MU6_Quote</v>
      </c>
      <c r="F36" s="156" t="str">
        <f>_xll.qlSimpleQuote(E36,,PriceTickValue,Permanent,Trigger,ObjectOverwrite)</f>
        <v>EURFUT3MU6_Quote#0029</v>
      </c>
      <c r="G36" s="119" t="str">
        <f>_xll.ohRangeRetrieveError(F36)</f>
        <v/>
      </c>
      <c r="H36" s="155"/>
    </row>
    <row r="37" spans="1:8" x14ac:dyDescent="0.2">
      <c r="A37" s="160"/>
      <c r="B37" s="121">
        <v>35</v>
      </c>
      <c r="C37" s="159" t="b">
        <v>0</v>
      </c>
      <c r="D37" s="158" t="str">
        <v>V6</v>
      </c>
      <c r="E37" s="157" t="str">
        <f>Currency&amp;$D$1&amp;$E$1&amp;$D37&amp;QuoteSuffix</f>
        <v>EURFUT3MV6_Quote</v>
      </c>
      <c r="F37" s="156" t="str">
        <f>_xll.qlSimpleQuote(E37,,PriceTickValue,Permanent,Trigger,ObjectOverwrite)</f>
        <v>EURFUT3MV6_Quote#0029</v>
      </c>
      <c r="G37" s="119" t="str">
        <f>_xll.ohRangeRetrieveError(F37)</f>
        <v/>
      </c>
      <c r="H37" s="155"/>
    </row>
    <row r="38" spans="1:8" x14ac:dyDescent="0.2">
      <c r="A38" s="160"/>
      <c r="B38" s="121">
        <v>36</v>
      </c>
      <c r="C38" s="159" t="b">
        <v>0</v>
      </c>
      <c r="D38" s="158" t="str">
        <v>X6</v>
      </c>
      <c r="E38" s="157" t="str">
        <f>Currency&amp;$D$1&amp;$E$1&amp;$D38&amp;QuoteSuffix</f>
        <v>EURFUT3MX6_Quote</v>
      </c>
      <c r="F38" s="156" t="str">
        <f>_xll.qlSimpleQuote(E38,,PriceTickValue,Permanent,Trigger,ObjectOverwrite)</f>
        <v>EURFUT3MX6_Quote#0029</v>
      </c>
      <c r="G38" s="119" t="str">
        <f>_xll.ohRangeRetrieveError(F38)</f>
        <v/>
      </c>
      <c r="H38" s="155"/>
    </row>
    <row r="39" spans="1:8" x14ac:dyDescent="0.2">
      <c r="A39" s="160"/>
      <c r="B39" s="121">
        <v>37</v>
      </c>
      <c r="C39" s="159" t="b">
        <v>0</v>
      </c>
      <c r="D39" s="158" t="str">
        <v>Z6</v>
      </c>
      <c r="E39" s="157" t="str">
        <f>Currency&amp;$D$1&amp;$E$1&amp;$D39&amp;QuoteSuffix</f>
        <v>EURFUT3MZ6_Quote</v>
      </c>
      <c r="F39" s="156" t="str">
        <f>_xll.qlSimpleQuote(E39,,PriceTickValue,Permanent,Trigger,ObjectOverwrite)</f>
        <v>EURFUT3MZ6_Quote#0029</v>
      </c>
      <c r="G39" s="119" t="str">
        <f>_xll.ohRangeRetrieveError(F39)</f>
        <v/>
      </c>
      <c r="H39" s="155"/>
    </row>
    <row r="40" spans="1:8" x14ac:dyDescent="0.2">
      <c r="A40" s="160"/>
      <c r="B40" s="121">
        <v>38</v>
      </c>
      <c r="C40" s="159" t="b">
        <v>0</v>
      </c>
      <c r="D40" s="158" t="str">
        <v>F7</v>
      </c>
      <c r="E40" s="157" t="str">
        <f>Currency&amp;$D$1&amp;$E$1&amp;$D40&amp;QuoteSuffix</f>
        <v>EURFUT3MF7_Quote</v>
      </c>
      <c r="F40" s="156" t="str">
        <f>_xll.qlSimpleQuote(E40,,PriceTickValue,Permanent,Trigger,ObjectOverwrite)</f>
        <v>EURFUT3MF7_Quote#0029</v>
      </c>
      <c r="G40" s="119" t="str">
        <f>_xll.ohRangeRetrieveError(F40)</f>
        <v/>
      </c>
      <c r="H40" s="155"/>
    </row>
    <row r="41" spans="1:8" x14ac:dyDescent="0.2">
      <c r="A41" s="160"/>
      <c r="B41" s="121">
        <v>39</v>
      </c>
      <c r="C41" s="159" t="b">
        <v>0</v>
      </c>
      <c r="D41" s="158" t="str">
        <v>G7</v>
      </c>
      <c r="E41" s="157" t="str">
        <f>Currency&amp;$D$1&amp;$E$1&amp;$D41&amp;QuoteSuffix</f>
        <v>EURFUT3MG7_Quote</v>
      </c>
      <c r="F41" s="156" t="str">
        <f>_xll.qlSimpleQuote(E41,,PriceTickValue,Permanent,Trigger,ObjectOverwrite)</f>
        <v>EURFUT3MG7_Quote#0029</v>
      </c>
      <c r="G41" s="119" t="str">
        <f>_xll.ohRangeRetrieveError(F41)</f>
        <v/>
      </c>
      <c r="H41" s="155"/>
    </row>
    <row r="42" spans="1:8" x14ac:dyDescent="0.2">
      <c r="A42" s="160"/>
      <c r="B42" s="121">
        <v>40</v>
      </c>
      <c r="C42" s="159" t="b">
        <v>0</v>
      </c>
      <c r="D42" s="158" t="str">
        <v>H7</v>
      </c>
      <c r="E42" s="157" t="str">
        <f>Currency&amp;$D$1&amp;$E$1&amp;$D42&amp;QuoteSuffix</f>
        <v>EURFUT3MH7_Quote</v>
      </c>
      <c r="F42" s="156" t="str">
        <f>_xll.qlSimpleQuote(E42,,PriceTickValue,Permanent,Trigger,ObjectOverwrite)</f>
        <v>EURFUT3MH7_Quote#0029</v>
      </c>
      <c r="G42" s="119" t="str">
        <f>_xll.ohRangeRetrieveError(F42)</f>
        <v/>
      </c>
      <c r="H42" s="155"/>
    </row>
    <row r="43" spans="1:8" x14ac:dyDescent="0.2">
      <c r="A43" s="160"/>
      <c r="B43" s="121">
        <v>41</v>
      </c>
      <c r="C43" s="159" t="b">
        <v>0</v>
      </c>
      <c r="D43" s="158" t="str">
        <v>J7</v>
      </c>
      <c r="E43" s="157" t="str">
        <f>Currency&amp;$D$1&amp;$E$1&amp;$D43&amp;QuoteSuffix</f>
        <v>EURFUT3MJ7_Quote</v>
      </c>
      <c r="F43" s="156" t="str">
        <f>_xll.qlSimpleQuote(E43,,PriceTickValue,Permanent,Trigger,ObjectOverwrite)</f>
        <v>EURFUT3MJ7_Quote#0029</v>
      </c>
      <c r="G43" s="119" t="str">
        <f>_xll.ohRangeRetrieveError(F43)</f>
        <v/>
      </c>
      <c r="H43" s="155"/>
    </row>
    <row r="44" spans="1:8" x14ac:dyDescent="0.2">
      <c r="A44" s="160"/>
      <c r="B44" s="121">
        <v>42</v>
      </c>
      <c r="C44" s="159" t="b">
        <v>0</v>
      </c>
      <c r="D44" s="158" t="str">
        <v>K7</v>
      </c>
      <c r="E44" s="157" t="str">
        <f>Currency&amp;$D$1&amp;$E$1&amp;$D44&amp;QuoteSuffix</f>
        <v>EURFUT3MK7_Quote</v>
      </c>
      <c r="F44" s="156" t="str">
        <f>_xll.qlSimpleQuote(E44,,PriceTickValue,Permanent,Trigger,ObjectOverwrite)</f>
        <v>EURFUT3MK7_Quote#0029</v>
      </c>
      <c r="G44" s="119" t="str">
        <f>_xll.ohRangeRetrieveError(F44)</f>
        <v/>
      </c>
      <c r="H44" s="155"/>
    </row>
    <row r="45" spans="1:8" x14ac:dyDescent="0.2">
      <c r="A45" s="160"/>
      <c r="B45" s="121">
        <v>43</v>
      </c>
      <c r="C45" s="159" t="b">
        <v>0</v>
      </c>
      <c r="D45" s="158" t="str">
        <v>M7</v>
      </c>
      <c r="E45" s="157" t="str">
        <f>Currency&amp;$D$1&amp;$E$1&amp;$D45&amp;QuoteSuffix</f>
        <v>EURFUT3MM7_Quote</v>
      </c>
      <c r="F45" s="156" t="str">
        <f>_xll.qlSimpleQuote(E45,,PriceTickValue,Permanent,Trigger,ObjectOverwrite)</f>
        <v>EURFUT3MM7_Quote#0029</v>
      </c>
      <c r="G45" s="119" t="str">
        <f>_xll.ohRangeRetrieveError(F45)</f>
        <v/>
      </c>
      <c r="H45" s="155"/>
    </row>
    <row r="46" spans="1:8" x14ac:dyDescent="0.2">
      <c r="A46" s="160"/>
      <c r="B46" s="121">
        <v>44</v>
      </c>
      <c r="C46" s="159" t="b">
        <v>0</v>
      </c>
      <c r="D46" s="158" t="str">
        <v>N7</v>
      </c>
      <c r="E46" s="157" t="str">
        <f>Currency&amp;$D$1&amp;$E$1&amp;$D46&amp;QuoteSuffix</f>
        <v>EURFUT3MN7_Quote</v>
      </c>
      <c r="F46" s="156" t="str">
        <f>_xll.qlSimpleQuote(E46,,PriceTickValue,Permanent,Trigger,ObjectOverwrite)</f>
        <v>EURFUT3MN7_Quote#0029</v>
      </c>
      <c r="G46" s="119" t="str">
        <f>_xll.ohRangeRetrieveError(F46)</f>
        <v/>
      </c>
      <c r="H46" s="155"/>
    </row>
    <row r="47" spans="1:8" x14ac:dyDescent="0.2">
      <c r="A47" s="160"/>
      <c r="B47" s="121">
        <v>45</v>
      </c>
      <c r="C47" s="159" t="b">
        <v>0</v>
      </c>
      <c r="D47" s="158" t="str">
        <v>Q7</v>
      </c>
      <c r="E47" s="157" t="str">
        <f>Currency&amp;$D$1&amp;$E$1&amp;$D47&amp;QuoteSuffix</f>
        <v>EURFUT3MQ7_Quote</v>
      </c>
      <c r="F47" s="156" t="str">
        <f>_xll.qlSimpleQuote(E47,,PriceTickValue,Permanent,Trigger,ObjectOverwrite)</f>
        <v>EURFUT3MQ7_Quote#0029</v>
      </c>
      <c r="G47" s="119" t="str">
        <f>_xll.ohRangeRetrieveError(F47)</f>
        <v/>
      </c>
      <c r="H47" s="155"/>
    </row>
    <row r="48" spans="1:8" x14ac:dyDescent="0.2">
      <c r="A48" s="160"/>
      <c r="B48" s="121">
        <v>46</v>
      </c>
      <c r="C48" s="159" t="b">
        <v>0</v>
      </c>
      <c r="D48" s="158" t="str">
        <v>U7</v>
      </c>
      <c r="E48" s="157" t="str">
        <f>Currency&amp;$D$1&amp;$E$1&amp;$D48&amp;QuoteSuffix</f>
        <v>EURFUT3MU7_Quote</v>
      </c>
      <c r="F48" s="156" t="str">
        <f>_xll.qlSimpleQuote(E48,,PriceTickValue,Permanent,Trigger,ObjectOverwrite)</f>
        <v>EURFUT3MU7_Quote#0029</v>
      </c>
      <c r="G48" s="119" t="str">
        <f>_xll.ohRangeRetrieveError(F48)</f>
        <v/>
      </c>
      <c r="H48" s="155"/>
    </row>
    <row r="49" spans="1:8" x14ac:dyDescent="0.2">
      <c r="A49" s="160"/>
      <c r="B49" s="121">
        <v>47</v>
      </c>
      <c r="C49" s="159" t="b">
        <v>0</v>
      </c>
      <c r="D49" s="158" t="str">
        <v>V7</v>
      </c>
      <c r="E49" s="157" t="str">
        <f>Currency&amp;$D$1&amp;$E$1&amp;$D49&amp;QuoteSuffix</f>
        <v>EURFUT3MV7_Quote</v>
      </c>
      <c r="F49" s="156" t="str">
        <f>_xll.qlSimpleQuote(E49,,PriceTickValue,Permanent,Trigger,ObjectOverwrite)</f>
        <v>EURFUT3MV7_Quote#0029</v>
      </c>
      <c r="G49" s="119" t="str">
        <f>_xll.ohRangeRetrieveError(F49)</f>
        <v/>
      </c>
      <c r="H49" s="155"/>
    </row>
    <row r="50" spans="1:8" x14ac:dyDescent="0.2">
      <c r="A50" s="160"/>
      <c r="B50" s="121">
        <v>48</v>
      </c>
      <c r="C50" s="159" t="b">
        <v>0</v>
      </c>
      <c r="D50" s="158" t="str">
        <v>X7</v>
      </c>
      <c r="E50" s="157" t="str">
        <f>Currency&amp;$D$1&amp;$E$1&amp;$D50&amp;QuoteSuffix</f>
        <v>EURFUT3MX7_Quote</v>
      </c>
      <c r="F50" s="156" t="str">
        <f>_xll.qlSimpleQuote(E50,,PriceTickValue,Permanent,Trigger,ObjectOverwrite)</f>
        <v>EURFUT3MX7_Quote#0029</v>
      </c>
      <c r="G50" s="119" t="str">
        <f>_xll.ohRangeRetrieveError(F50)</f>
        <v/>
      </c>
      <c r="H50" s="155"/>
    </row>
    <row r="51" spans="1:8" x14ac:dyDescent="0.2">
      <c r="A51" s="160"/>
      <c r="B51" s="121">
        <v>49</v>
      </c>
      <c r="C51" s="159" t="b">
        <v>0</v>
      </c>
      <c r="D51" s="158" t="str">
        <v>Z7</v>
      </c>
      <c r="E51" s="157" t="str">
        <f>Currency&amp;$D$1&amp;$E$1&amp;$D51&amp;QuoteSuffix</f>
        <v>EURFUT3MZ7_Quote</v>
      </c>
      <c r="F51" s="156" t="str">
        <f>_xll.qlSimpleQuote(E51,,PriceTickValue,Permanent,Trigger,ObjectOverwrite)</f>
        <v>EURFUT3MZ7_Quote#0029</v>
      </c>
      <c r="G51" s="119" t="str">
        <f>_xll.ohRangeRetrieveError(F51)</f>
        <v/>
      </c>
      <c r="H51" s="155"/>
    </row>
    <row r="52" spans="1:8" x14ac:dyDescent="0.2">
      <c r="A52" s="160"/>
      <c r="B52" s="121">
        <v>50</v>
      </c>
      <c r="C52" s="159" t="b">
        <v>0</v>
      </c>
      <c r="D52" s="158" t="str">
        <v>F8</v>
      </c>
      <c r="E52" s="157" t="str">
        <f>Currency&amp;$D$1&amp;$E$1&amp;$D52&amp;QuoteSuffix</f>
        <v>EURFUT3MF8_Quote</v>
      </c>
      <c r="F52" s="156" t="str">
        <f>_xll.qlSimpleQuote(E52,,PriceTickValue,Permanent,Trigger,ObjectOverwrite)</f>
        <v>EURFUT3MF8_Quote#0029</v>
      </c>
      <c r="G52" s="119" t="str">
        <f>_xll.ohRangeRetrieveError(F52)</f>
        <v/>
      </c>
      <c r="H52" s="155"/>
    </row>
    <row r="53" spans="1:8" x14ac:dyDescent="0.2">
      <c r="A53" s="160"/>
      <c r="B53" s="121">
        <v>51</v>
      </c>
      <c r="C53" s="159" t="b">
        <v>0</v>
      </c>
      <c r="D53" s="158" t="str">
        <v>G8</v>
      </c>
      <c r="E53" s="157" t="str">
        <f>Currency&amp;$D$1&amp;$E$1&amp;$D53&amp;QuoteSuffix</f>
        <v>EURFUT3MG8_Quote</v>
      </c>
      <c r="F53" s="156" t="str">
        <f>_xll.qlSimpleQuote(E53,,PriceTickValue,Permanent,Trigger,ObjectOverwrite)</f>
        <v>EURFUT3MG8_Quote#0029</v>
      </c>
      <c r="G53" s="119" t="str">
        <f>_xll.ohRangeRetrieveError(F53)</f>
        <v/>
      </c>
      <c r="H53" s="155"/>
    </row>
    <row r="54" spans="1:8" x14ac:dyDescent="0.2">
      <c r="A54" s="160"/>
      <c r="B54" s="121">
        <v>52</v>
      </c>
      <c r="C54" s="159" t="b">
        <v>0</v>
      </c>
      <c r="D54" s="158" t="str">
        <v>H8</v>
      </c>
      <c r="E54" s="157" t="str">
        <f>Currency&amp;$D$1&amp;$E$1&amp;$D54&amp;QuoteSuffix</f>
        <v>EURFUT3MH8_Quote</v>
      </c>
      <c r="F54" s="156" t="str">
        <f>_xll.qlSimpleQuote(E54,,PriceTickValue,Permanent,Trigger,ObjectOverwrite)</f>
        <v>EURFUT3MH8_Quote#0029</v>
      </c>
      <c r="G54" s="119" t="str">
        <f>_xll.ohRangeRetrieveError(F54)</f>
        <v/>
      </c>
      <c r="H54" s="155"/>
    </row>
    <row r="55" spans="1:8" x14ac:dyDescent="0.2">
      <c r="A55" s="160"/>
      <c r="B55" s="121">
        <v>53</v>
      </c>
      <c r="C55" s="159" t="b">
        <v>0</v>
      </c>
      <c r="D55" s="158" t="str">
        <v>J8</v>
      </c>
      <c r="E55" s="157" t="str">
        <f>Currency&amp;$D$1&amp;$E$1&amp;$D55&amp;QuoteSuffix</f>
        <v>EURFUT3MJ8_Quote</v>
      </c>
      <c r="F55" s="156" t="str">
        <f>_xll.qlSimpleQuote(E55,,PriceTickValue,Permanent,Trigger,ObjectOverwrite)</f>
        <v>EURFUT3MJ8_Quote#0029</v>
      </c>
      <c r="G55" s="119" t="str">
        <f>_xll.ohRangeRetrieveError(F55)</f>
        <v/>
      </c>
      <c r="H55" s="155"/>
    </row>
    <row r="56" spans="1:8" x14ac:dyDescent="0.2">
      <c r="A56" s="160"/>
      <c r="B56" s="121">
        <v>54</v>
      </c>
      <c r="C56" s="159" t="b">
        <v>0</v>
      </c>
      <c r="D56" s="158" t="str">
        <v>K8</v>
      </c>
      <c r="E56" s="157" t="str">
        <f>Currency&amp;$D$1&amp;$E$1&amp;$D56&amp;QuoteSuffix</f>
        <v>EURFUT3MK8_Quote</v>
      </c>
      <c r="F56" s="156" t="str">
        <f>_xll.qlSimpleQuote(E56,,PriceTickValue,Permanent,Trigger,ObjectOverwrite)</f>
        <v>EURFUT3MK8_Quote#0029</v>
      </c>
      <c r="G56" s="119" t="str">
        <f>_xll.ohRangeRetrieveError(F56)</f>
        <v/>
      </c>
      <c r="H56" s="155"/>
    </row>
    <row r="57" spans="1:8" x14ac:dyDescent="0.2">
      <c r="A57" s="160"/>
      <c r="B57" s="121">
        <v>55</v>
      </c>
      <c r="C57" s="159" t="b">
        <v>0</v>
      </c>
      <c r="D57" s="158" t="str">
        <v>M8</v>
      </c>
      <c r="E57" s="157" t="str">
        <f>Currency&amp;$D$1&amp;$E$1&amp;$D57&amp;QuoteSuffix</f>
        <v>EURFUT3MM8_Quote</v>
      </c>
      <c r="F57" s="156" t="str">
        <f>_xll.qlSimpleQuote(E57,,PriceTickValue,Permanent,Trigger,ObjectOverwrite)</f>
        <v>EURFUT3MM8_Quote#0029</v>
      </c>
      <c r="G57" s="119" t="str">
        <f>_xll.ohRangeRetrieveError(F57)</f>
        <v/>
      </c>
      <c r="H57" s="155"/>
    </row>
    <row r="58" spans="1:8" x14ac:dyDescent="0.2">
      <c r="A58" s="160"/>
      <c r="B58" s="121">
        <v>56</v>
      </c>
      <c r="C58" s="159" t="b">
        <v>0</v>
      </c>
      <c r="D58" s="158" t="str">
        <v>N8</v>
      </c>
      <c r="E58" s="157" t="str">
        <f>Currency&amp;$D$1&amp;$E$1&amp;$D58&amp;QuoteSuffix</f>
        <v>EURFUT3MN8_Quote</v>
      </c>
      <c r="F58" s="156" t="str">
        <f>_xll.qlSimpleQuote(E58,,PriceTickValue,Permanent,Trigger,ObjectOverwrite)</f>
        <v>EURFUT3MN8_Quote#0029</v>
      </c>
      <c r="G58" s="119" t="str">
        <f>_xll.ohRangeRetrieveError(F58)</f>
        <v/>
      </c>
      <c r="H58" s="155"/>
    </row>
    <row r="59" spans="1:8" x14ac:dyDescent="0.2">
      <c r="A59" s="160"/>
      <c r="B59" s="121">
        <v>57</v>
      </c>
      <c r="C59" s="159" t="b">
        <v>0</v>
      </c>
      <c r="D59" s="158" t="str">
        <v>Q8</v>
      </c>
      <c r="E59" s="157" t="str">
        <f>Currency&amp;$D$1&amp;$E$1&amp;$D59&amp;QuoteSuffix</f>
        <v>EURFUT3MQ8_Quote</v>
      </c>
      <c r="F59" s="156" t="str">
        <f>_xll.qlSimpleQuote(E59,,PriceTickValue,Permanent,Trigger,ObjectOverwrite)</f>
        <v>EURFUT3MQ8_Quote#0029</v>
      </c>
      <c r="G59" s="119" t="str">
        <f>_xll.ohRangeRetrieveError(F59)</f>
        <v/>
      </c>
      <c r="H59" s="155"/>
    </row>
    <row r="60" spans="1:8" x14ac:dyDescent="0.2">
      <c r="A60" s="160"/>
      <c r="B60" s="121">
        <v>58</v>
      </c>
      <c r="C60" s="159" t="b">
        <v>0</v>
      </c>
      <c r="D60" s="158" t="str">
        <v>U8</v>
      </c>
      <c r="E60" s="157" t="str">
        <f>Currency&amp;$D$1&amp;$E$1&amp;$D60&amp;QuoteSuffix</f>
        <v>EURFUT3MU8_Quote</v>
      </c>
      <c r="F60" s="156" t="str">
        <f>_xll.qlSimpleQuote(E60,,PriceTickValue,Permanent,Trigger,ObjectOverwrite)</f>
        <v>EURFUT3MU8_Quote#0029</v>
      </c>
      <c r="G60" s="119" t="str">
        <f>_xll.ohRangeRetrieveError(F60)</f>
        <v/>
      </c>
      <c r="H60" s="155"/>
    </row>
    <row r="61" spans="1:8" x14ac:dyDescent="0.2">
      <c r="A61" s="160"/>
      <c r="B61" s="121">
        <v>59</v>
      </c>
      <c r="C61" s="159" t="b">
        <v>0</v>
      </c>
      <c r="D61" s="158" t="str">
        <v>V8</v>
      </c>
      <c r="E61" s="157" t="str">
        <f>Currency&amp;$D$1&amp;$E$1&amp;$D61&amp;QuoteSuffix</f>
        <v>EURFUT3MV8_Quote</v>
      </c>
      <c r="F61" s="156" t="str">
        <f>_xll.qlSimpleQuote(E61,,PriceTickValue,Permanent,Trigger,ObjectOverwrite)</f>
        <v>EURFUT3MV8_Quote#0029</v>
      </c>
      <c r="G61" s="119" t="str">
        <f>_xll.ohRangeRetrieveError(F61)</f>
        <v/>
      </c>
      <c r="H61" s="155"/>
    </row>
    <row r="62" spans="1:8" x14ac:dyDescent="0.2">
      <c r="A62" s="160"/>
      <c r="B62" s="121">
        <v>60</v>
      </c>
      <c r="C62" s="159" t="b">
        <v>0</v>
      </c>
      <c r="D62" s="158" t="str">
        <v>X8</v>
      </c>
      <c r="E62" s="157" t="str">
        <f>Currency&amp;$D$1&amp;$E$1&amp;$D62&amp;QuoteSuffix</f>
        <v>EURFUT3MX8_Quote</v>
      </c>
      <c r="F62" s="156" t="str">
        <f>_xll.qlSimpleQuote(E62,,PriceTickValue,Permanent,Trigger,ObjectOverwrite)</f>
        <v>EURFUT3MX8_Quote#0029</v>
      </c>
      <c r="G62" s="119" t="str">
        <f>_xll.ohRangeRetrieveError(F62)</f>
        <v/>
      </c>
      <c r="H62" s="155"/>
    </row>
    <row r="63" spans="1:8" x14ac:dyDescent="0.2">
      <c r="A63" s="160"/>
      <c r="B63" s="121">
        <v>61</v>
      </c>
      <c r="C63" s="159" t="b">
        <v>0</v>
      </c>
      <c r="D63" s="158" t="str">
        <v>Z8</v>
      </c>
      <c r="E63" s="157" t="str">
        <f>Currency&amp;$D$1&amp;$E$1&amp;$D63&amp;QuoteSuffix</f>
        <v>EURFUT3MZ8_Quote</v>
      </c>
      <c r="F63" s="156" t="str">
        <f>_xll.qlSimpleQuote(E63,,PriceTickValue,Permanent,Trigger,ObjectOverwrite)</f>
        <v>EURFUT3MZ8_Quote#0029</v>
      </c>
      <c r="G63" s="119" t="str">
        <f>_xll.ohRangeRetrieveError(F63)</f>
        <v/>
      </c>
      <c r="H63" s="155"/>
    </row>
    <row r="64" spans="1:8" x14ac:dyDescent="0.2">
      <c r="A64" s="160"/>
      <c r="B64" s="121">
        <v>62</v>
      </c>
      <c r="C64" s="159" t="b">
        <v>0</v>
      </c>
      <c r="D64" s="158" t="str">
        <v>F9</v>
      </c>
      <c r="E64" s="157" t="str">
        <f>Currency&amp;$D$1&amp;$E$1&amp;$D64&amp;QuoteSuffix</f>
        <v>EURFUT3MF9_Quote</v>
      </c>
      <c r="F64" s="156" t="str">
        <f>_xll.qlSimpleQuote(E64,,PriceTickValue,Permanent,Trigger,ObjectOverwrite)</f>
        <v>EURFUT3MF9_Quote#0029</v>
      </c>
      <c r="G64" s="119" t="str">
        <f>_xll.ohRangeRetrieveError(F64)</f>
        <v/>
      </c>
      <c r="H64" s="155"/>
    </row>
    <row r="65" spans="1:8" x14ac:dyDescent="0.2">
      <c r="A65" s="160"/>
      <c r="B65" s="121">
        <v>63</v>
      </c>
      <c r="C65" s="159" t="b">
        <v>0</v>
      </c>
      <c r="D65" s="158" t="str">
        <v>G9</v>
      </c>
      <c r="E65" s="157" t="str">
        <f>Currency&amp;$D$1&amp;$E$1&amp;$D65&amp;QuoteSuffix</f>
        <v>EURFUT3MG9_Quote</v>
      </c>
      <c r="F65" s="156" t="str">
        <f>_xll.qlSimpleQuote(E65,,PriceTickValue,Permanent,Trigger,ObjectOverwrite)</f>
        <v>EURFUT3MG9_Quote#0029</v>
      </c>
      <c r="G65" s="119" t="str">
        <f>_xll.ohRangeRetrieveError(F65)</f>
        <v/>
      </c>
      <c r="H65" s="155"/>
    </row>
    <row r="66" spans="1:8" x14ac:dyDescent="0.2">
      <c r="A66" s="160"/>
      <c r="B66" s="121">
        <v>64</v>
      </c>
      <c r="C66" s="159" t="b">
        <v>0</v>
      </c>
      <c r="D66" s="158" t="str">
        <v>H9</v>
      </c>
      <c r="E66" s="157" t="str">
        <f>Currency&amp;$D$1&amp;$E$1&amp;$D66&amp;QuoteSuffix</f>
        <v>EURFUT3MH9_Quote</v>
      </c>
      <c r="F66" s="156" t="str">
        <f>_xll.qlSimpleQuote(E66,,PriceTickValue,Permanent,Trigger,ObjectOverwrite)</f>
        <v>EURFUT3MH9_Quote#0029</v>
      </c>
      <c r="G66" s="119" t="str">
        <f>_xll.ohRangeRetrieveError(F66)</f>
        <v/>
      </c>
      <c r="H66" s="155"/>
    </row>
    <row r="67" spans="1:8" x14ac:dyDescent="0.2">
      <c r="A67" s="160"/>
      <c r="B67" s="121">
        <v>65</v>
      </c>
      <c r="C67" s="159" t="b">
        <v>0</v>
      </c>
      <c r="D67" s="158" t="str">
        <v>J9</v>
      </c>
      <c r="E67" s="157" t="str">
        <f>Currency&amp;$D$1&amp;$E$1&amp;$D67&amp;QuoteSuffix</f>
        <v>EURFUT3MJ9_Quote</v>
      </c>
      <c r="F67" s="156" t="str">
        <f>_xll.qlSimpleQuote(E67,,PriceTickValue,Permanent,Trigger,ObjectOverwrite)</f>
        <v>EURFUT3MJ9_Quote#0029</v>
      </c>
      <c r="G67" s="119" t="str">
        <f>_xll.ohRangeRetrieveError(F67)</f>
        <v/>
      </c>
      <c r="H67" s="155"/>
    </row>
    <row r="68" spans="1:8" x14ac:dyDescent="0.2">
      <c r="A68" s="160"/>
      <c r="B68" s="121">
        <v>66</v>
      </c>
      <c r="C68" s="159" t="b">
        <v>0</v>
      </c>
      <c r="D68" s="158" t="str">
        <v>K9</v>
      </c>
      <c r="E68" s="157" t="str">
        <f>Currency&amp;$D$1&amp;$E$1&amp;$D68&amp;QuoteSuffix</f>
        <v>EURFUT3MK9_Quote</v>
      </c>
      <c r="F68" s="156" t="str">
        <f>_xll.qlSimpleQuote(E68,,PriceTickValue,Permanent,Trigger,ObjectOverwrite)</f>
        <v>EURFUT3MK9_Quote#0029</v>
      </c>
      <c r="G68" s="119" t="str">
        <f>_xll.ohRangeRetrieveError(F68)</f>
        <v/>
      </c>
      <c r="H68" s="155"/>
    </row>
    <row r="69" spans="1:8" x14ac:dyDescent="0.2">
      <c r="A69" s="160"/>
      <c r="B69" s="121">
        <v>67</v>
      </c>
      <c r="C69" s="159" t="b">
        <v>0</v>
      </c>
      <c r="D69" s="158" t="str">
        <v>M9</v>
      </c>
      <c r="E69" s="157" t="str">
        <f>Currency&amp;$D$1&amp;$E$1&amp;$D69&amp;QuoteSuffix</f>
        <v>EURFUT3MM9_Quote</v>
      </c>
      <c r="F69" s="156" t="str">
        <f>_xll.qlSimpleQuote(E69,,PriceTickValue,Permanent,Trigger,ObjectOverwrite)</f>
        <v>EURFUT3MM9_Quote#0029</v>
      </c>
      <c r="G69" s="119" t="str">
        <f>_xll.ohRangeRetrieveError(F69)</f>
        <v/>
      </c>
      <c r="H69" s="155"/>
    </row>
    <row r="70" spans="1:8" x14ac:dyDescent="0.2">
      <c r="A70" s="160"/>
      <c r="B70" s="121">
        <v>68</v>
      </c>
      <c r="C70" s="159" t="b">
        <v>0</v>
      </c>
      <c r="D70" s="158" t="str">
        <v>N9</v>
      </c>
      <c r="E70" s="157" t="str">
        <f>Currency&amp;$D$1&amp;$E$1&amp;$D70&amp;QuoteSuffix</f>
        <v>EURFUT3MN9_Quote</v>
      </c>
      <c r="F70" s="156" t="str">
        <f>_xll.qlSimpleQuote(E70,,PriceTickValue,Permanent,Trigger,ObjectOverwrite)</f>
        <v>EURFUT3MN9_Quote#0029</v>
      </c>
      <c r="G70" s="119" t="str">
        <f>_xll.ohRangeRetrieveError(F70)</f>
        <v/>
      </c>
      <c r="H70" s="155"/>
    </row>
    <row r="71" spans="1:8" x14ac:dyDescent="0.2">
      <c r="A71" s="160"/>
      <c r="B71" s="121">
        <v>69</v>
      </c>
      <c r="C71" s="159" t="b">
        <v>0</v>
      </c>
      <c r="D71" s="158" t="str">
        <v>Q9</v>
      </c>
      <c r="E71" s="157" t="str">
        <f>Currency&amp;$D$1&amp;$E$1&amp;$D71&amp;QuoteSuffix</f>
        <v>EURFUT3MQ9_Quote</v>
      </c>
      <c r="F71" s="156" t="str">
        <f>_xll.qlSimpleQuote(E71,,PriceTickValue,Permanent,Trigger,ObjectOverwrite)</f>
        <v>EURFUT3MQ9_Quote#0029</v>
      </c>
      <c r="G71" s="119" t="str">
        <f>_xll.ohRangeRetrieveError(F71)</f>
        <v/>
      </c>
      <c r="H71" s="155"/>
    </row>
    <row r="72" spans="1:8" x14ac:dyDescent="0.2">
      <c r="A72" s="160"/>
      <c r="B72" s="121">
        <v>70</v>
      </c>
      <c r="C72" s="159" t="b">
        <v>0</v>
      </c>
      <c r="D72" s="158" t="str">
        <v>U9</v>
      </c>
      <c r="E72" s="157" t="str">
        <f>Currency&amp;$D$1&amp;$E$1&amp;$D72&amp;QuoteSuffix</f>
        <v>EURFUT3MU9_Quote</v>
      </c>
      <c r="F72" s="156" t="str">
        <f>_xll.qlSimpleQuote(E72,,PriceTickValue,Permanent,Trigger,ObjectOverwrite)</f>
        <v>EURFUT3MU9_Quote#0029</v>
      </c>
      <c r="G72" s="119" t="str">
        <f>_xll.ohRangeRetrieveError(F72)</f>
        <v/>
      </c>
      <c r="H72" s="155"/>
    </row>
    <row r="73" spans="1:8" x14ac:dyDescent="0.2">
      <c r="A73" s="160"/>
      <c r="B73" s="121">
        <v>71</v>
      </c>
      <c r="C73" s="159" t="b">
        <v>0</v>
      </c>
      <c r="D73" s="158" t="str">
        <v>V9</v>
      </c>
      <c r="E73" s="157" t="str">
        <f>Currency&amp;$D$1&amp;$E$1&amp;$D73&amp;QuoteSuffix</f>
        <v>EURFUT3MV9_Quote</v>
      </c>
      <c r="F73" s="156" t="str">
        <f>_xll.qlSimpleQuote(E73,,PriceTickValue,Permanent,Trigger,ObjectOverwrite)</f>
        <v>EURFUT3MV9_Quote#0029</v>
      </c>
      <c r="G73" s="119" t="str">
        <f>_xll.ohRangeRetrieveError(F73)</f>
        <v/>
      </c>
      <c r="H73" s="155"/>
    </row>
    <row r="74" spans="1:8" x14ac:dyDescent="0.2">
      <c r="A74" s="160"/>
      <c r="B74" s="121">
        <v>72</v>
      </c>
      <c r="C74" s="159" t="b">
        <v>0</v>
      </c>
      <c r="D74" s="158" t="str">
        <v>X9</v>
      </c>
      <c r="E74" s="157" t="str">
        <f>Currency&amp;$D$1&amp;$E$1&amp;$D74&amp;QuoteSuffix</f>
        <v>EURFUT3MX9_Quote</v>
      </c>
      <c r="F74" s="156" t="str">
        <f>_xll.qlSimpleQuote(E74,,PriceTickValue,Permanent,Trigger,ObjectOverwrite)</f>
        <v>EURFUT3MX9_Quote#0029</v>
      </c>
      <c r="G74" s="119" t="str">
        <f>_xll.ohRangeRetrieveError(F74)</f>
        <v/>
      </c>
      <c r="H74" s="155"/>
    </row>
    <row r="75" spans="1:8" x14ac:dyDescent="0.2">
      <c r="A75" s="160"/>
      <c r="B75" s="121">
        <v>73</v>
      </c>
      <c r="C75" s="159" t="b">
        <v>0</v>
      </c>
      <c r="D75" s="158" t="str">
        <v>Z9</v>
      </c>
      <c r="E75" s="157" t="str">
        <f>Currency&amp;$D$1&amp;$E$1&amp;$D75&amp;QuoteSuffix</f>
        <v>EURFUT3MZ9_Quote</v>
      </c>
      <c r="F75" s="156" t="str">
        <f>_xll.qlSimpleQuote(E75,,PriceTickValue,Permanent,Trigger,ObjectOverwrite)</f>
        <v>EURFUT3MZ9_Quote#0029</v>
      </c>
      <c r="G75" s="119" t="str">
        <f>_xll.ohRangeRetrieveError(F75)</f>
        <v/>
      </c>
      <c r="H75" s="155"/>
    </row>
    <row r="76" spans="1:8" x14ac:dyDescent="0.2">
      <c r="A76" s="160"/>
      <c r="B76" s="121">
        <v>74</v>
      </c>
      <c r="C76" s="159" t="b">
        <v>0</v>
      </c>
      <c r="D76" s="158" t="str">
        <v>F0</v>
      </c>
      <c r="E76" s="157" t="str">
        <f>Currency&amp;$D$1&amp;$E$1&amp;$D76&amp;QuoteSuffix</f>
        <v>EURFUT3MF0_Quote</v>
      </c>
      <c r="F76" s="156" t="str">
        <f>_xll.qlSimpleQuote(E76,,PriceTickValue,Permanent,Trigger,ObjectOverwrite)</f>
        <v>EURFUT3MF0_Quote#0029</v>
      </c>
      <c r="G76" s="119" t="str">
        <f>_xll.ohRangeRetrieveError(F76)</f>
        <v/>
      </c>
      <c r="H76" s="155"/>
    </row>
    <row r="77" spans="1:8" x14ac:dyDescent="0.2">
      <c r="A77" s="160"/>
      <c r="B77" s="121">
        <v>75</v>
      </c>
      <c r="C77" s="159" t="b">
        <v>0</v>
      </c>
      <c r="D77" s="158" t="str">
        <v>G0</v>
      </c>
      <c r="E77" s="157" t="str">
        <f>Currency&amp;$D$1&amp;$E$1&amp;$D77&amp;QuoteSuffix</f>
        <v>EURFUT3MG0_Quote</v>
      </c>
      <c r="F77" s="156" t="str">
        <f>_xll.qlSimpleQuote(E77,,PriceTickValue,Permanent,Trigger,ObjectOverwrite)</f>
        <v>EURFUT3MG0_Quote#0029</v>
      </c>
      <c r="G77" s="119" t="str">
        <f>_xll.ohRangeRetrieveError(F77)</f>
        <v/>
      </c>
      <c r="H77" s="155"/>
    </row>
    <row r="78" spans="1:8" x14ac:dyDescent="0.2">
      <c r="A78" s="160"/>
      <c r="B78" s="121">
        <v>76</v>
      </c>
      <c r="C78" s="159" t="b">
        <v>0</v>
      </c>
      <c r="D78" s="158" t="str">
        <v>H0</v>
      </c>
      <c r="E78" s="157" t="str">
        <f>Currency&amp;$D$1&amp;$E$1&amp;$D78&amp;QuoteSuffix</f>
        <v>EURFUT3MH0_Quote</v>
      </c>
      <c r="F78" s="156" t="str">
        <f>_xll.qlSimpleQuote(E78,,PriceTickValue,Permanent,Trigger,ObjectOverwrite)</f>
        <v>EURFUT3MH0_Quote#0029</v>
      </c>
      <c r="G78" s="119" t="str">
        <f>_xll.ohRangeRetrieveError(F78)</f>
        <v/>
      </c>
      <c r="H78" s="155"/>
    </row>
    <row r="79" spans="1:8" x14ac:dyDescent="0.2">
      <c r="A79" s="160"/>
      <c r="B79" s="121">
        <v>77</v>
      </c>
      <c r="C79" s="159" t="b">
        <v>0</v>
      </c>
      <c r="D79" s="158" t="str">
        <v>J0</v>
      </c>
      <c r="E79" s="157" t="str">
        <f>Currency&amp;$D$1&amp;$E$1&amp;$D79&amp;QuoteSuffix</f>
        <v>EURFUT3MJ0_Quote</v>
      </c>
      <c r="F79" s="156" t="str">
        <f>_xll.qlSimpleQuote(E79,,PriceTickValue,Permanent,Trigger,ObjectOverwrite)</f>
        <v>EURFUT3MJ0_Quote#0029</v>
      </c>
      <c r="G79" s="119" t="str">
        <f>_xll.ohRangeRetrieveError(F79)</f>
        <v/>
      </c>
      <c r="H79" s="155"/>
    </row>
    <row r="80" spans="1:8" x14ac:dyDescent="0.2">
      <c r="A80" s="160"/>
      <c r="B80" s="121">
        <v>78</v>
      </c>
      <c r="C80" s="159" t="b">
        <v>0</v>
      </c>
      <c r="D80" s="158" t="str">
        <v>K0</v>
      </c>
      <c r="E80" s="157" t="str">
        <f>Currency&amp;$D$1&amp;$E$1&amp;$D80&amp;QuoteSuffix</f>
        <v>EURFUT3MK0_Quote</v>
      </c>
      <c r="F80" s="156" t="str">
        <f>_xll.qlSimpleQuote(E80,,PriceTickValue,Permanent,Trigger,ObjectOverwrite)</f>
        <v>EURFUT3MK0_Quote#0029</v>
      </c>
      <c r="G80" s="119" t="str">
        <f>_xll.ohRangeRetrieveError(F80)</f>
        <v/>
      </c>
      <c r="H80" s="155"/>
    </row>
    <row r="81" spans="1:8" x14ac:dyDescent="0.2">
      <c r="A81" s="160"/>
      <c r="B81" s="121">
        <v>79</v>
      </c>
      <c r="C81" s="159" t="b">
        <v>0</v>
      </c>
      <c r="D81" s="158" t="str">
        <v>M0</v>
      </c>
      <c r="E81" s="157" t="str">
        <f>Currency&amp;$D$1&amp;$E$1&amp;$D81&amp;QuoteSuffix</f>
        <v>EURFUT3MM0_Quote</v>
      </c>
      <c r="F81" s="156" t="str">
        <f>_xll.qlSimpleQuote(E81,,PriceTickValue,Permanent,Trigger,ObjectOverwrite)</f>
        <v>EURFUT3MM0_Quote#0029</v>
      </c>
      <c r="G81" s="119" t="str">
        <f>_xll.ohRangeRetrieveError(F81)</f>
        <v/>
      </c>
      <c r="H81" s="155"/>
    </row>
    <row r="82" spans="1:8" x14ac:dyDescent="0.2">
      <c r="A82" s="160"/>
      <c r="B82" s="121">
        <v>80</v>
      </c>
      <c r="C82" s="159" t="b">
        <v>0</v>
      </c>
      <c r="D82" s="158" t="str">
        <v>N0</v>
      </c>
      <c r="E82" s="157" t="str">
        <f>Currency&amp;$D$1&amp;$E$1&amp;$D82&amp;QuoteSuffix</f>
        <v>EURFUT3MN0_Quote</v>
      </c>
      <c r="F82" s="156" t="str">
        <f>_xll.qlSimpleQuote(E82,,PriceTickValue,Permanent,Trigger,ObjectOverwrite)</f>
        <v>EURFUT3MN0_Quote#0029</v>
      </c>
      <c r="G82" s="119" t="str">
        <f>_xll.ohRangeRetrieveError(F82)</f>
        <v/>
      </c>
      <c r="H82" s="155"/>
    </row>
    <row r="83" spans="1:8" x14ac:dyDescent="0.2">
      <c r="A83" s="160"/>
      <c r="B83" s="121">
        <v>81</v>
      </c>
      <c r="C83" s="159" t="b">
        <v>0</v>
      </c>
      <c r="D83" s="158" t="str">
        <v>Q0</v>
      </c>
      <c r="E83" s="157" t="str">
        <f>Currency&amp;$D$1&amp;$E$1&amp;$D83&amp;QuoteSuffix</f>
        <v>EURFUT3MQ0_Quote</v>
      </c>
      <c r="F83" s="156" t="str">
        <f>_xll.qlSimpleQuote(E83,,PriceTickValue,Permanent,Trigger,ObjectOverwrite)</f>
        <v>EURFUT3MQ0_Quote#0029</v>
      </c>
      <c r="G83" s="119" t="str">
        <f>_xll.ohRangeRetrieveError(F83)</f>
        <v/>
      </c>
      <c r="H83" s="155"/>
    </row>
    <row r="84" spans="1:8" x14ac:dyDescent="0.2">
      <c r="A84" s="160"/>
      <c r="B84" s="121">
        <v>82</v>
      </c>
      <c r="C84" s="159" t="b">
        <v>0</v>
      </c>
      <c r="D84" s="158" t="str">
        <v>U0</v>
      </c>
      <c r="E84" s="157" t="str">
        <f>Currency&amp;$D$1&amp;$E$1&amp;$D84&amp;QuoteSuffix</f>
        <v>EURFUT3MU0_Quote</v>
      </c>
      <c r="F84" s="156" t="str">
        <f>_xll.qlSimpleQuote(E84,,PriceTickValue,Permanent,Trigger,ObjectOverwrite)</f>
        <v>EURFUT3MU0_Quote#0029</v>
      </c>
      <c r="G84" s="119" t="str">
        <f>_xll.ohRangeRetrieveError(F84)</f>
        <v/>
      </c>
      <c r="H84" s="155"/>
    </row>
    <row r="85" spans="1:8" x14ac:dyDescent="0.2">
      <c r="A85" s="160"/>
      <c r="B85" s="121">
        <v>83</v>
      </c>
      <c r="C85" s="159" t="b">
        <v>0</v>
      </c>
      <c r="D85" s="158" t="str">
        <v>V0</v>
      </c>
      <c r="E85" s="157" t="str">
        <f>Currency&amp;$D$1&amp;$E$1&amp;$D85&amp;QuoteSuffix</f>
        <v>EURFUT3MV0_Quote</v>
      </c>
      <c r="F85" s="156" t="str">
        <f>_xll.qlSimpleQuote(E85,,PriceTickValue,Permanent,Trigger,ObjectOverwrite)</f>
        <v>EURFUT3MV0_Quote#0029</v>
      </c>
      <c r="G85" s="119" t="str">
        <f>_xll.ohRangeRetrieveError(F85)</f>
        <v/>
      </c>
      <c r="H85" s="155"/>
    </row>
    <row r="86" spans="1:8" x14ac:dyDescent="0.2">
      <c r="A86" s="160"/>
      <c r="B86" s="121">
        <v>84</v>
      </c>
      <c r="C86" s="159" t="b">
        <v>0</v>
      </c>
      <c r="D86" s="158" t="str">
        <v>X0</v>
      </c>
      <c r="E86" s="157" t="str">
        <f>Currency&amp;$D$1&amp;$E$1&amp;$D86&amp;QuoteSuffix</f>
        <v>EURFUT3MX0_Quote</v>
      </c>
      <c r="F86" s="156" t="str">
        <f>_xll.qlSimpleQuote(E86,,PriceTickValue,Permanent,Trigger,ObjectOverwrite)</f>
        <v>EURFUT3MX0_Quote#0029</v>
      </c>
      <c r="G86" s="119" t="str">
        <f>_xll.ohRangeRetrieveError(F86)</f>
        <v/>
      </c>
      <c r="H86" s="155"/>
    </row>
    <row r="87" spans="1:8" x14ac:dyDescent="0.2">
      <c r="A87" s="160"/>
      <c r="B87" s="121">
        <v>85</v>
      </c>
      <c r="C87" s="159" t="b">
        <v>0</v>
      </c>
      <c r="D87" s="158" t="str">
        <v>Z0</v>
      </c>
      <c r="E87" s="157" t="str">
        <f>Currency&amp;$D$1&amp;$E$1&amp;$D87&amp;QuoteSuffix</f>
        <v>EURFUT3MZ0_Quote</v>
      </c>
      <c r="F87" s="156" t="str">
        <f>_xll.qlSimpleQuote(E87,,PriceTickValue,Permanent,Trigger,ObjectOverwrite)</f>
        <v>EURFUT3MZ0_Quote#0029</v>
      </c>
      <c r="G87" s="119" t="str">
        <f>_xll.ohRangeRetrieveError(F87)</f>
        <v/>
      </c>
      <c r="H87" s="155"/>
    </row>
    <row r="88" spans="1:8" x14ac:dyDescent="0.2">
      <c r="A88" s="160"/>
      <c r="B88" s="121">
        <v>86</v>
      </c>
      <c r="C88" s="159" t="b">
        <v>0</v>
      </c>
      <c r="D88" s="158" t="str">
        <v>F1</v>
      </c>
      <c r="E88" s="157" t="str">
        <f>Currency&amp;$D$1&amp;$E$1&amp;$D88&amp;QuoteSuffix</f>
        <v>EURFUT3MF1_Quote</v>
      </c>
      <c r="F88" s="156" t="str">
        <f>_xll.qlSimpleQuote(E88,,PriceTickValue,Permanent,Trigger,ObjectOverwrite)</f>
        <v>EURFUT3MF1_Quote#0029</v>
      </c>
      <c r="G88" s="119" t="str">
        <f>_xll.ohRangeRetrieveError(F88)</f>
        <v/>
      </c>
      <c r="H88" s="155"/>
    </row>
    <row r="89" spans="1:8" x14ac:dyDescent="0.2">
      <c r="A89" s="160"/>
      <c r="B89" s="121">
        <v>87</v>
      </c>
      <c r="C89" s="159" t="b">
        <v>0</v>
      </c>
      <c r="D89" s="158" t="str">
        <v>G1</v>
      </c>
      <c r="E89" s="157" t="str">
        <f>Currency&amp;$D$1&amp;$E$1&amp;$D89&amp;QuoteSuffix</f>
        <v>EURFUT3MG1_Quote</v>
      </c>
      <c r="F89" s="156" t="str">
        <f>_xll.qlSimpleQuote(E89,,PriceTickValue,Permanent,Trigger,ObjectOverwrite)</f>
        <v>EURFUT3MG1_Quote#0029</v>
      </c>
      <c r="G89" s="119" t="str">
        <f>_xll.ohRangeRetrieveError(F89)</f>
        <v/>
      </c>
      <c r="H89" s="155"/>
    </row>
    <row r="90" spans="1:8" x14ac:dyDescent="0.2">
      <c r="A90" s="160"/>
      <c r="B90" s="121">
        <v>88</v>
      </c>
      <c r="C90" s="159" t="b">
        <v>0</v>
      </c>
      <c r="D90" s="158" t="str">
        <v>H1</v>
      </c>
      <c r="E90" s="157" t="str">
        <f>Currency&amp;$D$1&amp;$E$1&amp;$D90&amp;QuoteSuffix</f>
        <v>EURFUT3MH1_Quote</v>
      </c>
      <c r="F90" s="156" t="str">
        <f>_xll.qlSimpleQuote(E90,,PriceTickValue,Permanent,Trigger,ObjectOverwrite)</f>
        <v>EURFUT3MH1_Quote#0029</v>
      </c>
      <c r="G90" s="119" t="str">
        <f>_xll.ohRangeRetrieveError(F90)</f>
        <v/>
      </c>
      <c r="H90" s="155"/>
    </row>
    <row r="91" spans="1:8" x14ac:dyDescent="0.2">
      <c r="A91" s="160"/>
      <c r="B91" s="121">
        <v>89</v>
      </c>
      <c r="C91" s="159" t="b">
        <v>0</v>
      </c>
      <c r="D91" s="158" t="str">
        <v>J1</v>
      </c>
      <c r="E91" s="157" t="str">
        <f>Currency&amp;$D$1&amp;$E$1&amp;$D91&amp;QuoteSuffix</f>
        <v>EURFUT3MJ1_Quote</v>
      </c>
      <c r="F91" s="156" t="str">
        <f>_xll.qlSimpleQuote(E91,,PriceTickValue,Permanent,Trigger,ObjectOverwrite)</f>
        <v>EURFUT3MJ1_Quote#0029</v>
      </c>
      <c r="G91" s="119" t="str">
        <f>_xll.ohRangeRetrieveError(F91)</f>
        <v/>
      </c>
      <c r="H91" s="155"/>
    </row>
    <row r="92" spans="1:8" x14ac:dyDescent="0.2">
      <c r="A92" s="160"/>
      <c r="B92" s="121">
        <v>90</v>
      </c>
      <c r="C92" s="159" t="b">
        <v>0</v>
      </c>
      <c r="D92" s="158" t="str">
        <v>K1</v>
      </c>
      <c r="E92" s="157" t="str">
        <f>Currency&amp;$D$1&amp;$E$1&amp;$D92&amp;QuoteSuffix</f>
        <v>EURFUT3MK1_Quote</v>
      </c>
      <c r="F92" s="156" t="str">
        <f>_xll.qlSimpleQuote(E92,,PriceTickValue,Permanent,Trigger,ObjectOverwrite)</f>
        <v>EURFUT3MK1_Quote#0029</v>
      </c>
      <c r="G92" s="119" t="str">
        <f>_xll.ohRangeRetrieveError(F92)</f>
        <v/>
      </c>
      <c r="H92" s="155"/>
    </row>
    <row r="93" spans="1:8" x14ac:dyDescent="0.2">
      <c r="A93" s="160"/>
      <c r="B93" s="121">
        <v>91</v>
      </c>
      <c r="C93" s="159" t="b">
        <v>0</v>
      </c>
      <c r="D93" s="158" t="str">
        <v>M1</v>
      </c>
      <c r="E93" s="157" t="str">
        <f>Currency&amp;$D$1&amp;$E$1&amp;$D93&amp;QuoteSuffix</f>
        <v>EURFUT3MM1_Quote</v>
      </c>
      <c r="F93" s="156" t="str">
        <f>_xll.qlSimpleQuote(E93,,PriceTickValue,Permanent,Trigger,ObjectOverwrite)</f>
        <v>EURFUT3MM1_Quote#0029</v>
      </c>
      <c r="G93" s="119" t="str">
        <f>_xll.ohRangeRetrieveError(F93)</f>
        <v/>
      </c>
      <c r="H93" s="155"/>
    </row>
    <row r="94" spans="1:8" x14ac:dyDescent="0.2">
      <c r="A94" s="160"/>
      <c r="B94" s="121">
        <v>92</v>
      </c>
      <c r="C94" s="159" t="b">
        <v>0</v>
      </c>
      <c r="D94" s="158" t="str">
        <v>N1</v>
      </c>
      <c r="E94" s="157" t="str">
        <f>Currency&amp;$D$1&amp;$E$1&amp;$D94&amp;QuoteSuffix</f>
        <v>EURFUT3MN1_Quote</v>
      </c>
      <c r="F94" s="156" t="str">
        <f>_xll.qlSimpleQuote(E94,,PriceTickValue,Permanent,Trigger,ObjectOverwrite)</f>
        <v>EURFUT3MN1_Quote#0029</v>
      </c>
      <c r="G94" s="119" t="str">
        <f>_xll.ohRangeRetrieveError(F94)</f>
        <v/>
      </c>
      <c r="H94" s="155"/>
    </row>
    <row r="95" spans="1:8" x14ac:dyDescent="0.2">
      <c r="A95" s="160"/>
      <c r="B95" s="121">
        <v>93</v>
      </c>
      <c r="C95" s="159" t="b">
        <v>0</v>
      </c>
      <c r="D95" s="158" t="str">
        <v>Q1</v>
      </c>
      <c r="E95" s="157" t="str">
        <f>Currency&amp;$D$1&amp;$E$1&amp;$D95&amp;QuoteSuffix</f>
        <v>EURFUT3MQ1_Quote</v>
      </c>
      <c r="F95" s="156" t="str">
        <f>_xll.qlSimpleQuote(E95,,PriceTickValue,Permanent,Trigger,ObjectOverwrite)</f>
        <v>EURFUT3MQ1_Quote#0029</v>
      </c>
      <c r="G95" s="119" t="str">
        <f>_xll.ohRangeRetrieveError(F95)</f>
        <v/>
      </c>
      <c r="H95" s="155"/>
    </row>
    <row r="96" spans="1:8" x14ac:dyDescent="0.2">
      <c r="A96" s="160"/>
      <c r="B96" s="121">
        <v>94</v>
      </c>
      <c r="C96" s="159" t="b">
        <v>0</v>
      </c>
      <c r="D96" s="158" t="str">
        <v>U1</v>
      </c>
      <c r="E96" s="157" t="str">
        <f>Currency&amp;$D$1&amp;$E$1&amp;$D96&amp;QuoteSuffix</f>
        <v>EURFUT3MU1_Quote</v>
      </c>
      <c r="F96" s="156" t="str">
        <f>_xll.qlSimpleQuote(E96,,PriceTickValue,Permanent,Trigger,ObjectOverwrite)</f>
        <v>EURFUT3MU1_Quote#0029</v>
      </c>
      <c r="G96" s="119" t="str">
        <f>_xll.ohRangeRetrieveError(F96)</f>
        <v/>
      </c>
      <c r="H96" s="155"/>
    </row>
    <row r="97" spans="1:8" x14ac:dyDescent="0.2">
      <c r="A97" s="160"/>
      <c r="B97" s="121">
        <v>95</v>
      </c>
      <c r="C97" s="159" t="b">
        <v>0</v>
      </c>
      <c r="D97" s="158" t="str">
        <v>V1</v>
      </c>
      <c r="E97" s="157" t="str">
        <f>Currency&amp;$D$1&amp;$E$1&amp;$D97&amp;QuoteSuffix</f>
        <v>EURFUT3MV1_Quote</v>
      </c>
      <c r="F97" s="156" t="str">
        <f>_xll.qlSimpleQuote(E97,,PriceTickValue,Permanent,Trigger,ObjectOverwrite)</f>
        <v>EURFUT3MV1_Quote#0029</v>
      </c>
      <c r="G97" s="119" t="str">
        <f>_xll.ohRangeRetrieveError(F97)</f>
        <v/>
      </c>
      <c r="H97" s="155"/>
    </row>
    <row r="98" spans="1:8" x14ac:dyDescent="0.2">
      <c r="A98" s="160"/>
      <c r="B98" s="121">
        <v>96</v>
      </c>
      <c r="C98" s="159" t="b">
        <v>0</v>
      </c>
      <c r="D98" s="158" t="str">
        <v>X1</v>
      </c>
      <c r="E98" s="157" t="str">
        <f>Currency&amp;$D$1&amp;$E$1&amp;$D98&amp;QuoteSuffix</f>
        <v>EURFUT3MX1_Quote</v>
      </c>
      <c r="F98" s="156" t="str">
        <f>_xll.qlSimpleQuote(E98,,PriceTickValue,Permanent,Trigger,ObjectOverwrite)</f>
        <v>EURFUT3MX1_Quote#0029</v>
      </c>
      <c r="G98" s="119" t="str">
        <f>_xll.ohRangeRetrieveError(F98)</f>
        <v/>
      </c>
      <c r="H98" s="155"/>
    </row>
    <row r="99" spans="1:8" x14ac:dyDescent="0.2">
      <c r="A99" s="160"/>
      <c r="B99" s="121">
        <v>97</v>
      </c>
      <c r="C99" s="159" t="b">
        <v>0</v>
      </c>
      <c r="D99" s="158" t="str">
        <v>Z1</v>
      </c>
      <c r="E99" s="157" t="str">
        <f>Currency&amp;$D$1&amp;$E$1&amp;$D99&amp;QuoteSuffix</f>
        <v>EURFUT3MZ1_Quote</v>
      </c>
      <c r="F99" s="156" t="str">
        <f>_xll.qlSimpleQuote(E99,,PriceTickValue,Permanent,Trigger,ObjectOverwrite)</f>
        <v>EURFUT3MZ1_Quote#0029</v>
      </c>
      <c r="G99" s="119" t="str">
        <f>_xll.ohRangeRetrieveError(F99)</f>
        <v/>
      </c>
      <c r="H99" s="155"/>
    </row>
    <row r="100" spans="1:8" x14ac:dyDescent="0.2">
      <c r="A100" s="160"/>
      <c r="B100" s="121">
        <v>98</v>
      </c>
      <c r="C100" s="159" t="b">
        <v>0</v>
      </c>
      <c r="D100" s="158" t="str">
        <v>F2</v>
      </c>
      <c r="E100" s="157" t="str">
        <f>Currency&amp;$D$1&amp;$E$1&amp;$D100&amp;QuoteSuffix</f>
        <v>EURFUT3MF2_Quote</v>
      </c>
      <c r="F100" s="156" t="str">
        <f>_xll.qlSimpleQuote(E100,,PriceTickValue,Permanent,Trigger,ObjectOverwrite)</f>
        <v>EURFUT3MF2_Quote#0029</v>
      </c>
      <c r="G100" s="119" t="str">
        <f>_xll.ohRangeRetrieveError(F100)</f>
        <v/>
      </c>
      <c r="H100" s="155"/>
    </row>
    <row r="101" spans="1:8" x14ac:dyDescent="0.2">
      <c r="A101" s="160"/>
      <c r="B101" s="121">
        <v>99</v>
      </c>
      <c r="C101" s="159" t="b">
        <v>0</v>
      </c>
      <c r="D101" s="158" t="str">
        <v>G2</v>
      </c>
      <c r="E101" s="157" t="str">
        <f>Currency&amp;$D$1&amp;$E$1&amp;$D101&amp;QuoteSuffix</f>
        <v>EURFUT3MG2_Quote</v>
      </c>
      <c r="F101" s="156" t="str">
        <f>_xll.qlSimpleQuote(E101,,PriceTickValue,Permanent,Trigger,ObjectOverwrite)</f>
        <v>EURFUT3MG2_Quote#0029</v>
      </c>
      <c r="G101" s="119" t="str">
        <f>_xll.ohRangeRetrieveError(F101)</f>
        <v/>
      </c>
      <c r="H101" s="155"/>
    </row>
    <row r="102" spans="1:8" x14ac:dyDescent="0.2">
      <c r="A102" s="160"/>
      <c r="B102" s="121">
        <v>100</v>
      </c>
      <c r="C102" s="159" t="b">
        <v>0</v>
      </c>
      <c r="D102" s="158" t="str">
        <v>H2</v>
      </c>
      <c r="E102" s="157" t="str">
        <f>Currency&amp;$D$1&amp;$E$1&amp;$D102&amp;QuoteSuffix</f>
        <v>EURFUT3MH2_Quote</v>
      </c>
      <c r="F102" s="156" t="str">
        <f>_xll.qlSimpleQuote(E102,,PriceTickValue,Permanent,Trigger,ObjectOverwrite)</f>
        <v>EURFUT3MH2_Quote#0029</v>
      </c>
      <c r="G102" s="119" t="str">
        <f>_xll.ohRangeRetrieveError(F102)</f>
        <v/>
      </c>
      <c r="H102" s="155"/>
    </row>
    <row r="103" spans="1:8" x14ac:dyDescent="0.2">
      <c r="A103" s="160"/>
      <c r="B103" s="121">
        <v>101</v>
      </c>
      <c r="C103" s="159" t="b">
        <v>0</v>
      </c>
      <c r="D103" s="158" t="str">
        <v>J2</v>
      </c>
      <c r="E103" s="157" t="str">
        <f>Currency&amp;$D$1&amp;$E$1&amp;$D103&amp;QuoteSuffix</f>
        <v>EURFUT3MJ2_Quote</v>
      </c>
      <c r="F103" s="156" t="str">
        <f>_xll.qlSimpleQuote(E103,,PriceTickValue,Permanent,Trigger,ObjectOverwrite)</f>
        <v>EURFUT3MJ2_Quote#0029</v>
      </c>
      <c r="G103" s="119" t="str">
        <f>_xll.ohRangeRetrieveError(F103)</f>
        <v/>
      </c>
      <c r="H103" s="155"/>
    </row>
    <row r="104" spans="1:8" x14ac:dyDescent="0.2">
      <c r="A104" s="160"/>
      <c r="B104" s="121">
        <v>102</v>
      </c>
      <c r="C104" s="159" t="b">
        <v>0</v>
      </c>
      <c r="D104" s="158" t="str">
        <v>K2</v>
      </c>
      <c r="E104" s="157" t="str">
        <f>Currency&amp;$D$1&amp;$E$1&amp;$D104&amp;QuoteSuffix</f>
        <v>EURFUT3MK2_Quote</v>
      </c>
      <c r="F104" s="156" t="str">
        <f>_xll.qlSimpleQuote(E104,,PriceTickValue,Permanent,Trigger,ObjectOverwrite)</f>
        <v>EURFUT3MK2_Quote#0029</v>
      </c>
      <c r="G104" s="119" t="str">
        <f>_xll.ohRangeRetrieveError(F104)</f>
        <v/>
      </c>
      <c r="H104" s="155"/>
    </row>
    <row r="105" spans="1:8" x14ac:dyDescent="0.2">
      <c r="A105" s="160"/>
      <c r="B105" s="121">
        <v>103</v>
      </c>
      <c r="C105" s="159" t="b">
        <v>0</v>
      </c>
      <c r="D105" s="158" t="str">
        <v>M2</v>
      </c>
      <c r="E105" s="157" t="str">
        <f>Currency&amp;$D$1&amp;$E$1&amp;$D105&amp;QuoteSuffix</f>
        <v>EURFUT3MM2_Quote</v>
      </c>
      <c r="F105" s="156" t="str">
        <f>_xll.qlSimpleQuote(E105,,PriceTickValue,Permanent,Trigger,ObjectOverwrite)</f>
        <v>EURFUT3MM2_Quote#0029</v>
      </c>
      <c r="G105" s="119" t="str">
        <f>_xll.ohRangeRetrieveError(F105)</f>
        <v/>
      </c>
      <c r="H105" s="155"/>
    </row>
    <row r="106" spans="1:8" x14ac:dyDescent="0.2">
      <c r="A106" s="160"/>
      <c r="B106" s="121">
        <v>104</v>
      </c>
      <c r="C106" s="159" t="b">
        <v>0</v>
      </c>
      <c r="D106" s="158" t="str">
        <v>N2</v>
      </c>
      <c r="E106" s="157" t="str">
        <f>Currency&amp;$D$1&amp;$E$1&amp;$D106&amp;QuoteSuffix</f>
        <v>EURFUT3MN2_Quote</v>
      </c>
      <c r="F106" s="156" t="str">
        <f>_xll.qlSimpleQuote(E106,,PriceTickValue,Permanent,Trigger,ObjectOverwrite)</f>
        <v>EURFUT3MN2_Quote#0029</v>
      </c>
      <c r="G106" s="119" t="str">
        <f>_xll.ohRangeRetrieveError(F106)</f>
        <v/>
      </c>
      <c r="H106" s="155"/>
    </row>
    <row r="107" spans="1:8" x14ac:dyDescent="0.2">
      <c r="A107" s="160"/>
      <c r="B107" s="121">
        <v>105</v>
      </c>
      <c r="C107" s="159" t="b">
        <v>0</v>
      </c>
      <c r="D107" s="158" t="str">
        <v>Q2</v>
      </c>
      <c r="E107" s="157" t="str">
        <f>Currency&amp;$D$1&amp;$E$1&amp;$D107&amp;QuoteSuffix</f>
        <v>EURFUT3MQ2_Quote</v>
      </c>
      <c r="F107" s="156" t="str">
        <f>_xll.qlSimpleQuote(E107,,PriceTickValue,Permanent,Trigger,ObjectOverwrite)</f>
        <v>EURFUT3MQ2_Quote#0029</v>
      </c>
      <c r="G107" s="119" t="str">
        <f>_xll.ohRangeRetrieveError(F107)</f>
        <v/>
      </c>
      <c r="H107" s="155"/>
    </row>
    <row r="108" spans="1:8" x14ac:dyDescent="0.2">
      <c r="A108" s="160"/>
      <c r="B108" s="121">
        <v>106</v>
      </c>
      <c r="C108" s="159" t="b">
        <v>0</v>
      </c>
      <c r="D108" s="158" t="str">
        <v>U2</v>
      </c>
      <c r="E108" s="157" t="str">
        <f>Currency&amp;$D$1&amp;$E$1&amp;$D108&amp;QuoteSuffix</f>
        <v>EURFUT3MU2_Quote</v>
      </c>
      <c r="F108" s="156" t="str">
        <f>_xll.qlSimpleQuote(E108,,PriceTickValue,Permanent,Trigger,ObjectOverwrite)</f>
        <v>EURFUT3MU2_Quote#0029</v>
      </c>
      <c r="G108" s="119" t="str">
        <f>_xll.ohRangeRetrieveError(F108)</f>
        <v/>
      </c>
      <c r="H108" s="155"/>
    </row>
    <row r="109" spans="1:8" x14ac:dyDescent="0.2">
      <c r="A109" s="160"/>
      <c r="B109" s="121">
        <v>107</v>
      </c>
      <c r="C109" s="159" t="b">
        <v>0</v>
      </c>
      <c r="D109" s="158" t="str">
        <v>V2</v>
      </c>
      <c r="E109" s="157" t="str">
        <f>Currency&amp;$D$1&amp;$E$1&amp;$D109&amp;QuoteSuffix</f>
        <v>EURFUT3MV2_Quote</v>
      </c>
      <c r="F109" s="156" t="str">
        <f>_xll.qlSimpleQuote(E109,,PriceTickValue,Permanent,Trigger,ObjectOverwrite)</f>
        <v>EURFUT3MV2_Quote#0029</v>
      </c>
      <c r="G109" s="119" t="str">
        <f>_xll.ohRangeRetrieveError(F109)</f>
        <v/>
      </c>
      <c r="H109" s="155"/>
    </row>
    <row r="110" spans="1:8" x14ac:dyDescent="0.2">
      <c r="A110" s="160"/>
      <c r="B110" s="121">
        <v>108</v>
      </c>
      <c r="C110" s="159" t="b">
        <v>0</v>
      </c>
      <c r="D110" s="158" t="str">
        <v>X2</v>
      </c>
      <c r="E110" s="157" t="str">
        <f>Currency&amp;$D$1&amp;$E$1&amp;$D110&amp;QuoteSuffix</f>
        <v>EURFUT3MX2_Quote</v>
      </c>
      <c r="F110" s="156" t="str">
        <f>_xll.qlSimpleQuote(E110,,PriceTickValue,Permanent,Trigger,ObjectOverwrite)</f>
        <v>EURFUT3MX2_Quote#0029</v>
      </c>
      <c r="G110" s="119" t="str">
        <f>_xll.ohRangeRetrieveError(F110)</f>
        <v/>
      </c>
      <c r="H110" s="155"/>
    </row>
    <row r="111" spans="1:8" x14ac:dyDescent="0.2">
      <c r="A111" s="160"/>
      <c r="B111" s="121">
        <v>109</v>
      </c>
      <c r="C111" s="159" t="b">
        <v>0</v>
      </c>
      <c r="D111" s="158" t="str">
        <v>Z2</v>
      </c>
      <c r="E111" s="157" t="str">
        <f>Currency&amp;$D$1&amp;$E$1&amp;$D111&amp;QuoteSuffix</f>
        <v>EURFUT3MZ2_Quote</v>
      </c>
      <c r="F111" s="156" t="str">
        <f>_xll.qlSimpleQuote(E111,,PriceTickValue,Permanent,Trigger,ObjectOverwrite)</f>
        <v>EURFUT3MZ2_Quote#0029</v>
      </c>
      <c r="G111" s="119" t="str">
        <f>_xll.ohRangeRetrieveError(F111)</f>
        <v/>
      </c>
      <c r="H111" s="155"/>
    </row>
    <row r="112" spans="1:8" x14ac:dyDescent="0.2">
      <c r="A112" s="160"/>
      <c r="B112" s="121">
        <v>110</v>
      </c>
      <c r="C112" s="159" t="b">
        <v>0</v>
      </c>
      <c r="D112" s="158" t="str">
        <v>F3</v>
      </c>
      <c r="E112" s="157" t="str">
        <f>Currency&amp;$D$1&amp;$E$1&amp;$D112&amp;QuoteSuffix</f>
        <v>EURFUT3MF3_Quote</v>
      </c>
      <c r="F112" s="156" t="str">
        <f>_xll.qlSimpleQuote(E112,,PriceTickValue,Permanent,Trigger,ObjectOverwrite)</f>
        <v>EURFUT3MF3_Quote#0029</v>
      </c>
      <c r="G112" s="119" t="str">
        <f>_xll.ohRangeRetrieveError(F112)</f>
        <v/>
      </c>
      <c r="H112" s="155"/>
    </row>
    <row r="113" spans="1:8" x14ac:dyDescent="0.2">
      <c r="A113" s="160"/>
      <c r="B113" s="121">
        <v>111</v>
      </c>
      <c r="C113" s="159" t="b">
        <v>0</v>
      </c>
      <c r="D113" s="158" t="str">
        <v>G3</v>
      </c>
      <c r="E113" s="157" t="str">
        <f>Currency&amp;$D$1&amp;$E$1&amp;$D113&amp;QuoteSuffix</f>
        <v>EURFUT3MG3_Quote</v>
      </c>
      <c r="F113" s="156" t="str">
        <f>_xll.qlSimpleQuote(E113,,PriceTickValue,Permanent,Trigger,ObjectOverwrite)</f>
        <v>EURFUT3MG3_Quote#0029</v>
      </c>
      <c r="G113" s="119" t="str">
        <f>_xll.ohRangeRetrieveError(F113)</f>
        <v/>
      </c>
      <c r="H113" s="155"/>
    </row>
    <row r="114" spans="1:8" x14ac:dyDescent="0.2">
      <c r="A114" s="160"/>
      <c r="B114" s="121">
        <v>112</v>
      </c>
      <c r="C114" s="159" t="b">
        <v>0</v>
      </c>
      <c r="D114" s="158" t="str">
        <v>H3</v>
      </c>
      <c r="E114" s="157" t="str">
        <f>Currency&amp;$D$1&amp;$E$1&amp;$D114&amp;QuoteSuffix</f>
        <v>EURFUT3MH3_Quote</v>
      </c>
      <c r="F114" s="156" t="str">
        <f>_xll.qlSimpleQuote(E114,,PriceTickValue,Permanent,Trigger,ObjectOverwrite)</f>
        <v>EURFUT3MH3_Quote#0029</v>
      </c>
      <c r="G114" s="119" t="str">
        <f>_xll.ohRangeRetrieveError(F114)</f>
        <v/>
      </c>
      <c r="H114" s="155"/>
    </row>
    <row r="115" spans="1:8" x14ac:dyDescent="0.2">
      <c r="A115" s="160"/>
      <c r="B115" s="121">
        <v>113</v>
      </c>
      <c r="C115" s="159" t="b">
        <v>0</v>
      </c>
      <c r="D115" s="158" t="str">
        <v>J3</v>
      </c>
      <c r="E115" s="157" t="str">
        <f>Currency&amp;$D$1&amp;$E$1&amp;$D115&amp;QuoteSuffix</f>
        <v>EURFUT3MJ3_Quote</v>
      </c>
      <c r="F115" s="156" t="str">
        <f>_xll.qlSimpleQuote(E115,,PriceTickValue,Permanent,Trigger,ObjectOverwrite)</f>
        <v>EURFUT3MJ3_Quote#0029</v>
      </c>
      <c r="G115" s="119" t="str">
        <f>_xll.ohRangeRetrieveError(F115)</f>
        <v/>
      </c>
      <c r="H115" s="155"/>
    </row>
    <row r="116" spans="1:8" x14ac:dyDescent="0.2">
      <c r="A116" s="160"/>
      <c r="B116" s="121">
        <v>114</v>
      </c>
      <c r="C116" s="159" t="b">
        <v>0</v>
      </c>
      <c r="D116" s="158" t="str">
        <v>K3</v>
      </c>
      <c r="E116" s="157" t="str">
        <f>Currency&amp;$D$1&amp;$E$1&amp;$D116&amp;QuoteSuffix</f>
        <v>EURFUT3MK3_Quote</v>
      </c>
      <c r="F116" s="156" t="str">
        <f>_xll.qlSimpleQuote(E116,,PriceTickValue,Permanent,Trigger,ObjectOverwrite)</f>
        <v>EURFUT3MK3_Quote#0029</v>
      </c>
      <c r="G116" s="119" t="str">
        <f>_xll.ohRangeRetrieveError(F116)</f>
        <v/>
      </c>
      <c r="H116" s="155"/>
    </row>
    <row r="117" spans="1:8" x14ac:dyDescent="0.2">
      <c r="A117" s="160"/>
      <c r="B117" s="121">
        <v>115</v>
      </c>
      <c r="C117" s="159" t="b">
        <v>0</v>
      </c>
      <c r="D117" s="158" t="str">
        <v>M3</v>
      </c>
      <c r="E117" s="157" t="str">
        <f>Currency&amp;$D$1&amp;$E$1&amp;$D117&amp;QuoteSuffix</f>
        <v>EURFUT3MM3_Quote</v>
      </c>
      <c r="F117" s="156" t="str">
        <f>_xll.qlSimpleQuote(E117,,PriceTickValue,Permanent,Trigger,ObjectOverwrite)</f>
        <v>EURFUT3MM3_Quote#0029</v>
      </c>
      <c r="G117" s="119" t="str">
        <f>_xll.ohRangeRetrieveError(F117)</f>
        <v/>
      </c>
      <c r="H117" s="155"/>
    </row>
    <row r="118" spans="1:8" x14ac:dyDescent="0.2">
      <c r="A118" s="160"/>
      <c r="B118" s="121">
        <v>116</v>
      </c>
      <c r="C118" s="159" t="b">
        <v>0</v>
      </c>
      <c r="D118" s="158" t="str">
        <v>N3</v>
      </c>
      <c r="E118" s="157" t="str">
        <f>Currency&amp;$D$1&amp;$E$1&amp;$D118&amp;QuoteSuffix</f>
        <v>EURFUT3MN3_Quote</v>
      </c>
      <c r="F118" s="156" t="str">
        <f>_xll.qlSimpleQuote(E118,,PriceTickValue,Permanent,Trigger,ObjectOverwrite)</f>
        <v>EURFUT3MN3_Quote#0029</v>
      </c>
      <c r="G118" s="119" t="str">
        <f>_xll.ohRangeRetrieveError(F118)</f>
        <v/>
      </c>
      <c r="H118" s="155"/>
    </row>
    <row r="119" spans="1:8" x14ac:dyDescent="0.2">
      <c r="A119" s="160"/>
      <c r="B119" s="121">
        <v>117</v>
      </c>
      <c r="C119" s="159" t="b">
        <v>0</v>
      </c>
      <c r="D119" s="158" t="str">
        <v>Q3</v>
      </c>
      <c r="E119" s="157" t="str">
        <f>Currency&amp;$D$1&amp;$E$1&amp;$D119&amp;QuoteSuffix</f>
        <v>EURFUT3MQ3_Quote</v>
      </c>
      <c r="F119" s="156" t="str">
        <f>_xll.qlSimpleQuote(E119,,PriceTickValue,Permanent,Trigger,ObjectOverwrite)</f>
        <v>EURFUT3MQ3_Quote#0029</v>
      </c>
      <c r="G119" s="119" t="str">
        <f>_xll.ohRangeRetrieveError(F119)</f>
        <v/>
      </c>
      <c r="H119" s="155"/>
    </row>
    <row r="120" spans="1:8" x14ac:dyDescent="0.2">
      <c r="A120" s="160"/>
      <c r="B120" s="121">
        <v>118</v>
      </c>
      <c r="C120" s="159" t="b">
        <v>0</v>
      </c>
      <c r="D120" s="158" t="str">
        <v>U3</v>
      </c>
      <c r="E120" s="157" t="str">
        <f>Currency&amp;$D$1&amp;$E$1&amp;$D120&amp;QuoteSuffix</f>
        <v>EURFUT3MU3_Quote</v>
      </c>
      <c r="F120" s="156" t="str">
        <f>_xll.qlSimpleQuote(E120,,PriceTickValue,Permanent,Trigger,ObjectOverwrite)</f>
        <v>EURFUT3MU3_Quote#0029</v>
      </c>
      <c r="G120" s="119" t="str">
        <f>_xll.ohRangeRetrieveError(F120)</f>
        <v/>
      </c>
      <c r="H120" s="155"/>
    </row>
    <row r="121" spans="1:8" x14ac:dyDescent="0.2">
      <c r="A121" s="160"/>
      <c r="B121" s="121">
        <v>119</v>
      </c>
      <c r="C121" s="159" t="b">
        <v>0</v>
      </c>
      <c r="D121" s="158" t="str">
        <v>V3</v>
      </c>
      <c r="E121" s="157" t="str">
        <f>Currency&amp;$D$1&amp;$E$1&amp;$D121&amp;QuoteSuffix</f>
        <v>EURFUT3MV3_Quote</v>
      </c>
      <c r="F121" s="156" t="str">
        <f>_xll.qlSimpleQuote(E121,,PriceTickValue,Permanent,Trigger,ObjectOverwrite)</f>
        <v>EURFUT3MV3_Quote#0029</v>
      </c>
      <c r="G121" s="119" t="str">
        <f>_xll.ohRangeRetrieveError(F121)</f>
        <v/>
      </c>
      <c r="H121" s="155"/>
    </row>
    <row r="122" spans="1:8" x14ac:dyDescent="0.2">
      <c r="A122" s="160"/>
      <c r="B122" s="121">
        <v>120</v>
      </c>
      <c r="C122" s="159" t="b">
        <v>0</v>
      </c>
      <c r="D122" s="158" t="str">
        <v>X3</v>
      </c>
      <c r="E122" s="157" t="str">
        <f>Currency&amp;$D$1&amp;$E$1&amp;$D122&amp;QuoteSuffix</f>
        <v>EURFUT3MX3_Quote</v>
      </c>
      <c r="F122" s="156" t="str">
        <f>_xll.qlSimpleQuote(E122,,PriceTickValue,Permanent,Trigger,ObjectOverwrite)</f>
        <v>EURFUT3MX3_Quote#0029</v>
      </c>
      <c r="G122" s="119" t="str">
        <f>_xll.ohRangeRetrieveError(F122)</f>
        <v/>
      </c>
      <c r="H122" s="155"/>
    </row>
    <row r="123" spans="1:8" ht="12" thickBot="1" x14ac:dyDescent="0.25">
      <c r="A123" s="154"/>
      <c r="B123" s="153"/>
      <c r="C123" s="153"/>
      <c r="D123" s="153"/>
      <c r="E123" s="153"/>
      <c r="F123" s="153"/>
      <c r="G123" s="153"/>
      <c r="H123" s="152"/>
    </row>
  </sheetData>
  <pageMargins left="0.75" right="0.75" top="1" bottom="1" header="0.5" footer="0.5"/>
  <pageSetup paperSize="9"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3"/>
  <sheetViews>
    <sheetView workbookViewId="0"/>
  </sheetViews>
  <sheetFormatPr defaultRowHeight="11.25" x14ac:dyDescent="0.2"/>
  <cols>
    <col min="1" max="1" width="3.28515625" style="77" customWidth="1"/>
    <col min="2" max="2" width="3.5703125" style="77" bestFit="1" customWidth="1"/>
    <col min="3" max="3" width="5.7109375" style="77" bestFit="1" customWidth="1"/>
    <col min="4" max="4" width="6.5703125" style="77" bestFit="1" customWidth="1"/>
    <col min="5" max="5" width="20.140625" style="77" bestFit="1" customWidth="1"/>
    <col min="6" max="6" width="23.140625" style="77" bestFit="1" customWidth="1"/>
    <col min="7" max="7" width="33.85546875" style="77" customWidth="1"/>
    <col min="8" max="8" width="4.5703125" style="77" customWidth="1"/>
    <col min="9" max="16384" width="9.140625" style="77"/>
  </cols>
  <sheetData>
    <row r="1" spans="1:8" x14ac:dyDescent="0.2">
      <c r="A1" s="171" t="s">
        <v>191</v>
      </c>
      <c r="B1" s="170"/>
      <c r="C1" s="170"/>
      <c r="D1" s="169" t="s">
        <v>190</v>
      </c>
      <c r="E1" s="169" t="s">
        <v>40</v>
      </c>
      <c r="F1" s="168"/>
      <c r="G1" s="168"/>
      <c r="H1" s="167"/>
    </row>
    <row r="2" spans="1:8" ht="22.5" x14ac:dyDescent="0.2">
      <c r="A2" s="166"/>
      <c r="B2" s="102" t="s">
        <v>188</v>
      </c>
      <c r="C2" s="103" t="s">
        <v>187</v>
      </c>
      <c r="D2" s="103" t="s">
        <v>186</v>
      </c>
      <c r="E2" s="101" t="str">
        <f>Currency&amp;"_010_"&amp;$D$1&amp;$E$1&amp;".xml"</f>
        <v>EUR_010_IMMFRA6M.xml</v>
      </c>
      <c r="F2" s="100">
        <f ca="1">IF(Serialize,_xll.ohObjectSave(F3:F122,SerializationPath&amp;E2,FileOverwrite,Serialize),"---")</f>
        <v>120</v>
      </c>
      <c r="G2" s="122" t="str">
        <f ca="1">_xll.ohRangeRetrieveError(F2)</f>
        <v/>
      </c>
      <c r="H2" s="155"/>
    </row>
    <row r="3" spans="1:8" x14ac:dyDescent="0.2">
      <c r="A3" s="160"/>
      <c r="B3" s="165">
        <v>1</v>
      </c>
      <c r="C3" s="164" t="b">
        <v>0</v>
      </c>
      <c r="D3" s="163" t="str">
        <f t="array" ref="D3:D122">_xll.qlIMMNextCodes(_xll.qlSettingsEvaluationDate(Trigger)-1,$C3:$C122)</f>
        <v>Z3</v>
      </c>
      <c r="E3" s="157" t="str">
        <f>Currency&amp;$D$1&amp;$E$1&amp;$D3&amp;QuoteSuffix</f>
        <v>EURIMMFRA6MZ3_Quote</v>
      </c>
      <c r="F3" s="162" t="str">
        <f>_xll.qlSimpleQuote(E3,,PriceTickValue,Permanent,Trigger,ObjectOverwrite)</f>
        <v>EURIMMFRA6MZ3_Quote#0028</v>
      </c>
      <c r="G3" s="161" t="str">
        <f>_xll.ohRangeRetrieveError(F3)</f>
        <v/>
      </c>
      <c r="H3" s="155"/>
    </row>
    <row r="4" spans="1:8" x14ac:dyDescent="0.2">
      <c r="A4" s="160"/>
      <c r="B4" s="121">
        <v>2</v>
      </c>
      <c r="C4" s="159" t="b">
        <v>0</v>
      </c>
      <c r="D4" s="158" t="str">
        <v>F4</v>
      </c>
      <c r="E4" s="157" t="str">
        <f>Currency&amp;$D$1&amp;$E$1&amp;$D4&amp;QuoteSuffix</f>
        <v>EURIMMFRA6MF4_Quote</v>
      </c>
      <c r="F4" s="156" t="str">
        <f>_xll.qlSimpleQuote(E4,,PriceTickValue,Permanent,Trigger,ObjectOverwrite)</f>
        <v>EURIMMFRA6MF4_Quote#0028</v>
      </c>
      <c r="G4" s="119" t="str">
        <f>_xll.ohRangeRetrieveError(F4)</f>
        <v/>
      </c>
      <c r="H4" s="155"/>
    </row>
    <row r="5" spans="1:8" x14ac:dyDescent="0.2">
      <c r="A5" s="160"/>
      <c r="B5" s="121">
        <v>3</v>
      </c>
      <c r="C5" s="159" t="b">
        <v>0</v>
      </c>
      <c r="D5" s="158" t="str">
        <v>G4</v>
      </c>
      <c r="E5" s="157" t="str">
        <f>Currency&amp;$D$1&amp;$E$1&amp;$D5&amp;QuoteSuffix</f>
        <v>EURIMMFRA6MG4_Quote</v>
      </c>
      <c r="F5" s="156" t="str">
        <f>_xll.qlSimpleQuote(E5,,PriceTickValue,Permanent,Trigger,ObjectOverwrite)</f>
        <v>EURIMMFRA6MG4_Quote#0028</v>
      </c>
      <c r="G5" s="119" t="str">
        <f>_xll.ohRangeRetrieveError(F5)</f>
        <v/>
      </c>
      <c r="H5" s="155"/>
    </row>
    <row r="6" spans="1:8" x14ac:dyDescent="0.2">
      <c r="A6" s="160"/>
      <c r="B6" s="121">
        <v>4</v>
      </c>
      <c r="C6" s="159" t="b">
        <v>0</v>
      </c>
      <c r="D6" s="158" t="str">
        <v>H4</v>
      </c>
      <c r="E6" s="157" t="str">
        <f>Currency&amp;$D$1&amp;$E$1&amp;$D6&amp;QuoteSuffix</f>
        <v>EURIMMFRA6MH4_Quote</v>
      </c>
      <c r="F6" s="156" t="str">
        <f>_xll.qlSimpleQuote(E6,,PriceTickValue,Permanent,Trigger,ObjectOverwrite)</f>
        <v>EURIMMFRA6MH4_Quote#0028</v>
      </c>
      <c r="G6" s="119" t="str">
        <f>_xll.ohRangeRetrieveError(F6)</f>
        <v/>
      </c>
      <c r="H6" s="155"/>
    </row>
    <row r="7" spans="1:8" x14ac:dyDescent="0.2">
      <c r="A7" s="160"/>
      <c r="B7" s="121">
        <v>5</v>
      </c>
      <c r="C7" s="159" t="b">
        <v>0</v>
      </c>
      <c r="D7" s="158" t="str">
        <v>J4</v>
      </c>
      <c r="E7" s="157" t="str">
        <f>Currency&amp;$D$1&amp;$E$1&amp;$D7&amp;QuoteSuffix</f>
        <v>EURIMMFRA6MJ4_Quote</v>
      </c>
      <c r="F7" s="156" t="str">
        <f>_xll.qlSimpleQuote(E7,,PriceTickValue,Permanent,Trigger,ObjectOverwrite)</f>
        <v>EURIMMFRA6MJ4_Quote#0028</v>
      </c>
      <c r="G7" s="119" t="str">
        <f>_xll.ohRangeRetrieveError(F7)</f>
        <v/>
      </c>
      <c r="H7" s="155"/>
    </row>
    <row r="8" spans="1:8" x14ac:dyDescent="0.2">
      <c r="A8" s="160"/>
      <c r="B8" s="121">
        <v>6</v>
      </c>
      <c r="C8" s="159" t="b">
        <v>0</v>
      </c>
      <c r="D8" s="158" t="str">
        <v>K4</v>
      </c>
      <c r="E8" s="157" t="str">
        <f>Currency&amp;$D$1&amp;$E$1&amp;$D8&amp;QuoteSuffix</f>
        <v>EURIMMFRA6MK4_Quote</v>
      </c>
      <c r="F8" s="156" t="str">
        <f>_xll.qlSimpleQuote(E8,,PriceTickValue,Permanent,Trigger,ObjectOverwrite)</f>
        <v>EURIMMFRA6MK4_Quote#0028</v>
      </c>
      <c r="G8" s="119" t="str">
        <f>_xll.ohRangeRetrieveError(F8)</f>
        <v/>
      </c>
      <c r="H8" s="155"/>
    </row>
    <row r="9" spans="1:8" x14ac:dyDescent="0.2">
      <c r="A9" s="160"/>
      <c r="B9" s="121">
        <v>7</v>
      </c>
      <c r="C9" s="159" t="b">
        <v>0</v>
      </c>
      <c r="D9" s="158" t="str">
        <v>M4</v>
      </c>
      <c r="E9" s="157" t="str">
        <f>Currency&amp;$D$1&amp;$E$1&amp;$D9&amp;QuoteSuffix</f>
        <v>EURIMMFRA6MM4_Quote</v>
      </c>
      <c r="F9" s="156" t="str">
        <f>_xll.qlSimpleQuote(E9,,PriceTickValue,Permanent,Trigger,ObjectOverwrite)</f>
        <v>EURIMMFRA6MM4_Quote#0028</v>
      </c>
      <c r="G9" s="119" t="str">
        <f>_xll.ohRangeRetrieveError(F9)</f>
        <v/>
      </c>
      <c r="H9" s="155"/>
    </row>
    <row r="10" spans="1:8" x14ac:dyDescent="0.2">
      <c r="A10" s="160"/>
      <c r="B10" s="121">
        <v>8</v>
      </c>
      <c r="C10" s="159" t="b">
        <v>0</v>
      </c>
      <c r="D10" s="158" t="str">
        <v>N4</v>
      </c>
      <c r="E10" s="157" t="str">
        <f>Currency&amp;$D$1&amp;$E$1&amp;$D10&amp;QuoteSuffix</f>
        <v>EURIMMFRA6MN4_Quote</v>
      </c>
      <c r="F10" s="156" t="str">
        <f>_xll.qlSimpleQuote(E10,,PriceTickValue,Permanent,Trigger,ObjectOverwrite)</f>
        <v>EURIMMFRA6MN4_Quote#0028</v>
      </c>
      <c r="G10" s="119" t="str">
        <f>_xll.ohRangeRetrieveError(F10)</f>
        <v/>
      </c>
      <c r="H10" s="155"/>
    </row>
    <row r="11" spans="1:8" x14ac:dyDescent="0.2">
      <c r="A11" s="160"/>
      <c r="B11" s="121">
        <v>9</v>
      </c>
      <c r="C11" s="159" t="b">
        <v>0</v>
      </c>
      <c r="D11" s="158" t="str">
        <v>Q4</v>
      </c>
      <c r="E11" s="157" t="str">
        <f>Currency&amp;$D$1&amp;$E$1&amp;$D11&amp;QuoteSuffix</f>
        <v>EURIMMFRA6MQ4_Quote</v>
      </c>
      <c r="F11" s="156" t="str">
        <f>_xll.qlSimpleQuote(E11,,PriceTickValue,Permanent,Trigger,ObjectOverwrite)</f>
        <v>EURIMMFRA6MQ4_Quote#0028</v>
      </c>
      <c r="G11" s="119" t="str">
        <f>_xll.ohRangeRetrieveError(F11)</f>
        <v/>
      </c>
      <c r="H11" s="155"/>
    </row>
    <row r="12" spans="1:8" x14ac:dyDescent="0.2">
      <c r="A12" s="160"/>
      <c r="B12" s="121">
        <v>10</v>
      </c>
      <c r="C12" s="159" t="b">
        <v>0</v>
      </c>
      <c r="D12" s="158" t="str">
        <v>U4</v>
      </c>
      <c r="E12" s="157" t="str">
        <f>Currency&amp;$D$1&amp;$E$1&amp;$D12&amp;QuoteSuffix</f>
        <v>EURIMMFRA6MU4_Quote</v>
      </c>
      <c r="F12" s="156" t="str">
        <f>_xll.qlSimpleQuote(E12,,PriceTickValue,Permanent,Trigger,ObjectOverwrite)</f>
        <v>EURIMMFRA6MU4_Quote#0028</v>
      </c>
      <c r="G12" s="119" t="str">
        <f>_xll.ohRangeRetrieveError(F12)</f>
        <v/>
      </c>
      <c r="H12" s="155"/>
    </row>
    <row r="13" spans="1:8" x14ac:dyDescent="0.2">
      <c r="A13" s="160"/>
      <c r="B13" s="121">
        <v>11</v>
      </c>
      <c r="C13" s="159" t="b">
        <v>0</v>
      </c>
      <c r="D13" s="158" t="str">
        <v>V4</v>
      </c>
      <c r="E13" s="157" t="str">
        <f>Currency&amp;$D$1&amp;$E$1&amp;$D13&amp;QuoteSuffix</f>
        <v>EURIMMFRA6MV4_Quote</v>
      </c>
      <c r="F13" s="156" t="str">
        <f>_xll.qlSimpleQuote(E13,,PriceTickValue,Permanent,Trigger,ObjectOverwrite)</f>
        <v>EURIMMFRA6MV4_Quote#0028</v>
      </c>
      <c r="G13" s="119" t="str">
        <f>_xll.ohRangeRetrieveError(F13)</f>
        <v/>
      </c>
      <c r="H13" s="155"/>
    </row>
    <row r="14" spans="1:8" x14ac:dyDescent="0.2">
      <c r="A14" s="160"/>
      <c r="B14" s="121">
        <v>12</v>
      </c>
      <c r="C14" s="159" t="b">
        <v>0</v>
      </c>
      <c r="D14" s="158" t="str">
        <v>X4</v>
      </c>
      <c r="E14" s="157" t="str">
        <f>Currency&amp;$D$1&amp;$E$1&amp;$D14&amp;QuoteSuffix</f>
        <v>EURIMMFRA6MX4_Quote</v>
      </c>
      <c r="F14" s="156" t="str">
        <f>_xll.qlSimpleQuote(E14,,PriceTickValue,Permanent,Trigger,ObjectOverwrite)</f>
        <v>EURIMMFRA6MX4_Quote#0028</v>
      </c>
      <c r="G14" s="119" t="str">
        <f>_xll.ohRangeRetrieveError(F14)</f>
        <v/>
      </c>
      <c r="H14" s="155"/>
    </row>
    <row r="15" spans="1:8" x14ac:dyDescent="0.2">
      <c r="A15" s="160"/>
      <c r="B15" s="121">
        <v>13</v>
      </c>
      <c r="C15" s="159" t="b">
        <v>0</v>
      </c>
      <c r="D15" s="158" t="str">
        <v>Z4</v>
      </c>
      <c r="E15" s="157" t="str">
        <f>Currency&amp;$D$1&amp;$E$1&amp;$D15&amp;QuoteSuffix</f>
        <v>EURIMMFRA6MZ4_Quote</v>
      </c>
      <c r="F15" s="156" t="str">
        <f>_xll.qlSimpleQuote(E15,,PriceTickValue,Permanent,Trigger,ObjectOverwrite)</f>
        <v>EURIMMFRA6MZ4_Quote#0028</v>
      </c>
      <c r="G15" s="119" t="str">
        <f>_xll.ohRangeRetrieveError(F15)</f>
        <v/>
      </c>
      <c r="H15" s="155"/>
    </row>
    <row r="16" spans="1:8" x14ac:dyDescent="0.2">
      <c r="A16" s="160"/>
      <c r="B16" s="121">
        <v>14</v>
      </c>
      <c r="C16" s="159" t="b">
        <v>0</v>
      </c>
      <c r="D16" s="158" t="str">
        <v>F5</v>
      </c>
      <c r="E16" s="157" t="str">
        <f>Currency&amp;$D$1&amp;$E$1&amp;$D16&amp;QuoteSuffix</f>
        <v>EURIMMFRA6MF5_Quote</v>
      </c>
      <c r="F16" s="156" t="str">
        <f>_xll.qlSimpleQuote(E16,,PriceTickValue,Permanent,Trigger,ObjectOverwrite)</f>
        <v>EURIMMFRA6MF5_Quote#0028</v>
      </c>
      <c r="G16" s="119" t="str">
        <f>_xll.ohRangeRetrieveError(F16)</f>
        <v/>
      </c>
      <c r="H16" s="155"/>
    </row>
    <row r="17" spans="1:8" x14ac:dyDescent="0.2">
      <c r="A17" s="160"/>
      <c r="B17" s="121">
        <v>15</v>
      </c>
      <c r="C17" s="159" t="b">
        <v>0</v>
      </c>
      <c r="D17" s="158" t="str">
        <v>G5</v>
      </c>
      <c r="E17" s="157" t="str">
        <f>Currency&amp;$D$1&amp;$E$1&amp;$D17&amp;QuoteSuffix</f>
        <v>EURIMMFRA6MG5_Quote</v>
      </c>
      <c r="F17" s="156" t="str">
        <f>_xll.qlSimpleQuote(E17,,PriceTickValue,Permanent,Trigger,ObjectOverwrite)</f>
        <v>EURIMMFRA6MG5_Quote#0028</v>
      </c>
      <c r="G17" s="119" t="str">
        <f>_xll.ohRangeRetrieveError(F17)</f>
        <v/>
      </c>
      <c r="H17" s="155"/>
    </row>
    <row r="18" spans="1:8" x14ac:dyDescent="0.2">
      <c r="A18" s="160"/>
      <c r="B18" s="121">
        <v>16</v>
      </c>
      <c r="C18" s="159" t="b">
        <v>0</v>
      </c>
      <c r="D18" s="158" t="str">
        <v>H5</v>
      </c>
      <c r="E18" s="157" t="str">
        <f>Currency&amp;$D$1&amp;$E$1&amp;$D18&amp;QuoteSuffix</f>
        <v>EURIMMFRA6MH5_Quote</v>
      </c>
      <c r="F18" s="156" t="str">
        <f>_xll.qlSimpleQuote(E18,,PriceTickValue,Permanent,Trigger,ObjectOverwrite)</f>
        <v>EURIMMFRA6MH5_Quote#0028</v>
      </c>
      <c r="G18" s="119" t="str">
        <f>_xll.ohRangeRetrieveError(F18)</f>
        <v/>
      </c>
      <c r="H18" s="155"/>
    </row>
    <row r="19" spans="1:8" x14ac:dyDescent="0.2">
      <c r="A19" s="160"/>
      <c r="B19" s="121">
        <v>17</v>
      </c>
      <c r="C19" s="159" t="b">
        <v>0</v>
      </c>
      <c r="D19" s="158" t="str">
        <v>J5</v>
      </c>
      <c r="E19" s="157" t="str">
        <f>Currency&amp;$D$1&amp;$E$1&amp;$D19&amp;QuoteSuffix</f>
        <v>EURIMMFRA6MJ5_Quote</v>
      </c>
      <c r="F19" s="156" t="str">
        <f>_xll.qlSimpleQuote(E19,,PriceTickValue,Permanent,Trigger,ObjectOverwrite)</f>
        <v>EURIMMFRA6MJ5_Quote#0028</v>
      </c>
      <c r="G19" s="119" t="str">
        <f>_xll.ohRangeRetrieveError(F19)</f>
        <v/>
      </c>
      <c r="H19" s="155"/>
    </row>
    <row r="20" spans="1:8" x14ac:dyDescent="0.2">
      <c r="A20" s="160"/>
      <c r="B20" s="121">
        <v>18</v>
      </c>
      <c r="C20" s="159" t="b">
        <v>0</v>
      </c>
      <c r="D20" s="158" t="str">
        <v>K5</v>
      </c>
      <c r="E20" s="157" t="str">
        <f>Currency&amp;$D$1&amp;$E$1&amp;$D20&amp;QuoteSuffix</f>
        <v>EURIMMFRA6MK5_Quote</v>
      </c>
      <c r="F20" s="156" t="str">
        <f>_xll.qlSimpleQuote(E20,,PriceTickValue,Permanent,Trigger,ObjectOverwrite)</f>
        <v>EURIMMFRA6MK5_Quote#0028</v>
      </c>
      <c r="G20" s="119" t="str">
        <f>_xll.ohRangeRetrieveError(F20)</f>
        <v/>
      </c>
      <c r="H20" s="155"/>
    </row>
    <row r="21" spans="1:8" x14ac:dyDescent="0.2">
      <c r="A21" s="160"/>
      <c r="B21" s="121">
        <v>19</v>
      </c>
      <c r="C21" s="159" t="b">
        <v>0</v>
      </c>
      <c r="D21" s="158" t="str">
        <v>M5</v>
      </c>
      <c r="E21" s="157" t="str">
        <f>Currency&amp;$D$1&amp;$E$1&amp;$D21&amp;QuoteSuffix</f>
        <v>EURIMMFRA6MM5_Quote</v>
      </c>
      <c r="F21" s="156" t="str">
        <f>_xll.qlSimpleQuote(E21,,PriceTickValue,Permanent,Trigger,ObjectOverwrite)</f>
        <v>EURIMMFRA6MM5_Quote#0028</v>
      </c>
      <c r="G21" s="119" t="str">
        <f>_xll.ohRangeRetrieveError(F21)</f>
        <v/>
      </c>
      <c r="H21" s="155"/>
    </row>
    <row r="22" spans="1:8" x14ac:dyDescent="0.2">
      <c r="A22" s="160"/>
      <c r="B22" s="121">
        <v>20</v>
      </c>
      <c r="C22" s="159" t="b">
        <v>0</v>
      </c>
      <c r="D22" s="158" t="str">
        <v>N5</v>
      </c>
      <c r="E22" s="157" t="str">
        <f>Currency&amp;$D$1&amp;$E$1&amp;$D22&amp;QuoteSuffix</f>
        <v>EURIMMFRA6MN5_Quote</v>
      </c>
      <c r="F22" s="156" t="str">
        <f>_xll.qlSimpleQuote(E22,,PriceTickValue,Permanent,Trigger,ObjectOverwrite)</f>
        <v>EURIMMFRA6MN5_Quote#0028</v>
      </c>
      <c r="G22" s="119" t="str">
        <f>_xll.ohRangeRetrieveError(F22)</f>
        <v/>
      </c>
      <c r="H22" s="155"/>
    </row>
    <row r="23" spans="1:8" x14ac:dyDescent="0.2">
      <c r="A23" s="160"/>
      <c r="B23" s="121">
        <v>21</v>
      </c>
      <c r="C23" s="159" t="b">
        <v>0</v>
      </c>
      <c r="D23" s="158" t="str">
        <v>Q5</v>
      </c>
      <c r="E23" s="157" t="str">
        <f>Currency&amp;$D$1&amp;$E$1&amp;$D23&amp;QuoteSuffix</f>
        <v>EURIMMFRA6MQ5_Quote</v>
      </c>
      <c r="F23" s="156" t="str">
        <f>_xll.qlSimpleQuote(E23,,PriceTickValue,Permanent,Trigger,ObjectOverwrite)</f>
        <v>EURIMMFRA6MQ5_Quote#0028</v>
      </c>
      <c r="G23" s="119" t="str">
        <f>_xll.ohRangeRetrieveError(F23)</f>
        <v/>
      </c>
      <c r="H23" s="155"/>
    </row>
    <row r="24" spans="1:8" x14ac:dyDescent="0.2">
      <c r="A24" s="160"/>
      <c r="B24" s="121">
        <v>22</v>
      </c>
      <c r="C24" s="159" t="b">
        <v>0</v>
      </c>
      <c r="D24" s="158" t="str">
        <v>U5</v>
      </c>
      <c r="E24" s="157" t="str">
        <f>Currency&amp;$D$1&amp;$E$1&amp;$D24&amp;QuoteSuffix</f>
        <v>EURIMMFRA6MU5_Quote</v>
      </c>
      <c r="F24" s="156" t="str">
        <f>_xll.qlSimpleQuote(E24,,PriceTickValue,Permanent,Trigger,ObjectOverwrite)</f>
        <v>EURIMMFRA6MU5_Quote#0028</v>
      </c>
      <c r="G24" s="119" t="str">
        <f>_xll.ohRangeRetrieveError(F24)</f>
        <v/>
      </c>
      <c r="H24" s="155"/>
    </row>
    <row r="25" spans="1:8" x14ac:dyDescent="0.2">
      <c r="A25" s="160"/>
      <c r="B25" s="121">
        <v>23</v>
      </c>
      <c r="C25" s="159" t="b">
        <v>0</v>
      </c>
      <c r="D25" s="158" t="str">
        <v>V5</v>
      </c>
      <c r="E25" s="157" t="str">
        <f>Currency&amp;$D$1&amp;$E$1&amp;$D25&amp;QuoteSuffix</f>
        <v>EURIMMFRA6MV5_Quote</v>
      </c>
      <c r="F25" s="156" t="str">
        <f>_xll.qlSimpleQuote(E25,,PriceTickValue,Permanent,Trigger,ObjectOverwrite)</f>
        <v>EURIMMFRA6MV5_Quote#0028</v>
      </c>
      <c r="G25" s="119" t="str">
        <f>_xll.ohRangeRetrieveError(F25)</f>
        <v/>
      </c>
      <c r="H25" s="155"/>
    </row>
    <row r="26" spans="1:8" x14ac:dyDescent="0.2">
      <c r="A26" s="160"/>
      <c r="B26" s="121">
        <v>24</v>
      </c>
      <c r="C26" s="159" t="b">
        <v>0</v>
      </c>
      <c r="D26" s="158" t="str">
        <v>X5</v>
      </c>
      <c r="E26" s="157" t="str">
        <f>Currency&amp;$D$1&amp;$E$1&amp;$D26&amp;QuoteSuffix</f>
        <v>EURIMMFRA6MX5_Quote</v>
      </c>
      <c r="F26" s="156" t="str">
        <f>_xll.qlSimpleQuote(E26,,PriceTickValue,Permanent,Trigger,ObjectOverwrite)</f>
        <v>EURIMMFRA6MX5_Quote#0028</v>
      </c>
      <c r="G26" s="119" t="str">
        <f>_xll.ohRangeRetrieveError(F26)</f>
        <v/>
      </c>
      <c r="H26" s="155"/>
    </row>
    <row r="27" spans="1:8" x14ac:dyDescent="0.2">
      <c r="A27" s="160"/>
      <c r="B27" s="121">
        <v>25</v>
      </c>
      <c r="C27" s="159" t="b">
        <v>0</v>
      </c>
      <c r="D27" s="158" t="str">
        <v>Z5</v>
      </c>
      <c r="E27" s="157" t="str">
        <f>Currency&amp;$D$1&amp;$E$1&amp;$D27&amp;QuoteSuffix</f>
        <v>EURIMMFRA6MZ5_Quote</v>
      </c>
      <c r="F27" s="156" t="str">
        <f>_xll.qlSimpleQuote(E27,,PriceTickValue,Permanent,Trigger,ObjectOverwrite)</f>
        <v>EURIMMFRA6MZ5_Quote#0028</v>
      </c>
      <c r="G27" s="119" t="str">
        <f>_xll.ohRangeRetrieveError(F27)</f>
        <v/>
      </c>
      <c r="H27" s="155"/>
    </row>
    <row r="28" spans="1:8" x14ac:dyDescent="0.2">
      <c r="A28" s="160"/>
      <c r="B28" s="121">
        <v>26</v>
      </c>
      <c r="C28" s="159" t="b">
        <v>0</v>
      </c>
      <c r="D28" s="158" t="str">
        <v>F6</v>
      </c>
      <c r="E28" s="157" t="str">
        <f>Currency&amp;$D$1&amp;$E$1&amp;$D28&amp;QuoteSuffix</f>
        <v>EURIMMFRA6MF6_Quote</v>
      </c>
      <c r="F28" s="156" t="str">
        <f>_xll.qlSimpleQuote(E28,,PriceTickValue,Permanent,Trigger,ObjectOverwrite)</f>
        <v>EURIMMFRA6MF6_Quote#0028</v>
      </c>
      <c r="G28" s="119" t="str">
        <f>_xll.ohRangeRetrieveError(F28)</f>
        <v/>
      </c>
      <c r="H28" s="155"/>
    </row>
    <row r="29" spans="1:8" x14ac:dyDescent="0.2">
      <c r="A29" s="160"/>
      <c r="B29" s="121">
        <v>27</v>
      </c>
      <c r="C29" s="159" t="b">
        <v>0</v>
      </c>
      <c r="D29" s="158" t="str">
        <v>G6</v>
      </c>
      <c r="E29" s="157" t="str">
        <f>Currency&amp;$D$1&amp;$E$1&amp;$D29&amp;QuoteSuffix</f>
        <v>EURIMMFRA6MG6_Quote</v>
      </c>
      <c r="F29" s="156" t="str">
        <f>_xll.qlSimpleQuote(E29,,PriceTickValue,Permanent,Trigger,ObjectOverwrite)</f>
        <v>EURIMMFRA6MG6_Quote#0028</v>
      </c>
      <c r="G29" s="119" t="str">
        <f>_xll.ohRangeRetrieveError(F29)</f>
        <v/>
      </c>
      <c r="H29" s="155"/>
    </row>
    <row r="30" spans="1:8" x14ac:dyDescent="0.2">
      <c r="A30" s="160"/>
      <c r="B30" s="121">
        <v>28</v>
      </c>
      <c r="C30" s="159" t="b">
        <v>0</v>
      </c>
      <c r="D30" s="158" t="str">
        <v>H6</v>
      </c>
      <c r="E30" s="157" t="str">
        <f>Currency&amp;$D$1&amp;$E$1&amp;$D30&amp;QuoteSuffix</f>
        <v>EURIMMFRA6MH6_Quote</v>
      </c>
      <c r="F30" s="156" t="str">
        <f>_xll.qlSimpleQuote(E30,,PriceTickValue,Permanent,Trigger,ObjectOverwrite)</f>
        <v>EURIMMFRA6MH6_Quote#0028</v>
      </c>
      <c r="G30" s="119" t="str">
        <f>_xll.ohRangeRetrieveError(F30)</f>
        <v/>
      </c>
      <c r="H30" s="155"/>
    </row>
    <row r="31" spans="1:8" x14ac:dyDescent="0.2">
      <c r="A31" s="160"/>
      <c r="B31" s="121">
        <v>29</v>
      </c>
      <c r="C31" s="159" t="b">
        <v>0</v>
      </c>
      <c r="D31" s="158" t="str">
        <v>J6</v>
      </c>
      <c r="E31" s="157" t="str">
        <f>Currency&amp;$D$1&amp;$E$1&amp;$D31&amp;QuoteSuffix</f>
        <v>EURIMMFRA6MJ6_Quote</v>
      </c>
      <c r="F31" s="156" t="str">
        <f>_xll.qlSimpleQuote(E31,,PriceTickValue,Permanent,Trigger,ObjectOverwrite)</f>
        <v>EURIMMFRA6MJ6_Quote#0028</v>
      </c>
      <c r="G31" s="119" t="str">
        <f>_xll.ohRangeRetrieveError(F31)</f>
        <v/>
      </c>
      <c r="H31" s="155"/>
    </row>
    <row r="32" spans="1:8" x14ac:dyDescent="0.2">
      <c r="A32" s="160"/>
      <c r="B32" s="121">
        <v>30</v>
      </c>
      <c r="C32" s="159" t="b">
        <v>0</v>
      </c>
      <c r="D32" s="158" t="str">
        <v>K6</v>
      </c>
      <c r="E32" s="157" t="str">
        <f>Currency&amp;$D$1&amp;$E$1&amp;$D32&amp;QuoteSuffix</f>
        <v>EURIMMFRA6MK6_Quote</v>
      </c>
      <c r="F32" s="156" t="str">
        <f>_xll.qlSimpleQuote(E32,,PriceTickValue,Permanent,Trigger,ObjectOverwrite)</f>
        <v>EURIMMFRA6MK6_Quote#0028</v>
      </c>
      <c r="G32" s="119" t="str">
        <f>_xll.ohRangeRetrieveError(F32)</f>
        <v/>
      </c>
      <c r="H32" s="155"/>
    </row>
    <row r="33" spans="1:8" x14ac:dyDescent="0.2">
      <c r="A33" s="160"/>
      <c r="B33" s="121">
        <v>31</v>
      </c>
      <c r="C33" s="159" t="b">
        <v>0</v>
      </c>
      <c r="D33" s="158" t="str">
        <v>M6</v>
      </c>
      <c r="E33" s="157" t="str">
        <f>Currency&amp;$D$1&amp;$E$1&amp;$D33&amp;QuoteSuffix</f>
        <v>EURIMMFRA6MM6_Quote</v>
      </c>
      <c r="F33" s="156" t="str">
        <f>_xll.qlSimpleQuote(E33,,PriceTickValue,Permanent,Trigger,ObjectOverwrite)</f>
        <v>EURIMMFRA6MM6_Quote#0028</v>
      </c>
      <c r="G33" s="119" t="str">
        <f>_xll.ohRangeRetrieveError(F33)</f>
        <v/>
      </c>
      <c r="H33" s="155"/>
    </row>
    <row r="34" spans="1:8" x14ac:dyDescent="0.2">
      <c r="A34" s="160"/>
      <c r="B34" s="121">
        <v>32</v>
      </c>
      <c r="C34" s="159" t="b">
        <v>0</v>
      </c>
      <c r="D34" s="158" t="str">
        <v>N6</v>
      </c>
      <c r="E34" s="157" t="str">
        <f>Currency&amp;$D$1&amp;$E$1&amp;$D34&amp;QuoteSuffix</f>
        <v>EURIMMFRA6MN6_Quote</v>
      </c>
      <c r="F34" s="156" t="str">
        <f>_xll.qlSimpleQuote(E34,,PriceTickValue,Permanent,Trigger,ObjectOverwrite)</f>
        <v>EURIMMFRA6MN6_Quote#0028</v>
      </c>
      <c r="G34" s="119" t="str">
        <f>_xll.ohRangeRetrieveError(F34)</f>
        <v/>
      </c>
      <c r="H34" s="155"/>
    </row>
    <row r="35" spans="1:8" x14ac:dyDescent="0.2">
      <c r="A35" s="160"/>
      <c r="B35" s="121">
        <v>33</v>
      </c>
      <c r="C35" s="159" t="b">
        <v>0</v>
      </c>
      <c r="D35" s="158" t="str">
        <v>Q6</v>
      </c>
      <c r="E35" s="157" t="str">
        <f>Currency&amp;$D$1&amp;$E$1&amp;$D35&amp;QuoteSuffix</f>
        <v>EURIMMFRA6MQ6_Quote</v>
      </c>
      <c r="F35" s="156" t="str">
        <f>_xll.qlSimpleQuote(E35,,PriceTickValue,Permanent,Trigger,ObjectOverwrite)</f>
        <v>EURIMMFRA6MQ6_Quote#0028</v>
      </c>
      <c r="G35" s="119" t="str">
        <f>_xll.ohRangeRetrieveError(F35)</f>
        <v/>
      </c>
      <c r="H35" s="155"/>
    </row>
    <row r="36" spans="1:8" x14ac:dyDescent="0.2">
      <c r="A36" s="160"/>
      <c r="B36" s="121">
        <v>34</v>
      </c>
      <c r="C36" s="159" t="b">
        <v>0</v>
      </c>
      <c r="D36" s="158" t="str">
        <v>U6</v>
      </c>
      <c r="E36" s="157" t="str">
        <f>Currency&amp;$D$1&amp;$E$1&amp;$D36&amp;QuoteSuffix</f>
        <v>EURIMMFRA6MU6_Quote</v>
      </c>
      <c r="F36" s="156" t="str">
        <f>_xll.qlSimpleQuote(E36,,PriceTickValue,Permanent,Trigger,ObjectOverwrite)</f>
        <v>EURIMMFRA6MU6_Quote#0028</v>
      </c>
      <c r="G36" s="119" t="str">
        <f>_xll.ohRangeRetrieveError(F36)</f>
        <v/>
      </c>
      <c r="H36" s="155"/>
    </row>
    <row r="37" spans="1:8" x14ac:dyDescent="0.2">
      <c r="A37" s="160"/>
      <c r="B37" s="121">
        <v>35</v>
      </c>
      <c r="C37" s="159" t="b">
        <v>0</v>
      </c>
      <c r="D37" s="158" t="str">
        <v>V6</v>
      </c>
      <c r="E37" s="157" t="str">
        <f>Currency&amp;$D$1&amp;$E$1&amp;$D37&amp;QuoteSuffix</f>
        <v>EURIMMFRA6MV6_Quote</v>
      </c>
      <c r="F37" s="156" t="str">
        <f>_xll.qlSimpleQuote(E37,,PriceTickValue,Permanent,Trigger,ObjectOverwrite)</f>
        <v>EURIMMFRA6MV6_Quote#0028</v>
      </c>
      <c r="G37" s="119" t="str">
        <f>_xll.ohRangeRetrieveError(F37)</f>
        <v/>
      </c>
      <c r="H37" s="155"/>
    </row>
    <row r="38" spans="1:8" x14ac:dyDescent="0.2">
      <c r="A38" s="160"/>
      <c r="B38" s="121">
        <v>36</v>
      </c>
      <c r="C38" s="159" t="b">
        <v>0</v>
      </c>
      <c r="D38" s="158" t="str">
        <v>X6</v>
      </c>
      <c r="E38" s="157" t="str">
        <f>Currency&amp;$D$1&amp;$E$1&amp;$D38&amp;QuoteSuffix</f>
        <v>EURIMMFRA6MX6_Quote</v>
      </c>
      <c r="F38" s="156" t="str">
        <f>_xll.qlSimpleQuote(E38,,PriceTickValue,Permanent,Trigger,ObjectOverwrite)</f>
        <v>EURIMMFRA6MX6_Quote#0028</v>
      </c>
      <c r="G38" s="119" t="str">
        <f>_xll.ohRangeRetrieveError(F38)</f>
        <v/>
      </c>
      <c r="H38" s="155"/>
    </row>
    <row r="39" spans="1:8" x14ac:dyDescent="0.2">
      <c r="A39" s="160"/>
      <c r="B39" s="121">
        <v>37</v>
      </c>
      <c r="C39" s="159" t="b">
        <v>0</v>
      </c>
      <c r="D39" s="158" t="str">
        <v>Z6</v>
      </c>
      <c r="E39" s="157" t="str">
        <f>Currency&amp;$D$1&amp;$E$1&amp;$D39&amp;QuoteSuffix</f>
        <v>EURIMMFRA6MZ6_Quote</v>
      </c>
      <c r="F39" s="156" t="str">
        <f>_xll.qlSimpleQuote(E39,,PriceTickValue,Permanent,Trigger,ObjectOverwrite)</f>
        <v>EURIMMFRA6MZ6_Quote#0028</v>
      </c>
      <c r="G39" s="119" t="str">
        <f>_xll.ohRangeRetrieveError(F39)</f>
        <v/>
      </c>
      <c r="H39" s="155"/>
    </row>
    <row r="40" spans="1:8" x14ac:dyDescent="0.2">
      <c r="A40" s="160"/>
      <c r="B40" s="121">
        <v>38</v>
      </c>
      <c r="C40" s="159" t="b">
        <v>0</v>
      </c>
      <c r="D40" s="158" t="str">
        <v>F7</v>
      </c>
      <c r="E40" s="157" t="str">
        <f>Currency&amp;$D$1&amp;$E$1&amp;$D40&amp;QuoteSuffix</f>
        <v>EURIMMFRA6MF7_Quote</v>
      </c>
      <c r="F40" s="156" t="str">
        <f>_xll.qlSimpleQuote(E40,,PriceTickValue,Permanent,Trigger,ObjectOverwrite)</f>
        <v>EURIMMFRA6MF7_Quote#0028</v>
      </c>
      <c r="G40" s="119" t="str">
        <f>_xll.ohRangeRetrieveError(F40)</f>
        <v/>
      </c>
      <c r="H40" s="155"/>
    </row>
    <row r="41" spans="1:8" x14ac:dyDescent="0.2">
      <c r="A41" s="160"/>
      <c r="B41" s="121">
        <v>39</v>
      </c>
      <c r="C41" s="159" t="b">
        <v>0</v>
      </c>
      <c r="D41" s="158" t="str">
        <v>G7</v>
      </c>
      <c r="E41" s="157" t="str">
        <f>Currency&amp;$D$1&amp;$E$1&amp;$D41&amp;QuoteSuffix</f>
        <v>EURIMMFRA6MG7_Quote</v>
      </c>
      <c r="F41" s="156" t="str">
        <f>_xll.qlSimpleQuote(E41,,PriceTickValue,Permanent,Trigger,ObjectOverwrite)</f>
        <v>EURIMMFRA6MG7_Quote#0028</v>
      </c>
      <c r="G41" s="119" t="str">
        <f>_xll.ohRangeRetrieveError(F41)</f>
        <v/>
      </c>
      <c r="H41" s="155"/>
    </row>
    <row r="42" spans="1:8" x14ac:dyDescent="0.2">
      <c r="A42" s="160"/>
      <c r="B42" s="121">
        <v>40</v>
      </c>
      <c r="C42" s="159" t="b">
        <v>0</v>
      </c>
      <c r="D42" s="158" t="str">
        <v>H7</v>
      </c>
      <c r="E42" s="157" t="str">
        <f>Currency&amp;$D$1&amp;$E$1&amp;$D42&amp;QuoteSuffix</f>
        <v>EURIMMFRA6MH7_Quote</v>
      </c>
      <c r="F42" s="156" t="str">
        <f>_xll.qlSimpleQuote(E42,,PriceTickValue,Permanent,Trigger,ObjectOverwrite)</f>
        <v>EURIMMFRA6MH7_Quote#0028</v>
      </c>
      <c r="G42" s="119" t="str">
        <f>_xll.ohRangeRetrieveError(F42)</f>
        <v/>
      </c>
      <c r="H42" s="155"/>
    </row>
    <row r="43" spans="1:8" x14ac:dyDescent="0.2">
      <c r="A43" s="160"/>
      <c r="B43" s="121">
        <v>41</v>
      </c>
      <c r="C43" s="159" t="b">
        <v>0</v>
      </c>
      <c r="D43" s="158" t="str">
        <v>J7</v>
      </c>
      <c r="E43" s="157" t="str">
        <f>Currency&amp;$D$1&amp;$E$1&amp;$D43&amp;QuoteSuffix</f>
        <v>EURIMMFRA6MJ7_Quote</v>
      </c>
      <c r="F43" s="156" t="str">
        <f>_xll.qlSimpleQuote(E43,,PriceTickValue,Permanent,Trigger,ObjectOverwrite)</f>
        <v>EURIMMFRA6MJ7_Quote#0028</v>
      </c>
      <c r="G43" s="119" t="str">
        <f>_xll.ohRangeRetrieveError(F43)</f>
        <v/>
      </c>
      <c r="H43" s="155"/>
    </row>
    <row r="44" spans="1:8" x14ac:dyDescent="0.2">
      <c r="A44" s="160"/>
      <c r="B44" s="121">
        <v>42</v>
      </c>
      <c r="C44" s="159" t="b">
        <v>0</v>
      </c>
      <c r="D44" s="158" t="str">
        <v>K7</v>
      </c>
      <c r="E44" s="157" t="str">
        <f>Currency&amp;$D$1&amp;$E$1&amp;$D44&amp;QuoteSuffix</f>
        <v>EURIMMFRA6MK7_Quote</v>
      </c>
      <c r="F44" s="156" t="str">
        <f>_xll.qlSimpleQuote(E44,,PriceTickValue,Permanent,Trigger,ObjectOverwrite)</f>
        <v>EURIMMFRA6MK7_Quote#0028</v>
      </c>
      <c r="G44" s="119" t="str">
        <f>_xll.ohRangeRetrieveError(F44)</f>
        <v/>
      </c>
      <c r="H44" s="155"/>
    </row>
    <row r="45" spans="1:8" x14ac:dyDescent="0.2">
      <c r="A45" s="160"/>
      <c r="B45" s="121">
        <v>43</v>
      </c>
      <c r="C45" s="159" t="b">
        <v>0</v>
      </c>
      <c r="D45" s="158" t="str">
        <v>M7</v>
      </c>
      <c r="E45" s="157" t="str">
        <f>Currency&amp;$D$1&amp;$E$1&amp;$D45&amp;QuoteSuffix</f>
        <v>EURIMMFRA6MM7_Quote</v>
      </c>
      <c r="F45" s="156" t="str">
        <f>_xll.qlSimpleQuote(E45,,PriceTickValue,Permanent,Trigger,ObjectOverwrite)</f>
        <v>EURIMMFRA6MM7_Quote#0028</v>
      </c>
      <c r="G45" s="119" t="str">
        <f>_xll.ohRangeRetrieveError(F45)</f>
        <v/>
      </c>
      <c r="H45" s="155"/>
    </row>
    <row r="46" spans="1:8" x14ac:dyDescent="0.2">
      <c r="A46" s="160"/>
      <c r="B46" s="121">
        <v>44</v>
      </c>
      <c r="C46" s="159" t="b">
        <v>0</v>
      </c>
      <c r="D46" s="158" t="str">
        <v>N7</v>
      </c>
      <c r="E46" s="157" t="str">
        <f>Currency&amp;$D$1&amp;$E$1&amp;$D46&amp;QuoteSuffix</f>
        <v>EURIMMFRA6MN7_Quote</v>
      </c>
      <c r="F46" s="156" t="str">
        <f>_xll.qlSimpleQuote(E46,,PriceTickValue,Permanent,Trigger,ObjectOverwrite)</f>
        <v>EURIMMFRA6MN7_Quote#0028</v>
      </c>
      <c r="G46" s="119" t="str">
        <f>_xll.ohRangeRetrieveError(F46)</f>
        <v/>
      </c>
      <c r="H46" s="155"/>
    </row>
    <row r="47" spans="1:8" x14ac:dyDescent="0.2">
      <c r="A47" s="160"/>
      <c r="B47" s="121">
        <v>45</v>
      </c>
      <c r="C47" s="159" t="b">
        <v>0</v>
      </c>
      <c r="D47" s="158" t="str">
        <v>Q7</v>
      </c>
      <c r="E47" s="157" t="str">
        <f>Currency&amp;$D$1&amp;$E$1&amp;$D47&amp;QuoteSuffix</f>
        <v>EURIMMFRA6MQ7_Quote</v>
      </c>
      <c r="F47" s="156" t="str">
        <f>_xll.qlSimpleQuote(E47,,PriceTickValue,Permanent,Trigger,ObjectOverwrite)</f>
        <v>EURIMMFRA6MQ7_Quote#0028</v>
      </c>
      <c r="G47" s="119" t="str">
        <f>_xll.ohRangeRetrieveError(F47)</f>
        <v/>
      </c>
      <c r="H47" s="155"/>
    </row>
    <row r="48" spans="1:8" x14ac:dyDescent="0.2">
      <c r="A48" s="160"/>
      <c r="B48" s="121">
        <v>46</v>
      </c>
      <c r="C48" s="159" t="b">
        <v>0</v>
      </c>
      <c r="D48" s="158" t="str">
        <v>U7</v>
      </c>
      <c r="E48" s="157" t="str">
        <f>Currency&amp;$D$1&amp;$E$1&amp;$D48&amp;QuoteSuffix</f>
        <v>EURIMMFRA6MU7_Quote</v>
      </c>
      <c r="F48" s="156" t="str">
        <f>_xll.qlSimpleQuote(E48,,PriceTickValue,Permanent,Trigger,ObjectOverwrite)</f>
        <v>EURIMMFRA6MU7_Quote#0028</v>
      </c>
      <c r="G48" s="119" t="str">
        <f>_xll.ohRangeRetrieveError(F48)</f>
        <v/>
      </c>
      <c r="H48" s="155"/>
    </row>
    <row r="49" spans="1:8" x14ac:dyDescent="0.2">
      <c r="A49" s="160"/>
      <c r="B49" s="121">
        <v>47</v>
      </c>
      <c r="C49" s="159" t="b">
        <v>0</v>
      </c>
      <c r="D49" s="158" t="str">
        <v>V7</v>
      </c>
      <c r="E49" s="157" t="str">
        <f>Currency&amp;$D$1&amp;$E$1&amp;$D49&amp;QuoteSuffix</f>
        <v>EURIMMFRA6MV7_Quote</v>
      </c>
      <c r="F49" s="156" t="str">
        <f>_xll.qlSimpleQuote(E49,,PriceTickValue,Permanent,Trigger,ObjectOverwrite)</f>
        <v>EURIMMFRA6MV7_Quote#0028</v>
      </c>
      <c r="G49" s="119" t="str">
        <f>_xll.ohRangeRetrieveError(F49)</f>
        <v/>
      </c>
      <c r="H49" s="155"/>
    </row>
    <row r="50" spans="1:8" x14ac:dyDescent="0.2">
      <c r="A50" s="160"/>
      <c r="B50" s="121">
        <v>48</v>
      </c>
      <c r="C50" s="159" t="b">
        <v>0</v>
      </c>
      <c r="D50" s="158" t="str">
        <v>X7</v>
      </c>
      <c r="E50" s="157" t="str">
        <f>Currency&amp;$D$1&amp;$E$1&amp;$D50&amp;QuoteSuffix</f>
        <v>EURIMMFRA6MX7_Quote</v>
      </c>
      <c r="F50" s="156" t="str">
        <f>_xll.qlSimpleQuote(E50,,PriceTickValue,Permanent,Trigger,ObjectOverwrite)</f>
        <v>EURIMMFRA6MX7_Quote#0028</v>
      </c>
      <c r="G50" s="119" t="str">
        <f>_xll.ohRangeRetrieveError(F50)</f>
        <v/>
      </c>
      <c r="H50" s="155"/>
    </row>
    <row r="51" spans="1:8" x14ac:dyDescent="0.2">
      <c r="A51" s="160"/>
      <c r="B51" s="121">
        <v>49</v>
      </c>
      <c r="C51" s="159" t="b">
        <v>0</v>
      </c>
      <c r="D51" s="158" t="str">
        <v>Z7</v>
      </c>
      <c r="E51" s="157" t="str">
        <f>Currency&amp;$D$1&amp;$E$1&amp;$D51&amp;QuoteSuffix</f>
        <v>EURIMMFRA6MZ7_Quote</v>
      </c>
      <c r="F51" s="156" t="str">
        <f>_xll.qlSimpleQuote(E51,,PriceTickValue,Permanent,Trigger,ObjectOverwrite)</f>
        <v>EURIMMFRA6MZ7_Quote#0028</v>
      </c>
      <c r="G51" s="119" t="str">
        <f>_xll.ohRangeRetrieveError(F51)</f>
        <v/>
      </c>
      <c r="H51" s="155"/>
    </row>
    <row r="52" spans="1:8" x14ac:dyDescent="0.2">
      <c r="A52" s="160"/>
      <c r="B52" s="121">
        <v>50</v>
      </c>
      <c r="C52" s="159" t="b">
        <v>0</v>
      </c>
      <c r="D52" s="158" t="str">
        <v>F8</v>
      </c>
      <c r="E52" s="157" t="str">
        <f>Currency&amp;$D$1&amp;$E$1&amp;$D52&amp;QuoteSuffix</f>
        <v>EURIMMFRA6MF8_Quote</v>
      </c>
      <c r="F52" s="156" t="str">
        <f>_xll.qlSimpleQuote(E52,,PriceTickValue,Permanent,Trigger,ObjectOverwrite)</f>
        <v>EURIMMFRA6MF8_Quote#0028</v>
      </c>
      <c r="G52" s="119" t="str">
        <f>_xll.ohRangeRetrieveError(F52)</f>
        <v/>
      </c>
      <c r="H52" s="155"/>
    </row>
    <row r="53" spans="1:8" x14ac:dyDescent="0.2">
      <c r="A53" s="160"/>
      <c r="B53" s="121">
        <v>51</v>
      </c>
      <c r="C53" s="159" t="b">
        <v>0</v>
      </c>
      <c r="D53" s="158" t="str">
        <v>G8</v>
      </c>
      <c r="E53" s="157" t="str">
        <f>Currency&amp;$D$1&amp;$E$1&amp;$D53&amp;QuoteSuffix</f>
        <v>EURIMMFRA6MG8_Quote</v>
      </c>
      <c r="F53" s="156" t="str">
        <f>_xll.qlSimpleQuote(E53,,PriceTickValue,Permanent,Trigger,ObjectOverwrite)</f>
        <v>EURIMMFRA6MG8_Quote#0028</v>
      </c>
      <c r="G53" s="119" t="str">
        <f>_xll.ohRangeRetrieveError(F53)</f>
        <v/>
      </c>
      <c r="H53" s="155"/>
    </row>
    <row r="54" spans="1:8" x14ac:dyDescent="0.2">
      <c r="A54" s="160"/>
      <c r="B54" s="121">
        <v>52</v>
      </c>
      <c r="C54" s="159" t="b">
        <v>0</v>
      </c>
      <c r="D54" s="158" t="str">
        <v>H8</v>
      </c>
      <c r="E54" s="157" t="str">
        <f>Currency&amp;$D$1&amp;$E$1&amp;$D54&amp;QuoteSuffix</f>
        <v>EURIMMFRA6MH8_Quote</v>
      </c>
      <c r="F54" s="156" t="str">
        <f>_xll.qlSimpleQuote(E54,,PriceTickValue,Permanent,Trigger,ObjectOverwrite)</f>
        <v>EURIMMFRA6MH8_Quote#0028</v>
      </c>
      <c r="G54" s="119" t="str">
        <f>_xll.ohRangeRetrieveError(F54)</f>
        <v/>
      </c>
      <c r="H54" s="155"/>
    </row>
    <row r="55" spans="1:8" x14ac:dyDescent="0.2">
      <c r="A55" s="160"/>
      <c r="B55" s="121">
        <v>53</v>
      </c>
      <c r="C55" s="159" t="b">
        <v>0</v>
      </c>
      <c r="D55" s="158" t="str">
        <v>J8</v>
      </c>
      <c r="E55" s="157" t="str">
        <f>Currency&amp;$D$1&amp;$E$1&amp;$D55&amp;QuoteSuffix</f>
        <v>EURIMMFRA6MJ8_Quote</v>
      </c>
      <c r="F55" s="156" t="str">
        <f>_xll.qlSimpleQuote(E55,,PriceTickValue,Permanent,Trigger,ObjectOverwrite)</f>
        <v>EURIMMFRA6MJ8_Quote#0028</v>
      </c>
      <c r="G55" s="119" t="str">
        <f>_xll.ohRangeRetrieveError(F55)</f>
        <v/>
      </c>
      <c r="H55" s="155"/>
    </row>
    <row r="56" spans="1:8" x14ac:dyDescent="0.2">
      <c r="A56" s="160"/>
      <c r="B56" s="121">
        <v>54</v>
      </c>
      <c r="C56" s="159" t="b">
        <v>0</v>
      </c>
      <c r="D56" s="158" t="str">
        <v>K8</v>
      </c>
      <c r="E56" s="157" t="str">
        <f>Currency&amp;$D$1&amp;$E$1&amp;$D56&amp;QuoteSuffix</f>
        <v>EURIMMFRA6MK8_Quote</v>
      </c>
      <c r="F56" s="156" t="str">
        <f>_xll.qlSimpleQuote(E56,,PriceTickValue,Permanent,Trigger,ObjectOverwrite)</f>
        <v>EURIMMFRA6MK8_Quote#0028</v>
      </c>
      <c r="G56" s="119" t="str">
        <f>_xll.ohRangeRetrieveError(F56)</f>
        <v/>
      </c>
      <c r="H56" s="155"/>
    </row>
    <row r="57" spans="1:8" x14ac:dyDescent="0.2">
      <c r="A57" s="160"/>
      <c r="B57" s="121">
        <v>55</v>
      </c>
      <c r="C57" s="159" t="b">
        <v>0</v>
      </c>
      <c r="D57" s="158" t="str">
        <v>M8</v>
      </c>
      <c r="E57" s="157" t="str">
        <f>Currency&amp;$D$1&amp;$E$1&amp;$D57&amp;QuoteSuffix</f>
        <v>EURIMMFRA6MM8_Quote</v>
      </c>
      <c r="F57" s="156" t="str">
        <f>_xll.qlSimpleQuote(E57,,PriceTickValue,Permanent,Trigger,ObjectOverwrite)</f>
        <v>EURIMMFRA6MM8_Quote#0028</v>
      </c>
      <c r="G57" s="119" t="str">
        <f>_xll.ohRangeRetrieveError(F57)</f>
        <v/>
      </c>
      <c r="H57" s="155"/>
    </row>
    <row r="58" spans="1:8" x14ac:dyDescent="0.2">
      <c r="A58" s="160"/>
      <c r="B58" s="121">
        <v>56</v>
      </c>
      <c r="C58" s="159" t="b">
        <v>0</v>
      </c>
      <c r="D58" s="158" t="str">
        <v>N8</v>
      </c>
      <c r="E58" s="157" t="str">
        <f>Currency&amp;$D$1&amp;$E$1&amp;$D58&amp;QuoteSuffix</f>
        <v>EURIMMFRA6MN8_Quote</v>
      </c>
      <c r="F58" s="156" t="str">
        <f>_xll.qlSimpleQuote(E58,,PriceTickValue,Permanent,Trigger,ObjectOverwrite)</f>
        <v>EURIMMFRA6MN8_Quote#0028</v>
      </c>
      <c r="G58" s="119" t="str">
        <f>_xll.ohRangeRetrieveError(F58)</f>
        <v/>
      </c>
      <c r="H58" s="155"/>
    </row>
    <row r="59" spans="1:8" x14ac:dyDescent="0.2">
      <c r="A59" s="160"/>
      <c r="B59" s="121">
        <v>57</v>
      </c>
      <c r="C59" s="159" t="b">
        <v>0</v>
      </c>
      <c r="D59" s="158" t="str">
        <v>Q8</v>
      </c>
      <c r="E59" s="157" t="str">
        <f>Currency&amp;$D$1&amp;$E$1&amp;$D59&amp;QuoteSuffix</f>
        <v>EURIMMFRA6MQ8_Quote</v>
      </c>
      <c r="F59" s="156" t="str">
        <f>_xll.qlSimpleQuote(E59,,PriceTickValue,Permanent,Trigger,ObjectOverwrite)</f>
        <v>EURIMMFRA6MQ8_Quote#0028</v>
      </c>
      <c r="G59" s="119" t="str">
        <f>_xll.ohRangeRetrieveError(F59)</f>
        <v/>
      </c>
      <c r="H59" s="155"/>
    </row>
    <row r="60" spans="1:8" x14ac:dyDescent="0.2">
      <c r="A60" s="160"/>
      <c r="B60" s="121">
        <v>58</v>
      </c>
      <c r="C60" s="159" t="b">
        <v>0</v>
      </c>
      <c r="D60" s="158" t="str">
        <v>U8</v>
      </c>
      <c r="E60" s="157" t="str">
        <f>Currency&amp;$D$1&amp;$E$1&amp;$D60&amp;QuoteSuffix</f>
        <v>EURIMMFRA6MU8_Quote</v>
      </c>
      <c r="F60" s="156" t="str">
        <f>_xll.qlSimpleQuote(E60,,PriceTickValue,Permanent,Trigger,ObjectOverwrite)</f>
        <v>EURIMMFRA6MU8_Quote#0028</v>
      </c>
      <c r="G60" s="119" t="str">
        <f>_xll.ohRangeRetrieveError(F60)</f>
        <v/>
      </c>
      <c r="H60" s="155"/>
    </row>
    <row r="61" spans="1:8" x14ac:dyDescent="0.2">
      <c r="A61" s="160"/>
      <c r="B61" s="121">
        <v>59</v>
      </c>
      <c r="C61" s="159" t="b">
        <v>0</v>
      </c>
      <c r="D61" s="158" t="str">
        <v>V8</v>
      </c>
      <c r="E61" s="157" t="str">
        <f>Currency&amp;$D$1&amp;$E$1&amp;$D61&amp;QuoteSuffix</f>
        <v>EURIMMFRA6MV8_Quote</v>
      </c>
      <c r="F61" s="156" t="str">
        <f>_xll.qlSimpleQuote(E61,,PriceTickValue,Permanent,Trigger,ObjectOverwrite)</f>
        <v>EURIMMFRA6MV8_Quote#0028</v>
      </c>
      <c r="G61" s="119" t="str">
        <f>_xll.ohRangeRetrieveError(F61)</f>
        <v/>
      </c>
      <c r="H61" s="155"/>
    </row>
    <row r="62" spans="1:8" x14ac:dyDescent="0.2">
      <c r="A62" s="160"/>
      <c r="B62" s="121">
        <v>60</v>
      </c>
      <c r="C62" s="159" t="b">
        <v>0</v>
      </c>
      <c r="D62" s="158" t="str">
        <v>X8</v>
      </c>
      <c r="E62" s="157" t="str">
        <f>Currency&amp;$D$1&amp;$E$1&amp;$D62&amp;QuoteSuffix</f>
        <v>EURIMMFRA6MX8_Quote</v>
      </c>
      <c r="F62" s="156" t="str">
        <f>_xll.qlSimpleQuote(E62,,PriceTickValue,Permanent,Trigger,ObjectOverwrite)</f>
        <v>EURIMMFRA6MX8_Quote#0028</v>
      </c>
      <c r="G62" s="119" t="str">
        <f>_xll.ohRangeRetrieveError(F62)</f>
        <v/>
      </c>
      <c r="H62" s="155"/>
    </row>
    <row r="63" spans="1:8" x14ac:dyDescent="0.2">
      <c r="A63" s="160"/>
      <c r="B63" s="121">
        <v>61</v>
      </c>
      <c r="C63" s="159" t="b">
        <v>0</v>
      </c>
      <c r="D63" s="158" t="str">
        <v>Z8</v>
      </c>
      <c r="E63" s="157" t="str">
        <f>Currency&amp;$D$1&amp;$E$1&amp;$D63&amp;QuoteSuffix</f>
        <v>EURIMMFRA6MZ8_Quote</v>
      </c>
      <c r="F63" s="156" t="str">
        <f>_xll.qlSimpleQuote(E63,,PriceTickValue,Permanent,Trigger,ObjectOverwrite)</f>
        <v>EURIMMFRA6MZ8_Quote#0028</v>
      </c>
      <c r="G63" s="119" t="str">
        <f>_xll.ohRangeRetrieveError(F63)</f>
        <v/>
      </c>
      <c r="H63" s="155"/>
    </row>
    <row r="64" spans="1:8" x14ac:dyDescent="0.2">
      <c r="A64" s="160"/>
      <c r="B64" s="121">
        <v>62</v>
      </c>
      <c r="C64" s="159" t="b">
        <v>0</v>
      </c>
      <c r="D64" s="158" t="str">
        <v>F9</v>
      </c>
      <c r="E64" s="157" t="str">
        <f>Currency&amp;$D$1&amp;$E$1&amp;$D64&amp;QuoteSuffix</f>
        <v>EURIMMFRA6MF9_Quote</v>
      </c>
      <c r="F64" s="156" t="str">
        <f>_xll.qlSimpleQuote(E64,,PriceTickValue,Permanent,Trigger,ObjectOverwrite)</f>
        <v>EURIMMFRA6MF9_Quote#0028</v>
      </c>
      <c r="G64" s="119" t="str">
        <f>_xll.ohRangeRetrieveError(F64)</f>
        <v/>
      </c>
      <c r="H64" s="155"/>
    </row>
    <row r="65" spans="1:8" x14ac:dyDescent="0.2">
      <c r="A65" s="160"/>
      <c r="B65" s="121">
        <v>63</v>
      </c>
      <c r="C65" s="159" t="b">
        <v>0</v>
      </c>
      <c r="D65" s="158" t="str">
        <v>G9</v>
      </c>
      <c r="E65" s="157" t="str">
        <f>Currency&amp;$D$1&amp;$E$1&amp;$D65&amp;QuoteSuffix</f>
        <v>EURIMMFRA6MG9_Quote</v>
      </c>
      <c r="F65" s="156" t="str">
        <f>_xll.qlSimpleQuote(E65,,PriceTickValue,Permanent,Trigger,ObjectOverwrite)</f>
        <v>EURIMMFRA6MG9_Quote#0028</v>
      </c>
      <c r="G65" s="119" t="str">
        <f>_xll.ohRangeRetrieveError(F65)</f>
        <v/>
      </c>
      <c r="H65" s="155"/>
    </row>
    <row r="66" spans="1:8" x14ac:dyDescent="0.2">
      <c r="A66" s="160"/>
      <c r="B66" s="121">
        <v>64</v>
      </c>
      <c r="C66" s="159" t="b">
        <v>0</v>
      </c>
      <c r="D66" s="158" t="str">
        <v>H9</v>
      </c>
      <c r="E66" s="157" t="str">
        <f>Currency&amp;$D$1&amp;$E$1&amp;$D66&amp;QuoteSuffix</f>
        <v>EURIMMFRA6MH9_Quote</v>
      </c>
      <c r="F66" s="156" t="str">
        <f>_xll.qlSimpleQuote(E66,,PriceTickValue,Permanent,Trigger,ObjectOverwrite)</f>
        <v>EURIMMFRA6MH9_Quote#0028</v>
      </c>
      <c r="G66" s="119" t="str">
        <f>_xll.ohRangeRetrieveError(F66)</f>
        <v/>
      </c>
      <c r="H66" s="155"/>
    </row>
    <row r="67" spans="1:8" x14ac:dyDescent="0.2">
      <c r="A67" s="160"/>
      <c r="B67" s="121">
        <v>65</v>
      </c>
      <c r="C67" s="159" t="b">
        <v>0</v>
      </c>
      <c r="D67" s="158" t="str">
        <v>J9</v>
      </c>
      <c r="E67" s="157" t="str">
        <f>Currency&amp;$D$1&amp;$E$1&amp;$D67&amp;QuoteSuffix</f>
        <v>EURIMMFRA6MJ9_Quote</v>
      </c>
      <c r="F67" s="156" t="str">
        <f>_xll.qlSimpleQuote(E67,,PriceTickValue,Permanent,Trigger,ObjectOverwrite)</f>
        <v>EURIMMFRA6MJ9_Quote#0028</v>
      </c>
      <c r="G67" s="119" t="str">
        <f>_xll.ohRangeRetrieveError(F67)</f>
        <v/>
      </c>
      <c r="H67" s="155"/>
    </row>
    <row r="68" spans="1:8" x14ac:dyDescent="0.2">
      <c r="A68" s="160"/>
      <c r="B68" s="121">
        <v>66</v>
      </c>
      <c r="C68" s="159" t="b">
        <v>0</v>
      </c>
      <c r="D68" s="158" t="str">
        <v>K9</v>
      </c>
      <c r="E68" s="157" t="str">
        <f>Currency&amp;$D$1&amp;$E$1&amp;$D68&amp;QuoteSuffix</f>
        <v>EURIMMFRA6MK9_Quote</v>
      </c>
      <c r="F68" s="156" t="str">
        <f>_xll.qlSimpleQuote(E68,,PriceTickValue,Permanent,Trigger,ObjectOverwrite)</f>
        <v>EURIMMFRA6MK9_Quote#0028</v>
      </c>
      <c r="G68" s="119" t="str">
        <f>_xll.ohRangeRetrieveError(F68)</f>
        <v/>
      </c>
      <c r="H68" s="155"/>
    </row>
    <row r="69" spans="1:8" x14ac:dyDescent="0.2">
      <c r="A69" s="160"/>
      <c r="B69" s="121">
        <v>67</v>
      </c>
      <c r="C69" s="159" t="b">
        <v>0</v>
      </c>
      <c r="D69" s="158" t="str">
        <v>M9</v>
      </c>
      <c r="E69" s="157" t="str">
        <f>Currency&amp;$D$1&amp;$E$1&amp;$D69&amp;QuoteSuffix</f>
        <v>EURIMMFRA6MM9_Quote</v>
      </c>
      <c r="F69" s="156" t="str">
        <f>_xll.qlSimpleQuote(E69,,PriceTickValue,Permanent,Trigger,ObjectOverwrite)</f>
        <v>EURIMMFRA6MM9_Quote#0028</v>
      </c>
      <c r="G69" s="119" t="str">
        <f>_xll.ohRangeRetrieveError(F69)</f>
        <v/>
      </c>
      <c r="H69" s="155"/>
    </row>
    <row r="70" spans="1:8" x14ac:dyDescent="0.2">
      <c r="A70" s="160"/>
      <c r="B70" s="121">
        <v>68</v>
      </c>
      <c r="C70" s="159" t="b">
        <v>0</v>
      </c>
      <c r="D70" s="158" t="str">
        <v>N9</v>
      </c>
      <c r="E70" s="157" t="str">
        <f>Currency&amp;$D$1&amp;$E$1&amp;$D70&amp;QuoteSuffix</f>
        <v>EURIMMFRA6MN9_Quote</v>
      </c>
      <c r="F70" s="156" t="str">
        <f>_xll.qlSimpleQuote(E70,,PriceTickValue,Permanent,Trigger,ObjectOverwrite)</f>
        <v>EURIMMFRA6MN9_Quote#0028</v>
      </c>
      <c r="G70" s="119" t="str">
        <f>_xll.ohRangeRetrieveError(F70)</f>
        <v/>
      </c>
      <c r="H70" s="155"/>
    </row>
    <row r="71" spans="1:8" x14ac:dyDescent="0.2">
      <c r="A71" s="160"/>
      <c r="B71" s="121">
        <v>69</v>
      </c>
      <c r="C71" s="159" t="b">
        <v>0</v>
      </c>
      <c r="D71" s="158" t="str">
        <v>Q9</v>
      </c>
      <c r="E71" s="157" t="str">
        <f>Currency&amp;$D$1&amp;$E$1&amp;$D71&amp;QuoteSuffix</f>
        <v>EURIMMFRA6MQ9_Quote</v>
      </c>
      <c r="F71" s="156" t="str">
        <f>_xll.qlSimpleQuote(E71,,PriceTickValue,Permanent,Trigger,ObjectOverwrite)</f>
        <v>EURIMMFRA6MQ9_Quote#0028</v>
      </c>
      <c r="G71" s="119" t="str">
        <f>_xll.ohRangeRetrieveError(F71)</f>
        <v/>
      </c>
      <c r="H71" s="155"/>
    </row>
    <row r="72" spans="1:8" x14ac:dyDescent="0.2">
      <c r="A72" s="160"/>
      <c r="B72" s="121">
        <v>70</v>
      </c>
      <c r="C72" s="159" t="b">
        <v>0</v>
      </c>
      <c r="D72" s="158" t="str">
        <v>U9</v>
      </c>
      <c r="E72" s="157" t="str">
        <f>Currency&amp;$D$1&amp;$E$1&amp;$D72&amp;QuoteSuffix</f>
        <v>EURIMMFRA6MU9_Quote</v>
      </c>
      <c r="F72" s="156" t="str">
        <f>_xll.qlSimpleQuote(E72,,PriceTickValue,Permanent,Trigger,ObjectOverwrite)</f>
        <v>EURIMMFRA6MU9_Quote#0028</v>
      </c>
      <c r="G72" s="119" t="str">
        <f>_xll.ohRangeRetrieveError(F72)</f>
        <v/>
      </c>
      <c r="H72" s="155"/>
    </row>
    <row r="73" spans="1:8" x14ac:dyDescent="0.2">
      <c r="A73" s="160"/>
      <c r="B73" s="121">
        <v>71</v>
      </c>
      <c r="C73" s="159" t="b">
        <v>0</v>
      </c>
      <c r="D73" s="158" t="str">
        <v>V9</v>
      </c>
      <c r="E73" s="157" t="str">
        <f>Currency&amp;$D$1&amp;$E$1&amp;$D73&amp;QuoteSuffix</f>
        <v>EURIMMFRA6MV9_Quote</v>
      </c>
      <c r="F73" s="156" t="str">
        <f>_xll.qlSimpleQuote(E73,,PriceTickValue,Permanent,Trigger,ObjectOverwrite)</f>
        <v>EURIMMFRA6MV9_Quote#0028</v>
      </c>
      <c r="G73" s="119" t="str">
        <f>_xll.ohRangeRetrieveError(F73)</f>
        <v/>
      </c>
      <c r="H73" s="155"/>
    </row>
    <row r="74" spans="1:8" x14ac:dyDescent="0.2">
      <c r="A74" s="160"/>
      <c r="B74" s="121">
        <v>72</v>
      </c>
      <c r="C74" s="159" t="b">
        <v>0</v>
      </c>
      <c r="D74" s="158" t="str">
        <v>X9</v>
      </c>
      <c r="E74" s="157" t="str">
        <f>Currency&amp;$D$1&amp;$E$1&amp;$D74&amp;QuoteSuffix</f>
        <v>EURIMMFRA6MX9_Quote</v>
      </c>
      <c r="F74" s="156" t="str">
        <f>_xll.qlSimpleQuote(E74,,PriceTickValue,Permanent,Trigger,ObjectOverwrite)</f>
        <v>EURIMMFRA6MX9_Quote#0028</v>
      </c>
      <c r="G74" s="119" t="str">
        <f>_xll.ohRangeRetrieveError(F74)</f>
        <v/>
      </c>
      <c r="H74" s="155"/>
    </row>
    <row r="75" spans="1:8" x14ac:dyDescent="0.2">
      <c r="A75" s="160"/>
      <c r="B75" s="121">
        <v>73</v>
      </c>
      <c r="C75" s="159" t="b">
        <v>0</v>
      </c>
      <c r="D75" s="158" t="str">
        <v>Z9</v>
      </c>
      <c r="E75" s="157" t="str">
        <f>Currency&amp;$D$1&amp;$E$1&amp;$D75&amp;QuoteSuffix</f>
        <v>EURIMMFRA6MZ9_Quote</v>
      </c>
      <c r="F75" s="156" t="str">
        <f>_xll.qlSimpleQuote(E75,,PriceTickValue,Permanent,Trigger,ObjectOverwrite)</f>
        <v>EURIMMFRA6MZ9_Quote#0028</v>
      </c>
      <c r="G75" s="119" t="str">
        <f>_xll.ohRangeRetrieveError(F75)</f>
        <v/>
      </c>
      <c r="H75" s="155"/>
    </row>
    <row r="76" spans="1:8" x14ac:dyDescent="0.2">
      <c r="A76" s="160"/>
      <c r="B76" s="121">
        <v>74</v>
      </c>
      <c r="C76" s="159" t="b">
        <v>0</v>
      </c>
      <c r="D76" s="158" t="str">
        <v>F0</v>
      </c>
      <c r="E76" s="157" t="str">
        <f>Currency&amp;$D$1&amp;$E$1&amp;$D76&amp;QuoteSuffix</f>
        <v>EURIMMFRA6MF0_Quote</v>
      </c>
      <c r="F76" s="156" t="str">
        <f>_xll.qlSimpleQuote(E76,,PriceTickValue,Permanent,Trigger,ObjectOverwrite)</f>
        <v>EURIMMFRA6MF0_Quote#0028</v>
      </c>
      <c r="G76" s="119" t="str">
        <f>_xll.ohRangeRetrieveError(F76)</f>
        <v/>
      </c>
      <c r="H76" s="155"/>
    </row>
    <row r="77" spans="1:8" x14ac:dyDescent="0.2">
      <c r="A77" s="160"/>
      <c r="B77" s="121">
        <v>75</v>
      </c>
      <c r="C77" s="159" t="b">
        <v>0</v>
      </c>
      <c r="D77" s="158" t="str">
        <v>G0</v>
      </c>
      <c r="E77" s="157" t="str">
        <f>Currency&amp;$D$1&amp;$E$1&amp;$D77&amp;QuoteSuffix</f>
        <v>EURIMMFRA6MG0_Quote</v>
      </c>
      <c r="F77" s="156" t="str">
        <f>_xll.qlSimpleQuote(E77,,PriceTickValue,Permanent,Trigger,ObjectOverwrite)</f>
        <v>EURIMMFRA6MG0_Quote#0028</v>
      </c>
      <c r="G77" s="119" t="str">
        <f>_xll.ohRangeRetrieveError(F77)</f>
        <v/>
      </c>
      <c r="H77" s="155"/>
    </row>
    <row r="78" spans="1:8" x14ac:dyDescent="0.2">
      <c r="A78" s="160"/>
      <c r="B78" s="121">
        <v>76</v>
      </c>
      <c r="C78" s="159" t="b">
        <v>0</v>
      </c>
      <c r="D78" s="158" t="str">
        <v>H0</v>
      </c>
      <c r="E78" s="157" t="str">
        <f>Currency&amp;$D$1&amp;$E$1&amp;$D78&amp;QuoteSuffix</f>
        <v>EURIMMFRA6MH0_Quote</v>
      </c>
      <c r="F78" s="156" t="str">
        <f>_xll.qlSimpleQuote(E78,,PriceTickValue,Permanent,Trigger,ObjectOverwrite)</f>
        <v>EURIMMFRA6MH0_Quote#0028</v>
      </c>
      <c r="G78" s="119" t="str">
        <f>_xll.ohRangeRetrieveError(F78)</f>
        <v/>
      </c>
      <c r="H78" s="155"/>
    </row>
    <row r="79" spans="1:8" x14ac:dyDescent="0.2">
      <c r="A79" s="160"/>
      <c r="B79" s="121">
        <v>77</v>
      </c>
      <c r="C79" s="159" t="b">
        <v>0</v>
      </c>
      <c r="D79" s="158" t="str">
        <v>J0</v>
      </c>
      <c r="E79" s="157" t="str">
        <f>Currency&amp;$D$1&amp;$E$1&amp;$D79&amp;QuoteSuffix</f>
        <v>EURIMMFRA6MJ0_Quote</v>
      </c>
      <c r="F79" s="156" t="str">
        <f>_xll.qlSimpleQuote(E79,,PriceTickValue,Permanent,Trigger,ObjectOverwrite)</f>
        <v>EURIMMFRA6MJ0_Quote#0028</v>
      </c>
      <c r="G79" s="119" t="str">
        <f>_xll.ohRangeRetrieveError(F79)</f>
        <v/>
      </c>
      <c r="H79" s="155"/>
    </row>
    <row r="80" spans="1:8" x14ac:dyDescent="0.2">
      <c r="A80" s="160"/>
      <c r="B80" s="121">
        <v>78</v>
      </c>
      <c r="C80" s="159" t="b">
        <v>0</v>
      </c>
      <c r="D80" s="158" t="str">
        <v>K0</v>
      </c>
      <c r="E80" s="157" t="str">
        <f>Currency&amp;$D$1&amp;$E$1&amp;$D80&amp;QuoteSuffix</f>
        <v>EURIMMFRA6MK0_Quote</v>
      </c>
      <c r="F80" s="156" t="str">
        <f>_xll.qlSimpleQuote(E80,,PriceTickValue,Permanent,Trigger,ObjectOverwrite)</f>
        <v>EURIMMFRA6MK0_Quote#0028</v>
      </c>
      <c r="G80" s="119" t="str">
        <f>_xll.ohRangeRetrieveError(F80)</f>
        <v/>
      </c>
      <c r="H80" s="155"/>
    </row>
    <row r="81" spans="1:8" x14ac:dyDescent="0.2">
      <c r="A81" s="160"/>
      <c r="B81" s="121">
        <v>79</v>
      </c>
      <c r="C81" s="159" t="b">
        <v>0</v>
      </c>
      <c r="D81" s="158" t="str">
        <v>M0</v>
      </c>
      <c r="E81" s="157" t="str">
        <f>Currency&amp;$D$1&amp;$E$1&amp;$D81&amp;QuoteSuffix</f>
        <v>EURIMMFRA6MM0_Quote</v>
      </c>
      <c r="F81" s="156" t="str">
        <f>_xll.qlSimpleQuote(E81,,PriceTickValue,Permanent,Trigger,ObjectOverwrite)</f>
        <v>EURIMMFRA6MM0_Quote#0028</v>
      </c>
      <c r="G81" s="119" t="str">
        <f>_xll.ohRangeRetrieveError(F81)</f>
        <v/>
      </c>
      <c r="H81" s="155"/>
    </row>
    <row r="82" spans="1:8" x14ac:dyDescent="0.2">
      <c r="A82" s="160"/>
      <c r="B82" s="121">
        <v>80</v>
      </c>
      <c r="C82" s="159" t="b">
        <v>0</v>
      </c>
      <c r="D82" s="158" t="str">
        <v>N0</v>
      </c>
      <c r="E82" s="157" t="str">
        <f>Currency&amp;$D$1&amp;$E$1&amp;$D82&amp;QuoteSuffix</f>
        <v>EURIMMFRA6MN0_Quote</v>
      </c>
      <c r="F82" s="156" t="str">
        <f>_xll.qlSimpleQuote(E82,,PriceTickValue,Permanent,Trigger,ObjectOverwrite)</f>
        <v>EURIMMFRA6MN0_Quote#0028</v>
      </c>
      <c r="G82" s="119" t="str">
        <f>_xll.ohRangeRetrieveError(F82)</f>
        <v/>
      </c>
      <c r="H82" s="155"/>
    </row>
    <row r="83" spans="1:8" x14ac:dyDescent="0.2">
      <c r="A83" s="160"/>
      <c r="B83" s="121">
        <v>81</v>
      </c>
      <c r="C83" s="159" t="b">
        <v>0</v>
      </c>
      <c r="D83" s="158" t="str">
        <v>Q0</v>
      </c>
      <c r="E83" s="157" t="str">
        <f>Currency&amp;$D$1&amp;$E$1&amp;$D83&amp;QuoteSuffix</f>
        <v>EURIMMFRA6MQ0_Quote</v>
      </c>
      <c r="F83" s="156" t="str">
        <f>_xll.qlSimpleQuote(E83,,PriceTickValue,Permanent,Trigger,ObjectOverwrite)</f>
        <v>EURIMMFRA6MQ0_Quote#0028</v>
      </c>
      <c r="G83" s="119" t="str">
        <f>_xll.ohRangeRetrieveError(F83)</f>
        <v/>
      </c>
      <c r="H83" s="155"/>
    </row>
    <row r="84" spans="1:8" x14ac:dyDescent="0.2">
      <c r="A84" s="160"/>
      <c r="B84" s="121">
        <v>82</v>
      </c>
      <c r="C84" s="159" t="b">
        <v>0</v>
      </c>
      <c r="D84" s="158" t="str">
        <v>U0</v>
      </c>
      <c r="E84" s="157" t="str">
        <f>Currency&amp;$D$1&amp;$E$1&amp;$D84&amp;QuoteSuffix</f>
        <v>EURIMMFRA6MU0_Quote</v>
      </c>
      <c r="F84" s="156" t="str">
        <f>_xll.qlSimpleQuote(E84,,PriceTickValue,Permanent,Trigger,ObjectOverwrite)</f>
        <v>EURIMMFRA6MU0_Quote#0028</v>
      </c>
      <c r="G84" s="119" t="str">
        <f>_xll.ohRangeRetrieveError(F84)</f>
        <v/>
      </c>
      <c r="H84" s="155"/>
    </row>
    <row r="85" spans="1:8" x14ac:dyDescent="0.2">
      <c r="A85" s="160"/>
      <c r="B85" s="121">
        <v>83</v>
      </c>
      <c r="C85" s="159" t="b">
        <v>0</v>
      </c>
      <c r="D85" s="158" t="str">
        <v>V0</v>
      </c>
      <c r="E85" s="157" t="str">
        <f>Currency&amp;$D$1&amp;$E$1&amp;$D85&amp;QuoteSuffix</f>
        <v>EURIMMFRA6MV0_Quote</v>
      </c>
      <c r="F85" s="156" t="str">
        <f>_xll.qlSimpleQuote(E85,,PriceTickValue,Permanent,Trigger,ObjectOverwrite)</f>
        <v>EURIMMFRA6MV0_Quote#0028</v>
      </c>
      <c r="G85" s="119" t="str">
        <f>_xll.ohRangeRetrieveError(F85)</f>
        <v/>
      </c>
      <c r="H85" s="155"/>
    </row>
    <row r="86" spans="1:8" x14ac:dyDescent="0.2">
      <c r="A86" s="160"/>
      <c r="B86" s="121">
        <v>84</v>
      </c>
      <c r="C86" s="159" t="b">
        <v>0</v>
      </c>
      <c r="D86" s="158" t="str">
        <v>X0</v>
      </c>
      <c r="E86" s="157" t="str">
        <f>Currency&amp;$D$1&amp;$E$1&amp;$D86&amp;QuoteSuffix</f>
        <v>EURIMMFRA6MX0_Quote</v>
      </c>
      <c r="F86" s="156" t="str">
        <f>_xll.qlSimpleQuote(E86,,PriceTickValue,Permanent,Trigger,ObjectOverwrite)</f>
        <v>EURIMMFRA6MX0_Quote#0028</v>
      </c>
      <c r="G86" s="119" t="str">
        <f>_xll.ohRangeRetrieveError(F86)</f>
        <v/>
      </c>
      <c r="H86" s="155"/>
    </row>
    <row r="87" spans="1:8" x14ac:dyDescent="0.2">
      <c r="A87" s="160"/>
      <c r="B87" s="121">
        <v>85</v>
      </c>
      <c r="C87" s="159" t="b">
        <v>0</v>
      </c>
      <c r="D87" s="158" t="str">
        <v>Z0</v>
      </c>
      <c r="E87" s="157" t="str">
        <f>Currency&amp;$D$1&amp;$E$1&amp;$D87&amp;QuoteSuffix</f>
        <v>EURIMMFRA6MZ0_Quote</v>
      </c>
      <c r="F87" s="156" t="str">
        <f>_xll.qlSimpleQuote(E87,,PriceTickValue,Permanent,Trigger,ObjectOverwrite)</f>
        <v>EURIMMFRA6MZ0_Quote#0028</v>
      </c>
      <c r="G87" s="119" t="str">
        <f>_xll.ohRangeRetrieveError(F87)</f>
        <v/>
      </c>
      <c r="H87" s="155"/>
    </row>
    <row r="88" spans="1:8" x14ac:dyDescent="0.2">
      <c r="A88" s="160"/>
      <c r="B88" s="121">
        <v>86</v>
      </c>
      <c r="C88" s="159" t="b">
        <v>0</v>
      </c>
      <c r="D88" s="158" t="str">
        <v>F1</v>
      </c>
      <c r="E88" s="157" t="str">
        <f>Currency&amp;$D$1&amp;$E$1&amp;$D88&amp;QuoteSuffix</f>
        <v>EURIMMFRA6MF1_Quote</v>
      </c>
      <c r="F88" s="156" t="str">
        <f>_xll.qlSimpleQuote(E88,,PriceTickValue,Permanent,Trigger,ObjectOverwrite)</f>
        <v>EURIMMFRA6MF1_Quote#0028</v>
      </c>
      <c r="G88" s="119" t="str">
        <f>_xll.ohRangeRetrieveError(F88)</f>
        <v/>
      </c>
      <c r="H88" s="155"/>
    </row>
    <row r="89" spans="1:8" x14ac:dyDescent="0.2">
      <c r="A89" s="160"/>
      <c r="B89" s="121">
        <v>87</v>
      </c>
      <c r="C89" s="159" t="b">
        <v>0</v>
      </c>
      <c r="D89" s="158" t="str">
        <v>G1</v>
      </c>
      <c r="E89" s="157" t="str">
        <f>Currency&amp;$D$1&amp;$E$1&amp;$D89&amp;QuoteSuffix</f>
        <v>EURIMMFRA6MG1_Quote</v>
      </c>
      <c r="F89" s="156" t="str">
        <f>_xll.qlSimpleQuote(E89,,PriceTickValue,Permanent,Trigger,ObjectOverwrite)</f>
        <v>EURIMMFRA6MG1_Quote#0028</v>
      </c>
      <c r="G89" s="119" t="str">
        <f>_xll.ohRangeRetrieveError(F89)</f>
        <v/>
      </c>
      <c r="H89" s="155"/>
    </row>
    <row r="90" spans="1:8" x14ac:dyDescent="0.2">
      <c r="A90" s="160"/>
      <c r="B90" s="121">
        <v>88</v>
      </c>
      <c r="C90" s="159" t="b">
        <v>0</v>
      </c>
      <c r="D90" s="158" t="str">
        <v>H1</v>
      </c>
      <c r="E90" s="157" t="str">
        <f>Currency&amp;$D$1&amp;$E$1&amp;$D90&amp;QuoteSuffix</f>
        <v>EURIMMFRA6MH1_Quote</v>
      </c>
      <c r="F90" s="156" t="str">
        <f>_xll.qlSimpleQuote(E90,,PriceTickValue,Permanent,Trigger,ObjectOverwrite)</f>
        <v>EURIMMFRA6MH1_Quote#0028</v>
      </c>
      <c r="G90" s="119" t="str">
        <f>_xll.ohRangeRetrieveError(F90)</f>
        <v/>
      </c>
      <c r="H90" s="155"/>
    </row>
    <row r="91" spans="1:8" x14ac:dyDescent="0.2">
      <c r="A91" s="160"/>
      <c r="B91" s="121">
        <v>89</v>
      </c>
      <c r="C91" s="159" t="b">
        <v>0</v>
      </c>
      <c r="D91" s="158" t="str">
        <v>J1</v>
      </c>
      <c r="E91" s="157" t="str">
        <f>Currency&amp;$D$1&amp;$E$1&amp;$D91&amp;QuoteSuffix</f>
        <v>EURIMMFRA6MJ1_Quote</v>
      </c>
      <c r="F91" s="156" t="str">
        <f>_xll.qlSimpleQuote(E91,,PriceTickValue,Permanent,Trigger,ObjectOverwrite)</f>
        <v>EURIMMFRA6MJ1_Quote#0028</v>
      </c>
      <c r="G91" s="119" t="str">
        <f>_xll.ohRangeRetrieveError(F91)</f>
        <v/>
      </c>
      <c r="H91" s="155"/>
    </row>
    <row r="92" spans="1:8" x14ac:dyDescent="0.2">
      <c r="A92" s="160"/>
      <c r="B92" s="121">
        <v>90</v>
      </c>
      <c r="C92" s="159" t="b">
        <v>0</v>
      </c>
      <c r="D92" s="158" t="str">
        <v>K1</v>
      </c>
      <c r="E92" s="157" t="str">
        <f>Currency&amp;$D$1&amp;$E$1&amp;$D92&amp;QuoteSuffix</f>
        <v>EURIMMFRA6MK1_Quote</v>
      </c>
      <c r="F92" s="156" t="str">
        <f>_xll.qlSimpleQuote(E92,,PriceTickValue,Permanent,Trigger,ObjectOverwrite)</f>
        <v>EURIMMFRA6MK1_Quote#0028</v>
      </c>
      <c r="G92" s="119" t="str">
        <f>_xll.ohRangeRetrieveError(F92)</f>
        <v/>
      </c>
      <c r="H92" s="155"/>
    </row>
    <row r="93" spans="1:8" x14ac:dyDescent="0.2">
      <c r="A93" s="160"/>
      <c r="B93" s="121">
        <v>91</v>
      </c>
      <c r="C93" s="159" t="b">
        <v>0</v>
      </c>
      <c r="D93" s="158" t="str">
        <v>M1</v>
      </c>
      <c r="E93" s="157" t="str">
        <f>Currency&amp;$D$1&amp;$E$1&amp;$D93&amp;QuoteSuffix</f>
        <v>EURIMMFRA6MM1_Quote</v>
      </c>
      <c r="F93" s="156" t="str">
        <f>_xll.qlSimpleQuote(E93,,PriceTickValue,Permanent,Trigger,ObjectOverwrite)</f>
        <v>EURIMMFRA6MM1_Quote#0028</v>
      </c>
      <c r="G93" s="119" t="str">
        <f>_xll.ohRangeRetrieveError(F93)</f>
        <v/>
      </c>
      <c r="H93" s="155"/>
    </row>
    <row r="94" spans="1:8" x14ac:dyDescent="0.2">
      <c r="A94" s="160"/>
      <c r="B94" s="121">
        <v>92</v>
      </c>
      <c r="C94" s="159" t="b">
        <v>0</v>
      </c>
      <c r="D94" s="158" t="str">
        <v>N1</v>
      </c>
      <c r="E94" s="157" t="str">
        <f>Currency&amp;$D$1&amp;$E$1&amp;$D94&amp;QuoteSuffix</f>
        <v>EURIMMFRA6MN1_Quote</v>
      </c>
      <c r="F94" s="156" t="str">
        <f>_xll.qlSimpleQuote(E94,,PriceTickValue,Permanent,Trigger,ObjectOverwrite)</f>
        <v>EURIMMFRA6MN1_Quote#0028</v>
      </c>
      <c r="G94" s="119" t="str">
        <f>_xll.ohRangeRetrieveError(F94)</f>
        <v/>
      </c>
      <c r="H94" s="155"/>
    </row>
    <row r="95" spans="1:8" x14ac:dyDescent="0.2">
      <c r="A95" s="160"/>
      <c r="B95" s="121">
        <v>93</v>
      </c>
      <c r="C95" s="159" t="b">
        <v>0</v>
      </c>
      <c r="D95" s="158" t="str">
        <v>Q1</v>
      </c>
      <c r="E95" s="157" t="str">
        <f>Currency&amp;$D$1&amp;$E$1&amp;$D95&amp;QuoteSuffix</f>
        <v>EURIMMFRA6MQ1_Quote</v>
      </c>
      <c r="F95" s="156" t="str">
        <f>_xll.qlSimpleQuote(E95,,PriceTickValue,Permanent,Trigger,ObjectOverwrite)</f>
        <v>EURIMMFRA6MQ1_Quote#0028</v>
      </c>
      <c r="G95" s="119" t="str">
        <f>_xll.ohRangeRetrieveError(F95)</f>
        <v/>
      </c>
      <c r="H95" s="155"/>
    </row>
    <row r="96" spans="1:8" x14ac:dyDescent="0.2">
      <c r="A96" s="160"/>
      <c r="B96" s="121">
        <v>94</v>
      </c>
      <c r="C96" s="159" t="b">
        <v>0</v>
      </c>
      <c r="D96" s="158" t="str">
        <v>U1</v>
      </c>
      <c r="E96" s="157" t="str">
        <f>Currency&amp;$D$1&amp;$E$1&amp;$D96&amp;QuoteSuffix</f>
        <v>EURIMMFRA6MU1_Quote</v>
      </c>
      <c r="F96" s="156" t="str">
        <f>_xll.qlSimpleQuote(E96,,PriceTickValue,Permanent,Trigger,ObjectOverwrite)</f>
        <v>EURIMMFRA6MU1_Quote#0028</v>
      </c>
      <c r="G96" s="119" t="str">
        <f>_xll.ohRangeRetrieveError(F96)</f>
        <v/>
      </c>
      <c r="H96" s="155"/>
    </row>
    <row r="97" spans="1:8" x14ac:dyDescent="0.2">
      <c r="A97" s="160"/>
      <c r="B97" s="121">
        <v>95</v>
      </c>
      <c r="C97" s="159" t="b">
        <v>0</v>
      </c>
      <c r="D97" s="158" t="str">
        <v>V1</v>
      </c>
      <c r="E97" s="157" t="str">
        <f>Currency&amp;$D$1&amp;$E$1&amp;$D97&amp;QuoteSuffix</f>
        <v>EURIMMFRA6MV1_Quote</v>
      </c>
      <c r="F97" s="156" t="str">
        <f>_xll.qlSimpleQuote(E97,,PriceTickValue,Permanent,Trigger,ObjectOverwrite)</f>
        <v>EURIMMFRA6MV1_Quote#0028</v>
      </c>
      <c r="G97" s="119" t="str">
        <f>_xll.ohRangeRetrieveError(F97)</f>
        <v/>
      </c>
      <c r="H97" s="155"/>
    </row>
    <row r="98" spans="1:8" x14ac:dyDescent="0.2">
      <c r="A98" s="160"/>
      <c r="B98" s="121">
        <v>96</v>
      </c>
      <c r="C98" s="159" t="b">
        <v>0</v>
      </c>
      <c r="D98" s="158" t="str">
        <v>X1</v>
      </c>
      <c r="E98" s="157" t="str">
        <f>Currency&amp;$D$1&amp;$E$1&amp;$D98&amp;QuoteSuffix</f>
        <v>EURIMMFRA6MX1_Quote</v>
      </c>
      <c r="F98" s="156" t="str">
        <f>_xll.qlSimpleQuote(E98,,PriceTickValue,Permanent,Trigger,ObjectOverwrite)</f>
        <v>EURIMMFRA6MX1_Quote#0028</v>
      </c>
      <c r="G98" s="119" t="str">
        <f>_xll.ohRangeRetrieveError(F98)</f>
        <v/>
      </c>
      <c r="H98" s="155"/>
    </row>
    <row r="99" spans="1:8" x14ac:dyDescent="0.2">
      <c r="A99" s="160"/>
      <c r="B99" s="121">
        <v>97</v>
      </c>
      <c r="C99" s="159" t="b">
        <v>0</v>
      </c>
      <c r="D99" s="158" t="str">
        <v>Z1</v>
      </c>
      <c r="E99" s="157" t="str">
        <f>Currency&amp;$D$1&amp;$E$1&amp;$D99&amp;QuoteSuffix</f>
        <v>EURIMMFRA6MZ1_Quote</v>
      </c>
      <c r="F99" s="156" t="str">
        <f>_xll.qlSimpleQuote(E99,,PriceTickValue,Permanent,Trigger,ObjectOverwrite)</f>
        <v>EURIMMFRA6MZ1_Quote#0028</v>
      </c>
      <c r="G99" s="119" t="str">
        <f>_xll.ohRangeRetrieveError(F99)</f>
        <v/>
      </c>
      <c r="H99" s="155"/>
    </row>
    <row r="100" spans="1:8" x14ac:dyDescent="0.2">
      <c r="A100" s="160"/>
      <c r="B100" s="121">
        <v>98</v>
      </c>
      <c r="C100" s="159" t="b">
        <v>0</v>
      </c>
      <c r="D100" s="158" t="str">
        <v>F2</v>
      </c>
      <c r="E100" s="157" t="str">
        <f>Currency&amp;$D$1&amp;$E$1&amp;$D100&amp;QuoteSuffix</f>
        <v>EURIMMFRA6MF2_Quote</v>
      </c>
      <c r="F100" s="156" t="str">
        <f>_xll.qlSimpleQuote(E100,,PriceTickValue,Permanent,Trigger,ObjectOverwrite)</f>
        <v>EURIMMFRA6MF2_Quote#0028</v>
      </c>
      <c r="G100" s="119" t="str">
        <f>_xll.ohRangeRetrieveError(F100)</f>
        <v/>
      </c>
      <c r="H100" s="155"/>
    </row>
    <row r="101" spans="1:8" x14ac:dyDescent="0.2">
      <c r="A101" s="160"/>
      <c r="B101" s="121">
        <v>99</v>
      </c>
      <c r="C101" s="159" t="b">
        <v>0</v>
      </c>
      <c r="D101" s="158" t="str">
        <v>G2</v>
      </c>
      <c r="E101" s="157" t="str">
        <f>Currency&amp;$D$1&amp;$E$1&amp;$D101&amp;QuoteSuffix</f>
        <v>EURIMMFRA6MG2_Quote</v>
      </c>
      <c r="F101" s="156" t="str">
        <f>_xll.qlSimpleQuote(E101,,PriceTickValue,Permanent,Trigger,ObjectOverwrite)</f>
        <v>EURIMMFRA6MG2_Quote#0028</v>
      </c>
      <c r="G101" s="119" t="str">
        <f>_xll.ohRangeRetrieveError(F101)</f>
        <v/>
      </c>
      <c r="H101" s="155"/>
    </row>
    <row r="102" spans="1:8" x14ac:dyDescent="0.2">
      <c r="A102" s="160"/>
      <c r="B102" s="121">
        <v>100</v>
      </c>
      <c r="C102" s="159" t="b">
        <v>0</v>
      </c>
      <c r="D102" s="158" t="str">
        <v>H2</v>
      </c>
      <c r="E102" s="157" t="str">
        <f>Currency&amp;$D$1&amp;$E$1&amp;$D102&amp;QuoteSuffix</f>
        <v>EURIMMFRA6MH2_Quote</v>
      </c>
      <c r="F102" s="156" t="str">
        <f>_xll.qlSimpleQuote(E102,,PriceTickValue,Permanent,Trigger,ObjectOverwrite)</f>
        <v>EURIMMFRA6MH2_Quote#0028</v>
      </c>
      <c r="G102" s="119" t="str">
        <f>_xll.ohRangeRetrieveError(F102)</f>
        <v/>
      </c>
      <c r="H102" s="155"/>
    </row>
    <row r="103" spans="1:8" x14ac:dyDescent="0.2">
      <c r="A103" s="160"/>
      <c r="B103" s="121">
        <v>101</v>
      </c>
      <c r="C103" s="159" t="b">
        <v>0</v>
      </c>
      <c r="D103" s="158" t="str">
        <v>J2</v>
      </c>
      <c r="E103" s="157" t="str">
        <f>Currency&amp;$D$1&amp;$E$1&amp;$D103&amp;QuoteSuffix</f>
        <v>EURIMMFRA6MJ2_Quote</v>
      </c>
      <c r="F103" s="156" t="str">
        <f>_xll.qlSimpleQuote(E103,,PriceTickValue,Permanent,Trigger,ObjectOverwrite)</f>
        <v>EURIMMFRA6MJ2_Quote#0028</v>
      </c>
      <c r="G103" s="119" t="str">
        <f>_xll.ohRangeRetrieveError(F103)</f>
        <v/>
      </c>
      <c r="H103" s="155"/>
    </row>
    <row r="104" spans="1:8" x14ac:dyDescent="0.2">
      <c r="A104" s="160"/>
      <c r="B104" s="121">
        <v>102</v>
      </c>
      <c r="C104" s="159" t="b">
        <v>0</v>
      </c>
      <c r="D104" s="158" t="str">
        <v>K2</v>
      </c>
      <c r="E104" s="157" t="str">
        <f>Currency&amp;$D$1&amp;$E$1&amp;$D104&amp;QuoteSuffix</f>
        <v>EURIMMFRA6MK2_Quote</v>
      </c>
      <c r="F104" s="156" t="str">
        <f>_xll.qlSimpleQuote(E104,,PriceTickValue,Permanent,Trigger,ObjectOverwrite)</f>
        <v>EURIMMFRA6MK2_Quote#0028</v>
      </c>
      <c r="G104" s="119" t="str">
        <f>_xll.ohRangeRetrieveError(F104)</f>
        <v/>
      </c>
      <c r="H104" s="155"/>
    </row>
    <row r="105" spans="1:8" x14ac:dyDescent="0.2">
      <c r="A105" s="160"/>
      <c r="B105" s="121">
        <v>103</v>
      </c>
      <c r="C105" s="159" t="b">
        <v>0</v>
      </c>
      <c r="D105" s="158" t="str">
        <v>M2</v>
      </c>
      <c r="E105" s="157" t="str">
        <f>Currency&amp;$D$1&amp;$E$1&amp;$D105&amp;QuoteSuffix</f>
        <v>EURIMMFRA6MM2_Quote</v>
      </c>
      <c r="F105" s="156" t="str">
        <f>_xll.qlSimpleQuote(E105,,PriceTickValue,Permanent,Trigger,ObjectOverwrite)</f>
        <v>EURIMMFRA6MM2_Quote#0028</v>
      </c>
      <c r="G105" s="119" t="str">
        <f>_xll.ohRangeRetrieveError(F105)</f>
        <v/>
      </c>
      <c r="H105" s="155"/>
    </row>
    <row r="106" spans="1:8" x14ac:dyDescent="0.2">
      <c r="A106" s="160"/>
      <c r="B106" s="121">
        <v>104</v>
      </c>
      <c r="C106" s="159" t="b">
        <v>0</v>
      </c>
      <c r="D106" s="158" t="str">
        <v>N2</v>
      </c>
      <c r="E106" s="157" t="str">
        <f>Currency&amp;$D$1&amp;$E$1&amp;$D106&amp;QuoteSuffix</f>
        <v>EURIMMFRA6MN2_Quote</v>
      </c>
      <c r="F106" s="156" t="str">
        <f>_xll.qlSimpleQuote(E106,,PriceTickValue,Permanent,Trigger,ObjectOverwrite)</f>
        <v>EURIMMFRA6MN2_Quote#0028</v>
      </c>
      <c r="G106" s="119" t="str">
        <f>_xll.ohRangeRetrieveError(F106)</f>
        <v/>
      </c>
      <c r="H106" s="155"/>
    </row>
    <row r="107" spans="1:8" x14ac:dyDescent="0.2">
      <c r="A107" s="160"/>
      <c r="B107" s="121">
        <v>105</v>
      </c>
      <c r="C107" s="159" t="b">
        <v>0</v>
      </c>
      <c r="D107" s="158" t="str">
        <v>Q2</v>
      </c>
      <c r="E107" s="157" t="str">
        <f>Currency&amp;$D$1&amp;$E$1&amp;$D107&amp;QuoteSuffix</f>
        <v>EURIMMFRA6MQ2_Quote</v>
      </c>
      <c r="F107" s="156" t="str">
        <f>_xll.qlSimpleQuote(E107,,PriceTickValue,Permanent,Trigger,ObjectOverwrite)</f>
        <v>EURIMMFRA6MQ2_Quote#0028</v>
      </c>
      <c r="G107" s="119" t="str">
        <f>_xll.ohRangeRetrieveError(F107)</f>
        <v/>
      </c>
      <c r="H107" s="155"/>
    </row>
    <row r="108" spans="1:8" x14ac:dyDescent="0.2">
      <c r="A108" s="160"/>
      <c r="B108" s="121">
        <v>106</v>
      </c>
      <c r="C108" s="159" t="b">
        <v>0</v>
      </c>
      <c r="D108" s="158" t="str">
        <v>U2</v>
      </c>
      <c r="E108" s="157" t="str">
        <f>Currency&amp;$D$1&amp;$E$1&amp;$D108&amp;QuoteSuffix</f>
        <v>EURIMMFRA6MU2_Quote</v>
      </c>
      <c r="F108" s="156" t="str">
        <f>_xll.qlSimpleQuote(E108,,PriceTickValue,Permanent,Trigger,ObjectOverwrite)</f>
        <v>EURIMMFRA6MU2_Quote#0028</v>
      </c>
      <c r="G108" s="119" t="str">
        <f>_xll.ohRangeRetrieveError(F108)</f>
        <v/>
      </c>
      <c r="H108" s="155"/>
    </row>
    <row r="109" spans="1:8" x14ac:dyDescent="0.2">
      <c r="A109" s="160"/>
      <c r="B109" s="121">
        <v>107</v>
      </c>
      <c r="C109" s="159" t="b">
        <v>0</v>
      </c>
      <c r="D109" s="158" t="str">
        <v>V2</v>
      </c>
      <c r="E109" s="157" t="str">
        <f>Currency&amp;$D$1&amp;$E$1&amp;$D109&amp;QuoteSuffix</f>
        <v>EURIMMFRA6MV2_Quote</v>
      </c>
      <c r="F109" s="156" t="str">
        <f>_xll.qlSimpleQuote(E109,,PriceTickValue,Permanent,Trigger,ObjectOverwrite)</f>
        <v>EURIMMFRA6MV2_Quote#0028</v>
      </c>
      <c r="G109" s="119" t="str">
        <f>_xll.ohRangeRetrieveError(F109)</f>
        <v/>
      </c>
      <c r="H109" s="155"/>
    </row>
    <row r="110" spans="1:8" x14ac:dyDescent="0.2">
      <c r="A110" s="160"/>
      <c r="B110" s="121">
        <v>108</v>
      </c>
      <c r="C110" s="159" t="b">
        <v>0</v>
      </c>
      <c r="D110" s="158" t="str">
        <v>X2</v>
      </c>
      <c r="E110" s="157" t="str">
        <f>Currency&amp;$D$1&amp;$E$1&amp;$D110&amp;QuoteSuffix</f>
        <v>EURIMMFRA6MX2_Quote</v>
      </c>
      <c r="F110" s="156" t="str">
        <f>_xll.qlSimpleQuote(E110,,PriceTickValue,Permanent,Trigger,ObjectOverwrite)</f>
        <v>EURIMMFRA6MX2_Quote#0028</v>
      </c>
      <c r="G110" s="119" t="str">
        <f>_xll.ohRangeRetrieveError(F110)</f>
        <v/>
      </c>
      <c r="H110" s="155"/>
    </row>
    <row r="111" spans="1:8" x14ac:dyDescent="0.2">
      <c r="A111" s="160"/>
      <c r="B111" s="121">
        <v>109</v>
      </c>
      <c r="C111" s="159" t="b">
        <v>0</v>
      </c>
      <c r="D111" s="158" t="str">
        <v>Z2</v>
      </c>
      <c r="E111" s="157" t="str">
        <f>Currency&amp;$D$1&amp;$E$1&amp;$D111&amp;QuoteSuffix</f>
        <v>EURIMMFRA6MZ2_Quote</v>
      </c>
      <c r="F111" s="156" t="str">
        <f>_xll.qlSimpleQuote(E111,,PriceTickValue,Permanent,Trigger,ObjectOverwrite)</f>
        <v>EURIMMFRA6MZ2_Quote#0028</v>
      </c>
      <c r="G111" s="119" t="str">
        <f>_xll.ohRangeRetrieveError(F111)</f>
        <v/>
      </c>
      <c r="H111" s="155"/>
    </row>
    <row r="112" spans="1:8" x14ac:dyDescent="0.2">
      <c r="A112" s="160"/>
      <c r="B112" s="121">
        <v>110</v>
      </c>
      <c r="C112" s="159" t="b">
        <v>0</v>
      </c>
      <c r="D112" s="158" t="str">
        <v>F3</v>
      </c>
      <c r="E112" s="157" t="str">
        <f>Currency&amp;$D$1&amp;$E$1&amp;$D112&amp;QuoteSuffix</f>
        <v>EURIMMFRA6MF3_Quote</v>
      </c>
      <c r="F112" s="156" t="str">
        <f>_xll.qlSimpleQuote(E112,,PriceTickValue,Permanent,Trigger,ObjectOverwrite)</f>
        <v>EURIMMFRA6MF3_Quote#0028</v>
      </c>
      <c r="G112" s="119" t="str">
        <f>_xll.ohRangeRetrieveError(F112)</f>
        <v/>
      </c>
      <c r="H112" s="155"/>
    </row>
    <row r="113" spans="1:8" x14ac:dyDescent="0.2">
      <c r="A113" s="160"/>
      <c r="B113" s="121">
        <v>111</v>
      </c>
      <c r="C113" s="159" t="b">
        <v>0</v>
      </c>
      <c r="D113" s="158" t="str">
        <v>G3</v>
      </c>
      <c r="E113" s="157" t="str">
        <f>Currency&amp;$D$1&amp;$E$1&amp;$D113&amp;QuoteSuffix</f>
        <v>EURIMMFRA6MG3_Quote</v>
      </c>
      <c r="F113" s="156" t="str">
        <f>_xll.qlSimpleQuote(E113,,PriceTickValue,Permanent,Trigger,ObjectOverwrite)</f>
        <v>EURIMMFRA6MG3_Quote#0028</v>
      </c>
      <c r="G113" s="119" t="str">
        <f>_xll.ohRangeRetrieveError(F113)</f>
        <v/>
      </c>
      <c r="H113" s="155"/>
    </row>
    <row r="114" spans="1:8" x14ac:dyDescent="0.2">
      <c r="A114" s="160"/>
      <c r="B114" s="121">
        <v>112</v>
      </c>
      <c r="C114" s="159" t="b">
        <v>0</v>
      </c>
      <c r="D114" s="158" t="str">
        <v>H3</v>
      </c>
      <c r="E114" s="157" t="str">
        <f>Currency&amp;$D$1&amp;$E$1&amp;$D114&amp;QuoteSuffix</f>
        <v>EURIMMFRA6MH3_Quote</v>
      </c>
      <c r="F114" s="156" t="str">
        <f>_xll.qlSimpleQuote(E114,,PriceTickValue,Permanent,Trigger,ObjectOverwrite)</f>
        <v>EURIMMFRA6MH3_Quote#0028</v>
      </c>
      <c r="G114" s="119" t="str">
        <f>_xll.ohRangeRetrieveError(F114)</f>
        <v/>
      </c>
      <c r="H114" s="155"/>
    </row>
    <row r="115" spans="1:8" x14ac:dyDescent="0.2">
      <c r="A115" s="160"/>
      <c r="B115" s="121">
        <v>113</v>
      </c>
      <c r="C115" s="159" t="b">
        <v>0</v>
      </c>
      <c r="D115" s="158" t="str">
        <v>J3</v>
      </c>
      <c r="E115" s="157" t="str">
        <f>Currency&amp;$D$1&amp;$E$1&amp;$D115&amp;QuoteSuffix</f>
        <v>EURIMMFRA6MJ3_Quote</v>
      </c>
      <c r="F115" s="156" t="str">
        <f>_xll.qlSimpleQuote(E115,,PriceTickValue,Permanent,Trigger,ObjectOverwrite)</f>
        <v>EURIMMFRA6MJ3_Quote#0028</v>
      </c>
      <c r="G115" s="119" t="str">
        <f>_xll.ohRangeRetrieveError(F115)</f>
        <v/>
      </c>
      <c r="H115" s="155"/>
    </row>
    <row r="116" spans="1:8" x14ac:dyDescent="0.2">
      <c r="A116" s="160"/>
      <c r="B116" s="121">
        <v>114</v>
      </c>
      <c r="C116" s="159" t="b">
        <v>0</v>
      </c>
      <c r="D116" s="158" t="str">
        <v>K3</v>
      </c>
      <c r="E116" s="157" t="str">
        <f>Currency&amp;$D$1&amp;$E$1&amp;$D116&amp;QuoteSuffix</f>
        <v>EURIMMFRA6MK3_Quote</v>
      </c>
      <c r="F116" s="156" t="str">
        <f>_xll.qlSimpleQuote(E116,,PriceTickValue,Permanent,Trigger,ObjectOverwrite)</f>
        <v>EURIMMFRA6MK3_Quote#0028</v>
      </c>
      <c r="G116" s="119" t="str">
        <f>_xll.ohRangeRetrieveError(F116)</f>
        <v/>
      </c>
      <c r="H116" s="155"/>
    </row>
    <row r="117" spans="1:8" x14ac:dyDescent="0.2">
      <c r="A117" s="160"/>
      <c r="B117" s="121">
        <v>115</v>
      </c>
      <c r="C117" s="159" t="b">
        <v>0</v>
      </c>
      <c r="D117" s="158" t="str">
        <v>M3</v>
      </c>
      <c r="E117" s="157" t="str">
        <f>Currency&amp;$D$1&amp;$E$1&amp;$D117&amp;QuoteSuffix</f>
        <v>EURIMMFRA6MM3_Quote</v>
      </c>
      <c r="F117" s="156" t="str">
        <f>_xll.qlSimpleQuote(E117,,PriceTickValue,Permanent,Trigger,ObjectOverwrite)</f>
        <v>EURIMMFRA6MM3_Quote#0028</v>
      </c>
      <c r="G117" s="119" t="str">
        <f>_xll.ohRangeRetrieveError(F117)</f>
        <v/>
      </c>
      <c r="H117" s="155"/>
    </row>
    <row r="118" spans="1:8" x14ac:dyDescent="0.2">
      <c r="A118" s="160"/>
      <c r="B118" s="121">
        <v>116</v>
      </c>
      <c r="C118" s="159" t="b">
        <v>0</v>
      </c>
      <c r="D118" s="158" t="str">
        <v>N3</v>
      </c>
      <c r="E118" s="157" t="str">
        <f>Currency&amp;$D$1&amp;$E$1&amp;$D118&amp;QuoteSuffix</f>
        <v>EURIMMFRA6MN3_Quote</v>
      </c>
      <c r="F118" s="156" t="str">
        <f>_xll.qlSimpleQuote(E118,,PriceTickValue,Permanent,Trigger,ObjectOverwrite)</f>
        <v>EURIMMFRA6MN3_Quote#0028</v>
      </c>
      <c r="G118" s="119" t="str">
        <f>_xll.ohRangeRetrieveError(F118)</f>
        <v/>
      </c>
      <c r="H118" s="155"/>
    </row>
    <row r="119" spans="1:8" x14ac:dyDescent="0.2">
      <c r="A119" s="160"/>
      <c r="B119" s="121">
        <v>117</v>
      </c>
      <c r="C119" s="159" t="b">
        <v>0</v>
      </c>
      <c r="D119" s="158" t="str">
        <v>Q3</v>
      </c>
      <c r="E119" s="157" t="str">
        <f>Currency&amp;$D$1&amp;$E$1&amp;$D119&amp;QuoteSuffix</f>
        <v>EURIMMFRA6MQ3_Quote</v>
      </c>
      <c r="F119" s="156" t="str">
        <f>_xll.qlSimpleQuote(E119,,PriceTickValue,Permanent,Trigger,ObjectOverwrite)</f>
        <v>EURIMMFRA6MQ3_Quote#0028</v>
      </c>
      <c r="G119" s="119" t="str">
        <f>_xll.ohRangeRetrieveError(F119)</f>
        <v/>
      </c>
      <c r="H119" s="155"/>
    </row>
    <row r="120" spans="1:8" x14ac:dyDescent="0.2">
      <c r="A120" s="160"/>
      <c r="B120" s="121">
        <v>118</v>
      </c>
      <c r="C120" s="159" t="b">
        <v>0</v>
      </c>
      <c r="D120" s="158" t="str">
        <v>U3</v>
      </c>
      <c r="E120" s="157" t="str">
        <f>Currency&amp;$D$1&amp;$E$1&amp;$D120&amp;QuoteSuffix</f>
        <v>EURIMMFRA6MU3_Quote</v>
      </c>
      <c r="F120" s="156" t="str">
        <f>_xll.qlSimpleQuote(E120,,PriceTickValue,Permanent,Trigger,ObjectOverwrite)</f>
        <v>EURIMMFRA6MU3_Quote#0028</v>
      </c>
      <c r="G120" s="119" t="str">
        <f>_xll.ohRangeRetrieveError(F120)</f>
        <v/>
      </c>
      <c r="H120" s="155"/>
    </row>
    <row r="121" spans="1:8" x14ac:dyDescent="0.2">
      <c r="A121" s="160"/>
      <c r="B121" s="121">
        <v>119</v>
      </c>
      <c r="C121" s="159" t="b">
        <v>0</v>
      </c>
      <c r="D121" s="158" t="str">
        <v>V3</v>
      </c>
      <c r="E121" s="157" t="str">
        <f>Currency&amp;$D$1&amp;$E$1&amp;$D121&amp;QuoteSuffix</f>
        <v>EURIMMFRA6MV3_Quote</v>
      </c>
      <c r="F121" s="156" t="str">
        <f>_xll.qlSimpleQuote(E121,,PriceTickValue,Permanent,Trigger,ObjectOverwrite)</f>
        <v>EURIMMFRA6MV3_Quote#0028</v>
      </c>
      <c r="G121" s="119" t="str">
        <f>_xll.ohRangeRetrieveError(F121)</f>
        <v/>
      </c>
      <c r="H121" s="155"/>
    </row>
    <row r="122" spans="1:8" x14ac:dyDescent="0.2">
      <c r="A122" s="160"/>
      <c r="B122" s="121">
        <v>120</v>
      </c>
      <c r="C122" s="159" t="b">
        <v>0</v>
      </c>
      <c r="D122" s="158" t="str">
        <v>X3</v>
      </c>
      <c r="E122" s="157" t="str">
        <f>Currency&amp;$D$1&amp;$E$1&amp;$D122&amp;QuoteSuffix</f>
        <v>EURIMMFRA6MX3_Quote</v>
      </c>
      <c r="F122" s="156" t="str">
        <f>_xll.qlSimpleQuote(E122,,PriceTickValue,Permanent,Trigger,ObjectOverwrite)</f>
        <v>EURIMMFRA6MX3_Quote#0028</v>
      </c>
      <c r="G122" s="119" t="str">
        <f>_xll.ohRangeRetrieveError(F122)</f>
        <v/>
      </c>
      <c r="H122" s="155"/>
    </row>
    <row r="123" spans="1:8" ht="12" thickBot="1" x14ac:dyDescent="0.25">
      <c r="A123" s="154"/>
      <c r="B123" s="153"/>
      <c r="C123" s="153"/>
      <c r="D123" s="153"/>
      <c r="E123" s="153"/>
      <c r="F123" s="153"/>
      <c r="G123" s="153"/>
      <c r="H123" s="152"/>
    </row>
  </sheetData>
  <pageMargins left="0.75" right="0.75" top="1" bottom="1" header="0.5" footer="0.5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"/>
  <sheetViews>
    <sheetView workbookViewId="0"/>
  </sheetViews>
  <sheetFormatPr defaultRowHeight="11.25" x14ac:dyDescent="0.2"/>
  <cols>
    <col min="1" max="1" width="3.85546875" style="77" customWidth="1"/>
    <col min="2" max="2" width="25.5703125" style="77" bestFit="1" customWidth="1"/>
    <col min="3" max="3" width="27.7109375" style="77" bestFit="1" customWidth="1"/>
    <col min="4" max="4" width="23.28515625" style="77" customWidth="1"/>
    <col min="5" max="5" width="4.85546875" style="77" customWidth="1"/>
    <col min="6" max="16384" width="9.140625" style="77"/>
  </cols>
  <sheetData>
    <row r="1" spans="1:5" x14ac:dyDescent="0.2">
      <c r="A1" s="127" t="s">
        <v>191</v>
      </c>
      <c r="B1" s="126"/>
      <c r="C1" s="126"/>
      <c r="D1" s="126"/>
      <c r="E1" s="125"/>
    </row>
    <row r="2" spans="1:5" x14ac:dyDescent="0.2">
      <c r="A2" s="177"/>
      <c r="B2" s="40" t="str">
        <f>Currency&amp;"_010_"&amp;"FuturesHWConvAdj.xml"</f>
        <v>EUR_010_FuturesHWConvAdj.xml</v>
      </c>
      <c r="C2" s="10">
        <f ca="1">IF(Serialize,_xll.ohObjectSave(C3:C4,SerializationPath&amp;B2,FileOverwrite,Serialize),"---")</f>
        <v>2</v>
      </c>
      <c r="D2" s="119" t="str">
        <f ca="1">_xll.ohRangeRetrieveError(C2)</f>
        <v/>
      </c>
      <c r="E2" s="175"/>
    </row>
    <row r="3" spans="1:5" x14ac:dyDescent="0.2">
      <c r="A3" s="177"/>
      <c r="B3" s="176" t="str">
        <f>Currency&amp;"HW_Volatility"&amp;QuoteSuffix</f>
        <v>EURHW_Volatility_Quote</v>
      </c>
      <c r="C3" s="176" t="str">
        <f>_xll.qlSimpleQuote(B3,,,Permanent,Trigger,ObjectOverwrite)</f>
        <v>EURHW_Volatility_Quote#0027</v>
      </c>
      <c r="D3" s="119" t="str">
        <f>_xll.ohRangeRetrieveError(C3)</f>
        <v/>
      </c>
      <c r="E3" s="175"/>
    </row>
    <row r="4" spans="1:5" x14ac:dyDescent="0.2">
      <c r="A4" s="177"/>
      <c r="B4" s="176" t="str">
        <f>Currency&amp;"HW_MeanReversion"&amp;QuoteSuffix</f>
        <v>EURHW_MeanReversion_Quote</v>
      </c>
      <c r="C4" s="176" t="str">
        <f>_xll.qlSimpleQuote(B4,,,Permanent,Trigger,ObjectOverwrite)</f>
        <v>EURHW_MeanReversion_Quote#0027</v>
      </c>
      <c r="D4" s="119" t="str">
        <f>_xll.ohRangeRetrieveError(C4)</f>
        <v/>
      </c>
      <c r="E4" s="175"/>
    </row>
    <row r="5" spans="1:5" x14ac:dyDescent="0.2">
      <c r="A5" s="174"/>
      <c r="B5" s="173"/>
      <c r="C5" s="173"/>
      <c r="D5" s="173"/>
      <c r="E5" s="172"/>
    </row>
  </sheetData>
  <pageMargins left="0.75" right="0.75" top="1" bottom="1" header="0.5" footer="0.5"/>
  <pageSetup paperSize="9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8"/>
  <sheetViews>
    <sheetView workbookViewId="0"/>
  </sheetViews>
  <sheetFormatPr defaultColWidth="8" defaultRowHeight="11.25" x14ac:dyDescent="0.2"/>
  <cols>
    <col min="1" max="1" width="3.28515625" style="110" customWidth="1"/>
    <col min="2" max="2" width="4.28515625" style="110" customWidth="1"/>
    <col min="3" max="3" width="15.5703125" style="110" bestFit="1" customWidth="1"/>
    <col min="4" max="4" width="101.42578125" style="110" bestFit="1" customWidth="1"/>
    <col min="5" max="5" width="3.7109375" style="110" customWidth="1"/>
    <col min="6" max="6" width="35.28515625" style="110" customWidth="1"/>
    <col min="7" max="7" width="4.28515625" style="110" customWidth="1"/>
    <col min="8" max="16384" width="8" style="110"/>
  </cols>
  <sheetData>
    <row r="1" spans="1:5" ht="13.5" thickBot="1" x14ac:dyDescent="0.25">
      <c r="A1" s="110" t="s">
        <v>191</v>
      </c>
      <c r="B1" s="116" t="str">
        <f>_xll.qlxlVersion(TRUE,Trigger)</f>
        <v>QuantLibXL 1.3.0 - MS VC++ 9.0 - Multithreaded Static Runtime library - Release Configuration - Dec  5 2013 11:03:51</v>
      </c>
    </row>
    <row r="2" spans="1:5" s="1" customFormat="1" ht="15.75" x14ac:dyDescent="0.25">
      <c r="A2" s="23"/>
      <c r="B2" s="115" t="s">
        <v>150</v>
      </c>
      <c r="C2" s="114"/>
      <c r="D2" s="114"/>
      <c r="E2" s="113"/>
    </row>
    <row r="3" spans="1:5" s="1" customFormat="1" ht="12.75" x14ac:dyDescent="0.2">
      <c r="A3" s="23"/>
      <c r="B3" s="9"/>
      <c r="C3" s="13"/>
      <c r="D3" s="13"/>
      <c r="E3" s="5"/>
    </row>
    <row r="4" spans="1:5" s="1" customFormat="1" ht="12.75" x14ac:dyDescent="0.2">
      <c r="A4" s="23"/>
      <c r="B4" s="9"/>
      <c r="C4" s="16" t="s">
        <v>31</v>
      </c>
      <c r="D4" s="15"/>
      <c r="E4" s="14"/>
    </row>
    <row r="5" spans="1:5" s="1" customFormat="1" ht="12.75" x14ac:dyDescent="0.2">
      <c r="A5" s="23"/>
      <c r="B5" s="9"/>
      <c r="C5" s="16" t="s">
        <v>30</v>
      </c>
      <c r="D5" s="15" t="b">
        <v>1</v>
      </c>
      <c r="E5" s="14"/>
    </row>
    <row r="6" spans="1:5" s="1" customFormat="1" ht="12.75" x14ac:dyDescent="0.2">
      <c r="A6" s="23"/>
      <c r="B6" s="9"/>
      <c r="C6" s="16" t="s">
        <v>29</v>
      </c>
      <c r="D6" s="15" t="b">
        <v>0</v>
      </c>
      <c r="E6" s="14"/>
    </row>
    <row r="7" spans="1:5" s="1" customFormat="1" ht="12.75" x14ac:dyDescent="0.2">
      <c r="A7" s="23"/>
      <c r="B7" s="9"/>
      <c r="C7" s="16" t="s">
        <v>28</v>
      </c>
      <c r="D7" s="15" t="b">
        <v>1</v>
      </c>
      <c r="E7" s="14"/>
    </row>
    <row r="8" spans="1:5" s="1" customFormat="1" ht="12.75" x14ac:dyDescent="0.2">
      <c r="A8" s="23"/>
      <c r="B8" s="9"/>
      <c r="C8" s="16" t="s">
        <v>27</v>
      </c>
      <c r="D8" s="25" t="str">
        <f ca="1">SUBSTITUTE(LEFT(CELL("filename",A1),FIND("[",CELL("filename",A1),1)-1),"\XLS\","\XML\")</f>
        <v>C:\Users\erik\Documents\repos\quantlib_nando\QuantLibXL\Data2\XML\</v>
      </c>
      <c r="E8" s="14"/>
    </row>
    <row r="9" spans="1:5" s="1" customFormat="1" ht="12.75" x14ac:dyDescent="0.2">
      <c r="A9" s="23"/>
      <c r="B9" s="9"/>
      <c r="C9" s="16" t="s">
        <v>26</v>
      </c>
      <c r="D9" s="24" t="b">
        <v>1</v>
      </c>
      <c r="E9" s="14"/>
    </row>
    <row r="10" spans="1:5" s="1" customFormat="1" ht="13.5" thickBot="1" x14ac:dyDescent="0.25">
      <c r="A10" s="23"/>
      <c r="B10" s="4"/>
      <c r="C10" s="3"/>
      <c r="D10" s="3"/>
      <c r="E10" s="2"/>
    </row>
    <row r="11" spans="1:5" ht="12" thickBot="1" x14ac:dyDescent="0.25"/>
    <row r="12" spans="1:5" ht="15.75" x14ac:dyDescent="0.25">
      <c r="B12" s="115" t="s">
        <v>149</v>
      </c>
      <c r="C12" s="114"/>
      <c r="D12" s="114"/>
      <c r="E12" s="113"/>
    </row>
    <row r="13" spans="1:5" x14ac:dyDescent="0.2">
      <c r="B13" s="9"/>
      <c r="C13" s="13"/>
      <c r="D13" s="13"/>
      <c r="E13" s="5"/>
    </row>
    <row r="14" spans="1:5" x14ac:dyDescent="0.2">
      <c r="B14" s="9"/>
      <c r="C14" s="16" t="s">
        <v>25</v>
      </c>
      <c r="D14" s="15" t="s">
        <v>123</v>
      </c>
      <c r="E14" s="14"/>
    </row>
    <row r="15" spans="1:5" x14ac:dyDescent="0.2">
      <c r="B15" s="9"/>
      <c r="C15" s="16" t="s">
        <v>148</v>
      </c>
      <c r="D15" s="24" t="s">
        <v>147</v>
      </c>
      <c r="E15" s="14"/>
    </row>
    <row r="16" spans="1:5" x14ac:dyDescent="0.2">
      <c r="B16" s="9"/>
      <c r="C16" s="16" t="s">
        <v>146</v>
      </c>
      <c r="D16" s="112">
        <v>1E-4</v>
      </c>
      <c r="E16" s="14"/>
    </row>
    <row r="17" spans="2:5" x14ac:dyDescent="0.2">
      <c r="B17" s="9"/>
      <c r="C17" s="16" t="s">
        <v>145</v>
      </c>
      <c r="D17" s="111">
        <v>-0.01</v>
      </c>
      <c r="E17" s="14"/>
    </row>
    <row r="18" spans="2:5" ht="12" thickBot="1" x14ac:dyDescent="0.25">
      <c r="B18" s="4"/>
      <c r="C18" s="3"/>
      <c r="D18" s="3"/>
      <c r="E18" s="2"/>
    </row>
  </sheetData>
  <mergeCells count="2">
    <mergeCell ref="B2:E2"/>
    <mergeCell ref="B12:E12"/>
  </mergeCells>
  <dataValidations count="1">
    <dataValidation type="list" allowBlank="1" showInputMessage="1" showErrorMessage="1" sqref="D14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76"/>
  <sheetViews>
    <sheetView workbookViewId="0"/>
  </sheetViews>
  <sheetFormatPr defaultRowHeight="13.5" x14ac:dyDescent="0.25"/>
  <cols>
    <col min="1" max="1" width="3.7109375" style="179" customWidth="1"/>
    <col min="2" max="3" width="4" style="179" bestFit="1" customWidth="1"/>
    <col min="4" max="4" width="6" style="179" bestFit="1" customWidth="1"/>
    <col min="5" max="5" width="21.42578125" style="179" bestFit="1" customWidth="1"/>
    <col min="6" max="6" width="26.5703125" style="180" bestFit="1" customWidth="1"/>
    <col min="7" max="7" width="38.28515625" style="179" customWidth="1"/>
    <col min="8" max="8" width="4.42578125" style="179" customWidth="1"/>
    <col min="9" max="16384" width="9.140625" style="179"/>
  </cols>
  <sheetData>
    <row r="1" spans="1:8" x14ac:dyDescent="0.25">
      <c r="A1" s="230" t="s">
        <v>207</v>
      </c>
      <c r="B1" s="204"/>
      <c r="C1" s="204"/>
      <c r="D1" s="204"/>
      <c r="E1" s="202"/>
      <c r="F1" s="203"/>
      <c r="G1" s="202"/>
      <c r="H1" s="201"/>
    </row>
    <row r="2" spans="1:8" x14ac:dyDescent="0.25">
      <c r="A2" s="190"/>
      <c r="B2" s="200"/>
      <c r="C2" s="200"/>
      <c r="D2" s="199"/>
      <c r="E2" s="198" t="str">
        <f>Currency&amp;"_010_"&amp;"OIS.xml"</f>
        <v>EUR_010_OIS.xml</v>
      </c>
      <c r="F2" s="197">
        <f ca="1">IF(Serialize,_xll.ohObjectSave(_xll.ohPack(F3:F75),SerializationPath&amp;E2,FileOverwrite,Serialize),"---")</f>
        <v>49</v>
      </c>
      <c r="G2" s="196" t="str">
        <f ca="1">_xll.ohRangeRetrieveError(F2)</f>
        <v/>
      </c>
      <c r="H2" s="185"/>
    </row>
    <row r="3" spans="1:8" x14ac:dyDescent="0.25">
      <c r="A3" s="190"/>
      <c r="B3" s="189"/>
      <c r="C3" s="189" t="s">
        <v>194</v>
      </c>
      <c r="D3" s="195" t="s">
        <v>48</v>
      </c>
      <c r="E3" s="187" t="str">
        <f>Currency&amp;$B3&amp;$C3&amp;$D3&amp;QuoteSuffix</f>
        <v>EUREONSW_Quote</v>
      </c>
      <c r="F3" s="187" t="str">
        <f>_xll.qlSimpleQuote(Currency&amp;$B3&amp;$C3&amp;$D3&amp;QuoteSuffix,,RateTickValue,Permanent,Trigger,ObjectOverwrite)</f>
        <v>EUREONSW_Quote#0025</v>
      </c>
      <c r="G3" s="186" t="str">
        <f>_xll.ohRangeRetrieveError(F3)</f>
        <v/>
      </c>
      <c r="H3" s="185"/>
    </row>
    <row r="4" spans="1:8" x14ac:dyDescent="0.25">
      <c r="A4" s="190"/>
      <c r="B4" s="189"/>
      <c r="C4" s="189" t="s">
        <v>194</v>
      </c>
      <c r="D4" s="195" t="s">
        <v>47</v>
      </c>
      <c r="E4" s="187" t="str">
        <f>Currency&amp;$B4&amp;$C4&amp;$D4&amp;QuoteSuffix</f>
        <v>EUREON2W_Quote</v>
      </c>
      <c r="F4" s="187" t="str">
        <f>_xll.qlSimpleQuote(Currency&amp;$B4&amp;$C4&amp;$D4&amp;QuoteSuffix,,RateTickValue,Permanent,Trigger,ObjectOverwrite)</f>
        <v>EUREON2W_Quote#0025</v>
      </c>
      <c r="G4" s="186" t="str">
        <f>_xll.ohRangeRetrieveError(F4)</f>
        <v/>
      </c>
      <c r="H4" s="185"/>
    </row>
    <row r="5" spans="1:8" x14ac:dyDescent="0.25">
      <c r="A5" s="190"/>
      <c r="B5" s="189"/>
      <c r="C5" s="189" t="s">
        <v>194</v>
      </c>
      <c r="D5" s="195" t="s">
        <v>46</v>
      </c>
      <c r="E5" s="187" t="str">
        <f>Currency&amp;$B5&amp;$C5&amp;$D5&amp;QuoteSuffix</f>
        <v>EUREON3W_Quote</v>
      </c>
      <c r="F5" s="187" t="str">
        <f>_xll.qlSimpleQuote(Currency&amp;$B5&amp;$C5&amp;$D5&amp;QuoteSuffix,,RateTickValue,Permanent,Trigger,ObjectOverwrite)</f>
        <v>EUREON3W_Quote#0025</v>
      </c>
      <c r="G5" s="186" t="str">
        <f>_xll.ohRangeRetrieveError(F5)</f>
        <v/>
      </c>
      <c r="H5" s="185"/>
    </row>
    <row r="6" spans="1:8" x14ac:dyDescent="0.25">
      <c r="A6" s="190"/>
      <c r="B6" s="189"/>
      <c r="C6" s="189" t="s">
        <v>194</v>
      </c>
      <c r="D6" s="195" t="s">
        <v>45</v>
      </c>
      <c r="E6" s="187" t="str">
        <f>Currency&amp;$B6&amp;$C6&amp;$D6&amp;QuoteSuffix</f>
        <v>EUREON1M_Quote</v>
      </c>
      <c r="F6" s="187" t="str">
        <f>_xll.qlSimpleQuote(Currency&amp;$B6&amp;$C6&amp;$D6&amp;QuoteSuffix,,RateTickValue,Permanent,Trigger,ObjectOverwrite)</f>
        <v>EUREON1M_Quote#0025</v>
      </c>
      <c r="G6" s="186" t="str">
        <f>_xll.ohRangeRetrieveError(F6)</f>
        <v/>
      </c>
      <c r="H6" s="185"/>
    </row>
    <row r="7" spans="1:8" x14ac:dyDescent="0.25">
      <c r="A7" s="190"/>
      <c r="B7" s="189"/>
      <c r="C7" s="189" t="s">
        <v>194</v>
      </c>
      <c r="D7" s="195" t="s">
        <v>44</v>
      </c>
      <c r="E7" s="187" t="str">
        <f>Currency&amp;$B7&amp;$C7&amp;$D7&amp;QuoteSuffix</f>
        <v>EUREON2M_Quote</v>
      </c>
      <c r="F7" s="187" t="str">
        <f>_xll.qlSimpleQuote(Currency&amp;$B7&amp;$C7&amp;$D7&amp;QuoteSuffix,,RateTickValue,Permanent,Trigger,ObjectOverwrite)</f>
        <v>EUREON2M_Quote#0025</v>
      </c>
      <c r="G7" s="186" t="str">
        <f>_xll.ohRangeRetrieveError(F7)</f>
        <v/>
      </c>
      <c r="H7" s="185"/>
    </row>
    <row r="8" spans="1:8" x14ac:dyDescent="0.25">
      <c r="A8" s="190"/>
      <c r="B8" s="189"/>
      <c r="C8" s="189" t="s">
        <v>194</v>
      </c>
      <c r="D8" s="195" t="s">
        <v>43</v>
      </c>
      <c r="E8" s="187" t="str">
        <f>Currency&amp;$B8&amp;$C8&amp;$D8&amp;QuoteSuffix</f>
        <v>EUREON3M_Quote</v>
      </c>
      <c r="F8" s="187" t="str">
        <f>_xll.qlSimpleQuote(Currency&amp;$B8&amp;$C8&amp;$D8&amp;QuoteSuffix,,RateTickValue,Permanent,Trigger,ObjectOverwrite)</f>
        <v>EUREON3M_Quote#0025</v>
      </c>
      <c r="G8" s="186" t="str">
        <f>_xll.ohRangeRetrieveError(F8)</f>
        <v/>
      </c>
      <c r="H8" s="185"/>
    </row>
    <row r="9" spans="1:8" x14ac:dyDescent="0.25">
      <c r="A9" s="190"/>
      <c r="B9" s="189"/>
      <c r="C9" s="189" t="s">
        <v>194</v>
      </c>
      <c r="D9" s="195" t="s">
        <v>42</v>
      </c>
      <c r="E9" s="187" t="str">
        <f>Currency&amp;$B9&amp;$C9&amp;$D9&amp;QuoteSuffix</f>
        <v>EUREON4M_Quote</v>
      </c>
      <c r="F9" s="187" t="str">
        <f>_xll.qlSimpleQuote(Currency&amp;$B9&amp;$C9&amp;$D9&amp;QuoteSuffix,,RateTickValue,Permanent,Trigger,ObjectOverwrite)</f>
        <v>EUREON4M_Quote#0025</v>
      </c>
      <c r="G9" s="186" t="str">
        <f>_xll.ohRangeRetrieveError(F9)</f>
        <v/>
      </c>
      <c r="H9" s="185"/>
    </row>
    <row r="10" spans="1:8" x14ac:dyDescent="0.25">
      <c r="A10" s="190"/>
      <c r="B10" s="189"/>
      <c r="C10" s="189" t="s">
        <v>194</v>
      </c>
      <c r="D10" s="195" t="s">
        <v>41</v>
      </c>
      <c r="E10" s="187" t="str">
        <f>Currency&amp;$B10&amp;$C10&amp;$D10&amp;QuoteSuffix</f>
        <v>EUREON5M_Quote</v>
      </c>
      <c r="F10" s="187" t="str">
        <f>_xll.qlSimpleQuote(Currency&amp;$B10&amp;$C10&amp;$D10&amp;QuoteSuffix,,RateTickValue,Permanent,Trigger,ObjectOverwrite)</f>
        <v>EUREON5M_Quote#0025</v>
      </c>
      <c r="G10" s="186" t="str">
        <f>_xll.ohRangeRetrieveError(F10)</f>
        <v/>
      </c>
      <c r="H10" s="185"/>
    </row>
    <row r="11" spans="1:8" x14ac:dyDescent="0.25">
      <c r="A11" s="190"/>
      <c r="B11" s="189"/>
      <c r="C11" s="189" t="s">
        <v>194</v>
      </c>
      <c r="D11" s="195" t="s">
        <v>40</v>
      </c>
      <c r="E11" s="187" t="str">
        <f>Currency&amp;$B11&amp;$C11&amp;$D11&amp;QuoteSuffix</f>
        <v>EUREON6M_Quote</v>
      </c>
      <c r="F11" s="187" t="str">
        <f>_xll.qlSimpleQuote(Currency&amp;$B11&amp;$C11&amp;$D11&amp;QuoteSuffix,,RateTickValue,Permanent,Trigger,ObjectOverwrite)</f>
        <v>EUREON6M_Quote#0025</v>
      </c>
      <c r="G11" s="186" t="str">
        <f>_xll.ohRangeRetrieveError(F11)</f>
        <v/>
      </c>
      <c r="H11" s="185"/>
    </row>
    <row r="12" spans="1:8" x14ac:dyDescent="0.25">
      <c r="A12" s="190"/>
      <c r="B12" s="189"/>
      <c r="C12" s="189" t="s">
        <v>194</v>
      </c>
      <c r="D12" s="195" t="s">
        <v>39</v>
      </c>
      <c r="E12" s="187" t="str">
        <f>Currency&amp;$B12&amp;$C12&amp;$D12&amp;QuoteSuffix</f>
        <v>EUREON7M_Quote</v>
      </c>
      <c r="F12" s="187" t="str">
        <f>_xll.qlSimpleQuote(Currency&amp;$B12&amp;$C12&amp;$D12&amp;QuoteSuffix,,RateTickValue,Permanent,Trigger,ObjectOverwrite)</f>
        <v>EUREON7M_Quote#0025</v>
      </c>
      <c r="G12" s="186" t="str">
        <f>_xll.ohRangeRetrieveError(F12)</f>
        <v/>
      </c>
      <c r="H12" s="185"/>
    </row>
    <row r="13" spans="1:8" x14ac:dyDescent="0.25">
      <c r="A13" s="190"/>
      <c r="B13" s="189"/>
      <c r="C13" s="189" t="s">
        <v>194</v>
      </c>
      <c r="D13" s="195" t="s">
        <v>38</v>
      </c>
      <c r="E13" s="187" t="str">
        <f>Currency&amp;$B13&amp;$C13&amp;$D13&amp;QuoteSuffix</f>
        <v>EUREON8M_Quote</v>
      </c>
      <c r="F13" s="187" t="str">
        <f>_xll.qlSimpleQuote(Currency&amp;$B13&amp;$C13&amp;$D13&amp;QuoteSuffix,,RateTickValue,Permanent,Trigger,ObjectOverwrite)</f>
        <v>EUREON8M_Quote#0025</v>
      </c>
      <c r="G13" s="186" t="str">
        <f>_xll.ohRangeRetrieveError(F13)</f>
        <v/>
      </c>
      <c r="H13" s="185"/>
    </row>
    <row r="14" spans="1:8" x14ac:dyDescent="0.25">
      <c r="A14" s="190"/>
      <c r="B14" s="189"/>
      <c r="C14" s="189" t="s">
        <v>194</v>
      </c>
      <c r="D14" s="195" t="s">
        <v>37</v>
      </c>
      <c r="E14" s="187" t="str">
        <f>Currency&amp;$B14&amp;$C14&amp;$D14&amp;QuoteSuffix</f>
        <v>EUREON9M_Quote</v>
      </c>
      <c r="F14" s="187" t="str">
        <f>_xll.qlSimpleQuote(Currency&amp;$B14&amp;$C14&amp;$D14&amp;QuoteSuffix,,RateTickValue,Permanent,Trigger,ObjectOverwrite)</f>
        <v>EUREON9M_Quote#0025</v>
      </c>
      <c r="G14" s="186" t="str">
        <f>_xll.ohRangeRetrieveError(F14)</f>
        <v/>
      </c>
      <c r="H14" s="185"/>
    </row>
    <row r="15" spans="1:8" x14ac:dyDescent="0.25">
      <c r="A15" s="190"/>
      <c r="B15" s="189"/>
      <c r="C15" s="189" t="s">
        <v>194</v>
      </c>
      <c r="D15" s="195" t="s">
        <v>36</v>
      </c>
      <c r="E15" s="187" t="str">
        <f>Currency&amp;$B15&amp;$C15&amp;$D15&amp;QuoteSuffix</f>
        <v>EUREON10M_Quote</v>
      </c>
      <c r="F15" s="187" t="str">
        <f>_xll.qlSimpleQuote(Currency&amp;$B15&amp;$C15&amp;$D15&amp;QuoteSuffix,,RateTickValue,Permanent,Trigger,ObjectOverwrite)</f>
        <v>EUREON10M_Quote#0025</v>
      </c>
      <c r="G15" s="186" t="str">
        <f>_xll.ohRangeRetrieveError(F15)</f>
        <v/>
      </c>
      <c r="H15" s="185"/>
    </row>
    <row r="16" spans="1:8" x14ac:dyDescent="0.25">
      <c r="A16" s="190"/>
      <c r="B16" s="189"/>
      <c r="C16" s="189" t="s">
        <v>194</v>
      </c>
      <c r="D16" s="195" t="s">
        <v>35</v>
      </c>
      <c r="E16" s="187" t="str">
        <f>Currency&amp;$B16&amp;$C16&amp;$D16&amp;QuoteSuffix</f>
        <v>EUREON11M_Quote</v>
      </c>
      <c r="F16" s="187" t="str">
        <f>_xll.qlSimpleQuote(Currency&amp;$B16&amp;$C16&amp;$D16&amp;QuoteSuffix,,RateTickValue,Permanent,Trigger,ObjectOverwrite)</f>
        <v>EUREON11M_Quote#0025</v>
      </c>
      <c r="G16" s="186" t="str">
        <f>_xll.ohRangeRetrieveError(F16)</f>
        <v/>
      </c>
      <c r="H16" s="185"/>
    </row>
    <row r="17" spans="1:8" x14ac:dyDescent="0.25">
      <c r="A17" s="190"/>
      <c r="B17" s="189"/>
      <c r="C17" s="189" t="s">
        <v>194</v>
      </c>
      <c r="D17" s="195" t="s">
        <v>34</v>
      </c>
      <c r="E17" s="187" t="str">
        <f>Currency&amp;$B17&amp;$C17&amp;$D17&amp;QuoteSuffix</f>
        <v>EUREON1Y_Quote</v>
      </c>
      <c r="F17" s="187" t="str">
        <f>_xll.qlSimpleQuote(Currency&amp;$B17&amp;$C17&amp;$D17&amp;QuoteSuffix,,RateTickValue,Permanent,Trigger,ObjectOverwrite)</f>
        <v>EUREON1Y_Quote#0025</v>
      </c>
      <c r="G17" s="186" t="str">
        <f>_xll.ohRangeRetrieveError(F17)</f>
        <v/>
      </c>
      <c r="H17" s="185"/>
    </row>
    <row r="18" spans="1:8" x14ac:dyDescent="0.25">
      <c r="A18" s="190"/>
      <c r="B18" s="189"/>
      <c r="C18" s="189" t="s">
        <v>194</v>
      </c>
      <c r="D18" s="195" t="s">
        <v>140</v>
      </c>
      <c r="E18" s="187" t="str">
        <f>Currency&amp;$B18&amp;$C18&amp;$D18&amp;QuoteSuffix</f>
        <v>EUREON15M_Quote</v>
      </c>
      <c r="F18" s="187" t="str">
        <f>_xll.qlSimpleQuote(Currency&amp;$B18&amp;$C18&amp;$D18&amp;QuoteSuffix,,RateTickValue,Permanent,Trigger,ObjectOverwrite)</f>
        <v>EUREON15M_Quote#0025</v>
      </c>
      <c r="G18" s="186" t="str">
        <f>_xll.ohRangeRetrieveError(F18)</f>
        <v/>
      </c>
      <c r="H18" s="185"/>
    </row>
    <row r="19" spans="1:8" x14ac:dyDescent="0.25">
      <c r="A19" s="190"/>
      <c r="B19" s="189"/>
      <c r="C19" s="189" t="s">
        <v>194</v>
      </c>
      <c r="D19" s="195" t="s">
        <v>139</v>
      </c>
      <c r="E19" s="187" t="str">
        <f>Currency&amp;$B19&amp;$C19&amp;$D19&amp;QuoteSuffix</f>
        <v>EUREON18M_Quote</v>
      </c>
      <c r="F19" s="187" t="str">
        <f>_xll.qlSimpleQuote(Currency&amp;$B19&amp;$C19&amp;$D19&amp;QuoteSuffix,,RateTickValue,Permanent,Trigger,ObjectOverwrite)</f>
        <v>EUREON18M_Quote#0025</v>
      </c>
      <c r="G19" s="186" t="str">
        <f>_xll.ohRangeRetrieveError(F19)</f>
        <v/>
      </c>
      <c r="H19" s="185"/>
    </row>
    <row r="20" spans="1:8" x14ac:dyDescent="0.25">
      <c r="A20" s="190"/>
      <c r="B20" s="189"/>
      <c r="C20" s="189" t="s">
        <v>194</v>
      </c>
      <c r="D20" s="195" t="s">
        <v>138</v>
      </c>
      <c r="E20" s="187" t="str">
        <f>Currency&amp;$B20&amp;$C20&amp;$D20&amp;QuoteSuffix</f>
        <v>EUREON21M_Quote</v>
      </c>
      <c r="F20" s="187" t="str">
        <f>_xll.qlSimpleQuote(Currency&amp;$B20&amp;$C20&amp;$D20&amp;QuoteSuffix,,RateTickValue,Permanent,Trigger,ObjectOverwrite)</f>
        <v>EUREON21M_Quote#0025</v>
      </c>
      <c r="G20" s="186" t="str">
        <f>_xll.ohRangeRetrieveError(F20)</f>
        <v/>
      </c>
      <c r="H20" s="185"/>
    </row>
    <row r="21" spans="1:8" x14ac:dyDescent="0.25">
      <c r="A21" s="190"/>
      <c r="B21" s="189"/>
      <c r="C21" s="189" t="s">
        <v>194</v>
      </c>
      <c r="D21" s="195" t="s">
        <v>115</v>
      </c>
      <c r="E21" s="187" t="str">
        <f>Currency&amp;$B21&amp;$C21&amp;$D21&amp;QuoteSuffix</f>
        <v>EUREON2Y_Quote</v>
      </c>
      <c r="F21" s="187" t="str">
        <f>_xll.qlSimpleQuote(Currency&amp;$B21&amp;$C21&amp;$D21&amp;QuoteSuffix,,RateTickValue,Permanent,Trigger,ObjectOverwrite)</f>
        <v>EUREON2Y_Quote#0025</v>
      </c>
      <c r="G21" s="186" t="str">
        <f>_xll.ohRangeRetrieveError(F21)</f>
        <v/>
      </c>
      <c r="H21" s="185"/>
    </row>
    <row r="22" spans="1:8" x14ac:dyDescent="0.25">
      <c r="A22" s="190"/>
      <c r="B22" s="189"/>
      <c r="C22" s="189" t="s">
        <v>194</v>
      </c>
      <c r="D22" s="195" t="s">
        <v>114</v>
      </c>
      <c r="E22" s="187" t="str">
        <f>Currency&amp;$B22&amp;$C22&amp;$D22&amp;QuoteSuffix</f>
        <v>EUREON3Y_Quote</v>
      </c>
      <c r="F22" s="187" t="str">
        <f>_xll.qlSimpleQuote(Currency&amp;$B22&amp;$C22&amp;$D22&amp;QuoteSuffix,,RateTickValue,Permanent,Trigger,ObjectOverwrite)</f>
        <v>EUREON3Y_Quote#0025</v>
      </c>
      <c r="G22" s="186" t="str">
        <f>_xll.ohRangeRetrieveError(F22)</f>
        <v/>
      </c>
      <c r="H22" s="185"/>
    </row>
    <row r="23" spans="1:8" x14ac:dyDescent="0.25">
      <c r="A23" s="190"/>
      <c r="B23" s="189"/>
      <c r="C23" s="189" t="s">
        <v>194</v>
      </c>
      <c r="D23" s="195" t="s">
        <v>113</v>
      </c>
      <c r="E23" s="187" t="str">
        <f>Currency&amp;$B23&amp;$C23&amp;$D23&amp;QuoteSuffix</f>
        <v>EUREON4Y_Quote</v>
      </c>
      <c r="F23" s="187" t="str">
        <f>_xll.qlSimpleQuote(Currency&amp;$B23&amp;$C23&amp;$D23&amp;QuoteSuffix,,RateTickValue,Permanent,Trigger,ObjectOverwrite)</f>
        <v>EUREON4Y_Quote#0025</v>
      </c>
      <c r="G23" s="186" t="str">
        <f>_xll.ohRangeRetrieveError(F23)</f>
        <v/>
      </c>
      <c r="H23" s="185"/>
    </row>
    <row r="24" spans="1:8" x14ac:dyDescent="0.25">
      <c r="A24" s="190"/>
      <c r="B24" s="189"/>
      <c r="C24" s="189" t="s">
        <v>194</v>
      </c>
      <c r="D24" s="195" t="s">
        <v>112</v>
      </c>
      <c r="E24" s="187" t="str">
        <f>Currency&amp;$B24&amp;$C24&amp;$D24&amp;QuoteSuffix</f>
        <v>EUREON5Y_Quote</v>
      </c>
      <c r="F24" s="187" t="str">
        <f>_xll.qlSimpleQuote(Currency&amp;$B24&amp;$C24&amp;$D24&amp;QuoteSuffix,,RateTickValue,Permanent,Trigger,ObjectOverwrite)</f>
        <v>EUREON5Y_Quote#0025</v>
      </c>
      <c r="G24" s="186" t="str">
        <f>_xll.ohRangeRetrieveError(F24)</f>
        <v/>
      </c>
      <c r="H24" s="185"/>
    </row>
    <row r="25" spans="1:8" x14ac:dyDescent="0.25">
      <c r="A25" s="190"/>
      <c r="B25" s="189"/>
      <c r="C25" s="189" t="s">
        <v>194</v>
      </c>
      <c r="D25" s="195" t="s">
        <v>111</v>
      </c>
      <c r="E25" s="187" t="str">
        <f>Currency&amp;$B25&amp;$C25&amp;$D25&amp;QuoteSuffix</f>
        <v>EUREON6Y_Quote</v>
      </c>
      <c r="F25" s="187" t="str">
        <f>_xll.qlSimpleQuote(Currency&amp;$B25&amp;$C25&amp;$D25&amp;QuoteSuffix,,RateTickValue,Permanent,Trigger,ObjectOverwrite)</f>
        <v>EUREON6Y_Quote#0025</v>
      </c>
      <c r="G25" s="186" t="str">
        <f>_xll.ohRangeRetrieveError(F25)</f>
        <v/>
      </c>
      <c r="H25" s="185"/>
    </row>
    <row r="26" spans="1:8" x14ac:dyDescent="0.25">
      <c r="A26" s="190"/>
      <c r="B26" s="189"/>
      <c r="C26" s="189" t="s">
        <v>194</v>
      </c>
      <c r="D26" s="195" t="s">
        <v>110</v>
      </c>
      <c r="E26" s="187" t="str">
        <f>Currency&amp;$B26&amp;$C26&amp;$D26&amp;QuoteSuffix</f>
        <v>EUREON7Y_Quote</v>
      </c>
      <c r="F26" s="187" t="str">
        <f>_xll.qlSimpleQuote(Currency&amp;$B26&amp;$C26&amp;$D26&amp;QuoteSuffix,,RateTickValue,Permanent,Trigger,ObjectOverwrite)</f>
        <v>EUREON7Y_Quote#0025</v>
      </c>
      <c r="G26" s="186" t="str">
        <f>_xll.ohRangeRetrieveError(F26)</f>
        <v/>
      </c>
      <c r="H26" s="185"/>
    </row>
    <row r="27" spans="1:8" x14ac:dyDescent="0.25">
      <c r="A27" s="190"/>
      <c r="B27" s="189"/>
      <c r="C27" s="189" t="s">
        <v>194</v>
      </c>
      <c r="D27" s="195" t="s">
        <v>109</v>
      </c>
      <c r="E27" s="187" t="str">
        <f>Currency&amp;$B27&amp;$C27&amp;$D27&amp;QuoteSuffix</f>
        <v>EUREON8Y_Quote</v>
      </c>
      <c r="F27" s="187" t="str">
        <f>_xll.qlSimpleQuote(Currency&amp;$B27&amp;$C27&amp;$D27&amp;QuoteSuffix,,RateTickValue,Permanent,Trigger,ObjectOverwrite)</f>
        <v>EUREON8Y_Quote#0025</v>
      </c>
      <c r="G27" s="186" t="str">
        <f>_xll.ohRangeRetrieveError(F27)</f>
        <v/>
      </c>
      <c r="H27" s="185"/>
    </row>
    <row r="28" spans="1:8" x14ac:dyDescent="0.25">
      <c r="A28" s="190"/>
      <c r="B28" s="189"/>
      <c r="C28" s="189" t="s">
        <v>194</v>
      </c>
      <c r="D28" s="195" t="s">
        <v>108</v>
      </c>
      <c r="E28" s="187" t="str">
        <f>Currency&amp;$B28&amp;$C28&amp;$D28&amp;QuoteSuffix</f>
        <v>EUREON9Y_Quote</v>
      </c>
      <c r="F28" s="187" t="str">
        <f>_xll.qlSimpleQuote(Currency&amp;$B28&amp;$C28&amp;$D28&amp;QuoteSuffix,,RateTickValue,Permanent,Trigger,ObjectOverwrite)</f>
        <v>EUREON9Y_Quote#0025</v>
      </c>
      <c r="G28" s="186" t="str">
        <f>_xll.ohRangeRetrieveError(F28)</f>
        <v/>
      </c>
      <c r="H28" s="185"/>
    </row>
    <row r="29" spans="1:8" x14ac:dyDescent="0.25">
      <c r="A29" s="190"/>
      <c r="B29" s="189"/>
      <c r="C29" s="189" t="s">
        <v>194</v>
      </c>
      <c r="D29" s="195" t="s">
        <v>107</v>
      </c>
      <c r="E29" s="187" t="str">
        <f>Currency&amp;$B29&amp;$C29&amp;$D29&amp;QuoteSuffix</f>
        <v>EUREON10Y_Quote</v>
      </c>
      <c r="F29" s="187" t="str">
        <f>_xll.qlSimpleQuote(Currency&amp;$B29&amp;$C29&amp;$D29&amp;QuoteSuffix,,RateTickValue,Permanent,Trigger,ObjectOverwrite)</f>
        <v>EUREON10Y_Quote#0025</v>
      </c>
      <c r="G29" s="186" t="str">
        <f>_xll.ohRangeRetrieveError(F29)</f>
        <v/>
      </c>
      <c r="H29" s="185"/>
    </row>
    <row r="30" spans="1:8" x14ac:dyDescent="0.25">
      <c r="A30" s="190"/>
      <c r="B30" s="189"/>
      <c r="C30" s="189" t="s">
        <v>194</v>
      </c>
      <c r="D30" s="195" t="s">
        <v>106</v>
      </c>
      <c r="E30" s="187" t="str">
        <f>Currency&amp;$B30&amp;$C30&amp;$D30&amp;QuoteSuffix</f>
        <v>EUREON11Y_Quote</v>
      </c>
      <c r="F30" s="187" t="str">
        <f>_xll.qlSimpleQuote(Currency&amp;$B30&amp;$C30&amp;$D30&amp;QuoteSuffix,,RateTickValue,Permanent,Trigger,ObjectOverwrite)</f>
        <v>EUREON11Y_Quote#0025</v>
      </c>
      <c r="G30" s="186" t="str">
        <f>_xll.ohRangeRetrieveError(F30)</f>
        <v/>
      </c>
      <c r="H30" s="185"/>
    </row>
    <row r="31" spans="1:8" x14ac:dyDescent="0.25">
      <c r="A31" s="190"/>
      <c r="B31" s="189"/>
      <c r="C31" s="189" t="s">
        <v>194</v>
      </c>
      <c r="D31" s="195" t="s">
        <v>105</v>
      </c>
      <c r="E31" s="187" t="str">
        <f>Currency&amp;$B31&amp;$C31&amp;$D31&amp;QuoteSuffix</f>
        <v>EUREON12Y_Quote</v>
      </c>
      <c r="F31" s="187" t="str">
        <f>_xll.qlSimpleQuote(Currency&amp;$B31&amp;$C31&amp;$D31&amp;QuoteSuffix,,RateTickValue,Permanent,Trigger,ObjectOverwrite)</f>
        <v>EUREON12Y_Quote#0025</v>
      </c>
      <c r="G31" s="186" t="str">
        <f>_xll.ohRangeRetrieveError(F31)</f>
        <v/>
      </c>
      <c r="H31" s="185"/>
    </row>
    <row r="32" spans="1:8" x14ac:dyDescent="0.25">
      <c r="A32" s="190"/>
      <c r="B32" s="189"/>
      <c r="C32" s="189" t="s">
        <v>194</v>
      </c>
      <c r="D32" s="195" t="s">
        <v>102</v>
      </c>
      <c r="E32" s="187" t="str">
        <f>Currency&amp;$B32&amp;$C32&amp;$D32&amp;QuoteSuffix</f>
        <v>EUREON15Y_Quote</v>
      </c>
      <c r="F32" s="187" t="str">
        <f>_xll.qlSimpleQuote(Currency&amp;$B32&amp;$C32&amp;$D32&amp;QuoteSuffix,,RateTickValue,Permanent,Trigger,ObjectOverwrite)</f>
        <v>EUREON15Y_Quote#0025</v>
      </c>
      <c r="G32" s="186" t="str">
        <f>_xll.ohRangeRetrieveError(F32)</f>
        <v/>
      </c>
      <c r="H32" s="185"/>
    </row>
    <row r="33" spans="1:8" x14ac:dyDescent="0.25">
      <c r="A33" s="190"/>
      <c r="B33" s="189"/>
      <c r="C33" s="189" t="s">
        <v>194</v>
      </c>
      <c r="D33" s="195" t="s">
        <v>97</v>
      </c>
      <c r="E33" s="187" t="str">
        <f>Currency&amp;$B33&amp;$C33&amp;$D33&amp;QuoteSuffix</f>
        <v>EUREON20Y_Quote</v>
      </c>
      <c r="F33" s="187" t="str">
        <f>_xll.qlSimpleQuote(Currency&amp;$B33&amp;$C33&amp;$D33&amp;QuoteSuffix,,RateTickValue,Permanent,Trigger,ObjectOverwrite)</f>
        <v>EUREON20Y_Quote#0025</v>
      </c>
      <c r="G33" s="186" t="str">
        <f>_xll.ohRangeRetrieveError(F33)</f>
        <v/>
      </c>
      <c r="H33" s="185"/>
    </row>
    <row r="34" spans="1:8" x14ac:dyDescent="0.25">
      <c r="A34" s="190"/>
      <c r="B34" s="189"/>
      <c r="C34" s="189" t="s">
        <v>194</v>
      </c>
      <c r="D34" s="195" t="s">
        <v>92</v>
      </c>
      <c r="E34" s="187" t="str">
        <f>Currency&amp;$B34&amp;$C34&amp;$D34&amp;QuoteSuffix</f>
        <v>EUREON25Y_Quote</v>
      </c>
      <c r="F34" s="187" t="str">
        <f>_xll.qlSimpleQuote(Currency&amp;$B34&amp;$C34&amp;$D34&amp;QuoteSuffix,,RateTickValue,Permanent,Trigger,ObjectOverwrite)</f>
        <v>EUREON25Y_Quote#0025</v>
      </c>
      <c r="G34" s="186" t="str">
        <f>_xll.ohRangeRetrieveError(F34)</f>
        <v/>
      </c>
      <c r="H34" s="185"/>
    </row>
    <row r="35" spans="1:8" x14ac:dyDescent="0.25">
      <c r="A35" s="190"/>
      <c r="B35" s="189"/>
      <c r="C35" s="189" t="s">
        <v>194</v>
      </c>
      <c r="D35" s="195" t="s">
        <v>87</v>
      </c>
      <c r="E35" s="187" t="str">
        <f>Currency&amp;$B35&amp;$C35&amp;$D35&amp;QuoteSuffix</f>
        <v>EUREON30Y_Quote</v>
      </c>
      <c r="F35" s="187" t="str">
        <f>_xll.qlSimpleQuote(Currency&amp;$B35&amp;$C35&amp;$D35&amp;QuoteSuffix,,RateTickValue,Permanent,Trigger,ObjectOverwrite)</f>
        <v>EUREON30Y_Quote#0025</v>
      </c>
      <c r="G35" s="186" t="str">
        <f>_xll.ohRangeRetrieveError(F35)</f>
        <v/>
      </c>
      <c r="H35" s="185"/>
    </row>
    <row r="36" spans="1:8" x14ac:dyDescent="0.25">
      <c r="A36" s="190"/>
      <c r="B36" s="189"/>
      <c r="C36" s="189" t="s">
        <v>194</v>
      </c>
      <c r="D36" s="195" t="s">
        <v>77</v>
      </c>
      <c r="E36" s="187" t="str">
        <f>Currency&amp;$B36&amp;$C36&amp;$D36&amp;QuoteSuffix</f>
        <v>EUREON40Y_Quote</v>
      </c>
      <c r="F36" s="187" t="str">
        <f>_xll.qlSimpleQuote(Currency&amp;$B36&amp;$C36&amp;$D36&amp;QuoteSuffix,,RateTickValue,Permanent,Trigger,ObjectOverwrite)</f>
        <v>EUREON40Y_Quote#0025</v>
      </c>
      <c r="G36" s="186" t="str">
        <f>_xll.ohRangeRetrieveError(F36)</f>
        <v/>
      </c>
      <c r="H36" s="185"/>
    </row>
    <row r="37" spans="1:8" x14ac:dyDescent="0.25">
      <c r="A37" s="190"/>
      <c r="B37" s="189"/>
      <c r="C37" s="189" t="s">
        <v>194</v>
      </c>
      <c r="D37" s="195" t="s">
        <v>67</v>
      </c>
      <c r="E37" s="187" t="str">
        <f>Currency&amp;$B37&amp;$C37&amp;$D37&amp;QuoteSuffix</f>
        <v>EUREON50Y_Quote</v>
      </c>
      <c r="F37" s="187" t="str">
        <f>_xll.qlSimpleQuote(Currency&amp;$B37&amp;$C37&amp;$D37&amp;QuoteSuffix,,RateTickValue,Permanent,Trigger,ObjectOverwrite)</f>
        <v>EUREON50Y_Quote#0025</v>
      </c>
      <c r="G37" s="186" t="str">
        <f>_xll.ohRangeRetrieveError(F37)</f>
        <v/>
      </c>
      <c r="H37" s="185"/>
    </row>
    <row r="38" spans="1:8" x14ac:dyDescent="0.25">
      <c r="A38" s="190"/>
      <c r="B38" s="189"/>
      <c r="C38" s="189" t="s">
        <v>194</v>
      </c>
      <c r="D38" s="195" t="s">
        <v>57</v>
      </c>
      <c r="E38" s="187" t="str">
        <f>Currency&amp;$B38&amp;$C38&amp;$D38&amp;QuoteSuffix</f>
        <v>EUREON60Y_Quote</v>
      </c>
      <c r="F38" s="187" t="str">
        <f>_xll.qlSimpleQuote(Currency&amp;$B38&amp;$C38&amp;$D38&amp;QuoteSuffix,,RateTickValue,Permanent,Trigger,ObjectOverwrite)</f>
        <v>EUREON60Y_Quote#0025</v>
      </c>
      <c r="G38" s="186" t="str">
        <f>_xll.ohRangeRetrieveError(F38)</f>
        <v/>
      </c>
      <c r="H38" s="185"/>
    </row>
    <row r="39" spans="1:8" x14ac:dyDescent="0.25">
      <c r="A39" s="190"/>
      <c r="B39" s="194"/>
      <c r="C39" s="194"/>
      <c r="D39" s="193"/>
      <c r="E39" s="192"/>
      <c r="F39" s="192"/>
      <c r="G39" s="191"/>
      <c r="H39" s="185"/>
    </row>
    <row r="40" spans="1:8" x14ac:dyDescent="0.25">
      <c r="A40" s="190"/>
      <c r="B40" s="189" t="s">
        <v>193</v>
      </c>
      <c r="C40" s="189" t="s">
        <v>192</v>
      </c>
      <c r="D40" s="188" t="str">
        <f>_xll.qlECBNextCode(_xll.qlSettingsEvaluationDate(Trigger)-365)</f>
        <v>DEC12</v>
      </c>
      <c r="E40" s="187" t="str">
        <f>Currency&amp;$B40&amp;$C40&amp;$D40&amp;QuoteSuffix</f>
        <v>EURECBOISDEC12_Quote</v>
      </c>
      <c r="F40" s="187" t="str">
        <f>_xll.qlSimpleQuote(Currency&amp;$B40&amp;$C40&amp;$D40&amp;QuoteSuffix,,RateTickValue,Permanent,Trigger,ObjectOverwrite)</f>
        <v>EURECBOISDEC12_Quote#0025</v>
      </c>
      <c r="G40" s="186" t="str">
        <f>_xll.ohRangeRetrieveError(F40)</f>
        <v/>
      </c>
      <c r="H40" s="185"/>
    </row>
    <row r="41" spans="1:8" x14ac:dyDescent="0.25">
      <c r="A41" s="190"/>
      <c r="B41" s="189" t="s">
        <v>193</v>
      </c>
      <c r="C41" s="189" t="s">
        <v>192</v>
      </c>
      <c r="D41" s="188" t="str">
        <f>_xll.qlECBNextCode(_xll.qlECBdate(D40))</f>
        <v>JAN13</v>
      </c>
      <c r="E41" s="187" t="str">
        <f>Currency&amp;$B41&amp;$C41&amp;$D41&amp;QuoteSuffix</f>
        <v>EURECBOISJAN13_Quote</v>
      </c>
      <c r="F41" s="187" t="str">
        <f>_xll.qlSimpleQuote(Currency&amp;$B41&amp;$C41&amp;$D41&amp;QuoteSuffix,,RateTickValue,Permanent,Trigger,ObjectOverwrite)</f>
        <v>EURECBOISJAN13_Quote#0025</v>
      </c>
      <c r="G41" s="186" t="str">
        <f>_xll.ohRangeRetrieveError(F41)</f>
        <v/>
      </c>
      <c r="H41" s="185"/>
    </row>
    <row r="42" spans="1:8" x14ac:dyDescent="0.25">
      <c r="A42" s="190"/>
      <c r="B42" s="189" t="s">
        <v>193</v>
      </c>
      <c r="C42" s="189" t="s">
        <v>192</v>
      </c>
      <c r="D42" s="188" t="str">
        <f>_xll.qlECBNextCode(_xll.qlECBdate(D41))</f>
        <v>FEB13</v>
      </c>
      <c r="E42" s="187" t="str">
        <f>Currency&amp;$B42&amp;$C42&amp;$D42&amp;QuoteSuffix</f>
        <v>EURECBOISFEB13_Quote</v>
      </c>
      <c r="F42" s="187" t="str">
        <f>_xll.qlSimpleQuote(Currency&amp;$B42&amp;$C42&amp;$D42&amp;QuoteSuffix,,RateTickValue,Permanent,Trigger,ObjectOverwrite)</f>
        <v>EURECBOISFEB13_Quote#0025</v>
      </c>
      <c r="G42" s="186" t="str">
        <f>_xll.ohRangeRetrieveError(F42)</f>
        <v/>
      </c>
      <c r="H42" s="185"/>
    </row>
    <row r="43" spans="1:8" x14ac:dyDescent="0.25">
      <c r="A43" s="190"/>
      <c r="B43" s="189" t="s">
        <v>193</v>
      </c>
      <c r="C43" s="189" t="s">
        <v>192</v>
      </c>
      <c r="D43" s="188" t="str">
        <f>_xll.qlECBNextCode(_xll.qlECBdate(D42))</f>
        <v>MAR13</v>
      </c>
      <c r="E43" s="187" t="str">
        <f>Currency&amp;$B43&amp;$C43&amp;$D43&amp;QuoteSuffix</f>
        <v>EURECBOISMAR13_Quote</v>
      </c>
      <c r="F43" s="187" t="str">
        <f>_xll.qlSimpleQuote(Currency&amp;$B43&amp;$C43&amp;$D43&amp;QuoteSuffix,,RateTickValue,Permanent,Trigger,ObjectOverwrite)</f>
        <v>EURECBOISMAR13_Quote#0025</v>
      </c>
      <c r="G43" s="186" t="str">
        <f>_xll.ohRangeRetrieveError(F43)</f>
        <v/>
      </c>
      <c r="H43" s="185"/>
    </row>
    <row r="44" spans="1:8" x14ac:dyDescent="0.25">
      <c r="A44" s="190"/>
      <c r="B44" s="189" t="s">
        <v>193</v>
      </c>
      <c r="C44" s="189" t="s">
        <v>192</v>
      </c>
      <c r="D44" s="188" t="str">
        <f>_xll.qlECBNextCode(_xll.qlECBdate(D43))</f>
        <v>APR13</v>
      </c>
      <c r="E44" s="187" t="str">
        <f>Currency&amp;$B44&amp;$C44&amp;$D44&amp;QuoteSuffix</f>
        <v>EURECBOISAPR13_Quote</v>
      </c>
      <c r="F44" s="187" t="str">
        <f>_xll.qlSimpleQuote(Currency&amp;$B44&amp;$C44&amp;$D44&amp;QuoteSuffix,,RateTickValue,Permanent,Trigger,ObjectOverwrite)</f>
        <v>EURECBOISAPR13_Quote#0025</v>
      </c>
      <c r="G44" s="186" t="str">
        <f>_xll.ohRangeRetrieveError(F44)</f>
        <v/>
      </c>
      <c r="H44" s="185"/>
    </row>
    <row r="45" spans="1:8" x14ac:dyDescent="0.25">
      <c r="A45" s="190"/>
      <c r="B45" s="189" t="s">
        <v>193</v>
      </c>
      <c r="C45" s="189" t="s">
        <v>192</v>
      </c>
      <c r="D45" s="188" t="str">
        <f>_xll.qlECBNextCode(_xll.qlECBdate(D44))</f>
        <v>MAY13</v>
      </c>
      <c r="E45" s="187" t="str">
        <f>Currency&amp;$B45&amp;$C45&amp;$D45&amp;QuoteSuffix</f>
        <v>EURECBOISMAY13_Quote</v>
      </c>
      <c r="F45" s="187" t="str">
        <f>_xll.qlSimpleQuote(Currency&amp;$B45&amp;$C45&amp;$D45&amp;QuoteSuffix,,RateTickValue,Permanent,Trigger,ObjectOverwrite)</f>
        <v>EURECBOISMAY13_Quote#0025</v>
      </c>
      <c r="G45" s="186" t="str">
        <f>_xll.ohRangeRetrieveError(F45)</f>
        <v/>
      </c>
      <c r="H45" s="185"/>
    </row>
    <row r="46" spans="1:8" x14ac:dyDescent="0.25">
      <c r="A46" s="190"/>
      <c r="B46" s="189" t="s">
        <v>193</v>
      </c>
      <c r="C46" s="189" t="s">
        <v>192</v>
      </c>
      <c r="D46" s="188" t="str">
        <f>_xll.qlECBNextCode(_xll.qlECBdate(D45))</f>
        <v>JUN13</v>
      </c>
      <c r="E46" s="187" t="str">
        <f>Currency&amp;$B46&amp;$C46&amp;$D46&amp;QuoteSuffix</f>
        <v>EURECBOISJUN13_Quote</v>
      </c>
      <c r="F46" s="187" t="str">
        <f>_xll.qlSimpleQuote(Currency&amp;$B46&amp;$C46&amp;$D46&amp;QuoteSuffix,,RateTickValue,Permanent,Trigger,ObjectOverwrite)</f>
        <v>EURECBOISJUN13_Quote#0025</v>
      </c>
      <c r="G46" s="186" t="str">
        <f>_xll.ohRangeRetrieveError(F46)</f>
        <v/>
      </c>
      <c r="H46" s="185"/>
    </row>
    <row r="47" spans="1:8" x14ac:dyDescent="0.25">
      <c r="A47" s="190"/>
      <c r="B47" s="189" t="s">
        <v>193</v>
      </c>
      <c r="C47" s="189" t="s">
        <v>192</v>
      </c>
      <c r="D47" s="188" t="str">
        <f>_xll.qlECBNextCode(_xll.qlECBdate(D46))</f>
        <v>JUL13</v>
      </c>
      <c r="E47" s="187" t="str">
        <f>Currency&amp;$B47&amp;$C47&amp;$D47&amp;QuoteSuffix</f>
        <v>EURECBOISJUL13_Quote</v>
      </c>
      <c r="F47" s="187" t="str">
        <f>_xll.qlSimpleQuote(Currency&amp;$B47&amp;$C47&amp;$D47&amp;QuoteSuffix,,RateTickValue,Permanent,Trigger,ObjectOverwrite)</f>
        <v>EURECBOISJUL13_Quote#0025</v>
      </c>
      <c r="G47" s="186" t="str">
        <f>_xll.ohRangeRetrieveError(F47)</f>
        <v/>
      </c>
      <c r="H47" s="185"/>
    </row>
    <row r="48" spans="1:8" x14ac:dyDescent="0.25">
      <c r="A48" s="190"/>
      <c r="B48" s="189" t="s">
        <v>193</v>
      </c>
      <c r="C48" s="189" t="s">
        <v>192</v>
      </c>
      <c r="D48" s="188" t="str">
        <f>_xll.qlECBNextCode(_xll.qlECBdate(D47))</f>
        <v>AUG13</v>
      </c>
      <c r="E48" s="187" t="str">
        <f>Currency&amp;$B48&amp;$C48&amp;$D48&amp;QuoteSuffix</f>
        <v>EURECBOISAUG13_Quote</v>
      </c>
      <c r="F48" s="187" t="str">
        <f>_xll.qlSimpleQuote(Currency&amp;$B48&amp;$C48&amp;$D48&amp;QuoteSuffix,,RateTickValue,Permanent,Trigger,ObjectOverwrite)</f>
        <v>EURECBOISAUG13_Quote#0025</v>
      </c>
      <c r="G48" s="186" t="str">
        <f>_xll.ohRangeRetrieveError(F48)</f>
        <v/>
      </c>
      <c r="H48" s="185"/>
    </row>
    <row r="49" spans="1:8" x14ac:dyDescent="0.25">
      <c r="A49" s="190"/>
      <c r="B49" s="189" t="s">
        <v>193</v>
      </c>
      <c r="C49" s="189" t="s">
        <v>192</v>
      </c>
      <c r="D49" s="188" t="str">
        <f>_xll.qlECBNextCode(_xll.qlECBdate(D48))</f>
        <v>SEP13</v>
      </c>
      <c r="E49" s="187" t="str">
        <f>Currency&amp;$B49&amp;$C49&amp;$D49&amp;QuoteSuffix</f>
        <v>EURECBOISSEP13_Quote</v>
      </c>
      <c r="F49" s="187" t="str">
        <f>_xll.qlSimpleQuote(Currency&amp;$B49&amp;$C49&amp;$D49&amp;QuoteSuffix,,RateTickValue,Permanent,Trigger,ObjectOverwrite)</f>
        <v>EURECBOISSEP13_Quote#0025</v>
      </c>
      <c r="G49" s="186" t="str">
        <f>_xll.ohRangeRetrieveError(F49)</f>
        <v/>
      </c>
      <c r="H49" s="185"/>
    </row>
    <row r="50" spans="1:8" x14ac:dyDescent="0.25">
      <c r="A50" s="190"/>
      <c r="B50" s="189" t="s">
        <v>193</v>
      </c>
      <c r="C50" s="189" t="s">
        <v>192</v>
      </c>
      <c r="D50" s="188" t="str">
        <f>_xll.qlECBNextCode(_xll.qlECBdate(D49))</f>
        <v>OCT13</v>
      </c>
      <c r="E50" s="187" t="str">
        <f>Currency&amp;$B50&amp;$C50&amp;$D50&amp;QuoteSuffix</f>
        <v>EURECBOISOCT13_Quote</v>
      </c>
      <c r="F50" s="187" t="str">
        <f>_xll.qlSimpleQuote(Currency&amp;$B50&amp;$C50&amp;$D50&amp;QuoteSuffix,,RateTickValue,Permanent,Trigger,ObjectOverwrite)</f>
        <v>EURECBOISOCT13_Quote#0025</v>
      </c>
      <c r="G50" s="186" t="str">
        <f>_xll.ohRangeRetrieveError(F50)</f>
        <v/>
      </c>
      <c r="H50" s="185"/>
    </row>
    <row r="51" spans="1:8" x14ac:dyDescent="0.25">
      <c r="A51" s="190"/>
      <c r="B51" s="189" t="s">
        <v>193</v>
      </c>
      <c r="C51" s="189" t="s">
        <v>192</v>
      </c>
      <c r="D51" s="188" t="str">
        <f>_xll.qlECBNextCode(_xll.qlECBdate(D50))</f>
        <v>NOV13</v>
      </c>
      <c r="E51" s="187" t="str">
        <f>Currency&amp;$B51&amp;$C51&amp;$D51&amp;QuoteSuffix</f>
        <v>EURECBOISNOV13_Quote</v>
      </c>
      <c r="F51" s="187" t="str">
        <f>_xll.qlSimpleQuote(Currency&amp;$B51&amp;$C51&amp;$D51&amp;QuoteSuffix,,RateTickValue,Permanent,Trigger,ObjectOverwrite)</f>
        <v>EURECBOISNOV13_Quote#0025</v>
      </c>
      <c r="G51" s="186" t="str">
        <f>_xll.ohRangeRetrieveError(F51)</f>
        <v/>
      </c>
      <c r="H51" s="185"/>
    </row>
    <row r="52" spans="1:8" x14ac:dyDescent="0.25">
      <c r="A52" s="190"/>
      <c r="B52" s="189" t="s">
        <v>193</v>
      </c>
      <c r="C52" s="189" t="s">
        <v>192</v>
      </c>
      <c r="D52" s="188" t="str">
        <f>_xll.qlECBNextCode(_xll.qlECBdate(D51))</f>
        <v>DEC13</v>
      </c>
      <c r="E52" s="187" t="str">
        <f>Currency&amp;$B52&amp;$C52&amp;$D52&amp;QuoteSuffix</f>
        <v>EURECBOISDEC13_Quote</v>
      </c>
      <c r="F52" s="187" t="str">
        <f>_xll.qlSimpleQuote(Currency&amp;$B52&amp;$C52&amp;$D52&amp;QuoteSuffix,,RateTickValue,Permanent,Trigger,ObjectOverwrite)</f>
        <v>EURECBOISDEC13_Quote#0025</v>
      </c>
      <c r="G52" s="186" t="str">
        <f>_xll.ohRangeRetrieveError(F52)</f>
        <v/>
      </c>
      <c r="H52" s="185"/>
    </row>
    <row r="53" spans="1:8" x14ac:dyDescent="0.25">
      <c r="A53" s="190"/>
      <c r="B53" s="189" t="s">
        <v>193</v>
      </c>
      <c r="C53" s="189" t="s">
        <v>192</v>
      </c>
      <c r="D53" s="188" t="e">
        <f>_xll.qlECBNextCode(_xll.qlECBdate(D52))</f>
        <v>#NUM!</v>
      </c>
      <c r="E53" s="187" t="e">
        <f>Currency&amp;$B53&amp;$C53&amp;$D53&amp;QuoteSuffix</f>
        <v>#NUM!</v>
      </c>
      <c r="F53" s="187" t="e">
        <f>_xll.qlSimpleQuote(Currency&amp;$B53&amp;$C53&amp;$D53&amp;QuoteSuffix,,RateTickValue,Permanent,Trigger,ObjectOverwrite)</f>
        <v>#VALUE!</v>
      </c>
      <c r="G53" s="186" t="str">
        <f ca="1">_xll.ohRangeRetrieveError(F53)</f>
        <v/>
      </c>
      <c r="H53" s="185"/>
    </row>
    <row r="54" spans="1:8" x14ac:dyDescent="0.25">
      <c r="A54" s="190"/>
      <c r="B54" s="189" t="s">
        <v>193</v>
      </c>
      <c r="C54" s="189" t="s">
        <v>192</v>
      </c>
      <c r="D54" s="188" t="e">
        <f>_xll.qlECBNextCode(_xll.qlECBdate(D53))</f>
        <v>#NUM!</v>
      </c>
      <c r="E54" s="187" t="e">
        <f>Currency&amp;$B54&amp;$C54&amp;$D54&amp;QuoteSuffix</f>
        <v>#NUM!</v>
      </c>
      <c r="F54" s="187" t="e">
        <f>_xll.qlSimpleQuote(Currency&amp;$B54&amp;$C54&amp;$D54&amp;QuoteSuffix,,RateTickValue,Permanent,Trigger,ObjectOverwrite)</f>
        <v>#VALUE!</v>
      </c>
      <c r="G54" s="186" t="str">
        <f ca="1">_xll.ohRangeRetrieveError(F54)</f>
        <v/>
      </c>
      <c r="H54" s="185"/>
    </row>
    <row r="55" spans="1:8" x14ac:dyDescent="0.25">
      <c r="A55" s="190"/>
      <c r="B55" s="189" t="s">
        <v>193</v>
      </c>
      <c r="C55" s="189" t="s">
        <v>192</v>
      </c>
      <c r="D55" s="188" t="e">
        <f>_xll.qlECBNextCode(_xll.qlECBdate(D54))</f>
        <v>#NUM!</v>
      </c>
      <c r="E55" s="187" t="e">
        <f>Currency&amp;$B55&amp;$C55&amp;$D55&amp;QuoteSuffix</f>
        <v>#NUM!</v>
      </c>
      <c r="F55" s="187" t="e">
        <f>_xll.qlSimpleQuote(Currency&amp;$B55&amp;$C55&amp;$D55&amp;QuoteSuffix,,RateTickValue,Permanent,Trigger,ObjectOverwrite)</f>
        <v>#VALUE!</v>
      </c>
      <c r="G55" s="186" t="str">
        <f ca="1">_xll.ohRangeRetrieveError(F55)</f>
        <v/>
      </c>
      <c r="H55" s="185"/>
    </row>
    <row r="56" spans="1:8" x14ac:dyDescent="0.25">
      <c r="A56" s="190"/>
      <c r="B56" s="189" t="s">
        <v>193</v>
      </c>
      <c r="C56" s="189" t="s">
        <v>192</v>
      </c>
      <c r="D56" s="188" t="e">
        <f>_xll.qlECBNextCode(_xll.qlECBdate(D55))</f>
        <v>#NUM!</v>
      </c>
      <c r="E56" s="187" t="e">
        <f>Currency&amp;$B56&amp;$C56&amp;$D56&amp;QuoteSuffix</f>
        <v>#NUM!</v>
      </c>
      <c r="F56" s="187" t="e">
        <f>_xll.qlSimpleQuote(Currency&amp;$B56&amp;$C56&amp;$D56&amp;QuoteSuffix,,RateTickValue,Permanent,Trigger,ObjectOverwrite)</f>
        <v>#VALUE!</v>
      </c>
      <c r="G56" s="186" t="str">
        <f ca="1">_xll.ohRangeRetrieveError(F56)</f>
        <v/>
      </c>
      <c r="H56" s="185"/>
    </row>
    <row r="57" spans="1:8" x14ac:dyDescent="0.25">
      <c r="A57" s="190"/>
      <c r="B57" s="189" t="s">
        <v>193</v>
      </c>
      <c r="C57" s="189" t="s">
        <v>192</v>
      </c>
      <c r="D57" s="188" t="e">
        <f>_xll.qlECBNextCode(_xll.qlECBdate(D56))</f>
        <v>#NUM!</v>
      </c>
      <c r="E57" s="187" t="e">
        <f>Currency&amp;$B57&amp;$C57&amp;$D57&amp;QuoteSuffix</f>
        <v>#NUM!</v>
      </c>
      <c r="F57" s="187" t="e">
        <f>_xll.qlSimpleQuote(Currency&amp;$B57&amp;$C57&amp;$D57&amp;QuoteSuffix,,RateTickValue,Permanent,Trigger,ObjectOverwrite)</f>
        <v>#VALUE!</v>
      </c>
      <c r="G57" s="186" t="str">
        <f ca="1">_xll.ohRangeRetrieveError(F57)</f>
        <v/>
      </c>
      <c r="H57" s="185"/>
    </row>
    <row r="58" spans="1:8" x14ac:dyDescent="0.25">
      <c r="A58" s="190"/>
      <c r="B58" s="189" t="s">
        <v>193</v>
      </c>
      <c r="C58" s="189" t="s">
        <v>192</v>
      </c>
      <c r="D58" s="188" t="e">
        <f>_xll.qlECBNextCode(_xll.qlECBdate(D57))</f>
        <v>#NUM!</v>
      </c>
      <c r="E58" s="187" t="e">
        <f>Currency&amp;$B58&amp;$C58&amp;$D58&amp;QuoteSuffix</f>
        <v>#NUM!</v>
      </c>
      <c r="F58" s="187" t="e">
        <f>_xll.qlSimpleQuote(Currency&amp;$B58&amp;$C58&amp;$D58&amp;QuoteSuffix,,RateTickValue,Permanent,Trigger,ObjectOverwrite)</f>
        <v>#VALUE!</v>
      </c>
      <c r="G58" s="186" t="str">
        <f ca="1">_xll.ohRangeRetrieveError(F58)</f>
        <v/>
      </c>
      <c r="H58" s="185"/>
    </row>
    <row r="59" spans="1:8" x14ac:dyDescent="0.25">
      <c r="A59" s="190"/>
      <c r="B59" s="189" t="s">
        <v>193</v>
      </c>
      <c r="C59" s="189" t="s">
        <v>192</v>
      </c>
      <c r="D59" s="188" t="e">
        <f>_xll.qlECBNextCode(_xll.qlECBdate(D58))</f>
        <v>#NUM!</v>
      </c>
      <c r="E59" s="187" t="e">
        <f>Currency&amp;$B59&amp;$C59&amp;$D59&amp;QuoteSuffix</f>
        <v>#NUM!</v>
      </c>
      <c r="F59" s="187" t="e">
        <f>_xll.qlSimpleQuote(Currency&amp;$B59&amp;$C59&amp;$D59&amp;QuoteSuffix,,RateTickValue,Permanent,Trigger,ObjectOverwrite)</f>
        <v>#VALUE!</v>
      </c>
      <c r="G59" s="186" t="str">
        <f ca="1">_xll.ohRangeRetrieveError(F59)</f>
        <v/>
      </c>
      <c r="H59" s="185"/>
    </row>
    <row r="60" spans="1:8" x14ac:dyDescent="0.25">
      <c r="A60" s="190"/>
      <c r="B60" s="189" t="s">
        <v>193</v>
      </c>
      <c r="C60" s="189" t="s">
        <v>192</v>
      </c>
      <c r="D60" s="188" t="e">
        <f>_xll.qlECBNextCode(_xll.qlECBdate(D59))</f>
        <v>#NUM!</v>
      </c>
      <c r="E60" s="187" t="e">
        <f>Currency&amp;$B60&amp;$C60&amp;$D60&amp;QuoteSuffix</f>
        <v>#NUM!</v>
      </c>
      <c r="F60" s="187" t="e">
        <f>_xll.qlSimpleQuote(Currency&amp;$B60&amp;$C60&amp;$D60&amp;QuoteSuffix,,RateTickValue,Permanent,Trigger,ObjectOverwrite)</f>
        <v>#VALUE!</v>
      </c>
      <c r="G60" s="186" t="str">
        <f ca="1">_xll.ohRangeRetrieveError(F60)</f>
        <v/>
      </c>
      <c r="H60" s="185"/>
    </row>
    <row r="61" spans="1:8" x14ac:dyDescent="0.25">
      <c r="A61" s="190"/>
      <c r="B61" s="189" t="s">
        <v>193</v>
      </c>
      <c r="C61" s="189" t="s">
        <v>192</v>
      </c>
      <c r="D61" s="188" t="e">
        <f>_xll.qlECBNextCode(_xll.qlECBdate(D60))</f>
        <v>#NUM!</v>
      </c>
      <c r="E61" s="187" t="e">
        <f>Currency&amp;$B61&amp;$C61&amp;$D61&amp;QuoteSuffix</f>
        <v>#NUM!</v>
      </c>
      <c r="F61" s="187" t="e">
        <f>_xll.qlSimpleQuote(Currency&amp;$B61&amp;$C61&amp;$D61&amp;QuoteSuffix,,RateTickValue,Permanent,Trigger,ObjectOverwrite)</f>
        <v>#VALUE!</v>
      </c>
      <c r="G61" s="186" t="str">
        <f ca="1">_xll.ohRangeRetrieveError(F61)</f>
        <v/>
      </c>
      <c r="H61" s="185"/>
    </row>
    <row r="62" spans="1:8" x14ac:dyDescent="0.25">
      <c r="A62" s="190"/>
      <c r="B62" s="189" t="s">
        <v>193</v>
      </c>
      <c r="C62" s="189" t="s">
        <v>192</v>
      </c>
      <c r="D62" s="188" t="e">
        <f>_xll.qlECBNextCode(_xll.qlECBdate(D61))</f>
        <v>#NUM!</v>
      </c>
      <c r="E62" s="187" t="e">
        <f>Currency&amp;$B62&amp;$C62&amp;$D62&amp;QuoteSuffix</f>
        <v>#NUM!</v>
      </c>
      <c r="F62" s="187" t="e">
        <f>_xll.qlSimpleQuote(Currency&amp;$B62&amp;$C62&amp;$D62&amp;QuoteSuffix,,RateTickValue,Permanent,Trigger,ObjectOverwrite)</f>
        <v>#VALUE!</v>
      </c>
      <c r="G62" s="186" t="str">
        <f ca="1">_xll.ohRangeRetrieveError(F62)</f>
        <v/>
      </c>
      <c r="H62" s="185"/>
    </row>
    <row r="63" spans="1:8" x14ac:dyDescent="0.25">
      <c r="A63" s="190"/>
      <c r="B63" s="189" t="s">
        <v>193</v>
      </c>
      <c r="C63" s="189" t="s">
        <v>192</v>
      </c>
      <c r="D63" s="188" t="e">
        <f>_xll.qlECBNextCode(_xll.qlECBdate(D62))</f>
        <v>#NUM!</v>
      </c>
      <c r="E63" s="187" t="e">
        <f>Currency&amp;$B63&amp;$C63&amp;$D63&amp;QuoteSuffix</f>
        <v>#NUM!</v>
      </c>
      <c r="F63" s="187" t="e">
        <f>_xll.qlSimpleQuote(Currency&amp;$B63&amp;$C63&amp;$D63&amp;QuoteSuffix,,RateTickValue,Permanent,Trigger,ObjectOverwrite)</f>
        <v>#VALUE!</v>
      </c>
      <c r="G63" s="186" t="str">
        <f ca="1">_xll.ohRangeRetrieveError(F63)</f>
        <v/>
      </c>
      <c r="H63" s="185"/>
    </row>
    <row r="64" spans="1:8" x14ac:dyDescent="0.25">
      <c r="A64" s="190"/>
      <c r="B64" s="189" t="s">
        <v>193</v>
      </c>
      <c r="C64" s="189" t="s">
        <v>192</v>
      </c>
      <c r="D64" s="188" t="e">
        <f>_xll.qlECBNextCode(_xll.qlECBdate(D63))</f>
        <v>#NUM!</v>
      </c>
      <c r="E64" s="187" t="e">
        <f>Currency&amp;$B64&amp;$C64&amp;$D64&amp;QuoteSuffix</f>
        <v>#NUM!</v>
      </c>
      <c r="F64" s="187" t="e">
        <f>_xll.qlSimpleQuote(Currency&amp;$B64&amp;$C64&amp;$D64&amp;QuoteSuffix,,RateTickValue,Permanent,Trigger,ObjectOverwrite)</f>
        <v>#VALUE!</v>
      </c>
      <c r="G64" s="186" t="str">
        <f ca="1">_xll.ohRangeRetrieveError(F64)</f>
        <v/>
      </c>
      <c r="H64" s="185"/>
    </row>
    <row r="65" spans="1:8" x14ac:dyDescent="0.25">
      <c r="A65" s="190"/>
      <c r="B65" s="189" t="s">
        <v>193</v>
      </c>
      <c r="C65" s="189" t="s">
        <v>192</v>
      </c>
      <c r="D65" s="188" t="e">
        <f>_xll.qlECBNextCode(_xll.qlECBdate(D64))</f>
        <v>#NUM!</v>
      </c>
      <c r="E65" s="187" t="e">
        <f>Currency&amp;$B65&amp;$C65&amp;$D65&amp;QuoteSuffix</f>
        <v>#NUM!</v>
      </c>
      <c r="F65" s="187" t="e">
        <f>_xll.qlSimpleQuote(Currency&amp;$B65&amp;$C65&amp;$D65&amp;QuoteSuffix,,RateTickValue,Permanent,Trigger,ObjectOverwrite)</f>
        <v>#VALUE!</v>
      </c>
      <c r="G65" s="186" t="str">
        <f ca="1">_xll.ohRangeRetrieveError(F65)</f>
        <v/>
      </c>
      <c r="H65" s="185"/>
    </row>
    <row r="66" spans="1:8" x14ac:dyDescent="0.25">
      <c r="A66" s="190"/>
      <c r="B66" s="189" t="s">
        <v>193</v>
      </c>
      <c r="C66" s="189" t="s">
        <v>192</v>
      </c>
      <c r="D66" s="188" t="e">
        <f>_xll.qlECBNextCode(_xll.qlECBdate(D65))</f>
        <v>#NUM!</v>
      </c>
      <c r="E66" s="187" t="e">
        <f>Currency&amp;$B66&amp;$C66&amp;$D66&amp;QuoteSuffix</f>
        <v>#NUM!</v>
      </c>
      <c r="F66" s="187" t="e">
        <f>_xll.qlSimpleQuote(Currency&amp;$B66&amp;$C66&amp;$D66&amp;QuoteSuffix,,RateTickValue,Permanent,Trigger,ObjectOverwrite)</f>
        <v>#VALUE!</v>
      </c>
      <c r="G66" s="186" t="str">
        <f ca="1">_xll.ohRangeRetrieveError(F66)</f>
        <v/>
      </c>
      <c r="H66" s="185"/>
    </row>
    <row r="67" spans="1:8" x14ac:dyDescent="0.25">
      <c r="A67" s="190"/>
      <c r="B67" s="189" t="s">
        <v>193</v>
      </c>
      <c r="C67" s="189" t="s">
        <v>192</v>
      </c>
      <c r="D67" s="188" t="e">
        <f>_xll.qlECBNextCode(_xll.qlECBdate(D66))</f>
        <v>#NUM!</v>
      </c>
      <c r="E67" s="187" t="e">
        <f>Currency&amp;$B67&amp;$C67&amp;$D67&amp;QuoteSuffix</f>
        <v>#NUM!</v>
      </c>
      <c r="F67" s="187" t="e">
        <f>_xll.qlSimpleQuote(Currency&amp;$B67&amp;$C67&amp;$D67&amp;QuoteSuffix,,RateTickValue,Permanent,Trigger,ObjectOverwrite)</f>
        <v>#VALUE!</v>
      </c>
      <c r="G67" s="186" t="str">
        <f ca="1">_xll.ohRangeRetrieveError(F67)</f>
        <v/>
      </c>
      <c r="H67" s="185"/>
    </row>
    <row r="68" spans="1:8" x14ac:dyDescent="0.25">
      <c r="A68" s="190"/>
      <c r="B68" s="189" t="s">
        <v>193</v>
      </c>
      <c r="C68" s="189" t="s">
        <v>192</v>
      </c>
      <c r="D68" s="188" t="e">
        <f>_xll.qlECBNextCode(_xll.qlECBdate(D67))</f>
        <v>#NUM!</v>
      </c>
      <c r="E68" s="187" t="e">
        <f>Currency&amp;$B68&amp;$C68&amp;$D68&amp;QuoteSuffix</f>
        <v>#NUM!</v>
      </c>
      <c r="F68" s="187" t="e">
        <f>_xll.qlSimpleQuote(Currency&amp;$B68&amp;$C68&amp;$D68&amp;QuoteSuffix,,RateTickValue,Permanent,Trigger,ObjectOverwrite)</f>
        <v>#VALUE!</v>
      </c>
      <c r="G68" s="186" t="str">
        <f ca="1">_xll.ohRangeRetrieveError(F68)</f>
        <v/>
      </c>
      <c r="H68" s="185"/>
    </row>
    <row r="69" spans="1:8" x14ac:dyDescent="0.25">
      <c r="A69" s="190"/>
      <c r="B69" s="189" t="s">
        <v>193</v>
      </c>
      <c r="C69" s="189" t="s">
        <v>192</v>
      </c>
      <c r="D69" s="188" t="e">
        <f>_xll.qlECBNextCode(_xll.qlECBdate(D68))</f>
        <v>#NUM!</v>
      </c>
      <c r="E69" s="187" t="e">
        <f>Currency&amp;$B69&amp;$C69&amp;$D69&amp;QuoteSuffix</f>
        <v>#NUM!</v>
      </c>
      <c r="F69" s="187" t="e">
        <f>_xll.qlSimpleQuote(Currency&amp;$B69&amp;$C69&amp;$D69&amp;QuoteSuffix,,RateTickValue,Permanent,Trigger,ObjectOverwrite)</f>
        <v>#VALUE!</v>
      </c>
      <c r="G69" s="186" t="str">
        <f ca="1">_xll.ohRangeRetrieveError(F69)</f>
        <v/>
      </c>
      <c r="H69" s="185"/>
    </row>
    <row r="70" spans="1:8" x14ac:dyDescent="0.25">
      <c r="A70" s="190"/>
      <c r="B70" s="189" t="s">
        <v>193</v>
      </c>
      <c r="C70" s="189" t="s">
        <v>192</v>
      </c>
      <c r="D70" s="188" t="e">
        <f>_xll.qlECBNextCode(_xll.qlECBdate(D69))</f>
        <v>#NUM!</v>
      </c>
      <c r="E70" s="187" t="e">
        <f>Currency&amp;$B70&amp;$C70&amp;$D70&amp;QuoteSuffix</f>
        <v>#NUM!</v>
      </c>
      <c r="F70" s="187" t="e">
        <f>_xll.qlSimpleQuote(Currency&amp;$B70&amp;$C70&amp;$D70&amp;QuoteSuffix,,RateTickValue,Permanent,Trigger,ObjectOverwrite)</f>
        <v>#VALUE!</v>
      </c>
      <c r="G70" s="186" t="str">
        <f ca="1">_xll.ohRangeRetrieveError(F70)</f>
        <v/>
      </c>
      <c r="H70" s="185"/>
    </row>
    <row r="71" spans="1:8" x14ac:dyDescent="0.25">
      <c r="A71" s="190"/>
      <c r="B71" s="189" t="s">
        <v>193</v>
      </c>
      <c r="C71" s="189" t="s">
        <v>192</v>
      </c>
      <c r="D71" s="188" t="e">
        <f>_xll.qlECBNextCode(_xll.qlECBdate(D70))</f>
        <v>#NUM!</v>
      </c>
      <c r="E71" s="187" t="e">
        <f>Currency&amp;$B71&amp;$C71&amp;$D71&amp;QuoteSuffix</f>
        <v>#NUM!</v>
      </c>
      <c r="F71" s="187" t="e">
        <f>_xll.qlSimpleQuote(Currency&amp;$B71&amp;$C71&amp;$D71&amp;QuoteSuffix,,RateTickValue,Permanent,Trigger,ObjectOverwrite)</f>
        <v>#VALUE!</v>
      </c>
      <c r="G71" s="186" t="str">
        <f ca="1">_xll.ohRangeRetrieveError(F71)</f>
        <v/>
      </c>
      <c r="H71" s="185"/>
    </row>
    <row r="72" spans="1:8" x14ac:dyDescent="0.25">
      <c r="A72" s="190"/>
      <c r="B72" s="189" t="s">
        <v>193</v>
      </c>
      <c r="C72" s="189" t="s">
        <v>192</v>
      </c>
      <c r="D72" s="188" t="e">
        <f>_xll.qlECBNextCode(_xll.qlECBdate(D71))</f>
        <v>#NUM!</v>
      </c>
      <c r="E72" s="187" t="e">
        <f>Currency&amp;$B72&amp;$C72&amp;$D72&amp;QuoteSuffix</f>
        <v>#NUM!</v>
      </c>
      <c r="F72" s="187" t="e">
        <f>_xll.qlSimpleQuote(Currency&amp;$B72&amp;$C72&amp;$D72&amp;QuoteSuffix,,RateTickValue,Permanent,Trigger,ObjectOverwrite)</f>
        <v>#VALUE!</v>
      </c>
      <c r="G72" s="186" t="str">
        <f ca="1">_xll.ohRangeRetrieveError(F72)</f>
        <v/>
      </c>
      <c r="H72" s="185"/>
    </row>
    <row r="73" spans="1:8" x14ac:dyDescent="0.25">
      <c r="A73" s="190"/>
      <c r="B73" s="189" t="s">
        <v>193</v>
      </c>
      <c r="C73" s="189" t="s">
        <v>192</v>
      </c>
      <c r="D73" s="188" t="e">
        <f>_xll.qlECBNextCode(_xll.qlECBdate(D72))</f>
        <v>#NUM!</v>
      </c>
      <c r="E73" s="187" t="e">
        <f>Currency&amp;$B73&amp;$C73&amp;$D73&amp;QuoteSuffix</f>
        <v>#NUM!</v>
      </c>
      <c r="F73" s="187" t="e">
        <f>_xll.qlSimpleQuote(Currency&amp;$B73&amp;$C73&amp;$D73&amp;QuoteSuffix,,RateTickValue,Permanent,Trigger,ObjectOverwrite)</f>
        <v>#VALUE!</v>
      </c>
      <c r="G73" s="186" t="str">
        <f ca="1">_xll.ohRangeRetrieveError(F73)</f>
        <v/>
      </c>
      <c r="H73" s="185"/>
    </row>
    <row r="74" spans="1:8" x14ac:dyDescent="0.25">
      <c r="A74" s="190"/>
      <c r="B74" s="189" t="s">
        <v>193</v>
      </c>
      <c r="C74" s="189" t="s">
        <v>192</v>
      </c>
      <c r="D74" s="188" t="e">
        <f>_xll.qlECBNextCode(_xll.qlECBdate(D73))</f>
        <v>#NUM!</v>
      </c>
      <c r="E74" s="187" t="e">
        <f>Currency&amp;$B74&amp;$C74&amp;$D74&amp;QuoteSuffix</f>
        <v>#NUM!</v>
      </c>
      <c r="F74" s="187" t="e">
        <f>_xll.qlSimpleQuote(Currency&amp;$B74&amp;$C74&amp;$D74&amp;QuoteSuffix,,RateTickValue,Permanent,Trigger,ObjectOverwrite)</f>
        <v>#VALUE!</v>
      </c>
      <c r="G74" s="186" t="str">
        <f ca="1">_xll.ohRangeRetrieveError(F74)</f>
        <v/>
      </c>
      <c r="H74" s="185"/>
    </row>
    <row r="75" spans="1:8" x14ac:dyDescent="0.25">
      <c r="A75" s="190"/>
      <c r="B75" s="189" t="s">
        <v>193</v>
      </c>
      <c r="C75" s="189" t="s">
        <v>192</v>
      </c>
      <c r="D75" s="188" t="e">
        <f>_xll.qlECBNextCode(_xll.qlECBdate(D74))</f>
        <v>#NUM!</v>
      </c>
      <c r="E75" s="187" t="e">
        <f>Currency&amp;$B75&amp;$C75&amp;$D75&amp;QuoteSuffix</f>
        <v>#NUM!</v>
      </c>
      <c r="F75" s="187" t="e">
        <f>_xll.qlSimpleQuote(Currency&amp;$B75&amp;$C75&amp;$D75&amp;QuoteSuffix,,RateTickValue,Permanent,Trigger,ObjectOverwrite)</f>
        <v>#VALUE!</v>
      </c>
      <c r="G75" s="186" t="str">
        <f ca="1">_xll.ohRangeRetrieveError(F75)</f>
        <v/>
      </c>
      <c r="H75" s="185"/>
    </row>
    <row r="76" spans="1:8" ht="14.25" thickBot="1" x14ac:dyDescent="0.3">
      <c r="A76" s="184"/>
      <c r="B76" s="183"/>
      <c r="C76" s="183"/>
      <c r="D76" s="183"/>
      <c r="E76" s="183"/>
      <c r="F76" s="182"/>
      <c r="G76" s="182"/>
      <c r="H76" s="181"/>
    </row>
  </sheetData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4"/>
  <sheetViews>
    <sheetView workbookViewId="0"/>
  </sheetViews>
  <sheetFormatPr defaultRowHeight="12.75" x14ac:dyDescent="0.2"/>
  <cols>
    <col min="1" max="1" width="3.7109375" style="20" customWidth="1"/>
    <col min="2" max="2" width="4.85546875" style="129" bestFit="1" customWidth="1"/>
    <col min="3" max="3" width="2.7109375" style="20" bestFit="1" customWidth="1"/>
    <col min="4" max="4" width="3.85546875" style="20" bestFit="1" customWidth="1"/>
    <col min="5" max="5" width="16.140625" style="20" bestFit="1" customWidth="1"/>
    <col min="6" max="6" width="18" style="128" bestFit="1" customWidth="1"/>
    <col min="7" max="7" width="38.28515625" style="20" customWidth="1"/>
    <col min="8" max="8" width="4.42578125" style="20" customWidth="1"/>
    <col min="9" max="16384" width="9.140625" style="20"/>
  </cols>
  <sheetData>
    <row r="1" spans="1:8" x14ac:dyDescent="0.2">
      <c r="A1" s="230" t="s">
        <v>207</v>
      </c>
      <c r="B1" s="213"/>
      <c r="C1" s="213"/>
      <c r="D1" s="213"/>
      <c r="E1" s="211"/>
      <c r="F1" s="212"/>
      <c r="G1" s="211"/>
      <c r="H1" s="210"/>
    </row>
    <row r="2" spans="1:8" x14ac:dyDescent="0.2">
      <c r="A2" s="136"/>
      <c r="B2" s="209"/>
      <c r="C2" s="208"/>
      <c r="D2" s="102"/>
      <c r="E2" s="101" t="str">
        <f>Currency&amp;"_010_Sw"&amp;"1M.xml"</f>
        <v>EUR_010_Sw1M.xml</v>
      </c>
      <c r="F2" s="100">
        <f ca="1">IF(Serialize,_xll.ohObjectSave(F3:F13,SerializationPath&amp;E2,FileOverwrite,Serialize),"---")</f>
        <v>11</v>
      </c>
      <c r="G2" s="84" t="str">
        <f ca="1">_xll.ohRangeRetrieveError(F2)</f>
        <v/>
      </c>
      <c r="H2" s="57"/>
    </row>
    <row r="3" spans="1:8" x14ac:dyDescent="0.2">
      <c r="A3" s="136"/>
      <c r="B3" s="207"/>
      <c r="C3" s="87">
        <v>2</v>
      </c>
      <c r="D3" s="86" t="s">
        <v>195</v>
      </c>
      <c r="E3" s="85" t="str">
        <f>Currency&amp;$C3&amp;$D3&amp;$B3&amp;QuoteSuffix</f>
        <v>EUR2X1S_Quote</v>
      </c>
      <c r="F3" s="85" t="str">
        <f>_xll.qlSimpleQuote(Currency&amp;$C3&amp;$D3&amp;$B3&amp;QuoteSuffix,,RateTickValue,Permanent,Trigger,ObjectOverwrite)</f>
        <v>EUR2X1S_Quote#0024</v>
      </c>
      <c r="G3" s="30" t="str">
        <f>_xll.ohRangeRetrieveError(F3)</f>
        <v/>
      </c>
      <c r="H3" s="57"/>
    </row>
    <row r="4" spans="1:8" x14ac:dyDescent="0.2">
      <c r="A4" s="136"/>
      <c r="B4" s="206"/>
      <c r="C4" s="205">
        <v>3</v>
      </c>
      <c r="D4" s="120" t="s">
        <v>195</v>
      </c>
      <c r="E4" s="85" t="str">
        <f>Currency&amp;$C4&amp;$D4&amp;$B4&amp;QuoteSuffix</f>
        <v>EUR3X1S_Quote</v>
      </c>
      <c r="F4" s="85" t="str">
        <f>_xll.qlSimpleQuote(Currency&amp;$C4&amp;$D4&amp;$B4&amp;QuoteSuffix,,RateTickValue,Permanent,Trigger,ObjectOverwrite)</f>
        <v>EUR3X1S_Quote#0024</v>
      </c>
      <c r="G4" s="38" t="str">
        <f>_xll.ohRangeRetrieveError(F4)</f>
        <v/>
      </c>
      <c r="H4" s="57"/>
    </row>
    <row r="5" spans="1:8" x14ac:dyDescent="0.2">
      <c r="A5" s="136"/>
      <c r="B5" s="206"/>
      <c r="C5" s="205">
        <v>4</v>
      </c>
      <c r="D5" s="120" t="s">
        <v>195</v>
      </c>
      <c r="E5" s="85" t="str">
        <f>Currency&amp;$C5&amp;$D5&amp;$B5&amp;QuoteSuffix</f>
        <v>EUR4X1S_Quote</v>
      </c>
      <c r="F5" s="85" t="str">
        <f>_xll.qlSimpleQuote(Currency&amp;$C5&amp;$D5&amp;$B5&amp;QuoteSuffix,,RateTickValue,Permanent,Trigger,ObjectOverwrite)</f>
        <v>EUR4X1S_Quote#0024</v>
      </c>
      <c r="G5" s="38" t="str">
        <f>_xll.ohRangeRetrieveError(F5)</f>
        <v/>
      </c>
      <c r="H5" s="57"/>
    </row>
    <row r="6" spans="1:8" x14ac:dyDescent="0.2">
      <c r="A6" s="136"/>
      <c r="B6" s="206"/>
      <c r="C6" s="205">
        <v>5</v>
      </c>
      <c r="D6" s="120" t="s">
        <v>195</v>
      </c>
      <c r="E6" s="85" t="str">
        <f>Currency&amp;$C6&amp;$D6&amp;$B6&amp;QuoteSuffix</f>
        <v>EUR5X1S_Quote</v>
      </c>
      <c r="F6" s="85" t="str">
        <f>_xll.qlSimpleQuote(Currency&amp;$C6&amp;$D6&amp;$B6&amp;QuoteSuffix,,RateTickValue,Permanent,Trigger,ObjectOverwrite)</f>
        <v>EUR5X1S_Quote#0024</v>
      </c>
      <c r="G6" s="38" t="str">
        <f>_xll.ohRangeRetrieveError(F6)</f>
        <v/>
      </c>
      <c r="H6" s="57"/>
    </row>
    <row r="7" spans="1:8" x14ac:dyDescent="0.2">
      <c r="A7" s="136"/>
      <c r="B7" s="206"/>
      <c r="C7" s="205">
        <v>6</v>
      </c>
      <c r="D7" s="120" t="s">
        <v>195</v>
      </c>
      <c r="E7" s="85" t="str">
        <f>Currency&amp;$C7&amp;$D7&amp;$B7&amp;QuoteSuffix</f>
        <v>EUR6X1S_Quote</v>
      </c>
      <c r="F7" s="85" t="str">
        <f>_xll.qlSimpleQuote(Currency&amp;$C7&amp;$D7&amp;$B7&amp;QuoteSuffix,,RateTickValue,Permanent,Trigger,ObjectOverwrite)</f>
        <v>EUR6X1S_Quote#0024</v>
      </c>
      <c r="G7" s="38" t="str">
        <f>_xll.ohRangeRetrieveError(F7)</f>
        <v/>
      </c>
      <c r="H7" s="57"/>
    </row>
    <row r="8" spans="1:8" x14ac:dyDescent="0.2">
      <c r="A8" s="136"/>
      <c r="B8" s="206"/>
      <c r="C8" s="205">
        <v>7</v>
      </c>
      <c r="D8" s="120" t="s">
        <v>195</v>
      </c>
      <c r="E8" s="85" t="str">
        <f>Currency&amp;$C8&amp;$D8&amp;$B8&amp;QuoteSuffix</f>
        <v>EUR7X1S_Quote</v>
      </c>
      <c r="F8" s="85" t="str">
        <f>_xll.qlSimpleQuote(Currency&amp;$C8&amp;$D8&amp;$B8&amp;QuoteSuffix,,RateTickValue,Permanent,Trigger,ObjectOverwrite)</f>
        <v>EUR7X1S_Quote#0024</v>
      </c>
      <c r="G8" s="38" t="str">
        <f>_xll.ohRangeRetrieveError(F8)</f>
        <v/>
      </c>
      <c r="H8" s="57"/>
    </row>
    <row r="9" spans="1:8" x14ac:dyDescent="0.2">
      <c r="A9" s="136"/>
      <c r="B9" s="206"/>
      <c r="C9" s="205">
        <v>8</v>
      </c>
      <c r="D9" s="120" t="s">
        <v>195</v>
      </c>
      <c r="E9" s="85" t="str">
        <f>Currency&amp;$C9&amp;$D9&amp;$B9&amp;QuoteSuffix</f>
        <v>EUR8X1S_Quote</v>
      </c>
      <c r="F9" s="85" t="str">
        <f>_xll.qlSimpleQuote(Currency&amp;$C9&amp;$D9&amp;$B9&amp;QuoteSuffix,,RateTickValue,Permanent,Trigger,ObjectOverwrite)</f>
        <v>EUR8X1S_Quote#0024</v>
      </c>
      <c r="G9" s="38" t="str">
        <f>_xll.ohRangeRetrieveError(F9)</f>
        <v/>
      </c>
      <c r="H9" s="57"/>
    </row>
    <row r="10" spans="1:8" x14ac:dyDescent="0.2">
      <c r="A10" s="136"/>
      <c r="B10" s="206"/>
      <c r="C10" s="205">
        <v>9</v>
      </c>
      <c r="D10" s="120" t="s">
        <v>195</v>
      </c>
      <c r="E10" s="85" t="str">
        <f>Currency&amp;$C10&amp;$D10&amp;$B10&amp;QuoteSuffix</f>
        <v>EUR9X1S_Quote</v>
      </c>
      <c r="F10" s="85" t="str">
        <f>_xll.qlSimpleQuote(Currency&amp;$C10&amp;$D10&amp;$B10&amp;QuoteSuffix,,RateTickValue,Permanent,Trigger,ObjectOverwrite)</f>
        <v>EUR9X1S_Quote#0024</v>
      </c>
      <c r="G10" s="38" t="str">
        <f>_xll.ohRangeRetrieveError(F10)</f>
        <v/>
      </c>
      <c r="H10" s="57"/>
    </row>
    <row r="11" spans="1:8" x14ac:dyDescent="0.2">
      <c r="A11" s="136"/>
      <c r="B11" s="206"/>
      <c r="C11" s="205">
        <v>10</v>
      </c>
      <c r="D11" s="120" t="s">
        <v>195</v>
      </c>
      <c r="E11" s="85" t="str">
        <f>Currency&amp;$C11&amp;$D11&amp;$B11&amp;QuoteSuffix</f>
        <v>EUR10X1S_Quote</v>
      </c>
      <c r="F11" s="85" t="str">
        <f>_xll.qlSimpleQuote(Currency&amp;$C11&amp;$D11&amp;$B11&amp;QuoteSuffix,,RateTickValue,Permanent,Trigger,ObjectOverwrite)</f>
        <v>EUR10X1S_Quote#0024</v>
      </c>
      <c r="G11" s="38" t="str">
        <f>_xll.ohRangeRetrieveError(F11)</f>
        <v/>
      </c>
      <c r="H11" s="57"/>
    </row>
    <row r="12" spans="1:8" x14ac:dyDescent="0.2">
      <c r="A12" s="136"/>
      <c r="B12" s="206"/>
      <c r="C12" s="205">
        <v>11</v>
      </c>
      <c r="D12" s="120" t="s">
        <v>195</v>
      </c>
      <c r="E12" s="85" t="str">
        <f>Currency&amp;$C12&amp;$D12&amp;$B12&amp;QuoteSuffix</f>
        <v>EUR11X1S_Quote</v>
      </c>
      <c r="F12" s="85" t="str">
        <f>_xll.qlSimpleQuote(Currency&amp;$C12&amp;$D12&amp;$B12&amp;QuoteSuffix,,RateTickValue,Permanent,Trigger,ObjectOverwrite)</f>
        <v>EUR11X1S_Quote#0024</v>
      </c>
      <c r="G12" s="38" t="str">
        <f>_xll.ohRangeRetrieveError(F12)</f>
        <v/>
      </c>
      <c r="H12" s="57"/>
    </row>
    <row r="13" spans="1:8" x14ac:dyDescent="0.2">
      <c r="A13" s="136"/>
      <c r="B13" s="206"/>
      <c r="C13" s="205">
        <v>12</v>
      </c>
      <c r="D13" s="120" t="s">
        <v>195</v>
      </c>
      <c r="E13" s="85" t="str">
        <f>Currency&amp;$C13&amp;$D13&amp;$B13&amp;QuoteSuffix</f>
        <v>EUR12X1S_Quote</v>
      </c>
      <c r="F13" s="85" t="str">
        <f>_xll.qlSimpleQuote(Currency&amp;$C13&amp;$D13&amp;$B13&amp;QuoteSuffix,,RateTickValue,Permanent,Trigger,ObjectOverwrite)</f>
        <v>EUR12X1S_Quote#0024</v>
      </c>
      <c r="G13" s="38" t="str">
        <f>_xll.ohRangeRetrieveError(F13)</f>
        <v/>
      </c>
      <c r="H13" s="57"/>
    </row>
    <row r="14" spans="1:8" ht="13.5" thickBot="1" x14ac:dyDescent="0.25">
      <c r="A14" s="56"/>
      <c r="B14" s="55"/>
      <c r="C14" s="55"/>
      <c r="D14" s="55"/>
      <c r="E14" s="55"/>
      <c r="F14" s="130"/>
      <c r="G14" s="130"/>
      <c r="H14" s="54"/>
    </row>
  </sheetData>
  <pageMargins left="0.75" right="0.75" top="1" bottom="1" header="0.5" footer="0.5"/>
  <pageSetup paperSize="9" orientation="portrait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0"/>
  <sheetViews>
    <sheetView workbookViewId="0"/>
  </sheetViews>
  <sheetFormatPr defaultRowHeight="12.75" x14ac:dyDescent="0.2"/>
  <cols>
    <col min="1" max="1" width="3.7109375" style="20" customWidth="1"/>
    <col min="2" max="2" width="4.85546875" style="129" bestFit="1" customWidth="1"/>
    <col min="3" max="3" width="2.85546875" style="20" bestFit="1" customWidth="1"/>
    <col min="4" max="4" width="2.7109375" style="20" bestFit="1" customWidth="1"/>
    <col min="5" max="5" width="17" style="20" bestFit="1" customWidth="1"/>
    <col min="6" max="6" width="16.85546875" style="128" bestFit="1" customWidth="1"/>
    <col min="7" max="7" width="38.28515625" style="20" customWidth="1"/>
    <col min="8" max="8" width="4.42578125" style="20" customWidth="1"/>
    <col min="9" max="16384" width="9.140625" style="20"/>
  </cols>
  <sheetData>
    <row r="1" spans="1:8" x14ac:dyDescent="0.2">
      <c r="A1" s="230" t="s">
        <v>207</v>
      </c>
      <c r="B1" s="213"/>
      <c r="C1" s="213"/>
      <c r="D1" s="213"/>
      <c r="E1" s="211"/>
      <c r="F1" s="212"/>
      <c r="G1" s="211"/>
      <c r="H1" s="210"/>
    </row>
    <row r="2" spans="1:8" x14ac:dyDescent="0.2">
      <c r="A2" s="136"/>
      <c r="B2" s="217"/>
      <c r="C2" s="216"/>
      <c r="D2" s="102"/>
      <c r="E2" s="101" t="str">
        <f>Currency&amp;"_010_Sw"&amp;"IMM.xml"</f>
        <v>EUR_010_SwIMM.xml</v>
      </c>
      <c r="F2" s="100">
        <f ca="1">IF(Serialize,_xll.ohObjectSave(F3:F9,SerializationPath&amp;E2,FileOverwrite,Serialize),"---")</f>
        <v>7</v>
      </c>
      <c r="G2" s="84" t="str">
        <f ca="1">_xll.ohRangeRetrieveError(F2)</f>
        <v/>
      </c>
      <c r="H2" s="57"/>
    </row>
    <row r="3" spans="1:8" x14ac:dyDescent="0.2">
      <c r="A3" s="136"/>
      <c r="B3" s="215"/>
      <c r="C3" s="86" t="s">
        <v>196</v>
      </c>
      <c r="D3" s="86">
        <v>12</v>
      </c>
      <c r="E3" s="85" t="str">
        <f>Currency&amp;$C3&amp;$D3&amp;$B3&amp;QuoteSuffix</f>
        <v>EUR1S12_Quote</v>
      </c>
      <c r="F3" s="85" t="str">
        <f>_xll.qlSimpleQuote(Currency&amp;$C3&amp;$D3&amp;$B3&amp;QuoteSuffix,,RateTickValue,Permanent,Trigger,ObjectOverwrite)</f>
        <v>EUR1S12_Quote#0023</v>
      </c>
      <c r="G3" s="30" t="str">
        <f>_xll.ohRangeRetrieveError(F3)</f>
        <v/>
      </c>
      <c r="H3" s="57"/>
    </row>
    <row r="4" spans="1:8" x14ac:dyDescent="0.2">
      <c r="A4" s="136"/>
      <c r="B4" s="214"/>
      <c r="C4" s="120" t="s">
        <v>197</v>
      </c>
      <c r="D4" s="120">
        <v>12</v>
      </c>
      <c r="E4" s="85" t="str">
        <f>Currency&amp;$C4&amp;$D4&amp;$B4&amp;QuoteSuffix</f>
        <v>EUR2S12_Quote</v>
      </c>
      <c r="F4" s="85" t="str">
        <f>_xll.qlSimpleQuote(Currency&amp;$C4&amp;$D4&amp;$B4&amp;QuoteSuffix,,RateTickValue,Permanent,Trigger,ObjectOverwrite)</f>
        <v>EUR2S12_Quote#0023</v>
      </c>
      <c r="G4" s="38" t="str">
        <f>_xll.ohRangeRetrieveError(F4)</f>
        <v/>
      </c>
      <c r="H4" s="57"/>
    </row>
    <row r="5" spans="1:8" x14ac:dyDescent="0.2">
      <c r="A5" s="136"/>
      <c r="B5" s="214"/>
      <c r="C5" s="120" t="s">
        <v>199</v>
      </c>
      <c r="D5" s="120">
        <v>12</v>
      </c>
      <c r="E5" s="85" t="str">
        <f>Currency&amp;$C5&amp;$D5&amp;$B5&amp;QuoteSuffix</f>
        <v>EUR3S12_Quote</v>
      </c>
      <c r="F5" s="85" t="str">
        <f>_xll.qlSimpleQuote(Currency&amp;$C5&amp;$D5&amp;$B5&amp;QuoteSuffix,,RateTickValue,Permanent,Trigger,ObjectOverwrite)</f>
        <v>EUR3S12_Quote#0023</v>
      </c>
      <c r="G5" s="38" t="str">
        <f>_xll.ohRangeRetrieveError(F5)</f>
        <v/>
      </c>
      <c r="H5" s="57"/>
    </row>
    <row r="6" spans="1:8" x14ac:dyDescent="0.2">
      <c r="A6" s="136"/>
      <c r="B6" s="214"/>
      <c r="C6" s="120" t="s">
        <v>198</v>
      </c>
      <c r="D6" s="120">
        <v>12</v>
      </c>
      <c r="E6" s="85" t="str">
        <f>Currency&amp;$C6&amp;$D6&amp;$B6&amp;QuoteSuffix</f>
        <v>EUR4S12_Quote</v>
      </c>
      <c r="F6" s="85" t="str">
        <f>_xll.qlSimpleQuote(Currency&amp;$C6&amp;$D6&amp;$B6&amp;QuoteSuffix,,RateTickValue,Permanent,Trigger,ObjectOverwrite)</f>
        <v>EUR4S12_Quote#0023</v>
      </c>
      <c r="G6" s="38" t="str">
        <f>_xll.ohRangeRetrieveError(F6)</f>
        <v/>
      </c>
      <c r="H6" s="57"/>
    </row>
    <row r="7" spans="1:8" x14ac:dyDescent="0.2">
      <c r="A7" s="136"/>
      <c r="B7" s="214"/>
      <c r="C7" s="120" t="s">
        <v>196</v>
      </c>
      <c r="D7" s="120">
        <v>24</v>
      </c>
      <c r="E7" s="85" t="str">
        <f>Currency&amp;$C7&amp;$D7&amp;$B7&amp;QuoteSuffix</f>
        <v>EUR1S24_Quote</v>
      </c>
      <c r="F7" s="85" t="str">
        <f>_xll.qlSimpleQuote(Currency&amp;$C7&amp;$D7&amp;$B7&amp;QuoteSuffix,,RateTickValue,Permanent,Trigger,ObjectOverwrite)</f>
        <v>EUR1S24_Quote#0023</v>
      </c>
      <c r="G7" s="38" t="str">
        <f>_xll.ohRangeRetrieveError(F7)</f>
        <v/>
      </c>
      <c r="H7" s="57"/>
    </row>
    <row r="8" spans="1:8" x14ac:dyDescent="0.2">
      <c r="A8" s="136"/>
      <c r="B8" s="214"/>
      <c r="C8" s="120" t="s">
        <v>197</v>
      </c>
      <c r="D8" s="120">
        <v>24</v>
      </c>
      <c r="E8" s="85" t="str">
        <f>Currency&amp;$C8&amp;$D8&amp;$B8&amp;QuoteSuffix</f>
        <v>EUR2S24_Quote</v>
      </c>
      <c r="F8" s="85" t="str">
        <f>_xll.qlSimpleQuote(Currency&amp;$C8&amp;$D8&amp;$B8&amp;QuoteSuffix,,RateTickValue,Permanent,Trigger,ObjectOverwrite)</f>
        <v>EUR2S24_Quote#0023</v>
      </c>
      <c r="G8" s="38" t="str">
        <f>_xll.ohRangeRetrieveError(F8)</f>
        <v/>
      </c>
      <c r="H8" s="57"/>
    </row>
    <row r="9" spans="1:8" x14ac:dyDescent="0.2">
      <c r="A9" s="136"/>
      <c r="B9" s="214"/>
      <c r="C9" s="120" t="s">
        <v>196</v>
      </c>
      <c r="D9" s="120">
        <v>36</v>
      </c>
      <c r="E9" s="85" t="str">
        <f>Currency&amp;$C9&amp;$D9&amp;$B9&amp;QuoteSuffix</f>
        <v>EUR1S36_Quote</v>
      </c>
      <c r="F9" s="85" t="str">
        <f>_xll.qlSimpleQuote(Currency&amp;$C9&amp;$D9&amp;$B9&amp;QuoteSuffix,,RateTickValue,Permanent,Trigger,ObjectOverwrite)</f>
        <v>EUR1S36_Quote#0023</v>
      </c>
      <c r="G9" s="38" t="str">
        <f>_xll.ohRangeRetrieveError(F9)</f>
        <v/>
      </c>
      <c r="H9" s="57"/>
    </row>
    <row r="10" spans="1:8" ht="13.5" thickBot="1" x14ac:dyDescent="0.25">
      <c r="A10" s="56"/>
      <c r="B10" s="55"/>
      <c r="C10" s="55"/>
      <c r="D10" s="55"/>
      <c r="E10" s="55"/>
      <c r="F10" s="130"/>
      <c r="G10" s="130"/>
      <c r="H10" s="54"/>
    </row>
  </sheetData>
  <pageMargins left="0.75" right="0.75" top="1" bottom="1" header="0.5" footer="0.5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0"/>
  <sheetViews>
    <sheetView workbookViewId="0"/>
  </sheetViews>
  <sheetFormatPr defaultRowHeight="12.75" x14ac:dyDescent="0.2"/>
  <cols>
    <col min="1" max="1" width="3.7109375" style="20" customWidth="1"/>
    <col min="2" max="2" width="6.5703125" style="129" bestFit="1" customWidth="1"/>
    <col min="3" max="3" width="3.140625" style="20" bestFit="1" customWidth="1"/>
    <col min="4" max="4" width="2.7109375" style="20" bestFit="1" customWidth="1"/>
    <col min="5" max="5" width="18" style="20" bestFit="1" customWidth="1"/>
    <col min="6" max="6" width="20.140625" style="128" bestFit="1" customWidth="1"/>
    <col min="7" max="7" width="38.28515625" style="20" customWidth="1"/>
    <col min="8" max="9" width="4.42578125" style="20" customWidth="1"/>
    <col min="10" max="10" width="4.140625" style="20" bestFit="1" customWidth="1"/>
    <col min="11" max="11" width="3.28515625" style="20" bestFit="1" customWidth="1"/>
    <col min="12" max="12" width="9.5703125" style="20" bestFit="1" customWidth="1"/>
    <col min="13" max="16384" width="9.140625" style="20"/>
  </cols>
  <sheetData>
    <row r="1" spans="1:12" ht="13.5" thickBot="1" x14ac:dyDescent="0.25">
      <c r="A1" s="230" t="s">
        <v>207</v>
      </c>
      <c r="B1" s="213"/>
      <c r="C1" s="213"/>
      <c r="D1" s="213"/>
      <c r="E1" s="211"/>
      <c r="F1" s="212"/>
      <c r="G1" s="211"/>
      <c r="H1" s="210"/>
    </row>
    <row r="2" spans="1:12" x14ac:dyDescent="0.2">
      <c r="A2" s="136"/>
      <c r="B2" s="102" t="s">
        <v>141</v>
      </c>
      <c r="C2" s="102"/>
      <c r="D2" s="102"/>
      <c r="E2" s="101" t="str">
        <f>Currency&amp;"_010_Sw"&amp;$C$3&amp;$D$3&amp;".xml"</f>
        <v>EUR_010_SwAB3E.xml</v>
      </c>
      <c r="F2" s="100">
        <f ca="1">IF(Serialize,_xll.ohObjectSave(F3:F39,SerializationPath&amp;E2,FileOverwrite,Serialize),"---")</f>
        <v>37</v>
      </c>
      <c r="G2" s="84" t="str">
        <f ca="1">_xll.ohRangeRetrieveError(F2)</f>
        <v/>
      </c>
      <c r="H2" s="57"/>
      <c r="J2" s="222" t="s">
        <v>205</v>
      </c>
      <c r="K2" s="221" t="s">
        <v>204</v>
      </c>
      <c r="L2" s="220" t="s">
        <v>203</v>
      </c>
    </row>
    <row r="3" spans="1:12" x14ac:dyDescent="0.2">
      <c r="A3" s="136"/>
      <c r="B3" s="207" t="s">
        <v>34</v>
      </c>
      <c r="C3" s="87" t="str">
        <f t="array" ref="C3:C39">VLOOKUP(Currency,SwapMainSetConventions,2)</f>
        <v>AB</v>
      </c>
      <c r="D3" s="87" t="str">
        <f t="array" ref="D3:D39">VLOOKUP(Currency,SwapMainSetConventions,3)</f>
        <v>3E</v>
      </c>
      <c r="E3" s="85" t="str">
        <f>Currency&amp;$C3&amp;$D3&amp;$B3&amp;QuoteSuffix</f>
        <v>EURAB3E1Y_Quote</v>
      </c>
      <c r="F3" s="85" t="str">
        <f>_xll.qlSimpleQuote(Currency&amp;$C3&amp;$D3&amp;$B3&amp;QuoteSuffix,,RateTickValue,Permanent,Trigger,ObjectOverwrite)</f>
        <v>EURAB3E1Y_Quote#0022</v>
      </c>
      <c r="G3" s="30" t="str">
        <f>_xll.ohRangeRetrieveError(F3)</f>
        <v/>
      </c>
      <c r="H3" s="57"/>
      <c r="J3" s="219" t="s">
        <v>137</v>
      </c>
      <c r="K3" s="94" t="s">
        <v>202</v>
      </c>
      <c r="L3" s="93" t="s">
        <v>130</v>
      </c>
    </row>
    <row r="4" spans="1:12" x14ac:dyDescent="0.2">
      <c r="A4" s="136"/>
      <c r="B4" s="206" t="s">
        <v>140</v>
      </c>
      <c r="C4" s="87" t="str">
        <v>AB</v>
      </c>
      <c r="D4" s="87" t="str">
        <v>3E</v>
      </c>
      <c r="E4" s="85" t="str">
        <f>Currency&amp;$C4&amp;$D4&amp;$B4&amp;QuoteSuffix</f>
        <v>EURAB3E15M_Quote</v>
      </c>
      <c r="F4" s="85" t="str">
        <f>_xll.qlSimpleQuote(Currency&amp;$C4&amp;$D4&amp;$B4&amp;QuoteSuffix,,RateTickValue,Permanent,Trigger,ObjectOverwrite)</f>
        <v>EURAB3E15M_Quote#0022</v>
      </c>
      <c r="G4" s="38" t="str">
        <f>_xll.ohRangeRetrieveError(F4)</f>
        <v/>
      </c>
      <c r="H4" s="57"/>
      <c r="J4" s="219" t="s">
        <v>123</v>
      </c>
      <c r="K4" s="94" t="s">
        <v>202</v>
      </c>
      <c r="L4" s="93" t="s">
        <v>142</v>
      </c>
    </row>
    <row r="5" spans="1:12" x14ac:dyDescent="0.2">
      <c r="A5" s="136"/>
      <c r="B5" s="206" t="s">
        <v>139</v>
      </c>
      <c r="C5" s="87" t="str">
        <v>AB</v>
      </c>
      <c r="D5" s="87" t="str">
        <v>3E</v>
      </c>
      <c r="E5" s="85" t="str">
        <f>Currency&amp;$C5&amp;$D5&amp;$B5&amp;QuoteSuffix</f>
        <v>EURAB3E18M_Quote</v>
      </c>
      <c r="F5" s="85" t="str">
        <f>_xll.qlSimpleQuote(Currency&amp;$C5&amp;$D5&amp;$B5&amp;QuoteSuffix,,RateTickValue,Permanent,Trigger,ObjectOverwrite)</f>
        <v>EURAB3E18M_Quote#0022</v>
      </c>
      <c r="G5" s="38" t="str">
        <f>_xll.ohRangeRetrieveError(F5)</f>
        <v/>
      </c>
      <c r="H5" s="57"/>
      <c r="J5" s="219" t="s">
        <v>134</v>
      </c>
      <c r="K5" s="94" t="s">
        <v>200</v>
      </c>
      <c r="L5" s="93" t="s">
        <v>130</v>
      </c>
    </row>
    <row r="6" spans="1:12" x14ac:dyDescent="0.2">
      <c r="A6" s="136"/>
      <c r="B6" s="206" t="s">
        <v>138</v>
      </c>
      <c r="C6" s="87" t="str">
        <v>AB</v>
      </c>
      <c r="D6" s="87" t="str">
        <v>3E</v>
      </c>
      <c r="E6" s="85" t="str">
        <f>Currency&amp;$C6&amp;$D6&amp;$B6&amp;QuoteSuffix</f>
        <v>EURAB3E21M_Quote</v>
      </c>
      <c r="F6" s="85" t="str">
        <f>_xll.qlSimpleQuote(Currency&amp;$C6&amp;$D6&amp;$B6&amp;QuoteSuffix,,RateTickValue,Permanent,Trigger,ObjectOverwrite)</f>
        <v>EURAB3E21M_Quote#0022</v>
      </c>
      <c r="G6" s="38" t="str">
        <f>_xll.ohRangeRetrieveError(F6)</f>
        <v/>
      </c>
      <c r="H6" s="57"/>
      <c r="J6" s="219" t="s">
        <v>133</v>
      </c>
      <c r="K6" s="94" t="s">
        <v>201</v>
      </c>
      <c r="L6" s="93" t="s">
        <v>130</v>
      </c>
    </row>
    <row r="7" spans="1:12" ht="13.5" thickBot="1" x14ac:dyDescent="0.25">
      <c r="A7" s="136"/>
      <c r="B7" s="206" t="s">
        <v>115</v>
      </c>
      <c r="C7" s="87" t="str">
        <v>AB</v>
      </c>
      <c r="D7" s="87" t="str">
        <v>3E</v>
      </c>
      <c r="E7" s="85" t="str">
        <f>Currency&amp;$C7&amp;$D7&amp;$B7&amp;QuoteSuffix</f>
        <v>EURAB3E2Y_Quote</v>
      </c>
      <c r="F7" s="85" t="str">
        <f>_xll.qlSimpleQuote(Currency&amp;$C7&amp;$D7&amp;$B7&amp;QuoteSuffix,,RateTickValue,Permanent,Trigger,ObjectOverwrite)</f>
        <v>EURAB3E2Y_Quote#0022</v>
      </c>
      <c r="G7" s="38" t="str">
        <f>_xll.ohRangeRetrieveError(F7)</f>
        <v/>
      </c>
      <c r="H7" s="57"/>
      <c r="J7" s="218" t="s">
        <v>131</v>
      </c>
      <c r="K7" s="91" t="s">
        <v>200</v>
      </c>
      <c r="L7" s="90" t="s">
        <v>130</v>
      </c>
    </row>
    <row r="8" spans="1:12" x14ac:dyDescent="0.2">
      <c r="A8" s="136"/>
      <c r="B8" s="206" t="s">
        <v>114</v>
      </c>
      <c r="C8" s="87" t="str">
        <v>AB</v>
      </c>
      <c r="D8" s="87" t="str">
        <v>3E</v>
      </c>
      <c r="E8" s="85" t="str">
        <f>Currency&amp;$C8&amp;$D8&amp;$B8&amp;QuoteSuffix</f>
        <v>EURAB3E3Y_Quote</v>
      </c>
      <c r="F8" s="85" t="str">
        <f>_xll.qlSimpleQuote(Currency&amp;$C8&amp;$D8&amp;$B8&amp;QuoteSuffix,,RateTickValue,Permanent,Trigger,ObjectOverwrite)</f>
        <v>EURAB3E3Y_Quote#0022</v>
      </c>
      <c r="G8" s="38" t="str">
        <f>_xll.ohRangeRetrieveError(F8)</f>
        <v/>
      </c>
      <c r="H8" s="57"/>
    </row>
    <row r="9" spans="1:12" x14ac:dyDescent="0.2">
      <c r="A9" s="136"/>
      <c r="B9" s="206" t="s">
        <v>113</v>
      </c>
      <c r="C9" s="87" t="str">
        <v>AB</v>
      </c>
      <c r="D9" s="87" t="str">
        <v>3E</v>
      </c>
      <c r="E9" s="85" t="str">
        <f>Currency&amp;$C9&amp;$D9&amp;$B9&amp;QuoteSuffix</f>
        <v>EURAB3E4Y_Quote</v>
      </c>
      <c r="F9" s="85" t="str">
        <f>_xll.qlSimpleQuote(Currency&amp;$C9&amp;$D9&amp;$B9&amp;QuoteSuffix,,RateTickValue,Permanent,Trigger,ObjectOverwrite)</f>
        <v>EURAB3E4Y_Quote#0022</v>
      </c>
      <c r="G9" s="38" t="str">
        <f>_xll.ohRangeRetrieveError(F9)</f>
        <v/>
      </c>
      <c r="H9" s="57"/>
    </row>
    <row r="10" spans="1:12" x14ac:dyDescent="0.2">
      <c r="A10" s="136"/>
      <c r="B10" s="206" t="s">
        <v>112</v>
      </c>
      <c r="C10" s="87" t="str">
        <v>AB</v>
      </c>
      <c r="D10" s="87" t="str">
        <v>3E</v>
      </c>
      <c r="E10" s="85" t="str">
        <f>Currency&amp;$C10&amp;$D10&amp;$B10&amp;QuoteSuffix</f>
        <v>EURAB3E5Y_Quote</v>
      </c>
      <c r="F10" s="85" t="str">
        <f>_xll.qlSimpleQuote(Currency&amp;$C10&amp;$D10&amp;$B10&amp;QuoteSuffix,,RateTickValue,Permanent,Trigger,ObjectOverwrite)</f>
        <v>EURAB3E5Y_Quote#0022</v>
      </c>
      <c r="G10" s="38" t="str">
        <f>_xll.ohRangeRetrieveError(F10)</f>
        <v/>
      </c>
      <c r="H10" s="57"/>
    </row>
    <row r="11" spans="1:12" x14ac:dyDescent="0.2">
      <c r="A11" s="136"/>
      <c r="B11" s="206" t="s">
        <v>111</v>
      </c>
      <c r="C11" s="87" t="str">
        <v>AB</v>
      </c>
      <c r="D11" s="87" t="str">
        <v>3E</v>
      </c>
      <c r="E11" s="85" t="str">
        <f>Currency&amp;$C11&amp;$D11&amp;$B11&amp;QuoteSuffix</f>
        <v>EURAB3E6Y_Quote</v>
      </c>
      <c r="F11" s="85" t="str">
        <f>_xll.qlSimpleQuote(Currency&amp;$C11&amp;$D11&amp;$B11&amp;QuoteSuffix,,RateTickValue,Permanent,Trigger,ObjectOverwrite)</f>
        <v>EURAB3E6Y_Quote#0022</v>
      </c>
      <c r="G11" s="38" t="str">
        <f>_xll.ohRangeRetrieveError(F11)</f>
        <v/>
      </c>
      <c r="H11" s="57"/>
    </row>
    <row r="12" spans="1:12" x14ac:dyDescent="0.2">
      <c r="A12" s="136"/>
      <c r="B12" s="206" t="s">
        <v>110</v>
      </c>
      <c r="C12" s="87" t="str">
        <v>AB</v>
      </c>
      <c r="D12" s="87" t="str">
        <v>3E</v>
      </c>
      <c r="E12" s="85" t="str">
        <f>Currency&amp;$C12&amp;$D12&amp;$B12&amp;QuoteSuffix</f>
        <v>EURAB3E7Y_Quote</v>
      </c>
      <c r="F12" s="85" t="str">
        <f>_xll.qlSimpleQuote(Currency&amp;$C12&amp;$D12&amp;$B12&amp;QuoteSuffix,,RateTickValue,Permanent,Trigger,ObjectOverwrite)</f>
        <v>EURAB3E7Y_Quote#0022</v>
      </c>
      <c r="G12" s="38" t="str">
        <f>_xll.ohRangeRetrieveError(F12)</f>
        <v/>
      </c>
      <c r="H12" s="57"/>
    </row>
    <row r="13" spans="1:12" x14ac:dyDescent="0.2">
      <c r="A13" s="136"/>
      <c r="B13" s="206" t="s">
        <v>109</v>
      </c>
      <c r="C13" s="87" t="str">
        <v>AB</v>
      </c>
      <c r="D13" s="87" t="str">
        <v>3E</v>
      </c>
      <c r="E13" s="85" t="str">
        <f>Currency&amp;$C13&amp;$D13&amp;$B13&amp;QuoteSuffix</f>
        <v>EURAB3E8Y_Quote</v>
      </c>
      <c r="F13" s="85" t="str">
        <f>_xll.qlSimpleQuote(Currency&amp;$C13&amp;$D13&amp;$B13&amp;QuoteSuffix,,RateTickValue,Permanent,Trigger,ObjectOverwrite)</f>
        <v>EURAB3E8Y_Quote#0022</v>
      </c>
      <c r="G13" s="38" t="str">
        <f>_xll.ohRangeRetrieveError(F13)</f>
        <v/>
      </c>
      <c r="H13" s="57"/>
    </row>
    <row r="14" spans="1:12" x14ac:dyDescent="0.2">
      <c r="A14" s="136"/>
      <c r="B14" s="206" t="s">
        <v>108</v>
      </c>
      <c r="C14" s="87" t="str">
        <v>AB</v>
      </c>
      <c r="D14" s="87" t="str">
        <v>3E</v>
      </c>
      <c r="E14" s="85" t="str">
        <f>Currency&amp;$C14&amp;$D14&amp;$B14&amp;QuoteSuffix</f>
        <v>EURAB3E9Y_Quote</v>
      </c>
      <c r="F14" s="85" t="str">
        <f>_xll.qlSimpleQuote(Currency&amp;$C14&amp;$D14&amp;$B14&amp;QuoteSuffix,,RateTickValue,Permanent,Trigger,ObjectOverwrite)</f>
        <v>EURAB3E9Y_Quote#0022</v>
      </c>
      <c r="G14" s="38" t="str">
        <f>_xll.ohRangeRetrieveError(F14)</f>
        <v/>
      </c>
      <c r="H14" s="57"/>
    </row>
    <row r="15" spans="1:12" x14ac:dyDescent="0.2">
      <c r="A15" s="136"/>
      <c r="B15" s="206" t="s">
        <v>107</v>
      </c>
      <c r="C15" s="87" t="str">
        <v>AB</v>
      </c>
      <c r="D15" s="87" t="str">
        <v>3E</v>
      </c>
      <c r="E15" s="85" t="str">
        <f>Currency&amp;$C15&amp;$D15&amp;$B15&amp;QuoteSuffix</f>
        <v>EURAB3E10Y_Quote</v>
      </c>
      <c r="F15" s="85" t="str">
        <f>_xll.qlSimpleQuote(Currency&amp;$C15&amp;$D15&amp;$B15&amp;QuoteSuffix,,RateTickValue,Permanent,Trigger,ObjectOverwrite)</f>
        <v>EURAB3E10Y_Quote#0022</v>
      </c>
      <c r="G15" s="38" t="str">
        <f>_xll.ohRangeRetrieveError(F15)</f>
        <v/>
      </c>
      <c r="H15" s="57"/>
    </row>
    <row r="16" spans="1:12" x14ac:dyDescent="0.2">
      <c r="A16" s="136"/>
      <c r="B16" s="206" t="s">
        <v>106</v>
      </c>
      <c r="C16" s="87" t="str">
        <v>AB</v>
      </c>
      <c r="D16" s="87" t="str">
        <v>3E</v>
      </c>
      <c r="E16" s="85" t="str">
        <f>Currency&amp;$C16&amp;$D16&amp;$B16&amp;QuoteSuffix</f>
        <v>EURAB3E11Y_Quote</v>
      </c>
      <c r="F16" s="85" t="str">
        <f>_xll.qlSimpleQuote(Currency&amp;$C16&amp;$D16&amp;$B16&amp;QuoteSuffix,,RateTickValue,Permanent,Trigger,ObjectOverwrite)</f>
        <v>EURAB3E11Y_Quote#0022</v>
      </c>
      <c r="G16" s="38" t="str">
        <f>_xll.ohRangeRetrieveError(F16)</f>
        <v/>
      </c>
      <c r="H16" s="57"/>
    </row>
    <row r="17" spans="1:8" x14ac:dyDescent="0.2">
      <c r="A17" s="136"/>
      <c r="B17" s="206" t="s">
        <v>105</v>
      </c>
      <c r="C17" s="87" t="str">
        <v>AB</v>
      </c>
      <c r="D17" s="87" t="str">
        <v>3E</v>
      </c>
      <c r="E17" s="85" t="str">
        <f>Currency&amp;$C17&amp;$D17&amp;$B17&amp;QuoteSuffix</f>
        <v>EURAB3E12Y_Quote</v>
      </c>
      <c r="F17" s="85" t="str">
        <f>_xll.qlSimpleQuote(Currency&amp;$C17&amp;$D17&amp;$B17&amp;QuoteSuffix,,RateTickValue,Permanent,Trigger,ObjectOverwrite)</f>
        <v>EURAB3E12Y_Quote#0022</v>
      </c>
      <c r="G17" s="38" t="str">
        <f>_xll.ohRangeRetrieveError(F17)</f>
        <v/>
      </c>
      <c r="H17" s="57"/>
    </row>
    <row r="18" spans="1:8" x14ac:dyDescent="0.2">
      <c r="A18" s="136"/>
      <c r="B18" s="206" t="s">
        <v>104</v>
      </c>
      <c r="C18" s="87" t="str">
        <v>AB</v>
      </c>
      <c r="D18" s="87" t="str">
        <v>3E</v>
      </c>
      <c r="E18" s="85" t="str">
        <f>Currency&amp;$C18&amp;$D18&amp;$B18&amp;QuoteSuffix</f>
        <v>EURAB3E13Y_Quote</v>
      </c>
      <c r="F18" s="85" t="str">
        <f>_xll.qlSimpleQuote(Currency&amp;$C18&amp;$D18&amp;$B18&amp;QuoteSuffix,,RateTickValue,Permanent,Trigger,ObjectOverwrite)</f>
        <v>EURAB3E13Y_Quote#0022</v>
      </c>
      <c r="G18" s="38" t="str">
        <f>_xll.ohRangeRetrieveError(F18)</f>
        <v/>
      </c>
      <c r="H18" s="57"/>
    </row>
    <row r="19" spans="1:8" x14ac:dyDescent="0.2">
      <c r="A19" s="136"/>
      <c r="B19" s="206" t="s">
        <v>103</v>
      </c>
      <c r="C19" s="87" t="str">
        <v>AB</v>
      </c>
      <c r="D19" s="87" t="str">
        <v>3E</v>
      </c>
      <c r="E19" s="85" t="str">
        <f>Currency&amp;$C19&amp;$D19&amp;$B19&amp;QuoteSuffix</f>
        <v>EURAB3E14Y_Quote</v>
      </c>
      <c r="F19" s="85" t="str">
        <f>_xll.qlSimpleQuote(Currency&amp;$C19&amp;$D19&amp;$B19&amp;QuoteSuffix,,RateTickValue,Permanent,Trigger,ObjectOverwrite)</f>
        <v>EURAB3E14Y_Quote#0022</v>
      </c>
      <c r="G19" s="38" t="str">
        <f>_xll.ohRangeRetrieveError(F19)</f>
        <v/>
      </c>
      <c r="H19" s="57"/>
    </row>
    <row r="20" spans="1:8" x14ac:dyDescent="0.2">
      <c r="A20" s="136"/>
      <c r="B20" s="206" t="s">
        <v>102</v>
      </c>
      <c r="C20" s="87" t="str">
        <v>AB</v>
      </c>
      <c r="D20" s="87" t="str">
        <v>3E</v>
      </c>
      <c r="E20" s="85" t="str">
        <f>Currency&amp;$C20&amp;$D20&amp;$B20&amp;QuoteSuffix</f>
        <v>EURAB3E15Y_Quote</v>
      </c>
      <c r="F20" s="85" t="str">
        <f>_xll.qlSimpleQuote(Currency&amp;$C20&amp;$D20&amp;$B20&amp;QuoteSuffix,,RateTickValue,Permanent,Trigger,ObjectOverwrite)</f>
        <v>EURAB3E15Y_Quote#0022</v>
      </c>
      <c r="G20" s="38" t="str">
        <f>_xll.ohRangeRetrieveError(F20)</f>
        <v/>
      </c>
      <c r="H20" s="57"/>
    </row>
    <row r="21" spans="1:8" x14ac:dyDescent="0.2">
      <c r="A21" s="136"/>
      <c r="B21" s="206" t="s">
        <v>101</v>
      </c>
      <c r="C21" s="87" t="str">
        <v>AB</v>
      </c>
      <c r="D21" s="87" t="str">
        <v>3E</v>
      </c>
      <c r="E21" s="85" t="str">
        <f>Currency&amp;$C21&amp;$D21&amp;$B21&amp;QuoteSuffix</f>
        <v>EURAB3E16Y_Quote</v>
      </c>
      <c r="F21" s="85" t="str">
        <f>_xll.qlSimpleQuote(Currency&amp;$C21&amp;$D21&amp;$B21&amp;QuoteSuffix,,RateTickValue,Permanent,Trigger,ObjectOverwrite)</f>
        <v>EURAB3E16Y_Quote#0022</v>
      </c>
      <c r="G21" s="38" t="str">
        <f>_xll.ohRangeRetrieveError(F21)</f>
        <v/>
      </c>
      <c r="H21" s="57"/>
    </row>
    <row r="22" spans="1:8" x14ac:dyDescent="0.2">
      <c r="A22" s="136"/>
      <c r="B22" s="206" t="s">
        <v>100</v>
      </c>
      <c r="C22" s="87" t="str">
        <v>AB</v>
      </c>
      <c r="D22" s="87" t="str">
        <v>3E</v>
      </c>
      <c r="E22" s="85" t="str">
        <f>Currency&amp;$C22&amp;$D22&amp;$B22&amp;QuoteSuffix</f>
        <v>EURAB3E17Y_Quote</v>
      </c>
      <c r="F22" s="85" t="str">
        <f>_xll.qlSimpleQuote(Currency&amp;$C22&amp;$D22&amp;$B22&amp;QuoteSuffix,,RateTickValue,Permanent,Trigger,ObjectOverwrite)</f>
        <v>EURAB3E17Y_Quote#0022</v>
      </c>
      <c r="G22" s="38" t="str">
        <f>_xll.ohRangeRetrieveError(F22)</f>
        <v/>
      </c>
      <c r="H22" s="57"/>
    </row>
    <row r="23" spans="1:8" x14ac:dyDescent="0.2">
      <c r="A23" s="136"/>
      <c r="B23" s="206" t="s">
        <v>99</v>
      </c>
      <c r="C23" s="87" t="str">
        <v>AB</v>
      </c>
      <c r="D23" s="87" t="str">
        <v>3E</v>
      </c>
      <c r="E23" s="85" t="str">
        <f>Currency&amp;$C23&amp;$D23&amp;$B23&amp;QuoteSuffix</f>
        <v>EURAB3E18Y_Quote</v>
      </c>
      <c r="F23" s="85" t="str">
        <f>_xll.qlSimpleQuote(Currency&amp;$C23&amp;$D23&amp;$B23&amp;QuoteSuffix,,RateTickValue,Permanent,Trigger,ObjectOverwrite)</f>
        <v>EURAB3E18Y_Quote#0022</v>
      </c>
      <c r="G23" s="38" t="str">
        <f>_xll.ohRangeRetrieveError(F23)</f>
        <v/>
      </c>
      <c r="H23" s="57"/>
    </row>
    <row r="24" spans="1:8" x14ac:dyDescent="0.2">
      <c r="A24" s="136"/>
      <c r="B24" s="206" t="s">
        <v>98</v>
      </c>
      <c r="C24" s="87" t="str">
        <v>AB</v>
      </c>
      <c r="D24" s="87" t="str">
        <v>3E</v>
      </c>
      <c r="E24" s="85" t="str">
        <f>Currency&amp;$C24&amp;$D24&amp;$B24&amp;QuoteSuffix</f>
        <v>EURAB3E19Y_Quote</v>
      </c>
      <c r="F24" s="85" t="str">
        <f>_xll.qlSimpleQuote(Currency&amp;$C24&amp;$D24&amp;$B24&amp;QuoteSuffix,,RateTickValue,Permanent,Trigger,ObjectOverwrite)</f>
        <v>EURAB3E19Y_Quote#0022</v>
      </c>
      <c r="G24" s="38" t="str">
        <f>_xll.ohRangeRetrieveError(F24)</f>
        <v/>
      </c>
      <c r="H24" s="57"/>
    </row>
    <row r="25" spans="1:8" x14ac:dyDescent="0.2">
      <c r="A25" s="136"/>
      <c r="B25" s="206" t="s">
        <v>97</v>
      </c>
      <c r="C25" s="87" t="str">
        <v>AB</v>
      </c>
      <c r="D25" s="87" t="str">
        <v>3E</v>
      </c>
      <c r="E25" s="85" t="str">
        <f>Currency&amp;$C25&amp;$D25&amp;$B25&amp;QuoteSuffix</f>
        <v>EURAB3E20Y_Quote</v>
      </c>
      <c r="F25" s="85" t="str">
        <f>_xll.qlSimpleQuote(Currency&amp;$C25&amp;$D25&amp;$B25&amp;QuoteSuffix,,RateTickValue,Permanent,Trigger,ObjectOverwrite)</f>
        <v>EURAB3E20Y_Quote#0022</v>
      </c>
      <c r="G25" s="38" t="str">
        <f>_xll.ohRangeRetrieveError(F25)</f>
        <v/>
      </c>
      <c r="H25" s="57"/>
    </row>
    <row r="26" spans="1:8" x14ac:dyDescent="0.2">
      <c r="A26" s="136"/>
      <c r="B26" s="206" t="s">
        <v>96</v>
      </c>
      <c r="C26" s="87" t="str">
        <v>AB</v>
      </c>
      <c r="D26" s="87" t="str">
        <v>3E</v>
      </c>
      <c r="E26" s="85" t="str">
        <f>Currency&amp;$C26&amp;$D26&amp;$B26&amp;QuoteSuffix</f>
        <v>EURAB3E21Y_Quote</v>
      </c>
      <c r="F26" s="85" t="str">
        <f>_xll.qlSimpleQuote(Currency&amp;$C26&amp;$D26&amp;$B26&amp;QuoteSuffix,,RateTickValue,Permanent,Trigger,ObjectOverwrite)</f>
        <v>EURAB3E21Y_Quote#0022</v>
      </c>
      <c r="G26" s="38" t="str">
        <f>_xll.ohRangeRetrieveError(F26)</f>
        <v/>
      </c>
      <c r="H26" s="57"/>
    </row>
    <row r="27" spans="1:8" x14ac:dyDescent="0.2">
      <c r="A27" s="136"/>
      <c r="B27" s="206" t="s">
        <v>95</v>
      </c>
      <c r="C27" s="87" t="str">
        <v>AB</v>
      </c>
      <c r="D27" s="87" t="str">
        <v>3E</v>
      </c>
      <c r="E27" s="85" t="str">
        <f>Currency&amp;$C27&amp;$D27&amp;$B27&amp;QuoteSuffix</f>
        <v>EURAB3E22Y_Quote</v>
      </c>
      <c r="F27" s="85" t="str">
        <f>_xll.qlSimpleQuote(Currency&amp;$C27&amp;$D27&amp;$B27&amp;QuoteSuffix,,RateTickValue,Permanent,Trigger,ObjectOverwrite)</f>
        <v>EURAB3E22Y_Quote#0022</v>
      </c>
      <c r="G27" s="38" t="str">
        <f>_xll.ohRangeRetrieveError(F27)</f>
        <v/>
      </c>
      <c r="H27" s="57"/>
    </row>
    <row r="28" spans="1:8" x14ac:dyDescent="0.2">
      <c r="A28" s="136"/>
      <c r="B28" s="206" t="s">
        <v>94</v>
      </c>
      <c r="C28" s="87" t="str">
        <v>AB</v>
      </c>
      <c r="D28" s="87" t="str">
        <v>3E</v>
      </c>
      <c r="E28" s="85" t="str">
        <f>Currency&amp;$C28&amp;$D28&amp;$B28&amp;QuoteSuffix</f>
        <v>EURAB3E23Y_Quote</v>
      </c>
      <c r="F28" s="85" t="str">
        <f>_xll.qlSimpleQuote(Currency&amp;$C28&amp;$D28&amp;$B28&amp;QuoteSuffix,,RateTickValue,Permanent,Trigger,ObjectOverwrite)</f>
        <v>EURAB3E23Y_Quote#0022</v>
      </c>
      <c r="G28" s="38" t="str">
        <f>_xll.ohRangeRetrieveError(F28)</f>
        <v/>
      </c>
      <c r="H28" s="57"/>
    </row>
    <row r="29" spans="1:8" x14ac:dyDescent="0.2">
      <c r="A29" s="136"/>
      <c r="B29" s="206" t="s">
        <v>93</v>
      </c>
      <c r="C29" s="87" t="str">
        <v>AB</v>
      </c>
      <c r="D29" s="87" t="str">
        <v>3E</v>
      </c>
      <c r="E29" s="85" t="str">
        <f>Currency&amp;$C29&amp;$D29&amp;$B29&amp;QuoteSuffix</f>
        <v>EURAB3E24Y_Quote</v>
      </c>
      <c r="F29" s="85" t="str">
        <f>_xll.qlSimpleQuote(Currency&amp;$C29&amp;$D29&amp;$B29&amp;QuoteSuffix,,RateTickValue,Permanent,Trigger,ObjectOverwrite)</f>
        <v>EURAB3E24Y_Quote#0022</v>
      </c>
      <c r="G29" s="38" t="str">
        <f>_xll.ohRangeRetrieveError(F29)</f>
        <v/>
      </c>
      <c r="H29" s="57"/>
    </row>
    <row r="30" spans="1:8" x14ac:dyDescent="0.2">
      <c r="A30" s="136"/>
      <c r="B30" s="206" t="s">
        <v>92</v>
      </c>
      <c r="C30" s="87" t="str">
        <v>AB</v>
      </c>
      <c r="D30" s="87" t="str">
        <v>3E</v>
      </c>
      <c r="E30" s="85" t="str">
        <f>Currency&amp;$C30&amp;$D30&amp;$B30&amp;QuoteSuffix</f>
        <v>EURAB3E25Y_Quote</v>
      </c>
      <c r="F30" s="85" t="str">
        <f>_xll.qlSimpleQuote(Currency&amp;$C30&amp;$D30&amp;$B30&amp;QuoteSuffix,,RateTickValue,Permanent,Trigger,ObjectOverwrite)</f>
        <v>EURAB3E25Y_Quote#0022</v>
      </c>
      <c r="G30" s="38" t="str">
        <f>_xll.ohRangeRetrieveError(F30)</f>
        <v/>
      </c>
      <c r="H30" s="57"/>
    </row>
    <row r="31" spans="1:8" x14ac:dyDescent="0.2">
      <c r="A31" s="136"/>
      <c r="B31" s="206" t="s">
        <v>91</v>
      </c>
      <c r="C31" s="87" t="str">
        <v>AB</v>
      </c>
      <c r="D31" s="87" t="str">
        <v>3E</v>
      </c>
      <c r="E31" s="85" t="str">
        <f>Currency&amp;$C31&amp;$D31&amp;$B31&amp;QuoteSuffix</f>
        <v>EURAB3E26Y_Quote</v>
      </c>
      <c r="F31" s="85" t="str">
        <f>_xll.qlSimpleQuote(Currency&amp;$C31&amp;$D31&amp;$B31&amp;QuoteSuffix,,RateTickValue,Permanent,Trigger,ObjectOverwrite)</f>
        <v>EURAB3E26Y_Quote#0022</v>
      </c>
      <c r="G31" s="38" t="str">
        <f>_xll.ohRangeRetrieveError(F31)</f>
        <v/>
      </c>
      <c r="H31" s="57"/>
    </row>
    <row r="32" spans="1:8" x14ac:dyDescent="0.2">
      <c r="A32" s="136"/>
      <c r="B32" s="206" t="s">
        <v>90</v>
      </c>
      <c r="C32" s="87" t="str">
        <v>AB</v>
      </c>
      <c r="D32" s="87" t="str">
        <v>3E</v>
      </c>
      <c r="E32" s="85" t="str">
        <f>Currency&amp;$C32&amp;$D32&amp;$B32&amp;QuoteSuffix</f>
        <v>EURAB3E27Y_Quote</v>
      </c>
      <c r="F32" s="85" t="str">
        <f>_xll.qlSimpleQuote(Currency&amp;$C32&amp;$D32&amp;$B32&amp;QuoteSuffix,,RateTickValue,Permanent,Trigger,ObjectOverwrite)</f>
        <v>EURAB3E27Y_Quote#0022</v>
      </c>
      <c r="G32" s="38" t="str">
        <f>_xll.ohRangeRetrieveError(F32)</f>
        <v/>
      </c>
      <c r="H32" s="57"/>
    </row>
    <row r="33" spans="1:8" x14ac:dyDescent="0.2">
      <c r="A33" s="136"/>
      <c r="B33" s="206" t="s">
        <v>89</v>
      </c>
      <c r="C33" s="87" t="str">
        <v>AB</v>
      </c>
      <c r="D33" s="87" t="str">
        <v>3E</v>
      </c>
      <c r="E33" s="85" t="str">
        <f>Currency&amp;$C33&amp;$D33&amp;$B33&amp;QuoteSuffix</f>
        <v>EURAB3E28Y_Quote</v>
      </c>
      <c r="F33" s="85" t="str">
        <f>_xll.qlSimpleQuote(Currency&amp;$C33&amp;$D33&amp;$B33&amp;QuoteSuffix,,RateTickValue,Permanent,Trigger,ObjectOverwrite)</f>
        <v>EURAB3E28Y_Quote#0022</v>
      </c>
      <c r="G33" s="38" t="str">
        <f>_xll.ohRangeRetrieveError(F33)</f>
        <v/>
      </c>
      <c r="H33" s="57"/>
    </row>
    <row r="34" spans="1:8" x14ac:dyDescent="0.2">
      <c r="A34" s="136"/>
      <c r="B34" s="206" t="s">
        <v>88</v>
      </c>
      <c r="C34" s="87" t="str">
        <v>AB</v>
      </c>
      <c r="D34" s="87" t="str">
        <v>3E</v>
      </c>
      <c r="E34" s="85" t="str">
        <f>Currency&amp;$C34&amp;$D34&amp;$B34&amp;QuoteSuffix</f>
        <v>EURAB3E29Y_Quote</v>
      </c>
      <c r="F34" s="85" t="str">
        <f>_xll.qlSimpleQuote(Currency&amp;$C34&amp;$D34&amp;$B34&amp;QuoteSuffix,,RateTickValue,Permanent,Trigger,ObjectOverwrite)</f>
        <v>EURAB3E29Y_Quote#0022</v>
      </c>
      <c r="G34" s="38" t="str">
        <f>_xll.ohRangeRetrieveError(F34)</f>
        <v/>
      </c>
      <c r="H34" s="57"/>
    </row>
    <row r="35" spans="1:8" x14ac:dyDescent="0.2">
      <c r="A35" s="136"/>
      <c r="B35" s="206" t="s">
        <v>87</v>
      </c>
      <c r="C35" s="87" t="str">
        <v>AB</v>
      </c>
      <c r="D35" s="87" t="str">
        <v>3E</v>
      </c>
      <c r="E35" s="85" t="str">
        <f>Currency&amp;$C35&amp;$D35&amp;$B35&amp;QuoteSuffix</f>
        <v>EURAB3E30Y_Quote</v>
      </c>
      <c r="F35" s="85" t="str">
        <f>_xll.qlSimpleQuote(Currency&amp;$C35&amp;$D35&amp;$B35&amp;QuoteSuffix,,RateTickValue,Permanent,Trigger,ObjectOverwrite)</f>
        <v>EURAB3E30Y_Quote#0022</v>
      </c>
      <c r="G35" s="38" t="str">
        <f>_xll.ohRangeRetrieveError(F35)</f>
        <v/>
      </c>
      <c r="H35" s="57"/>
    </row>
    <row r="36" spans="1:8" x14ac:dyDescent="0.2">
      <c r="A36" s="136"/>
      <c r="B36" s="206" t="s">
        <v>82</v>
      </c>
      <c r="C36" s="87" t="str">
        <v>AB</v>
      </c>
      <c r="D36" s="87" t="str">
        <v>3E</v>
      </c>
      <c r="E36" s="85" t="str">
        <f>Currency&amp;$C36&amp;$D36&amp;$B36&amp;QuoteSuffix</f>
        <v>EURAB3E35Y_Quote</v>
      </c>
      <c r="F36" s="85" t="str">
        <f>_xll.qlSimpleQuote(Currency&amp;$C36&amp;$D36&amp;$B36&amp;QuoteSuffix,,RateTickValue,Permanent,Trigger,ObjectOverwrite)</f>
        <v>EURAB3E35Y_Quote#0022</v>
      </c>
      <c r="G36" s="38" t="str">
        <f>_xll.ohRangeRetrieveError(F36)</f>
        <v/>
      </c>
      <c r="H36" s="57"/>
    </row>
    <row r="37" spans="1:8" x14ac:dyDescent="0.2">
      <c r="A37" s="136"/>
      <c r="B37" s="206" t="s">
        <v>77</v>
      </c>
      <c r="C37" s="87" t="str">
        <v>AB</v>
      </c>
      <c r="D37" s="87" t="str">
        <v>3E</v>
      </c>
      <c r="E37" s="85" t="str">
        <f>Currency&amp;$C37&amp;$D37&amp;$B37&amp;QuoteSuffix</f>
        <v>EURAB3E40Y_Quote</v>
      </c>
      <c r="F37" s="85" t="str">
        <f>_xll.qlSimpleQuote(Currency&amp;$C37&amp;$D37&amp;$B37&amp;QuoteSuffix,,RateTickValue,Permanent,Trigger,ObjectOverwrite)</f>
        <v>EURAB3E40Y_Quote#0022</v>
      </c>
      <c r="G37" s="38" t="str">
        <f>_xll.ohRangeRetrieveError(F37)</f>
        <v/>
      </c>
      <c r="H37" s="57"/>
    </row>
    <row r="38" spans="1:8" x14ac:dyDescent="0.2">
      <c r="A38" s="136"/>
      <c r="B38" s="206" t="s">
        <v>67</v>
      </c>
      <c r="C38" s="87" t="str">
        <v>AB</v>
      </c>
      <c r="D38" s="87" t="str">
        <v>3E</v>
      </c>
      <c r="E38" s="85" t="str">
        <f>Currency&amp;$C38&amp;$D38&amp;$B38&amp;QuoteSuffix</f>
        <v>EURAB3E50Y_Quote</v>
      </c>
      <c r="F38" s="85" t="str">
        <f>_xll.qlSimpleQuote(Currency&amp;$C38&amp;$D38&amp;$B38&amp;QuoteSuffix,,RateTickValue,Permanent,Trigger,ObjectOverwrite)</f>
        <v>EURAB3E50Y_Quote#0022</v>
      </c>
      <c r="G38" s="38" t="str">
        <f>_xll.ohRangeRetrieveError(F38)</f>
        <v/>
      </c>
      <c r="H38" s="57"/>
    </row>
    <row r="39" spans="1:8" x14ac:dyDescent="0.2">
      <c r="A39" s="136"/>
      <c r="B39" s="206" t="s">
        <v>57</v>
      </c>
      <c r="C39" s="87" t="str">
        <v>AB</v>
      </c>
      <c r="D39" s="87" t="str">
        <v>3E</v>
      </c>
      <c r="E39" s="85" t="str">
        <f>Currency&amp;$C39&amp;$D39&amp;$B39&amp;QuoteSuffix</f>
        <v>EURAB3E60Y_Quote</v>
      </c>
      <c r="F39" s="85" t="str">
        <f>_xll.qlSimpleQuote(Currency&amp;$C39&amp;$D39&amp;$B39&amp;QuoteSuffix,,RateTickValue,Permanent,Trigger,ObjectOverwrite)</f>
        <v>EURAB3E60Y_Quote#0022</v>
      </c>
      <c r="G39" s="38" t="str">
        <f>_xll.ohRangeRetrieveError(F39)</f>
        <v/>
      </c>
      <c r="H39" s="57"/>
    </row>
    <row r="40" spans="1:8" ht="13.5" thickBot="1" x14ac:dyDescent="0.25">
      <c r="A40" s="56"/>
      <c r="B40" s="55"/>
      <c r="C40" s="55"/>
      <c r="D40" s="55"/>
      <c r="E40" s="55"/>
      <c r="F40" s="130"/>
      <c r="G40" s="130"/>
      <c r="H40" s="54"/>
    </row>
  </sheetData>
  <pageMargins left="0.75" right="0.75" top="1" bottom="1" header="0.5" footer="0.5"/>
  <pageSetup paperSize="9" orientation="portrait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0"/>
  <sheetViews>
    <sheetView workbookViewId="0"/>
  </sheetViews>
  <sheetFormatPr defaultRowHeight="11.25" x14ac:dyDescent="0.2"/>
  <cols>
    <col min="1" max="1" width="3.7109375" style="77" customWidth="1"/>
    <col min="2" max="2" width="6.5703125" style="21" bestFit="1" customWidth="1"/>
    <col min="3" max="3" width="3.140625" style="77" bestFit="1" customWidth="1"/>
    <col min="4" max="4" width="2.7109375" style="77" bestFit="1" customWidth="1"/>
    <col min="5" max="5" width="18" style="77" bestFit="1" customWidth="1"/>
    <col min="6" max="6" width="20.140625" style="78" bestFit="1" customWidth="1"/>
    <col min="7" max="7" width="38.28515625" style="77" customWidth="1"/>
    <col min="8" max="8" width="4.42578125" style="77" customWidth="1"/>
    <col min="9" max="9" width="2.42578125" style="77" customWidth="1"/>
    <col min="10" max="10" width="8.5703125" style="77" bestFit="1" customWidth="1"/>
    <col min="11" max="11" width="3.28515625" style="77" bestFit="1" customWidth="1"/>
    <col min="12" max="12" width="9.5703125" style="77" bestFit="1" customWidth="1"/>
    <col min="13" max="16384" width="9.140625" style="77"/>
  </cols>
  <sheetData>
    <row r="1" spans="1:12" ht="12" thickBot="1" x14ac:dyDescent="0.25">
      <c r="A1" s="230" t="s">
        <v>207</v>
      </c>
      <c r="B1" s="213"/>
      <c r="C1" s="213"/>
      <c r="D1" s="213"/>
      <c r="E1" s="168"/>
      <c r="F1" s="229"/>
      <c r="G1" s="168"/>
      <c r="H1" s="210"/>
    </row>
    <row r="2" spans="1:12" x14ac:dyDescent="0.2">
      <c r="A2" s="136"/>
      <c r="B2" s="102" t="s">
        <v>141</v>
      </c>
      <c r="C2" s="102"/>
      <c r="D2" s="102"/>
      <c r="E2" s="101" t="str">
        <f>Currency&amp;"_010_Sw"&amp;$C$3&amp;$D$3&amp;".xml"</f>
        <v>EUR_010_SwAB6E.xml</v>
      </c>
      <c r="F2" s="100">
        <f ca="1">IF(Serialize,_xll.ohObjectSave(F3:F39,SerializationPath&amp;E2,FileOverwrite,Serialize),"---")</f>
        <v>37</v>
      </c>
      <c r="G2" s="84" t="str">
        <f ca="1">_xll.ohRangeRetrieveError(F2)</f>
        <v/>
      </c>
      <c r="H2" s="57"/>
      <c r="J2" s="222" t="s">
        <v>206</v>
      </c>
      <c r="K2" s="221" t="s">
        <v>204</v>
      </c>
      <c r="L2" s="220" t="s">
        <v>203</v>
      </c>
    </row>
    <row r="3" spans="1:12" x14ac:dyDescent="0.2">
      <c r="A3" s="136"/>
      <c r="B3" s="225" t="s">
        <v>34</v>
      </c>
      <c r="C3" s="87" t="str">
        <f t="array" ref="C3:C39">VLOOKUP(Currency,SwapSecondarySetConventions,2)</f>
        <v>AB</v>
      </c>
      <c r="D3" s="87" t="str">
        <f t="array" ref="D3:D39">VLOOKUP(Currency,SwapSecondarySetConventions,3)</f>
        <v>6E</v>
      </c>
      <c r="E3" s="85" t="str">
        <f>Currency&amp;$C3&amp;$D3&amp;$B3&amp;QuoteSuffix</f>
        <v>EURAB6E1Y_Quote</v>
      </c>
      <c r="F3" s="85" t="str">
        <f>_xll.qlSimpleQuote(Currency&amp;$C3&amp;$D3&amp;$B3&amp;QuoteSuffix,,RateTickValue,Permanent,Trigger,ObjectOverwrite)</f>
        <v>EURAB6E1Y_Quote#0021</v>
      </c>
      <c r="G3" s="84" t="str">
        <f>_xll.ohRangeRetrieveError(F3)</f>
        <v/>
      </c>
      <c r="H3" s="57"/>
      <c r="J3" s="219" t="s">
        <v>137</v>
      </c>
      <c r="K3" s="227" t="s">
        <v>202</v>
      </c>
      <c r="L3" s="226" t="s">
        <v>132</v>
      </c>
    </row>
    <row r="4" spans="1:12" x14ac:dyDescent="0.2">
      <c r="A4" s="136"/>
      <c r="B4" s="228" t="s">
        <v>140</v>
      </c>
      <c r="C4" s="87" t="str">
        <v>AB</v>
      </c>
      <c r="D4" s="87" t="str">
        <v>6E</v>
      </c>
      <c r="E4" s="85" t="str">
        <f>Currency&amp;$C4&amp;$D4&amp;$B4&amp;QuoteSuffix</f>
        <v>EURAB6E15M_Quote</v>
      </c>
      <c r="F4" s="85" t="str">
        <f>_xll.qlSimpleQuote(Currency&amp;$C4&amp;$D4&amp;$B4&amp;QuoteSuffix,,RateTickValue,Permanent,Trigger,ObjectOverwrite)</f>
        <v>EURAB6E15M_Quote#0021</v>
      </c>
      <c r="G4" s="84" t="str">
        <f>_xll.ohRangeRetrieveError(F4)</f>
        <v/>
      </c>
      <c r="H4" s="57"/>
      <c r="J4" s="219" t="s">
        <v>123</v>
      </c>
      <c r="K4" s="94" t="s">
        <v>202</v>
      </c>
      <c r="L4" s="93" t="s">
        <v>135</v>
      </c>
    </row>
    <row r="5" spans="1:12" x14ac:dyDescent="0.2">
      <c r="A5" s="136"/>
      <c r="B5" s="228" t="s">
        <v>139</v>
      </c>
      <c r="C5" s="87" t="str">
        <v>AB</v>
      </c>
      <c r="D5" s="87" t="str">
        <v>6E</v>
      </c>
      <c r="E5" s="85" t="str">
        <f>Currency&amp;$C5&amp;$D5&amp;$B5&amp;QuoteSuffix</f>
        <v>EURAB6E18M_Quote</v>
      </c>
      <c r="F5" s="85" t="str">
        <f>_xll.qlSimpleQuote(Currency&amp;$C5&amp;$D5&amp;$B5&amp;QuoteSuffix,,RateTickValue,Permanent,Trigger,ObjectOverwrite)</f>
        <v>EURAB6E18M_Quote#0021</v>
      </c>
      <c r="G5" s="84" t="str">
        <f>_xll.ohRangeRetrieveError(F5)</f>
        <v/>
      </c>
      <c r="H5" s="57"/>
      <c r="J5" s="219" t="s">
        <v>134</v>
      </c>
      <c r="K5" s="94" t="s">
        <v>201</v>
      </c>
      <c r="L5" s="93" t="s">
        <v>132</v>
      </c>
    </row>
    <row r="6" spans="1:12" x14ac:dyDescent="0.2">
      <c r="A6" s="136"/>
      <c r="B6" s="228" t="s">
        <v>138</v>
      </c>
      <c r="C6" s="87" t="str">
        <v>AB</v>
      </c>
      <c r="D6" s="87" t="str">
        <v>6E</v>
      </c>
      <c r="E6" s="85" t="str">
        <f>Currency&amp;$C6&amp;$D6&amp;$B6&amp;QuoteSuffix</f>
        <v>EURAB6E21M_Quote</v>
      </c>
      <c r="F6" s="85" t="str">
        <f>_xll.qlSimpleQuote(Currency&amp;$C6&amp;$D6&amp;$B6&amp;QuoteSuffix,,RateTickValue,Permanent,Trigger,ObjectOverwrite)</f>
        <v>EURAB6E21M_Quote#0021</v>
      </c>
      <c r="G6" s="84" t="str">
        <f>_xll.ohRangeRetrieveError(F6)</f>
        <v/>
      </c>
      <c r="H6" s="57"/>
      <c r="J6" s="219" t="s">
        <v>133</v>
      </c>
      <c r="K6" s="227" t="s">
        <v>201</v>
      </c>
      <c r="L6" s="226" t="s">
        <v>132</v>
      </c>
    </row>
    <row r="7" spans="1:12" ht="12" thickBot="1" x14ac:dyDescent="0.25">
      <c r="A7" s="136"/>
      <c r="B7" s="225" t="s">
        <v>115</v>
      </c>
      <c r="C7" s="87" t="str">
        <v>AB</v>
      </c>
      <c r="D7" s="87" t="str">
        <v>6E</v>
      </c>
      <c r="E7" s="85" t="str">
        <f>Currency&amp;$C7&amp;$D7&amp;$B7&amp;QuoteSuffix</f>
        <v>EURAB6E2Y_Quote</v>
      </c>
      <c r="F7" s="85" t="str">
        <f>_xll.qlSimpleQuote(Currency&amp;$C7&amp;$D7&amp;$B7&amp;QuoteSuffix,,RateTickValue,Permanent,Trigger,ObjectOverwrite)</f>
        <v>EURAB6E2Y_Quote#0021</v>
      </c>
      <c r="G7" s="84" t="str">
        <f>_xll.ohRangeRetrieveError(F7)</f>
        <v/>
      </c>
      <c r="H7" s="57"/>
      <c r="J7" s="218" t="s">
        <v>131</v>
      </c>
      <c r="K7" s="91" t="s">
        <v>200</v>
      </c>
      <c r="L7" s="90" t="s">
        <v>132</v>
      </c>
    </row>
    <row r="8" spans="1:12" x14ac:dyDescent="0.2">
      <c r="A8" s="136"/>
      <c r="B8" s="225" t="s">
        <v>114</v>
      </c>
      <c r="C8" s="87" t="str">
        <v>AB</v>
      </c>
      <c r="D8" s="87" t="str">
        <v>6E</v>
      </c>
      <c r="E8" s="85" t="str">
        <f>Currency&amp;$C8&amp;$D8&amp;$B8&amp;QuoteSuffix</f>
        <v>EURAB6E3Y_Quote</v>
      </c>
      <c r="F8" s="85" t="str">
        <f>_xll.qlSimpleQuote(Currency&amp;$C8&amp;$D8&amp;$B8&amp;QuoteSuffix,,RateTickValue,Permanent,Trigger,ObjectOverwrite)</f>
        <v>EURAB6E3Y_Quote#0021</v>
      </c>
      <c r="G8" s="84" t="str">
        <f>_xll.ohRangeRetrieveError(F8)</f>
        <v/>
      </c>
      <c r="H8" s="57"/>
    </row>
    <row r="9" spans="1:12" x14ac:dyDescent="0.2">
      <c r="A9" s="136"/>
      <c r="B9" s="225" t="s">
        <v>113</v>
      </c>
      <c r="C9" s="87" t="str">
        <v>AB</v>
      </c>
      <c r="D9" s="87" t="str">
        <v>6E</v>
      </c>
      <c r="E9" s="85" t="str">
        <f>Currency&amp;$C9&amp;$D9&amp;$B9&amp;QuoteSuffix</f>
        <v>EURAB6E4Y_Quote</v>
      </c>
      <c r="F9" s="85" t="str">
        <f>_xll.qlSimpleQuote(Currency&amp;$C9&amp;$D9&amp;$B9&amp;QuoteSuffix,,RateTickValue,Permanent,Trigger,ObjectOverwrite)</f>
        <v>EURAB6E4Y_Quote#0021</v>
      </c>
      <c r="G9" s="84" t="str">
        <f>_xll.ohRangeRetrieveError(F9)</f>
        <v/>
      </c>
      <c r="H9" s="57"/>
    </row>
    <row r="10" spans="1:12" x14ac:dyDescent="0.2">
      <c r="A10" s="136"/>
      <c r="B10" s="225" t="s">
        <v>112</v>
      </c>
      <c r="C10" s="87" t="str">
        <v>AB</v>
      </c>
      <c r="D10" s="87" t="str">
        <v>6E</v>
      </c>
      <c r="E10" s="85" t="str">
        <f>Currency&amp;$C10&amp;$D10&amp;$B10&amp;QuoteSuffix</f>
        <v>EURAB6E5Y_Quote</v>
      </c>
      <c r="F10" s="85" t="str">
        <f>_xll.qlSimpleQuote(Currency&amp;$C10&amp;$D10&amp;$B10&amp;QuoteSuffix,,RateTickValue,Permanent,Trigger,ObjectOverwrite)</f>
        <v>EURAB6E5Y_Quote#0021</v>
      </c>
      <c r="G10" s="84" t="str">
        <f>_xll.ohRangeRetrieveError(F10)</f>
        <v/>
      </c>
      <c r="H10" s="57"/>
    </row>
    <row r="11" spans="1:12" x14ac:dyDescent="0.2">
      <c r="A11" s="136"/>
      <c r="B11" s="225" t="s">
        <v>111</v>
      </c>
      <c r="C11" s="87" t="str">
        <v>AB</v>
      </c>
      <c r="D11" s="87" t="str">
        <v>6E</v>
      </c>
      <c r="E11" s="85" t="str">
        <f>Currency&amp;$C11&amp;$D11&amp;$B11&amp;QuoteSuffix</f>
        <v>EURAB6E6Y_Quote</v>
      </c>
      <c r="F11" s="85" t="str">
        <f>_xll.qlSimpleQuote(Currency&amp;$C11&amp;$D11&amp;$B11&amp;QuoteSuffix,,RateTickValue,Permanent,Trigger,ObjectOverwrite)</f>
        <v>EURAB6E6Y_Quote#0021</v>
      </c>
      <c r="G11" s="84" t="str">
        <f>_xll.ohRangeRetrieveError(F11)</f>
        <v/>
      </c>
      <c r="H11" s="57"/>
    </row>
    <row r="12" spans="1:12" x14ac:dyDescent="0.2">
      <c r="A12" s="136"/>
      <c r="B12" s="225" t="s">
        <v>110</v>
      </c>
      <c r="C12" s="87" t="str">
        <v>AB</v>
      </c>
      <c r="D12" s="87" t="str">
        <v>6E</v>
      </c>
      <c r="E12" s="85" t="str">
        <f>Currency&amp;$C12&amp;$D12&amp;$B12&amp;QuoteSuffix</f>
        <v>EURAB6E7Y_Quote</v>
      </c>
      <c r="F12" s="85" t="str">
        <f>_xll.qlSimpleQuote(Currency&amp;$C12&amp;$D12&amp;$B12&amp;QuoteSuffix,,RateTickValue,Permanent,Trigger,ObjectOverwrite)</f>
        <v>EURAB6E7Y_Quote#0021</v>
      </c>
      <c r="G12" s="84" t="str">
        <f>_xll.ohRangeRetrieveError(F12)</f>
        <v/>
      </c>
      <c r="H12" s="57"/>
    </row>
    <row r="13" spans="1:12" x14ac:dyDescent="0.2">
      <c r="A13" s="136"/>
      <c r="B13" s="225" t="s">
        <v>109</v>
      </c>
      <c r="C13" s="87" t="str">
        <v>AB</v>
      </c>
      <c r="D13" s="87" t="str">
        <v>6E</v>
      </c>
      <c r="E13" s="85" t="str">
        <f>Currency&amp;$C13&amp;$D13&amp;$B13&amp;QuoteSuffix</f>
        <v>EURAB6E8Y_Quote</v>
      </c>
      <c r="F13" s="85" t="str">
        <f>_xll.qlSimpleQuote(Currency&amp;$C13&amp;$D13&amp;$B13&amp;QuoteSuffix,,RateTickValue,Permanent,Trigger,ObjectOverwrite)</f>
        <v>EURAB6E8Y_Quote#0021</v>
      </c>
      <c r="G13" s="84" t="str">
        <f>_xll.ohRangeRetrieveError(F13)</f>
        <v/>
      </c>
      <c r="H13" s="57"/>
    </row>
    <row r="14" spans="1:12" x14ac:dyDescent="0.2">
      <c r="A14" s="136"/>
      <c r="B14" s="225" t="s">
        <v>108</v>
      </c>
      <c r="C14" s="87" t="str">
        <v>AB</v>
      </c>
      <c r="D14" s="87" t="str">
        <v>6E</v>
      </c>
      <c r="E14" s="85" t="str">
        <f>Currency&amp;$C14&amp;$D14&amp;$B14&amp;QuoteSuffix</f>
        <v>EURAB6E9Y_Quote</v>
      </c>
      <c r="F14" s="85" t="str">
        <f>_xll.qlSimpleQuote(Currency&amp;$C14&amp;$D14&amp;$B14&amp;QuoteSuffix,,RateTickValue,Permanent,Trigger,ObjectOverwrite)</f>
        <v>EURAB6E9Y_Quote#0021</v>
      </c>
      <c r="G14" s="84" t="str">
        <f>_xll.ohRangeRetrieveError(F14)</f>
        <v/>
      </c>
      <c r="H14" s="57"/>
    </row>
    <row r="15" spans="1:12" x14ac:dyDescent="0.2">
      <c r="A15" s="136"/>
      <c r="B15" s="225" t="s">
        <v>107</v>
      </c>
      <c r="C15" s="87" t="str">
        <v>AB</v>
      </c>
      <c r="D15" s="87" t="str">
        <v>6E</v>
      </c>
      <c r="E15" s="85" t="str">
        <f>Currency&amp;$C15&amp;$D15&amp;$B15&amp;QuoteSuffix</f>
        <v>EURAB6E10Y_Quote</v>
      </c>
      <c r="F15" s="85" t="str">
        <f>_xll.qlSimpleQuote(Currency&amp;$C15&amp;$D15&amp;$B15&amp;QuoteSuffix,,RateTickValue,Permanent,Trigger,ObjectOverwrite)</f>
        <v>EURAB6E10Y_Quote#0021</v>
      </c>
      <c r="G15" s="84" t="str">
        <f>_xll.ohRangeRetrieveError(F15)</f>
        <v/>
      </c>
      <c r="H15" s="57"/>
    </row>
    <row r="16" spans="1:12" x14ac:dyDescent="0.2">
      <c r="A16" s="136"/>
      <c r="B16" s="225" t="s">
        <v>106</v>
      </c>
      <c r="C16" s="87" t="str">
        <v>AB</v>
      </c>
      <c r="D16" s="87" t="str">
        <v>6E</v>
      </c>
      <c r="E16" s="85" t="str">
        <f>Currency&amp;$C16&amp;$D16&amp;$B16&amp;QuoteSuffix</f>
        <v>EURAB6E11Y_Quote</v>
      </c>
      <c r="F16" s="85" t="str">
        <f>_xll.qlSimpleQuote(Currency&amp;$C16&amp;$D16&amp;$B16&amp;QuoteSuffix,,RateTickValue,Permanent,Trigger,ObjectOverwrite)</f>
        <v>EURAB6E11Y_Quote#0021</v>
      </c>
      <c r="G16" s="84" t="str">
        <f>_xll.ohRangeRetrieveError(F16)</f>
        <v/>
      </c>
      <c r="H16" s="57"/>
    </row>
    <row r="17" spans="1:8" x14ac:dyDescent="0.2">
      <c r="A17" s="136"/>
      <c r="B17" s="225" t="s">
        <v>105</v>
      </c>
      <c r="C17" s="87" t="str">
        <v>AB</v>
      </c>
      <c r="D17" s="87" t="str">
        <v>6E</v>
      </c>
      <c r="E17" s="85" t="str">
        <f>Currency&amp;$C17&amp;$D17&amp;$B17&amp;QuoteSuffix</f>
        <v>EURAB6E12Y_Quote</v>
      </c>
      <c r="F17" s="85" t="str">
        <f>_xll.qlSimpleQuote(Currency&amp;$C17&amp;$D17&amp;$B17&amp;QuoteSuffix,,RateTickValue,Permanent,Trigger,ObjectOverwrite)</f>
        <v>EURAB6E12Y_Quote#0021</v>
      </c>
      <c r="G17" s="84" t="str">
        <f>_xll.ohRangeRetrieveError(F17)</f>
        <v/>
      </c>
      <c r="H17" s="57"/>
    </row>
    <row r="18" spans="1:8" x14ac:dyDescent="0.2">
      <c r="A18" s="136"/>
      <c r="B18" s="225" t="s">
        <v>104</v>
      </c>
      <c r="C18" s="87" t="str">
        <v>AB</v>
      </c>
      <c r="D18" s="87" t="str">
        <v>6E</v>
      </c>
      <c r="E18" s="85" t="str">
        <f>Currency&amp;$C18&amp;$D18&amp;$B18&amp;QuoteSuffix</f>
        <v>EURAB6E13Y_Quote</v>
      </c>
      <c r="F18" s="85" t="str">
        <f>_xll.qlSimpleQuote(Currency&amp;$C18&amp;$D18&amp;$B18&amp;QuoteSuffix,,RateTickValue,Permanent,Trigger,ObjectOverwrite)</f>
        <v>EURAB6E13Y_Quote#0021</v>
      </c>
      <c r="G18" s="84" t="str">
        <f>_xll.ohRangeRetrieveError(F18)</f>
        <v/>
      </c>
      <c r="H18" s="57"/>
    </row>
    <row r="19" spans="1:8" x14ac:dyDescent="0.2">
      <c r="A19" s="136"/>
      <c r="B19" s="225" t="s">
        <v>103</v>
      </c>
      <c r="C19" s="87" t="str">
        <v>AB</v>
      </c>
      <c r="D19" s="87" t="str">
        <v>6E</v>
      </c>
      <c r="E19" s="85" t="str">
        <f>Currency&amp;$C19&amp;$D19&amp;$B19&amp;QuoteSuffix</f>
        <v>EURAB6E14Y_Quote</v>
      </c>
      <c r="F19" s="85" t="str">
        <f>_xll.qlSimpleQuote(Currency&amp;$C19&amp;$D19&amp;$B19&amp;QuoteSuffix,,RateTickValue,Permanent,Trigger,ObjectOverwrite)</f>
        <v>EURAB6E14Y_Quote#0021</v>
      </c>
      <c r="G19" s="84" t="str">
        <f>_xll.ohRangeRetrieveError(F19)</f>
        <v/>
      </c>
      <c r="H19" s="57"/>
    </row>
    <row r="20" spans="1:8" x14ac:dyDescent="0.2">
      <c r="A20" s="136"/>
      <c r="B20" s="225" t="s">
        <v>102</v>
      </c>
      <c r="C20" s="87" t="str">
        <v>AB</v>
      </c>
      <c r="D20" s="87" t="str">
        <v>6E</v>
      </c>
      <c r="E20" s="85" t="str">
        <f>Currency&amp;$C20&amp;$D20&amp;$B20&amp;QuoteSuffix</f>
        <v>EURAB6E15Y_Quote</v>
      </c>
      <c r="F20" s="85" t="str">
        <f>_xll.qlSimpleQuote(Currency&amp;$C20&amp;$D20&amp;$B20&amp;QuoteSuffix,,RateTickValue,Permanent,Trigger,ObjectOverwrite)</f>
        <v>EURAB6E15Y_Quote#0021</v>
      </c>
      <c r="G20" s="84" t="str">
        <f>_xll.ohRangeRetrieveError(F20)</f>
        <v/>
      </c>
      <c r="H20" s="57"/>
    </row>
    <row r="21" spans="1:8" x14ac:dyDescent="0.2">
      <c r="A21" s="136"/>
      <c r="B21" s="225" t="s">
        <v>101</v>
      </c>
      <c r="C21" s="87" t="str">
        <v>AB</v>
      </c>
      <c r="D21" s="87" t="str">
        <v>6E</v>
      </c>
      <c r="E21" s="85" t="str">
        <f>Currency&amp;$C21&amp;$D21&amp;$B21&amp;QuoteSuffix</f>
        <v>EURAB6E16Y_Quote</v>
      </c>
      <c r="F21" s="85" t="str">
        <f>_xll.qlSimpleQuote(Currency&amp;$C21&amp;$D21&amp;$B21&amp;QuoteSuffix,,RateTickValue,Permanent,Trigger,ObjectOverwrite)</f>
        <v>EURAB6E16Y_Quote#0021</v>
      </c>
      <c r="G21" s="84" t="str">
        <f>_xll.ohRangeRetrieveError(F21)</f>
        <v/>
      </c>
      <c r="H21" s="57"/>
    </row>
    <row r="22" spans="1:8" x14ac:dyDescent="0.2">
      <c r="A22" s="136"/>
      <c r="B22" s="225" t="s">
        <v>100</v>
      </c>
      <c r="C22" s="87" t="str">
        <v>AB</v>
      </c>
      <c r="D22" s="87" t="str">
        <v>6E</v>
      </c>
      <c r="E22" s="85" t="str">
        <f>Currency&amp;$C22&amp;$D22&amp;$B22&amp;QuoteSuffix</f>
        <v>EURAB6E17Y_Quote</v>
      </c>
      <c r="F22" s="85" t="str">
        <f>_xll.qlSimpleQuote(Currency&amp;$C22&amp;$D22&amp;$B22&amp;QuoteSuffix,,RateTickValue,Permanent,Trigger,ObjectOverwrite)</f>
        <v>EURAB6E17Y_Quote#0021</v>
      </c>
      <c r="G22" s="84" t="str">
        <f>_xll.ohRangeRetrieveError(F22)</f>
        <v/>
      </c>
      <c r="H22" s="57"/>
    </row>
    <row r="23" spans="1:8" x14ac:dyDescent="0.2">
      <c r="A23" s="136"/>
      <c r="B23" s="225" t="s">
        <v>99</v>
      </c>
      <c r="C23" s="87" t="str">
        <v>AB</v>
      </c>
      <c r="D23" s="87" t="str">
        <v>6E</v>
      </c>
      <c r="E23" s="85" t="str">
        <f>Currency&amp;$C23&amp;$D23&amp;$B23&amp;QuoteSuffix</f>
        <v>EURAB6E18Y_Quote</v>
      </c>
      <c r="F23" s="85" t="str">
        <f>_xll.qlSimpleQuote(Currency&amp;$C23&amp;$D23&amp;$B23&amp;QuoteSuffix,,RateTickValue,Permanent,Trigger,ObjectOverwrite)</f>
        <v>EURAB6E18Y_Quote#0021</v>
      </c>
      <c r="G23" s="84" t="str">
        <f>_xll.ohRangeRetrieveError(F23)</f>
        <v/>
      </c>
      <c r="H23" s="57"/>
    </row>
    <row r="24" spans="1:8" x14ac:dyDescent="0.2">
      <c r="A24" s="136"/>
      <c r="B24" s="225" t="s">
        <v>98</v>
      </c>
      <c r="C24" s="87" t="str">
        <v>AB</v>
      </c>
      <c r="D24" s="87" t="str">
        <v>6E</v>
      </c>
      <c r="E24" s="85" t="str">
        <f>Currency&amp;$C24&amp;$D24&amp;$B24&amp;QuoteSuffix</f>
        <v>EURAB6E19Y_Quote</v>
      </c>
      <c r="F24" s="85" t="str">
        <f>_xll.qlSimpleQuote(Currency&amp;$C24&amp;$D24&amp;$B24&amp;QuoteSuffix,,RateTickValue,Permanent,Trigger,ObjectOverwrite)</f>
        <v>EURAB6E19Y_Quote#0021</v>
      </c>
      <c r="G24" s="84" t="str">
        <f>_xll.ohRangeRetrieveError(F24)</f>
        <v/>
      </c>
      <c r="H24" s="57"/>
    </row>
    <row r="25" spans="1:8" x14ac:dyDescent="0.2">
      <c r="A25" s="136"/>
      <c r="B25" s="225" t="s">
        <v>97</v>
      </c>
      <c r="C25" s="87" t="str">
        <v>AB</v>
      </c>
      <c r="D25" s="87" t="str">
        <v>6E</v>
      </c>
      <c r="E25" s="85" t="str">
        <f>Currency&amp;$C25&amp;$D25&amp;$B25&amp;QuoteSuffix</f>
        <v>EURAB6E20Y_Quote</v>
      </c>
      <c r="F25" s="85" t="str">
        <f>_xll.qlSimpleQuote(Currency&amp;$C25&amp;$D25&amp;$B25&amp;QuoteSuffix,,RateTickValue,Permanent,Trigger,ObjectOverwrite)</f>
        <v>EURAB6E20Y_Quote#0021</v>
      </c>
      <c r="G25" s="84" t="str">
        <f>_xll.ohRangeRetrieveError(F25)</f>
        <v/>
      </c>
      <c r="H25" s="57"/>
    </row>
    <row r="26" spans="1:8" x14ac:dyDescent="0.2">
      <c r="A26" s="136"/>
      <c r="B26" s="225" t="s">
        <v>96</v>
      </c>
      <c r="C26" s="87" t="str">
        <v>AB</v>
      </c>
      <c r="D26" s="87" t="str">
        <v>6E</v>
      </c>
      <c r="E26" s="85" t="str">
        <f>Currency&amp;$C26&amp;$D26&amp;$B26&amp;QuoteSuffix</f>
        <v>EURAB6E21Y_Quote</v>
      </c>
      <c r="F26" s="85" t="str">
        <f>_xll.qlSimpleQuote(Currency&amp;$C26&amp;$D26&amp;$B26&amp;QuoteSuffix,,RateTickValue,Permanent,Trigger,ObjectOverwrite)</f>
        <v>EURAB6E21Y_Quote#0021</v>
      </c>
      <c r="G26" s="84" t="str">
        <f>_xll.ohRangeRetrieveError(F26)</f>
        <v/>
      </c>
      <c r="H26" s="57"/>
    </row>
    <row r="27" spans="1:8" x14ac:dyDescent="0.2">
      <c r="A27" s="136"/>
      <c r="B27" s="225" t="s">
        <v>95</v>
      </c>
      <c r="C27" s="87" t="str">
        <v>AB</v>
      </c>
      <c r="D27" s="87" t="str">
        <v>6E</v>
      </c>
      <c r="E27" s="85" t="str">
        <f>Currency&amp;$C27&amp;$D27&amp;$B27&amp;QuoteSuffix</f>
        <v>EURAB6E22Y_Quote</v>
      </c>
      <c r="F27" s="85" t="str">
        <f>_xll.qlSimpleQuote(Currency&amp;$C27&amp;$D27&amp;$B27&amp;QuoteSuffix,,RateTickValue,Permanent,Trigger,ObjectOverwrite)</f>
        <v>EURAB6E22Y_Quote#0021</v>
      </c>
      <c r="G27" s="84" t="str">
        <f>_xll.ohRangeRetrieveError(F27)</f>
        <v/>
      </c>
      <c r="H27" s="57"/>
    </row>
    <row r="28" spans="1:8" x14ac:dyDescent="0.2">
      <c r="A28" s="136"/>
      <c r="B28" s="225" t="s">
        <v>94</v>
      </c>
      <c r="C28" s="87" t="str">
        <v>AB</v>
      </c>
      <c r="D28" s="87" t="str">
        <v>6E</v>
      </c>
      <c r="E28" s="85" t="str">
        <f>Currency&amp;$C28&amp;$D28&amp;$B28&amp;QuoteSuffix</f>
        <v>EURAB6E23Y_Quote</v>
      </c>
      <c r="F28" s="85" t="str">
        <f>_xll.qlSimpleQuote(Currency&amp;$C28&amp;$D28&amp;$B28&amp;QuoteSuffix,,RateTickValue,Permanent,Trigger,ObjectOverwrite)</f>
        <v>EURAB6E23Y_Quote#0021</v>
      </c>
      <c r="G28" s="84" t="str">
        <f>_xll.ohRangeRetrieveError(F28)</f>
        <v/>
      </c>
      <c r="H28" s="57"/>
    </row>
    <row r="29" spans="1:8" x14ac:dyDescent="0.2">
      <c r="A29" s="136"/>
      <c r="B29" s="225" t="s">
        <v>93</v>
      </c>
      <c r="C29" s="87" t="str">
        <v>AB</v>
      </c>
      <c r="D29" s="87" t="str">
        <v>6E</v>
      </c>
      <c r="E29" s="85" t="str">
        <f>Currency&amp;$C29&amp;$D29&amp;$B29&amp;QuoteSuffix</f>
        <v>EURAB6E24Y_Quote</v>
      </c>
      <c r="F29" s="85" t="str">
        <f>_xll.qlSimpleQuote(Currency&amp;$C29&amp;$D29&amp;$B29&amp;QuoteSuffix,,RateTickValue,Permanent,Trigger,ObjectOverwrite)</f>
        <v>EURAB6E24Y_Quote#0021</v>
      </c>
      <c r="G29" s="84" t="str">
        <f>_xll.ohRangeRetrieveError(F29)</f>
        <v/>
      </c>
      <c r="H29" s="57"/>
    </row>
    <row r="30" spans="1:8" x14ac:dyDescent="0.2">
      <c r="A30" s="136"/>
      <c r="B30" s="225" t="s">
        <v>92</v>
      </c>
      <c r="C30" s="87" t="str">
        <v>AB</v>
      </c>
      <c r="D30" s="87" t="str">
        <v>6E</v>
      </c>
      <c r="E30" s="85" t="str">
        <f>Currency&amp;$C30&amp;$D30&amp;$B30&amp;QuoteSuffix</f>
        <v>EURAB6E25Y_Quote</v>
      </c>
      <c r="F30" s="85" t="str">
        <f>_xll.qlSimpleQuote(Currency&amp;$C30&amp;$D30&amp;$B30&amp;QuoteSuffix,,RateTickValue,Permanent,Trigger,ObjectOverwrite)</f>
        <v>EURAB6E25Y_Quote#0021</v>
      </c>
      <c r="G30" s="84" t="str">
        <f>_xll.ohRangeRetrieveError(F30)</f>
        <v/>
      </c>
      <c r="H30" s="57"/>
    </row>
    <row r="31" spans="1:8" x14ac:dyDescent="0.2">
      <c r="A31" s="136"/>
      <c r="B31" s="225" t="s">
        <v>91</v>
      </c>
      <c r="C31" s="87" t="str">
        <v>AB</v>
      </c>
      <c r="D31" s="87" t="str">
        <v>6E</v>
      </c>
      <c r="E31" s="85" t="str">
        <f>Currency&amp;$C31&amp;$D31&amp;$B31&amp;QuoteSuffix</f>
        <v>EURAB6E26Y_Quote</v>
      </c>
      <c r="F31" s="85" t="str">
        <f>_xll.qlSimpleQuote(Currency&amp;$C31&amp;$D31&amp;$B31&amp;QuoteSuffix,,RateTickValue,Permanent,Trigger,ObjectOverwrite)</f>
        <v>EURAB6E26Y_Quote#0021</v>
      </c>
      <c r="G31" s="84" t="str">
        <f>_xll.ohRangeRetrieveError(F31)</f>
        <v/>
      </c>
      <c r="H31" s="57"/>
    </row>
    <row r="32" spans="1:8" x14ac:dyDescent="0.2">
      <c r="A32" s="136"/>
      <c r="B32" s="225" t="s">
        <v>90</v>
      </c>
      <c r="C32" s="87" t="str">
        <v>AB</v>
      </c>
      <c r="D32" s="87" t="str">
        <v>6E</v>
      </c>
      <c r="E32" s="85" t="str">
        <f>Currency&amp;$C32&amp;$D32&amp;$B32&amp;QuoteSuffix</f>
        <v>EURAB6E27Y_Quote</v>
      </c>
      <c r="F32" s="85" t="str">
        <f>_xll.qlSimpleQuote(Currency&amp;$C32&amp;$D32&amp;$B32&amp;QuoteSuffix,,RateTickValue,Permanent,Trigger,ObjectOverwrite)</f>
        <v>EURAB6E27Y_Quote#0021</v>
      </c>
      <c r="G32" s="84" t="str">
        <f>_xll.ohRangeRetrieveError(F32)</f>
        <v/>
      </c>
      <c r="H32" s="57"/>
    </row>
    <row r="33" spans="1:8" x14ac:dyDescent="0.2">
      <c r="A33" s="136"/>
      <c r="B33" s="225" t="s">
        <v>89</v>
      </c>
      <c r="C33" s="87" t="str">
        <v>AB</v>
      </c>
      <c r="D33" s="87" t="str">
        <v>6E</v>
      </c>
      <c r="E33" s="85" t="str">
        <f>Currency&amp;$C33&amp;$D33&amp;$B33&amp;QuoteSuffix</f>
        <v>EURAB6E28Y_Quote</v>
      </c>
      <c r="F33" s="85" t="str">
        <f>_xll.qlSimpleQuote(Currency&amp;$C33&amp;$D33&amp;$B33&amp;QuoteSuffix,,RateTickValue,Permanent,Trigger,ObjectOverwrite)</f>
        <v>EURAB6E28Y_Quote#0021</v>
      </c>
      <c r="G33" s="84" t="str">
        <f>_xll.ohRangeRetrieveError(F33)</f>
        <v/>
      </c>
      <c r="H33" s="57"/>
    </row>
    <row r="34" spans="1:8" x14ac:dyDescent="0.2">
      <c r="A34" s="136"/>
      <c r="B34" s="225" t="s">
        <v>88</v>
      </c>
      <c r="C34" s="87" t="str">
        <v>AB</v>
      </c>
      <c r="D34" s="87" t="str">
        <v>6E</v>
      </c>
      <c r="E34" s="85" t="str">
        <f>Currency&amp;$C34&amp;$D34&amp;$B34&amp;QuoteSuffix</f>
        <v>EURAB6E29Y_Quote</v>
      </c>
      <c r="F34" s="85" t="str">
        <f>_xll.qlSimpleQuote(Currency&amp;$C34&amp;$D34&amp;$B34&amp;QuoteSuffix,,RateTickValue,Permanent,Trigger,ObjectOverwrite)</f>
        <v>EURAB6E29Y_Quote#0021</v>
      </c>
      <c r="G34" s="84" t="str">
        <f>_xll.ohRangeRetrieveError(F34)</f>
        <v/>
      </c>
      <c r="H34" s="57"/>
    </row>
    <row r="35" spans="1:8" x14ac:dyDescent="0.2">
      <c r="A35" s="136"/>
      <c r="B35" s="225" t="s">
        <v>87</v>
      </c>
      <c r="C35" s="87" t="str">
        <v>AB</v>
      </c>
      <c r="D35" s="87" t="str">
        <v>6E</v>
      </c>
      <c r="E35" s="85" t="str">
        <f>Currency&amp;$C35&amp;$D35&amp;$B35&amp;QuoteSuffix</f>
        <v>EURAB6E30Y_Quote</v>
      </c>
      <c r="F35" s="85" t="str">
        <f>_xll.qlSimpleQuote(Currency&amp;$C35&amp;$D35&amp;$B35&amp;QuoteSuffix,,RateTickValue,Permanent,Trigger,ObjectOverwrite)</f>
        <v>EURAB6E30Y_Quote#0021</v>
      </c>
      <c r="G35" s="84" t="str">
        <f>_xll.ohRangeRetrieveError(F35)</f>
        <v/>
      </c>
      <c r="H35" s="57"/>
    </row>
    <row r="36" spans="1:8" x14ac:dyDescent="0.2">
      <c r="A36" s="136"/>
      <c r="B36" s="225" t="s">
        <v>82</v>
      </c>
      <c r="C36" s="87" t="str">
        <v>AB</v>
      </c>
      <c r="D36" s="87" t="str">
        <v>6E</v>
      </c>
      <c r="E36" s="85" t="str">
        <f>Currency&amp;$C36&amp;$D36&amp;$B36&amp;QuoteSuffix</f>
        <v>EURAB6E35Y_Quote</v>
      </c>
      <c r="F36" s="85" t="str">
        <f>_xll.qlSimpleQuote(Currency&amp;$C36&amp;$D36&amp;$B36&amp;QuoteSuffix,,RateTickValue,Permanent,Trigger,ObjectOverwrite)</f>
        <v>EURAB6E35Y_Quote#0021</v>
      </c>
      <c r="G36" s="84" t="str">
        <f>_xll.ohRangeRetrieveError(F36)</f>
        <v/>
      </c>
      <c r="H36" s="57"/>
    </row>
    <row r="37" spans="1:8" x14ac:dyDescent="0.2">
      <c r="A37" s="136"/>
      <c r="B37" s="225" t="s">
        <v>77</v>
      </c>
      <c r="C37" s="87" t="str">
        <v>AB</v>
      </c>
      <c r="D37" s="87" t="str">
        <v>6E</v>
      </c>
      <c r="E37" s="85" t="str">
        <f>Currency&amp;$C37&amp;$D37&amp;$B37&amp;QuoteSuffix</f>
        <v>EURAB6E40Y_Quote</v>
      </c>
      <c r="F37" s="85" t="str">
        <f>_xll.qlSimpleQuote(Currency&amp;$C37&amp;$D37&amp;$B37&amp;QuoteSuffix,,RateTickValue,Permanent,Trigger,ObjectOverwrite)</f>
        <v>EURAB6E40Y_Quote#0021</v>
      </c>
      <c r="G37" s="84" t="str">
        <f>_xll.ohRangeRetrieveError(F37)</f>
        <v/>
      </c>
      <c r="H37" s="57"/>
    </row>
    <row r="38" spans="1:8" x14ac:dyDescent="0.2">
      <c r="A38" s="136"/>
      <c r="B38" s="225" t="s">
        <v>67</v>
      </c>
      <c r="C38" s="87" t="str">
        <v>AB</v>
      </c>
      <c r="D38" s="87" t="str">
        <v>6E</v>
      </c>
      <c r="E38" s="85" t="str">
        <f>Currency&amp;$C38&amp;$D38&amp;$B38&amp;QuoteSuffix</f>
        <v>EURAB6E50Y_Quote</v>
      </c>
      <c r="F38" s="85" t="str">
        <f>_xll.qlSimpleQuote(Currency&amp;$C38&amp;$D38&amp;$B38&amp;QuoteSuffix,,RateTickValue,Permanent,Trigger,ObjectOverwrite)</f>
        <v>EURAB6E50Y_Quote#0021</v>
      </c>
      <c r="G38" s="84" t="str">
        <f>_xll.ohRangeRetrieveError(F38)</f>
        <v/>
      </c>
      <c r="H38" s="57"/>
    </row>
    <row r="39" spans="1:8" x14ac:dyDescent="0.2">
      <c r="A39" s="136"/>
      <c r="B39" s="225" t="s">
        <v>57</v>
      </c>
      <c r="C39" s="87" t="str">
        <v>AB</v>
      </c>
      <c r="D39" s="87" t="str">
        <v>6E</v>
      </c>
      <c r="E39" s="85" t="str">
        <f>Currency&amp;$C39&amp;$D39&amp;$B39&amp;QuoteSuffix</f>
        <v>EURAB6E60Y_Quote</v>
      </c>
      <c r="F39" s="85" t="str">
        <f>_xll.qlSimpleQuote(Currency&amp;$C39&amp;$D39&amp;$B39&amp;QuoteSuffix,,RateTickValue,Permanent,Trigger,ObjectOverwrite)</f>
        <v>EURAB6E60Y_Quote#0021</v>
      </c>
      <c r="G39" s="84" t="str">
        <f>_xll.ohRangeRetrieveError(F39)</f>
        <v/>
      </c>
      <c r="H39" s="57"/>
    </row>
    <row r="40" spans="1:8" ht="12" thickBot="1" x14ac:dyDescent="0.25">
      <c r="A40" s="224"/>
      <c r="B40" s="223"/>
      <c r="C40" s="223"/>
      <c r="D40" s="223"/>
      <c r="E40" s="223"/>
      <c r="F40" s="223"/>
      <c r="G40" s="223"/>
      <c r="H40" s="54"/>
    </row>
  </sheetData>
  <pageMargins left="0.75" right="0.75" top="1" bottom="1" header="0.5" footer="0.5"/>
  <pageSetup paperSize="9" orientation="portrait" r:id="rId1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8"/>
  <sheetViews>
    <sheetView workbookViewId="0"/>
  </sheetViews>
  <sheetFormatPr defaultColWidth="8" defaultRowHeight="11.25" x14ac:dyDescent="0.2"/>
  <cols>
    <col min="1" max="1" width="3.28515625" style="110" customWidth="1"/>
    <col min="2" max="2" width="4.28515625" style="110" customWidth="1"/>
    <col min="3" max="3" width="15.5703125" style="110" bestFit="1" customWidth="1"/>
    <col min="4" max="4" width="86.42578125" style="110" bestFit="1" customWidth="1"/>
    <col min="5" max="5" width="3.7109375" style="110" customWidth="1"/>
    <col min="6" max="6" width="35.28515625" style="110" customWidth="1"/>
    <col min="7" max="7" width="4.28515625" style="110" customWidth="1"/>
    <col min="8" max="16384" width="8" style="110"/>
  </cols>
  <sheetData>
    <row r="1" spans="1:5" ht="13.5" thickBot="1" x14ac:dyDescent="0.25">
      <c r="A1" s="110" t="s">
        <v>207</v>
      </c>
      <c r="B1" s="116" t="str">
        <f>_xll.qlxlVersion(TRUE,Trigger)</f>
        <v>QuantLibXL 1.3.0 - MS VC++ 9.0 - Multithreaded Static Runtime library - Release Configuration - Dec  5 2013 11:03:51</v>
      </c>
    </row>
    <row r="2" spans="1:5" s="1" customFormat="1" ht="15.75" x14ac:dyDescent="0.25">
      <c r="A2" s="23"/>
      <c r="B2" s="115" t="s">
        <v>150</v>
      </c>
      <c r="C2" s="114"/>
      <c r="D2" s="114"/>
      <c r="E2" s="113"/>
    </row>
    <row r="3" spans="1:5" s="1" customFormat="1" ht="12.75" x14ac:dyDescent="0.2">
      <c r="A3" s="23"/>
      <c r="B3" s="9"/>
      <c r="C3" s="13"/>
      <c r="D3" s="13"/>
      <c r="E3" s="5"/>
    </row>
    <row r="4" spans="1:5" s="1" customFormat="1" ht="12.75" x14ac:dyDescent="0.2">
      <c r="A4" s="23"/>
      <c r="B4" s="9"/>
      <c r="C4" s="16" t="s">
        <v>31</v>
      </c>
      <c r="D4" s="15"/>
      <c r="E4" s="14"/>
    </row>
    <row r="5" spans="1:5" s="1" customFormat="1" ht="12.75" x14ac:dyDescent="0.2">
      <c r="A5" s="23"/>
      <c r="B5" s="9"/>
      <c r="C5" s="16" t="s">
        <v>30</v>
      </c>
      <c r="D5" s="15" t="b">
        <v>1</v>
      </c>
      <c r="E5" s="14"/>
    </row>
    <row r="6" spans="1:5" s="1" customFormat="1" ht="12.75" x14ac:dyDescent="0.2">
      <c r="A6" s="23"/>
      <c r="B6" s="9"/>
      <c r="C6" s="16" t="s">
        <v>29</v>
      </c>
      <c r="D6" s="15" t="b">
        <v>0</v>
      </c>
      <c r="E6" s="14"/>
    </row>
    <row r="7" spans="1:5" s="1" customFormat="1" ht="12.75" x14ac:dyDescent="0.2">
      <c r="A7" s="23"/>
      <c r="B7" s="9"/>
      <c r="C7" s="16" t="s">
        <v>28</v>
      </c>
      <c r="D7" s="15" t="b">
        <v>1</v>
      </c>
      <c r="E7" s="14"/>
    </row>
    <row r="8" spans="1:5" s="1" customFormat="1" ht="12.75" x14ac:dyDescent="0.2">
      <c r="A8" s="23"/>
      <c r="B8" s="9"/>
      <c r="C8" s="16" t="s">
        <v>27</v>
      </c>
      <c r="D8" s="25" t="str">
        <f ca="1">SUBSTITUTE(LEFT(CELL("filename",A1),FIND("[",CELL("filename",A1),1)-1),"\XLS\","\XML\")</f>
        <v>C:\Users\erik\Documents\repos\quantlib_nando\QuantLibXL\Data2\XML\</v>
      </c>
      <c r="E8" s="14"/>
    </row>
    <row r="9" spans="1:5" s="1" customFormat="1" ht="12.75" x14ac:dyDescent="0.2">
      <c r="A9" s="23"/>
      <c r="B9" s="9"/>
      <c r="C9" s="16" t="s">
        <v>26</v>
      </c>
      <c r="D9" s="24" t="b">
        <v>1</v>
      </c>
      <c r="E9" s="14"/>
    </row>
    <row r="10" spans="1:5" s="1" customFormat="1" ht="13.5" thickBot="1" x14ac:dyDescent="0.25">
      <c r="A10" s="23"/>
      <c r="B10" s="4"/>
      <c r="C10" s="3"/>
      <c r="D10" s="3"/>
      <c r="E10" s="2"/>
    </row>
    <row r="11" spans="1:5" ht="12" thickBot="1" x14ac:dyDescent="0.25"/>
    <row r="12" spans="1:5" ht="15.75" x14ac:dyDescent="0.25">
      <c r="B12" s="115" t="s">
        <v>149</v>
      </c>
      <c r="C12" s="114"/>
      <c r="D12" s="114"/>
      <c r="E12" s="113"/>
    </row>
    <row r="13" spans="1:5" x14ac:dyDescent="0.2">
      <c r="B13" s="9"/>
      <c r="C13" s="13"/>
      <c r="D13" s="13"/>
      <c r="E13" s="5"/>
    </row>
    <row r="14" spans="1:5" x14ac:dyDescent="0.2">
      <c r="B14" s="9"/>
      <c r="C14" s="16" t="s">
        <v>25</v>
      </c>
      <c r="D14" s="15" t="s">
        <v>123</v>
      </c>
      <c r="E14" s="14"/>
    </row>
    <row r="15" spans="1:5" x14ac:dyDescent="0.2">
      <c r="B15" s="9"/>
      <c r="C15" s="16" t="s">
        <v>148</v>
      </c>
      <c r="D15" s="24" t="s">
        <v>147</v>
      </c>
      <c r="E15" s="14"/>
    </row>
    <row r="16" spans="1:5" x14ac:dyDescent="0.2">
      <c r="B16" s="9"/>
      <c r="C16" s="16" t="s">
        <v>146</v>
      </c>
      <c r="D16" s="112">
        <v>1E-4</v>
      </c>
      <c r="E16" s="14"/>
    </row>
    <row r="17" spans="2:5" x14ac:dyDescent="0.2">
      <c r="B17" s="9"/>
      <c r="C17" s="16" t="s">
        <v>145</v>
      </c>
      <c r="D17" s="111">
        <v>-0.01</v>
      </c>
      <c r="E17" s="14"/>
    </row>
    <row r="18" spans="2:5" ht="12" thickBot="1" x14ac:dyDescent="0.25">
      <c r="B18" s="4"/>
      <c r="C18" s="3"/>
      <c r="D18" s="3"/>
      <c r="E18" s="2"/>
    </row>
  </sheetData>
  <mergeCells count="2">
    <mergeCell ref="B2:E2"/>
    <mergeCell ref="B12:E12"/>
  </mergeCells>
  <dataValidations count="1">
    <dataValidation type="list" allowBlank="1" showInputMessage="1" showErrorMessage="1" sqref="D14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"/>
  <sheetViews>
    <sheetView workbookViewId="0"/>
  </sheetViews>
  <sheetFormatPr defaultRowHeight="11.25" x14ac:dyDescent="0.2"/>
  <cols>
    <col min="1" max="1" width="5" style="77" customWidth="1"/>
    <col min="2" max="2" width="6.140625" style="77" bestFit="1" customWidth="1"/>
    <col min="3" max="3" width="25.42578125" style="77" bestFit="1" customWidth="1"/>
    <col min="4" max="4" width="26.7109375" style="77" bestFit="1" customWidth="1"/>
    <col min="5" max="5" width="36.85546875" style="77" bestFit="1" customWidth="1"/>
    <col min="6" max="6" width="5" style="77" customWidth="1"/>
    <col min="7" max="16384" width="9.140625" style="77"/>
  </cols>
  <sheetData>
    <row r="1" spans="1:6" x14ac:dyDescent="0.2">
      <c r="A1" s="171" t="s">
        <v>211</v>
      </c>
      <c r="B1" s="239">
        <v>1</v>
      </c>
      <c r="C1" s="240" t="s">
        <v>125</v>
      </c>
      <c r="D1" s="239"/>
      <c r="E1" s="239"/>
      <c r="F1" s="238"/>
    </row>
    <row r="2" spans="1:6" x14ac:dyDescent="0.2">
      <c r="A2" s="136"/>
      <c r="B2" s="237"/>
      <c r="C2" s="236" t="str">
        <f>Currency&amp;"_015_SyntheticQuotes"&amp;Tenor&amp;".xml"</f>
        <v>EUR_015_SyntheticQuotesON.xml</v>
      </c>
      <c r="D2" s="10">
        <f ca="1">IF(Serialize,_xll.ohObjectSave(D3:D4,SerializationPath&amp;C2,FileOverwrite,Serialize),"---")</f>
        <v>2</v>
      </c>
      <c r="E2" s="7" t="str">
        <f ca="1">_xll.ohRangeRetrieveError(D2)</f>
        <v/>
      </c>
      <c r="F2" s="231"/>
    </row>
    <row r="3" spans="1:6" x14ac:dyDescent="0.2">
      <c r="A3" s="136"/>
      <c r="B3" s="235" t="s">
        <v>209</v>
      </c>
      <c r="C3" s="139" t="str">
        <f>Currency&amp;$B3&amp;"_SYNTH"&amp;Tenor&amp;QuoteSuffix</f>
        <v>EURTOY_SYNTHON_Quote</v>
      </c>
      <c r="D3" s="141" t="str">
        <f>_xll.qlSimpleQuote(C3,1,RateTickValue,Permanent,Trigger,ObjectOverwrite)</f>
        <v>EURTOY_SYNTHON_Quote#0019</v>
      </c>
      <c r="E3" s="234" t="str">
        <f>_xll.ohRangeRetrieveError(D3)</f>
        <v/>
      </c>
      <c r="F3" s="231"/>
    </row>
    <row r="4" spans="1:6" x14ac:dyDescent="0.2">
      <c r="A4" s="136"/>
      <c r="B4" s="233" t="s">
        <v>208</v>
      </c>
      <c r="C4" s="132" t="str">
        <f>Currency&amp;$B4&amp;"_SYNTH"&amp;Tenor&amp;QuoteSuffix</f>
        <v>EURTOY2_SYNTHON_Quote</v>
      </c>
      <c r="D4" s="137" t="str">
        <f>_xll.qlSimpleQuote(C4,1,RateTickValue,Permanent,Trigger,ObjectOverwrite)</f>
        <v>EURTOY2_SYNTHON_Quote#0019</v>
      </c>
      <c r="E4" s="232" t="str">
        <f>_xll.ohRangeRetrieveError(D4)</f>
        <v/>
      </c>
      <c r="F4" s="231"/>
    </row>
    <row r="5" spans="1:6" ht="12" thickBot="1" x14ac:dyDescent="0.25">
      <c r="A5" s="56"/>
      <c r="B5" s="55"/>
      <c r="C5" s="55"/>
      <c r="D5" s="55"/>
      <c r="E5" s="55"/>
      <c r="F5" s="54"/>
    </row>
  </sheetData>
  <pageMargins left="0.75" right="0.75" top="1" bottom="1" header="0.5" footer="0.5"/>
  <pageSetup orientation="portrait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2"/>
  <sheetViews>
    <sheetView workbookViewId="0"/>
  </sheetViews>
  <sheetFormatPr defaultRowHeight="11.25" x14ac:dyDescent="0.2"/>
  <cols>
    <col min="1" max="1" width="5" style="77" customWidth="1"/>
    <col min="2" max="2" width="6.140625" style="77" bestFit="1" customWidth="1"/>
    <col min="3" max="3" width="25.42578125" style="77" bestFit="1" customWidth="1"/>
    <col min="4" max="4" width="26.7109375" style="77" bestFit="1" customWidth="1"/>
    <col min="5" max="5" width="36.85546875" style="77" bestFit="1" customWidth="1"/>
    <col min="6" max="6" width="5" style="77" customWidth="1"/>
    <col min="7" max="16384" width="9.140625" style="77"/>
  </cols>
  <sheetData>
    <row r="1" spans="1:6" x14ac:dyDescent="0.2">
      <c r="A1" s="171" t="s">
        <v>211</v>
      </c>
      <c r="B1" s="239">
        <v>1</v>
      </c>
      <c r="C1" s="240" t="str">
        <f>_xll.qlPeriodEquivalent(Months&amp;"M")</f>
        <v>1M</v>
      </c>
      <c r="D1" s="239"/>
      <c r="E1" s="239"/>
      <c r="F1" s="238"/>
    </row>
    <row r="2" spans="1:6" x14ac:dyDescent="0.2">
      <c r="A2" s="136"/>
      <c r="B2" s="237"/>
      <c r="C2" s="236" t="str">
        <f>Currency&amp;"_015_SyntheticQuotes"&amp;Tenor&amp;".xml"</f>
        <v>EUR_015_SyntheticQuotes1M.xml</v>
      </c>
      <c r="D2" s="10">
        <f ca="1">IF(Serialize,_xll.ohObjectSave(D3:D11,SerializationPath&amp;C2,FileOverwrite,Serialize),"---")</f>
        <v>9</v>
      </c>
      <c r="E2" s="7" t="str">
        <f ca="1">_xll.ohRangeRetrieveError(D2)</f>
        <v/>
      </c>
      <c r="F2" s="231"/>
    </row>
    <row r="3" spans="1:6" x14ac:dyDescent="0.2">
      <c r="A3" s="136"/>
      <c r="B3" s="243" t="s">
        <v>169</v>
      </c>
      <c r="C3" s="143" t="str">
        <f>Currency&amp;$B3&amp;"_SYNTH"&amp;Tenor&amp;QuoteSuffix</f>
        <v>EUROND_SYNTH1M_Quote</v>
      </c>
      <c r="D3" s="145" t="str">
        <f>_xll.qlSimpleQuote(C3,,RateTickValue,Permanent,Trigger,ObjectOverwrite)</f>
        <v>EUROND_SYNTH1M_Quote#0018</v>
      </c>
      <c r="E3" s="241" t="str">
        <f>_xll.ohRangeRetrieveError(D3)</f>
        <v/>
      </c>
      <c r="F3" s="231"/>
    </row>
    <row r="4" spans="1:6" x14ac:dyDescent="0.2">
      <c r="A4" s="136"/>
      <c r="B4" s="243" t="s">
        <v>168</v>
      </c>
      <c r="C4" s="143" t="str">
        <f>Currency&amp;$B4&amp;"_SYNTH"&amp;Tenor&amp;QuoteSuffix</f>
        <v>EURTND_SYNTH1M_Quote</v>
      </c>
      <c r="D4" s="145" t="str">
        <f>_xll.qlSimpleQuote(C4,,RateTickValue,Permanent,Trigger,ObjectOverwrite)</f>
        <v>EURTND_SYNTH1M_Quote#0018</v>
      </c>
      <c r="E4" s="241" t="str">
        <f>_xll.ohRangeRetrieveError(D4)</f>
        <v/>
      </c>
      <c r="F4" s="231"/>
    </row>
    <row r="5" spans="1:6" x14ac:dyDescent="0.2">
      <c r="A5" s="136"/>
      <c r="B5" s="243" t="s">
        <v>167</v>
      </c>
      <c r="C5" s="143" t="str">
        <f>Currency&amp;$B5&amp;"_SYNTH"&amp;Tenor&amp;QuoteSuffix</f>
        <v>EURSND_SYNTH1M_Quote</v>
      </c>
      <c r="D5" s="145" t="str">
        <f>_xll.qlSimpleQuote(C5,,RateTickValue,Permanent,Trigger,ObjectOverwrite)</f>
        <v>EURSND_SYNTH1M_Quote#0018</v>
      </c>
      <c r="E5" s="241" t="str">
        <f>_xll.ohRangeRetrieveError(D5)</f>
        <v/>
      </c>
      <c r="F5" s="231"/>
    </row>
    <row r="6" spans="1:6" x14ac:dyDescent="0.2">
      <c r="A6" s="136"/>
      <c r="B6" s="243" t="s">
        <v>166</v>
      </c>
      <c r="C6" s="143" t="str">
        <f>Currency&amp;$B6&amp;"_SYNTH"&amp;Tenor&amp;QuoteSuffix</f>
        <v>EURSWD_SYNTH1M_Quote</v>
      </c>
      <c r="D6" s="145" t="str">
        <f>_xll.qlSimpleQuote(C6,,RateTickValue,Permanent,Trigger,ObjectOverwrite)</f>
        <v>EURSWD_SYNTH1M_Quote#0018</v>
      </c>
      <c r="E6" s="241" t="str">
        <f>_xll.ohRangeRetrieveError(D6)</f>
        <v/>
      </c>
      <c r="F6" s="231"/>
    </row>
    <row r="7" spans="1:6" x14ac:dyDescent="0.2">
      <c r="A7" s="136"/>
      <c r="B7" s="243" t="s">
        <v>165</v>
      </c>
      <c r="C7" s="143" t="str">
        <f>Currency&amp;$B7&amp;"_SYNTH"&amp;Tenor&amp;QuoteSuffix</f>
        <v>EUR2WD_SYNTH1M_Quote</v>
      </c>
      <c r="D7" s="145" t="str">
        <f>_xll.qlSimpleQuote(C7,,RateTickValue,Permanent,Trigger,ObjectOverwrite)</f>
        <v>EUR2WD_SYNTH1M_Quote#0018</v>
      </c>
      <c r="E7" s="241" t="str">
        <f>_xll.ohRangeRetrieveError(D7)</f>
        <v/>
      </c>
      <c r="F7" s="231"/>
    </row>
    <row r="8" spans="1:6" x14ac:dyDescent="0.2">
      <c r="A8" s="136"/>
      <c r="B8" s="243" t="s">
        <v>164</v>
      </c>
      <c r="C8" s="143" t="str">
        <f>Currency&amp;$B8&amp;"_SYNTH"&amp;Tenor&amp;QuoteSuffix</f>
        <v>EUR3WD_SYNTH1M_Quote</v>
      </c>
      <c r="D8" s="145" t="str">
        <f>_xll.qlSimpleQuote(C8,,RateTickValue,Permanent,Trigger,ObjectOverwrite)</f>
        <v>EUR3WD_SYNTH1M_Quote#0018</v>
      </c>
      <c r="E8" s="241" t="str">
        <f>_xll.ohRangeRetrieveError(D8)</f>
        <v/>
      </c>
      <c r="F8" s="231"/>
    </row>
    <row r="9" spans="1:6" x14ac:dyDescent="0.2">
      <c r="A9" s="136"/>
      <c r="B9" s="242" t="s">
        <v>163</v>
      </c>
      <c r="C9" s="143" t="str">
        <f>Currency&amp;$B9&amp;"_SYNTH"&amp;Tenor&amp;QuoteSuffix</f>
        <v>EUR1MD_SYNTH1M_Quote</v>
      </c>
      <c r="D9" s="143" t="str">
        <f>_xll.qlSimpleQuote(C9,,RateTickValue,Permanent,Trigger,ObjectOverwrite)</f>
        <v>EUR1MD_SYNTH1M_Quote#0018</v>
      </c>
      <c r="E9" s="241" t="str">
        <f>_xll.ohRangeRetrieveError(D9)</f>
        <v/>
      </c>
      <c r="F9" s="231"/>
    </row>
    <row r="10" spans="1:6" x14ac:dyDescent="0.2">
      <c r="A10" s="136"/>
      <c r="B10" s="235" t="s">
        <v>209</v>
      </c>
      <c r="C10" s="139" t="str">
        <f>Currency&amp;$B10&amp;"_SYNTH"&amp;Tenor&amp;QuoteSuffix</f>
        <v>EURTOY_SYNTH1M_Quote</v>
      </c>
      <c r="D10" s="141" t="str">
        <f>_xll.qlSimpleQuote(C10,1,RateTickValue,Permanent,Trigger,ObjectOverwrite)</f>
        <v>EURTOY_SYNTH1M_Quote#0018</v>
      </c>
      <c r="E10" s="234" t="str">
        <f>_xll.ohRangeRetrieveError(D10)</f>
        <v/>
      </c>
      <c r="F10" s="231"/>
    </row>
    <row r="11" spans="1:6" x14ac:dyDescent="0.2">
      <c r="A11" s="136"/>
      <c r="B11" s="233" t="s">
        <v>208</v>
      </c>
      <c r="C11" s="132" t="str">
        <f>Currency&amp;$B11&amp;"_SYNTH"&amp;Tenor&amp;QuoteSuffix</f>
        <v>EURTOY2_SYNTH1M_Quote</v>
      </c>
      <c r="D11" s="137" t="str">
        <f>_xll.qlSimpleQuote(C11,1,RateTickValue,Permanent,Trigger,ObjectOverwrite)</f>
        <v>EURTOY2_SYNTH1M_Quote#0018</v>
      </c>
      <c r="E11" s="232" t="str">
        <f>_xll.ohRangeRetrieveError(D11)</f>
        <v/>
      </c>
      <c r="F11" s="231"/>
    </row>
    <row r="12" spans="1:6" ht="12" thickBot="1" x14ac:dyDescent="0.25">
      <c r="A12" s="56"/>
      <c r="B12" s="55"/>
      <c r="C12" s="55"/>
      <c r="D12" s="55"/>
      <c r="E12" s="55"/>
      <c r="F12" s="54"/>
    </row>
  </sheetData>
  <pageMargins left="0.75" right="0.75" top="1" bottom="1" header="0.5" footer="0.5"/>
  <pageSetup orientation="portrait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4"/>
  <sheetViews>
    <sheetView workbookViewId="0"/>
  </sheetViews>
  <sheetFormatPr defaultRowHeight="11.25" x14ac:dyDescent="0.2"/>
  <cols>
    <col min="1" max="1" width="5" style="77" customWidth="1"/>
    <col min="2" max="2" width="6.140625" style="77" bestFit="1" customWidth="1"/>
    <col min="3" max="3" width="25.42578125" style="77" bestFit="1" customWidth="1"/>
    <col min="4" max="4" width="26.7109375" style="77" bestFit="1" customWidth="1"/>
    <col min="5" max="5" width="36.85546875" style="77" bestFit="1" customWidth="1"/>
    <col min="6" max="6" width="5" style="77" customWidth="1"/>
    <col min="7" max="16384" width="9.140625" style="77"/>
  </cols>
  <sheetData>
    <row r="1" spans="1:6" x14ac:dyDescent="0.2">
      <c r="A1" s="171" t="s">
        <v>211</v>
      </c>
      <c r="B1" s="239">
        <v>3</v>
      </c>
      <c r="C1" s="240" t="str">
        <f>_xll.qlPeriodEquivalent(Months&amp;"M")</f>
        <v>3M</v>
      </c>
      <c r="D1" s="239"/>
      <c r="E1" s="239"/>
      <c r="F1" s="238"/>
    </row>
    <row r="2" spans="1:6" x14ac:dyDescent="0.2">
      <c r="A2" s="136"/>
      <c r="B2" s="249"/>
      <c r="C2" s="236" t="str">
        <f>Currency&amp;"_015_SyntheticQuotes"&amp;Tenor&amp;".xml"</f>
        <v>EUR_015_SyntheticQuotes3M.xml</v>
      </c>
      <c r="D2" s="10">
        <f ca="1">IF(Serialize,_xll.ohObjectSave(D3:D13,SerializationPath&amp;C2,FileOverwrite,Serialize),"---")</f>
        <v>11</v>
      </c>
      <c r="E2" s="7" t="str">
        <f ca="1">_xll.ohRangeRetrieveError(D2)</f>
        <v/>
      </c>
      <c r="F2" s="231"/>
    </row>
    <row r="3" spans="1:6" x14ac:dyDescent="0.2">
      <c r="A3" s="136"/>
      <c r="B3" s="243" t="s">
        <v>169</v>
      </c>
      <c r="C3" s="143" t="str">
        <f>Currency&amp;$B3&amp;"_SYNTH"&amp;Tenor&amp;QuoteSuffix</f>
        <v>EUROND_SYNTH3M_Quote</v>
      </c>
      <c r="D3" s="143" t="str">
        <f>_xll.qlSimpleQuote(C3,,RateTickValue,Permanent,Trigger,ObjectOverwrite)</f>
        <v>EUROND_SYNTH3M_Quote#0017</v>
      </c>
      <c r="E3" s="248" t="str">
        <f>_xll.ohRangeRetrieveError(D3)</f>
        <v/>
      </c>
      <c r="F3" s="231"/>
    </row>
    <row r="4" spans="1:6" x14ac:dyDescent="0.2">
      <c r="A4" s="136"/>
      <c r="B4" s="243" t="s">
        <v>168</v>
      </c>
      <c r="C4" s="143" t="str">
        <f>Currency&amp;$B4&amp;"_SYNTH"&amp;Tenor&amp;QuoteSuffix</f>
        <v>EURTND_SYNTH3M_Quote</v>
      </c>
      <c r="D4" s="143" t="str">
        <f>_xll.qlSimpleQuote(C4,,RateTickValue,Permanent,Trigger,ObjectOverwrite)</f>
        <v>EURTND_SYNTH3M_Quote#0017</v>
      </c>
      <c r="E4" s="248" t="str">
        <f>_xll.ohRangeRetrieveError(D4)</f>
        <v/>
      </c>
      <c r="F4" s="231"/>
    </row>
    <row r="5" spans="1:6" x14ac:dyDescent="0.2">
      <c r="A5" s="136"/>
      <c r="B5" s="242" t="s">
        <v>167</v>
      </c>
      <c r="C5" s="143" t="str">
        <f>Currency&amp;$B5&amp;"_SYNTH"&amp;Tenor&amp;QuoteSuffix</f>
        <v>EURSND_SYNTH3M_Quote</v>
      </c>
      <c r="D5" s="143" t="str">
        <f>_xll.qlSimpleQuote(C5,,RateTickValue,Permanent,Trigger,ObjectOverwrite)</f>
        <v>EURSND_SYNTH3M_Quote#0017</v>
      </c>
      <c r="E5" s="248" t="str">
        <f>_xll.ohRangeRetrieveError(D5)</f>
        <v/>
      </c>
      <c r="F5" s="231"/>
    </row>
    <row r="6" spans="1:6" x14ac:dyDescent="0.2">
      <c r="A6" s="136"/>
      <c r="B6" s="242" t="s">
        <v>166</v>
      </c>
      <c r="C6" s="143" t="str">
        <f>Currency&amp;$B6&amp;"_SYNTH"&amp;Tenor&amp;QuoteSuffix</f>
        <v>EURSWD_SYNTH3M_Quote</v>
      </c>
      <c r="D6" s="143" t="str">
        <f>_xll.qlSimpleQuote(C6,,RateTickValue,Permanent,Trigger,ObjectOverwrite)</f>
        <v>EURSWD_SYNTH3M_Quote#0017</v>
      </c>
      <c r="E6" s="248" t="str">
        <f>_xll.ohRangeRetrieveError(D6)</f>
        <v/>
      </c>
      <c r="F6" s="231"/>
    </row>
    <row r="7" spans="1:6" x14ac:dyDescent="0.2">
      <c r="A7" s="136"/>
      <c r="B7" s="242" t="s">
        <v>165</v>
      </c>
      <c r="C7" s="143" t="str">
        <f>Currency&amp;$B7&amp;"_SYNTH"&amp;Tenor&amp;QuoteSuffix</f>
        <v>EUR2WD_SYNTH3M_Quote</v>
      </c>
      <c r="D7" s="143" t="str">
        <f>_xll.qlSimpleQuote(C7,,RateTickValue,Permanent,Trigger,ObjectOverwrite)</f>
        <v>EUR2WD_SYNTH3M_Quote#0017</v>
      </c>
      <c r="E7" s="248" t="str">
        <f>_xll.ohRangeRetrieveError(D7)</f>
        <v/>
      </c>
      <c r="F7" s="231"/>
    </row>
    <row r="8" spans="1:6" x14ac:dyDescent="0.2">
      <c r="A8" s="136"/>
      <c r="B8" s="242" t="s">
        <v>164</v>
      </c>
      <c r="C8" s="143" t="str">
        <f>Currency&amp;$B8&amp;"_SYNTH"&amp;Tenor&amp;QuoteSuffix</f>
        <v>EUR3WD_SYNTH3M_Quote</v>
      </c>
      <c r="D8" s="143" t="str">
        <f>_xll.qlSimpleQuote(C8,,RateTickValue,Permanent,Trigger,ObjectOverwrite)</f>
        <v>EUR3WD_SYNTH3M_Quote#0017</v>
      </c>
      <c r="E8" s="248" t="str">
        <f>_xll.ohRangeRetrieveError(D8)</f>
        <v/>
      </c>
      <c r="F8" s="231"/>
    </row>
    <row r="9" spans="1:6" x14ac:dyDescent="0.2">
      <c r="A9" s="136"/>
      <c r="B9" s="242" t="s">
        <v>163</v>
      </c>
      <c r="C9" s="143" t="str">
        <f>Currency&amp;$B9&amp;"_SYNTH"&amp;Tenor&amp;QuoteSuffix</f>
        <v>EUR1MD_SYNTH3M_Quote</v>
      </c>
      <c r="D9" s="143" t="str">
        <f>_xll.qlSimpleQuote(C9,,RateTickValue,Permanent,Trigger,ObjectOverwrite)</f>
        <v>EUR1MD_SYNTH3M_Quote#0017</v>
      </c>
      <c r="E9" s="248" t="str">
        <f>_xll.ohRangeRetrieveError(D9)</f>
        <v/>
      </c>
      <c r="F9" s="231"/>
    </row>
    <row r="10" spans="1:6" x14ac:dyDescent="0.2">
      <c r="A10" s="136"/>
      <c r="B10" s="242" t="s">
        <v>162</v>
      </c>
      <c r="C10" s="143" t="str">
        <f>Currency&amp;$B10&amp;"_SYNTH"&amp;Tenor&amp;QuoteSuffix</f>
        <v>EUR2MD_SYNTH3M_Quote</v>
      </c>
      <c r="D10" s="143" t="str">
        <f>_xll.qlSimpleQuote(C10,,RateTickValue,Permanent,Trigger,ObjectOverwrite)</f>
        <v>EUR2MD_SYNTH3M_Quote#0017</v>
      </c>
      <c r="E10" s="248" t="str">
        <f>_xll.ohRangeRetrieveError(D10)</f>
        <v/>
      </c>
      <c r="F10" s="231"/>
    </row>
    <row r="11" spans="1:6" x14ac:dyDescent="0.2">
      <c r="A11" s="136"/>
      <c r="B11" s="242" t="s">
        <v>161</v>
      </c>
      <c r="C11" s="143" t="str">
        <f>Currency&amp;$B11&amp;"_SYNTH"&amp;Tenor&amp;QuoteSuffix</f>
        <v>EUR3MD_SYNTH3M_Quote</v>
      </c>
      <c r="D11" s="143" t="str">
        <f>_xll.qlSimpleQuote(C11,,RateTickValue,Permanent,Trigger,ObjectOverwrite)</f>
        <v>EUR3MD_SYNTH3M_Quote#0017</v>
      </c>
      <c r="E11" s="248" t="str">
        <f>_xll.ohRangeRetrieveError(D11)</f>
        <v/>
      </c>
      <c r="F11" s="231"/>
    </row>
    <row r="12" spans="1:6" x14ac:dyDescent="0.2">
      <c r="A12" s="136"/>
      <c r="B12" s="247" t="s">
        <v>209</v>
      </c>
      <c r="C12" s="139" t="str">
        <f>Currency&amp;$B12&amp;"_SYNTH"&amp;Tenor&amp;QuoteSuffix</f>
        <v>EURTOY_SYNTH3M_Quote</v>
      </c>
      <c r="D12" s="139" t="str">
        <f>_xll.qlSimpleQuote(C12,1,RateTickValue,Permanent,Trigger,ObjectOverwrite)</f>
        <v>EURTOY_SYNTH3M_Quote#0017</v>
      </c>
      <c r="E12" s="246" t="str">
        <f>_xll.ohRangeRetrieveError(D12)</f>
        <v/>
      </c>
      <c r="F12" s="231"/>
    </row>
    <row r="13" spans="1:6" x14ac:dyDescent="0.2">
      <c r="A13" s="136"/>
      <c r="B13" s="245" t="s">
        <v>208</v>
      </c>
      <c r="C13" s="132" t="str">
        <f>Currency&amp;$B13&amp;"_SYNTH"&amp;Tenor&amp;QuoteSuffix</f>
        <v>EURTOY2_SYNTH3M_Quote</v>
      </c>
      <c r="D13" s="132" t="str">
        <f>_xll.qlSimpleQuote(C13,1,RateTickValue,Permanent,Trigger,ObjectOverwrite)</f>
        <v>EURTOY2_SYNTH3M_Quote#0017</v>
      </c>
      <c r="E13" s="244" t="str">
        <f>_xll.ohRangeRetrieveError(D13)</f>
        <v/>
      </c>
      <c r="F13" s="231"/>
    </row>
    <row r="14" spans="1:6" ht="12" thickBot="1" x14ac:dyDescent="0.25">
      <c r="A14" s="56"/>
      <c r="B14" s="55"/>
      <c r="C14" s="55"/>
      <c r="D14" s="55"/>
      <c r="E14" s="55"/>
      <c r="F14" s="54"/>
    </row>
  </sheetData>
  <pageMargins left="0.75" right="0.75" top="1" bottom="1" header="0.5" footer="0.5"/>
  <pageSetup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7"/>
  <sheetViews>
    <sheetView workbookViewId="0"/>
  </sheetViews>
  <sheetFormatPr defaultRowHeight="11.25" x14ac:dyDescent="0.2"/>
  <cols>
    <col min="1" max="1" width="5" style="77" customWidth="1"/>
    <col min="2" max="2" width="7.28515625" style="77" bestFit="1" customWidth="1"/>
    <col min="3" max="3" width="25.42578125" style="77" bestFit="1" customWidth="1"/>
    <col min="4" max="4" width="26.7109375" style="77" bestFit="1" customWidth="1"/>
    <col min="5" max="5" width="36.85546875" style="77" bestFit="1" customWidth="1"/>
    <col min="6" max="6" width="5" style="77" customWidth="1"/>
    <col min="7" max="16384" width="9.140625" style="77"/>
  </cols>
  <sheetData>
    <row r="1" spans="1:6" x14ac:dyDescent="0.2">
      <c r="A1" s="171" t="s">
        <v>211</v>
      </c>
      <c r="B1" s="239">
        <v>6</v>
      </c>
      <c r="C1" s="240" t="str">
        <f>_xll.qlPeriodEquivalent(Months&amp;"M")</f>
        <v>6M</v>
      </c>
      <c r="D1" s="239"/>
      <c r="E1" s="239"/>
      <c r="F1" s="238"/>
    </row>
    <row r="2" spans="1:6" x14ac:dyDescent="0.2">
      <c r="A2" s="136"/>
      <c r="B2" s="237"/>
      <c r="C2" s="236" t="str">
        <f>Currency&amp;"_015_SyntheticQuotes"&amp;Tenor&amp;".xml"</f>
        <v>EUR_015_SyntheticQuotes6M.xml</v>
      </c>
      <c r="D2" s="10">
        <f ca="1">IF(Serialize,_xll.ohObjectSave(D3:D16,SerializationPath&amp;C2,FileOverwrite,Serialize),"---")</f>
        <v>14</v>
      </c>
      <c r="E2" s="7" t="str">
        <f ca="1">_xll.ohRangeRetrieveError(D2)</f>
        <v/>
      </c>
      <c r="F2" s="231"/>
    </row>
    <row r="3" spans="1:6" x14ac:dyDescent="0.2">
      <c r="A3" s="136"/>
      <c r="B3" s="235" t="s">
        <v>169</v>
      </c>
      <c r="C3" s="139" t="str">
        <f>Currency&amp;$B3&amp;"_SYNTH"&amp;Tenor&amp;QuoteSuffix</f>
        <v>EUROND_SYNTH6M_Quote</v>
      </c>
      <c r="D3" s="139" t="str">
        <f>_xll.qlSimpleQuote(C3,,RateTickValue,Permanent,Trigger,ObjectOverwrite)</f>
        <v>EUROND_SYNTH6M_Quote#0016</v>
      </c>
      <c r="E3" s="246" t="str">
        <f>_xll.ohRangeRetrieveError(D3)</f>
        <v/>
      </c>
      <c r="F3" s="231"/>
    </row>
    <row r="4" spans="1:6" x14ac:dyDescent="0.2">
      <c r="A4" s="136"/>
      <c r="B4" s="243" t="s">
        <v>168</v>
      </c>
      <c r="C4" s="143" t="str">
        <f>Currency&amp;$B4&amp;"_SYNTH"&amp;Tenor&amp;QuoteSuffix</f>
        <v>EURTND_SYNTH6M_Quote</v>
      </c>
      <c r="D4" s="143" t="str">
        <f>_xll.qlSimpleQuote(C4,,RateTickValue,Permanent,Trigger,ObjectOverwrite)</f>
        <v>EURTND_SYNTH6M_Quote#0016</v>
      </c>
      <c r="E4" s="248" t="str">
        <f>_xll.ohRangeRetrieveError(D4)</f>
        <v/>
      </c>
      <c r="F4" s="231"/>
    </row>
    <row r="5" spans="1:6" x14ac:dyDescent="0.2">
      <c r="A5" s="136"/>
      <c r="B5" s="242" t="s">
        <v>167</v>
      </c>
      <c r="C5" s="143" t="str">
        <f>Currency&amp;$B5&amp;"_SYNTH"&amp;Tenor&amp;QuoteSuffix</f>
        <v>EURSND_SYNTH6M_Quote</v>
      </c>
      <c r="D5" s="143" t="str">
        <f>_xll.qlSimpleQuote(C5,,RateTickValue,Permanent,Trigger,ObjectOverwrite)</f>
        <v>EURSND_SYNTH6M_Quote#0016</v>
      </c>
      <c r="E5" s="248" t="str">
        <f>_xll.ohRangeRetrieveError(D5)</f>
        <v/>
      </c>
      <c r="F5" s="231"/>
    </row>
    <row r="6" spans="1:6" x14ac:dyDescent="0.2">
      <c r="A6" s="136"/>
      <c r="B6" s="242" t="s">
        <v>166</v>
      </c>
      <c r="C6" s="143" t="str">
        <f>Currency&amp;$B6&amp;"_SYNTH"&amp;Tenor&amp;QuoteSuffix</f>
        <v>EURSWD_SYNTH6M_Quote</v>
      </c>
      <c r="D6" s="143" t="str">
        <f>_xll.qlSimpleQuote(C6,,RateTickValue,Permanent,Trigger,ObjectOverwrite)</f>
        <v>EURSWD_SYNTH6M_Quote#0016</v>
      </c>
      <c r="E6" s="248" t="str">
        <f>_xll.ohRangeRetrieveError(D6)</f>
        <v/>
      </c>
      <c r="F6" s="231"/>
    </row>
    <row r="7" spans="1:6" x14ac:dyDescent="0.2">
      <c r="A7" s="136"/>
      <c r="B7" s="242" t="s">
        <v>165</v>
      </c>
      <c r="C7" s="143" t="str">
        <f>Currency&amp;$B7&amp;"_SYNTH"&amp;Tenor&amp;QuoteSuffix</f>
        <v>EUR2WD_SYNTH6M_Quote</v>
      </c>
      <c r="D7" s="143" t="str">
        <f>_xll.qlSimpleQuote(C7,,RateTickValue,Permanent,Trigger,ObjectOverwrite)</f>
        <v>EUR2WD_SYNTH6M_Quote#0016</v>
      </c>
      <c r="E7" s="248" t="str">
        <f>_xll.ohRangeRetrieveError(D7)</f>
        <v/>
      </c>
      <c r="F7" s="231"/>
    </row>
    <row r="8" spans="1:6" x14ac:dyDescent="0.2">
      <c r="A8" s="136"/>
      <c r="B8" s="242" t="s">
        <v>164</v>
      </c>
      <c r="C8" s="143" t="str">
        <f>Currency&amp;$B8&amp;"_SYNTH"&amp;Tenor&amp;QuoteSuffix</f>
        <v>EUR3WD_SYNTH6M_Quote</v>
      </c>
      <c r="D8" s="143" t="str">
        <f>_xll.qlSimpleQuote(C8,,RateTickValue,Permanent,Trigger,ObjectOverwrite)</f>
        <v>EUR3WD_SYNTH6M_Quote#0016</v>
      </c>
      <c r="E8" s="248" t="str">
        <f>_xll.ohRangeRetrieveError(D8)</f>
        <v/>
      </c>
      <c r="F8" s="231"/>
    </row>
    <row r="9" spans="1:6" x14ac:dyDescent="0.2">
      <c r="A9" s="136"/>
      <c r="B9" s="242" t="s">
        <v>163</v>
      </c>
      <c r="C9" s="143" t="str">
        <f>Currency&amp;$B9&amp;"_SYNTH"&amp;Tenor&amp;QuoteSuffix</f>
        <v>EUR1MD_SYNTH6M_Quote</v>
      </c>
      <c r="D9" s="143" t="str">
        <f>_xll.qlSimpleQuote(C9,,RateTickValue,Permanent,Trigger,ObjectOverwrite)</f>
        <v>EUR1MD_SYNTH6M_Quote#0016</v>
      </c>
      <c r="E9" s="248" t="str">
        <f>_xll.ohRangeRetrieveError(D9)</f>
        <v/>
      </c>
      <c r="F9" s="231"/>
    </row>
    <row r="10" spans="1:6" x14ac:dyDescent="0.2">
      <c r="A10" s="136"/>
      <c r="B10" s="242" t="s">
        <v>162</v>
      </c>
      <c r="C10" s="143" t="str">
        <f>Currency&amp;$B10&amp;"_SYNTH"&amp;Tenor&amp;QuoteSuffix</f>
        <v>EUR2MD_SYNTH6M_Quote</v>
      </c>
      <c r="D10" s="143" t="str">
        <f>_xll.qlSimpleQuote(C10,,RateTickValue,Permanent,Trigger,ObjectOverwrite)</f>
        <v>EUR2MD_SYNTH6M_Quote#0016</v>
      </c>
      <c r="E10" s="248" t="str">
        <f>_xll.ohRangeRetrieveError(D10)</f>
        <v/>
      </c>
      <c r="F10" s="231"/>
    </row>
    <row r="11" spans="1:6" x14ac:dyDescent="0.2">
      <c r="A11" s="136"/>
      <c r="B11" s="242" t="s">
        <v>161</v>
      </c>
      <c r="C11" s="143" t="str">
        <f>Currency&amp;$B11&amp;"_SYNTH"&amp;Tenor&amp;QuoteSuffix</f>
        <v>EUR3MD_SYNTH6M_Quote</v>
      </c>
      <c r="D11" s="143" t="str">
        <f>_xll.qlSimpleQuote(C11,,RateTickValue,Permanent,Trigger,ObjectOverwrite)</f>
        <v>EUR3MD_SYNTH6M_Quote#0016</v>
      </c>
      <c r="E11" s="248" t="str">
        <f>_xll.ohRangeRetrieveError(D11)</f>
        <v/>
      </c>
      <c r="F11" s="231"/>
    </row>
    <row r="12" spans="1:6" x14ac:dyDescent="0.2">
      <c r="A12" s="136"/>
      <c r="B12" s="242" t="s">
        <v>160</v>
      </c>
      <c r="C12" s="143" t="str">
        <f>Currency&amp;$B12&amp;"_SYNTH"&amp;Tenor&amp;QuoteSuffix</f>
        <v>EUR4MD_SYNTH6M_Quote</v>
      </c>
      <c r="D12" s="143" t="str">
        <f>_xll.qlSimpleQuote(C12,,RateTickValue,Permanent,Trigger,ObjectOverwrite)</f>
        <v>EUR4MD_SYNTH6M_Quote#0016</v>
      </c>
      <c r="E12" s="248" t="str">
        <f>_xll.ohRangeRetrieveError(D12)</f>
        <v/>
      </c>
      <c r="F12" s="231"/>
    </row>
    <row r="13" spans="1:6" x14ac:dyDescent="0.2">
      <c r="A13" s="136"/>
      <c r="B13" s="242" t="s">
        <v>159</v>
      </c>
      <c r="C13" s="143" t="str">
        <f>Currency&amp;$B13&amp;"_SYNTH"&amp;Tenor&amp;QuoteSuffix</f>
        <v>EUR5MD_SYNTH6M_Quote</v>
      </c>
      <c r="D13" s="143" t="str">
        <f>_xll.qlSimpleQuote(C13,,RateTickValue,Permanent,Trigger,ObjectOverwrite)</f>
        <v>EUR5MD_SYNTH6M_Quote#0016</v>
      </c>
      <c r="E13" s="248" t="str">
        <f>_xll.ohRangeRetrieveError(D13)</f>
        <v/>
      </c>
      <c r="F13" s="231"/>
    </row>
    <row r="14" spans="1:6" x14ac:dyDescent="0.2">
      <c r="A14" s="136"/>
      <c r="B14" s="245" t="s">
        <v>158</v>
      </c>
      <c r="C14" s="132" t="str">
        <f>Currency&amp;$B14&amp;"_SYNTH"&amp;Tenor&amp;QuoteSuffix</f>
        <v>EUR6MD_SYNTH6M_Quote</v>
      </c>
      <c r="D14" s="132" t="str">
        <f>_xll.qlSimpleQuote(C14,,RateTickValue,Permanent,Trigger,ObjectOverwrite)</f>
        <v>EUR6MD_SYNTH6M_Quote#0016</v>
      </c>
      <c r="E14" s="244" t="str">
        <f>_xll.ohRangeRetrieveError(D14)</f>
        <v/>
      </c>
      <c r="F14" s="231"/>
    </row>
    <row r="15" spans="1:6" x14ac:dyDescent="0.2">
      <c r="A15" s="136"/>
      <c r="B15" s="242" t="s">
        <v>209</v>
      </c>
      <c r="C15" s="143" t="str">
        <f>Currency&amp;$B15&amp;"_SYNTH"&amp;Tenor&amp;QuoteSuffix</f>
        <v>EURTOY_SYNTH6M_Quote</v>
      </c>
      <c r="D15" s="143" t="str">
        <f>_xll.qlSimpleQuote(C15,1,RateTickValue,Permanent,Trigger,ObjectOverwrite)</f>
        <v>EURTOY_SYNTH6M_Quote#0016</v>
      </c>
      <c r="E15" s="248" t="str">
        <f>_xll.ohRangeRetrieveError(D15)</f>
        <v/>
      </c>
      <c r="F15" s="231"/>
    </row>
    <row r="16" spans="1:6" x14ac:dyDescent="0.2">
      <c r="A16" s="136"/>
      <c r="B16" s="245" t="s">
        <v>208</v>
      </c>
      <c r="C16" s="132" t="str">
        <f>Currency&amp;$B16&amp;"_SYNTH"&amp;Tenor&amp;QuoteSuffix</f>
        <v>EURTOY2_SYNTH6M_Quote</v>
      </c>
      <c r="D16" s="132" t="str">
        <f>_xll.qlSimpleQuote(C16,1,RateTickValue,Permanent,Trigger,ObjectOverwrite)</f>
        <v>EURTOY2_SYNTH6M_Quote#0016</v>
      </c>
      <c r="E16" s="244" t="str">
        <f>_xll.ohRangeRetrieveError(D16)</f>
        <v/>
      </c>
      <c r="F16" s="231"/>
    </row>
    <row r="17" spans="1:6" ht="12" thickBot="1" x14ac:dyDescent="0.25">
      <c r="A17" s="56"/>
      <c r="B17" s="55"/>
      <c r="C17" s="55"/>
      <c r="D17" s="55"/>
      <c r="E17" s="55"/>
      <c r="F17" s="54"/>
    </row>
  </sheetData>
  <pageMargins left="0.75" right="0.75" top="1" bottom="1" header="0.5" footer="0.5"/>
  <pageSetup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65"/>
  <sheetViews>
    <sheetView workbookViewId="0"/>
  </sheetViews>
  <sheetFormatPr defaultRowHeight="11.25" x14ac:dyDescent="0.2"/>
  <cols>
    <col min="1" max="1" width="5" style="77" customWidth="1"/>
    <col min="2" max="2" width="6.140625" style="77" bestFit="1" customWidth="1"/>
    <col min="3" max="3" width="25.140625" style="77" bestFit="1" customWidth="1"/>
    <col min="4" max="4" width="26.7109375" style="77" bestFit="1" customWidth="1"/>
    <col min="5" max="5" width="36.85546875" style="77" bestFit="1" customWidth="1"/>
    <col min="6" max="6" width="5" style="77" customWidth="1"/>
    <col min="7" max="16384" width="9.140625" style="77"/>
  </cols>
  <sheetData>
    <row r="1" spans="1:6" x14ac:dyDescent="0.2">
      <c r="A1" s="171" t="s">
        <v>211</v>
      </c>
      <c r="B1" s="239">
        <v>12</v>
      </c>
      <c r="C1" s="240" t="str">
        <f>_xll.qlPeriodEquivalent(Months&amp;"M")</f>
        <v>1Y</v>
      </c>
      <c r="D1" s="239"/>
      <c r="E1" s="239"/>
      <c r="F1" s="238"/>
    </row>
    <row r="2" spans="1:6" x14ac:dyDescent="0.2">
      <c r="A2" s="136"/>
      <c r="B2" s="249"/>
      <c r="C2" s="236" t="str">
        <f>Currency&amp;"_015_SyntheticQuotes"&amp;Tenor&amp;".xml"</f>
        <v>EUR_015_SyntheticQuotes1Y.xml</v>
      </c>
      <c r="D2" s="10">
        <f ca="1">IF(Serialize,_xll.ohObjectSave(D3:D64,SerializationPath&amp;C2,FileOverwrite,Serialize),"---")</f>
        <v>62</v>
      </c>
      <c r="E2" s="7" t="str">
        <f ca="1">_xll.ohRangeRetrieveError(D2)</f>
        <v/>
      </c>
      <c r="F2" s="231"/>
    </row>
    <row r="3" spans="1:6" x14ac:dyDescent="0.2">
      <c r="A3" s="136"/>
      <c r="B3" s="243" t="s">
        <v>169</v>
      </c>
      <c r="C3" s="143" t="str">
        <f>Currency&amp;$B3&amp;"_SYNTH"&amp;Tenor&amp;QuoteSuffix</f>
        <v>EUROND_SYNTH1Y_Quote</v>
      </c>
      <c r="D3" s="143" t="str">
        <f>_xll.qlSimpleQuote(C3,,RateTickValue,Permanent,Trigger,ObjectOverwrite)</f>
        <v>EUROND_SYNTH1Y_Quote#0015</v>
      </c>
      <c r="E3" s="248" t="str">
        <f>_xll.ohRangeRetrieveError(D3)</f>
        <v/>
      </c>
      <c r="F3" s="231"/>
    </row>
    <row r="4" spans="1:6" x14ac:dyDescent="0.2">
      <c r="A4" s="136"/>
      <c r="B4" s="243" t="s">
        <v>168</v>
      </c>
      <c r="C4" s="143" t="str">
        <f>Currency&amp;$B4&amp;"_SYNTH"&amp;Tenor&amp;QuoteSuffix</f>
        <v>EURTND_SYNTH1Y_Quote</v>
      </c>
      <c r="D4" s="143" t="str">
        <f>_xll.qlSimpleQuote(C4,,RateTickValue,Permanent,Trigger,ObjectOverwrite)</f>
        <v>EURTND_SYNTH1Y_Quote#0015</v>
      </c>
      <c r="E4" s="248" t="str">
        <f>_xll.ohRangeRetrieveError(D4)</f>
        <v/>
      </c>
      <c r="F4" s="231"/>
    </row>
    <row r="5" spans="1:6" x14ac:dyDescent="0.2">
      <c r="A5" s="136"/>
      <c r="B5" s="242" t="s">
        <v>167</v>
      </c>
      <c r="C5" s="143" t="str">
        <f>Currency&amp;$B5&amp;"_SYNTH"&amp;Tenor&amp;QuoteSuffix</f>
        <v>EURSND_SYNTH1Y_Quote</v>
      </c>
      <c r="D5" s="143" t="str">
        <f>_xll.qlSimpleQuote(C5,,RateTickValue,Permanent,Trigger,ObjectOverwrite)</f>
        <v>EURSND_SYNTH1Y_Quote#0015</v>
      </c>
      <c r="E5" s="248" t="str">
        <f>_xll.ohRangeRetrieveError(D5)</f>
        <v/>
      </c>
      <c r="F5" s="231"/>
    </row>
    <row r="6" spans="1:6" x14ac:dyDescent="0.2">
      <c r="A6" s="136"/>
      <c r="B6" s="242" t="s">
        <v>166</v>
      </c>
      <c r="C6" s="143" t="str">
        <f>Currency&amp;$B6&amp;"_SYNTH"&amp;Tenor&amp;QuoteSuffix</f>
        <v>EURSWD_SYNTH1Y_Quote</v>
      </c>
      <c r="D6" s="143" t="str">
        <f>_xll.qlSimpleQuote(C6,,RateTickValue,Permanent,Trigger,ObjectOverwrite)</f>
        <v>EURSWD_SYNTH1Y_Quote#0015</v>
      </c>
      <c r="E6" s="248" t="str">
        <f>_xll.ohRangeRetrieveError(D6)</f>
        <v/>
      </c>
      <c r="F6" s="231"/>
    </row>
    <row r="7" spans="1:6" x14ac:dyDescent="0.2">
      <c r="A7" s="136"/>
      <c r="B7" s="242" t="s">
        <v>165</v>
      </c>
      <c r="C7" s="143" t="str">
        <f>Currency&amp;$B7&amp;"_SYNTH"&amp;Tenor&amp;QuoteSuffix</f>
        <v>EUR2WD_SYNTH1Y_Quote</v>
      </c>
      <c r="D7" s="143" t="str">
        <f>_xll.qlSimpleQuote(C7,,RateTickValue,Permanent,Trigger,ObjectOverwrite)</f>
        <v>EUR2WD_SYNTH1Y_Quote#0015</v>
      </c>
      <c r="E7" s="248" t="str">
        <f>_xll.ohRangeRetrieveError(D7)</f>
        <v/>
      </c>
      <c r="F7" s="231"/>
    </row>
    <row r="8" spans="1:6" x14ac:dyDescent="0.2">
      <c r="A8" s="136"/>
      <c r="B8" s="242" t="s">
        <v>164</v>
      </c>
      <c r="C8" s="143" t="str">
        <f>Currency&amp;$B8&amp;"_SYNTH"&amp;Tenor&amp;QuoteSuffix</f>
        <v>EUR3WD_SYNTH1Y_Quote</v>
      </c>
      <c r="D8" s="143" t="str">
        <f>_xll.qlSimpleQuote(C8,,RateTickValue,Permanent,Trigger,ObjectOverwrite)</f>
        <v>EUR3WD_SYNTH1Y_Quote#0015</v>
      </c>
      <c r="E8" s="248" t="str">
        <f>_xll.ohRangeRetrieveError(D8)</f>
        <v/>
      </c>
      <c r="F8" s="231"/>
    </row>
    <row r="9" spans="1:6" x14ac:dyDescent="0.2">
      <c r="A9" s="136"/>
      <c r="B9" s="242" t="s">
        <v>163</v>
      </c>
      <c r="C9" s="143" t="str">
        <f>Currency&amp;$B9&amp;"_SYNTH"&amp;Tenor&amp;QuoteSuffix</f>
        <v>EUR1MD_SYNTH1Y_Quote</v>
      </c>
      <c r="D9" s="143" t="str">
        <f>_xll.qlSimpleQuote(C9,,RateTickValue,Permanent,Trigger,ObjectOverwrite)</f>
        <v>EUR1MD_SYNTH1Y_Quote#0015</v>
      </c>
      <c r="E9" s="248" t="str">
        <f>_xll.ohRangeRetrieveError(D9)</f>
        <v/>
      </c>
      <c r="F9" s="231"/>
    </row>
    <row r="10" spans="1:6" x14ac:dyDescent="0.2">
      <c r="A10" s="136"/>
      <c r="B10" s="242" t="s">
        <v>162</v>
      </c>
      <c r="C10" s="143" t="str">
        <f>Currency&amp;$B10&amp;"_SYNTH"&amp;Tenor&amp;QuoteSuffix</f>
        <v>EUR2MD_SYNTH1Y_Quote</v>
      </c>
      <c r="D10" s="143" t="str">
        <f>_xll.qlSimpleQuote(C10,,RateTickValue,Permanent,Trigger,ObjectOverwrite)</f>
        <v>EUR2MD_SYNTH1Y_Quote#0015</v>
      </c>
      <c r="E10" s="248" t="str">
        <f>_xll.ohRangeRetrieveError(D10)</f>
        <v/>
      </c>
      <c r="F10" s="231"/>
    </row>
    <row r="11" spans="1:6" x14ac:dyDescent="0.2">
      <c r="A11" s="136"/>
      <c r="B11" s="242" t="s">
        <v>161</v>
      </c>
      <c r="C11" s="143" t="str">
        <f>Currency&amp;$B11&amp;"_SYNTH"&amp;Tenor&amp;QuoteSuffix</f>
        <v>EUR3MD_SYNTH1Y_Quote</v>
      </c>
      <c r="D11" s="143" t="str">
        <f>_xll.qlSimpleQuote(C11,,RateTickValue,Permanent,Trigger,ObjectOverwrite)</f>
        <v>EUR3MD_SYNTH1Y_Quote#0015</v>
      </c>
      <c r="E11" s="248" t="str">
        <f>_xll.ohRangeRetrieveError(D11)</f>
        <v/>
      </c>
      <c r="F11" s="231"/>
    </row>
    <row r="12" spans="1:6" x14ac:dyDescent="0.2">
      <c r="A12" s="136"/>
      <c r="B12" s="242" t="s">
        <v>160</v>
      </c>
      <c r="C12" s="143" t="str">
        <f>Currency&amp;$B12&amp;"_SYNTH"&amp;Tenor&amp;QuoteSuffix</f>
        <v>EUR4MD_SYNTH1Y_Quote</v>
      </c>
      <c r="D12" s="143" t="str">
        <f>_xll.qlSimpleQuote(C12,,RateTickValue,Permanent,Trigger,ObjectOverwrite)</f>
        <v>EUR4MD_SYNTH1Y_Quote#0015</v>
      </c>
      <c r="E12" s="248" t="str">
        <f>_xll.ohRangeRetrieveError(D12)</f>
        <v/>
      </c>
      <c r="F12" s="231"/>
    </row>
    <row r="13" spans="1:6" x14ac:dyDescent="0.2">
      <c r="A13" s="136"/>
      <c r="B13" s="242" t="s">
        <v>159</v>
      </c>
      <c r="C13" s="143" t="str">
        <f>Currency&amp;$B13&amp;"_SYNTH"&amp;Tenor&amp;QuoteSuffix</f>
        <v>EUR5MD_SYNTH1Y_Quote</v>
      </c>
      <c r="D13" s="143" t="str">
        <f>_xll.qlSimpleQuote(C13,,RateTickValue,Permanent,Trigger,ObjectOverwrite)</f>
        <v>EUR5MD_SYNTH1Y_Quote#0015</v>
      </c>
      <c r="E13" s="248" t="str">
        <f>_xll.ohRangeRetrieveError(D13)</f>
        <v/>
      </c>
      <c r="F13" s="231"/>
    </row>
    <row r="14" spans="1:6" x14ac:dyDescent="0.2">
      <c r="A14" s="136"/>
      <c r="B14" s="242" t="s">
        <v>158</v>
      </c>
      <c r="C14" s="143" t="str">
        <f>Currency&amp;$B14&amp;"_SYNTH"&amp;Tenor&amp;QuoteSuffix</f>
        <v>EUR6MD_SYNTH1Y_Quote</v>
      </c>
      <c r="D14" s="143" t="str">
        <f>_xll.qlSimpleQuote(C14,,RateTickValue,Permanent,Trigger,ObjectOverwrite)</f>
        <v>EUR6MD_SYNTH1Y_Quote#0015</v>
      </c>
      <c r="E14" s="248" t="str">
        <f>_xll.ohRangeRetrieveError(D14)</f>
        <v/>
      </c>
      <c r="F14" s="231"/>
    </row>
    <row r="15" spans="1:6" x14ac:dyDescent="0.2">
      <c r="A15" s="136"/>
      <c r="B15" s="242" t="s">
        <v>157</v>
      </c>
      <c r="C15" s="143" t="str">
        <f>Currency&amp;$B15&amp;"_SYNTH"&amp;Tenor&amp;QuoteSuffix</f>
        <v>EUR7MD_SYNTH1Y_Quote</v>
      </c>
      <c r="D15" s="143" t="str">
        <f>_xll.qlSimpleQuote(C15,,RateTickValue,Permanent,Trigger,ObjectOverwrite)</f>
        <v>EUR7MD_SYNTH1Y_Quote#0015</v>
      </c>
      <c r="E15" s="248" t="str">
        <f>_xll.ohRangeRetrieveError(D15)</f>
        <v/>
      </c>
      <c r="F15" s="231"/>
    </row>
    <row r="16" spans="1:6" x14ac:dyDescent="0.2">
      <c r="A16" s="136"/>
      <c r="B16" s="242" t="s">
        <v>156</v>
      </c>
      <c r="C16" s="143" t="str">
        <f>Currency&amp;$B16&amp;"_SYNTH"&amp;Tenor&amp;QuoteSuffix</f>
        <v>EUR8MD_SYNTH1Y_Quote</v>
      </c>
      <c r="D16" s="143" t="str">
        <f>_xll.qlSimpleQuote(C16,,RateTickValue,Permanent,Trigger,ObjectOverwrite)</f>
        <v>EUR8MD_SYNTH1Y_Quote#0015</v>
      </c>
      <c r="E16" s="248" t="str">
        <f>_xll.ohRangeRetrieveError(D16)</f>
        <v/>
      </c>
      <c r="F16" s="231"/>
    </row>
    <row r="17" spans="1:6" x14ac:dyDescent="0.2">
      <c r="A17" s="136"/>
      <c r="B17" s="242" t="s">
        <v>155</v>
      </c>
      <c r="C17" s="143" t="str">
        <f>Currency&amp;$B17&amp;"_SYNTH"&amp;Tenor&amp;QuoteSuffix</f>
        <v>EUR9MD_SYNTH1Y_Quote</v>
      </c>
      <c r="D17" s="143" t="str">
        <f>_xll.qlSimpleQuote(C17,,RateTickValue,Permanent,Trigger,ObjectOverwrite)</f>
        <v>EUR9MD_SYNTH1Y_Quote#0015</v>
      </c>
      <c r="E17" s="248" t="str">
        <f>_xll.ohRangeRetrieveError(D17)</f>
        <v/>
      </c>
      <c r="F17" s="231"/>
    </row>
    <row r="18" spans="1:6" x14ac:dyDescent="0.2">
      <c r="A18" s="136"/>
      <c r="B18" s="242" t="s">
        <v>154</v>
      </c>
      <c r="C18" s="143" t="str">
        <f>Currency&amp;$B18&amp;"_SYNTH"&amp;Tenor&amp;QuoteSuffix</f>
        <v>EUR10MD_SYNTH1Y_Quote</v>
      </c>
      <c r="D18" s="143" t="str">
        <f>_xll.qlSimpleQuote(C18,,RateTickValue,Permanent,Trigger,ObjectOverwrite)</f>
        <v>EUR10MD_SYNTH1Y_Quote#0015</v>
      </c>
      <c r="E18" s="248" t="str">
        <f>_xll.ohRangeRetrieveError(D18)</f>
        <v/>
      </c>
      <c r="F18" s="231"/>
    </row>
    <row r="19" spans="1:6" x14ac:dyDescent="0.2">
      <c r="A19" s="136"/>
      <c r="B19" s="242" t="s">
        <v>153</v>
      </c>
      <c r="C19" s="143" t="str">
        <f>Currency&amp;$B19&amp;"_SYNTH"&amp;Tenor&amp;QuoteSuffix</f>
        <v>EUR11MD_SYNTH1Y_Quote</v>
      </c>
      <c r="D19" s="143" t="str">
        <f>_xll.qlSimpleQuote(C19,,RateTickValue,Permanent,Trigger,ObjectOverwrite)</f>
        <v>EUR11MD_SYNTH1Y_Quote#0015</v>
      </c>
      <c r="E19" s="248" t="str">
        <f>_xll.ohRangeRetrieveError(D19)</f>
        <v/>
      </c>
      <c r="F19" s="231"/>
    </row>
    <row r="20" spans="1:6" x14ac:dyDescent="0.2">
      <c r="A20" s="136"/>
      <c r="B20" s="245" t="s">
        <v>152</v>
      </c>
      <c r="C20" s="132" t="str">
        <f>Currency&amp;$B20&amp;"_SYNTH"&amp;Tenor&amp;QuoteSuffix</f>
        <v>EUR1YD_SYNTH1Y_Quote</v>
      </c>
      <c r="D20" s="132" t="str">
        <f>_xll.qlSimpleQuote(C20,,RateTickValue,Permanent,Trigger,ObjectOverwrite)</f>
        <v>EUR1YD_SYNTH1Y_Quote#0015</v>
      </c>
      <c r="E20" s="244" t="str">
        <f>_xll.ohRangeRetrieveError(D20)</f>
        <v/>
      </c>
      <c r="F20" s="231"/>
    </row>
    <row r="21" spans="1:6" x14ac:dyDescent="0.2">
      <c r="A21" s="136">
        <v>1</v>
      </c>
      <c r="B21" s="247" t="str">
        <f>A21&amp;"x"&amp;A21+Months&amp;"F"</f>
        <v>1x13F</v>
      </c>
      <c r="C21" s="139" t="str">
        <f>Currency&amp;$B21&amp;"_SYNTH"&amp;Tenor&amp;QuoteSuffix</f>
        <v>EUR1x13F_SYNTH1Y_Quote</v>
      </c>
      <c r="D21" s="139" t="str">
        <f>_xll.qlSimpleQuote(C21,,RateTickValue,Permanent,Trigger,ObjectOverwrite)</f>
        <v>EUR1x13F_SYNTH1Y_Quote#0015</v>
      </c>
      <c r="E21" s="246" t="str">
        <f>_xll.ohRangeRetrieveError(D21)</f>
        <v/>
      </c>
      <c r="F21" s="231"/>
    </row>
    <row r="22" spans="1:6" x14ac:dyDescent="0.2">
      <c r="A22" s="136">
        <v>2</v>
      </c>
      <c r="B22" s="242" t="str">
        <f>A22&amp;"x"&amp;A22+Months&amp;"F"</f>
        <v>2x14F</v>
      </c>
      <c r="C22" s="143" t="str">
        <f>Currency&amp;$B22&amp;"_SYNTH"&amp;Tenor&amp;QuoteSuffix</f>
        <v>EUR2x14F_SYNTH1Y_Quote</v>
      </c>
      <c r="D22" s="143" t="str">
        <f>_xll.qlSimpleQuote(C22,,RateTickValue,Permanent,Trigger,ObjectOverwrite)</f>
        <v>EUR2x14F_SYNTH1Y_Quote#0015</v>
      </c>
      <c r="E22" s="248" t="str">
        <f>_xll.ohRangeRetrieveError(D22)</f>
        <v/>
      </c>
      <c r="F22" s="231"/>
    </row>
    <row r="23" spans="1:6" x14ac:dyDescent="0.2">
      <c r="A23" s="136">
        <v>3</v>
      </c>
      <c r="B23" s="242" t="str">
        <f>A23&amp;"x"&amp;A23+Months&amp;"F"</f>
        <v>3x15F</v>
      </c>
      <c r="C23" s="143" t="str">
        <f>Currency&amp;$B23&amp;"_SYNTH"&amp;Tenor&amp;QuoteSuffix</f>
        <v>EUR3x15F_SYNTH1Y_Quote</v>
      </c>
      <c r="D23" s="143" t="str">
        <f>_xll.qlSimpleQuote(C23,,RateTickValue,Permanent,Trigger,ObjectOverwrite)</f>
        <v>EUR3x15F_SYNTH1Y_Quote#0015</v>
      </c>
      <c r="E23" s="248" t="str">
        <f>_xll.ohRangeRetrieveError(D23)</f>
        <v/>
      </c>
      <c r="F23" s="231"/>
    </row>
    <row r="24" spans="1:6" x14ac:dyDescent="0.2">
      <c r="A24" s="136">
        <v>4</v>
      </c>
      <c r="B24" s="242" t="str">
        <f>A24&amp;"x"&amp;A24+Months&amp;"F"</f>
        <v>4x16F</v>
      </c>
      <c r="C24" s="143" t="str">
        <f>Currency&amp;$B24&amp;"_SYNTH"&amp;Tenor&amp;QuoteSuffix</f>
        <v>EUR4x16F_SYNTH1Y_Quote</v>
      </c>
      <c r="D24" s="143" t="str">
        <f>_xll.qlSimpleQuote(C24,,RateTickValue,Permanent,Trigger,ObjectOverwrite)</f>
        <v>EUR4x16F_SYNTH1Y_Quote#0015</v>
      </c>
      <c r="E24" s="248" t="str">
        <f>_xll.ohRangeRetrieveError(D24)</f>
        <v/>
      </c>
      <c r="F24" s="231"/>
    </row>
    <row r="25" spans="1:6" x14ac:dyDescent="0.2">
      <c r="A25" s="136">
        <v>5</v>
      </c>
      <c r="B25" s="242" t="str">
        <f>A25&amp;"x"&amp;A25+Months&amp;"F"</f>
        <v>5x17F</v>
      </c>
      <c r="C25" s="143" t="str">
        <f>Currency&amp;$B25&amp;"_SYNTH"&amp;Tenor&amp;QuoteSuffix</f>
        <v>EUR5x17F_SYNTH1Y_Quote</v>
      </c>
      <c r="D25" s="143" t="str">
        <f>_xll.qlSimpleQuote(C25,,RateTickValue,Permanent,Trigger,ObjectOverwrite)</f>
        <v>EUR5x17F_SYNTH1Y_Quote#0015</v>
      </c>
      <c r="E25" s="248" t="str">
        <f>_xll.ohRangeRetrieveError(D25)</f>
        <v/>
      </c>
      <c r="F25" s="231"/>
    </row>
    <row r="26" spans="1:6" x14ac:dyDescent="0.2">
      <c r="A26" s="136">
        <v>6</v>
      </c>
      <c r="B26" s="242" t="str">
        <f>A26&amp;"x"&amp;A26+Months&amp;"F"</f>
        <v>6x18F</v>
      </c>
      <c r="C26" s="143" t="str">
        <f>Currency&amp;$B26&amp;"_SYNTH"&amp;Tenor&amp;QuoteSuffix</f>
        <v>EUR6x18F_SYNTH1Y_Quote</v>
      </c>
      <c r="D26" s="143" t="str">
        <f>_xll.qlSimpleQuote(C26,,RateTickValue,Permanent,Trigger,ObjectOverwrite)</f>
        <v>EUR6x18F_SYNTH1Y_Quote#0015</v>
      </c>
      <c r="E26" s="248" t="str">
        <f>_xll.ohRangeRetrieveError(D26)</f>
        <v/>
      </c>
      <c r="F26" s="231"/>
    </row>
    <row r="27" spans="1:6" x14ac:dyDescent="0.2">
      <c r="A27" s="136">
        <v>7</v>
      </c>
      <c r="B27" s="242" t="str">
        <f>A27&amp;"x"&amp;A27+Months&amp;"F"</f>
        <v>7x19F</v>
      </c>
      <c r="C27" s="143" t="str">
        <f>Currency&amp;$B27&amp;"_SYNTH"&amp;Tenor&amp;QuoteSuffix</f>
        <v>EUR7x19F_SYNTH1Y_Quote</v>
      </c>
      <c r="D27" s="143" t="str">
        <f>_xll.qlSimpleQuote(C27,,RateTickValue,Permanent,Trigger,ObjectOverwrite)</f>
        <v>EUR7x19F_SYNTH1Y_Quote#0015</v>
      </c>
      <c r="E27" s="248" t="str">
        <f>_xll.ohRangeRetrieveError(D27)</f>
        <v/>
      </c>
      <c r="F27" s="231"/>
    </row>
    <row r="28" spans="1:6" x14ac:dyDescent="0.2">
      <c r="A28" s="136">
        <v>8</v>
      </c>
      <c r="B28" s="242" t="str">
        <f>A28&amp;"x"&amp;A28+Months&amp;"F"</f>
        <v>8x20F</v>
      </c>
      <c r="C28" s="143" t="str">
        <f>Currency&amp;$B28&amp;"_SYNTH"&amp;Tenor&amp;QuoteSuffix</f>
        <v>EUR8x20F_SYNTH1Y_Quote</v>
      </c>
      <c r="D28" s="143" t="str">
        <f>_xll.qlSimpleQuote(C28,,RateTickValue,Permanent,Trigger,ObjectOverwrite)</f>
        <v>EUR8x20F_SYNTH1Y_Quote#0015</v>
      </c>
      <c r="E28" s="248" t="str">
        <f>_xll.ohRangeRetrieveError(D28)</f>
        <v/>
      </c>
      <c r="F28" s="231"/>
    </row>
    <row r="29" spans="1:6" x14ac:dyDescent="0.2">
      <c r="A29" s="136">
        <v>9</v>
      </c>
      <c r="B29" s="242" t="str">
        <f>A29&amp;"x"&amp;A29+Months&amp;"F"</f>
        <v>9x21F</v>
      </c>
      <c r="C29" s="143" t="str">
        <f>Currency&amp;$B29&amp;"_SYNTH"&amp;Tenor&amp;QuoteSuffix</f>
        <v>EUR9x21F_SYNTH1Y_Quote</v>
      </c>
      <c r="D29" s="143" t="str">
        <f>_xll.qlSimpleQuote(C29,,RateTickValue,Permanent,Trigger,ObjectOverwrite)</f>
        <v>EUR9x21F_SYNTH1Y_Quote#0015</v>
      </c>
      <c r="E29" s="248" t="str">
        <f>_xll.ohRangeRetrieveError(D29)</f>
        <v/>
      </c>
      <c r="F29" s="231"/>
    </row>
    <row r="30" spans="1:6" x14ac:dyDescent="0.2">
      <c r="A30" s="136">
        <v>10</v>
      </c>
      <c r="B30" s="242" t="str">
        <f>A30&amp;"x"&amp;A30+Months&amp;"F"</f>
        <v>10x22F</v>
      </c>
      <c r="C30" s="143" t="str">
        <f>Currency&amp;$B30&amp;"_SYNTH"&amp;Tenor&amp;QuoteSuffix</f>
        <v>EUR10x22F_SYNTH1Y_Quote</v>
      </c>
      <c r="D30" s="143" t="str">
        <f>_xll.qlSimpleQuote(C30,,RateTickValue,Permanent,Trigger,ObjectOverwrite)</f>
        <v>EUR10x22F_SYNTH1Y_Quote#0015</v>
      </c>
      <c r="E30" s="248" t="str">
        <f>_xll.ohRangeRetrieveError(D30)</f>
        <v/>
      </c>
      <c r="F30" s="231"/>
    </row>
    <row r="31" spans="1:6" x14ac:dyDescent="0.2">
      <c r="A31" s="136">
        <v>11</v>
      </c>
      <c r="B31" s="242" t="str">
        <f>A31&amp;"x"&amp;A31+Months&amp;"F"</f>
        <v>11x23F</v>
      </c>
      <c r="C31" s="143" t="str">
        <f>Currency&amp;$B31&amp;"_SYNTH"&amp;Tenor&amp;QuoteSuffix</f>
        <v>EUR11x23F_SYNTH1Y_Quote</v>
      </c>
      <c r="D31" s="143" t="str">
        <f>_xll.qlSimpleQuote(C31,,RateTickValue,Permanent,Trigger,ObjectOverwrite)</f>
        <v>EUR11x23F_SYNTH1Y_Quote#0015</v>
      </c>
      <c r="E31" s="248" t="str">
        <f>_xll.ohRangeRetrieveError(D31)</f>
        <v/>
      </c>
      <c r="F31" s="231"/>
    </row>
    <row r="32" spans="1:6" x14ac:dyDescent="0.2">
      <c r="A32" s="136">
        <v>13</v>
      </c>
      <c r="B32" s="242" t="str">
        <f>A32&amp;"x"&amp;A32+Months&amp;"F"</f>
        <v>13x25F</v>
      </c>
      <c r="C32" s="143" t="str">
        <f>Currency&amp;$B32&amp;"_SYNTH"&amp;Tenor&amp;QuoteSuffix</f>
        <v>EUR13x25F_SYNTH1Y_Quote</v>
      </c>
      <c r="D32" s="143" t="str">
        <f>_xll.qlSimpleQuote(C32,,RateTickValue,Permanent,Trigger,ObjectOverwrite)</f>
        <v>EUR13x25F_SYNTH1Y_Quote#0015</v>
      </c>
      <c r="E32" s="248" t="str">
        <f>_xll.ohRangeRetrieveError(D32)</f>
        <v/>
      </c>
      <c r="F32" s="231"/>
    </row>
    <row r="33" spans="1:6" x14ac:dyDescent="0.2">
      <c r="A33" s="136">
        <v>14</v>
      </c>
      <c r="B33" s="242" t="str">
        <f>A33&amp;"x"&amp;A33+Months&amp;"F"</f>
        <v>14x26F</v>
      </c>
      <c r="C33" s="143" t="str">
        <f>Currency&amp;$B33&amp;"_SYNTH"&amp;Tenor&amp;QuoteSuffix</f>
        <v>EUR14x26F_SYNTH1Y_Quote</v>
      </c>
      <c r="D33" s="143" t="str">
        <f>_xll.qlSimpleQuote(C33,,RateTickValue,Permanent,Trigger,ObjectOverwrite)</f>
        <v>EUR14x26F_SYNTH1Y_Quote#0015</v>
      </c>
      <c r="E33" s="248" t="str">
        <f>_xll.ohRangeRetrieveError(D33)</f>
        <v/>
      </c>
      <c r="F33" s="231"/>
    </row>
    <row r="34" spans="1:6" x14ac:dyDescent="0.2">
      <c r="A34" s="136">
        <v>15</v>
      </c>
      <c r="B34" s="242" t="str">
        <f>A34&amp;"x"&amp;A34+Months&amp;"F"</f>
        <v>15x27F</v>
      </c>
      <c r="C34" s="143" t="str">
        <f>Currency&amp;$B34&amp;"_SYNTH"&amp;Tenor&amp;QuoteSuffix</f>
        <v>EUR15x27F_SYNTH1Y_Quote</v>
      </c>
      <c r="D34" s="143" t="str">
        <f>_xll.qlSimpleQuote(C34,,RateTickValue,Permanent,Trigger,ObjectOverwrite)</f>
        <v>EUR15x27F_SYNTH1Y_Quote#0015</v>
      </c>
      <c r="E34" s="248" t="str">
        <f>_xll.ohRangeRetrieveError(D34)</f>
        <v/>
      </c>
      <c r="F34" s="231"/>
    </row>
    <row r="35" spans="1:6" x14ac:dyDescent="0.2">
      <c r="A35" s="136">
        <v>16</v>
      </c>
      <c r="B35" s="242" t="str">
        <f>A35&amp;"x"&amp;A35+Months&amp;"F"</f>
        <v>16x28F</v>
      </c>
      <c r="C35" s="143" t="str">
        <f>Currency&amp;$B35&amp;"_SYNTH"&amp;Tenor&amp;QuoteSuffix</f>
        <v>EUR16x28F_SYNTH1Y_Quote</v>
      </c>
      <c r="D35" s="143" t="str">
        <f>_xll.qlSimpleQuote(C35,,RateTickValue,Permanent,Trigger,ObjectOverwrite)</f>
        <v>EUR16x28F_SYNTH1Y_Quote#0015</v>
      </c>
      <c r="E35" s="248" t="str">
        <f>_xll.ohRangeRetrieveError(D35)</f>
        <v/>
      </c>
      <c r="F35" s="231"/>
    </row>
    <row r="36" spans="1:6" x14ac:dyDescent="0.2">
      <c r="A36" s="136">
        <v>17</v>
      </c>
      <c r="B36" s="242" t="str">
        <f>A36&amp;"x"&amp;A36+Months&amp;"F"</f>
        <v>17x29F</v>
      </c>
      <c r="C36" s="143" t="str">
        <f>Currency&amp;$B36&amp;"_SYNTH"&amp;Tenor&amp;QuoteSuffix</f>
        <v>EUR17x29F_SYNTH1Y_Quote</v>
      </c>
      <c r="D36" s="143" t="str">
        <f>_xll.qlSimpleQuote(C36,,RateTickValue,Permanent,Trigger,ObjectOverwrite)</f>
        <v>EUR17x29F_SYNTH1Y_Quote#0015</v>
      </c>
      <c r="E36" s="248" t="str">
        <f>_xll.ohRangeRetrieveError(D36)</f>
        <v/>
      </c>
      <c r="F36" s="231"/>
    </row>
    <row r="37" spans="1:6" x14ac:dyDescent="0.2">
      <c r="A37" s="136">
        <v>18</v>
      </c>
      <c r="B37" s="242" t="str">
        <f>A37&amp;"x"&amp;A37+Months&amp;"F"</f>
        <v>18x30F</v>
      </c>
      <c r="C37" s="143" t="str">
        <f>Currency&amp;$B37&amp;"_SYNTH"&amp;Tenor&amp;QuoteSuffix</f>
        <v>EUR18x30F_SYNTH1Y_Quote</v>
      </c>
      <c r="D37" s="143" t="str">
        <f>_xll.qlSimpleQuote(C37,,RateTickValue,Permanent,Trigger,ObjectOverwrite)</f>
        <v>EUR18x30F_SYNTH1Y_Quote#0015</v>
      </c>
      <c r="E37" s="248" t="str">
        <f>_xll.ohRangeRetrieveError(D37)</f>
        <v/>
      </c>
      <c r="F37" s="231"/>
    </row>
    <row r="38" spans="1:6" x14ac:dyDescent="0.2">
      <c r="A38" s="136">
        <v>19</v>
      </c>
      <c r="B38" s="242" t="str">
        <f>A38&amp;"x"&amp;A38+Months&amp;"F"</f>
        <v>19x31F</v>
      </c>
      <c r="C38" s="143" t="str">
        <f>Currency&amp;$B38&amp;"_SYNTH"&amp;Tenor&amp;QuoteSuffix</f>
        <v>EUR19x31F_SYNTH1Y_Quote</v>
      </c>
      <c r="D38" s="143" t="str">
        <f>_xll.qlSimpleQuote(C38,,RateTickValue,Permanent,Trigger,ObjectOverwrite)</f>
        <v>EUR19x31F_SYNTH1Y_Quote#0015</v>
      </c>
      <c r="E38" s="248" t="str">
        <f>_xll.ohRangeRetrieveError(D38)</f>
        <v/>
      </c>
      <c r="F38" s="231"/>
    </row>
    <row r="39" spans="1:6" x14ac:dyDescent="0.2">
      <c r="A39" s="136">
        <v>20</v>
      </c>
      <c r="B39" s="242" t="str">
        <f>A39&amp;"x"&amp;A39+Months&amp;"F"</f>
        <v>20x32F</v>
      </c>
      <c r="C39" s="143" t="str">
        <f>Currency&amp;$B39&amp;"_SYNTH"&amp;Tenor&amp;QuoteSuffix</f>
        <v>EUR20x32F_SYNTH1Y_Quote</v>
      </c>
      <c r="D39" s="143" t="str">
        <f>_xll.qlSimpleQuote(C39,,RateTickValue,Permanent,Trigger,ObjectOverwrite)</f>
        <v>EUR20x32F_SYNTH1Y_Quote#0015</v>
      </c>
      <c r="E39" s="248" t="str">
        <f>_xll.ohRangeRetrieveError(D39)</f>
        <v/>
      </c>
      <c r="F39" s="231"/>
    </row>
    <row r="40" spans="1:6" x14ac:dyDescent="0.2">
      <c r="A40" s="136">
        <v>21</v>
      </c>
      <c r="B40" s="242" t="str">
        <f>A40&amp;"x"&amp;A40+Months&amp;"F"</f>
        <v>21x33F</v>
      </c>
      <c r="C40" s="143" t="str">
        <f>Currency&amp;$B40&amp;"_SYNTH"&amp;Tenor&amp;QuoteSuffix</f>
        <v>EUR21x33F_SYNTH1Y_Quote</v>
      </c>
      <c r="D40" s="143" t="str">
        <f>_xll.qlSimpleQuote(C40,,RateTickValue,Permanent,Trigger,ObjectOverwrite)</f>
        <v>EUR21x33F_SYNTH1Y_Quote#0015</v>
      </c>
      <c r="E40" s="248" t="str">
        <f>_xll.ohRangeRetrieveError(D40)</f>
        <v/>
      </c>
      <c r="F40" s="231"/>
    </row>
    <row r="41" spans="1:6" x14ac:dyDescent="0.2">
      <c r="A41" s="136">
        <v>22</v>
      </c>
      <c r="B41" s="242" t="str">
        <f>A41&amp;"x"&amp;A41+Months&amp;"F"</f>
        <v>22x34F</v>
      </c>
      <c r="C41" s="143" t="str">
        <f>Currency&amp;$B41&amp;"_SYNTH"&amp;Tenor&amp;QuoteSuffix</f>
        <v>EUR22x34F_SYNTH1Y_Quote</v>
      </c>
      <c r="D41" s="143" t="str">
        <f>_xll.qlSimpleQuote(C41,,RateTickValue,Permanent,Trigger,ObjectOverwrite)</f>
        <v>EUR22x34F_SYNTH1Y_Quote#0015</v>
      </c>
      <c r="E41" s="248" t="str">
        <f>_xll.ohRangeRetrieveError(D41)</f>
        <v/>
      </c>
      <c r="F41" s="231"/>
    </row>
    <row r="42" spans="1:6" x14ac:dyDescent="0.2">
      <c r="A42" s="136">
        <v>23</v>
      </c>
      <c r="B42" s="242" t="str">
        <f>A42&amp;"x"&amp;A42+Months&amp;"F"</f>
        <v>23x35F</v>
      </c>
      <c r="C42" s="143" t="str">
        <f>Currency&amp;$B42&amp;"_SYNTH"&amp;Tenor&amp;QuoteSuffix</f>
        <v>EUR23x35F_SYNTH1Y_Quote</v>
      </c>
      <c r="D42" s="143" t="str">
        <f>_xll.qlSimpleQuote(C42,,RateTickValue,Permanent,Trigger,ObjectOverwrite)</f>
        <v>EUR23x35F_SYNTH1Y_Quote#0015</v>
      </c>
      <c r="E42" s="248" t="str">
        <f>_xll.ohRangeRetrieveError(D42)</f>
        <v/>
      </c>
      <c r="F42" s="231"/>
    </row>
    <row r="43" spans="1:6" x14ac:dyDescent="0.2">
      <c r="A43" s="136">
        <v>25</v>
      </c>
      <c r="B43" s="242" t="str">
        <f>A43&amp;"x"&amp;A43+Months&amp;"F"</f>
        <v>25x37F</v>
      </c>
      <c r="C43" s="143" t="str">
        <f>Currency&amp;$B43&amp;"_SYNTH"&amp;Tenor&amp;QuoteSuffix</f>
        <v>EUR25x37F_SYNTH1Y_Quote</v>
      </c>
      <c r="D43" s="143" t="str">
        <f>_xll.qlSimpleQuote(C43,,RateTickValue,Permanent,Trigger,ObjectOverwrite)</f>
        <v>EUR25x37F_SYNTH1Y_Quote#0015</v>
      </c>
      <c r="E43" s="248" t="str">
        <f>_xll.ohRangeRetrieveError(D43)</f>
        <v/>
      </c>
      <c r="F43" s="231"/>
    </row>
    <row r="44" spans="1:6" x14ac:dyDescent="0.2">
      <c r="A44" s="136">
        <v>26</v>
      </c>
      <c r="B44" s="242" t="str">
        <f>A44&amp;"x"&amp;A44+Months&amp;"F"</f>
        <v>26x38F</v>
      </c>
      <c r="C44" s="143" t="str">
        <f>Currency&amp;$B44&amp;"_SYNTH"&amp;Tenor&amp;QuoteSuffix</f>
        <v>EUR26x38F_SYNTH1Y_Quote</v>
      </c>
      <c r="D44" s="143" t="str">
        <f>_xll.qlSimpleQuote(C44,,RateTickValue,Permanent,Trigger,ObjectOverwrite)</f>
        <v>EUR26x38F_SYNTH1Y_Quote#0015</v>
      </c>
      <c r="E44" s="248" t="str">
        <f>_xll.ohRangeRetrieveError(D44)</f>
        <v/>
      </c>
      <c r="F44" s="231"/>
    </row>
    <row r="45" spans="1:6" x14ac:dyDescent="0.2">
      <c r="A45" s="136">
        <v>27</v>
      </c>
      <c r="B45" s="242" t="str">
        <f>A45&amp;"x"&amp;A45+Months&amp;"F"</f>
        <v>27x39F</v>
      </c>
      <c r="C45" s="143" t="str">
        <f>Currency&amp;$B45&amp;"_SYNTH"&amp;Tenor&amp;QuoteSuffix</f>
        <v>EUR27x39F_SYNTH1Y_Quote</v>
      </c>
      <c r="D45" s="143" t="str">
        <f>_xll.qlSimpleQuote(C45,,RateTickValue,Permanent,Trigger,ObjectOverwrite)</f>
        <v>EUR27x39F_SYNTH1Y_Quote#0015</v>
      </c>
      <c r="E45" s="248" t="str">
        <f>_xll.ohRangeRetrieveError(D45)</f>
        <v/>
      </c>
      <c r="F45" s="231"/>
    </row>
    <row r="46" spans="1:6" x14ac:dyDescent="0.2">
      <c r="A46" s="136">
        <v>28</v>
      </c>
      <c r="B46" s="242" t="str">
        <f>A46&amp;"x"&amp;A46+Months&amp;"F"</f>
        <v>28x40F</v>
      </c>
      <c r="C46" s="143" t="str">
        <f>Currency&amp;$B46&amp;"_SYNTH"&amp;Tenor&amp;QuoteSuffix</f>
        <v>EUR28x40F_SYNTH1Y_Quote</v>
      </c>
      <c r="D46" s="143" t="str">
        <f>_xll.qlSimpleQuote(C46,,RateTickValue,Permanent,Trigger,ObjectOverwrite)</f>
        <v>EUR28x40F_SYNTH1Y_Quote#0015</v>
      </c>
      <c r="E46" s="248" t="str">
        <f>_xll.ohRangeRetrieveError(D46)</f>
        <v/>
      </c>
      <c r="F46" s="231"/>
    </row>
    <row r="47" spans="1:6" x14ac:dyDescent="0.2">
      <c r="A47" s="136">
        <v>29</v>
      </c>
      <c r="B47" s="242" t="str">
        <f>A47&amp;"x"&amp;A47+Months&amp;"F"</f>
        <v>29x41F</v>
      </c>
      <c r="C47" s="143" t="str">
        <f>Currency&amp;$B47&amp;"_SYNTH"&amp;Tenor&amp;QuoteSuffix</f>
        <v>EUR29x41F_SYNTH1Y_Quote</v>
      </c>
      <c r="D47" s="143" t="str">
        <f>_xll.qlSimpleQuote(C47,,RateTickValue,Permanent,Trigger,ObjectOverwrite)</f>
        <v>EUR29x41F_SYNTH1Y_Quote#0015</v>
      </c>
      <c r="E47" s="248" t="str">
        <f>_xll.ohRangeRetrieveError(D47)</f>
        <v/>
      </c>
      <c r="F47" s="231"/>
    </row>
    <row r="48" spans="1:6" x14ac:dyDescent="0.2">
      <c r="A48" s="136">
        <v>30</v>
      </c>
      <c r="B48" s="242" t="str">
        <f>A48&amp;"x"&amp;A48+Months&amp;"F"</f>
        <v>30x42F</v>
      </c>
      <c r="C48" s="143" t="str">
        <f>Currency&amp;$B48&amp;"_SYNTH"&amp;Tenor&amp;QuoteSuffix</f>
        <v>EUR30x42F_SYNTH1Y_Quote</v>
      </c>
      <c r="D48" s="143" t="str">
        <f>_xll.qlSimpleQuote(C48,,RateTickValue,Permanent,Trigger,ObjectOverwrite)</f>
        <v>EUR30x42F_SYNTH1Y_Quote#0015</v>
      </c>
      <c r="E48" s="248" t="str">
        <f>_xll.ohRangeRetrieveError(D48)</f>
        <v/>
      </c>
      <c r="F48" s="231"/>
    </row>
    <row r="49" spans="1:6" x14ac:dyDescent="0.2">
      <c r="A49" s="136">
        <v>31</v>
      </c>
      <c r="B49" s="242" t="str">
        <f>A49&amp;"x"&amp;A49+Months&amp;"F"</f>
        <v>31x43F</v>
      </c>
      <c r="C49" s="143" t="str">
        <f>Currency&amp;$B49&amp;"_SYNTH"&amp;Tenor&amp;QuoteSuffix</f>
        <v>EUR31x43F_SYNTH1Y_Quote</v>
      </c>
      <c r="D49" s="143" t="str">
        <f>_xll.qlSimpleQuote(C49,,RateTickValue,Permanent,Trigger,ObjectOverwrite)</f>
        <v>EUR31x43F_SYNTH1Y_Quote#0015</v>
      </c>
      <c r="E49" s="248" t="str">
        <f>_xll.ohRangeRetrieveError(D49)</f>
        <v/>
      </c>
      <c r="F49" s="231"/>
    </row>
    <row r="50" spans="1:6" x14ac:dyDescent="0.2">
      <c r="A50" s="136">
        <v>32</v>
      </c>
      <c r="B50" s="242" t="str">
        <f>A50&amp;"x"&amp;A50+Months&amp;"F"</f>
        <v>32x44F</v>
      </c>
      <c r="C50" s="143" t="str">
        <f>Currency&amp;$B50&amp;"_SYNTH"&amp;Tenor&amp;QuoteSuffix</f>
        <v>EUR32x44F_SYNTH1Y_Quote</v>
      </c>
      <c r="D50" s="143" t="str">
        <f>_xll.qlSimpleQuote(C50,,RateTickValue,Permanent,Trigger,ObjectOverwrite)</f>
        <v>EUR32x44F_SYNTH1Y_Quote#0015</v>
      </c>
      <c r="E50" s="248" t="str">
        <f>_xll.ohRangeRetrieveError(D50)</f>
        <v/>
      </c>
      <c r="F50" s="231"/>
    </row>
    <row r="51" spans="1:6" x14ac:dyDescent="0.2">
      <c r="A51" s="136">
        <v>33</v>
      </c>
      <c r="B51" s="242" t="str">
        <f>A51&amp;"x"&amp;A51+Months&amp;"F"</f>
        <v>33x45F</v>
      </c>
      <c r="C51" s="143" t="str">
        <f>Currency&amp;$B51&amp;"_SYNTH"&amp;Tenor&amp;QuoteSuffix</f>
        <v>EUR33x45F_SYNTH1Y_Quote</v>
      </c>
      <c r="D51" s="143" t="str">
        <f>_xll.qlSimpleQuote(C51,,RateTickValue,Permanent,Trigger,ObjectOverwrite)</f>
        <v>EUR33x45F_SYNTH1Y_Quote#0015</v>
      </c>
      <c r="E51" s="248" t="str">
        <f>_xll.ohRangeRetrieveError(D51)</f>
        <v/>
      </c>
      <c r="F51" s="231"/>
    </row>
    <row r="52" spans="1:6" x14ac:dyDescent="0.2">
      <c r="A52" s="136">
        <v>34</v>
      </c>
      <c r="B52" s="242" t="str">
        <f>A52&amp;"x"&amp;A52+Months&amp;"F"</f>
        <v>34x46F</v>
      </c>
      <c r="C52" s="143" t="str">
        <f>Currency&amp;$B52&amp;"_SYNTH"&amp;Tenor&amp;QuoteSuffix</f>
        <v>EUR34x46F_SYNTH1Y_Quote</v>
      </c>
      <c r="D52" s="143" t="str">
        <f>_xll.qlSimpleQuote(C52,,RateTickValue,Permanent,Trigger,ObjectOverwrite)</f>
        <v>EUR34x46F_SYNTH1Y_Quote#0015</v>
      </c>
      <c r="E52" s="248" t="str">
        <f>_xll.ohRangeRetrieveError(D52)</f>
        <v/>
      </c>
      <c r="F52" s="231"/>
    </row>
    <row r="53" spans="1:6" x14ac:dyDescent="0.2">
      <c r="A53" s="136">
        <v>35</v>
      </c>
      <c r="B53" s="242" t="str">
        <f>A53&amp;"x"&amp;A53+Months&amp;"F"</f>
        <v>35x47F</v>
      </c>
      <c r="C53" s="143" t="str">
        <f>Currency&amp;$B53&amp;"_SYNTH"&amp;Tenor&amp;QuoteSuffix</f>
        <v>EUR35x47F_SYNTH1Y_Quote</v>
      </c>
      <c r="D53" s="143" t="str">
        <f>_xll.qlSimpleQuote(C53,,RateTickValue,Permanent,Trigger,ObjectOverwrite)</f>
        <v>EUR35x47F_SYNTH1Y_Quote#0015</v>
      </c>
      <c r="E53" s="248" t="str">
        <f>_xll.ohRangeRetrieveError(D53)</f>
        <v/>
      </c>
      <c r="F53" s="231"/>
    </row>
    <row r="54" spans="1:6" x14ac:dyDescent="0.2">
      <c r="A54" s="136">
        <v>37</v>
      </c>
      <c r="B54" s="242" t="str">
        <f>A54&amp;"x"&amp;A54+Months&amp;"F"</f>
        <v>37x49F</v>
      </c>
      <c r="C54" s="143" t="str">
        <f>Currency&amp;$B54&amp;"_SYNTH"&amp;Tenor&amp;QuoteSuffix</f>
        <v>EUR37x49F_SYNTH1Y_Quote</v>
      </c>
      <c r="D54" s="143" t="str">
        <f>_xll.qlSimpleQuote(C54,,RateTickValue,Permanent,Trigger,ObjectOverwrite)</f>
        <v>EUR37x49F_SYNTH1Y_Quote#0015</v>
      </c>
      <c r="E54" s="248" t="str">
        <f>_xll.ohRangeRetrieveError(D54)</f>
        <v/>
      </c>
      <c r="F54" s="231"/>
    </row>
    <row r="55" spans="1:6" x14ac:dyDescent="0.2">
      <c r="A55" s="136">
        <v>38</v>
      </c>
      <c r="B55" s="242" t="str">
        <f>A55&amp;"x"&amp;A55+Months&amp;"F"</f>
        <v>38x50F</v>
      </c>
      <c r="C55" s="143" t="str">
        <f>Currency&amp;$B55&amp;"_SYNTH"&amp;Tenor&amp;QuoteSuffix</f>
        <v>EUR38x50F_SYNTH1Y_Quote</v>
      </c>
      <c r="D55" s="143" t="str">
        <f>_xll.qlSimpleQuote(C55,,RateTickValue,Permanent,Trigger,ObjectOverwrite)</f>
        <v>EUR38x50F_SYNTH1Y_Quote#0015</v>
      </c>
      <c r="E55" s="248" t="str">
        <f>_xll.ohRangeRetrieveError(D55)</f>
        <v/>
      </c>
      <c r="F55" s="231"/>
    </row>
    <row r="56" spans="1:6" x14ac:dyDescent="0.2">
      <c r="A56" s="136">
        <v>39</v>
      </c>
      <c r="B56" s="242" t="str">
        <f>A56&amp;"x"&amp;A56+Months&amp;"F"</f>
        <v>39x51F</v>
      </c>
      <c r="C56" s="143" t="str">
        <f>Currency&amp;$B56&amp;"_SYNTH"&amp;Tenor&amp;QuoteSuffix</f>
        <v>EUR39x51F_SYNTH1Y_Quote</v>
      </c>
      <c r="D56" s="143" t="str">
        <f>_xll.qlSimpleQuote(C56,,RateTickValue,Permanent,Trigger,ObjectOverwrite)</f>
        <v>EUR39x51F_SYNTH1Y_Quote#0015</v>
      </c>
      <c r="E56" s="248" t="str">
        <f>_xll.ohRangeRetrieveError(D56)</f>
        <v/>
      </c>
      <c r="F56" s="231"/>
    </row>
    <row r="57" spans="1:6" x14ac:dyDescent="0.2">
      <c r="A57" s="136">
        <v>40</v>
      </c>
      <c r="B57" s="242" t="str">
        <f>A57&amp;"x"&amp;A57+Months&amp;"F"</f>
        <v>40x52F</v>
      </c>
      <c r="C57" s="143" t="str">
        <f>Currency&amp;$B57&amp;"_SYNTH"&amp;Tenor&amp;QuoteSuffix</f>
        <v>EUR40x52F_SYNTH1Y_Quote</v>
      </c>
      <c r="D57" s="143" t="str">
        <f>_xll.qlSimpleQuote(C57,,RateTickValue,Permanent,Trigger,ObjectOverwrite)</f>
        <v>EUR40x52F_SYNTH1Y_Quote#0015</v>
      </c>
      <c r="E57" s="248" t="str">
        <f>_xll.ohRangeRetrieveError(D57)</f>
        <v/>
      </c>
      <c r="F57" s="231"/>
    </row>
    <row r="58" spans="1:6" x14ac:dyDescent="0.2">
      <c r="A58" s="136">
        <v>41</v>
      </c>
      <c r="B58" s="242" t="str">
        <f>A58&amp;"x"&amp;A58+Months&amp;"F"</f>
        <v>41x53F</v>
      </c>
      <c r="C58" s="143" t="str">
        <f>Currency&amp;$B58&amp;"_SYNTH"&amp;Tenor&amp;QuoteSuffix</f>
        <v>EUR41x53F_SYNTH1Y_Quote</v>
      </c>
      <c r="D58" s="143" t="str">
        <f>_xll.qlSimpleQuote(C58,,RateTickValue,Permanent,Trigger,ObjectOverwrite)</f>
        <v>EUR41x53F_SYNTH1Y_Quote#0015</v>
      </c>
      <c r="E58" s="248" t="str">
        <f>_xll.ohRangeRetrieveError(D58)</f>
        <v/>
      </c>
      <c r="F58" s="231"/>
    </row>
    <row r="59" spans="1:6" x14ac:dyDescent="0.2">
      <c r="A59" s="136">
        <v>42</v>
      </c>
      <c r="B59" s="242" t="str">
        <f>A59&amp;"x"&amp;A59+Months&amp;"F"</f>
        <v>42x54F</v>
      </c>
      <c r="C59" s="143" t="str">
        <f>Currency&amp;$B59&amp;"_SYNTH"&amp;Tenor&amp;QuoteSuffix</f>
        <v>EUR42x54F_SYNTH1Y_Quote</v>
      </c>
      <c r="D59" s="143" t="str">
        <f>_xll.qlSimpleQuote(C59,,RateTickValue,Permanent,Trigger,ObjectOverwrite)</f>
        <v>EUR42x54F_SYNTH1Y_Quote#0015</v>
      </c>
      <c r="E59" s="248" t="str">
        <f>_xll.ohRangeRetrieveError(D59)</f>
        <v/>
      </c>
      <c r="F59" s="231"/>
    </row>
    <row r="60" spans="1:6" x14ac:dyDescent="0.2">
      <c r="A60" s="136">
        <v>43</v>
      </c>
      <c r="B60" s="242" t="str">
        <f>A60&amp;"x"&amp;A60+Months&amp;"F"</f>
        <v>43x55F</v>
      </c>
      <c r="C60" s="143" t="str">
        <f>Currency&amp;$B60&amp;"_SYNTH"&amp;Tenor&amp;QuoteSuffix</f>
        <v>EUR43x55F_SYNTH1Y_Quote</v>
      </c>
      <c r="D60" s="143" t="str">
        <f>_xll.qlSimpleQuote(C60,,RateTickValue,Permanent,Trigger,ObjectOverwrite)</f>
        <v>EUR43x55F_SYNTH1Y_Quote#0015</v>
      </c>
      <c r="E60" s="248" t="str">
        <f>_xll.ohRangeRetrieveError(D60)</f>
        <v/>
      </c>
      <c r="F60" s="231"/>
    </row>
    <row r="61" spans="1:6" x14ac:dyDescent="0.2">
      <c r="A61" s="136">
        <v>44</v>
      </c>
      <c r="B61" s="242" t="str">
        <f>A61&amp;"x"&amp;A61+Months&amp;"F"</f>
        <v>44x56F</v>
      </c>
      <c r="C61" s="143" t="str">
        <f>Currency&amp;$B61&amp;"_SYNTH"&amp;Tenor&amp;QuoteSuffix</f>
        <v>EUR44x56F_SYNTH1Y_Quote</v>
      </c>
      <c r="D61" s="143" t="str">
        <f>_xll.qlSimpleQuote(C61,,RateTickValue,Permanent,Trigger,ObjectOverwrite)</f>
        <v>EUR44x56F_SYNTH1Y_Quote#0015</v>
      </c>
      <c r="E61" s="248" t="str">
        <f>_xll.ohRangeRetrieveError(D61)</f>
        <v/>
      </c>
      <c r="F61" s="231"/>
    </row>
    <row r="62" spans="1:6" x14ac:dyDescent="0.2">
      <c r="A62" s="136">
        <v>45</v>
      </c>
      <c r="B62" s="242" t="str">
        <f>A62&amp;"x"&amp;A62+Months&amp;"F"</f>
        <v>45x57F</v>
      </c>
      <c r="C62" s="143" t="str">
        <f>Currency&amp;$B62&amp;"_SYNTH"&amp;Tenor&amp;QuoteSuffix</f>
        <v>EUR45x57F_SYNTH1Y_Quote</v>
      </c>
      <c r="D62" s="143" t="str">
        <f>_xll.qlSimpleQuote(C62,,RateTickValue,Permanent,Trigger,ObjectOverwrite)</f>
        <v>EUR45x57F_SYNTH1Y_Quote#0015</v>
      </c>
      <c r="E62" s="248" t="str">
        <f>_xll.ohRangeRetrieveError(D62)</f>
        <v/>
      </c>
      <c r="F62" s="231"/>
    </row>
    <row r="63" spans="1:6" x14ac:dyDescent="0.2">
      <c r="A63" s="136">
        <v>46</v>
      </c>
      <c r="B63" s="242" t="str">
        <f>A63&amp;"x"&amp;A63+Months&amp;"F"</f>
        <v>46x58F</v>
      </c>
      <c r="C63" s="143" t="str">
        <f>Currency&amp;$B63&amp;"_SYNTH"&amp;Tenor&amp;QuoteSuffix</f>
        <v>EUR46x58F_SYNTH1Y_Quote</v>
      </c>
      <c r="D63" s="143" t="str">
        <f>_xll.qlSimpleQuote(C63,,RateTickValue,Permanent,Trigger,ObjectOverwrite)</f>
        <v>EUR46x58F_SYNTH1Y_Quote#0015</v>
      </c>
      <c r="E63" s="248" t="str">
        <f>_xll.ohRangeRetrieveError(D63)</f>
        <v/>
      </c>
      <c r="F63" s="231"/>
    </row>
    <row r="64" spans="1:6" x14ac:dyDescent="0.2">
      <c r="A64" s="136">
        <v>47</v>
      </c>
      <c r="B64" s="245" t="str">
        <f>A64&amp;"x"&amp;A64+Months&amp;"F"</f>
        <v>47x59F</v>
      </c>
      <c r="C64" s="132" t="str">
        <f>Currency&amp;$B64&amp;"_SYNTH"&amp;Tenor&amp;QuoteSuffix</f>
        <v>EUR47x59F_SYNTH1Y_Quote</v>
      </c>
      <c r="D64" s="132" t="str">
        <f>_xll.qlSimpleQuote(C64,,RateTickValue,Permanent,Trigger,ObjectOverwrite)</f>
        <v>EUR47x59F_SYNTH1Y_Quote#0015</v>
      </c>
      <c r="E64" s="244" t="str">
        <f>_xll.ohRangeRetrieveError(D64)</f>
        <v/>
      </c>
      <c r="F64" s="231"/>
    </row>
    <row r="65" spans="1:6" ht="12" thickBot="1" x14ac:dyDescent="0.25">
      <c r="A65" s="56"/>
      <c r="B65" s="55"/>
      <c r="C65" s="55"/>
      <c r="D65" s="55"/>
      <c r="E65" s="55"/>
      <c r="F65" s="54"/>
    </row>
  </sheetData>
  <pageMargins left="0.75" right="0.75" top="1" bottom="1" header="0.5" footer="0.5"/>
  <pageSetup orientation="portrait" r:id="rId1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7"/>
  <sheetViews>
    <sheetView workbookViewId="0"/>
  </sheetViews>
  <sheetFormatPr defaultColWidth="8" defaultRowHeight="11.25" x14ac:dyDescent="0.2"/>
  <cols>
    <col min="1" max="1" width="6.140625" style="110" customWidth="1"/>
    <col min="2" max="2" width="4.28515625" style="110" customWidth="1"/>
    <col min="3" max="3" width="15.5703125" style="110" bestFit="1" customWidth="1"/>
    <col min="4" max="4" width="101.42578125" style="110" bestFit="1" customWidth="1"/>
    <col min="5" max="5" width="4.7109375" style="110" customWidth="1"/>
    <col min="6" max="6" width="35.28515625" style="110" customWidth="1"/>
    <col min="7" max="7" width="4.28515625" style="110" customWidth="1"/>
    <col min="8" max="16384" width="8" style="110"/>
  </cols>
  <sheetData>
    <row r="1" spans="1:5" ht="13.5" thickBot="1" x14ac:dyDescent="0.25">
      <c r="A1" s="110" t="s">
        <v>211</v>
      </c>
      <c r="B1" s="116" t="str">
        <f>_xll.qlxlVersion(TRUE,Trigger)</f>
        <v>QuantLibXL 1.3.0 - MS VC++ 9.0 - Multithreaded Static Runtime library - Release Configuration - Dec  5 2013 11:03:51</v>
      </c>
    </row>
    <row r="2" spans="1:5" s="1" customFormat="1" ht="15.75" x14ac:dyDescent="0.25">
      <c r="A2" s="23"/>
      <c r="B2" s="255" t="s">
        <v>32</v>
      </c>
      <c r="C2" s="254"/>
      <c r="D2" s="254"/>
      <c r="E2" s="253"/>
    </row>
    <row r="3" spans="1:5" s="1" customFormat="1" ht="12.75" x14ac:dyDescent="0.2">
      <c r="A3" s="23"/>
      <c r="B3" s="9"/>
      <c r="C3" s="13"/>
      <c r="D3" s="13"/>
      <c r="E3" s="5"/>
    </row>
    <row r="4" spans="1:5" s="1" customFormat="1" ht="12.75" x14ac:dyDescent="0.2">
      <c r="A4" s="23"/>
      <c r="B4" s="9"/>
      <c r="C4" s="16" t="s">
        <v>31</v>
      </c>
      <c r="D4" s="15"/>
      <c r="E4" s="14"/>
    </row>
    <row r="5" spans="1:5" s="1" customFormat="1" ht="12.75" x14ac:dyDescent="0.2">
      <c r="A5" s="23"/>
      <c r="B5" s="9"/>
      <c r="C5" s="16" t="s">
        <v>30</v>
      </c>
      <c r="D5" s="15" t="b">
        <v>1</v>
      </c>
      <c r="E5" s="14"/>
    </row>
    <row r="6" spans="1:5" s="1" customFormat="1" ht="12.75" x14ac:dyDescent="0.2">
      <c r="A6" s="23"/>
      <c r="B6" s="9"/>
      <c r="C6" s="16" t="s">
        <v>29</v>
      </c>
      <c r="D6" s="15" t="b">
        <v>0</v>
      </c>
      <c r="E6" s="14"/>
    </row>
    <row r="7" spans="1:5" s="1" customFormat="1" ht="12.75" x14ac:dyDescent="0.2">
      <c r="A7" s="23"/>
      <c r="B7" s="9"/>
      <c r="C7" s="16" t="s">
        <v>28</v>
      </c>
      <c r="D7" s="15" t="b">
        <v>1</v>
      </c>
      <c r="E7" s="14"/>
    </row>
    <row r="8" spans="1:5" s="1" customFormat="1" ht="12.75" x14ac:dyDescent="0.2">
      <c r="A8" s="23"/>
      <c r="B8" s="9"/>
      <c r="C8" s="16" t="s">
        <v>27</v>
      </c>
      <c r="D8" s="25" t="str">
        <f ca="1">SUBSTITUTE(LEFT(CELL("filename",A1),FIND("[",CELL("filename",A1),1)-1),"\XLS\","\XML\")</f>
        <v>C:\Users\erik\Documents\repos\quantlib_nando\QuantLibXL\Data2\XML\</v>
      </c>
      <c r="E8" s="14"/>
    </row>
    <row r="9" spans="1:5" s="1" customFormat="1" ht="12.75" x14ac:dyDescent="0.2">
      <c r="A9" s="23"/>
      <c r="B9" s="9"/>
      <c r="C9" s="16" t="s">
        <v>26</v>
      </c>
      <c r="D9" s="24" t="b">
        <v>1</v>
      </c>
      <c r="E9" s="14"/>
    </row>
    <row r="10" spans="1:5" s="1" customFormat="1" ht="13.5" thickBot="1" x14ac:dyDescent="0.25">
      <c r="A10" s="23"/>
      <c r="B10" s="4"/>
      <c r="C10" s="3"/>
      <c r="D10" s="3"/>
      <c r="E10" s="2"/>
    </row>
    <row r="11" spans="1:5" ht="12" thickBot="1" x14ac:dyDescent="0.25"/>
    <row r="12" spans="1:5" ht="15.75" x14ac:dyDescent="0.25">
      <c r="B12" s="255" t="s">
        <v>210</v>
      </c>
      <c r="C12" s="254"/>
      <c r="D12" s="254"/>
      <c r="E12" s="253"/>
    </row>
    <row r="13" spans="1:5" x14ac:dyDescent="0.2">
      <c r="B13" s="166"/>
      <c r="C13" s="252"/>
      <c r="D13" s="252"/>
      <c r="E13" s="155"/>
    </row>
    <row r="14" spans="1:5" x14ac:dyDescent="0.2">
      <c r="B14" s="166"/>
      <c r="C14" s="16" t="s">
        <v>25</v>
      </c>
      <c r="D14" s="15" t="s">
        <v>123</v>
      </c>
      <c r="E14" s="155"/>
    </row>
    <row r="15" spans="1:5" x14ac:dyDescent="0.2">
      <c r="B15" s="166"/>
      <c r="C15" s="16" t="s">
        <v>148</v>
      </c>
      <c r="D15" s="15" t="s">
        <v>147</v>
      </c>
      <c r="E15" s="155"/>
    </row>
    <row r="16" spans="1:5" x14ac:dyDescent="0.2">
      <c r="B16" s="166"/>
      <c r="C16" s="16" t="s">
        <v>146</v>
      </c>
      <c r="D16" s="251">
        <v>1E-4</v>
      </c>
      <c r="E16" s="155"/>
    </row>
    <row r="17" spans="2:5" ht="12" thickBot="1" x14ac:dyDescent="0.25">
      <c r="B17" s="250"/>
      <c r="C17" s="153"/>
      <c r="D17" s="153"/>
      <c r="E17" s="152"/>
    </row>
  </sheetData>
  <mergeCells count="2">
    <mergeCell ref="B2:E2"/>
    <mergeCell ref="B12:E12"/>
  </mergeCells>
  <dataValidations count="1">
    <dataValidation type="list" allowBlank="1" showInputMessage="1" showErrorMessage="1" sqref="D14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37"/>
  <sheetViews>
    <sheetView workbookViewId="0"/>
  </sheetViews>
  <sheetFormatPr defaultRowHeight="11.25" x14ac:dyDescent="0.2"/>
  <cols>
    <col min="1" max="1" width="3.7109375" style="77" customWidth="1"/>
    <col min="2" max="2" width="3.85546875" style="21" bestFit="1" customWidth="1"/>
    <col min="3" max="3" width="3.140625" style="77" bestFit="1" customWidth="1"/>
    <col min="4" max="4" width="2.7109375" style="77" bestFit="1" customWidth="1"/>
    <col min="5" max="5" width="4.7109375" style="77" bestFit="1" customWidth="1"/>
    <col min="6" max="7" width="1.85546875" style="77" bestFit="1" customWidth="1"/>
    <col min="8" max="8" width="7.140625" style="77" bestFit="1" customWidth="1"/>
    <col min="9" max="9" width="19.140625" style="77" bestFit="1" customWidth="1"/>
    <col min="10" max="10" width="23.85546875" style="77" bestFit="1" customWidth="1"/>
    <col min="11" max="11" width="26.7109375" style="78" bestFit="1" customWidth="1"/>
    <col min="12" max="12" width="22" style="77" customWidth="1"/>
    <col min="13" max="13" width="4.42578125" style="77" customWidth="1"/>
    <col min="14" max="14" width="3.85546875" style="77" customWidth="1"/>
    <col min="15" max="15" width="4" style="77" bestFit="1" customWidth="1"/>
    <col min="16" max="16" width="3.28515625" style="77" bestFit="1" customWidth="1"/>
    <col min="17" max="17" width="2.7109375" style="77" customWidth="1"/>
    <col min="18" max="18" width="3.28515625" style="77" bestFit="1" customWidth="1"/>
    <col min="19" max="20" width="2.7109375" style="77" bestFit="1" customWidth="1"/>
    <col min="21" max="16384" width="9.140625" style="77"/>
  </cols>
  <sheetData>
    <row r="1" spans="1:20" ht="12" thickBot="1" x14ac:dyDescent="0.25">
      <c r="A1" s="230" t="s">
        <v>216</v>
      </c>
      <c r="B1" s="213"/>
      <c r="C1" s="213"/>
      <c r="D1" s="213"/>
      <c r="E1" s="213"/>
      <c r="F1" s="213"/>
      <c r="G1" s="213"/>
      <c r="H1" s="213"/>
      <c r="I1" s="213"/>
      <c r="J1" s="213"/>
      <c r="K1" s="213"/>
      <c r="L1" s="168"/>
      <c r="M1" s="210"/>
    </row>
    <row r="2" spans="1:20" ht="22.5" x14ac:dyDescent="0.2">
      <c r="A2" s="136"/>
      <c r="B2" s="263"/>
      <c r="C2" s="264"/>
      <c r="D2" s="263"/>
      <c r="E2" s="263" t="s">
        <v>215</v>
      </c>
      <c r="F2" s="263"/>
      <c r="G2" s="263"/>
      <c r="H2" s="263" t="s">
        <v>214</v>
      </c>
      <c r="I2" s="263" t="s">
        <v>213</v>
      </c>
      <c r="J2" s="262" t="str">
        <f>Currency&amp;"_020_Sw"&amp;$C$3&amp;$D$3&amp;"_Fwd"&amp;$E$3&amp;IF(H3=0,,"_Spr"&amp;$F3&amp;$G3)&amp;".xml"</f>
        <v>EUR_020_SwAB6E_Fwd1w.xml</v>
      </c>
      <c r="K2" s="261">
        <f ca="1">IF(Serialize,_xll.ohObjectSave(K3:K36,SerializationPath&amp;J2,FileOverwrite,Serialize),"---")</f>
        <v>33</v>
      </c>
      <c r="L2" s="259" t="str">
        <f ca="1">_xll.ohRangeRetrieveError(K2)</f>
        <v/>
      </c>
      <c r="M2" s="57"/>
      <c r="O2" s="222"/>
      <c r="P2" s="221"/>
      <c r="Q2" s="221"/>
      <c r="R2" s="221"/>
      <c r="S2" s="221"/>
      <c r="T2" s="220"/>
    </row>
    <row r="3" spans="1:20" x14ac:dyDescent="0.2">
      <c r="A3" s="136"/>
      <c r="B3" s="228" t="s">
        <v>34</v>
      </c>
      <c r="C3" s="120" t="str">
        <f>VLOOKUP(Currency,$O$3:$T$7,2)</f>
        <v>AB</v>
      </c>
      <c r="D3" s="120" t="str">
        <f>VLOOKUP(Currency,$O$3:$T$7,3)</f>
        <v>6E</v>
      </c>
      <c r="E3" s="120" t="str">
        <f>VLOOKUP(Currency,$O$3:$T$7,4)</f>
        <v>1w</v>
      </c>
      <c r="F3" s="120">
        <f>VLOOKUP(Currency,$O$3:$T$7,5)</f>
        <v>0</v>
      </c>
      <c r="G3" s="120">
        <f>VLOOKUP(Currency,$O$3:$T$7,6)</f>
        <v>0</v>
      </c>
      <c r="H3" s="258">
        <f>IF(F3=0,0,Currency&amp;$F3&amp;$G3&amp;$B3&amp;QuoteSuffix)</f>
        <v>0</v>
      </c>
      <c r="I3" s="260" t="str">
        <f>PROPER(Currency)&amp;FamilyName&amp;"Swap"&amp;FixingType&amp;$B3</f>
        <v>EuriborSwapIsdaFixA1Y</v>
      </c>
      <c r="J3" s="256" t="str">
        <f>Currency&amp;$C3&amp;$D3&amp;$B3&amp;"_"&amp;"Fwd"&amp;E3&amp;IF(H3=0,,"_Spr"&amp;$F3&amp;$G3)&amp;QuoteSuffix</f>
        <v>EURAB6E1Y_Fwd1w_Quote</v>
      </c>
      <c r="K3" s="256"/>
      <c r="L3" s="259" t="str">
        <f>_xll.ohRangeRetrieveError(K3)</f>
        <v/>
      </c>
      <c r="M3" s="57"/>
      <c r="O3" s="95" t="s">
        <v>137</v>
      </c>
      <c r="P3" s="94" t="s">
        <v>202</v>
      </c>
      <c r="Q3" s="94" t="s">
        <v>132</v>
      </c>
      <c r="R3" s="94" t="s">
        <v>212</v>
      </c>
      <c r="S3" s="94"/>
      <c r="T3" s="93"/>
    </row>
    <row r="4" spans="1:20" x14ac:dyDescent="0.2">
      <c r="A4" s="136"/>
      <c r="B4" s="228" t="s">
        <v>115</v>
      </c>
      <c r="C4" s="120" t="str">
        <f>VLOOKUP(Currency,$O$3:$T$7,2)</f>
        <v>AB</v>
      </c>
      <c r="D4" s="120" t="str">
        <f>VLOOKUP(Currency,$O$3:$T$7,3)</f>
        <v>6E</v>
      </c>
      <c r="E4" s="120" t="str">
        <f>VLOOKUP(Currency,$O$3:$T$7,4)</f>
        <v>1w</v>
      </c>
      <c r="F4" s="120">
        <f>VLOOKUP(Currency,$O$3:$T$7,5)</f>
        <v>0</v>
      </c>
      <c r="G4" s="120">
        <f>VLOOKUP(Currency,$O$3:$T$7,6)</f>
        <v>0</v>
      </c>
      <c r="H4" s="258">
        <f>IF(F4=0,0,Currency&amp;$F4&amp;$G4&amp;$B4&amp;QuoteSuffix)</f>
        <v>0</v>
      </c>
      <c r="I4" s="257" t="str">
        <f>PROPER(Currency)&amp;FamilyName&amp;"Swap"&amp;FixingType&amp;$B4</f>
        <v>EuriborSwapIsdaFixA2Y</v>
      </c>
      <c r="J4" s="256" t="str">
        <f>Currency&amp;$C4&amp;$D4&amp;$B4&amp;"_"&amp;"Fwd"&amp;E4&amp;IF(H4=0,,"_Spr"&amp;$F4&amp;$G4)&amp;QuoteSuffix</f>
        <v>EURAB6E2Y_Fwd1w_Quote</v>
      </c>
      <c r="K4" s="256" t="str">
        <f>_xll.qlForwardSwapQuote(J4,I4,H4,E4,Permanent,Trigger,ObjectOverwrite)</f>
        <v>EURAB6E2Y_Fwd1w_Quote#0013</v>
      </c>
      <c r="L4" s="259" t="str">
        <f>_xll.ohRangeRetrieveError(K4)</f>
        <v/>
      </c>
      <c r="M4" s="57"/>
      <c r="O4" s="95" t="s">
        <v>123</v>
      </c>
      <c r="P4" s="94" t="s">
        <v>202</v>
      </c>
      <c r="Q4" s="94" t="s">
        <v>135</v>
      </c>
      <c r="R4" s="94" t="s">
        <v>212</v>
      </c>
      <c r="S4" s="94"/>
      <c r="T4" s="93"/>
    </row>
    <row r="5" spans="1:20" x14ac:dyDescent="0.2">
      <c r="A5" s="136"/>
      <c r="B5" s="228" t="s">
        <v>114</v>
      </c>
      <c r="C5" s="120" t="str">
        <f>VLOOKUP(Currency,$O$3:$T$7,2)</f>
        <v>AB</v>
      </c>
      <c r="D5" s="120" t="str">
        <f>VLOOKUP(Currency,$O$3:$T$7,3)</f>
        <v>6E</v>
      </c>
      <c r="E5" s="120" t="str">
        <f>VLOOKUP(Currency,$O$3:$T$7,4)</f>
        <v>1w</v>
      </c>
      <c r="F5" s="120">
        <f>VLOOKUP(Currency,$O$3:$T$7,5)</f>
        <v>0</v>
      </c>
      <c r="G5" s="120">
        <f>VLOOKUP(Currency,$O$3:$T$7,6)</f>
        <v>0</v>
      </c>
      <c r="H5" s="258">
        <f>IF(F5=0,0,Currency&amp;$F5&amp;$G5&amp;$B5&amp;QuoteSuffix)</f>
        <v>0</v>
      </c>
      <c r="I5" s="257" t="str">
        <f>PROPER(Currency)&amp;FamilyName&amp;"Swap"&amp;FixingType&amp;$B5</f>
        <v>EuriborSwapIsdaFixA3Y</v>
      </c>
      <c r="J5" s="256" t="str">
        <f>Currency&amp;$C5&amp;$D5&amp;$B5&amp;"_"&amp;"Fwd"&amp;E5&amp;IF(H5=0,,"_Spr"&amp;$F5&amp;$G5)&amp;QuoteSuffix</f>
        <v>EURAB6E3Y_Fwd1w_Quote</v>
      </c>
      <c r="K5" s="256" t="str">
        <f>_xll.qlForwardSwapQuote(J5,I5,H5,E5,Permanent,Trigger,ObjectOverwrite)</f>
        <v>EURAB6E3Y_Fwd1w_Quote#0013</v>
      </c>
      <c r="L5" s="259" t="str">
        <f>_xll.ohRangeRetrieveError(K5)</f>
        <v/>
      </c>
      <c r="M5" s="57"/>
      <c r="O5" s="95" t="s">
        <v>134</v>
      </c>
      <c r="P5" s="94" t="s">
        <v>201</v>
      </c>
      <c r="Q5" s="94" t="s">
        <v>132</v>
      </c>
      <c r="R5" s="94" t="s">
        <v>212</v>
      </c>
      <c r="S5" s="94"/>
      <c r="T5" s="93"/>
    </row>
    <row r="6" spans="1:20" x14ac:dyDescent="0.2">
      <c r="A6" s="136"/>
      <c r="B6" s="228" t="s">
        <v>113</v>
      </c>
      <c r="C6" s="120" t="str">
        <f>VLOOKUP(Currency,$O$3:$T$7,2)</f>
        <v>AB</v>
      </c>
      <c r="D6" s="120" t="str">
        <f>VLOOKUP(Currency,$O$3:$T$7,3)</f>
        <v>6E</v>
      </c>
      <c r="E6" s="120" t="str">
        <f>VLOOKUP(Currency,$O$3:$T$7,4)</f>
        <v>1w</v>
      </c>
      <c r="F6" s="120">
        <f>VLOOKUP(Currency,$O$3:$T$7,5)</f>
        <v>0</v>
      </c>
      <c r="G6" s="120">
        <f>VLOOKUP(Currency,$O$3:$T$7,6)</f>
        <v>0</v>
      </c>
      <c r="H6" s="258">
        <f>IF(F6=0,0,Currency&amp;$F6&amp;$G6&amp;$B6&amp;QuoteSuffix)</f>
        <v>0</v>
      </c>
      <c r="I6" s="257" t="str">
        <f>PROPER(Currency)&amp;FamilyName&amp;"Swap"&amp;FixingType&amp;$B6</f>
        <v>EuriborSwapIsdaFixA4Y</v>
      </c>
      <c r="J6" s="256" t="str">
        <f>Currency&amp;$C6&amp;$D6&amp;$B6&amp;"_"&amp;"Fwd"&amp;E6&amp;IF(H6=0,,"_Spr"&amp;$F6&amp;$G6)&amp;QuoteSuffix</f>
        <v>EURAB6E4Y_Fwd1w_Quote</v>
      </c>
      <c r="K6" s="256" t="str">
        <f>_xll.qlForwardSwapQuote(J6,I6,H6,E6,Permanent,Trigger,ObjectOverwrite)</f>
        <v>EURAB6E4Y_Fwd1w_Quote#0013</v>
      </c>
      <c r="L6" s="259" t="str">
        <f>_xll.ohRangeRetrieveError(K6)</f>
        <v/>
      </c>
      <c r="M6" s="57"/>
      <c r="O6" s="95" t="s">
        <v>133</v>
      </c>
      <c r="P6" s="94" t="s">
        <v>201</v>
      </c>
      <c r="Q6" s="94" t="s">
        <v>132</v>
      </c>
      <c r="R6" s="94" t="s">
        <v>212</v>
      </c>
      <c r="S6" s="94"/>
      <c r="T6" s="93"/>
    </row>
    <row r="7" spans="1:20" ht="12" thickBot="1" x14ac:dyDescent="0.25">
      <c r="A7" s="136"/>
      <c r="B7" s="228" t="s">
        <v>112</v>
      </c>
      <c r="C7" s="120" t="str">
        <f>VLOOKUP(Currency,$O$3:$T$7,2)</f>
        <v>AB</v>
      </c>
      <c r="D7" s="120" t="str">
        <f>VLOOKUP(Currency,$O$3:$T$7,3)</f>
        <v>6E</v>
      </c>
      <c r="E7" s="120" t="str">
        <f>VLOOKUP(Currency,$O$3:$T$7,4)</f>
        <v>1w</v>
      </c>
      <c r="F7" s="120">
        <f>VLOOKUP(Currency,$O$3:$T$7,5)</f>
        <v>0</v>
      </c>
      <c r="G7" s="120">
        <f>VLOOKUP(Currency,$O$3:$T$7,6)</f>
        <v>0</v>
      </c>
      <c r="H7" s="258">
        <f>IF(F7=0,0,Currency&amp;$F7&amp;$G7&amp;$B7&amp;QuoteSuffix)</f>
        <v>0</v>
      </c>
      <c r="I7" s="257" t="str">
        <f>PROPER(Currency)&amp;FamilyName&amp;"Swap"&amp;FixingType&amp;$B7</f>
        <v>EuriborSwapIsdaFixA5Y</v>
      </c>
      <c r="J7" s="256" t="str">
        <f>Currency&amp;$C7&amp;$D7&amp;$B7&amp;"_"&amp;"Fwd"&amp;E7&amp;IF(H7=0,,"_Spr"&amp;$F7&amp;$G7)&amp;QuoteSuffix</f>
        <v>EURAB6E5Y_Fwd1w_Quote</v>
      </c>
      <c r="K7" s="256" t="str">
        <f>_xll.qlForwardSwapQuote(J7,I7,H7,E7,Permanent,Trigger,ObjectOverwrite)</f>
        <v>EURAB6E5Y_Fwd1w_Quote#0013</v>
      </c>
      <c r="L7" s="259" t="str">
        <f>_xll.ohRangeRetrieveError(K7)</f>
        <v/>
      </c>
      <c r="M7" s="57"/>
      <c r="O7" s="92" t="s">
        <v>131</v>
      </c>
      <c r="P7" s="91" t="s">
        <v>200</v>
      </c>
      <c r="Q7" s="91" t="s">
        <v>130</v>
      </c>
      <c r="R7" s="91" t="s">
        <v>212</v>
      </c>
      <c r="S7" s="91"/>
      <c r="T7" s="90"/>
    </row>
    <row r="8" spans="1:20" x14ac:dyDescent="0.2">
      <c r="A8" s="136"/>
      <c r="B8" s="228" t="s">
        <v>111</v>
      </c>
      <c r="C8" s="120" t="str">
        <f>VLOOKUP(Currency,$O$3:$T$7,2)</f>
        <v>AB</v>
      </c>
      <c r="D8" s="120" t="str">
        <f>VLOOKUP(Currency,$O$3:$T$7,3)</f>
        <v>6E</v>
      </c>
      <c r="E8" s="120" t="str">
        <f>VLOOKUP(Currency,$O$3:$T$7,4)</f>
        <v>1w</v>
      </c>
      <c r="F8" s="120">
        <f>VLOOKUP(Currency,$O$3:$T$7,5)</f>
        <v>0</v>
      </c>
      <c r="G8" s="120">
        <f>VLOOKUP(Currency,$O$3:$T$7,6)</f>
        <v>0</v>
      </c>
      <c r="H8" s="258">
        <f>IF(F8=0,0,Currency&amp;$F8&amp;$G8&amp;$B8&amp;QuoteSuffix)</f>
        <v>0</v>
      </c>
      <c r="I8" s="257" t="str">
        <f>PROPER(Currency)&amp;FamilyName&amp;"Swap"&amp;FixingType&amp;$B8</f>
        <v>EuriborSwapIsdaFixA6Y</v>
      </c>
      <c r="J8" s="256" t="str">
        <f>Currency&amp;$C8&amp;$D8&amp;$B8&amp;"_"&amp;"Fwd"&amp;E8&amp;IF(H8=0,,"_Spr"&amp;$F8&amp;$G8)&amp;QuoteSuffix</f>
        <v>EURAB6E6Y_Fwd1w_Quote</v>
      </c>
      <c r="K8" s="256" t="str">
        <f>_xll.qlForwardSwapQuote(J8,I8,H8,E8,Permanent,Trigger,ObjectOverwrite)</f>
        <v>EURAB6E6Y_Fwd1w_Quote#0013</v>
      </c>
      <c r="L8" s="259" t="str">
        <f>_xll.ohRangeRetrieveError(K8)</f>
        <v/>
      </c>
      <c r="M8" s="57"/>
    </row>
    <row r="9" spans="1:20" x14ac:dyDescent="0.2">
      <c r="A9" s="136"/>
      <c r="B9" s="228" t="s">
        <v>110</v>
      </c>
      <c r="C9" s="120" t="str">
        <f>VLOOKUP(Currency,$O$3:$T$7,2)</f>
        <v>AB</v>
      </c>
      <c r="D9" s="120" t="str">
        <f>VLOOKUP(Currency,$O$3:$T$7,3)</f>
        <v>6E</v>
      </c>
      <c r="E9" s="120" t="str">
        <f>VLOOKUP(Currency,$O$3:$T$7,4)</f>
        <v>1w</v>
      </c>
      <c r="F9" s="120">
        <f>VLOOKUP(Currency,$O$3:$T$7,5)</f>
        <v>0</v>
      </c>
      <c r="G9" s="120">
        <f>VLOOKUP(Currency,$O$3:$T$7,6)</f>
        <v>0</v>
      </c>
      <c r="H9" s="258">
        <f>IF(F9=0,0,Currency&amp;$F9&amp;$G9&amp;$B9&amp;QuoteSuffix)</f>
        <v>0</v>
      </c>
      <c r="I9" s="257" t="str">
        <f>PROPER(Currency)&amp;FamilyName&amp;"Swap"&amp;FixingType&amp;$B9</f>
        <v>EuriborSwapIsdaFixA7Y</v>
      </c>
      <c r="J9" s="256" t="str">
        <f>Currency&amp;$C9&amp;$D9&amp;$B9&amp;"_"&amp;"Fwd"&amp;E9&amp;IF(H9=0,,"_Spr"&amp;$F9&amp;$G9)&amp;QuoteSuffix</f>
        <v>EURAB6E7Y_Fwd1w_Quote</v>
      </c>
      <c r="K9" s="256" t="str">
        <f>_xll.qlForwardSwapQuote(J9,I9,H9,E9,Permanent,Trigger,ObjectOverwrite)</f>
        <v>EURAB6E7Y_Fwd1w_Quote#0013</v>
      </c>
      <c r="L9" s="259" t="str">
        <f>_xll.ohRangeRetrieveError(K9)</f>
        <v/>
      </c>
      <c r="M9" s="57"/>
    </row>
    <row r="10" spans="1:20" x14ac:dyDescent="0.2">
      <c r="A10" s="136"/>
      <c r="B10" s="228" t="s">
        <v>109</v>
      </c>
      <c r="C10" s="120" t="str">
        <f>VLOOKUP(Currency,$O$3:$T$7,2)</f>
        <v>AB</v>
      </c>
      <c r="D10" s="120" t="str">
        <f>VLOOKUP(Currency,$O$3:$T$7,3)</f>
        <v>6E</v>
      </c>
      <c r="E10" s="120" t="str">
        <f>VLOOKUP(Currency,$O$3:$T$7,4)</f>
        <v>1w</v>
      </c>
      <c r="F10" s="120">
        <f>VLOOKUP(Currency,$O$3:$T$7,5)</f>
        <v>0</v>
      </c>
      <c r="G10" s="120">
        <f>VLOOKUP(Currency,$O$3:$T$7,6)</f>
        <v>0</v>
      </c>
      <c r="H10" s="258">
        <f>IF(F10=0,0,Currency&amp;$F10&amp;$G10&amp;$B10&amp;QuoteSuffix)</f>
        <v>0</v>
      </c>
      <c r="I10" s="257" t="str">
        <f>PROPER(Currency)&amp;FamilyName&amp;"Swap"&amp;FixingType&amp;$B10</f>
        <v>EuriborSwapIsdaFixA8Y</v>
      </c>
      <c r="J10" s="256" t="str">
        <f>Currency&amp;$C10&amp;$D10&amp;$B10&amp;"_"&amp;"Fwd"&amp;E10&amp;IF(H10=0,,"_Spr"&amp;$F10&amp;$G10)&amp;QuoteSuffix</f>
        <v>EURAB6E8Y_Fwd1w_Quote</v>
      </c>
      <c r="K10" s="256" t="str">
        <f>_xll.qlForwardSwapQuote(J10,I10,H10,E10,Permanent,Trigger,ObjectOverwrite)</f>
        <v>EURAB6E8Y_Fwd1w_Quote#0013</v>
      </c>
      <c r="L10" s="259" t="str">
        <f>_xll.ohRangeRetrieveError(K10)</f>
        <v/>
      </c>
      <c r="M10" s="57"/>
    </row>
    <row r="11" spans="1:20" x14ac:dyDescent="0.2">
      <c r="A11" s="136"/>
      <c r="B11" s="228" t="s">
        <v>108</v>
      </c>
      <c r="C11" s="120" t="str">
        <f>VLOOKUP(Currency,$O$3:$T$7,2)</f>
        <v>AB</v>
      </c>
      <c r="D11" s="120" t="str">
        <f>VLOOKUP(Currency,$O$3:$T$7,3)</f>
        <v>6E</v>
      </c>
      <c r="E11" s="120" t="str">
        <f>VLOOKUP(Currency,$O$3:$T$7,4)</f>
        <v>1w</v>
      </c>
      <c r="F11" s="120">
        <f>VLOOKUP(Currency,$O$3:$T$7,5)</f>
        <v>0</v>
      </c>
      <c r="G11" s="120">
        <f>VLOOKUP(Currency,$O$3:$T$7,6)</f>
        <v>0</v>
      </c>
      <c r="H11" s="258">
        <f>IF(F11=0,0,Currency&amp;$F11&amp;$G11&amp;$B11&amp;QuoteSuffix)</f>
        <v>0</v>
      </c>
      <c r="I11" s="257" t="str">
        <f>PROPER(Currency)&amp;FamilyName&amp;"Swap"&amp;FixingType&amp;$B11</f>
        <v>EuriborSwapIsdaFixA9Y</v>
      </c>
      <c r="J11" s="256" t="str">
        <f>Currency&amp;$C11&amp;$D11&amp;$B11&amp;"_"&amp;"Fwd"&amp;E11&amp;IF(H11=0,,"_Spr"&amp;$F11&amp;$G11)&amp;QuoteSuffix</f>
        <v>EURAB6E9Y_Fwd1w_Quote</v>
      </c>
      <c r="K11" s="256" t="str">
        <f>_xll.qlForwardSwapQuote(J11,I11,H11,E11,Permanent,Trigger,ObjectOverwrite)</f>
        <v>EURAB6E9Y_Fwd1w_Quote#0013</v>
      </c>
      <c r="L11" s="259" t="str">
        <f>_xll.ohRangeRetrieveError(K11)</f>
        <v/>
      </c>
      <c r="M11" s="57"/>
    </row>
    <row r="12" spans="1:20" x14ac:dyDescent="0.2">
      <c r="A12" s="136"/>
      <c r="B12" s="228" t="s">
        <v>107</v>
      </c>
      <c r="C12" s="120" t="str">
        <f>VLOOKUP(Currency,$O$3:$T$7,2)</f>
        <v>AB</v>
      </c>
      <c r="D12" s="120" t="str">
        <f>VLOOKUP(Currency,$O$3:$T$7,3)</f>
        <v>6E</v>
      </c>
      <c r="E12" s="120" t="str">
        <f>VLOOKUP(Currency,$O$3:$T$7,4)</f>
        <v>1w</v>
      </c>
      <c r="F12" s="120">
        <f>VLOOKUP(Currency,$O$3:$T$7,5)</f>
        <v>0</v>
      </c>
      <c r="G12" s="120">
        <f>VLOOKUP(Currency,$O$3:$T$7,6)</f>
        <v>0</v>
      </c>
      <c r="H12" s="258">
        <f>IF(F12=0,0,Currency&amp;$F12&amp;$G12&amp;$B12&amp;QuoteSuffix)</f>
        <v>0</v>
      </c>
      <c r="I12" s="257" t="str">
        <f>PROPER(Currency)&amp;FamilyName&amp;"Swap"&amp;FixingType&amp;$B12</f>
        <v>EuriborSwapIsdaFixA10Y</v>
      </c>
      <c r="J12" s="256" t="str">
        <f>Currency&amp;$C12&amp;$D12&amp;$B12&amp;"_"&amp;"Fwd"&amp;E12&amp;IF(H12=0,,"_Spr"&amp;$F12&amp;$G12)&amp;QuoteSuffix</f>
        <v>EURAB6E10Y_Fwd1w_Quote</v>
      </c>
      <c r="K12" s="256" t="str">
        <f>_xll.qlForwardSwapQuote(J12,I12,H12,E12,Permanent,Trigger,ObjectOverwrite)</f>
        <v>EURAB6E10Y_Fwd1w_Quote#0013</v>
      </c>
      <c r="L12" s="259" t="str">
        <f>_xll.ohRangeRetrieveError(K12)</f>
        <v/>
      </c>
      <c r="M12" s="57"/>
    </row>
    <row r="13" spans="1:20" x14ac:dyDescent="0.2">
      <c r="A13" s="136"/>
      <c r="B13" s="228" t="s">
        <v>106</v>
      </c>
      <c r="C13" s="120" t="str">
        <f>VLOOKUP(Currency,$O$3:$T$7,2)</f>
        <v>AB</v>
      </c>
      <c r="D13" s="120" t="str">
        <f>VLOOKUP(Currency,$O$3:$T$7,3)</f>
        <v>6E</v>
      </c>
      <c r="E13" s="120" t="str">
        <f>VLOOKUP(Currency,$O$3:$T$7,4)</f>
        <v>1w</v>
      </c>
      <c r="F13" s="120">
        <f>VLOOKUP(Currency,$O$3:$T$7,5)</f>
        <v>0</v>
      </c>
      <c r="G13" s="120">
        <f>VLOOKUP(Currency,$O$3:$T$7,6)</f>
        <v>0</v>
      </c>
      <c r="H13" s="258">
        <f>IF(F13=0,0,Currency&amp;$F13&amp;$G13&amp;$B13&amp;QuoteSuffix)</f>
        <v>0</v>
      </c>
      <c r="I13" s="257" t="str">
        <f>PROPER(Currency)&amp;FamilyName&amp;"Swap"&amp;FixingType&amp;$B13</f>
        <v>EuriborSwapIsdaFixA11Y</v>
      </c>
      <c r="J13" s="256" t="str">
        <f>Currency&amp;$C13&amp;$D13&amp;$B13&amp;"_"&amp;"Fwd"&amp;E13&amp;IF(H13=0,,"_Spr"&amp;$F13&amp;$G13)&amp;QuoteSuffix</f>
        <v>EURAB6E11Y_Fwd1w_Quote</v>
      </c>
      <c r="K13" s="256" t="str">
        <f>_xll.qlForwardSwapQuote(J13,I13,H13,E13,Permanent,Trigger,ObjectOverwrite)</f>
        <v>EURAB6E11Y_Fwd1w_Quote#0013</v>
      </c>
      <c r="L13" s="259" t="str">
        <f>_xll.ohRangeRetrieveError(K13)</f>
        <v/>
      </c>
      <c r="M13" s="57"/>
    </row>
    <row r="14" spans="1:20" x14ac:dyDescent="0.2">
      <c r="A14" s="136"/>
      <c r="B14" s="228" t="s">
        <v>105</v>
      </c>
      <c r="C14" s="120" t="str">
        <f>VLOOKUP(Currency,$O$3:$T$7,2)</f>
        <v>AB</v>
      </c>
      <c r="D14" s="120" t="str">
        <f>VLOOKUP(Currency,$O$3:$T$7,3)</f>
        <v>6E</v>
      </c>
      <c r="E14" s="120" t="str">
        <f>VLOOKUP(Currency,$O$3:$T$7,4)</f>
        <v>1w</v>
      </c>
      <c r="F14" s="120">
        <f>VLOOKUP(Currency,$O$3:$T$7,5)</f>
        <v>0</v>
      </c>
      <c r="G14" s="120">
        <f>VLOOKUP(Currency,$O$3:$T$7,6)</f>
        <v>0</v>
      </c>
      <c r="H14" s="258">
        <f>IF(F14=0,0,Currency&amp;$F14&amp;$G14&amp;$B14&amp;QuoteSuffix)</f>
        <v>0</v>
      </c>
      <c r="I14" s="257" t="str">
        <f>PROPER(Currency)&amp;FamilyName&amp;"Swap"&amp;FixingType&amp;$B14</f>
        <v>EuriborSwapIsdaFixA12Y</v>
      </c>
      <c r="J14" s="256" t="str">
        <f>Currency&amp;$C14&amp;$D14&amp;$B14&amp;"_"&amp;"Fwd"&amp;E14&amp;IF(H14=0,,"_Spr"&amp;$F14&amp;$G14)&amp;QuoteSuffix</f>
        <v>EURAB6E12Y_Fwd1w_Quote</v>
      </c>
      <c r="K14" s="256" t="str">
        <f>_xll.qlForwardSwapQuote(J14,I14,H14,E14,Permanent,Trigger,ObjectOverwrite)</f>
        <v>EURAB6E12Y_Fwd1w_Quote#0013</v>
      </c>
      <c r="L14" s="259" t="str">
        <f>_xll.ohRangeRetrieveError(K14)</f>
        <v/>
      </c>
      <c r="M14" s="57"/>
    </row>
    <row r="15" spans="1:20" x14ac:dyDescent="0.2">
      <c r="A15" s="136"/>
      <c r="B15" s="228" t="s">
        <v>104</v>
      </c>
      <c r="C15" s="120" t="str">
        <f>VLOOKUP(Currency,$O$3:$T$7,2)</f>
        <v>AB</v>
      </c>
      <c r="D15" s="120" t="str">
        <f>VLOOKUP(Currency,$O$3:$T$7,3)</f>
        <v>6E</v>
      </c>
      <c r="E15" s="120" t="str">
        <f>VLOOKUP(Currency,$O$3:$T$7,4)</f>
        <v>1w</v>
      </c>
      <c r="F15" s="120">
        <f>VLOOKUP(Currency,$O$3:$T$7,5)</f>
        <v>0</v>
      </c>
      <c r="G15" s="120">
        <f>VLOOKUP(Currency,$O$3:$T$7,6)</f>
        <v>0</v>
      </c>
      <c r="H15" s="258">
        <f>IF(F15=0,0,Currency&amp;$F15&amp;$G15&amp;$B15&amp;QuoteSuffix)</f>
        <v>0</v>
      </c>
      <c r="I15" s="257" t="str">
        <f>PROPER(Currency)&amp;FamilyName&amp;"Swap"&amp;FixingType&amp;$B15</f>
        <v>EuriborSwapIsdaFixA13Y</v>
      </c>
      <c r="J15" s="256" t="str">
        <f>Currency&amp;$C15&amp;$D15&amp;$B15&amp;"_"&amp;"Fwd"&amp;E15&amp;IF(H15=0,,"_Spr"&amp;$F15&amp;$G15)&amp;QuoteSuffix</f>
        <v>EURAB6E13Y_Fwd1w_Quote</v>
      </c>
      <c r="K15" s="256" t="str">
        <f>_xll.qlForwardSwapQuote(J15,I15,H15,E15,Permanent,Trigger,ObjectOverwrite)</f>
        <v>EURAB6E13Y_Fwd1w_Quote#0013</v>
      </c>
      <c r="L15" s="259" t="str">
        <f>_xll.ohRangeRetrieveError(K15)</f>
        <v/>
      </c>
      <c r="M15" s="57"/>
    </row>
    <row r="16" spans="1:20" x14ac:dyDescent="0.2">
      <c r="A16" s="136"/>
      <c r="B16" s="228" t="s">
        <v>103</v>
      </c>
      <c r="C16" s="120" t="str">
        <f>VLOOKUP(Currency,$O$3:$T$7,2)</f>
        <v>AB</v>
      </c>
      <c r="D16" s="120" t="str">
        <f>VLOOKUP(Currency,$O$3:$T$7,3)</f>
        <v>6E</v>
      </c>
      <c r="E16" s="120" t="str">
        <f>VLOOKUP(Currency,$O$3:$T$7,4)</f>
        <v>1w</v>
      </c>
      <c r="F16" s="120">
        <f>VLOOKUP(Currency,$O$3:$T$7,5)</f>
        <v>0</v>
      </c>
      <c r="G16" s="120">
        <f>VLOOKUP(Currency,$O$3:$T$7,6)</f>
        <v>0</v>
      </c>
      <c r="H16" s="258">
        <f>IF(F16=0,0,Currency&amp;$F16&amp;$G16&amp;$B16&amp;QuoteSuffix)</f>
        <v>0</v>
      </c>
      <c r="I16" s="257" t="str">
        <f>PROPER(Currency)&amp;FamilyName&amp;"Swap"&amp;FixingType&amp;$B16</f>
        <v>EuriborSwapIsdaFixA14Y</v>
      </c>
      <c r="J16" s="256" t="str">
        <f>Currency&amp;$C16&amp;$D16&amp;$B16&amp;"_"&amp;"Fwd"&amp;E16&amp;IF(H16=0,,"_Spr"&amp;$F16&amp;$G16)&amp;QuoteSuffix</f>
        <v>EURAB6E14Y_Fwd1w_Quote</v>
      </c>
      <c r="K16" s="256" t="str">
        <f>_xll.qlForwardSwapQuote(J16,I16,H16,E16,Permanent,Trigger,ObjectOverwrite)</f>
        <v>EURAB6E14Y_Fwd1w_Quote#0013</v>
      </c>
      <c r="L16" s="259" t="str">
        <f>_xll.ohRangeRetrieveError(K16)</f>
        <v/>
      </c>
      <c r="M16" s="57"/>
    </row>
    <row r="17" spans="1:13" x14ac:dyDescent="0.2">
      <c r="A17" s="136"/>
      <c r="B17" s="228" t="s">
        <v>102</v>
      </c>
      <c r="C17" s="120" t="str">
        <f>VLOOKUP(Currency,$O$3:$T$7,2)</f>
        <v>AB</v>
      </c>
      <c r="D17" s="120" t="str">
        <f>VLOOKUP(Currency,$O$3:$T$7,3)</f>
        <v>6E</v>
      </c>
      <c r="E17" s="120" t="str">
        <f>VLOOKUP(Currency,$O$3:$T$7,4)</f>
        <v>1w</v>
      </c>
      <c r="F17" s="120">
        <f>VLOOKUP(Currency,$O$3:$T$7,5)</f>
        <v>0</v>
      </c>
      <c r="G17" s="120">
        <f>VLOOKUP(Currency,$O$3:$T$7,6)</f>
        <v>0</v>
      </c>
      <c r="H17" s="258">
        <f>IF(F17=0,0,Currency&amp;$F17&amp;$G17&amp;$B17&amp;QuoteSuffix)</f>
        <v>0</v>
      </c>
      <c r="I17" s="257" t="str">
        <f>PROPER(Currency)&amp;FamilyName&amp;"Swap"&amp;FixingType&amp;$B17</f>
        <v>EuriborSwapIsdaFixA15Y</v>
      </c>
      <c r="J17" s="256" t="str">
        <f>Currency&amp;$C17&amp;$D17&amp;$B17&amp;"_"&amp;"Fwd"&amp;E17&amp;IF(H17=0,,"_Spr"&amp;$F17&amp;$G17)&amp;QuoteSuffix</f>
        <v>EURAB6E15Y_Fwd1w_Quote</v>
      </c>
      <c r="K17" s="256" t="str">
        <f>_xll.qlForwardSwapQuote(J17,I17,H17,E17,Permanent,Trigger,ObjectOverwrite)</f>
        <v>EURAB6E15Y_Fwd1w_Quote#0013</v>
      </c>
      <c r="L17" s="259" t="str">
        <f>_xll.ohRangeRetrieveError(K17)</f>
        <v/>
      </c>
      <c r="M17" s="57"/>
    </row>
    <row r="18" spans="1:13" x14ac:dyDescent="0.2">
      <c r="A18" s="136"/>
      <c r="B18" s="228" t="s">
        <v>101</v>
      </c>
      <c r="C18" s="120" t="str">
        <f>VLOOKUP(Currency,$O$3:$T$7,2)</f>
        <v>AB</v>
      </c>
      <c r="D18" s="120" t="str">
        <f>VLOOKUP(Currency,$O$3:$T$7,3)</f>
        <v>6E</v>
      </c>
      <c r="E18" s="120" t="str">
        <f>VLOOKUP(Currency,$O$3:$T$7,4)</f>
        <v>1w</v>
      </c>
      <c r="F18" s="120">
        <f>VLOOKUP(Currency,$O$3:$T$7,5)</f>
        <v>0</v>
      </c>
      <c r="G18" s="120">
        <f>VLOOKUP(Currency,$O$3:$T$7,6)</f>
        <v>0</v>
      </c>
      <c r="H18" s="258">
        <f>IF(F18=0,0,Currency&amp;$F18&amp;$G18&amp;$B18&amp;QuoteSuffix)</f>
        <v>0</v>
      </c>
      <c r="I18" s="257" t="str">
        <f>PROPER(Currency)&amp;FamilyName&amp;"Swap"&amp;FixingType&amp;$B18</f>
        <v>EuriborSwapIsdaFixA16Y</v>
      </c>
      <c r="J18" s="256" t="str">
        <f>Currency&amp;$C18&amp;$D18&amp;$B18&amp;"_"&amp;"Fwd"&amp;E18&amp;IF(H18=0,,"_Spr"&amp;$F18&amp;$G18)&amp;QuoteSuffix</f>
        <v>EURAB6E16Y_Fwd1w_Quote</v>
      </c>
      <c r="K18" s="256" t="str">
        <f>_xll.qlForwardSwapQuote(J18,I18,H18,E18,Permanent,Trigger,ObjectOverwrite)</f>
        <v>EURAB6E16Y_Fwd1w_Quote#0013</v>
      </c>
      <c r="L18" s="259" t="str">
        <f>_xll.ohRangeRetrieveError(K18)</f>
        <v/>
      </c>
      <c r="M18" s="57"/>
    </row>
    <row r="19" spans="1:13" x14ac:dyDescent="0.2">
      <c r="A19" s="136"/>
      <c r="B19" s="228" t="s">
        <v>100</v>
      </c>
      <c r="C19" s="120" t="str">
        <f>VLOOKUP(Currency,$O$3:$T$7,2)</f>
        <v>AB</v>
      </c>
      <c r="D19" s="120" t="str">
        <f>VLOOKUP(Currency,$O$3:$T$7,3)</f>
        <v>6E</v>
      </c>
      <c r="E19" s="120" t="str">
        <f>VLOOKUP(Currency,$O$3:$T$7,4)</f>
        <v>1w</v>
      </c>
      <c r="F19" s="120">
        <f>VLOOKUP(Currency,$O$3:$T$7,5)</f>
        <v>0</v>
      </c>
      <c r="G19" s="120">
        <f>VLOOKUP(Currency,$O$3:$T$7,6)</f>
        <v>0</v>
      </c>
      <c r="H19" s="258">
        <f>IF(F19=0,0,Currency&amp;$F19&amp;$G19&amp;$B19&amp;QuoteSuffix)</f>
        <v>0</v>
      </c>
      <c r="I19" s="257" t="str">
        <f>PROPER(Currency)&amp;FamilyName&amp;"Swap"&amp;FixingType&amp;$B19</f>
        <v>EuriborSwapIsdaFixA17Y</v>
      </c>
      <c r="J19" s="256" t="str">
        <f>Currency&amp;$C19&amp;$D19&amp;$B19&amp;"_"&amp;"Fwd"&amp;E19&amp;IF(H19=0,,"_Spr"&amp;$F19&amp;$G19)&amp;QuoteSuffix</f>
        <v>EURAB6E17Y_Fwd1w_Quote</v>
      </c>
      <c r="K19" s="256" t="str">
        <f>_xll.qlForwardSwapQuote(J19,I19,H19,E19,Permanent,Trigger,ObjectOverwrite)</f>
        <v>EURAB6E17Y_Fwd1w_Quote#0013</v>
      </c>
      <c r="L19" s="259" t="str">
        <f>_xll.ohRangeRetrieveError(K19)</f>
        <v/>
      </c>
      <c r="M19" s="57"/>
    </row>
    <row r="20" spans="1:13" x14ac:dyDescent="0.2">
      <c r="A20" s="136"/>
      <c r="B20" s="228" t="s">
        <v>99</v>
      </c>
      <c r="C20" s="120" t="str">
        <f>VLOOKUP(Currency,$O$3:$T$7,2)</f>
        <v>AB</v>
      </c>
      <c r="D20" s="120" t="str">
        <f>VLOOKUP(Currency,$O$3:$T$7,3)</f>
        <v>6E</v>
      </c>
      <c r="E20" s="120" t="str">
        <f>VLOOKUP(Currency,$O$3:$T$7,4)</f>
        <v>1w</v>
      </c>
      <c r="F20" s="120">
        <f>VLOOKUP(Currency,$O$3:$T$7,5)</f>
        <v>0</v>
      </c>
      <c r="G20" s="120">
        <f>VLOOKUP(Currency,$O$3:$T$7,6)</f>
        <v>0</v>
      </c>
      <c r="H20" s="258">
        <f>IF(F20=0,0,Currency&amp;$F20&amp;$G20&amp;$B20&amp;QuoteSuffix)</f>
        <v>0</v>
      </c>
      <c r="I20" s="257" t="str">
        <f>PROPER(Currency)&amp;FamilyName&amp;"Swap"&amp;FixingType&amp;$B20</f>
        <v>EuriborSwapIsdaFixA18Y</v>
      </c>
      <c r="J20" s="256" t="str">
        <f>Currency&amp;$C20&amp;$D20&amp;$B20&amp;"_"&amp;"Fwd"&amp;E20&amp;IF(H20=0,,"_Spr"&amp;$F20&amp;$G20)&amp;QuoteSuffix</f>
        <v>EURAB6E18Y_Fwd1w_Quote</v>
      </c>
      <c r="K20" s="256" t="str">
        <f>_xll.qlForwardSwapQuote(J20,I20,H20,E20,Permanent,Trigger,ObjectOverwrite)</f>
        <v>EURAB6E18Y_Fwd1w_Quote#0013</v>
      </c>
      <c r="L20" s="259" t="str">
        <f>_xll.ohRangeRetrieveError(K20)</f>
        <v/>
      </c>
      <c r="M20" s="57"/>
    </row>
    <row r="21" spans="1:13" x14ac:dyDescent="0.2">
      <c r="A21" s="136"/>
      <c r="B21" s="228" t="s">
        <v>98</v>
      </c>
      <c r="C21" s="120" t="str">
        <f>VLOOKUP(Currency,$O$3:$T$7,2)</f>
        <v>AB</v>
      </c>
      <c r="D21" s="120" t="str">
        <f>VLOOKUP(Currency,$O$3:$T$7,3)</f>
        <v>6E</v>
      </c>
      <c r="E21" s="120" t="str">
        <f>VLOOKUP(Currency,$O$3:$T$7,4)</f>
        <v>1w</v>
      </c>
      <c r="F21" s="120">
        <f>VLOOKUP(Currency,$O$3:$T$7,5)</f>
        <v>0</v>
      </c>
      <c r="G21" s="120">
        <f>VLOOKUP(Currency,$O$3:$T$7,6)</f>
        <v>0</v>
      </c>
      <c r="H21" s="258">
        <f>IF(F21=0,0,Currency&amp;$F21&amp;$G21&amp;$B21&amp;QuoteSuffix)</f>
        <v>0</v>
      </c>
      <c r="I21" s="257" t="str">
        <f>PROPER(Currency)&amp;FamilyName&amp;"Swap"&amp;FixingType&amp;$B21</f>
        <v>EuriborSwapIsdaFixA19Y</v>
      </c>
      <c r="J21" s="256" t="str">
        <f>Currency&amp;$C21&amp;$D21&amp;$B21&amp;"_"&amp;"Fwd"&amp;E21&amp;IF(H21=0,,"_Spr"&amp;$F21&amp;$G21)&amp;QuoteSuffix</f>
        <v>EURAB6E19Y_Fwd1w_Quote</v>
      </c>
      <c r="K21" s="256" t="str">
        <f>_xll.qlForwardSwapQuote(J21,I21,H21,E21,Permanent,Trigger,ObjectOverwrite)</f>
        <v>EURAB6E19Y_Fwd1w_Quote#0013</v>
      </c>
      <c r="L21" s="259" t="str">
        <f>_xll.ohRangeRetrieveError(K21)</f>
        <v/>
      </c>
      <c r="M21" s="57"/>
    </row>
    <row r="22" spans="1:13" x14ac:dyDescent="0.2">
      <c r="A22" s="136"/>
      <c r="B22" s="228" t="s">
        <v>97</v>
      </c>
      <c r="C22" s="120" t="str">
        <f>VLOOKUP(Currency,$O$3:$T$7,2)</f>
        <v>AB</v>
      </c>
      <c r="D22" s="120" t="str">
        <f>VLOOKUP(Currency,$O$3:$T$7,3)</f>
        <v>6E</v>
      </c>
      <c r="E22" s="120" t="str">
        <f>VLOOKUP(Currency,$O$3:$T$7,4)</f>
        <v>1w</v>
      </c>
      <c r="F22" s="120">
        <f>VLOOKUP(Currency,$O$3:$T$7,5)</f>
        <v>0</v>
      </c>
      <c r="G22" s="120">
        <f>VLOOKUP(Currency,$O$3:$T$7,6)</f>
        <v>0</v>
      </c>
      <c r="H22" s="258">
        <f>IF(F22=0,0,Currency&amp;$F22&amp;$G22&amp;$B22&amp;QuoteSuffix)</f>
        <v>0</v>
      </c>
      <c r="I22" s="257" t="str">
        <f>PROPER(Currency)&amp;FamilyName&amp;"Swap"&amp;FixingType&amp;$B22</f>
        <v>EuriborSwapIsdaFixA20Y</v>
      </c>
      <c r="J22" s="256" t="str">
        <f>Currency&amp;$C22&amp;$D22&amp;$B22&amp;"_"&amp;"Fwd"&amp;E22&amp;IF(H22=0,,"_Spr"&amp;$F22&amp;$G22)&amp;QuoteSuffix</f>
        <v>EURAB6E20Y_Fwd1w_Quote</v>
      </c>
      <c r="K22" s="256" t="str">
        <f>_xll.qlForwardSwapQuote(J22,I22,H22,E22,Permanent,Trigger,ObjectOverwrite)</f>
        <v>EURAB6E20Y_Fwd1w_Quote#0013</v>
      </c>
      <c r="L22" s="259" t="str">
        <f>_xll.ohRangeRetrieveError(K22)</f>
        <v/>
      </c>
      <c r="M22" s="57"/>
    </row>
    <row r="23" spans="1:13" x14ac:dyDescent="0.2">
      <c r="A23" s="136"/>
      <c r="B23" s="228" t="s">
        <v>96</v>
      </c>
      <c r="C23" s="120" t="str">
        <f>VLOOKUP(Currency,$O$3:$T$7,2)</f>
        <v>AB</v>
      </c>
      <c r="D23" s="120" t="str">
        <f>VLOOKUP(Currency,$O$3:$T$7,3)</f>
        <v>6E</v>
      </c>
      <c r="E23" s="120" t="str">
        <f>VLOOKUP(Currency,$O$3:$T$7,4)</f>
        <v>1w</v>
      </c>
      <c r="F23" s="120">
        <f>VLOOKUP(Currency,$O$3:$T$7,5)</f>
        <v>0</v>
      </c>
      <c r="G23" s="120">
        <f>VLOOKUP(Currency,$O$3:$T$7,6)</f>
        <v>0</v>
      </c>
      <c r="H23" s="258">
        <f>IF(F23=0,0,Currency&amp;$F23&amp;$G23&amp;$B23&amp;QuoteSuffix)</f>
        <v>0</v>
      </c>
      <c r="I23" s="257" t="str">
        <f>PROPER(Currency)&amp;FamilyName&amp;"Swap"&amp;FixingType&amp;$B23</f>
        <v>EuriborSwapIsdaFixA21Y</v>
      </c>
      <c r="J23" s="256" t="str">
        <f>Currency&amp;$C23&amp;$D23&amp;$B23&amp;"_"&amp;"Fwd"&amp;E23&amp;IF(H23=0,,"_Spr"&amp;$F23&amp;$G23)&amp;QuoteSuffix</f>
        <v>EURAB6E21Y_Fwd1w_Quote</v>
      </c>
      <c r="K23" s="256" t="str">
        <f>_xll.qlForwardSwapQuote(J23,I23,H23,E23,Permanent,Trigger,ObjectOverwrite)</f>
        <v>EURAB6E21Y_Fwd1w_Quote#0013</v>
      </c>
      <c r="L23" s="259" t="str">
        <f>_xll.ohRangeRetrieveError(K23)</f>
        <v/>
      </c>
      <c r="M23" s="57"/>
    </row>
    <row r="24" spans="1:13" x14ac:dyDescent="0.2">
      <c r="A24" s="136"/>
      <c r="B24" s="228" t="s">
        <v>95</v>
      </c>
      <c r="C24" s="120" t="str">
        <f>VLOOKUP(Currency,$O$3:$T$7,2)</f>
        <v>AB</v>
      </c>
      <c r="D24" s="120" t="str">
        <f>VLOOKUP(Currency,$O$3:$T$7,3)</f>
        <v>6E</v>
      </c>
      <c r="E24" s="120" t="str">
        <f>VLOOKUP(Currency,$O$3:$T$7,4)</f>
        <v>1w</v>
      </c>
      <c r="F24" s="120">
        <f>VLOOKUP(Currency,$O$3:$T$7,5)</f>
        <v>0</v>
      </c>
      <c r="G24" s="120">
        <f>VLOOKUP(Currency,$O$3:$T$7,6)</f>
        <v>0</v>
      </c>
      <c r="H24" s="258">
        <f>IF(F24=0,0,Currency&amp;$F24&amp;$G24&amp;$B24&amp;QuoteSuffix)</f>
        <v>0</v>
      </c>
      <c r="I24" s="257" t="str">
        <f>PROPER(Currency)&amp;FamilyName&amp;"Swap"&amp;FixingType&amp;$B24</f>
        <v>EuriborSwapIsdaFixA22Y</v>
      </c>
      <c r="J24" s="256" t="str">
        <f>Currency&amp;$C24&amp;$D24&amp;$B24&amp;"_"&amp;"Fwd"&amp;E24&amp;IF(H24=0,,"_Spr"&amp;$F24&amp;$G24)&amp;QuoteSuffix</f>
        <v>EURAB6E22Y_Fwd1w_Quote</v>
      </c>
      <c r="K24" s="256" t="str">
        <f>_xll.qlForwardSwapQuote(J24,I24,H24,E24,Permanent,Trigger,ObjectOverwrite)</f>
        <v>EURAB6E22Y_Fwd1w_Quote#0013</v>
      </c>
      <c r="L24" s="259" t="str">
        <f>_xll.ohRangeRetrieveError(K24)</f>
        <v/>
      </c>
      <c r="M24" s="57"/>
    </row>
    <row r="25" spans="1:13" x14ac:dyDescent="0.2">
      <c r="A25" s="136"/>
      <c r="B25" s="228" t="s">
        <v>94</v>
      </c>
      <c r="C25" s="120" t="str">
        <f>VLOOKUP(Currency,$O$3:$T$7,2)</f>
        <v>AB</v>
      </c>
      <c r="D25" s="120" t="str">
        <f>VLOOKUP(Currency,$O$3:$T$7,3)</f>
        <v>6E</v>
      </c>
      <c r="E25" s="120" t="str">
        <f>VLOOKUP(Currency,$O$3:$T$7,4)</f>
        <v>1w</v>
      </c>
      <c r="F25" s="120">
        <f>VLOOKUP(Currency,$O$3:$T$7,5)</f>
        <v>0</v>
      </c>
      <c r="G25" s="120">
        <f>VLOOKUP(Currency,$O$3:$T$7,6)</f>
        <v>0</v>
      </c>
      <c r="H25" s="258">
        <f>IF(F25=0,0,Currency&amp;$F25&amp;$G25&amp;$B25&amp;QuoteSuffix)</f>
        <v>0</v>
      </c>
      <c r="I25" s="257" t="str">
        <f>PROPER(Currency)&amp;FamilyName&amp;"Swap"&amp;FixingType&amp;$B25</f>
        <v>EuriborSwapIsdaFixA23Y</v>
      </c>
      <c r="J25" s="256" t="str">
        <f>Currency&amp;$C25&amp;$D25&amp;$B25&amp;"_"&amp;"Fwd"&amp;E25&amp;IF(H25=0,,"_Spr"&amp;$F25&amp;$G25)&amp;QuoteSuffix</f>
        <v>EURAB6E23Y_Fwd1w_Quote</v>
      </c>
      <c r="K25" s="256" t="str">
        <f>_xll.qlForwardSwapQuote(J25,I25,H25,E25,Permanent,Trigger,ObjectOverwrite)</f>
        <v>EURAB6E23Y_Fwd1w_Quote#0013</v>
      </c>
      <c r="L25" s="259" t="str">
        <f>_xll.ohRangeRetrieveError(K25)</f>
        <v/>
      </c>
      <c r="M25" s="57"/>
    </row>
    <row r="26" spans="1:13" x14ac:dyDescent="0.2">
      <c r="A26" s="136"/>
      <c r="B26" s="228" t="s">
        <v>93</v>
      </c>
      <c r="C26" s="120" t="str">
        <f>VLOOKUP(Currency,$O$3:$T$7,2)</f>
        <v>AB</v>
      </c>
      <c r="D26" s="120" t="str">
        <f>VLOOKUP(Currency,$O$3:$T$7,3)</f>
        <v>6E</v>
      </c>
      <c r="E26" s="120" t="str">
        <f>VLOOKUP(Currency,$O$3:$T$7,4)</f>
        <v>1w</v>
      </c>
      <c r="F26" s="120">
        <f>VLOOKUP(Currency,$O$3:$T$7,5)</f>
        <v>0</v>
      </c>
      <c r="G26" s="120">
        <f>VLOOKUP(Currency,$O$3:$T$7,6)</f>
        <v>0</v>
      </c>
      <c r="H26" s="258">
        <f>IF(F26=0,0,Currency&amp;$F26&amp;$G26&amp;$B26&amp;QuoteSuffix)</f>
        <v>0</v>
      </c>
      <c r="I26" s="257" t="str">
        <f>PROPER(Currency)&amp;FamilyName&amp;"Swap"&amp;FixingType&amp;$B26</f>
        <v>EuriborSwapIsdaFixA24Y</v>
      </c>
      <c r="J26" s="256" t="str">
        <f>Currency&amp;$C26&amp;$D26&amp;$B26&amp;"_"&amp;"Fwd"&amp;E26&amp;IF(H26=0,,"_Spr"&amp;$F26&amp;$G26)&amp;QuoteSuffix</f>
        <v>EURAB6E24Y_Fwd1w_Quote</v>
      </c>
      <c r="K26" s="256" t="str">
        <f>_xll.qlForwardSwapQuote(J26,I26,H26,E26,Permanent,Trigger,ObjectOverwrite)</f>
        <v>EURAB6E24Y_Fwd1w_Quote#0013</v>
      </c>
      <c r="L26" s="259" t="str">
        <f>_xll.ohRangeRetrieveError(K26)</f>
        <v/>
      </c>
      <c r="M26" s="57"/>
    </row>
    <row r="27" spans="1:13" x14ac:dyDescent="0.2">
      <c r="A27" s="136"/>
      <c r="B27" s="228" t="s">
        <v>92</v>
      </c>
      <c r="C27" s="120" t="str">
        <f>VLOOKUP(Currency,$O$3:$T$7,2)</f>
        <v>AB</v>
      </c>
      <c r="D27" s="120" t="str">
        <f>VLOOKUP(Currency,$O$3:$T$7,3)</f>
        <v>6E</v>
      </c>
      <c r="E27" s="120" t="str">
        <f>VLOOKUP(Currency,$O$3:$T$7,4)</f>
        <v>1w</v>
      </c>
      <c r="F27" s="120">
        <f>VLOOKUP(Currency,$O$3:$T$7,5)</f>
        <v>0</v>
      </c>
      <c r="G27" s="120">
        <f>VLOOKUP(Currency,$O$3:$T$7,6)</f>
        <v>0</v>
      </c>
      <c r="H27" s="258">
        <f>IF(F27=0,0,Currency&amp;$F27&amp;$G27&amp;$B27&amp;QuoteSuffix)</f>
        <v>0</v>
      </c>
      <c r="I27" s="257" t="str">
        <f>PROPER(Currency)&amp;FamilyName&amp;"Swap"&amp;FixingType&amp;$B27</f>
        <v>EuriborSwapIsdaFixA25Y</v>
      </c>
      <c r="J27" s="256" t="str">
        <f>Currency&amp;$C27&amp;$D27&amp;$B27&amp;"_"&amp;"Fwd"&amp;E27&amp;IF(H27=0,,"_Spr"&amp;$F27&amp;$G27)&amp;QuoteSuffix</f>
        <v>EURAB6E25Y_Fwd1w_Quote</v>
      </c>
      <c r="K27" s="256" t="str">
        <f>_xll.qlForwardSwapQuote(J27,I27,H27,E27,Permanent,Trigger,ObjectOverwrite)</f>
        <v>EURAB6E25Y_Fwd1w_Quote#0013</v>
      </c>
      <c r="L27" s="259" t="str">
        <f>_xll.ohRangeRetrieveError(K27)</f>
        <v/>
      </c>
      <c r="M27" s="57"/>
    </row>
    <row r="28" spans="1:13" x14ac:dyDescent="0.2">
      <c r="A28" s="136"/>
      <c r="B28" s="228" t="s">
        <v>91</v>
      </c>
      <c r="C28" s="120" t="str">
        <f>VLOOKUP(Currency,$O$3:$T$7,2)</f>
        <v>AB</v>
      </c>
      <c r="D28" s="120" t="str">
        <f>VLOOKUP(Currency,$O$3:$T$7,3)</f>
        <v>6E</v>
      </c>
      <c r="E28" s="120" t="str">
        <f>VLOOKUP(Currency,$O$3:$T$7,4)</f>
        <v>1w</v>
      </c>
      <c r="F28" s="120">
        <f>VLOOKUP(Currency,$O$3:$T$7,5)</f>
        <v>0</v>
      </c>
      <c r="G28" s="120">
        <f>VLOOKUP(Currency,$O$3:$T$7,6)</f>
        <v>0</v>
      </c>
      <c r="H28" s="258">
        <f>IF(F28=0,0,Currency&amp;$F28&amp;$G28&amp;$B28&amp;QuoteSuffix)</f>
        <v>0</v>
      </c>
      <c r="I28" s="257" t="str">
        <f>PROPER(Currency)&amp;FamilyName&amp;"Swap"&amp;FixingType&amp;$B28</f>
        <v>EuriborSwapIsdaFixA26Y</v>
      </c>
      <c r="J28" s="256" t="str">
        <f>Currency&amp;$C28&amp;$D28&amp;$B28&amp;"_"&amp;"Fwd"&amp;E28&amp;IF(H28=0,,"_Spr"&amp;$F28&amp;$G28)&amp;QuoteSuffix</f>
        <v>EURAB6E26Y_Fwd1w_Quote</v>
      </c>
      <c r="K28" s="256" t="str">
        <f>_xll.qlForwardSwapQuote(J28,I28,H28,E28,Permanent,Trigger,ObjectOverwrite)</f>
        <v>EURAB6E26Y_Fwd1w_Quote#0013</v>
      </c>
      <c r="L28" s="259" t="str">
        <f>_xll.ohRangeRetrieveError(K28)</f>
        <v/>
      </c>
      <c r="M28" s="57"/>
    </row>
    <row r="29" spans="1:13" x14ac:dyDescent="0.2">
      <c r="A29" s="136"/>
      <c r="B29" s="228" t="s">
        <v>90</v>
      </c>
      <c r="C29" s="120" t="str">
        <f>VLOOKUP(Currency,$O$3:$T$7,2)</f>
        <v>AB</v>
      </c>
      <c r="D29" s="120" t="str">
        <f>VLOOKUP(Currency,$O$3:$T$7,3)</f>
        <v>6E</v>
      </c>
      <c r="E29" s="120" t="str">
        <f>VLOOKUP(Currency,$O$3:$T$7,4)</f>
        <v>1w</v>
      </c>
      <c r="F29" s="120">
        <f>VLOOKUP(Currency,$O$3:$T$7,5)</f>
        <v>0</v>
      </c>
      <c r="G29" s="120">
        <f>VLOOKUP(Currency,$O$3:$T$7,6)</f>
        <v>0</v>
      </c>
      <c r="H29" s="258">
        <f>IF(F29=0,0,Currency&amp;$F29&amp;$G29&amp;$B29&amp;QuoteSuffix)</f>
        <v>0</v>
      </c>
      <c r="I29" s="257" t="str">
        <f>PROPER(Currency)&amp;FamilyName&amp;"Swap"&amp;FixingType&amp;$B29</f>
        <v>EuriborSwapIsdaFixA27Y</v>
      </c>
      <c r="J29" s="256" t="str">
        <f>Currency&amp;$C29&amp;$D29&amp;$B29&amp;"_"&amp;"Fwd"&amp;E29&amp;IF(H29=0,,"_Spr"&amp;$F29&amp;$G29)&amp;QuoteSuffix</f>
        <v>EURAB6E27Y_Fwd1w_Quote</v>
      </c>
      <c r="K29" s="256" t="str">
        <f>_xll.qlForwardSwapQuote(J29,I29,H29,E29,Permanent,Trigger,ObjectOverwrite)</f>
        <v>EURAB6E27Y_Fwd1w_Quote#0013</v>
      </c>
      <c r="L29" s="259" t="str">
        <f>_xll.ohRangeRetrieveError(K29)</f>
        <v/>
      </c>
      <c r="M29" s="57"/>
    </row>
    <row r="30" spans="1:13" x14ac:dyDescent="0.2">
      <c r="A30" s="136"/>
      <c r="B30" s="228" t="s">
        <v>89</v>
      </c>
      <c r="C30" s="120" t="str">
        <f>VLOOKUP(Currency,$O$3:$T$7,2)</f>
        <v>AB</v>
      </c>
      <c r="D30" s="120" t="str">
        <f>VLOOKUP(Currency,$O$3:$T$7,3)</f>
        <v>6E</v>
      </c>
      <c r="E30" s="120" t="str">
        <f>VLOOKUP(Currency,$O$3:$T$7,4)</f>
        <v>1w</v>
      </c>
      <c r="F30" s="120">
        <f>VLOOKUP(Currency,$O$3:$T$7,5)</f>
        <v>0</v>
      </c>
      <c r="G30" s="120">
        <f>VLOOKUP(Currency,$O$3:$T$7,6)</f>
        <v>0</v>
      </c>
      <c r="H30" s="258">
        <f>IF(F30=0,0,Currency&amp;$F30&amp;$G30&amp;$B30&amp;QuoteSuffix)</f>
        <v>0</v>
      </c>
      <c r="I30" s="257" t="str">
        <f>PROPER(Currency)&amp;FamilyName&amp;"Swap"&amp;FixingType&amp;$B30</f>
        <v>EuriborSwapIsdaFixA28Y</v>
      </c>
      <c r="J30" s="256" t="str">
        <f>Currency&amp;$C30&amp;$D30&amp;$B30&amp;"_"&amp;"Fwd"&amp;E30&amp;IF(H30=0,,"_Spr"&amp;$F30&amp;$G30)&amp;QuoteSuffix</f>
        <v>EURAB6E28Y_Fwd1w_Quote</v>
      </c>
      <c r="K30" s="256" t="str">
        <f>_xll.qlForwardSwapQuote(J30,I30,H30,E30,Permanent,Trigger,ObjectOverwrite)</f>
        <v>EURAB6E28Y_Fwd1w_Quote#0013</v>
      </c>
      <c r="L30" s="259" t="str">
        <f>_xll.ohRangeRetrieveError(K30)</f>
        <v/>
      </c>
      <c r="M30" s="57"/>
    </row>
    <row r="31" spans="1:13" x14ac:dyDescent="0.2">
      <c r="A31" s="136"/>
      <c r="B31" s="228" t="s">
        <v>88</v>
      </c>
      <c r="C31" s="120" t="str">
        <f>VLOOKUP(Currency,$O$3:$T$7,2)</f>
        <v>AB</v>
      </c>
      <c r="D31" s="120" t="str">
        <f>VLOOKUP(Currency,$O$3:$T$7,3)</f>
        <v>6E</v>
      </c>
      <c r="E31" s="120" t="str">
        <f>VLOOKUP(Currency,$O$3:$T$7,4)</f>
        <v>1w</v>
      </c>
      <c r="F31" s="120">
        <f>VLOOKUP(Currency,$O$3:$T$7,5)</f>
        <v>0</v>
      </c>
      <c r="G31" s="120">
        <f>VLOOKUP(Currency,$O$3:$T$7,6)</f>
        <v>0</v>
      </c>
      <c r="H31" s="258">
        <f>IF(F31=0,0,Currency&amp;$F31&amp;$G31&amp;$B31&amp;QuoteSuffix)</f>
        <v>0</v>
      </c>
      <c r="I31" s="257" t="str">
        <f>PROPER(Currency)&amp;FamilyName&amp;"Swap"&amp;FixingType&amp;$B31</f>
        <v>EuriborSwapIsdaFixA29Y</v>
      </c>
      <c r="J31" s="256" t="str">
        <f>Currency&amp;$C31&amp;$D31&amp;$B31&amp;"_"&amp;"Fwd"&amp;E31&amp;IF(H31=0,,"_Spr"&amp;$F31&amp;$G31)&amp;QuoteSuffix</f>
        <v>EURAB6E29Y_Fwd1w_Quote</v>
      </c>
      <c r="K31" s="256" t="str">
        <f>_xll.qlForwardSwapQuote(J31,I31,H31,E31,Permanent,Trigger,ObjectOverwrite)</f>
        <v>EURAB6E29Y_Fwd1w_Quote#0013</v>
      </c>
      <c r="L31" s="259" t="str">
        <f>_xll.ohRangeRetrieveError(K31)</f>
        <v/>
      </c>
      <c r="M31" s="57"/>
    </row>
    <row r="32" spans="1:13" x14ac:dyDescent="0.2">
      <c r="A32" s="136"/>
      <c r="B32" s="228" t="s">
        <v>87</v>
      </c>
      <c r="C32" s="120" t="str">
        <f>VLOOKUP(Currency,$O$3:$T$7,2)</f>
        <v>AB</v>
      </c>
      <c r="D32" s="120" t="str">
        <f>VLOOKUP(Currency,$O$3:$T$7,3)</f>
        <v>6E</v>
      </c>
      <c r="E32" s="120" t="str">
        <f>VLOOKUP(Currency,$O$3:$T$7,4)</f>
        <v>1w</v>
      </c>
      <c r="F32" s="120">
        <f>VLOOKUP(Currency,$O$3:$T$7,5)</f>
        <v>0</v>
      </c>
      <c r="G32" s="120">
        <f>VLOOKUP(Currency,$O$3:$T$7,6)</f>
        <v>0</v>
      </c>
      <c r="H32" s="258">
        <f>IF(F32=0,0,Currency&amp;$F32&amp;$G32&amp;$B32&amp;QuoteSuffix)</f>
        <v>0</v>
      </c>
      <c r="I32" s="257" t="str">
        <f>PROPER(Currency)&amp;FamilyName&amp;"Swap"&amp;FixingType&amp;$B32</f>
        <v>EuriborSwapIsdaFixA30Y</v>
      </c>
      <c r="J32" s="256" t="str">
        <f>Currency&amp;$C32&amp;$D32&amp;$B32&amp;"_"&amp;"Fwd"&amp;E32&amp;IF(H32=0,,"_Spr"&amp;$F32&amp;$G32)&amp;QuoteSuffix</f>
        <v>EURAB6E30Y_Fwd1w_Quote</v>
      </c>
      <c r="K32" s="256" t="str">
        <f>_xll.qlForwardSwapQuote(J32,I32,H32,E32,Permanent,Trigger,ObjectOverwrite)</f>
        <v>EURAB6E30Y_Fwd1w_Quote#0013</v>
      </c>
      <c r="L32" s="259" t="str">
        <f>_xll.ohRangeRetrieveError(K32)</f>
        <v/>
      </c>
      <c r="M32" s="57"/>
    </row>
    <row r="33" spans="1:13" x14ac:dyDescent="0.2">
      <c r="A33" s="136"/>
      <c r="B33" s="228" t="s">
        <v>82</v>
      </c>
      <c r="C33" s="120" t="str">
        <f>VLOOKUP(Currency,$O$3:$T$7,2)</f>
        <v>AB</v>
      </c>
      <c r="D33" s="120" t="str">
        <f>VLOOKUP(Currency,$O$3:$T$7,3)</f>
        <v>6E</v>
      </c>
      <c r="E33" s="120" t="str">
        <f>VLOOKUP(Currency,$O$3:$T$7,4)</f>
        <v>1w</v>
      </c>
      <c r="F33" s="120">
        <f>VLOOKUP(Currency,$O$3:$T$7,5)</f>
        <v>0</v>
      </c>
      <c r="G33" s="120">
        <f>VLOOKUP(Currency,$O$3:$T$7,6)</f>
        <v>0</v>
      </c>
      <c r="H33" s="258">
        <f>IF(F33=0,0,Currency&amp;$F33&amp;$G33&amp;$B33&amp;QuoteSuffix)</f>
        <v>0</v>
      </c>
      <c r="I33" s="257" t="str">
        <f>PROPER(Currency)&amp;FamilyName&amp;"Swap"&amp;FixingType&amp;$B33</f>
        <v>EuriborSwapIsdaFixA35Y</v>
      </c>
      <c r="J33" s="256" t="str">
        <f>Currency&amp;$C33&amp;$D33&amp;$B33&amp;"_"&amp;"Fwd"&amp;E33&amp;IF(H33=0,,"_Spr"&amp;$F33&amp;$G33)&amp;QuoteSuffix</f>
        <v>EURAB6E35Y_Fwd1w_Quote</v>
      </c>
      <c r="K33" s="256" t="str">
        <f>_xll.qlForwardSwapQuote(J33,I33,H33,E33,Permanent,Trigger,ObjectOverwrite)</f>
        <v>EURAB6E35Y_Fwd1w_Quote#0013</v>
      </c>
      <c r="L33" s="259" t="str">
        <f>_xll.ohRangeRetrieveError(K33)</f>
        <v/>
      </c>
      <c r="M33" s="57"/>
    </row>
    <row r="34" spans="1:13" x14ac:dyDescent="0.2">
      <c r="A34" s="136"/>
      <c r="B34" s="228" t="s">
        <v>77</v>
      </c>
      <c r="C34" s="120" t="str">
        <f>VLOOKUP(Currency,$O$3:$T$7,2)</f>
        <v>AB</v>
      </c>
      <c r="D34" s="120" t="str">
        <f>VLOOKUP(Currency,$O$3:$T$7,3)</f>
        <v>6E</v>
      </c>
      <c r="E34" s="120" t="str">
        <f>VLOOKUP(Currency,$O$3:$T$7,4)</f>
        <v>1w</v>
      </c>
      <c r="F34" s="120">
        <f>VLOOKUP(Currency,$O$3:$T$7,5)</f>
        <v>0</v>
      </c>
      <c r="G34" s="120">
        <f>VLOOKUP(Currency,$O$3:$T$7,6)</f>
        <v>0</v>
      </c>
      <c r="H34" s="258">
        <f>IF(F34=0,0,Currency&amp;$F34&amp;$G34&amp;$B34&amp;QuoteSuffix)</f>
        <v>0</v>
      </c>
      <c r="I34" s="257" t="str">
        <f>PROPER(Currency)&amp;FamilyName&amp;"Swap"&amp;FixingType&amp;$B34</f>
        <v>EuriborSwapIsdaFixA40Y</v>
      </c>
      <c r="J34" s="256" t="str">
        <f>Currency&amp;$C34&amp;$D34&amp;$B34&amp;"_"&amp;"Fwd"&amp;E34&amp;IF(H34=0,,"_Spr"&amp;$F34&amp;$G34)&amp;QuoteSuffix</f>
        <v>EURAB6E40Y_Fwd1w_Quote</v>
      </c>
      <c r="K34" s="256" t="str">
        <f>_xll.qlForwardSwapQuote(J34,I34,H34,E34,Permanent,Trigger,ObjectOverwrite)</f>
        <v>EURAB6E40Y_Fwd1w_Quote#0013</v>
      </c>
      <c r="L34" s="259" t="str">
        <f>_xll.ohRangeRetrieveError(K34)</f>
        <v/>
      </c>
      <c r="M34" s="57"/>
    </row>
    <row r="35" spans="1:13" x14ac:dyDescent="0.2">
      <c r="A35" s="136"/>
      <c r="B35" s="228" t="s">
        <v>67</v>
      </c>
      <c r="C35" s="120" t="str">
        <f>VLOOKUP(Currency,$O$3:$T$7,2)</f>
        <v>AB</v>
      </c>
      <c r="D35" s="120" t="str">
        <f>VLOOKUP(Currency,$O$3:$T$7,3)</f>
        <v>6E</v>
      </c>
      <c r="E35" s="120" t="str">
        <f>VLOOKUP(Currency,$O$3:$T$7,4)</f>
        <v>1w</v>
      </c>
      <c r="F35" s="120">
        <f>VLOOKUP(Currency,$O$3:$T$7,5)</f>
        <v>0</v>
      </c>
      <c r="G35" s="120">
        <f>VLOOKUP(Currency,$O$3:$T$7,6)</f>
        <v>0</v>
      </c>
      <c r="H35" s="258">
        <f>IF(F35=0,0,Currency&amp;$F35&amp;$G35&amp;$B35&amp;QuoteSuffix)</f>
        <v>0</v>
      </c>
      <c r="I35" s="257" t="str">
        <f>PROPER(Currency)&amp;FamilyName&amp;"Swap"&amp;FixingType&amp;$B35</f>
        <v>EuriborSwapIsdaFixA50Y</v>
      </c>
      <c r="J35" s="256" t="str">
        <f>Currency&amp;$C35&amp;$D35&amp;$B35&amp;"_"&amp;"Fwd"&amp;E35&amp;IF(H35=0,,"_Spr"&amp;$F35&amp;$G35)&amp;QuoteSuffix</f>
        <v>EURAB6E50Y_Fwd1w_Quote</v>
      </c>
      <c r="K35" s="256" t="str">
        <f>_xll.qlForwardSwapQuote(J35,I35,H35,E35,Permanent,Trigger,ObjectOverwrite)</f>
        <v>EURAB6E50Y_Fwd1w_Quote#0013</v>
      </c>
      <c r="L35" s="259" t="str">
        <f>_xll.ohRangeRetrieveError(K35)</f>
        <v/>
      </c>
      <c r="M35" s="57"/>
    </row>
    <row r="36" spans="1:13" x14ac:dyDescent="0.2">
      <c r="A36" s="136"/>
      <c r="B36" s="228" t="s">
        <v>57</v>
      </c>
      <c r="C36" s="120" t="str">
        <f>VLOOKUP(Currency,$O$3:$T$7,2)</f>
        <v>AB</v>
      </c>
      <c r="D36" s="120" t="str">
        <f>VLOOKUP(Currency,$O$3:$T$7,3)</f>
        <v>6E</v>
      </c>
      <c r="E36" s="120" t="str">
        <f>VLOOKUP(Currency,$O$3:$T$7,4)</f>
        <v>1w</v>
      </c>
      <c r="F36" s="120">
        <f>VLOOKUP(Currency,$O$3:$T$7,5)</f>
        <v>0</v>
      </c>
      <c r="G36" s="120">
        <f>VLOOKUP(Currency,$O$3:$T$7,6)</f>
        <v>0</v>
      </c>
      <c r="H36" s="258">
        <f>IF(F36=0,0,Currency&amp;$F36&amp;$G36&amp;$B36&amp;QuoteSuffix)</f>
        <v>0</v>
      </c>
      <c r="I36" s="257" t="str">
        <f>PROPER(Currency)&amp;FamilyName&amp;"Swap"&amp;FixingType&amp;$B36</f>
        <v>EuriborSwapIsdaFixA60Y</v>
      </c>
      <c r="J36" s="256" t="str">
        <f>Currency&amp;$C36&amp;$D36&amp;$B36&amp;"_"&amp;"Fwd"&amp;E36&amp;IF(H36=0,,"_Spr"&amp;$F36&amp;$G36)&amp;QuoteSuffix</f>
        <v>EURAB6E60Y_Fwd1w_Quote</v>
      </c>
      <c r="K36" s="256" t="str">
        <f>_xll.qlForwardSwapQuote(J36,I36,H36,E36,Permanent,Trigger,ObjectOverwrite)</f>
        <v>EURAB6E60Y_Fwd1w_Quote#0013</v>
      </c>
      <c r="L36" s="84" t="str">
        <f>_xll.ohRangeRetrieveError(K36)</f>
        <v/>
      </c>
      <c r="M36" s="57"/>
    </row>
    <row r="37" spans="1:13" ht="12" thickBot="1" x14ac:dyDescent="0.25">
      <c r="A37" s="56"/>
      <c r="B37" s="55"/>
      <c r="C37" s="55"/>
      <c r="D37" s="55"/>
      <c r="E37" s="55"/>
      <c r="F37" s="55"/>
      <c r="G37" s="55"/>
      <c r="H37" s="55"/>
      <c r="I37" s="55"/>
      <c r="J37" s="55"/>
      <c r="K37" s="130"/>
      <c r="L37" s="130"/>
      <c r="M37" s="54"/>
    </row>
  </sheetData>
  <pageMargins left="0.75" right="0.75" top="1" bottom="1" header="0.5" footer="0.5"/>
  <pageSetup paperSize="9" orientation="portrait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37"/>
  <sheetViews>
    <sheetView workbookViewId="0"/>
  </sheetViews>
  <sheetFormatPr defaultRowHeight="11.25" x14ac:dyDescent="0.2"/>
  <cols>
    <col min="1" max="1" width="3.28515625" style="77" customWidth="1"/>
    <col min="2" max="2" width="3.85546875" style="77" bestFit="1" customWidth="1"/>
    <col min="3" max="3" width="3.140625" style="77" bestFit="1" customWidth="1"/>
    <col min="4" max="4" width="2.7109375" style="77" bestFit="1" customWidth="1"/>
    <col min="5" max="5" width="4.7109375" style="77" bestFit="1" customWidth="1"/>
    <col min="6" max="7" width="1.85546875" style="77" bestFit="1" customWidth="1"/>
    <col min="8" max="8" width="7.140625" style="77" bestFit="1" customWidth="1"/>
    <col min="9" max="9" width="19.140625" style="77" bestFit="1" customWidth="1"/>
    <col min="10" max="10" width="23.85546875" style="77" bestFit="1" customWidth="1"/>
    <col min="11" max="11" width="32.42578125" style="77" bestFit="1" customWidth="1"/>
    <col min="12" max="12" width="30.5703125" style="77" customWidth="1"/>
    <col min="13" max="14" width="3.7109375" style="77" customWidth="1"/>
    <col min="15" max="15" width="4" style="77" bestFit="1" customWidth="1"/>
    <col min="16" max="16" width="3.140625" style="77" bestFit="1" customWidth="1"/>
    <col min="17" max="17" width="2.7109375" style="77" bestFit="1" customWidth="1"/>
    <col min="18" max="18" width="3.28515625" style="77" bestFit="1" customWidth="1"/>
    <col min="19" max="20" width="2.7109375" style="77" bestFit="1" customWidth="1"/>
    <col min="21" max="16384" width="9.140625" style="77"/>
  </cols>
  <sheetData>
    <row r="1" spans="1:20" ht="12" thickBot="1" x14ac:dyDescent="0.25">
      <c r="A1" s="230" t="s">
        <v>216</v>
      </c>
      <c r="B1" s="213"/>
      <c r="C1" s="213"/>
      <c r="D1" s="213"/>
      <c r="E1" s="213"/>
      <c r="F1" s="213"/>
      <c r="G1" s="213"/>
      <c r="H1" s="213"/>
      <c r="I1" s="213"/>
      <c r="J1" s="213"/>
      <c r="K1" s="213"/>
      <c r="L1" s="168"/>
      <c r="M1" s="210"/>
    </row>
    <row r="2" spans="1:20" ht="22.5" x14ac:dyDescent="0.2">
      <c r="A2" s="136"/>
      <c r="B2" s="102"/>
      <c r="C2" s="102"/>
      <c r="D2" s="102"/>
      <c r="E2" s="102" t="s">
        <v>215</v>
      </c>
      <c r="F2" s="102"/>
      <c r="G2" s="102"/>
      <c r="H2" s="102" t="s">
        <v>214</v>
      </c>
      <c r="I2" s="102" t="s">
        <v>213</v>
      </c>
      <c r="J2" s="262" t="str">
        <f>Currency&amp;"_020_Sw"&amp;$C$3&amp;$D$3&amp;"_"&amp;"Fwd"&amp;$E$3&amp;IF(H3=0,,"_Spr"&amp;$F3&amp;$G3)&amp;".xml"</f>
        <v>EUR_020_SwAB6E_Fwd1w.xml</v>
      </c>
      <c r="K2" s="123" t="e">
        <f ca="1">IF(Serialize,_xll.ohObjectSave(K3:K36,SerializationPath&amp;J2,FileOverwrite,Serialize),"---")</f>
        <v>#NUM!</v>
      </c>
      <c r="L2" s="84" t="e">
        <f ca="1">_xll.ohRangeRetrieveError(K2)</f>
        <v>#NUM!</v>
      </c>
      <c r="M2" s="57"/>
      <c r="O2" s="222"/>
      <c r="P2" s="221"/>
      <c r="Q2" s="221"/>
      <c r="R2" s="221"/>
      <c r="S2" s="221"/>
      <c r="T2" s="220"/>
    </row>
    <row r="3" spans="1:20" x14ac:dyDescent="0.2">
      <c r="A3" s="136"/>
      <c r="B3" s="88" t="s">
        <v>34</v>
      </c>
      <c r="C3" s="120" t="str">
        <f>VLOOKUP(Currency,$O$3:$T$7,2)</f>
        <v>AB</v>
      </c>
      <c r="D3" s="120" t="str">
        <f>VLOOKUP(Currency,$O$3:$T$7,3)</f>
        <v>6E</v>
      </c>
      <c r="E3" s="120" t="str">
        <f>VLOOKUP(Currency,$O$3:$T$7,4)</f>
        <v>1w</v>
      </c>
      <c r="F3" s="120">
        <f>VLOOKUP(Currency,$O$3:$T$7,5)</f>
        <v>0</v>
      </c>
      <c r="G3" s="120">
        <f>VLOOKUP(Currency,$O$3:$T$7,6)</f>
        <v>0</v>
      </c>
      <c r="H3" s="258">
        <f>IF(F3=0,0,Currency&amp;$F3&amp;$G3&amp;$B3&amp;QuoteSuffix)</f>
        <v>0</v>
      </c>
      <c r="I3" s="260" t="str">
        <f>PROPER(Currency)&amp;FamilyName&amp;"Swap"&amp;FixingType&amp;$B3</f>
        <v>EuriborSwapIsdaFixA1Y</v>
      </c>
      <c r="J3" s="256" t="str">
        <f>Currency&amp;$C3&amp;$D3&amp;$B3&amp;"_"&amp;"Fwd"&amp;E3&amp;IF(H3=0,,"_S"&amp;$F3&amp;$G3)&amp;QuoteSuffix</f>
        <v>EURAB6E1Y_Fwd1w_Quote</v>
      </c>
      <c r="K3" s="256"/>
      <c r="L3" s="265" t="str">
        <f>_xll.ohRangeRetrieveError(K3)</f>
        <v/>
      </c>
      <c r="M3" s="57"/>
      <c r="O3" s="95" t="s">
        <v>137</v>
      </c>
      <c r="P3" s="94" t="s">
        <v>202</v>
      </c>
      <c r="Q3" s="94" t="s">
        <v>132</v>
      </c>
      <c r="R3" s="94" t="s">
        <v>212</v>
      </c>
      <c r="S3" s="94"/>
      <c r="T3" s="93"/>
    </row>
    <row r="4" spans="1:20" x14ac:dyDescent="0.2">
      <c r="A4" s="136"/>
      <c r="B4" s="88" t="s">
        <v>115</v>
      </c>
      <c r="C4" s="120" t="str">
        <f>VLOOKUP(Currency,$O$3:$T$7,2)</f>
        <v>AB</v>
      </c>
      <c r="D4" s="120" t="str">
        <f>VLOOKUP(Currency,$O$3:$T$7,3)</f>
        <v>6E</v>
      </c>
      <c r="E4" s="120" t="str">
        <f>VLOOKUP(Currency,$O$3:$T$7,4)</f>
        <v>1w</v>
      </c>
      <c r="F4" s="120">
        <f>VLOOKUP(Currency,$O$3:$T$7,5)</f>
        <v>0</v>
      </c>
      <c r="G4" s="120">
        <f>VLOOKUP(Currency,$O$3:$T$7,6)</f>
        <v>0</v>
      </c>
      <c r="H4" s="258">
        <f>IF(F4=0,0,Currency&amp;$F4&amp;$G4&amp;$B4&amp;QuoteSuffix)</f>
        <v>0</v>
      </c>
      <c r="I4" s="257" t="str">
        <f>PROPER(Currency)&amp;FamilyName&amp;"Swap"&amp;FixingType&amp;$B4</f>
        <v>EuriborSwapIsdaFixA2Y</v>
      </c>
      <c r="J4" s="256" t="str">
        <f>Currency&amp;$C4&amp;$D4&amp;$B4&amp;"_"&amp;"Fwd"&amp;E4&amp;IF(H4=0,,"_S"&amp;$F4&amp;$G4)&amp;QuoteSuffix</f>
        <v>EURAB6E2Y_Fwd1w_Quote</v>
      </c>
      <c r="K4" s="256"/>
      <c r="L4" s="265" t="str">
        <f>_xll.ohRangeRetrieveError(K4)</f>
        <v/>
      </c>
      <c r="M4" s="57"/>
      <c r="O4" s="95" t="s">
        <v>123</v>
      </c>
      <c r="P4" s="94" t="s">
        <v>202</v>
      </c>
      <c r="Q4" s="94" t="s">
        <v>135</v>
      </c>
      <c r="R4" s="94" t="s">
        <v>212</v>
      </c>
      <c r="S4" s="94"/>
      <c r="T4" s="93"/>
    </row>
    <row r="5" spans="1:20" x14ac:dyDescent="0.2">
      <c r="A5" s="136"/>
      <c r="B5" s="88" t="s">
        <v>114</v>
      </c>
      <c r="C5" s="120" t="str">
        <f>VLOOKUP(Currency,$O$3:$T$7,2)</f>
        <v>AB</v>
      </c>
      <c r="D5" s="120" t="str">
        <f>VLOOKUP(Currency,$O$3:$T$7,3)</f>
        <v>6E</v>
      </c>
      <c r="E5" s="120" t="str">
        <f>VLOOKUP(Currency,$O$3:$T$7,4)</f>
        <v>1w</v>
      </c>
      <c r="F5" s="120">
        <f>VLOOKUP(Currency,$O$3:$T$7,5)</f>
        <v>0</v>
      </c>
      <c r="G5" s="120">
        <f>VLOOKUP(Currency,$O$3:$T$7,6)</f>
        <v>0</v>
      </c>
      <c r="H5" s="258">
        <f>IF(F5=0,0,Currency&amp;$F5&amp;$G5&amp;$B5&amp;QuoteSuffix)</f>
        <v>0</v>
      </c>
      <c r="I5" s="257" t="str">
        <f>PROPER(Currency)&amp;FamilyName&amp;"Swap"&amp;FixingType&amp;$B5</f>
        <v>EuriborSwapIsdaFixA3Y</v>
      </c>
      <c r="J5" s="256" t="str">
        <f>Currency&amp;$C5&amp;$D5&amp;$B5&amp;"_"&amp;"Fwd"&amp;E5&amp;IF(H5=0,,"_S"&amp;$F5&amp;$G5)&amp;QuoteSuffix</f>
        <v>EURAB6E3Y_Fwd1w_Quote</v>
      </c>
      <c r="K5" s="256"/>
      <c r="L5" s="265" t="str">
        <f>_xll.ohRangeRetrieveError(K5)</f>
        <v/>
      </c>
      <c r="M5" s="57"/>
      <c r="O5" s="95" t="s">
        <v>134</v>
      </c>
      <c r="P5" s="94" t="s">
        <v>201</v>
      </c>
      <c r="Q5" s="94" t="s">
        <v>132</v>
      </c>
      <c r="R5" s="94" t="s">
        <v>212</v>
      </c>
      <c r="S5" s="94"/>
      <c r="T5" s="93"/>
    </row>
    <row r="6" spans="1:20" x14ac:dyDescent="0.2">
      <c r="A6" s="136"/>
      <c r="B6" s="88" t="s">
        <v>113</v>
      </c>
      <c r="C6" s="120" t="str">
        <f>VLOOKUP(Currency,$O$3:$T$7,2)</f>
        <v>AB</v>
      </c>
      <c r="D6" s="120" t="str">
        <f>VLOOKUP(Currency,$O$3:$T$7,3)</f>
        <v>6E</v>
      </c>
      <c r="E6" s="120" t="str">
        <f>VLOOKUP(Currency,$O$3:$T$7,4)</f>
        <v>1w</v>
      </c>
      <c r="F6" s="120">
        <f>VLOOKUP(Currency,$O$3:$T$7,5)</f>
        <v>0</v>
      </c>
      <c r="G6" s="120">
        <f>VLOOKUP(Currency,$O$3:$T$7,6)</f>
        <v>0</v>
      </c>
      <c r="H6" s="258">
        <f>IF(F6=0,0,Currency&amp;$F6&amp;$G6&amp;$B6&amp;QuoteSuffix)</f>
        <v>0</v>
      </c>
      <c r="I6" s="257" t="str">
        <f>PROPER(Currency)&amp;FamilyName&amp;"Swap"&amp;FixingType&amp;$B6</f>
        <v>EuriborSwapIsdaFixA4Y</v>
      </c>
      <c r="J6" s="256" t="str">
        <f>Currency&amp;$C6&amp;$D6&amp;$B6&amp;"_"&amp;"Fwd"&amp;E6&amp;IF(H6=0,,"_S"&amp;$F6&amp;$G6)&amp;QuoteSuffix</f>
        <v>EURAB6E4Y_Fwd1w_Quote</v>
      </c>
      <c r="K6" s="256"/>
      <c r="L6" s="265" t="str">
        <f>_xll.ohRangeRetrieveError(K6)</f>
        <v/>
      </c>
      <c r="M6" s="57"/>
      <c r="O6" s="95" t="s">
        <v>133</v>
      </c>
      <c r="P6" s="94" t="s">
        <v>201</v>
      </c>
      <c r="Q6" s="94" t="s">
        <v>132</v>
      </c>
      <c r="R6" s="94" t="s">
        <v>212</v>
      </c>
      <c r="S6" s="94"/>
      <c r="T6" s="93"/>
    </row>
    <row r="7" spans="1:20" ht="12" thickBot="1" x14ac:dyDescent="0.25">
      <c r="A7" s="136"/>
      <c r="B7" s="88" t="s">
        <v>112</v>
      </c>
      <c r="C7" s="120" t="str">
        <f>VLOOKUP(Currency,$O$3:$T$7,2)</f>
        <v>AB</v>
      </c>
      <c r="D7" s="120" t="str">
        <f>VLOOKUP(Currency,$O$3:$T$7,3)</f>
        <v>6E</v>
      </c>
      <c r="E7" s="120" t="str">
        <f>VLOOKUP(Currency,$O$3:$T$7,4)</f>
        <v>1w</v>
      </c>
      <c r="F7" s="120">
        <f>VLOOKUP(Currency,$O$3:$T$7,5)</f>
        <v>0</v>
      </c>
      <c r="G7" s="120">
        <f>VLOOKUP(Currency,$O$3:$T$7,6)</f>
        <v>0</v>
      </c>
      <c r="H7" s="258">
        <f>IF(F7=0,0,Currency&amp;$F7&amp;$G7&amp;$B7&amp;QuoteSuffix)</f>
        <v>0</v>
      </c>
      <c r="I7" s="257" t="str">
        <f>PROPER(Currency)&amp;FamilyName&amp;"Swap"&amp;FixingType&amp;$B7</f>
        <v>EuriborSwapIsdaFixA5Y</v>
      </c>
      <c r="J7" s="256" t="str">
        <f>Currency&amp;$C7&amp;$D7&amp;$B7&amp;"_"&amp;"Fwd"&amp;E7&amp;IF(H7=0,,"_S"&amp;$F7&amp;$G7)&amp;QuoteSuffix</f>
        <v>EURAB6E5Y_Fwd1w_Quote</v>
      </c>
      <c r="K7" s="256"/>
      <c r="L7" s="265" t="str">
        <f>_xll.ohRangeRetrieveError(K7)</f>
        <v/>
      </c>
      <c r="M7" s="57"/>
      <c r="O7" s="92" t="s">
        <v>131</v>
      </c>
      <c r="P7" s="91" t="s">
        <v>200</v>
      </c>
      <c r="Q7" s="266" t="s">
        <v>132</v>
      </c>
      <c r="R7" s="91" t="s">
        <v>212</v>
      </c>
      <c r="S7" s="91"/>
      <c r="T7" s="90"/>
    </row>
    <row r="8" spans="1:20" x14ac:dyDescent="0.2">
      <c r="A8" s="136"/>
      <c r="B8" s="88" t="s">
        <v>111</v>
      </c>
      <c r="C8" s="120" t="str">
        <f>VLOOKUP(Currency,$O$3:$T$7,2)</f>
        <v>AB</v>
      </c>
      <c r="D8" s="120" t="str">
        <f>VLOOKUP(Currency,$O$3:$T$7,3)</f>
        <v>6E</v>
      </c>
      <c r="E8" s="120" t="str">
        <f>VLOOKUP(Currency,$O$3:$T$7,4)</f>
        <v>1w</v>
      </c>
      <c r="F8" s="120">
        <f>VLOOKUP(Currency,$O$3:$T$7,5)</f>
        <v>0</v>
      </c>
      <c r="G8" s="120">
        <f>VLOOKUP(Currency,$O$3:$T$7,6)</f>
        <v>0</v>
      </c>
      <c r="H8" s="258">
        <f>IF(F8=0,0,Currency&amp;$F8&amp;$G8&amp;$B8&amp;QuoteSuffix)</f>
        <v>0</v>
      </c>
      <c r="I8" s="257" t="str">
        <f>PROPER(Currency)&amp;FamilyName&amp;"Swap"&amp;FixingType&amp;$B8</f>
        <v>EuriborSwapIsdaFixA6Y</v>
      </c>
      <c r="J8" s="256" t="str">
        <f>Currency&amp;$C8&amp;$D8&amp;$B8&amp;"_"&amp;"Fwd"&amp;E8&amp;IF(H8=0,,"_S"&amp;$F8&amp;$G8)&amp;QuoteSuffix</f>
        <v>EURAB6E6Y_Fwd1w_Quote</v>
      </c>
      <c r="K8" s="256"/>
      <c r="L8" s="265" t="str">
        <f>_xll.ohRangeRetrieveError(K8)</f>
        <v/>
      </c>
      <c r="M8" s="57"/>
    </row>
    <row r="9" spans="1:20" x14ac:dyDescent="0.2">
      <c r="A9" s="136"/>
      <c r="B9" s="88" t="s">
        <v>110</v>
      </c>
      <c r="C9" s="120" t="str">
        <f>VLOOKUP(Currency,$O$3:$T$7,2)</f>
        <v>AB</v>
      </c>
      <c r="D9" s="120" t="str">
        <f>VLOOKUP(Currency,$O$3:$T$7,3)</f>
        <v>6E</v>
      </c>
      <c r="E9" s="120" t="str">
        <f>VLOOKUP(Currency,$O$3:$T$7,4)</f>
        <v>1w</v>
      </c>
      <c r="F9" s="120">
        <f>VLOOKUP(Currency,$O$3:$T$7,5)</f>
        <v>0</v>
      </c>
      <c r="G9" s="120">
        <f>VLOOKUP(Currency,$O$3:$T$7,6)</f>
        <v>0</v>
      </c>
      <c r="H9" s="258">
        <f>IF(F9=0,0,Currency&amp;$F9&amp;$G9&amp;$B9&amp;QuoteSuffix)</f>
        <v>0</v>
      </c>
      <c r="I9" s="257" t="str">
        <f>PROPER(Currency)&amp;FamilyName&amp;"Swap"&amp;FixingType&amp;$B9</f>
        <v>EuriborSwapIsdaFixA7Y</v>
      </c>
      <c r="J9" s="256" t="str">
        <f>Currency&amp;$C9&amp;$D9&amp;$B9&amp;"_"&amp;"Fwd"&amp;E9&amp;IF(H9=0,,"_S"&amp;$F9&amp;$G9)&amp;QuoteSuffix</f>
        <v>EURAB6E7Y_Fwd1w_Quote</v>
      </c>
      <c r="K9" s="256"/>
      <c r="L9" s="265" t="str">
        <f>_xll.ohRangeRetrieveError(K9)</f>
        <v/>
      </c>
      <c r="M9" s="57"/>
    </row>
    <row r="10" spans="1:20" x14ac:dyDescent="0.2">
      <c r="A10" s="136"/>
      <c r="B10" s="88" t="s">
        <v>109</v>
      </c>
      <c r="C10" s="120" t="str">
        <f>VLOOKUP(Currency,$O$3:$T$7,2)</f>
        <v>AB</v>
      </c>
      <c r="D10" s="120" t="str">
        <f>VLOOKUP(Currency,$O$3:$T$7,3)</f>
        <v>6E</v>
      </c>
      <c r="E10" s="120" t="str">
        <f>VLOOKUP(Currency,$O$3:$T$7,4)</f>
        <v>1w</v>
      </c>
      <c r="F10" s="120">
        <f>VLOOKUP(Currency,$O$3:$T$7,5)</f>
        <v>0</v>
      </c>
      <c r="G10" s="120">
        <f>VLOOKUP(Currency,$O$3:$T$7,6)</f>
        <v>0</v>
      </c>
      <c r="H10" s="258">
        <f>IF(F10=0,0,Currency&amp;$F10&amp;$G10&amp;$B10&amp;QuoteSuffix)</f>
        <v>0</v>
      </c>
      <c r="I10" s="257" t="str">
        <f>PROPER(Currency)&amp;FamilyName&amp;"Swap"&amp;FixingType&amp;$B10</f>
        <v>EuriborSwapIsdaFixA8Y</v>
      </c>
      <c r="J10" s="256" t="str">
        <f>Currency&amp;$C10&amp;$D10&amp;$B10&amp;"_"&amp;"Fwd"&amp;E10&amp;IF(H10=0,,"_S"&amp;$F10&amp;$G10)&amp;QuoteSuffix</f>
        <v>EURAB6E8Y_Fwd1w_Quote</v>
      </c>
      <c r="K10" s="256"/>
      <c r="L10" s="265" t="str">
        <f>_xll.ohRangeRetrieveError(K10)</f>
        <v/>
      </c>
      <c r="M10" s="57"/>
    </row>
    <row r="11" spans="1:20" x14ac:dyDescent="0.2">
      <c r="A11" s="136"/>
      <c r="B11" s="88" t="s">
        <v>108</v>
      </c>
      <c r="C11" s="120" t="str">
        <f>VLOOKUP(Currency,$O$3:$T$7,2)</f>
        <v>AB</v>
      </c>
      <c r="D11" s="120" t="str">
        <f>VLOOKUP(Currency,$O$3:$T$7,3)</f>
        <v>6E</v>
      </c>
      <c r="E11" s="120" t="str">
        <f>VLOOKUP(Currency,$O$3:$T$7,4)</f>
        <v>1w</v>
      </c>
      <c r="F11" s="120">
        <f>VLOOKUP(Currency,$O$3:$T$7,5)</f>
        <v>0</v>
      </c>
      <c r="G11" s="120">
        <f>VLOOKUP(Currency,$O$3:$T$7,6)</f>
        <v>0</v>
      </c>
      <c r="H11" s="258">
        <f>IF(F11=0,0,Currency&amp;$F11&amp;$G11&amp;$B11&amp;QuoteSuffix)</f>
        <v>0</v>
      </c>
      <c r="I11" s="257" t="str">
        <f>PROPER(Currency)&amp;FamilyName&amp;"Swap"&amp;FixingType&amp;$B11</f>
        <v>EuriborSwapIsdaFixA9Y</v>
      </c>
      <c r="J11" s="256" t="str">
        <f>Currency&amp;$C11&amp;$D11&amp;$B11&amp;"_"&amp;"Fwd"&amp;E11&amp;IF(H11=0,,"_S"&amp;$F11&amp;$G11)&amp;QuoteSuffix</f>
        <v>EURAB6E9Y_Fwd1w_Quote</v>
      </c>
      <c r="K11" s="256"/>
      <c r="L11" s="265" t="str">
        <f>_xll.ohRangeRetrieveError(K11)</f>
        <v/>
      </c>
      <c r="M11" s="57"/>
    </row>
    <row r="12" spans="1:20" x14ac:dyDescent="0.2">
      <c r="A12" s="136"/>
      <c r="B12" s="88" t="s">
        <v>107</v>
      </c>
      <c r="C12" s="120" t="str">
        <f>VLOOKUP(Currency,$O$3:$T$7,2)</f>
        <v>AB</v>
      </c>
      <c r="D12" s="120" t="str">
        <f>VLOOKUP(Currency,$O$3:$T$7,3)</f>
        <v>6E</v>
      </c>
      <c r="E12" s="120" t="str">
        <f>VLOOKUP(Currency,$O$3:$T$7,4)</f>
        <v>1w</v>
      </c>
      <c r="F12" s="120">
        <f>VLOOKUP(Currency,$O$3:$T$7,5)</f>
        <v>0</v>
      </c>
      <c r="G12" s="120">
        <f>VLOOKUP(Currency,$O$3:$T$7,6)</f>
        <v>0</v>
      </c>
      <c r="H12" s="258">
        <f>IF(F12=0,0,Currency&amp;$F12&amp;$G12&amp;$B12&amp;QuoteSuffix)</f>
        <v>0</v>
      </c>
      <c r="I12" s="257" t="str">
        <f>PROPER(Currency)&amp;FamilyName&amp;"Swap"&amp;FixingType&amp;$B12</f>
        <v>EuriborSwapIsdaFixA10Y</v>
      </c>
      <c r="J12" s="256" t="str">
        <f>Currency&amp;$C12&amp;$D12&amp;$B12&amp;"_"&amp;"Fwd"&amp;E12&amp;IF(H12=0,,"_S"&amp;$F12&amp;$G12)&amp;QuoteSuffix</f>
        <v>EURAB6E10Y_Fwd1w_Quote</v>
      </c>
      <c r="K12" s="256"/>
      <c r="L12" s="265" t="str">
        <f>_xll.ohRangeRetrieveError(K12)</f>
        <v/>
      </c>
      <c r="M12" s="57"/>
    </row>
    <row r="13" spans="1:20" x14ac:dyDescent="0.2">
      <c r="A13" s="136"/>
      <c r="B13" s="88" t="s">
        <v>106</v>
      </c>
      <c r="C13" s="120" t="str">
        <f>VLOOKUP(Currency,$O$3:$T$7,2)</f>
        <v>AB</v>
      </c>
      <c r="D13" s="120" t="str">
        <f>VLOOKUP(Currency,$O$3:$T$7,3)</f>
        <v>6E</v>
      </c>
      <c r="E13" s="120" t="str">
        <f>VLOOKUP(Currency,$O$3:$T$7,4)</f>
        <v>1w</v>
      </c>
      <c r="F13" s="120">
        <f>VLOOKUP(Currency,$O$3:$T$7,5)</f>
        <v>0</v>
      </c>
      <c r="G13" s="120">
        <f>VLOOKUP(Currency,$O$3:$T$7,6)</f>
        <v>0</v>
      </c>
      <c r="H13" s="258">
        <f>IF(F13=0,0,Currency&amp;$F13&amp;$G13&amp;$B13&amp;QuoteSuffix)</f>
        <v>0</v>
      </c>
      <c r="I13" s="257" t="str">
        <f>PROPER(Currency)&amp;FamilyName&amp;"Swap"&amp;FixingType&amp;$B13</f>
        <v>EuriborSwapIsdaFixA11Y</v>
      </c>
      <c r="J13" s="256" t="str">
        <f>Currency&amp;$C13&amp;$D13&amp;$B13&amp;"_"&amp;"Fwd"&amp;E13&amp;IF(H13=0,,"_S"&amp;$F13&amp;$G13)&amp;QuoteSuffix</f>
        <v>EURAB6E11Y_Fwd1w_Quote</v>
      </c>
      <c r="K13" s="256"/>
      <c r="L13" s="265" t="str">
        <f>_xll.ohRangeRetrieveError(K13)</f>
        <v/>
      </c>
      <c r="M13" s="57"/>
    </row>
    <row r="14" spans="1:20" x14ac:dyDescent="0.2">
      <c r="A14" s="136"/>
      <c r="B14" s="88" t="s">
        <v>105</v>
      </c>
      <c r="C14" s="120" t="str">
        <f>VLOOKUP(Currency,$O$3:$T$7,2)</f>
        <v>AB</v>
      </c>
      <c r="D14" s="120" t="str">
        <f>VLOOKUP(Currency,$O$3:$T$7,3)</f>
        <v>6E</v>
      </c>
      <c r="E14" s="120" t="str">
        <f>VLOOKUP(Currency,$O$3:$T$7,4)</f>
        <v>1w</v>
      </c>
      <c r="F14" s="120">
        <f>VLOOKUP(Currency,$O$3:$T$7,5)</f>
        <v>0</v>
      </c>
      <c r="G14" s="120">
        <f>VLOOKUP(Currency,$O$3:$T$7,6)</f>
        <v>0</v>
      </c>
      <c r="H14" s="258">
        <f>IF(F14=0,0,Currency&amp;$F14&amp;$G14&amp;$B14&amp;QuoteSuffix)</f>
        <v>0</v>
      </c>
      <c r="I14" s="257" t="str">
        <f>PROPER(Currency)&amp;FamilyName&amp;"Swap"&amp;FixingType&amp;$B14</f>
        <v>EuriborSwapIsdaFixA12Y</v>
      </c>
      <c r="J14" s="256" t="str">
        <f>Currency&amp;$C14&amp;$D14&amp;$B14&amp;"_"&amp;"Fwd"&amp;E14&amp;IF(H14=0,,"_S"&amp;$F14&amp;$G14)&amp;QuoteSuffix</f>
        <v>EURAB6E12Y_Fwd1w_Quote</v>
      </c>
      <c r="K14" s="256"/>
      <c r="L14" s="265" t="str">
        <f>_xll.ohRangeRetrieveError(K14)</f>
        <v/>
      </c>
      <c r="M14" s="57"/>
    </row>
    <row r="15" spans="1:20" x14ac:dyDescent="0.2">
      <c r="A15" s="136"/>
      <c r="B15" s="88" t="s">
        <v>104</v>
      </c>
      <c r="C15" s="120" t="str">
        <f>VLOOKUP(Currency,$O$3:$T$7,2)</f>
        <v>AB</v>
      </c>
      <c r="D15" s="120" t="str">
        <f>VLOOKUP(Currency,$O$3:$T$7,3)</f>
        <v>6E</v>
      </c>
      <c r="E15" s="120" t="str">
        <f>VLOOKUP(Currency,$O$3:$T$7,4)</f>
        <v>1w</v>
      </c>
      <c r="F15" s="120">
        <f>VLOOKUP(Currency,$O$3:$T$7,5)</f>
        <v>0</v>
      </c>
      <c r="G15" s="120">
        <f>VLOOKUP(Currency,$O$3:$T$7,6)</f>
        <v>0</v>
      </c>
      <c r="H15" s="258">
        <f>IF(F15=0,0,Currency&amp;$F15&amp;$G15&amp;$B15&amp;QuoteSuffix)</f>
        <v>0</v>
      </c>
      <c r="I15" s="257" t="str">
        <f>PROPER(Currency)&amp;FamilyName&amp;"Swap"&amp;FixingType&amp;$B15</f>
        <v>EuriborSwapIsdaFixA13Y</v>
      </c>
      <c r="J15" s="256" t="str">
        <f>Currency&amp;$C15&amp;$D15&amp;$B15&amp;"_"&amp;"Fwd"&amp;E15&amp;IF(H15=0,,"_S"&amp;$F15&amp;$G15)&amp;QuoteSuffix</f>
        <v>EURAB6E13Y_Fwd1w_Quote</v>
      </c>
      <c r="K15" s="256"/>
      <c r="L15" s="265" t="str">
        <f>_xll.ohRangeRetrieveError(K15)</f>
        <v/>
      </c>
      <c r="M15" s="57"/>
    </row>
    <row r="16" spans="1:20" x14ac:dyDescent="0.2">
      <c r="A16" s="136"/>
      <c r="B16" s="88" t="s">
        <v>103</v>
      </c>
      <c r="C16" s="120" t="str">
        <f>VLOOKUP(Currency,$O$3:$T$7,2)</f>
        <v>AB</v>
      </c>
      <c r="D16" s="120" t="str">
        <f>VLOOKUP(Currency,$O$3:$T$7,3)</f>
        <v>6E</v>
      </c>
      <c r="E16" s="120" t="str">
        <f>VLOOKUP(Currency,$O$3:$T$7,4)</f>
        <v>1w</v>
      </c>
      <c r="F16" s="120">
        <f>VLOOKUP(Currency,$O$3:$T$7,5)</f>
        <v>0</v>
      </c>
      <c r="G16" s="120">
        <f>VLOOKUP(Currency,$O$3:$T$7,6)</f>
        <v>0</v>
      </c>
      <c r="H16" s="258">
        <f>IF(F16=0,0,Currency&amp;$F16&amp;$G16&amp;$B16&amp;QuoteSuffix)</f>
        <v>0</v>
      </c>
      <c r="I16" s="257" t="str">
        <f>PROPER(Currency)&amp;FamilyName&amp;"Swap"&amp;FixingType&amp;$B16</f>
        <v>EuriborSwapIsdaFixA14Y</v>
      </c>
      <c r="J16" s="256" t="str">
        <f>Currency&amp;$C16&amp;$D16&amp;$B16&amp;"_"&amp;"Fwd"&amp;E16&amp;IF(H16=0,,"_S"&amp;$F16&amp;$G16)&amp;QuoteSuffix</f>
        <v>EURAB6E14Y_Fwd1w_Quote</v>
      </c>
      <c r="K16" s="256"/>
      <c r="L16" s="265" t="str">
        <f>_xll.ohRangeRetrieveError(K16)</f>
        <v/>
      </c>
      <c r="M16" s="57"/>
    </row>
    <row r="17" spans="1:13" x14ac:dyDescent="0.2">
      <c r="A17" s="136"/>
      <c r="B17" s="88" t="s">
        <v>102</v>
      </c>
      <c r="C17" s="120" t="str">
        <f>VLOOKUP(Currency,$O$3:$T$7,2)</f>
        <v>AB</v>
      </c>
      <c r="D17" s="120" t="str">
        <f>VLOOKUP(Currency,$O$3:$T$7,3)</f>
        <v>6E</v>
      </c>
      <c r="E17" s="120" t="str">
        <f>VLOOKUP(Currency,$O$3:$T$7,4)</f>
        <v>1w</v>
      </c>
      <c r="F17" s="120">
        <f>VLOOKUP(Currency,$O$3:$T$7,5)</f>
        <v>0</v>
      </c>
      <c r="G17" s="120">
        <f>VLOOKUP(Currency,$O$3:$T$7,6)</f>
        <v>0</v>
      </c>
      <c r="H17" s="258">
        <f>IF(F17=0,0,Currency&amp;$F17&amp;$G17&amp;$B17&amp;QuoteSuffix)</f>
        <v>0</v>
      </c>
      <c r="I17" s="257" t="str">
        <f>PROPER(Currency)&amp;FamilyName&amp;"Swap"&amp;FixingType&amp;$B17</f>
        <v>EuriborSwapIsdaFixA15Y</v>
      </c>
      <c r="J17" s="256" t="str">
        <f>Currency&amp;$C17&amp;$D17&amp;$B17&amp;"_"&amp;"Fwd"&amp;E17&amp;IF(H17=0,,"_S"&amp;$F17&amp;$G17)&amp;QuoteSuffix</f>
        <v>EURAB6E15Y_Fwd1w_Quote</v>
      </c>
      <c r="K17" s="256"/>
      <c r="L17" s="265" t="str">
        <f>_xll.ohRangeRetrieveError(K17)</f>
        <v/>
      </c>
      <c r="M17" s="57"/>
    </row>
    <row r="18" spans="1:13" x14ac:dyDescent="0.2">
      <c r="A18" s="136"/>
      <c r="B18" s="88" t="s">
        <v>101</v>
      </c>
      <c r="C18" s="120" t="str">
        <f>VLOOKUP(Currency,$O$3:$T$7,2)</f>
        <v>AB</v>
      </c>
      <c r="D18" s="120" t="str">
        <f>VLOOKUP(Currency,$O$3:$T$7,3)</f>
        <v>6E</v>
      </c>
      <c r="E18" s="120" t="str">
        <f>VLOOKUP(Currency,$O$3:$T$7,4)</f>
        <v>1w</v>
      </c>
      <c r="F18" s="120">
        <f>VLOOKUP(Currency,$O$3:$T$7,5)</f>
        <v>0</v>
      </c>
      <c r="G18" s="120">
        <f>VLOOKUP(Currency,$O$3:$T$7,6)</f>
        <v>0</v>
      </c>
      <c r="H18" s="258">
        <f>IF(F18=0,0,Currency&amp;$F18&amp;$G18&amp;$B18&amp;QuoteSuffix)</f>
        <v>0</v>
      </c>
      <c r="I18" s="257" t="str">
        <f>PROPER(Currency)&amp;FamilyName&amp;"Swap"&amp;FixingType&amp;$B18</f>
        <v>EuriborSwapIsdaFixA16Y</v>
      </c>
      <c r="J18" s="256" t="str">
        <f>Currency&amp;$C18&amp;$D18&amp;$B18&amp;"_"&amp;"Fwd"&amp;E18&amp;IF(H18=0,,"_S"&amp;$F18&amp;$G18)&amp;QuoteSuffix</f>
        <v>EURAB6E16Y_Fwd1w_Quote</v>
      </c>
      <c r="K18" s="256"/>
      <c r="L18" s="265" t="str">
        <f>_xll.ohRangeRetrieveError(K18)</f>
        <v/>
      </c>
      <c r="M18" s="57"/>
    </row>
    <row r="19" spans="1:13" x14ac:dyDescent="0.2">
      <c r="A19" s="136"/>
      <c r="B19" s="88" t="s">
        <v>100</v>
      </c>
      <c r="C19" s="120" t="str">
        <f>VLOOKUP(Currency,$O$3:$T$7,2)</f>
        <v>AB</v>
      </c>
      <c r="D19" s="120" t="str">
        <f>VLOOKUP(Currency,$O$3:$T$7,3)</f>
        <v>6E</v>
      </c>
      <c r="E19" s="120" t="str">
        <f>VLOOKUP(Currency,$O$3:$T$7,4)</f>
        <v>1w</v>
      </c>
      <c r="F19" s="120">
        <f>VLOOKUP(Currency,$O$3:$T$7,5)</f>
        <v>0</v>
      </c>
      <c r="G19" s="120">
        <f>VLOOKUP(Currency,$O$3:$T$7,6)</f>
        <v>0</v>
      </c>
      <c r="H19" s="258">
        <f>IF(F19=0,0,Currency&amp;$F19&amp;$G19&amp;$B19&amp;QuoteSuffix)</f>
        <v>0</v>
      </c>
      <c r="I19" s="257" t="str">
        <f>PROPER(Currency)&amp;FamilyName&amp;"Swap"&amp;FixingType&amp;$B19</f>
        <v>EuriborSwapIsdaFixA17Y</v>
      </c>
      <c r="J19" s="256" t="str">
        <f>Currency&amp;$C19&amp;$D19&amp;$B19&amp;"_"&amp;"Fwd"&amp;E19&amp;IF(H19=0,,"_S"&amp;$F19&amp;$G19)&amp;QuoteSuffix</f>
        <v>EURAB6E17Y_Fwd1w_Quote</v>
      </c>
      <c r="K19" s="256"/>
      <c r="L19" s="265" t="str">
        <f>_xll.ohRangeRetrieveError(K19)</f>
        <v/>
      </c>
      <c r="M19" s="57"/>
    </row>
    <row r="20" spans="1:13" x14ac:dyDescent="0.2">
      <c r="A20" s="136"/>
      <c r="B20" s="88" t="s">
        <v>99</v>
      </c>
      <c r="C20" s="120" t="str">
        <f>VLOOKUP(Currency,$O$3:$T$7,2)</f>
        <v>AB</v>
      </c>
      <c r="D20" s="120" t="str">
        <f>VLOOKUP(Currency,$O$3:$T$7,3)</f>
        <v>6E</v>
      </c>
      <c r="E20" s="120" t="str">
        <f>VLOOKUP(Currency,$O$3:$T$7,4)</f>
        <v>1w</v>
      </c>
      <c r="F20" s="120">
        <f>VLOOKUP(Currency,$O$3:$T$7,5)</f>
        <v>0</v>
      </c>
      <c r="G20" s="120">
        <f>VLOOKUP(Currency,$O$3:$T$7,6)</f>
        <v>0</v>
      </c>
      <c r="H20" s="258">
        <f>IF(F20=0,0,Currency&amp;$F20&amp;$G20&amp;$B20&amp;QuoteSuffix)</f>
        <v>0</v>
      </c>
      <c r="I20" s="257" t="str">
        <f>PROPER(Currency)&amp;FamilyName&amp;"Swap"&amp;FixingType&amp;$B20</f>
        <v>EuriborSwapIsdaFixA18Y</v>
      </c>
      <c r="J20" s="256" t="str">
        <f>Currency&amp;$C20&amp;$D20&amp;$B20&amp;"_"&amp;"Fwd"&amp;E20&amp;IF(H20=0,,"_S"&amp;$F20&amp;$G20)&amp;QuoteSuffix</f>
        <v>EURAB6E18Y_Fwd1w_Quote</v>
      </c>
      <c r="K20" s="256"/>
      <c r="L20" s="265" t="str">
        <f>_xll.ohRangeRetrieveError(K20)</f>
        <v/>
      </c>
      <c r="M20" s="57"/>
    </row>
    <row r="21" spans="1:13" x14ac:dyDescent="0.2">
      <c r="A21" s="136"/>
      <c r="B21" s="88" t="s">
        <v>98</v>
      </c>
      <c r="C21" s="120" t="str">
        <f>VLOOKUP(Currency,$O$3:$T$7,2)</f>
        <v>AB</v>
      </c>
      <c r="D21" s="120" t="str">
        <f>VLOOKUP(Currency,$O$3:$T$7,3)</f>
        <v>6E</v>
      </c>
      <c r="E21" s="120" t="str">
        <f>VLOOKUP(Currency,$O$3:$T$7,4)</f>
        <v>1w</v>
      </c>
      <c r="F21" s="120">
        <f>VLOOKUP(Currency,$O$3:$T$7,5)</f>
        <v>0</v>
      </c>
      <c r="G21" s="120">
        <f>VLOOKUP(Currency,$O$3:$T$7,6)</f>
        <v>0</v>
      </c>
      <c r="H21" s="258">
        <f>IF(F21=0,0,Currency&amp;$F21&amp;$G21&amp;$B21&amp;QuoteSuffix)</f>
        <v>0</v>
      </c>
      <c r="I21" s="257" t="str">
        <f>PROPER(Currency)&amp;FamilyName&amp;"Swap"&amp;FixingType&amp;$B21</f>
        <v>EuriborSwapIsdaFixA19Y</v>
      </c>
      <c r="J21" s="256" t="str">
        <f>Currency&amp;$C21&amp;$D21&amp;$B21&amp;"_"&amp;"Fwd"&amp;E21&amp;IF(H21=0,,"_S"&amp;$F21&amp;$G21)&amp;QuoteSuffix</f>
        <v>EURAB6E19Y_Fwd1w_Quote</v>
      </c>
      <c r="K21" s="256"/>
      <c r="L21" s="265" t="str">
        <f>_xll.ohRangeRetrieveError(K21)</f>
        <v/>
      </c>
      <c r="M21" s="57"/>
    </row>
    <row r="22" spans="1:13" x14ac:dyDescent="0.2">
      <c r="A22" s="136"/>
      <c r="B22" s="88" t="s">
        <v>97</v>
      </c>
      <c r="C22" s="120" t="str">
        <f>VLOOKUP(Currency,$O$3:$T$7,2)</f>
        <v>AB</v>
      </c>
      <c r="D22" s="120" t="str">
        <f>VLOOKUP(Currency,$O$3:$T$7,3)</f>
        <v>6E</v>
      </c>
      <c r="E22" s="120" t="str">
        <f>VLOOKUP(Currency,$O$3:$T$7,4)</f>
        <v>1w</v>
      </c>
      <c r="F22" s="120">
        <f>VLOOKUP(Currency,$O$3:$T$7,5)</f>
        <v>0</v>
      </c>
      <c r="G22" s="120">
        <f>VLOOKUP(Currency,$O$3:$T$7,6)</f>
        <v>0</v>
      </c>
      <c r="H22" s="258">
        <f>IF(F22=0,0,Currency&amp;$F22&amp;$G22&amp;$B22&amp;QuoteSuffix)</f>
        <v>0</v>
      </c>
      <c r="I22" s="257" t="str">
        <f>PROPER(Currency)&amp;FamilyName&amp;"Swap"&amp;FixingType&amp;$B22</f>
        <v>EuriborSwapIsdaFixA20Y</v>
      </c>
      <c r="J22" s="256" t="str">
        <f>Currency&amp;$C22&amp;$D22&amp;$B22&amp;"_"&amp;"Fwd"&amp;E22&amp;IF(H22=0,,"_S"&amp;$F22&amp;$G22)&amp;QuoteSuffix</f>
        <v>EURAB6E20Y_Fwd1w_Quote</v>
      </c>
      <c r="K22" s="256"/>
      <c r="L22" s="265" t="str">
        <f>_xll.ohRangeRetrieveError(K22)</f>
        <v/>
      </c>
      <c r="M22" s="57"/>
    </row>
    <row r="23" spans="1:13" x14ac:dyDescent="0.2">
      <c r="A23" s="136"/>
      <c r="B23" s="88" t="s">
        <v>96</v>
      </c>
      <c r="C23" s="120" t="str">
        <f>VLOOKUP(Currency,$O$3:$T$7,2)</f>
        <v>AB</v>
      </c>
      <c r="D23" s="120" t="str">
        <f>VLOOKUP(Currency,$O$3:$T$7,3)</f>
        <v>6E</v>
      </c>
      <c r="E23" s="120" t="str">
        <f>VLOOKUP(Currency,$O$3:$T$7,4)</f>
        <v>1w</v>
      </c>
      <c r="F23" s="120">
        <f>VLOOKUP(Currency,$O$3:$T$7,5)</f>
        <v>0</v>
      </c>
      <c r="G23" s="120">
        <f>VLOOKUP(Currency,$O$3:$T$7,6)</f>
        <v>0</v>
      </c>
      <c r="H23" s="258">
        <f>IF(F23=0,0,Currency&amp;$F23&amp;$G23&amp;$B23&amp;QuoteSuffix)</f>
        <v>0</v>
      </c>
      <c r="I23" s="257" t="str">
        <f>PROPER(Currency)&amp;FamilyName&amp;"Swap"&amp;FixingType&amp;$B23</f>
        <v>EuriborSwapIsdaFixA21Y</v>
      </c>
      <c r="J23" s="256" t="str">
        <f>Currency&amp;$C23&amp;$D23&amp;$B23&amp;"_"&amp;"Fwd"&amp;E23&amp;IF(H23=0,,"_S"&amp;$F23&amp;$G23)&amp;QuoteSuffix</f>
        <v>EURAB6E21Y_Fwd1w_Quote</v>
      </c>
      <c r="K23" s="256"/>
      <c r="L23" s="265" t="str">
        <f>_xll.ohRangeRetrieveError(K23)</f>
        <v/>
      </c>
      <c r="M23" s="57"/>
    </row>
    <row r="24" spans="1:13" x14ac:dyDescent="0.2">
      <c r="A24" s="136"/>
      <c r="B24" s="88" t="s">
        <v>95</v>
      </c>
      <c r="C24" s="120" t="str">
        <f>VLOOKUP(Currency,$O$3:$T$7,2)</f>
        <v>AB</v>
      </c>
      <c r="D24" s="120" t="str">
        <f>VLOOKUP(Currency,$O$3:$T$7,3)</f>
        <v>6E</v>
      </c>
      <c r="E24" s="120" t="str">
        <f>VLOOKUP(Currency,$O$3:$T$7,4)</f>
        <v>1w</v>
      </c>
      <c r="F24" s="120">
        <f>VLOOKUP(Currency,$O$3:$T$7,5)</f>
        <v>0</v>
      </c>
      <c r="G24" s="120">
        <f>VLOOKUP(Currency,$O$3:$T$7,6)</f>
        <v>0</v>
      </c>
      <c r="H24" s="258">
        <f>IF(F24=0,0,Currency&amp;$F24&amp;$G24&amp;$B24&amp;QuoteSuffix)</f>
        <v>0</v>
      </c>
      <c r="I24" s="257" t="str">
        <f>PROPER(Currency)&amp;FamilyName&amp;"Swap"&amp;FixingType&amp;$B24</f>
        <v>EuriborSwapIsdaFixA22Y</v>
      </c>
      <c r="J24" s="256" t="str">
        <f>Currency&amp;$C24&amp;$D24&amp;$B24&amp;"_"&amp;"Fwd"&amp;E24&amp;IF(H24=0,,"_S"&amp;$F24&amp;$G24)&amp;QuoteSuffix</f>
        <v>EURAB6E22Y_Fwd1w_Quote</v>
      </c>
      <c r="K24" s="256"/>
      <c r="L24" s="265" t="str">
        <f>_xll.ohRangeRetrieveError(K24)</f>
        <v/>
      </c>
      <c r="M24" s="57"/>
    </row>
    <row r="25" spans="1:13" x14ac:dyDescent="0.2">
      <c r="A25" s="136"/>
      <c r="B25" s="88" t="s">
        <v>94</v>
      </c>
      <c r="C25" s="120" t="str">
        <f>VLOOKUP(Currency,$O$3:$T$7,2)</f>
        <v>AB</v>
      </c>
      <c r="D25" s="120" t="str">
        <f>VLOOKUP(Currency,$O$3:$T$7,3)</f>
        <v>6E</v>
      </c>
      <c r="E25" s="120" t="str">
        <f>VLOOKUP(Currency,$O$3:$T$7,4)</f>
        <v>1w</v>
      </c>
      <c r="F25" s="120">
        <f>VLOOKUP(Currency,$O$3:$T$7,5)</f>
        <v>0</v>
      </c>
      <c r="G25" s="120">
        <f>VLOOKUP(Currency,$O$3:$T$7,6)</f>
        <v>0</v>
      </c>
      <c r="H25" s="258">
        <f>IF(F25=0,0,Currency&amp;$F25&amp;$G25&amp;$B25&amp;QuoteSuffix)</f>
        <v>0</v>
      </c>
      <c r="I25" s="257" t="str">
        <f>PROPER(Currency)&amp;FamilyName&amp;"Swap"&amp;FixingType&amp;$B25</f>
        <v>EuriborSwapIsdaFixA23Y</v>
      </c>
      <c r="J25" s="256" t="str">
        <f>Currency&amp;$C25&amp;$D25&amp;$B25&amp;"_"&amp;"Fwd"&amp;E25&amp;IF(H25=0,,"_S"&amp;$F25&amp;$G25)&amp;QuoteSuffix</f>
        <v>EURAB6E23Y_Fwd1w_Quote</v>
      </c>
      <c r="K25" s="256"/>
      <c r="L25" s="265" t="str">
        <f>_xll.ohRangeRetrieveError(K25)</f>
        <v/>
      </c>
      <c r="M25" s="57"/>
    </row>
    <row r="26" spans="1:13" x14ac:dyDescent="0.2">
      <c r="A26" s="136"/>
      <c r="B26" s="88" t="s">
        <v>93</v>
      </c>
      <c r="C26" s="120" t="str">
        <f>VLOOKUP(Currency,$O$3:$T$7,2)</f>
        <v>AB</v>
      </c>
      <c r="D26" s="120" t="str">
        <f>VLOOKUP(Currency,$O$3:$T$7,3)</f>
        <v>6E</v>
      </c>
      <c r="E26" s="120" t="str">
        <f>VLOOKUP(Currency,$O$3:$T$7,4)</f>
        <v>1w</v>
      </c>
      <c r="F26" s="120">
        <f>VLOOKUP(Currency,$O$3:$T$7,5)</f>
        <v>0</v>
      </c>
      <c r="G26" s="120">
        <f>VLOOKUP(Currency,$O$3:$T$7,6)</f>
        <v>0</v>
      </c>
      <c r="H26" s="258">
        <f>IF(F26=0,0,Currency&amp;$F26&amp;$G26&amp;$B26&amp;QuoteSuffix)</f>
        <v>0</v>
      </c>
      <c r="I26" s="257" t="str">
        <f>PROPER(Currency)&amp;FamilyName&amp;"Swap"&amp;FixingType&amp;$B26</f>
        <v>EuriborSwapIsdaFixA24Y</v>
      </c>
      <c r="J26" s="256" t="str">
        <f>Currency&amp;$C26&amp;$D26&amp;$B26&amp;"_"&amp;"Fwd"&amp;E26&amp;IF(H26=0,,"_S"&amp;$F26&amp;$G26)&amp;QuoteSuffix</f>
        <v>EURAB6E24Y_Fwd1w_Quote</v>
      </c>
      <c r="K26" s="256"/>
      <c r="L26" s="265" t="str">
        <f>_xll.ohRangeRetrieveError(K26)</f>
        <v/>
      </c>
      <c r="M26" s="57"/>
    </row>
    <row r="27" spans="1:13" x14ac:dyDescent="0.2">
      <c r="A27" s="136"/>
      <c r="B27" s="88" t="s">
        <v>92</v>
      </c>
      <c r="C27" s="120" t="str">
        <f>VLOOKUP(Currency,$O$3:$T$7,2)</f>
        <v>AB</v>
      </c>
      <c r="D27" s="120" t="str">
        <f>VLOOKUP(Currency,$O$3:$T$7,3)</f>
        <v>6E</v>
      </c>
      <c r="E27" s="120" t="str">
        <f>VLOOKUP(Currency,$O$3:$T$7,4)</f>
        <v>1w</v>
      </c>
      <c r="F27" s="120">
        <f>VLOOKUP(Currency,$O$3:$T$7,5)</f>
        <v>0</v>
      </c>
      <c r="G27" s="120">
        <f>VLOOKUP(Currency,$O$3:$T$7,6)</f>
        <v>0</v>
      </c>
      <c r="H27" s="258">
        <f>IF(F27=0,0,Currency&amp;$F27&amp;$G27&amp;$B27&amp;QuoteSuffix)</f>
        <v>0</v>
      </c>
      <c r="I27" s="257" t="str">
        <f>PROPER(Currency)&amp;FamilyName&amp;"Swap"&amp;FixingType&amp;$B27</f>
        <v>EuriborSwapIsdaFixA25Y</v>
      </c>
      <c r="J27" s="256" t="str">
        <f>Currency&amp;$C27&amp;$D27&amp;$B27&amp;"_"&amp;"Fwd"&amp;E27&amp;IF(H27=0,,"_S"&amp;$F27&amp;$G27)&amp;QuoteSuffix</f>
        <v>EURAB6E25Y_Fwd1w_Quote</v>
      </c>
      <c r="K27" s="256"/>
      <c r="L27" s="265" t="str">
        <f>_xll.ohRangeRetrieveError(K27)</f>
        <v/>
      </c>
      <c r="M27" s="57"/>
    </row>
    <row r="28" spans="1:13" x14ac:dyDescent="0.2">
      <c r="A28" s="136"/>
      <c r="B28" s="88" t="s">
        <v>91</v>
      </c>
      <c r="C28" s="120" t="str">
        <f>VLOOKUP(Currency,$O$3:$T$7,2)</f>
        <v>AB</v>
      </c>
      <c r="D28" s="120" t="str">
        <f>VLOOKUP(Currency,$O$3:$T$7,3)</f>
        <v>6E</v>
      </c>
      <c r="E28" s="120" t="str">
        <f>VLOOKUP(Currency,$O$3:$T$7,4)</f>
        <v>1w</v>
      </c>
      <c r="F28" s="120">
        <f>VLOOKUP(Currency,$O$3:$T$7,5)</f>
        <v>0</v>
      </c>
      <c r="G28" s="120">
        <f>VLOOKUP(Currency,$O$3:$T$7,6)</f>
        <v>0</v>
      </c>
      <c r="H28" s="258">
        <f>IF(F28=0,0,Currency&amp;$F28&amp;$G28&amp;$B28&amp;QuoteSuffix)</f>
        <v>0</v>
      </c>
      <c r="I28" s="257" t="str">
        <f>PROPER(Currency)&amp;FamilyName&amp;"Swap"&amp;FixingType&amp;$B28</f>
        <v>EuriborSwapIsdaFixA26Y</v>
      </c>
      <c r="J28" s="256" t="str">
        <f>Currency&amp;$C28&amp;$D28&amp;$B28&amp;"_"&amp;"Fwd"&amp;E28&amp;IF(H28=0,,"_S"&amp;$F28&amp;$G28)&amp;QuoteSuffix</f>
        <v>EURAB6E26Y_Fwd1w_Quote</v>
      </c>
      <c r="K28" s="256"/>
      <c r="L28" s="265" t="str">
        <f>_xll.ohRangeRetrieveError(K28)</f>
        <v/>
      </c>
      <c r="M28" s="57"/>
    </row>
    <row r="29" spans="1:13" x14ac:dyDescent="0.2">
      <c r="A29" s="136"/>
      <c r="B29" s="88" t="s">
        <v>90</v>
      </c>
      <c r="C29" s="120" t="str">
        <f>VLOOKUP(Currency,$O$3:$T$7,2)</f>
        <v>AB</v>
      </c>
      <c r="D29" s="120" t="str">
        <f>VLOOKUP(Currency,$O$3:$T$7,3)</f>
        <v>6E</v>
      </c>
      <c r="E29" s="120" t="str">
        <f>VLOOKUP(Currency,$O$3:$T$7,4)</f>
        <v>1w</v>
      </c>
      <c r="F29" s="120">
        <f>VLOOKUP(Currency,$O$3:$T$7,5)</f>
        <v>0</v>
      </c>
      <c r="G29" s="120">
        <f>VLOOKUP(Currency,$O$3:$T$7,6)</f>
        <v>0</v>
      </c>
      <c r="H29" s="258">
        <f>IF(F29=0,0,Currency&amp;$F29&amp;$G29&amp;$B29&amp;QuoteSuffix)</f>
        <v>0</v>
      </c>
      <c r="I29" s="257" t="str">
        <f>PROPER(Currency)&amp;FamilyName&amp;"Swap"&amp;FixingType&amp;$B29</f>
        <v>EuriborSwapIsdaFixA27Y</v>
      </c>
      <c r="J29" s="256" t="str">
        <f>Currency&amp;$C29&amp;$D29&amp;$B29&amp;"_"&amp;"Fwd"&amp;E29&amp;IF(H29=0,,"_S"&amp;$F29&amp;$G29)&amp;QuoteSuffix</f>
        <v>EURAB6E27Y_Fwd1w_Quote</v>
      </c>
      <c r="K29" s="256"/>
      <c r="L29" s="265" t="str">
        <f>_xll.ohRangeRetrieveError(K29)</f>
        <v/>
      </c>
      <c r="M29" s="57"/>
    </row>
    <row r="30" spans="1:13" x14ac:dyDescent="0.2">
      <c r="A30" s="136"/>
      <c r="B30" s="88" t="s">
        <v>89</v>
      </c>
      <c r="C30" s="120" t="str">
        <f>VLOOKUP(Currency,$O$3:$T$7,2)</f>
        <v>AB</v>
      </c>
      <c r="D30" s="120" t="str">
        <f>VLOOKUP(Currency,$O$3:$T$7,3)</f>
        <v>6E</v>
      </c>
      <c r="E30" s="120" t="str">
        <f>VLOOKUP(Currency,$O$3:$T$7,4)</f>
        <v>1w</v>
      </c>
      <c r="F30" s="120">
        <f>VLOOKUP(Currency,$O$3:$T$7,5)</f>
        <v>0</v>
      </c>
      <c r="G30" s="120">
        <f>VLOOKUP(Currency,$O$3:$T$7,6)</f>
        <v>0</v>
      </c>
      <c r="H30" s="258">
        <f>IF(F30=0,0,Currency&amp;$F30&amp;$G30&amp;$B30&amp;QuoteSuffix)</f>
        <v>0</v>
      </c>
      <c r="I30" s="257" t="str">
        <f>PROPER(Currency)&amp;FamilyName&amp;"Swap"&amp;FixingType&amp;$B30</f>
        <v>EuriborSwapIsdaFixA28Y</v>
      </c>
      <c r="J30" s="256" t="str">
        <f>Currency&amp;$C30&amp;$D30&amp;$B30&amp;"_"&amp;"Fwd"&amp;E30&amp;IF(H30=0,,"_S"&amp;$F30&amp;$G30)&amp;QuoteSuffix</f>
        <v>EURAB6E28Y_Fwd1w_Quote</v>
      </c>
      <c r="K30" s="256"/>
      <c r="L30" s="265" t="str">
        <f>_xll.ohRangeRetrieveError(K30)</f>
        <v/>
      </c>
      <c r="M30" s="57"/>
    </row>
    <row r="31" spans="1:13" x14ac:dyDescent="0.2">
      <c r="A31" s="136"/>
      <c r="B31" s="88" t="s">
        <v>88</v>
      </c>
      <c r="C31" s="120" t="str">
        <f>VLOOKUP(Currency,$O$3:$T$7,2)</f>
        <v>AB</v>
      </c>
      <c r="D31" s="120" t="str">
        <f>VLOOKUP(Currency,$O$3:$T$7,3)</f>
        <v>6E</v>
      </c>
      <c r="E31" s="120" t="str">
        <f>VLOOKUP(Currency,$O$3:$T$7,4)</f>
        <v>1w</v>
      </c>
      <c r="F31" s="120">
        <f>VLOOKUP(Currency,$O$3:$T$7,5)</f>
        <v>0</v>
      </c>
      <c r="G31" s="120">
        <f>VLOOKUP(Currency,$O$3:$T$7,6)</f>
        <v>0</v>
      </c>
      <c r="H31" s="258">
        <f>IF(F31=0,0,Currency&amp;$F31&amp;$G31&amp;$B31&amp;QuoteSuffix)</f>
        <v>0</v>
      </c>
      <c r="I31" s="257" t="str">
        <f>PROPER(Currency)&amp;FamilyName&amp;"Swap"&amp;FixingType&amp;$B31</f>
        <v>EuriborSwapIsdaFixA29Y</v>
      </c>
      <c r="J31" s="256" t="str">
        <f>Currency&amp;$C31&amp;$D31&amp;$B31&amp;"_"&amp;"Fwd"&amp;E31&amp;IF(H31=0,,"_S"&amp;$F31&amp;$G31)&amp;QuoteSuffix</f>
        <v>EURAB6E29Y_Fwd1w_Quote</v>
      </c>
      <c r="K31" s="256"/>
      <c r="L31" s="265" t="str">
        <f>_xll.ohRangeRetrieveError(K31)</f>
        <v/>
      </c>
      <c r="M31" s="57"/>
    </row>
    <row r="32" spans="1:13" x14ac:dyDescent="0.2">
      <c r="A32" s="136"/>
      <c r="B32" s="88" t="s">
        <v>87</v>
      </c>
      <c r="C32" s="120" t="str">
        <f>VLOOKUP(Currency,$O$3:$T$7,2)</f>
        <v>AB</v>
      </c>
      <c r="D32" s="120" t="str">
        <f>VLOOKUP(Currency,$O$3:$T$7,3)</f>
        <v>6E</v>
      </c>
      <c r="E32" s="120" t="str">
        <f>VLOOKUP(Currency,$O$3:$T$7,4)</f>
        <v>1w</v>
      </c>
      <c r="F32" s="120">
        <f>VLOOKUP(Currency,$O$3:$T$7,5)</f>
        <v>0</v>
      </c>
      <c r="G32" s="120">
        <f>VLOOKUP(Currency,$O$3:$T$7,6)</f>
        <v>0</v>
      </c>
      <c r="H32" s="258">
        <f>IF(F32=0,0,Currency&amp;$F32&amp;$G32&amp;$B32&amp;QuoteSuffix)</f>
        <v>0</v>
      </c>
      <c r="I32" s="257" t="str">
        <f>PROPER(Currency)&amp;FamilyName&amp;"Swap"&amp;FixingType&amp;$B32</f>
        <v>EuriborSwapIsdaFixA30Y</v>
      </c>
      <c r="J32" s="256" t="str">
        <f>Currency&amp;$C32&amp;$D32&amp;$B32&amp;"_"&amp;"Fwd"&amp;E32&amp;IF(H32=0,,"_S"&amp;$F32&amp;$G32)&amp;QuoteSuffix</f>
        <v>EURAB6E30Y_Fwd1w_Quote</v>
      </c>
      <c r="K32" s="256"/>
      <c r="L32" s="265" t="str">
        <f>_xll.ohRangeRetrieveError(K32)</f>
        <v/>
      </c>
      <c r="M32" s="57"/>
    </row>
    <row r="33" spans="1:13" x14ac:dyDescent="0.2">
      <c r="A33" s="136"/>
      <c r="B33" s="88" t="s">
        <v>82</v>
      </c>
      <c r="C33" s="120" t="str">
        <f>VLOOKUP(Currency,$O$3:$T$7,2)</f>
        <v>AB</v>
      </c>
      <c r="D33" s="120" t="str">
        <f>VLOOKUP(Currency,$O$3:$T$7,3)</f>
        <v>6E</v>
      </c>
      <c r="E33" s="120" t="str">
        <f>VLOOKUP(Currency,$O$3:$T$7,4)</f>
        <v>1w</v>
      </c>
      <c r="F33" s="120">
        <f>VLOOKUP(Currency,$O$3:$T$7,5)</f>
        <v>0</v>
      </c>
      <c r="G33" s="120">
        <f>VLOOKUP(Currency,$O$3:$T$7,6)</f>
        <v>0</v>
      </c>
      <c r="H33" s="258">
        <f>IF(F33=0,0,Currency&amp;$F33&amp;$G33&amp;$B33&amp;QuoteSuffix)</f>
        <v>0</v>
      </c>
      <c r="I33" s="257" t="str">
        <f>PROPER(Currency)&amp;FamilyName&amp;"Swap"&amp;FixingType&amp;$B33</f>
        <v>EuriborSwapIsdaFixA35Y</v>
      </c>
      <c r="J33" s="256" t="str">
        <f>Currency&amp;$C33&amp;$D33&amp;$B33&amp;"_"&amp;"Fwd"&amp;E33&amp;IF(H33=0,,"_S"&amp;$F33&amp;$G33)&amp;QuoteSuffix</f>
        <v>EURAB6E35Y_Fwd1w_Quote</v>
      </c>
      <c r="K33" s="256"/>
      <c r="L33" s="265" t="str">
        <f>_xll.ohRangeRetrieveError(K33)</f>
        <v/>
      </c>
      <c r="M33" s="57"/>
    </row>
    <row r="34" spans="1:13" x14ac:dyDescent="0.2">
      <c r="A34" s="136"/>
      <c r="B34" s="88" t="s">
        <v>77</v>
      </c>
      <c r="C34" s="120" t="str">
        <f>VLOOKUP(Currency,$O$3:$T$7,2)</f>
        <v>AB</v>
      </c>
      <c r="D34" s="120" t="str">
        <f>VLOOKUP(Currency,$O$3:$T$7,3)</f>
        <v>6E</v>
      </c>
      <c r="E34" s="120" t="str">
        <f>VLOOKUP(Currency,$O$3:$T$7,4)</f>
        <v>1w</v>
      </c>
      <c r="F34" s="120">
        <f>VLOOKUP(Currency,$O$3:$T$7,5)</f>
        <v>0</v>
      </c>
      <c r="G34" s="120">
        <f>VLOOKUP(Currency,$O$3:$T$7,6)</f>
        <v>0</v>
      </c>
      <c r="H34" s="258">
        <f>IF(F34=0,0,Currency&amp;$F34&amp;$G34&amp;$B34&amp;QuoteSuffix)</f>
        <v>0</v>
      </c>
      <c r="I34" s="257" t="str">
        <f>PROPER(Currency)&amp;FamilyName&amp;"Swap"&amp;FixingType&amp;$B34</f>
        <v>EuriborSwapIsdaFixA40Y</v>
      </c>
      <c r="J34" s="256" t="str">
        <f>Currency&amp;$C34&amp;$D34&amp;$B34&amp;"_"&amp;"Fwd"&amp;E34&amp;IF(H34=0,,"_S"&amp;$F34&amp;$G34)&amp;QuoteSuffix</f>
        <v>EURAB6E40Y_Fwd1w_Quote</v>
      </c>
      <c r="K34" s="256"/>
      <c r="L34" s="265" t="str">
        <f>_xll.ohRangeRetrieveError(K34)</f>
        <v/>
      </c>
      <c r="M34" s="57"/>
    </row>
    <row r="35" spans="1:13" x14ac:dyDescent="0.2">
      <c r="A35" s="136"/>
      <c r="B35" s="88" t="s">
        <v>67</v>
      </c>
      <c r="C35" s="120" t="str">
        <f>VLOOKUP(Currency,$O$3:$T$7,2)</f>
        <v>AB</v>
      </c>
      <c r="D35" s="120" t="str">
        <f>VLOOKUP(Currency,$O$3:$T$7,3)</f>
        <v>6E</v>
      </c>
      <c r="E35" s="120" t="str">
        <f>VLOOKUP(Currency,$O$3:$T$7,4)</f>
        <v>1w</v>
      </c>
      <c r="F35" s="120">
        <f>VLOOKUP(Currency,$O$3:$T$7,5)</f>
        <v>0</v>
      </c>
      <c r="G35" s="120">
        <f>VLOOKUP(Currency,$O$3:$T$7,6)</f>
        <v>0</v>
      </c>
      <c r="H35" s="258">
        <f>IF(F35=0,0,Currency&amp;$F35&amp;$G35&amp;$B35&amp;QuoteSuffix)</f>
        <v>0</v>
      </c>
      <c r="I35" s="257" t="str">
        <f>PROPER(Currency)&amp;FamilyName&amp;"Swap"&amp;FixingType&amp;$B35</f>
        <v>EuriborSwapIsdaFixA50Y</v>
      </c>
      <c r="J35" s="256" t="str">
        <f>Currency&amp;$C35&amp;$D35&amp;$B35&amp;"_"&amp;"Fwd"&amp;E35&amp;IF(H35=0,,"_S"&amp;$F35&amp;$G35)&amp;QuoteSuffix</f>
        <v>EURAB6E50Y_Fwd1w_Quote</v>
      </c>
      <c r="K35" s="256"/>
      <c r="L35" s="265" t="str">
        <f>_xll.ohRangeRetrieveError(K35)</f>
        <v/>
      </c>
      <c r="M35" s="57"/>
    </row>
    <row r="36" spans="1:13" x14ac:dyDescent="0.2">
      <c r="A36" s="136"/>
      <c r="B36" s="88" t="s">
        <v>57</v>
      </c>
      <c r="C36" s="120" t="str">
        <f>VLOOKUP(Currency,$O$3:$T$7,2)</f>
        <v>AB</v>
      </c>
      <c r="D36" s="120" t="str">
        <f>VLOOKUP(Currency,$O$3:$T$7,3)</f>
        <v>6E</v>
      </c>
      <c r="E36" s="120" t="str">
        <f>VLOOKUP(Currency,$O$3:$T$7,4)</f>
        <v>1w</v>
      </c>
      <c r="F36" s="120">
        <f>VLOOKUP(Currency,$O$3:$T$7,5)</f>
        <v>0</v>
      </c>
      <c r="G36" s="120">
        <f>VLOOKUP(Currency,$O$3:$T$7,6)</f>
        <v>0</v>
      </c>
      <c r="H36" s="258">
        <f>IF(F36=0,0,Currency&amp;$F36&amp;$G36&amp;$B36&amp;QuoteSuffix)</f>
        <v>0</v>
      </c>
      <c r="I36" s="257" t="str">
        <f>PROPER(Currency)&amp;FamilyName&amp;"Swap"&amp;FixingType&amp;$B36</f>
        <v>EuriborSwapIsdaFixA60Y</v>
      </c>
      <c r="J36" s="256" t="str">
        <f>Currency&amp;$C36&amp;$D36&amp;$B36&amp;"_"&amp;"Fwd"&amp;E36&amp;IF(H36=0,,"_S"&amp;$F36&amp;$G36)&amp;QuoteSuffix</f>
        <v>EURAB6E60Y_Fwd1w_Quote</v>
      </c>
      <c r="K36" s="256"/>
      <c r="L36" s="265" t="str">
        <f>_xll.ohRangeRetrieveError(K36)</f>
        <v/>
      </c>
      <c r="M36" s="57"/>
    </row>
    <row r="37" spans="1:13" ht="12" thickBot="1" x14ac:dyDescent="0.25">
      <c r="A37" s="56"/>
      <c r="B37" s="55"/>
      <c r="C37" s="55"/>
      <c r="D37" s="55"/>
      <c r="E37" s="55"/>
      <c r="F37" s="55"/>
      <c r="G37" s="55"/>
      <c r="H37" s="55"/>
      <c r="I37" s="55"/>
      <c r="J37" s="55"/>
      <c r="K37" s="130"/>
      <c r="L37" s="130"/>
      <c r="M37" s="54"/>
    </row>
  </sheetData>
  <pageMargins left="0.75" right="0.75" top="1" bottom="1" header="0.5" footer="0.5"/>
  <pageSetup paperSize="9" orientation="portrait" r:id="rId1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37"/>
  <sheetViews>
    <sheetView workbookViewId="0"/>
  </sheetViews>
  <sheetFormatPr defaultRowHeight="11.25" x14ac:dyDescent="0.2"/>
  <cols>
    <col min="1" max="1" width="3.28515625" style="77" customWidth="1"/>
    <col min="2" max="2" width="3.85546875" style="77" bestFit="1" customWidth="1"/>
    <col min="3" max="3" width="3.140625" style="77" bestFit="1" customWidth="1"/>
    <col min="4" max="4" width="2.7109375" style="77" bestFit="1" customWidth="1"/>
    <col min="5" max="5" width="4.7109375" style="77" bestFit="1" customWidth="1"/>
    <col min="6" max="7" width="2.7109375" style="77" bestFit="1" customWidth="1"/>
    <col min="8" max="8" width="15.28515625" style="77" bestFit="1" customWidth="1"/>
    <col min="9" max="9" width="19.140625" style="77" bestFit="1" customWidth="1"/>
    <col min="10" max="10" width="31" style="77" bestFit="1" customWidth="1"/>
    <col min="11" max="11" width="32.140625" style="77" bestFit="1" customWidth="1"/>
    <col min="12" max="12" width="30.5703125" style="77" customWidth="1"/>
    <col min="13" max="14" width="3.7109375" style="77" customWidth="1"/>
    <col min="15" max="15" width="4" style="77" bestFit="1" customWidth="1"/>
    <col min="16" max="16" width="3.140625" style="77" bestFit="1" customWidth="1"/>
    <col min="17" max="17" width="2.7109375" style="77" bestFit="1" customWidth="1"/>
    <col min="18" max="18" width="3.28515625" style="77" bestFit="1" customWidth="1"/>
    <col min="19" max="20" width="2.7109375" style="77" bestFit="1" customWidth="1"/>
    <col min="21" max="16384" width="9.140625" style="77"/>
  </cols>
  <sheetData>
    <row r="1" spans="1:20" ht="12" thickBot="1" x14ac:dyDescent="0.25">
      <c r="A1" s="230" t="s">
        <v>216</v>
      </c>
      <c r="B1" s="213"/>
      <c r="C1" s="213"/>
      <c r="D1" s="213"/>
      <c r="E1" s="213"/>
      <c r="F1" s="213"/>
      <c r="G1" s="213"/>
      <c r="H1" s="213"/>
      <c r="I1" s="213"/>
      <c r="J1" s="213"/>
      <c r="K1" s="213"/>
      <c r="L1" s="168"/>
      <c r="M1" s="210"/>
    </row>
    <row r="2" spans="1:20" ht="22.5" x14ac:dyDescent="0.2">
      <c r="A2" s="136"/>
      <c r="B2" s="102"/>
      <c r="C2" s="102"/>
      <c r="D2" s="102"/>
      <c r="E2" s="102" t="s">
        <v>215</v>
      </c>
      <c r="F2" s="102"/>
      <c r="G2" s="102"/>
      <c r="H2" s="102" t="s">
        <v>214</v>
      </c>
      <c r="I2" s="102" t="s">
        <v>213</v>
      </c>
      <c r="J2" s="262" t="str">
        <f>Currency&amp;"_020_Sw"&amp;$C$3&amp;$D$3&amp;"_"&amp;"Fwd"&amp;$E$3&amp;IF(H3=0,,"_Spr"&amp;$F3&amp;$G3)&amp;".xml"</f>
        <v>EUR_020_SwAB3E_Fwd1w_Spr3E6E.xml</v>
      </c>
      <c r="K2" s="123" t="e">
        <f ca="1">IF(Serialize,_xll.ohObjectSave(K3:K36,SerializationPath&amp;J2,FileOverwrite,Serialize),"---")</f>
        <v>#NUM!</v>
      </c>
      <c r="L2" s="84" t="e">
        <f ca="1">_xll.ohRangeRetrieveError(K2)</f>
        <v>#NUM!</v>
      </c>
      <c r="M2" s="57"/>
      <c r="O2" s="222"/>
      <c r="P2" s="221"/>
      <c r="Q2" s="221"/>
      <c r="R2" s="221"/>
      <c r="S2" s="221"/>
      <c r="T2" s="220"/>
    </row>
    <row r="3" spans="1:20" x14ac:dyDescent="0.2">
      <c r="A3" s="136"/>
      <c r="B3" s="88" t="s">
        <v>34</v>
      </c>
      <c r="C3" s="120" t="str">
        <f>VLOOKUP(Currency,$O$3:$T$7,2)</f>
        <v>AB</v>
      </c>
      <c r="D3" s="120" t="str">
        <f>VLOOKUP(Currency,$O$3:$T$7,3)</f>
        <v>3E</v>
      </c>
      <c r="E3" s="120" t="str">
        <f>VLOOKUP(Currency,$O$3:$T$7,4)</f>
        <v>1w</v>
      </c>
      <c r="F3" s="120" t="str">
        <f>VLOOKUP(Currency,$O$3:$T$7,5)</f>
        <v>3E</v>
      </c>
      <c r="G3" s="120" t="str">
        <f>VLOOKUP(Currency,$O$3:$T$7,6)</f>
        <v>6E</v>
      </c>
      <c r="H3" s="258" t="str">
        <f>IF(F3=0,0,Currency&amp;$F3&amp;$G3&amp;$B3&amp;QuoteSuffix)</f>
        <v>EUR3E6E1Y_Quote</v>
      </c>
      <c r="I3" s="260"/>
      <c r="J3" s="256" t="str">
        <f>Currency&amp;$C3&amp;$D3&amp;$B3&amp;"_"&amp;"Fwd"&amp;E3&amp;IF(H3=0,,"_S"&amp;$F3&amp;$G3)&amp;QuoteSuffix</f>
        <v>EURAB3E1Y_Fwd1w_S3E6E_Quote</v>
      </c>
      <c r="K3" s="256"/>
      <c r="L3" s="265" t="str">
        <f>_xll.ohRangeRetrieveError(K3)</f>
        <v/>
      </c>
      <c r="M3" s="57"/>
      <c r="O3" s="95" t="s">
        <v>137</v>
      </c>
      <c r="P3" s="94" t="s">
        <v>202</v>
      </c>
      <c r="Q3" s="94" t="s">
        <v>130</v>
      </c>
      <c r="R3" s="94" t="s">
        <v>212</v>
      </c>
      <c r="S3" s="94"/>
      <c r="T3" s="93"/>
    </row>
    <row r="4" spans="1:20" x14ac:dyDescent="0.2">
      <c r="A4" s="136"/>
      <c r="B4" s="88" t="s">
        <v>115</v>
      </c>
      <c r="C4" s="120" t="str">
        <f>VLOOKUP(Currency,$O$3:$T$7,2)</f>
        <v>AB</v>
      </c>
      <c r="D4" s="120" t="str">
        <f>VLOOKUP(Currency,$O$3:$T$7,3)</f>
        <v>3E</v>
      </c>
      <c r="E4" s="120" t="str">
        <f>VLOOKUP(Currency,$O$3:$T$7,4)</f>
        <v>1w</v>
      </c>
      <c r="F4" s="120" t="str">
        <f>VLOOKUP(Currency,$O$3:$T$7,5)</f>
        <v>3E</v>
      </c>
      <c r="G4" s="120" t="str">
        <f>VLOOKUP(Currency,$O$3:$T$7,6)</f>
        <v>6E</v>
      </c>
      <c r="H4" s="258" t="str">
        <f>IF(F4=0,0,Currency&amp;$F4&amp;$G4&amp;$B4&amp;QuoteSuffix)</f>
        <v>EUR3E6E2Y_Quote</v>
      </c>
      <c r="I4" s="257"/>
      <c r="J4" s="256" t="str">
        <f>Currency&amp;$C4&amp;$D4&amp;$B4&amp;"_"&amp;"Fwd"&amp;E4&amp;IF(H4=0,,"_S"&amp;$F4&amp;$G4)&amp;QuoteSuffix</f>
        <v>EURAB3E2Y_Fwd1w_S3E6E_Quote</v>
      </c>
      <c r="K4" s="256"/>
      <c r="L4" s="265" t="str">
        <f>_xll.ohRangeRetrieveError(K4)</f>
        <v/>
      </c>
      <c r="M4" s="57"/>
      <c r="O4" s="95" t="s">
        <v>123</v>
      </c>
      <c r="P4" s="94" t="s">
        <v>202</v>
      </c>
      <c r="Q4" s="267" t="s">
        <v>142</v>
      </c>
      <c r="R4" s="94" t="s">
        <v>212</v>
      </c>
      <c r="S4" s="94" t="s">
        <v>142</v>
      </c>
      <c r="T4" s="93" t="s">
        <v>135</v>
      </c>
    </row>
    <row r="5" spans="1:20" x14ac:dyDescent="0.2">
      <c r="A5" s="136"/>
      <c r="B5" s="88" t="s">
        <v>114</v>
      </c>
      <c r="C5" s="120" t="str">
        <f>VLOOKUP(Currency,$O$3:$T$7,2)</f>
        <v>AB</v>
      </c>
      <c r="D5" s="120" t="str">
        <f>VLOOKUP(Currency,$O$3:$T$7,3)</f>
        <v>3E</v>
      </c>
      <c r="E5" s="120" t="str">
        <f>VLOOKUP(Currency,$O$3:$T$7,4)</f>
        <v>1w</v>
      </c>
      <c r="F5" s="120" t="str">
        <f>VLOOKUP(Currency,$O$3:$T$7,5)</f>
        <v>3E</v>
      </c>
      <c r="G5" s="120" t="str">
        <f>VLOOKUP(Currency,$O$3:$T$7,6)</f>
        <v>6E</v>
      </c>
      <c r="H5" s="258" t="str">
        <f>IF(F5=0,0,Currency&amp;$F5&amp;$G5&amp;$B5&amp;QuoteSuffix)</f>
        <v>EUR3E6E3Y_Quote</v>
      </c>
      <c r="I5" s="257"/>
      <c r="J5" s="256" t="str">
        <f>Currency&amp;$C5&amp;$D5&amp;$B5&amp;"_"&amp;"Fwd"&amp;E5&amp;IF(H5=0,,"_S"&amp;$F5&amp;$G5)&amp;QuoteSuffix</f>
        <v>EURAB3E3Y_Fwd1w_S3E6E_Quote</v>
      </c>
      <c r="K5" s="256"/>
      <c r="L5" s="265" t="str">
        <f>_xll.ohRangeRetrieveError(K5)</f>
        <v/>
      </c>
      <c r="M5" s="57"/>
      <c r="O5" s="95" t="s">
        <v>134</v>
      </c>
      <c r="P5" s="94" t="s">
        <v>201</v>
      </c>
      <c r="Q5" s="94" t="s">
        <v>130</v>
      </c>
      <c r="R5" s="94" t="s">
        <v>212</v>
      </c>
      <c r="S5" s="94"/>
      <c r="T5" s="93"/>
    </row>
    <row r="6" spans="1:20" x14ac:dyDescent="0.2">
      <c r="A6" s="136"/>
      <c r="B6" s="88" t="s">
        <v>113</v>
      </c>
      <c r="C6" s="120" t="str">
        <f>VLOOKUP(Currency,$O$3:$T$7,2)</f>
        <v>AB</v>
      </c>
      <c r="D6" s="120" t="str">
        <f>VLOOKUP(Currency,$O$3:$T$7,3)</f>
        <v>3E</v>
      </c>
      <c r="E6" s="120" t="str">
        <f>VLOOKUP(Currency,$O$3:$T$7,4)</f>
        <v>1w</v>
      </c>
      <c r="F6" s="120" t="str">
        <f>VLOOKUP(Currency,$O$3:$T$7,5)</f>
        <v>3E</v>
      </c>
      <c r="G6" s="120" t="str">
        <f>VLOOKUP(Currency,$O$3:$T$7,6)</f>
        <v>6E</v>
      </c>
      <c r="H6" s="258" t="str">
        <f>IF(F6=0,0,Currency&amp;$F6&amp;$G6&amp;$B6&amp;QuoteSuffix)</f>
        <v>EUR3E6E4Y_Quote</v>
      </c>
      <c r="I6" s="257"/>
      <c r="J6" s="256" t="str">
        <f>Currency&amp;$C6&amp;$D6&amp;$B6&amp;"_"&amp;"Fwd"&amp;E6&amp;IF(H6=0,,"_S"&amp;$F6&amp;$G6)&amp;QuoteSuffix</f>
        <v>EURAB3E4Y_Fwd1w_S3E6E_Quote</v>
      </c>
      <c r="K6" s="256"/>
      <c r="L6" s="265" t="str">
        <f>_xll.ohRangeRetrieveError(K6)</f>
        <v/>
      </c>
      <c r="M6" s="57"/>
      <c r="O6" s="95" t="s">
        <v>133</v>
      </c>
      <c r="P6" s="94" t="s">
        <v>201</v>
      </c>
      <c r="Q6" s="94" t="s">
        <v>130</v>
      </c>
      <c r="R6" s="94" t="s">
        <v>212</v>
      </c>
      <c r="S6" s="94"/>
      <c r="T6" s="93"/>
    </row>
    <row r="7" spans="1:20" ht="12" thickBot="1" x14ac:dyDescent="0.25">
      <c r="A7" s="136"/>
      <c r="B7" s="88" t="s">
        <v>112</v>
      </c>
      <c r="C7" s="120" t="str">
        <f>VLOOKUP(Currency,$O$3:$T$7,2)</f>
        <v>AB</v>
      </c>
      <c r="D7" s="120" t="str">
        <f>VLOOKUP(Currency,$O$3:$T$7,3)</f>
        <v>3E</v>
      </c>
      <c r="E7" s="120" t="str">
        <f>VLOOKUP(Currency,$O$3:$T$7,4)</f>
        <v>1w</v>
      </c>
      <c r="F7" s="120" t="str">
        <f>VLOOKUP(Currency,$O$3:$T$7,5)</f>
        <v>3E</v>
      </c>
      <c r="G7" s="120" t="str">
        <f>VLOOKUP(Currency,$O$3:$T$7,6)</f>
        <v>6E</v>
      </c>
      <c r="H7" s="258" t="str">
        <f>IF(F7=0,0,Currency&amp;$F7&amp;$G7&amp;$B7&amp;QuoteSuffix)</f>
        <v>EUR3E6E5Y_Quote</v>
      </c>
      <c r="I7" s="257"/>
      <c r="J7" s="256" t="str">
        <f>Currency&amp;$C7&amp;$D7&amp;$B7&amp;"_"&amp;"Fwd"&amp;E7&amp;IF(H7=0,,"_S"&amp;$F7&amp;$G7)&amp;QuoteSuffix</f>
        <v>EURAB3E5Y_Fwd1w_S3E6E_Quote</v>
      </c>
      <c r="K7" s="256"/>
      <c r="L7" s="265" t="str">
        <f>_xll.ohRangeRetrieveError(K7)</f>
        <v/>
      </c>
      <c r="M7" s="57"/>
      <c r="O7" s="92" t="s">
        <v>131</v>
      </c>
      <c r="P7" s="91" t="s">
        <v>200</v>
      </c>
      <c r="Q7" s="91" t="s">
        <v>130</v>
      </c>
      <c r="R7" s="91" t="s">
        <v>212</v>
      </c>
      <c r="S7" s="91" t="s">
        <v>132</v>
      </c>
      <c r="T7" s="90" t="s">
        <v>130</v>
      </c>
    </row>
    <row r="8" spans="1:20" x14ac:dyDescent="0.2">
      <c r="A8" s="136"/>
      <c r="B8" s="88" t="s">
        <v>111</v>
      </c>
      <c r="C8" s="120" t="str">
        <f>VLOOKUP(Currency,$O$3:$T$7,2)</f>
        <v>AB</v>
      </c>
      <c r="D8" s="120" t="str">
        <f>VLOOKUP(Currency,$O$3:$T$7,3)</f>
        <v>3E</v>
      </c>
      <c r="E8" s="120" t="str">
        <f>VLOOKUP(Currency,$O$3:$T$7,4)</f>
        <v>1w</v>
      </c>
      <c r="F8" s="120" t="str">
        <f>VLOOKUP(Currency,$O$3:$T$7,5)</f>
        <v>3E</v>
      </c>
      <c r="G8" s="120" t="str">
        <f>VLOOKUP(Currency,$O$3:$T$7,6)</f>
        <v>6E</v>
      </c>
      <c r="H8" s="258" t="str">
        <f>IF(F8=0,0,Currency&amp;$F8&amp;$G8&amp;$B8&amp;QuoteSuffix)</f>
        <v>EUR3E6E6Y_Quote</v>
      </c>
      <c r="I8" s="257"/>
      <c r="J8" s="256" t="str">
        <f>Currency&amp;$C8&amp;$D8&amp;$B8&amp;"_"&amp;"Fwd"&amp;E8&amp;IF(H8=0,,"_S"&amp;$F8&amp;$G8)&amp;QuoteSuffix</f>
        <v>EURAB3E6Y_Fwd1w_S3E6E_Quote</v>
      </c>
      <c r="K8" s="256"/>
      <c r="L8" s="265" t="str">
        <f>_xll.ohRangeRetrieveError(K8)</f>
        <v/>
      </c>
      <c r="M8" s="57"/>
    </row>
    <row r="9" spans="1:20" x14ac:dyDescent="0.2">
      <c r="A9" s="136"/>
      <c r="B9" s="88" t="s">
        <v>110</v>
      </c>
      <c r="C9" s="120" t="str">
        <f>VLOOKUP(Currency,$O$3:$T$7,2)</f>
        <v>AB</v>
      </c>
      <c r="D9" s="120" t="str">
        <f>VLOOKUP(Currency,$O$3:$T$7,3)</f>
        <v>3E</v>
      </c>
      <c r="E9" s="120" t="str">
        <f>VLOOKUP(Currency,$O$3:$T$7,4)</f>
        <v>1w</v>
      </c>
      <c r="F9" s="120" t="str">
        <f>VLOOKUP(Currency,$O$3:$T$7,5)</f>
        <v>3E</v>
      </c>
      <c r="G9" s="120" t="str">
        <f>VLOOKUP(Currency,$O$3:$T$7,6)</f>
        <v>6E</v>
      </c>
      <c r="H9" s="258" t="str">
        <f>IF(F9=0,0,Currency&amp;$F9&amp;$G9&amp;$B9&amp;QuoteSuffix)</f>
        <v>EUR3E6E7Y_Quote</v>
      </c>
      <c r="I9" s="257"/>
      <c r="J9" s="256" t="str">
        <f>Currency&amp;$C9&amp;$D9&amp;$B9&amp;"_"&amp;"Fwd"&amp;E9&amp;IF(H9=0,,"_S"&amp;$F9&amp;$G9)&amp;QuoteSuffix</f>
        <v>EURAB3E7Y_Fwd1w_S3E6E_Quote</v>
      </c>
      <c r="K9" s="256"/>
      <c r="L9" s="265" t="str">
        <f>_xll.ohRangeRetrieveError(K9)</f>
        <v/>
      </c>
      <c r="M9" s="57"/>
    </row>
    <row r="10" spans="1:20" x14ac:dyDescent="0.2">
      <c r="A10" s="136"/>
      <c r="B10" s="88" t="s">
        <v>109</v>
      </c>
      <c r="C10" s="120" t="str">
        <f>VLOOKUP(Currency,$O$3:$T$7,2)</f>
        <v>AB</v>
      </c>
      <c r="D10" s="120" t="str">
        <f>VLOOKUP(Currency,$O$3:$T$7,3)</f>
        <v>3E</v>
      </c>
      <c r="E10" s="120" t="str">
        <f>VLOOKUP(Currency,$O$3:$T$7,4)</f>
        <v>1w</v>
      </c>
      <c r="F10" s="120" t="str">
        <f>VLOOKUP(Currency,$O$3:$T$7,5)</f>
        <v>3E</v>
      </c>
      <c r="G10" s="120" t="str">
        <f>VLOOKUP(Currency,$O$3:$T$7,6)</f>
        <v>6E</v>
      </c>
      <c r="H10" s="258" t="str">
        <f>IF(F10=0,0,Currency&amp;$F10&amp;$G10&amp;$B10&amp;QuoteSuffix)</f>
        <v>EUR3E6E8Y_Quote</v>
      </c>
      <c r="I10" s="257"/>
      <c r="J10" s="256" t="str">
        <f>Currency&amp;$C10&amp;$D10&amp;$B10&amp;"_"&amp;"Fwd"&amp;E10&amp;IF(H10=0,,"_S"&amp;$F10&amp;$G10)&amp;QuoteSuffix</f>
        <v>EURAB3E8Y_Fwd1w_S3E6E_Quote</v>
      </c>
      <c r="K10" s="256"/>
      <c r="L10" s="265" t="str">
        <f>_xll.ohRangeRetrieveError(K10)</f>
        <v/>
      </c>
      <c r="M10" s="57"/>
    </row>
    <row r="11" spans="1:20" x14ac:dyDescent="0.2">
      <c r="A11" s="136"/>
      <c r="B11" s="88" t="s">
        <v>108</v>
      </c>
      <c r="C11" s="120" t="str">
        <f>VLOOKUP(Currency,$O$3:$T$7,2)</f>
        <v>AB</v>
      </c>
      <c r="D11" s="120" t="str">
        <f>VLOOKUP(Currency,$O$3:$T$7,3)</f>
        <v>3E</v>
      </c>
      <c r="E11" s="120" t="str">
        <f>VLOOKUP(Currency,$O$3:$T$7,4)</f>
        <v>1w</v>
      </c>
      <c r="F11" s="120" t="str">
        <f>VLOOKUP(Currency,$O$3:$T$7,5)</f>
        <v>3E</v>
      </c>
      <c r="G11" s="120" t="str">
        <f>VLOOKUP(Currency,$O$3:$T$7,6)</f>
        <v>6E</v>
      </c>
      <c r="H11" s="258" t="str">
        <f>IF(F11=0,0,Currency&amp;$F11&amp;$G11&amp;$B11&amp;QuoteSuffix)</f>
        <v>EUR3E6E9Y_Quote</v>
      </c>
      <c r="I11" s="257"/>
      <c r="J11" s="256" t="str">
        <f>Currency&amp;$C11&amp;$D11&amp;$B11&amp;"_"&amp;"Fwd"&amp;E11&amp;IF(H11=0,,"_S"&amp;$F11&amp;$G11)&amp;QuoteSuffix</f>
        <v>EURAB3E9Y_Fwd1w_S3E6E_Quote</v>
      </c>
      <c r="K11" s="256"/>
      <c r="L11" s="265" t="str">
        <f>_xll.ohRangeRetrieveError(K11)</f>
        <v/>
      </c>
      <c r="M11" s="57"/>
    </row>
    <row r="12" spans="1:20" x14ac:dyDescent="0.2">
      <c r="A12" s="136"/>
      <c r="B12" s="88" t="s">
        <v>107</v>
      </c>
      <c r="C12" s="120" t="str">
        <f>VLOOKUP(Currency,$O$3:$T$7,2)</f>
        <v>AB</v>
      </c>
      <c r="D12" s="120" t="str">
        <f>VLOOKUP(Currency,$O$3:$T$7,3)</f>
        <v>3E</v>
      </c>
      <c r="E12" s="120" t="str">
        <f>VLOOKUP(Currency,$O$3:$T$7,4)</f>
        <v>1w</v>
      </c>
      <c r="F12" s="120" t="str">
        <f>VLOOKUP(Currency,$O$3:$T$7,5)</f>
        <v>3E</v>
      </c>
      <c r="G12" s="120" t="str">
        <f>VLOOKUP(Currency,$O$3:$T$7,6)</f>
        <v>6E</v>
      </c>
      <c r="H12" s="258" t="str">
        <f>IF(F12=0,0,Currency&amp;$F12&amp;$G12&amp;$B12&amp;QuoteSuffix)</f>
        <v>EUR3E6E10Y_Quote</v>
      </c>
      <c r="I12" s="257"/>
      <c r="J12" s="256" t="str">
        <f>Currency&amp;$C12&amp;$D12&amp;$B12&amp;"_"&amp;"Fwd"&amp;E12&amp;IF(H12=0,,"_S"&amp;$F12&amp;$G12)&amp;QuoteSuffix</f>
        <v>EURAB3E10Y_Fwd1w_S3E6E_Quote</v>
      </c>
      <c r="K12" s="256"/>
      <c r="L12" s="265" t="str">
        <f>_xll.ohRangeRetrieveError(K12)</f>
        <v/>
      </c>
      <c r="M12" s="57"/>
    </row>
    <row r="13" spans="1:20" x14ac:dyDescent="0.2">
      <c r="A13" s="136"/>
      <c r="B13" s="88" t="s">
        <v>106</v>
      </c>
      <c r="C13" s="120" t="str">
        <f>VLOOKUP(Currency,$O$3:$T$7,2)</f>
        <v>AB</v>
      </c>
      <c r="D13" s="120" t="str">
        <f>VLOOKUP(Currency,$O$3:$T$7,3)</f>
        <v>3E</v>
      </c>
      <c r="E13" s="120" t="str">
        <f>VLOOKUP(Currency,$O$3:$T$7,4)</f>
        <v>1w</v>
      </c>
      <c r="F13" s="120" t="str">
        <f>VLOOKUP(Currency,$O$3:$T$7,5)</f>
        <v>3E</v>
      </c>
      <c r="G13" s="120" t="str">
        <f>VLOOKUP(Currency,$O$3:$T$7,6)</f>
        <v>6E</v>
      </c>
      <c r="H13" s="258" t="str">
        <f>IF(F13=0,0,Currency&amp;$F13&amp;$G13&amp;$B13&amp;QuoteSuffix)</f>
        <v>EUR3E6E11Y_Quote</v>
      </c>
      <c r="I13" s="257"/>
      <c r="J13" s="256" t="str">
        <f>Currency&amp;$C13&amp;$D13&amp;$B13&amp;"_"&amp;"Fwd"&amp;E13&amp;IF(H13=0,,"_S"&amp;$F13&amp;$G13)&amp;QuoteSuffix</f>
        <v>EURAB3E11Y_Fwd1w_S3E6E_Quote</v>
      </c>
      <c r="K13" s="256"/>
      <c r="L13" s="265" t="str">
        <f>_xll.ohRangeRetrieveError(K13)</f>
        <v/>
      </c>
      <c r="M13" s="57"/>
    </row>
    <row r="14" spans="1:20" x14ac:dyDescent="0.2">
      <c r="A14" s="136"/>
      <c r="B14" s="88" t="s">
        <v>105</v>
      </c>
      <c r="C14" s="120" t="str">
        <f>VLOOKUP(Currency,$O$3:$T$7,2)</f>
        <v>AB</v>
      </c>
      <c r="D14" s="120" t="str">
        <f>VLOOKUP(Currency,$O$3:$T$7,3)</f>
        <v>3E</v>
      </c>
      <c r="E14" s="120" t="str">
        <f>VLOOKUP(Currency,$O$3:$T$7,4)</f>
        <v>1w</v>
      </c>
      <c r="F14" s="120" t="str">
        <f>VLOOKUP(Currency,$O$3:$T$7,5)</f>
        <v>3E</v>
      </c>
      <c r="G14" s="120" t="str">
        <f>VLOOKUP(Currency,$O$3:$T$7,6)</f>
        <v>6E</v>
      </c>
      <c r="H14" s="258" t="str">
        <f>IF(F14=0,0,Currency&amp;$F14&amp;$G14&amp;$B14&amp;QuoteSuffix)</f>
        <v>EUR3E6E12Y_Quote</v>
      </c>
      <c r="I14" s="257"/>
      <c r="J14" s="256" t="str">
        <f>Currency&amp;$C14&amp;$D14&amp;$B14&amp;"_"&amp;"Fwd"&amp;E14&amp;IF(H14=0,,"_S"&amp;$F14&amp;$G14)&amp;QuoteSuffix</f>
        <v>EURAB3E12Y_Fwd1w_S3E6E_Quote</v>
      </c>
      <c r="K14" s="256"/>
      <c r="L14" s="265" t="str">
        <f>_xll.ohRangeRetrieveError(K14)</f>
        <v/>
      </c>
      <c r="M14" s="57"/>
    </row>
    <row r="15" spans="1:20" x14ac:dyDescent="0.2">
      <c r="A15" s="136"/>
      <c r="B15" s="88" t="s">
        <v>104</v>
      </c>
      <c r="C15" s="120" t="str">
        <f>VLOOKUP(Currency,$O$3:$T$7,2)</f>
        <v>AB</v>
      </c>
      <c r="D15" s="120" t="str">
        <f>VLOOKUP(Currency,$O$3:$T$7,3)</f>
        <v>3E</v>
      </c>
      <c r="E15" s="120" t="str">
        <f>VLOOKUP(Currency,$O$3:$T$7,4)</f>
        <v>1w</v>
      </c>
      <c r="F15" s="120" t="str">
        <f>VLOOKUP(Currency,$O$3:$T$7,5)</f>
        <v>3E</v>
      </c>
      <c r="G15" s="120" t="str">
        <f>VLOOKUP(Currency,$O$3:$T$7,6)</f>
        <v>6E</v>
      </c>
      <c r="H15" s="258" t="str">
        <f>IF(F15=0,0,Currency&amp;$F15&amp;$G15&amp;$B15&amp;QuoteSuffix)</f>
        <v>EUR3E6E13Y_Quote</v>
      </c>
      <c r="I15" s="257"/>
      <c r="J15" s="256" t="str">
        <f>Currency&amp;$C15&amp;$D15&amp;$B15&amp;"_"&amp;"Fwd"&amp;E15&amp;IF(H15=0,,"_S"&amp;$F15&amp;$G15)&amp;QuoteSuffix</f>
        <v>EURAB3E13Y_Fwd1w_S3E6E_Quote</v>
      </c>
      <c r="K15" s="256"/>
      <c r="L15" s="265" t="str">
        <f>_xll.ohRangeRetrieveError(K15)</f>
        <v/>
      </c>
      <c r="M15" s="57"/>
    </row>
    <row r="16" spans="1:20" x14ac:dyDescent="0.2">
      <c r="A16" s="136"/>
      <c r="B16" s="88" t="s">
        <v>103</v>
      </c>
      <c r="C16" s="120" t="str">
        <f>VLOOKUP(Currency,$O$3:$T$7,2)</f>
        <v>AB</v>
      </c>
      <c r="D16" s="120" t="str">
        <f>VLOOKUP(Currency,$O$3:$T$7,3)</f>
        <v>3E</v>
      </c>
      <c r="E16" s="120" t="str">
        <f>VLOOKUP(Currency,$O$3:$T$7,4)</f>
        <v>1w</v>
      </c>
      <c r="F16" s="120" t="str">
        <f>VLOOKUP(Currency,$O$3:$T$7,5)</f>
        <v>3E</v>
      </c>
      <c r="G16" s="120" t="str">
        <f>VLOOKUP(Currency,$O$3:$T$7,6)</f>
        <v>6E</v>
      </c>
      <c r="H16" s="258" t="str">
        <f>IF(F16=0,0,Currency&amp;$F16&amp;$G16&amp;$B16&amp;QuoteSuffix)</f>
        <v>EUR3E6E14Y_Quote</v>
      </c>
      <c r="I16" s="257"/>
      <c r="J16" s="256" t="str">
        <f>Currency&amp;$C16&amp;$D16&amp;$B16&amp;"_"&amp;"Fwd"&amp;E16&amp;IF(H16=0,,"_S"&amp;$F16&amp;$G16)&amp;QuoteSuffix</f>
        <v>EURAB3E14Y_Fwd1w_S3E6E_Quote</v>
      </c>
      <c r="K16" s="256"/>
      <c r="L16" s="265" t="str">
        <f>_xll.ohRangeRetrieveError(K16)</f>
        <v/>
      </c>
      <c r="M16" s="57"/>
    </row>
    <row r="17" spans="1:13" x14ac:dyDescent="0.2">
      <c r="A17" s="136"/>
      <c r="B17" s="88" t="s">
        <v>102</v>
      </c>
      <c r="C17" s="120" t="str">
        <f>VLOOKUP(Currency,$O$3:$T$7,2)</f>
        <v>AB</v>
      </c>
      <c r="D17" s="120" t="str">
        <f>VLOOKUP(Currency,$O$3:$T$7,3)</f>
        <v>3E</v>
      </c>
      <c r="E17" s="120" t="str">
        <f>VLOOKUP(Currency,$O$3:$T$7,4)</f>
        <v>1w</v>
      </c>
      <c r="F17" s="120" t="str">
        <f>VLOOKUP(Currency,$O$3:$T$7,5)</f>
        <v>3E</v>
      </c>
      <c r="G17" s="120" t="str">
        <f>VLOOKUP(Currency,$O$3:$T$7,6)</f>
        <v>6E</v>
      </c>
      <c r="H17" s="258" t="str">
        <f>IF(F17=0,0,Currency&amp;$F17&amp;$G17&amp;$B17&amp;QuoteSuffix)</f>
        <v>EUR3E6E15Y_Quote</v>
      </c>
      <c r="I17" s="257"/>
      <c r="J17" s="256" t="str">
        <f>Currency&amp;$C17&amp;$D17&amp;$B17&amp;"_"&amp;"Fwd"&amp;E17&amp;IF(H17=0,,"_S"&amp;$F17&amp;$G17)&amp;QuoteSuffix</f>
        <v>EURAB3E15Y_Fwd1w_S3E6E_Quote</v>
      </c>
      <c r="K17" s="256"/>
      <c r="L17" s="265" t="str">
        <f>_xll.ohRangeRetrieveError(K17)</f>
        <v/>
      </c>
      <c r="M17" s="57"/>
    </row>
    <row r="18" spans="1:13" x14ac:dyDescent="0.2">
      <c r="A18" s="136"/>
      <c r="B18" s="88" t="s">
        <v>101</v>
      </c>
      <c r="C18" s="120" t="str">
        <f>VLOOKUP(Currency,$O$3:$T$7,2)</f>
        <v>AB</v>
      </c>
      <c r="D18" s="120" t="str">
        <f>VLOOKUP(Currency,$O$3:$T$7,3)</f>
        <v>3E</v>
      </c>
      <c r="E18" s="120" t="str">
        <f>VLOOKUP(Currency,$O$3:$T$7,4)</f>
        <v>1w</v>
      </c>
      <c r="F18" s="120" t="str">
        <f>VLOOKUP(Currency,$O$3:$T$7,5)</f>
        <v>3E</v>
      </c>
      <c r="G18" s="120" t="str">
        <f>VLOOKUP(Currency,$O$3:$T$7,6)</f>
        <v>6E</v>
      </c>
      <c r="H18" s="258" t="str">
        <f>IF(F18=0,0,Currency&amp;$F18&amp;$G18&amp;$B18&amp;QuoteSuffix)</f>
        <v>EUR3E6E16Y_Quote</v>
      </c>
      <c r="I18" s="257"/>
      <c r="J18" s="256" t="str">
        <f>Currency&amp;$C18&amp;$D18&amp;$B18&amp;"_"&amp;"Fwd"&amp;E18&amp;IF(H18=0,,"_S"&amp;$F18&amp;$G18)&amp;QuoteSuffix</f>
        <v>EURAB3E16Y_Fwd1w_S3E6E_Quote</v>
      </c>
      <c r="K18" s="256"/>
      <c r="L18" s="265" t="str">
        <f>_xll.ohRangeRetrieveError(K18)</f>
        <v/>
      </c>
      <c r="M18" s="57"/>
    </row>
    <row r="19" spans="1:13" x14ac:dyDescent="0.2">
      <c r="A19" s="136"/>
      <c r="B19" s="88" t="s">
        <v>100</v>
      </c>
      <c r="C19" s="120" t="str">
        <f>VLOOKUP(Currency,$O$3:$T$7,2)</f>
        <v>AB</v>
      </c>
      <c r="D19" s="120" t="str">
        <f>VLOOKUP(Currency,$O$3:$T$7,3)</f>
        <v>3E</v>
      </c>
      <c r="E19" s="120" t="str">
        <f>VLOOKUP(Currency,$O$3:$T$7,4)</f>
        <v>1w</v>
      </c>
      <c r="F19" s="120" t="str">
        <f>VLOOKUP(Currency,$O$3:$T$7,5)</f>
        <v>3E</v>
      </c>
      <c r="G19" s="120" t="str">
        <f>VLOOKUP(Currency,$O$3:$T$7,6)</f>
        <v>6E</v>
      </c>
      <c r="H19" s="258" t="str">
        <f>IF(F19=0,0,Currency&amp;$F19&amp;$G19&amp;$B19&amp;QuoteSuffix)</f>
        <v>EUR3E6E17Y_Quote</v>
      </c>
      <c r="I19" s="257"/>
      <c r="J19" s="256" t="str">
        <f>Currency&amp;$C19&amp;$D19&amp;$B19&amp;"_"&amp;"Fwd"&amp;E19&amp;IF(H19=0,,"_S"&amp;$F19&amp;$G19)&amp;QuoteSuffix</f>
        <v>EURAB3E17Y_Fwd1w_S3E6E_Quote</v>
      </c>
      <c r="K19" s="256"/>
      <c r="L19" s="265" t="str">
        <f>_xll.ohRangeRetrieveError(K19)</f>
        <v/>
      </c>
      <c r="M19" s="57"/>
    </row>
    <row r="20" spans="1:13" x14ac:dyDescent="0.2">
      <c r="A20" s="136"/>
      <c r="B20" s="88" t="s">
        <v>99</v>
      </c>
      <c r="C20" s="120" t="str">
        <f>VLOOKUP(Currency,$O$3:$T$7,2)</f>
        <v>AB</v>
      </c>
      <c r="D20" s="120" t="str">
        <f>VLOOKUP(Currency,$O$3:$T$7,3)</f>
        <v>3E</v>
      </c>
      <c r="E20" s="120" t="str">
        <f>VLOOKUP(Currency,$O$3:$T$7,4)</f>
        <v>1w</v>
      </c>
      <c r="F20" s="120" t="str">
        <f>VLOOKUP(Currency,$O$3:$T$7,5)</f>
        <v>3E</v>
      </c>
      <c r="G20" s="120" t="str">
        <f>VLOOKUP(Currency,$O$3:$T$7,6)</f>
        <v>6E</v>
      </c>
      <c r="H20" s="258" t="str">
        <f>IF(F20=0,0,Currency&amp;$F20&amp;$G20&amp;$B20&amp;QuoteSuffix)</f>
        <v>EUR3E6E18Y_Quote</v>
      </c>
      <c r="I20" s="257"/>
      <c r="J20" s="256" t="str">
        <f>Currency&amp;$C20&amp;$D20&amp;$B20&amp;"_"&amp;"Fwd"&amp;E20&amp;IF(H20=0,,"_S"&amp;$F20&amp;$G20)&amp;QuoteSuffix</f>
        <v>EURAB3E18Y_Fwd1w_S3E6E_Quote</v>
      </c>
      <c r="K20" s="256"/>
      <c r="L20" s="265" t="str">
        <f>_xll.ohRangeRetrieveError(K20)</f>
        <v/>
      </c>
      <c r="M20" s="57"/>
    </row>
    <row r="21" spans="1:13" x14ac:dyDescent="0.2">
      <c r="A21" s="136"/>
      <c r="B21" s="88" t="s">
        <v>98</v>
      </c>
      <c r="C21" s="120" t="str">
        <f>VLOOKUP(Currency,$O$3:$T$7,2)</f>
        <v>AB</v>
      </c>
      <c r="D21" s="120" t="str">
        <f>VLOOKUP(Currency,$O$3:$T$7,3)</f>
        <v>3E</v>
      </c>
      <c r="E21" s="120" t="str">
        <f>VLOOKUP(Currency,$O$3:$T$7,4)</f>
        <v>1w</v>
      </c>
      <c r="F21" s="120" t="str">
        <f>VLOOKUP(Currency,$O$3:$T$7,5)</f>
        <v>3E</v>
      </c>
      <c r="G21" s="120" t="str">
        <f>VLOOKUP(Currency,$O$3:$T$7,6)</f>
        <v>6E</v>
      </c>
      <c r="H21" s="258" t="str">
        <f>IF(F21=0,0,Currency&amp;$F21&amp;$G21&amp;$B21&amp;QuoteSuffix)</f>
        <v>EUR3E6E19Y_Quote</v>
      </c>
      <c r="I21" s="257"/>
      <c r="J21" s="256" t="str">
        <f>Currency&amp;$C21&amp;$D21&amp;$B21&amp;"_"&amp;"Fwd"&amp;E21&amp;IF(H21=0,,"_S"&amp;$F21&amp;$G21)&amp;QuoteSuffix</f>
        <v>EURAB3E19Y_Fwd1w_S3E6E_Quote</v>
      </c>
      <c r="K21" s="256"/>
      <c r="L21" s="265" t="str">
        <f>_xll.ohRangeRetrieveError(K21)</f>
        <v/>
      </c>
      <c r="M21" s="57"/>
    </row>
    <row r="22" spans="1:13" x14ac:dyDescent="0.2">
      <c r="A22" s="136"/>
      <c r="B22" s="88" t="s">
        <v>97</v>
      </c>
      <c r="C22" s="120" t="str">
        <f>VLOOKUP(Currency,$O$3:$T$7,2)</f>
        <v>AB</v>
      </c>
      <c r="D22" s="120" t="str">
        <f>VLOOKUP(Currency,$O$3:$T$7,3)</f>
        <v>3E</v>
      </c>
      <c r="E22" s="120" t="str">
        <f>VLOOKUP(Currency,$O$3:$T$7,4)</f>
        <v>1w</v>
      </c>
      <c r="F22" s="120" t="str">
        <f>VLOOKUP(Currency,$O$3:$T$7,5)</f>
        <v>3E</v>
      </c>
      <c r="G22" s="120" t="str">
        <f>VLOOKUP(Currency,$O$3:$T$7,6)</f>
        <v>6E</v>
      </c>
      <c r="H22" s="258" t="str">
        <f>IF(F22=0,0,Currency&amp;$F22&amp;$G22&amp;$B22&amp;QuoteSuffix)</f>
        <v>EUR3E6E20Y_Quote</v>
      </c>
      <c r="I22" s="257"/>
      <c r="J22" s="256" t="str">
        <f>Currency&amp;$C22&amp;$D22&amp;$B22&amp;"_"&amp;"Fwd"&amp;E22&amp;IF(H22=0,,"_S"&amp;$F22&amp;$G22)&amp;QuoteSuffix</f>
        <v>EURAB3E20Y_Fwd1w_S3E6E_Quote</v>
      </c>
      <c r="K22" s="256"/>
      <c r="L22" s="265" t="str">
        <f>_xll.ohRangeRetrieveError(K22)</f>
        <v/>
      </c>
      <c r="M22" s="57"/>
    </row>
    <row r="23" spans="1:13" x14ac:dyDescent="0.2">
      <c r="A23" s="136"/>
      <c r="B23" s="88" t="s">
        <v>96</v>
      </c>
      <c r="C23" s="120" t="str">
        <f>VLOOKUP(Currency,$O$3:$T$7,2)</f>
        <v>AB</v>
      </c>
      <c r="D23" s="120" t="str">
        <f>VLOOKUP(Currency,$O$3:$T$7,3)</f>
        <v>3E</v>
      </c>
      <c r="E23" s="120" t="str">
        <f>VLOOKUP(Currency,$O$3:$T$7,4)</f>
        <v>1w</v>
      </c>
      <c r="F23" s="120" t="str">
        <f>VLOOKUP(Currency,$O$3:$T$7,5)</f>
        <v>3E</v>
      </c>
      <c r="G23" s="120" t="str">
        <f>VLOOKUP(Currency,$O$3:$T$7,6)</f>
        <v>6E</v>
      </c>
      <c r="H23" s="258" t="str">
        <f>IF(F23=0,0,Currency&amp;$F23&amp;$G23&amp;$B23&amp;QuoteSuffix)</f>
        <v>EUR3E6E21Y_Quote</v>
      </c>
      <c r="I23" s="257"/>
      <c r="J23" s="256" t="str">
        <f>Currency&amp;$C23&amp;$D23&amp;$B23&amp;"_"&amp;"Fwd"&amp;E23&amp;IF(H23=0,,"_S"&amp;$F23&amp;$G23)&amp;QuoteSuffix</f>
        <v>EURAB3E21Y_Fwd1w_S3E6E_Quote</v>
      </c>
      <c r="K23" s="256"/>
      <c r="L23" s="265" t="str">
        <f>_xll.ohRangeRetrieveError(K23)</f>
        <v/>
      </c>
      <c r="M23" s="57"/>
    </row>
    <row r="24" spans="1:13" x14ac:dyDescent="0.2">
      <c r="A24" s="136"/>
      <c r="B24" s="88" t="s">
        <v>95</v>
      </c>
      <c r="C24" s="120" t="str">
        <f>VLOOKUP(Currency,$O$3:$T$7,2)</f>
        <v>AB</v>
      </c>
      <c r="D24" s="120" t="str">
        <f>VLOOKUP(Currency,$O$3:$T$7,3)</f>
        <v>3E</v>
      </c>
      <c r="E24" s="120" t="str">
        <f>VLOOKUP(Currency,$O$3:$T$7,4)</f>
        <v>1w</v>
      </c>
      <c r="F24" s="120" t="str">
        <f>VLOOKUP(Currency,$O$3:$T$7,5)</f>
        <v>3E</v>
      </c>
      <c r="G24" s="120" t="str">
        <f>VLOOKUP(Currency,$O$3:$T$7,6)</f>
        <v>6E</v>
      </c>
      <c r="H24" s="258" t="str">
        <f>IF(F24=0,0,Currency&amp;$F24&amp;$G24&amp;$B24&amp;QuoteSuffix)</f>
        <v>EUR3E6E22Y_Quote</v>
      </c>
      <c r="I24" s="257"/>
      <c r="J24" s="256" t="str">
        <f>Currency&amp;$C24&amp;$D24&amp;$B24&amp;"_"&amp;"Fwd"&amp;E24&amp;IF(H24=0,,"_S"&amp;$F24&amp;$G24)&amp;QuoteSuffix</f>
        <v>EURAB3E22Y_Fwd1w_S3E6E_Quote</v>
      </c>
      <c r="K24" s="256"/>
      <c r="L24" s="265" t="str">
        <f>_xll.ohRangeRetrieveError(K24)</f>
        <v/>
      </c>
      <c r="M24" s="57"/>
    </row>
    <row r="25" spans="1:13" x14ac:dyDescent="0.2">
      <c r="A25" s="136"/>
      <c r="B25" s="88" t="s">
        <v>94</v>
      </c>
      <c r="C25" s="120" t="str">
        <f>VLOOKUP(Currency,$O$3:$T$7,2)</f>
        <v>AB</v>
      </c>
      <c r="D25" s="120" t="str">
        <f>VLOOKUP(Currency,$O$3:$T$7,3)</f>
        <v>3E</v>
      </c>
      <c r="E25" s="120" t="str">
        <f>VLOOKUP(Currency,$O$3:$T$7,4)</f>
        <v>1w</v>
      </c>
      <c r="F25" s="120" t="str">
        <f>VLOOKUP(Currency,$O$3:$T$7,5)</f>
        <v>3E</v>
      </c>
      <c r="G25" s="120" t="str">
        <f>VLOOKUP(Currency,$O$3:$T$7,6)</f>
        <v>6E</v>
      </c>
      <c r="H25" s="258" t="str">
        <f>IF(F25=0,0,Currency&amp;$F25&amp;$G25&amp;$B25&amp;QuoteSuffix)</f>
        <v>EUR3E6E23Y_Quote</v>
      </c>
      <c r="I25" s="257"/>
      <c r="J25" s="256" t="str">
        <f>Currency&amp;$C25&amp;$D25&amp;$B25&amp;"_"&amp;"Fwd"&amp;E25&amp;IF(H25=0,,"_S"&amp;$F25&amp;$G25)&amp;QuoteSuffix</f>
        <v>EURAB3E23Y_Fwd1w_S3E6E_Quote</v>
      </c>
      <c r="K25" s="256"/>
      <c r="L25" s="265" t="str">
        <f>_xll.ohRangeRetrieveError(K25)</f>
        <v/>
      </c>
      <c r="M25" s="57"/>
    </row>
    <row r="26" spans="1:13" x14ac:dyDescent="0.2">
      <c r="A26" s="136"/>
      <c r="B26" s="88" t="s">
        <v>93</v>
      </c>
      <c r="C26" s="120" t="str">
        <f>VLOOKUP(Currency,$O$3:$T$7,2)</f>
        <v>AB</v>
      </c>
      <c r="D26" s="120" t="str">
        <f>VLOOKUP(Currency,$O$3:$T$7,3)</f>
        <v>3E</v>
      </c>
      <c r="E26" s="120" t="str">
        <f>VLOOKUP(Currency,$O$3:$T$7,4)</f>
        <v>1w</v>
      </c>
      <c r="F26" s="120" t="str">
        <f>VLOOKUP(Currency,$O$3:$T$7,5)</f>
        <v>3E</v>
      </c>
      <c r="G26" s="120" t="str">
        <f>VLOOKUP(Currency,$O$3:$T$7,6)</f>
        <v>6E</v>
      </c>
      <c r="H26" s="258" t="str">
        <f>IF(F26=0,0,Currency&amp;$F26&amp;$G26&amp;$B26&amp;QuoteSuffix)</f>
        <v>EUR3E6E24Y_Quote</v>
      </c>
      <c r="I26" s="257"/>
      <c r="J26" s="256" t="str">
        <f>Currency&amp;$C26&amp;$D26&amp;$B26&amp;"_"&amp;"Fwd"&amp;E26&amp;IF(H26=0,,"_S"&amp;$F26&amp;$G26)&amp;QuoteSuffix</f>
        <v>EURAB3E24Y_Fwd1w_S3E6E_Quote</v>
      </c>
      <c r="K26" s="256"/>
      <c r="L26" s="265" t="str">
        <f>_xll.ohRangeRetrieveError(K26)</f>
        <v/>
      </c>
      <c r="M26" s="57"/>
    </row>
    <row r="27" spans="1:13" x14ac:dyDescent="0.2">
      <c r="A27" s="136"/>
      <c r="B27" s="88" t="s">
        <v>92</v>
      </c>
      <c r="C27" s="120" t="str">
        <f>VLOOKUP(Currency,$O$3:$T$7,2)</f>
        <v>AB</v>
      </c>
      <c r="D27" s="120" t="str">
        <f>VLOOKUP(Currency,$O$3:$T$7,3)</f>
        <v>3E</v>
      </c>
      <c r="E27" s="120" t="str">
        <f>VLOOKUP(Currency,$O$3:$T$7,4)</f>
        <v>1w</v>
      </c>
      <c r="F27" s="120" t="str">
        <f>VLOOKUP(Currency,$O$3:$T$7,5)</f>
        <v>3E</v>
      </c>
      <c r="G27" s="120" t="str">
        <f>VLOOKUP(Currency,$O$3:$T$7,6)</f>
        <v>6E</v>
      </c>
      <c r="H27" s="258" t="str">
        <f>IF(F27=0,0,Currency&amp;$F27&amp;$G27&amp;$B27&amp;QuoteSuffix)</f>
        <v>EUR3E6E25Y_Quote</v>
      </c>
      <c r="I27" s="257"/>
      <c r="J27" s="256" t="str">
        <f>Currency&amp;$C27&amp;$D27&amp;$B27&amp;"_"&amp;"Fwd"&amp;E27&amp;IF(H27=0,,"_S"&amp;$F27&amp;$G27)&amp;QuoteSuffix</f>
        <v>EURAB3E25Y_Fwd1w_S3E6E_Quote</v>
      </c>
      <c r="K27" s="256"/>
      <c r="L27" s="265" t="str">
        <f>_xll.ohRangeRetrieveError(K27)</f>
        <v/>
      </c>
      <c r="M27" s="57"/>
    </row>
    <row r="28" spans="1:13" x14ac:dyDescent="0.2">
      <c r="A28" s="136"/>
      <c r="B28" s="88" t="s">
        <v>91</v>
      </c>
      <c r="C28" s="120" t="str">
        <f>VLOOKUP(Currency,$O$3:$T$7,2)</f>
        <v>AB</v>
      </c>
      <c r="D28" s="120" t="str">
        <f>VLOOKUP(Currency,$O$3:$T$7,3)</f>
        <v>3E</v>
      </c>
      <c r="E28" s="120" t="str">
        <f>VLOOKUP(Currency,$O$3:$T$7,4)</f>
        <v>1w</v>
      </c>
      <c r="F28" s="120" t="str">
        <f>VLOOKUP(Currency,$O$3:$T$7,5)</f>
        <v>3E</v>
      </c>
      <c r="G28" s="120" t="str">
        <f>VLOOKUP(Currency,$O$3:$T$7,6)</f>
        <v>6E</v>
      </c>
      <c r="H28" s="258" t="str">
        <f>IF(F28=0,0,Currency&amp;$F28&amp;$G28&amp;$B28&amp;QuoteSuffix)</f>
        <v>EUR3E6E26Y_Quote</v>
      </c>
      <c r="I28" s="257"/>
      <c r="J28" s="256" t="str">
        <f>Currency&amp;$C28&amp;$D28&amp;$B28&amp;"_"&amp;"Fwd"&amp;E28&amp;IF(H28=0,,"_S"&amp;$F28&amp;$G28)&amp;QuoteSuffix</f>
        <v>EURAB3E26Y_Fwd1w_S3E6E_Quote</v>
      </c>
      <c r="K28" s="256"/>
      <c r="L28" s="265" t="str">
        <f>_xll.ohRangeRetrieveError(K28)</f>
        <v/>
      </c>
      <c r="M28" s="57"/>
    </row>
    <row r="29" spans="1:13" x14ac:dyDescent="0.2">
      <c r="A29" s="136"/>
      <c r="B29" s="88" t="s">
        <v>90</v>
      </c>
      <c r="C29" s="120" t="str">
        <f>VLOOKUP(Currency,$O$3:$T$7,2)</f>
        <v>AB</v>
      </c>
      <c r="D29" s="120" t="str">
        <f>VLOOKUP(Currency,$O$3:$T$7,3)</f>
        <v>3E</v>
      </c>
      <c r="E29" s="120" t="str">
        <f>VLOOKUP(Currency,$O$3:$T$7,4)</f>
        <v>1w</v>
      </c>
      <c r="F29" s="120" t="str">
        <f>VLOOKUP(Currency,$O$3:$T$7,5)</f>
        <v>3E</v>
      </c>
      <c r="G29" s="120" t="str">
        <f>VLOOKUP(Currency,$O$3:$T$7,6)</f>
        <v>6E</v>
      </c>
      <c r="H29" s="258" t="str">
        <f>IF(F29=0,0,Currency&amp;$F29&amp;$G29&amp;$B29&amp;QuoteSuffix)</f>
        <v>EUR3E6E27Y_Quote</v>
      </c>
      <c r="I29" s="257"/>
      <c r="J29" s="256" t="str">
        <f>Currency&amp;$C29&amp;$D29&amp;$B29&amp;"_"&amp;"Fwd"&amp;E29&amp;IF(H29=0,,"_S"&amp;$F29&amp;$G29)&amp;QuoteSuffix</f>
        <v>EURAB3E27Y_Fwd1w_S3E6E_Quote</v>
      </c>
      <c r="K29" s="256"/>
      <c r="L29" s="265" t="str">
        <f>_xll.ohRangeRetrieveError(K29)</f>
        <v/>
      </c>
      <c r="M29" s="57"/>
    </row>
    <row r="30" spans="1:13" x14ac:dyDescent="0.2">
      <c r="A30" s="136"/>
      <c r="B30" s="88" t="s">
        <v>89</v>
      </c>
      <c r="C30" s="120" t="str">
        <f>VLOOKUP(Currency,$O$3:$T$7,2)</f>
        <v>AB</v>
      </c>
      <c r="D30" s="120" t="str">
        <f>VLOOKUP(Currency,$O$3:$T$7,3)</f>
        <v>3E</v>
      </c>
      <c r="E30" s="120" t="str">
        <f>VLOOKUP(Currency,$O$3:$T$7,4)</f>
        <v>1w</v>
      </c>
      <c r="F30" s="120" t="str">
        <f>VLOOKUP(Currency,$O$3:$T$7,5)</f>
        <v>3E</v>
      </c>
      <c r="G30" s="120" t="str">
        <f>VLOOKUP(Currency,$O$3:$T$7,6)</f>
        <v>6E</v>
      </c>
      <c r="H30" s="258" t="str">
        <f>IF(F30=0,0,Currency&amp;$F30&amp;$G30&amp;$B30&amp;QuoteSuffix)</f>
        <v>EUR3E6E28Y_Quote</v>
      </c>
      <c r="I30" s="257"/>
      <c r="J30" s="256" t="str">
        <f>Currency&amp;$C30&amp;$D30&amp;$B30&amp;"_"&amp;"Fwd"&amp;E30&amp;IF(H30=0,,"_S"&amp;$F30&amp;$G30)&amp;QuoteSuffix</f>
        <v>EURAB3E28Y_Fwd1w_S3E6E_Quote</v>
      </c>
      <c r="K30" s="256"/>
      <c r="L30" s="265" t="str">
        <f>_xll.ohRangeRetrieveError(K30)</f>
        <v/>
      </c>
      <c r="M30" s="57"/>
    </row>
    <row r="31" spans="1:13" x14ac:dyDescent="0.2">
      <c r="A31" s="136"/>
      <c r="B31" s="88" t="s">
        <v>88</v>
      </c>
      <c r="C31" s="120" t="str">
        <f>VLOOKUP(Currency,$O$3:$T$7,2)</f>
        <v>AB</v>
      </c>
      <c r="D31" s="120" t="str">
        <f>VLOOKUP(Currency,$O$3:$T$7,3)</f>
        <v>3E</v>
      </c>
      <c r="E31" s="120" t="str">
        <f>VLOOKUP(Currency,$O$3:$T$7,4)</f>
        <v>1w</v>
      </c>
      <c r="F31" s="120" t="str">
        <f>VLOOKUP(Currency,$O$3:$T$7,5)</f>
        <v>3E</v>
      </c>
      <c r="G31" s="120" t="str">
        <f>VLOOKUP(Currency,$O$3:$T$7,6)</f>
        <v>6E</v>
      </c>
      <c r="H31" s="258" t="str">
        <f>IF(F31=0,0,Currency&amp;$F31&amp;$G31&amp;$B31&amp;QuoteSuffix)</f>
        <v>EUR3E6E29Y_Quote</v>
      </c>
      <c r="I31" s="257"/>
      <c r="J31" s="256" t="str">
        <f>Currency&amp;$C31&amp;$D31&amp;$B31&amp;"_"&amp;"Fwd"&amp;E31&amp;IF(H31=0,,"_S"&amp;$F31&amp;$G31)&amp;QuoteSuffix</f>
        <v>EURAB3E29Y_Fwd1w_S3E6E_Quote</v>
      </c>
      <c r="K31" s="256"/>
      <c r="L31" s="265" t="str">
        <f>_xll.ohRangeRetrieveError(K31)</f>
        <v/>
      </c>
      <c r="M31" s="57"/>
    </row>
    <row r="32" spans="1:13" x14ac:dyDescent="0.2">
      <c r="A32" s="136"/>
      <c r="B32" s="88" t="s">
        <v>87</v>
      </c>
      <c r="C32" s="120" t="str">
        <f>VLOOKUP(Currency,$O$3:$T$7,2)</f>
        <v>AB</v>
      </c>
      <c r="D32" s="120" t="str">
        <f>VLOOKUP(Currency,$O$3:$T$7,3)</f>
        <v>3E</v>
      </c>
      <c r="E32" s="120" t="str">
        <f>VLOOKUP(Currency,$O$3:$T$7,4)</f>
        <v>1w</v>
      </c>
      <c r="F32" s="120" t="str">
        <f>VLOOKUP(Currency,$O$3:$T$7,5)</f>
        <v>3E</v>
      </c>
      <c r="G32" s="120" t="str">
        <f>VLOOKUP(Currency,$O$3:$T$7,6)</f>
        <v>6E</v>
      </c>
      <c r="H32" s="258" t="str">
        <f>IF(F32=0,0,Currency&amp;$F32&amp;$G32&amp;$B32&amp;QuoteSuffix)</f>
        <v>EUR3E6E30Y_Quote</v>
      </c>
      <c r="I32" s="257"/>
      <c r="J32" s="256" t="str">
        <f>Currency&amp;$C32&amp;$D32&amp;$B32&amp;"_"&amp;"Fwd"&amp;E32&amp;IF(H32=0,,"_S"&amp;$F32&amp;$G32)&amp;QuoteSuffix</f>
        <v>EURAB3E30Y_Fwd1w_S3E6E_Quote</v>
      </c>
      <c r="K32" s="256"/>
      <c r="L32" s="265" t="str">
        <f>_xll.ohRangeRetrieveError(K32)</f>
        <v/>
      </c>
      <c r="M32" s="57"/>
    </row>
    <row r="33" spans="1:13" x14ac:dyDescent="0.2">
      <c r="A33" s="136"/>
      <c r="B33" s="88" t="s">
        <v>82</v>
      </c>
      <c r="C33" s="120" t="str">
        <f>VLOOKUP(Currency,$O$3:$T$7,2)</f>
        <v>AB</v>
      </c>
      <c r="D33" s="120" t="str">
        <f>VLOOKUP(Currency,$O$3:$T$7,3)</f>
        <v>3E</v>
      </c>
      <c r="E33" s="120" t="str">
        <f>VLOOKUP(Currency,$O$3:$T$7,4)</f>
        <v>1w</v>
      </c>
      <c r="F33" s="120" t="str">
        <f>VLOOKUP(Currency,$O$3:$T$7,5)</f>
        <v>3E</v>
      </c>
      <c r="G33" s="120" t="str">
        <f>VLOOKUP(Currency,$O$3:$T$7,6)</f>
        <v>6E</v>
      </c>
      <c r="H33" s="258" t="str">
        <f>IF(F33=0,0,Currency&amp;$F33&amp;$G33&amp;$B33&amp;QuoteSuffix)</f>
        <v>EUR3E6E35Y_Quote</v>
      </c>
      <c r="I33" s="257"/>
      <c r="J33" s="256" t="str">
        <f>Currency&amp;$C33&amp;$D33&amp;$B33&amp;"_"&amp;"Fwd"&amp;E33&amp;IF(H33=0,,"_S"&amp;$F33&amp;$G33)&amp;QuoteSuffix</f>
        <v>EURAB3E35Y_Fwd1w_S3E6E_Quote</v>
      </c>
      <c r="K33" s="256"/>
      <c r="L33" s="265" t="str">
        <f>_xll.ohRangeRetrieveError(K33)</f>
        <v/>
      </c>
      <c r="M33" s="57"/>
    </row>
    <row r="34" spans="1:13" x14ac:dyDescent="0.2">
      <c r="A34" s="136"/>
      <c r="B34" s="88" t="s">
        <v>77</v>
      </c>
      <c r="C34" s="120" t="str">
        <f>VLOOKUP(Currency,$O$3:$T$7,2)</f>
        <v>AB</v>
      </c>
      <c r="D34" s="120" t="str">
        <f>VLOOKUP(Currency,$O$3:$T$7,3)</f>
        <v>3E</v>
      </c>
      <c r="E34" s="120" t="str">
        <f>VLOOKUP(Currency,$O$3:$T$7,4)</f>
        <v>1w</v>
      </c>
      <c r="F34" s="120" t="str">
        <f>VLOOKUP(Currency,$O$3:$T$7,5)</f>
        <v>3E</v>
      </c>
      <c r="G34" s="120" t="str">
        <f>VLOOKUP(Currency,$O$3:$T$7,6)</f>
        <v>6E</v>
      </c>
      <c r="H34" s="258" t="str">
        <f>IF(F34=0,0,Currency&amp;$F34&amp;$G34&amp;$B34&amp;QuoteSuffix)</f>
        <v>EUR3E6E40Y_Quote</v>
      </c>
      <c r="I34" s="257"/>
      <c r="J34" s="256" t="str">
        <f>Currency&amp;$C34&amp;$D34&amp;$B34&amp;"_"&amp;"Fwd"&amp;E34&amp;IF(H34=0,,"_S"&amp;$F34&amp;$G34)&amp;QuoteSuffix</f>
        <v>EURAB3E40Y_Fwd1w_S3E6E_Quote</v>
      </c>
      <c r="K34" s="256"/>
      <c r="L34" s="265" t="str">
        <f>_xll.ohRangeRetrieveError(K34)</f>
        <v/>
      </c>
      <c r="M34" s="57"/>
    </row>
    <row r="35" spans="1:13" x14ac:dyDescent="0.2">
      <c r="A35" s="136"/>
      <c r="B35" s="88" t="s">
        <v>67</v>
      </c>
      <c r="C35" s="120" t="str">
        <f>VLOOKUP(Currency,$O$3:$T$7,2)</f>
        <v>AB</v>
      </c>
      <c r="D35" s="120" t="str">
        <f>VLOOKUP(Currency,$O$3:$T$7,3)</f>
        <v>3E</v>
      </c>
      <c r="E35" s="120" t="str">
        <f>VLOOKUP(Currency,$O$3:$T$7,4)</f>
        <v>1w</v>
      </c>
      <c r="F35" s="120" t="str">
        <f>VLOOKUP(Currency,$O$3:$T$7,5)</f>
        <v>3E</v>
      </c>
      <c r="G35" s="120" t="str">
        <f>VLOOKUP(Currency,$O$3:$T$7,6)</f>
        <v>6E</v>
      </c>
      <c r="H35" s="258" t="str">
        <f>IF(F35=0,0,Currency&amp;$F35&amp;$G35&amp;$B35&amp;QuoteSuffix)</f>
        <v>EUR3E6E50Y_Quote</v>
      </c>
      <c r="I35" s="257"/>
      <c r="J35" s="256" t="str">
        <f>Currency&amp;$C35&amp;$D35&amp;$B35&amp;"_"&amp;"Fwd"&amp;E35&amp;IF(H35=0,,"_S"&amp;$F35&amp;$G35)&amp;QuoteSuffix</f>
        <v>EURAB3E50Y_Fwd1w_S3E6E_Quote</v>
      </c>
      <c r="K35" s="256"/>
      <c r="L35" s="265" t="str">
        <f>_xll.ohRangeRetrieveError(K35)</f>
        <v/>
      </c>
      <c r="M35" s="57"/>
    </row>
    <row r="36" spans="1:13" x14ac:dyDescent="0.2">
      <c r="A36" s="136"/>
      <c r="B36" s="88" t="s">
        <v>57</v>
      </c>
      <c r="C36" s="120" t="str">
        <f>VLOOKUP(Currency,$O$3:$T$7,2)</f>
        <v>AB</v>
      </c>
      <c r="D36" s="120" t="str">
        <f>VLOOKUP(Currency,$O$3:$T$7,3)</f>
        <v>3E</v>
      </c>
      <c r="E36" s="120" t="str">
        <f>VLOOKUP(Currency,$O$3:$T$7,4)</f>
        <v>1w</v>
      </c>
      <c r="F36" s="120" t="str">
        <f>VLOOKUP(Currency,$O$3:$T$7,5)</f>
        <v>3E</v>
      </c>
      <c r="G36" s="120" t="str">
        <f>VLOOKUP(Currency,$O$3:$T$7,6)</f>
        <v>6E</v>
      </c>
      <c r="H36" s="258" t="str">
        <f>IF(F36=0,0,Currency&amp;$F36&amp;$G36&amp;$B36&amp;QuoteSuffix)</f>
        <v>EUR3E6E60Y_Quote</v>
      </c>
      <c r="I36" s="257"/>
      <c r="J36" s="256" t="str">
        <f>Currency&amp;$C36&amp;$D36&amp;$B36&amp;"_"&amp;"Fwd"&amp;E36&amp;IF(H36=0,,"_S"&amp;$F36&amp;$G36)&amp;QuoteSuffix</f>
        <v>EURAB3E60Y_Fwd1w_S3E6E_Quote</v>
      </c>
      <c r="K36" s="256"/>
      <c r="L36" s="265" t="str">
        <f>_xll.ohRangeRetrieveError(K36)</f>
        <v/>
      </c>
      <c r="M36" s="57"/>
    </row>
    <row r="37" spans="1:13" ht="12" thickBot="1" x14ac:dyDescent="0.25">
      <c r="A37" s="56"/>
      <c r="B37" s="55"/>
      <c r="C37" s="55"/>
      <c r="D37" s="55"/>
      <c r="E37" s="55"/>
      <c r="F37" s="55"/>
      <c r="G37" s="55"/>
      <c r="H37" s="55"/>
      <c r="I37" s="55"/>
      <c r="J37" s="55"/>
      <c r="K37" s="130"/>
      <c r="L37" s="130"/>
      <c r="M37" s="54"/>
    </row>
  </sheetData>
  <pageMargins left="0.75" right="0.75" top="1" bottom="1" header="0.5" footer="0.5"/>
  <pageSetup paperSize="9" orientation="portrait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37"/>
  <sheetViews>
    <sheetView workbookViewId="0"/>
  </sheetViews>
  <sheetFormatPr defaultRowHeight="11.25" x14ac:dyDescent="0.2"/>
  <cols>
    <col min="1" max="1" width="2.85546875" style="77" customWidth="1"/>
    <col min="2" max="2" width="3.85546875" style="77" bestFit="1" customWidth="1"/>
    <col min="3" max="3" width="3.140625" style="77" bestFit="1" customWidth="1"/>
    <col min="4" max="4" width="2.7109375" style="77" bestFit="1" customWidth="1"/>
    <col min="5" max="5" width="4.7109375" style="77" bestFit="1" customWidth="1"/>
    <col min="6" max="6" width="2.7109375" style="77" bestFit="1" customWidth="1"/>
    <col min="7" max="7" width="3.5703125" style="77" bestFit="1" customWidth="1"/>
    <col min="8" max="8" width="16.140625" style="77" bestFit="1" customWidth="1"/>
    <col min="9" max="9" width="19.140625" style="77" bestFit="1" customWidth="1"/>
    <col min="10" max="10" width="31.85546875" style="77" bestFit="1" customWidth="1"/>
    <col min="11" max="11" width="33" style="77" bestFit="1" customWidth="1"/>
    <col min="12" max="12" width="21.140625" style="77" customWidth="1"/>
    <col min="13" max="14" width="2.85546875" style="77" customWidth="1"/>
    <col min="15" max="15" width="4" style="77" bestFit="1" customWidth="1"/>
    <col min="16" max="16" width="3.140625" style="77" bestFit="1" customWidth="1"/>
    <col min="17" max="17" width="2.7109375" style="77" bestFit="1" customWidth="1"/>
    <col min="18" max="18" width="3.28515625" style="77" bestFit="1" customWidth="1"/>
    <col min="19" max="20" width="3.5703125" style="77" bestFit="1" customWidth="1"/>
    <col min="21" max="16384" width="9.140625" style="77"/>
  </cols>
  <sheetData>
    <row r="1" spans="1:20" ht="12" thickBot="1" x14ac:dyDescent="0.25">
      <c r="A1" s="230" t="s">
        <v>216</v>
      </c>
      <c r="B1" s="213"/>
      <c r="C1" s="213"/>
      <c r="D1" s="213"/>
      <c r="E1" s="213"/>
      <c r="F1" s="213"/>
      <c r="G1" s="213"/>
      <c r="H1" s="213"/>
      <c r="I1" s="213"/>
      <c r="J1" s="213"/>
      <c r="K1" s="213"/>
      <c r="L1" s="168"/>
      <c r="M1" s="210"/>
    </row>
    <row r="2" spans="1:20" ht="22.5" x14ac:dyDescent="0.2">
      <c r="A2" s="136"/>
      <c r="B2" s="102"/>
      <c r="C2" s="102"/>
      <c r="D2" s="102"/>
      <c r="E2" s="102" t="s">
        <v>215</v>
      </c>
      <c r="F2" s="102"/>
      <c r="G2" s="102"/>
      <c r="H2" s="102" t="s">
        <v>214</v>
      </c>
      <c r="I2" s="102" t="s">
        <v>213</v>
      </c>
      <c r="J2" s="262" t="str">
        <f>Currency&amp;"_020_Sw"&amp;$C$3&amp;$D$3&amp;"_"&amp;"Fwd"&amp;$E$3&amp;IF(H3=0,,"_Spr"&amp;$F3&amp;$G3)&amp;".xml"</f>
        <v>EUR_020_SwAB6E_Fwd1w_Spr6E12E.xml</v>
      </c>
      <c r="K2" s="123">
        <f ca="1">IF(Serialize,_xll.ohObjectSave(K3:K36,SerializationPath&amp;J2,FileOverwrite,Serialize),"---")</f>
        <v>33</v>
      </c>
      <c r="L2" s="84" t="str">
        <f ca="1">_xll.ohRangeRetrieveError(K2)</f>
        <v/>
      </c>
      <c r="M2" s="57"/>
      <c r="O2" s="222"/>
      <c r="P2" s="221"/>
      <c r="Q2" s="221"/>
      <c r="R2" s="221"/>
      <c r="S2" s="221"/>
      <c r="T2" s="220"/>
    </row>
    <row r="3" spans="1:20" x14ac:dyDescent="0.2">
      <c r="A3" s="136"/>
      <c r="B3" s="88" t="s">
        <v>34</v>
      </c>
      <c r="C3" s="120" t="str">
        <f>VLOOKUP(Currency,$O$3:$T$7,2)</f>
        <v>AB</v>
      </c>
      <c r="D3" s="120" t="str">
        <f>VLOOKUP(Currency,$O$3:$T$7,3)</f>
        <v>6E</v>
      </c>
      <c r="E3" s="120" t="str">
        <f>VLOOKUP(Currency,$O$3:$T$7,4)</f>
        <v>1w</v>
      </c>
      <c r="F3" s="120" t="str">
        <f>VLOOKUP(Currency,$O$3:$T$7,5)</f>
        <v>6E</v>
      </c>
      <c r="G3" s="120" t="str">
        <f>VLOOKUP(Currency,$O$3:$T$7,6)</f>
        <v>12E</v>
      </c>
      <c r="H3" s="258" t="str">
        <f>IF(F3=0,0,Currency&amp;$F3&amp;$G3&amp;$B3&amp;QuoteSuffix)</f>
        <v>EUR6E12E1Y_Quote</v>
      </c>
      <c r="I3" s="260" t="str">
        <f>PROPER(Currency)&amp;FamilyName&amp;"Swap"&amp;FixingType&amp;$B3</f>
        <v>EuriborSwapIsdaFixA1Y</v>
      </c>
      <c r="J3" s="256" t="str">
        <f>Currency&amp;$C3&amp;$D3&amp;$B3&amp;"_"&amp;"Fwd"&amp;E3&amp;IF(H3=0,,"_S"&amp;$F3&amp;$G3)&amp;QuoteSuffix</f>
        <v>EURAB6E1Y_Fwd1w_S6E12E_Quote</v>
      </c>
      <c r="K3" s="256"/>
      <c r="L3" s="265" t="str">
        <f>_xll.ohRangeRetrieveError(K3)</f>
        <v/>
      </c>
      <c r="M3" s="57"/>
      <c r="O3" s="95" t="s">
        <v>137</v>
      </c>
      <c r="P3" s="94" t="s">
        <v>202</v>
      </c>
      <c r="Q3" s="94" t="s">
        <v>132</v>
      </c>
      <c r="R3" s="94" t="s">
        <v>212</v>
      </c>
      <c r="S3" s="94" t="s">
        <v>132</v>
      </c>
      <c r="T3" s="93" t="s">
        <v>143</v>
      </c>
    </row>
    <row r="4" spans="1:20" x14ac:dyDescent="0.2">
      <c r="A4" s="136"/>
      <c r="B4" s="88" t="s">
        <v>115</v>
      </c>
      <c r="C4" s="120" t="str">
        <f>VLOOKUP(Currency,$O$3:$T$7,2)</f>
        <v>AB</v>
      </c>
      <c r="D4" s="120" t="str">
        <f>VLOOKUP(Currency,$O$3:$T$7,3)</f>
        <v>6E</v>
      </c>
      <c r="E4" s="120" t="str">
        <f>VLOOKUP(Currency,$O$3:$T$7,4)</f>
        <v>1w</v>
      </c>
      <c r="F4" s="120" t="str">
        <f>VLOOKUP(Currency,$O$3:$T$7,5)</f>
        <v>6E</v>
      </c>
      <c r="G4" s="120" t="str">
        <f>VLOOKUP(Currency,$O$3:$T$7,6)</f>
        <v>12E</v>
      </c>
      <c r="H4" s="258" t="str">
        <f>IF(F4=0,0,Currency&amp;$F4&amp;$G4&amp;$B4&amp;QuoteSuffix)</f>
        <v>EUR6E12E2Y_Quote</v>
      </c>
      <c r="I4" s="257" t="str">
        <f>PROPER(Currency)&amp;FamilyName&amp;"Swap"&amp;FixingType&amp;$B4</f>
        <v>EuriborSwapIsdaFixA2Y</v>
      </c>
      <c r="J4" s="256" t="str">
        <f>Currency&amp;$C4&amp;$D4&amp;$B4&amp;"_"&amp;"Fwd"&amp;E4&amp;IF(H4=0,,"_S"&amp;$F4&amp;$G4)&amp;QuoteSuffix</f>
        <v>EURAB6E2Y_Fwd1w_S6E12E_Quote</v>
      </c>
      <c r="K4" s="256" t="str">
        <f>_xll.qlForwardSwapQuote(J4,I4,H4,E4,Permanent,Trigger,ObjectOverwrite)</f>
        <v>EURAB6E2Y_Fwd1w_S6E12E_Quote#0010</v>
      </c>
      <c r="L4" s="265" t="str">
        <f>_xll.ohRangeRetrieveError(K4)</f>
        <v/>
      </c>
      <c r="M4" s="57"/>
      <c r="O4" s="95" t="s">
        <v>123</v>
      </c>
      <c r="P4" s="94" t="s">
        <v>202</v>
      </c>
      <c r="Q4" s="94" t="s">
        <v>135</v>
      </c>
      <c r="R4" s="94" t="s">
        <v>212</v>
      </c>
      <c r="S4" s="94" t="s">
        <v>135</v>
      </c>
      <c r="T4" s="93" t="s">
        <v>144</v>
      </c>
    </row>
    <row r="5" spans="1:20" x14ac:dyDescent="0.2">
      <c r="A5" s="136"/>
      <c r="B5" s="88" t="s">
        <v>114</v>
      </c>
      <c r="C5" s="120" t="str">
        <f>VLOOKUP(Currency,$O$3:$T$7,2)</f>
        <v>AB</v>
      </c>
      <c r="D5" s="120" t="str">
        <f>VLOOKUP(Currency,$O$3:$T$7,3)</f>
        <v>6E</v>
      </c>
      <c r="E5" s="120" t="str">
        <f>VLOOKUP(Currency,$O$3:$T$7,4)</f>
        <v>1w</v>
      </c>
      <c r="F5" s="120" t="str">
        <f>VLOOKUP(Currency,$O$3:$T$7,5)</f>
        <v>6E</v>
      </c>
      <c r="G5" s="120" t="str">
        <f>VLOOKUP(Currency,$O$3:$T$7,6)</f>
        <v>12E</v>
      </c>
      <c r="H5" s="258" t="str">
        <f>IF(F5=0,0,Currency&amp;$F5&amp;$G5&amp;$B5&amp;QuoteSuffix)</f>
        <v>EUR6E12E3Y_Quote</v>
      </c>
      <c r="I5" s="257" t="str">
        <f>PROPER(Currency)&amp;FamilyName&amp;"Swap"&amp;FixingType&amp;$B5</f>
        <v>EuriborSwapIsdaFixA3Y</v>
      </c>
      <c r="J5" s="256" t="str">
        <f>Currency&amp;$C5&amp;$D5&amp;$B5&amp;"_"&amp;"Fwd"&amp;E5&amp;IF(H5=0,,"_S"&amp;$F5&amp;$G5)&amp;QuoteSuffix</f>
        <v>EURAB6E3Y_Fwd1w_S6E12E_Quote</v>
      </c>
      <c r="K5" s="256" t="str">
        <f>_xll.qlForwardSwapQuote(J5,I5,H5,E5,Permanent,Trigger,ObjectOverwrite)</f>
        <v>EURAB6E3Y_Fwd1w_S6E12E_Quote#0010</v>
      </c>
      <c r="L5" s="265" t="str">
        <f>_xll.ohRangeRetrieveError(K5)</f>
        <v/>
      </c>
      <c r="M5" s="57"/>
      <c r="O5" s="95" t="s">
        <v>134</v>
      </c>
      <c r="P5" s="94" t="s">
        <v>201</v>
      </c>
      <c r="Q5" s="94" t="s">
        <v>132</v>
      </c>
      <c r="R5" s="94" t="s">
        <v>212</v>
      </c>
      <c r="S5" s="94" t="s">
        <v>132</v>
      </c>
      <c r="T5" s="93" t="s">
        <v>143</v>
      </c>
    </row>
    <row r="6" spans="1:20" x14ac:dyDescent="0.2">
      <c r="A6" s="136"/>
      <c r="B6" s="88" t="s">
        <v>113</v>
      </c>
      <c r="C6" s="120" t="str">
        <f>VLOOKUP(Currency,$O$3:$T$7,2)</f>
        <v>AB</v>
      </c>
      <c r="D6" s="120" t="str">
        <f>VLOOKUP(Currency,$O$3:$T$7,3)</f>
        <v>6E</v>
      </c>
      <c r="E6" s="120" t="str">
        <f>VLOOKUP(Currency,$O$3:$T$7,4)</f>
        <v>1w</v>
      </c>
      <c r="F6" s="120" t="str">
        <f>VLOOKUP(Currency,$O$3:$T$7,5)</f>
        <v>6E</v>
      </c>
      <c r="G6" s="120" t="str">
        <f>VLOOKUP(Currency,$O$3:$T$7,6)</f>
        <v>12E</v>
      </c>
      <c r="H6" s="258" t="str">
        <f>IF(F6=0,0,Currency&amp;$F6&amp;$G6&amp;$B6&amp;QuoteSuffix)</f>
        <v>EUR6E12E4Y_Quote</v>
      </c>
      <c r="I6" s="257" t="str">
        <f>PROPER(Currency)&amp;FamilyName&amp;"Swap"&amp;FixingType&amp;$B6</f>
        <v>EuriborSwapIsdaFixA4Y</v>
      </c>
      <c r="J6" s="256" t="str">
        <f>Currency&amp;$C6&amp;$D6&amp;$B6&amp;"_"&amp;"Fwd"&amp;E6&amp;IF(H6=0,,"_S"&amp;$F6&amp;$G6)&amp;QuoteSuffix</f>
        <v>EURAB6E4Y_Fwd1w_S6E12E_Quote</v>
      </c>
      <c r="K6" s="256" t="str">
        <f>_xll.qlForwardSwapQuote(J6,I6,H6,E6,Permanent,Trigger,ObjectOverwrite)</f>
        <v>EURAB6E4Y_Fwd1w_S6E12E_Quote#0010</v>
      </c>
      <c r="L6" s="265" t="str">
        <f>_xll.ohRangeRetrieveError(K6)</f>
        <v/>
      </c>
      <c r="M6" s="57"/>
      <c r="O6" s="95" t="s">
        <v>133</v>
      </c>
      <c r="P6" s="94" t="s">
        <v>201</v>
      </c>
      <c r="Q6" s="94" t="s">
        <v>132</v>
      </c>
      <c r="R6" s="94" t="s">
        <v>212</v>
      </c>
      <c r="S6" s="94" t="s">
        <v>132</v>
      </c>
      <c r="T6" s="93" t="s">
        <v>143</v>
      </c>
    </row>
    <row r="7" spans="1:20" ht="12" thickBot="1" x14ac:dyDescent="0.25">
      <c r="A7" s="136"/>
      <c r="B7" s="88" t="s">
        <v>112</v>
      </c>
      <c r="C7" s="120" t="str">
        <f>VLOOKUP(Currency,$O$3:$T$7,2)</f>
        <v>AB</v>
      </c>
      <c r="D7" s="120" t="str">
        <f>VLOOKUP(Currency,$O$3:$T$7,3)</f>
        <v>6E</v>
      </c>
      <c r="E7" s="120" t="str">
        <f>VLOOKUP(Currency,$O$3:$T$7,4)</f>
        <v>1w</v>
      </c>
      <c r="F7" s="120" t="str">
        <f>VLOOKUP(Currency,$O$3:$T$7,5)</f>
        <v>6E</v>
      </c>
      <c r="G7" s="120" t="str">
        <f>VLOOKUP(Currency,$O$3:$T$7,6)</f>
        <v>12E</v>
      </c>
      <c r="H7" s="258" t="str">
        <f>IF(F7=0,0,Currency&amp;$F7&amp;$G7&amp;$B7&amp;QuoteSuffix)</f>
        <v>EUR6E12E5Y_Quote</v>
      </c>
      <c r="I7" s="257" t="str">
        <f>PROPER(Currency)&amp;FamilyName&amp;"Swap"&amp;FixingType&amp;$B7</f>
        <v>EuriborSwapIsdaFixA5Y</v>
      </c>
      <c r="J7" s="256" t="str">
        <f>Currency&amp;$C7&amp;$D7&amp;$B7&amp;"_"&amp;"Fwd"&amp;E7&amp;IF(H7=0,,"_S"&amp;$F7&amp;$G7)&amp;QuoteSuffix</f>
        <v>EURAB6E5Y_Fwd1w_S6E12E_Quote</v>
      </c>
      <c r="K7" s="256" t="str">
        <f>_xll.qlForwardSwapQuote(J7,I7,H7,E7,Permanent,Trigger,ObjectOverwrite)</f>
        <v>EURAB6E5Y_Fwd1w_S6E12E_Quote#0010</v>
      </c>
      <c r="L7" s="265" t="str">
        <f>_xll.ohRangeRetrieveError(K7)</f>
        <v/>
      </c>
      <c r="M7" s="57"/>
      <c r="O7" s="92" t="s">
        <v>131</v>
      </c>
      <c r="P7" s="91" t="s">
        <v>200</v>
      </c>
      <c r="Q7" s="91" t="s">
        <v>130</v>
      </c>
      <c r="R7" s="91" t="s">
        <v>212</v>
      </c>
      <c r="S7" s="91" t="s">
        <v>143</v>
      </c>
      <c r="T7" s="90" t="s">
        <v>130</v>
      </c>
    </row>
    <row r="8" spans="1:20" x14ac:dyDescent="0.2">
      <c r="A8" s="136"/>
      <c r="B8" s="88" t="s">
        <v>111</v>
      </c>
      <c r="C8" s="120" t="str">
        <f>VLOOKUP(Currency,$O$3:$T$7,2)</f>
        <v>AB</v>
      </c>
      <c r="D8" s="120" t="str">
        <f>VLOOKUP(Currency,$O$3:$T$7,3)</f>
        <v>6E</v>
      </c>
      <c r="E8" s="120" t="str">
        <f>VLOOKUP(Currency,$O$3:$T$7,4)</f>
        <v>1w</v>
      </c>
      <c r="F8" s="120" t="str">
        <f>VLOOKUP(Currency,$O$3:$T$7,5)</f>
        <v>6E</v>
      </c>
      <c r="G8" s="120" t="str">
        <f>VLOOKUP(Currency,$O$3:$T$7,6)</f>
        <v>12E</v>
      </c>
      <c r="H8" s="258" t="str">
        <f>IF(F8=0,0,Currency&amp;$F8&amp;$G8&amp;$B8&amp;QuoteSuffix)</f>
        <v>EUR6E12E6Y_Quote</v>
      </c>
      <c r="I8" s="257" t="str">
        <f>PROPER(Currency)&amp;FamilyName&amp;"Swap"&amp;FixingType&amp;$B8</f>
        <v>EuriborSwapIsdaFixA6Y</v>
      </c>
      <c r="J8" s="256" t="str">
        <f>Currency&amp;$C8&amp;$D8&amp;$B8&amp;"_"&amp;"Fwd"&amp;E8&amp;IF(H8=0,,"_S"&amp;$F8&amp;$G8)&amp;QuoteSuffix</f>
        <v>EURAB6E6Y_Fwd1w_S6E12E_Quote</v>
      </c>
      <c r="K8" s="256" t="str">
        <f>_xll.qlForwardSwapQuote(J8,I8,H8,E8,Permanent,Trigger,ObjectOverwrite)</f>
        <v>EURAB6E6Y_Fwd1w_S6E12E_Quote#0010</v>
      </c>
      <c r="L8" s="265" t="str">
        <f>_xll.ohRangeRetrieveError(K8)</f>
        <v/>
      </c>
      <c r="M8" s="57"/>
    </row>
    <row r="9" spans="1:20" x14ac:dyDescent="0.2">
      <c r="A9" s="136"/>
      <c r="B9" s="88" t="s">
        <v>110</v>
      </c>
      <c r="C9" s="120" t="str">
        <f>VLOOKUP(Currency,$O$3:$T$7,2)</f>
        <v>AB</v>
      </c>
      <c r="D9" s="120" t="str">
        <f>VLOOKUP(Currency,$O$3:$T$7,3)</f>
        <v>6E</v>
      </c>
      <c r="E9" s="120" t="str">
        <f>VLOOKUP(Currency,$O$3:$T$7,4)</f>
        <v>1w</v>
      </c>
      <c r="F9" s="120" t="str">
        <f>VLOOKUP(Currency,$O$3:$T$7,5)</f>
        <v>6E</v>
      </c>
      <c r="G9" s="120" t="str">
        <f>VLOOKUP(Currency,$O$3:$T$7,6)</f>
        <v>12E</v>
      </c>
      <c r="H9" s="258" t="str">
        <f>IF(F9=0,0,Currency&amp;$F9&amp;$G9&amp;$B9&amp;QuoteSuffix)</f>
        <v>EUR6E12E7Y_Quote</v>
      </c>
      <c r="I9" s="257" t="str">
        <f>PROPER(Currency)&amp;FamilyName&amp;"Swap"&amp;FixingType&amp;$B9</f>
        <v>EuriborSwapIsdaFixA7Y</v>
      </c>
      <c r="J9" s="256" t="str">
        <f>Currency&amp;$C9&amp;$D9&amp;$B9&amp;"_"&amp;"Fwd"&amp;E9&amp;IF(H9=0,,"_S"&amp;$F9&amp;$G9)&amp;QuoteSuffix</f>
        <v>EURAB6E7Y_Fwd1w_S6E12E_Quote</v>
      </c>
      <c r="K9" s="256" t="str">
        <f>_xll.qlForwardSwapQuote(J9,I9,H9,E9,Permanent,Trigger,ObjectOverwrite)</f>
        <v>EURAB6E7Y_Fwd1w_S6E12E_Quote#0010</v>
      </c>
      <c r="L9" s="265" t="str">
        <f>_xll.ohRangeRetrieveError(K9)</f>
        <v/>
      </c>
      <c r="M9" s="57"/>
    </row>
    <row r="10" spans="1:20" x14ac:dyDescent="0.2">
      <c r="A10" s="136"/>
      <c r="B10" s="88" t="s">
        <v>109</v>
      </c>
      <c r="C10" s="120" t="str">
        <f>VLOOKUP(Currency,$O$3:$T$7,2)</f>
        <v>AB</v>
      </c>
      <c r="D10" s="120" t="str">
        <f>VLOOKUP(Currency,$O$3:$T$7,3)</f>
        <v>6E</v>
      </c>
      <c r="E10" s="120" t="str">
        <f>VLOOKUP(Currency,$O$3:$T$7,4)</f>
        <v>1w</v>
      </c>
      <c r="F10" s="120" t="str">
        <f>VLOOKUP(Currency,$O$3:$T$7,5)</f>
        <v>6E</v>
      </c>
      <c r="G10" s="120" t="str">
        <f>VLOOKUP(Currency,$O$3:$T$7,6)</f>
        <v>12E</v>
      </c>
      <c r="H10" s="258" t="str">
        <f>IF(F10=0,0,Currency&amp;$F10&amp;$G10&amp;$B10&amp;QuoteSuffix)</f>
        <v>EUR6E12E8Y_Quote</v>
      </c>
      <c r="I10" s="257" t="str">
        <f>PROPER(Currency)&amp;FamilyName&amp;"Swap"&amp;FixingType&amp;$B10</f>
        <v>EuriborSwapIsdaFixA8Y</v>
      </c>
      <c r="J10" s="256" t="str">
        <f>Currency&amp;$C10&amp;$D10&amp;$B10&amp;"_"&amp;"Fwd"&amp;E10&amp;IF(H10=0,,"_S"&amp;$F10&amp;$G10)&amp;QuoteSuffix</f>
        <v>EURAB6E8Y_Fwd1w_S6E12E_Quote</v>
      </c>
      <c r="K10" s="256" t="str">
        <f>_xll.qlForwardSwapQuote(J10,I10,H10,E10,Permanent,Trigger,ObjectOverwrite)</f>
        <v>EURAB6E8Y_Fwd1w_S6E12E_Quote#0010</v>
      </c>
      <c r="L10" s="265" t="str">
        <f>_xll.ohRangeRetrieveError(K10)</f>
        <v/>
      </c>
      <c r="M10" s="57"/>
    </row>
    <row r="11" spans="1:20" x14ac:dyDescent="0.2">
      <c r="A11" s="136"/>
      <c r="B11" s="88" t="s">
        <v>108</v>
      </c>
      <c r="C11" s="120" t="str">
        <f>VLOOKUP(Currency,$O$3:$T$7,2)</f>
        <v>AB</v>
      </c>
      <c r="D11" s="120" t="str">
        <f>VLOOKUP(Currency,$O$3:$T$7,3)</f>
        <v>6E</v>
      </c>
      <c r="E11" s="120" t="str">
        <f>VLOOKUP(Currency,$O$3:$T$7,4)</f>
        <v>1w</v>
      </c>
      <c r="F11" s="120" t="str">
        <f>VLOOKUP(Currency,$O$3:$T$7,5)</f>
        <v>6E</v>
      </c>
      <c r="G11" s="120" t="str">
        <f>VLOOKUP(Currency,$O$3:$T$7,6)</f>
        <v>12E</v>
      </c>
      <c r="H11" s="258" t="str">
        <f>IF(F11=0,0,Currency&amp;$F11&amp;$G11&amp;$B11&amp;QuoteSuffix)</f>
        <v>EUR6E12E9Y_Quote</v>
      </c>
      <c r="I11" s="257" t="str">
        <f>PROPER(Currency)&amp;FamilyName&amp;"Swap"&amp;FixingType&amp;$B11</f>
        <v>EuriborSwapIsdaFixA9Y</v>
      </c>
      <c r="J11" s="256" t="str">
        <f>Currency&amp;$C11&amp;$D11&amp;$B11&amp;"_"&amp;"Fwd"&amp;E11&amp;IF(H11=0,,"_S"&amp;$F11&amp;$G11)&amp;QuoteSuffix</f>
        <v>EURAB6E9Y_Fwd1w_S6E12E_Quote</v>
      </c>
      <c r="K11" s="256" t="str">
        <f>_xll.qlForwardSwapQuote(J11,I11,H11,E11,Permanent,Trigger,ObjectOverwrite)</f>
        <v>EURAB6E9Y_Fwd1w_S6E12E_Quote#0010</v>
      </c>
      <c r="L11" s="265" t="str">
        <f>_xll.ohRangeRetrieveError(K11)</f>
        <v/>
      </c>
      <c r="M11" s="57"/>
    </row>
    <row r="12" spans="1:20" x14ac:dyDescent="0.2">
      <c r="A12" s="136"/>
      <c r="B12" s="88" t="s">
        <v>107</v>
      </c>
      <c r="C12" s="120" t="str">
        <f>VLOOKUP(Currency,$O$3:$T$7,2)</f>
        <v>AB</v>
      </c>
      <c r="D12" s="120" t="str">
        <f>VLOOKUP(Currency,$O$3:$T$7,3)</f>
        <v>6E</v>
      </c>
      <c r="E12" s="120" t="str">
        <f>VLOOKUP(Currency,$O$3:$T$7,4)</f>
        <v>1w</v>
      </c>
      <c r="F12" s="120" t="str">
        <f>VLOOKUP(Currency,$O$3:$T$7,5)</f>
        <v>6E</v>
      </c>
      <c r="G12" s="120" t="str">
        <f>VLOOKUP(Currency,$O$3:$T$7,6)</f>
        <v>12E</v>
      </c>
      <c r="H12" s="258" t="str">
        <f>IF(F12=0,0,Currency&amp;$F12&amp;$G12&amp;$B12&amp;QuoteSuffix)</f>
        <v>EUR6E12E10Y_Quote</v>
      </c>
      <c r="I12" s="257" t="str">
        <f>PROPER(Currency)&amp;FamilyName&amp;"Swap"&amp;FixingType&amp;$B12</f>
        <v>EuriborSwapIsdaFixA10Y</v>
      </c>
      <c r="J12" s="256" t="str">
        <f>Currency&amp;$C12&amp;$D12&amp;$B12&amp;"_"&amp;"Fwd"&amp;E12&amp;IF(H12=0,,"_S"&amp;$F12&amp;$G12)&amp;QuoteSuffix</f>
        <v>EURAB6E10Y_Fwd1w_S6E12E_Quote</v>
      </c>
      <c r="K12" s="256" t="str">
        <f>_xll.qlForwardSwapQuote(J12,I12,H12,E12,Permanent,Trigger,ObjectOverwrite)</f>
        <v>EURAB6E10Y_Fwd1w_S6E12E_Quote#0010</v>
      </c>
      <c r="L12" s="265" t="str">
        <f>_xll.ohRangeRetrieveError(K12)</f>
        <v/>
      </c>
      <c r="M12" s="57"/>
    </row>
    <row r="13" spans="1:20" x14ac:dyDescent="0.2">
      <c r="A13" s="136"/>
      <c r="B13" s="88" t="s">
        <v>106</v>
      </c>
      <c r="C13" s="120" t="str">
        <f>VLOOKUP(Currency,$O$3:$T$7,2)</f>
        <v>AB</v>
      </c>
      <c r="D13" s="120" t="str">
        <f>VLOOKUP(Currency,$O$3:$T$7,3)</f>
        <v>6E</v>
      </c>
      <c r="E13" s="120" t="str">
        <f>VLOOKUP(Currency,$O$3:$T$7,4)</f>
        <v>1w</v>
      </c>
      <c r="F13" s="120" t="str">
        <f>VLOOKUP(Currency,$O$3:$T$7,5)</f>
        <v>6E</v>
      </c>
      <c r="G13" s="120" t="str">
        <f>VLOOKUP(Currency,$O$3:$T$7,6)</f>
        <v>12E</v>
      </c>
      <c r="H13" s="258" t="str">
        <f>IF(F13=0,0,Currency&amp;$F13&amp;$G13&amp;$B13&amp;QuoteSuffix)</f>
        <v>EUR6E12E11Y_Quote</v>
      </c>
      <c r="I13" s="257" t="str">
        <f>PROPER(Currency)&amp;FamilyName&amp;"Swap"&amp;FixingType&amp;$B13</f>
        <v>EuriborSwapIsdaFixA11Y</v>
      </c>
      <c r="J13" s="256" t="str">
        <f>Currency&amp;$C13&amp;$D13&amp;$B13&amp;"_"&amp;"Fwd"&amp;E13&amp;IF(H13=0,,"_S"&amp;$F13&amp;$G13)&amp;QuoteSuffix</f>
        <v>EURAB6E11Y_Fwd1w_S6E12E_Quote</v>
      </c>
      <c r="K13" s="256" t="str">
        <f>_xll.qlForwardSwapQuote(J13,I13,H13,E13,Permanent,Trigger,ObjectOverwrite)</f>
        <v>EURAB6E11Y_Fwd1w_S6E12E_Quote#0010</v>
      </c>
      <c r="L13" s="265" t="str">
        <f>_xll.ohRangeRetrieveError(K13)</f>
        <v/>
      </c>
      <c r="M13" s="57"/>
    </row>
    <row r="14" spans="1:20" x14ac:dyDescent="0.2">
      <c r="A14" s="136"/>
      <c r="B14" s="88" t="s">
        <v>105</v>
      </c>
      <c r="C14" s="120" t="str">
        <f>VLOOKUP(Currency,$O$3:$T$7,2)</f>
        <v>AB</v>
      </c>
      <c r="D14" s="120" t="str">
        <f>VLOOKUP(Currency,$O$3:$T$7,3)</f>
        <v>6E</v>
      </c>
      <c r="E14" s="120" t="str">
        <f>VLOOKUP(Currency,$O$3:$T$7,4)</f>
        <v>1w</v>
      </c>
      <c r="F14" s="120" t="str">
        <f>VLOOKUP(Currency,$O$3:$T$7,5)</f>
        <v>6E</v>
      </c>
      <c r="G14" s="120" t="str">
        <f>VLOOKUP(Currency,$O$3:$T$7,6)</f>
        <v>12E</v>
      </c>
      <c r="H14" s="258" t="str">
        <f>IF(F14=0,0,Currency&amp;$F14&amp;$G14&amp;$B14&amp;QuoteSuffix)</f>
        <v>EUR6E12E12Y_Quote</v>
      </c>
      <c r="I14" s="257" t="str">
        <f>PROPER(Currency)&amp;FamilyName&amp;"Swap"&amp;FixingType&amp;$B14</f>
        <v>EuriborSwapIsdaFixA12Y</v>
      </c>
      <c r="J14" s="256" t="str">
        <f>Currency&amp;$C14&amp;$D14&amp;$B14&amp;"_"&amp;"Fwd"&amp;E14&amp;IF(H14=0,,"_S"&amp;$F14&amp;$G14)&amp;QuoteSuffix</f>
        <v>EURAB6E12Y_Fwd1w_S6E12E_Quote</v>
      </c>
      <c r="K14" s="256" t="str">
        <f>_xll.qlForwardSwapQuote(J14,I14,H14,E14,Permanent,Trigger,ObjectOverwrite)</f>
        <v>EURAB6E12Y_Fwd1w_S6E12E_Quote#0010</v>
      </c>
      <c r="L14" s="265" t="str">
        <f>_xll.ohRangeRetrieveError(K14)</f>
        <v/>
      </c>
      <c r="M14" s="57"/>
    </row>
    <row r="15" spans="1:20" x14ac:dyDescent="0.2">
      <c r="A15" s="136"/>
      <c r="B15" s="88" t="s">
        <v>104</v>
      </c>
      <c r="C15" s="120" t="str">
        <f>VLOOKUP(Currency,$O$3:$T$7,2)</f>
        <v>AB</v>
      </c>
      <c r="D15" s="120" t="str">
        <f>VLOOKUP(Currency,$O$3:$T$7,3)</f>
        <v>6E</v>
      </c>
      <c r="E15" s="120" t="str">
        <f>VLOOKUP(Currency,$O$3:$T$7,4)</f>
        <v>1w</v>
      </c>
      <c r="F15" s="120" t="str">
        <f>VLOOKUP(Currency,$O$3:$T$7,5)</f>
        <v>6E</v>
      </c>
      <c r="G15" s="120" t="str">
        <f>VLOOKUP(Currency,$O$3:$T$7,6)</f>
        <v>12E</v>
      </c>
      <c r="H15" s="258" t="str">
        <f>IF(F15=0,0,Currency&amp;$F15&amp;$G15&amp;$B15&amp;QuoteSuffix)</f>
        <v>EUR6E12E13Y_Quote</v>
      </c>
      <c r="I15" s="257" t="str">
        <f>PROPER(Currency)&amp;FamilyName&amp;"Swap"&amp;FixingType&amp;$B15</f>
        <v>EuriborSwapIsdaFixA13Y</v>
      </c>
      <c r="J15" s="256" t="str">
        <f>Currency&amp;$C15&amp;$D15&amp;$B15&amp;"_"&amp;"Fwd"&amp;E15&amp;IF(H15=0,,"_S"&amp;$F15&amp;$G15)&amp;QuoteSuffix</f>
        <v>EURAB6E13Y_Fwd1w_S6E12E_Quote</v>
      </c>
      <c r="K15" s="256" t="str">
        <f>_xll.qlForwardSwapQuote(J15,I15,H15,E15,Permanent,Trigger,ObjectOverwrite)</f>
        <v>EURAB6E13Y_Fwd1w_S6E12E_Quote#0010</v>
      </c>
      <c r="L15" s="265" t="str">
        <f>_xll.ohRangeRetrieveError(K15)</f>
        <v/>
      </c>
      <c r="M15" s="57"/>
    </row>
    <row r="16" spans="1:20" x14ac:dyDescent="0.2">
      <c r="A16" s="136"/>
      <c r="B16" s="88" t="s">
        <v>103</v>
      </c>
      <c r="C16" s="120" t="str">
        <f>VLOOKUP(Currency,$O$3:$T$7,2)</f>
        <v>AB</v>
      </c>
      <c r="D16" s="120" t="str">
        <f>VLOOKUP(Currency,$O$3:$T$7,3)</f>
        <v>6E</v>
      </c>
      <c r="E16" s="120" t="str">
        <f>VLOOKUP(Currency,$O$3:$T$7,4)</f>
        <v>1w</v>
      </c>
      <c r="F16" s="120" t="str">
        <f>VLOOKUP(Currency,$O$3:$T$7,5)</f>
        <v>6E</v>
      </c>
      <c r="G16" s="120" t="str">
        <f>VLOOKUP(Currency,$O$3:$T$7,6)</f>
        <v>12E</v>
      </c>
      <c r="H16" s="258" t="str">
        <f>IF(F16=0,0,Currency&amp;$F16&amp;$G16&amp;$B16&amp;QuoteSuffix)</f>
        <v>EUR6E12E14Y_Quote</v>
      </c>
      <c r="I16" s="257" t="str">
        <f>PROPER(Currency)&amp;FamilyName&amp;"Swap"&amp;FixingType&amp;$B16</f>
        <v>EuriborSwapIsdaFixA14Y</v>
      </c>
      <c r="J16" s="256" t="str">
        <f>Currency&amp;$C16&amp;$D16&amp;$B16&amp;"_"&amp;"Fwd"&amp;E16&amp;IF(H16=0,,"_S"&amp;$F16&amp;$G16)&amp;QuoteSuffix</f>
        <v>EURAB6E14Y_Fwd1w_S6E12E_Quote</v>
      </c>
      <c r="K16" s="256" t="str">
        <f>_xll.qlForwardSwapQuote(J16,I16,H16,E16,Permanent,Trigger,ObjectOverwrite)</f>
        <v>EURAB6E14Y_Fwd1w_S6E12E_Quote#0010</v>
      </c>
      <c r="L16" s="265" t="str">
        <f>_xll.ohRangeRetrieveError(K16)</f>
        <v/>
      </c>
      <c r="M16" s="57"/>
    </row>
    <row r="17" spans="1:13" x14ac:dyDescent="0.2">
      <c r="A17" s="136"/>
      <c r="B17" s="88" t="s">
        <v>102</v>
      </c>
      <c r="C17" s="120" t="str">
        <f>VLOOKUP(Currency,$O$3:$T$7,2)</f>
        <v>AB</v>
      </c>
      <c r="D17" s="120" t="str">
        <f>VLOOKUP(Currency,$O$3:$T$7,3)</f>
        <v>6E</v>
      </c>
      <c r="E17" s="120" t="str">
        <f>VLOOKUP(Currency,$O$3:$T$7,4)</f>
        <v>1w</v>
      </c>
      <c r="F17" s="120" t="str">
        <f>VLOOKUP(Currency,$O$3:$T$7,5)</f>
        <v>6E</v>
      </c>
      <c r="G17" s="120" t="str">
        <f>VLOOKUP(Currency,$O$3:$T$7,6)</f>
        <v>12E</v>
      </c>
      <c r="H17" s="258" t="str">
        <f>IF(F17=0,0,Currency&amp;$F17&amp;$G17&amp;$B17&amp;QuoteSuffix)</f>
        <v>EUR6E12E15Y_Quote</v>
      </c>
      <c r="I17" s="257" t="str">
        <f>PROPER(Currency)&amp;FamilyName&amp;"Swap"&amp;FixingType&amp;$B17</f>
        <v>EuriborSwapIsdaFixA15Y</v>
      </c>
      <c r="J17" s="256" t="str">
        <f>Currency&amp;$C17&amp;$D17&amp;$B17&amp;"_"&amp;"Fwd"&amp;E17&amp;IF(H17=0,,"_S"&amp;$F17&amp;$G17)&amp;QuoteSuffix</f>
        <v>EURAB6E15Y_Fwd1w_S6E12E_Quote</v>
      </c>
      <c r="K17" s="256" t="str">
        <f>_xll.qlForwardSwapQuote(J17,I17,H17,E17,Permanent,Trigger,ObjectOverwrite)</f>
        <v>EURAB6E15Y_Fwd1w_S6E12E_Quote#0010</v>
      </c>
      <c r="L17" s="265" t="str">
        <f>_xll.ohRangeRetrieveError(K17)</f>
        <v/>
      </c>
      <c r="M17" s="57"/>
    </row>
    <row r="18" spans="1:13" x14ac:dyDescent="0.2">
      <c r="A18" s="136"/>
      <c r="B18" s="88" t="s">
        <v>101</v>
      </c>
      <c r="C18" s="120" t="str">
        <f>VLOOKUP(Currency,$O$3:$T$7,2)</f>
        <v>AB</v>
      </c>
      <c r="D18" s="120" t="str">
        <f>VLOOKUP(Currency,$O$3:$T$7,3)</f>
        <v>6E</v>
      </c>
      <c r="E18" s="120" t="str">
        <f>VLOOKUP(Currency,$O$3:$T$7,4)</f>
        <v>1w</v>
      </c>
      <c r="F18" s="120" t="str">
        <f>VLOOKUP(Currency,$O$3:$T$7,5)</f>
        <v>6E</v>
      </c>
      <c r="G18" s="120" t="str">
        <f>VLOOKUP(Currency,$O$3:$T$7,6)</f>
        <v>12E</v>
      </c>
      <c r="H18" s="258" t="str">
        <f>IF(F18=0,0,Currency&amp;$F18&amp;$G18&amp;$B18&amp;QuoteSuffix)</f>
        <v>EUR6E12E16Y_Quote</v>
      </c>
      <c r="I18" s="257" t="str">
        <f>PROPER(Currency)&amp;FamilyName&amp;"Swap"&amp;FixingType&amp;$B18</f>
        <v>EuriborSwapIsdaFixA16Y</v>
      </c>
      <c r="J18" s="256" t="str">
        <f>Currency&amp;$C18&amp;$D18&amp;$B18&amp;"_"&amp;"Fwd"&amp;E18&amp;IF(H18=0,,"_S"&amp;$F18&amp;$G18)&amp;QuoteSuffix</f>
        <v>EURAB6E16Y_Fwd1w_S6E12E_Quote</v>
      </c>
      <c r="K18" s="256" t="str">
        <f>_xll.qlForwardSwapQuote(J18,I18,H18,E18,Permanent,Trigger,ObjectOverwrite)</f>
        <v>EURAB6E16Y_Fwd1w_S6E12E_Quote#0010</v>
      </c>
      <c r="L18" s="265" t="str">
        <f>_xll.ohRangeRetrieveError(K18)</f>
        <v/>
      </c>
      <c r="M18" s="57"/>
    </row>
    <row r="19" spans="1:13" x14ac:dyDescent="0.2">
      <c r="A19" s="136"/>
      <c r="B19" s="88" t="s">
        <v>100</v>
      </c>
      <c r="C19" s="120" t="str">
        <f>VLOOKUP(Currency,$O$3:$T$7,2)</f>
        <v>AB</v>
      </c>
      <c r="D19" s="120" t="str">
        <f>VLOOKUP(Currency,$O$3:$T$7,3)</f>
        <v>6E</v>
      </c>
      <c r="E19" s="120" t="str">
        <f>VLOOKUP(Currency,$O$3:$T$7,4)</f>
        <v>1w</v>
      </c>
      <c r="F19" s="120" t="str">
        <f>VLOOKUP(Currency,$O$3:$T$7,5)</f>
        <v>6E</v>
      </c>
      <c r="G19" s="120" t="str">
        <f>VLOOKUP(Currency,$O$3:$T$7,6)</f>
        <v>12E</v>
      </c>
      <c r="H19" s="258" t="str">
        <f>IF(F19=0,0,Currency&amp;$F19&amp;$G19&amp;$B19&amp;QuoteSuffix)</f>
        <v>EUR6E12E17Y_Quote</v>
      </c>
      <c r="I19" s="257" t="str">
        <f>PROPER(Currency)&amp;FamilyName&amp;"Swap"&amp;FixingType&amp;$B19</f>
        <v>EuriborSwapIsdaFixA17Y</v>
      </c>
      <c r="J19" s="256" t="str">
        <f>Currency&amp;$C19&amp;$D19&amp;$B19&amp;"_"&amp;"Fwd"&amp;E19&amp;IF(H19=0,,"_S"&amp;$F19&amp;$G19)&amp;QuoteSuffix</f>
        <v>EURAB6E17Y_Fwd1w_S6E12E_Quote</v>
      </c>
      <c r="K19" s="256" t="str">
        <f>_xll.qlForwardSwapQuote(J19,I19,H19,E19,Permanent,Trigger,ObjectOverwrite)</f>
        <v>EURAB6E17Y_Fwd1w_S6E12E_Quote#0010</v>
      </c>
      <c r="L19" s="265" t="str">
        <f>_xll.ohRangeRetrieveError(K19)</f>
        <v/>
      </c>
      <c r="M19" s="57"/>
    </row>
    <row r="20" spans="1:13" x14ac:dyDescent="0.2">
      <c r="A20" s="136"/>
      <c r="B20" s="88" t="s">
        <v>99</v>
      </c>
      <c r="C20" s="120" t="str">
        <f>VLOOKUP(Currency,$O$3:$T$7,2)</f>
        <v>AB</v>
      </c>
      <c r="D20" s="120" t="str">
        <f>VLOOKUP(Currency,$O$3:$T$7,3)</f>
        <v>6E</v>
      </c>
      <c r="E20" s="120" t="str">
        <f>VLOOKUP(Currency,$O$3:$T$7,4)</f>
        <v>1w</v>
      </c>
      <c r="F20" s="120" t="str">
        <f>VLOOKUP(Currency,$O$3:$T$7,5)</f>
        <v>6E</v>
      </c>
      <c r="G20" s="120" t="str">
        <f>VLOOKUP(Currency,$O$3:$T$7,6)</f>
        <v>12E</v>
      </c>
      <c r="H20" s="258" t="str">
        <f>IF(F20=0,0,Currency&amp;$F20&amp;$G20&amp;$B20&amp;QuoteSuffix)</f>
        <v>EUR6E12E18Y_Quote</v>
      </c>
      <c r="I20" s="257" t="str">
        <f>PROPER(Currency)&amp;FamilyName&amp;"Swap"&amp;FixingType&amp;$B20</f>
        <v>EuriborSwapIsdaFixA18Y</v>
      </c>
      <c r="J20" s="256" t="str">
        <f>Currency&amp;$C20&amp;$D20&amp;$B20&amp;"_"&amp;"Fwd"&amp;E20&amp;IF(H20=0,,"_S"&amp;$F20&amp;$G20)&amp;QuoteSuffix</f>
        <v>EURAB6E18Y_Fwd1w_S6E12E_Quote</v>
      </c>
      <c r="K20" s="256" t="str">
        <f>_xll.qlForwardSwapQuote(J20,I20,H20,E20,Permanent,Trigger,ObjectOverwrite)</f>
        <v>EURAB6E18Y_Fwd1w_S6E12E_Quote#0010</v>
      </c>
      <c r="L20" s="265" t="str">
        <f>_xll.ohRangeRetrieveError(K20)</f>
        <v/>
      </c>
      <c r="M20" s="57"/>
    </row>
    <row r="21" spans="1:13" x14ac:dyDescent="0.2">
      <c r="A21" s="136"/>
      <c r="B21" s="88" t="s">
        <v>98</v>
      </c>
      <c r="C21" s="120" t="str">
        <f>VLOOKUP(Currency,$O$3:$T$7,2)</f>
        <v>AB</v>
      </c>
      <c r="D21" s="120" t="str">
        <f>VLOOKUP(Currency,$O$3:$T$7,3)</f>
        <v>6E</v>
      </c>
      <c r="E21" s="120" t="str">
        <f>VLOOKUP(Currency,$O$3:$T$7,4)</f>
        <v>1w</v>
      </c>
      <c r="F21" s="120" t="str">
        <f>VLOOKUP(Currency,$O$3:$T$7,5)</f>
        <v>6E</v>
      </c>
      <c r="G21" s="120" t="str">
        <f>VLOOKUP(Currency,$O$3:$T$7,6)</f>
        <v>12E</v>
      </c>
      <c r="H21" s="258" t="str">
        <f>IF(F21=0,0,Currency&amp;$F21&amp;$G21&amp;$B21&amp;QuoteSuffix)</f>
        <v>EUR6E12E19Y_Quote</v>
      </c>
      <c r="I21" s="257" t="str">
        <f>PROPER(Currency)&amp;FamilyName&amp;"Swap"&amp;FixingType&amp;$B21</f>
        <v>EuriborSwapIsdaFixA19Y</v>
      </c>
      <c r="J21" s="256" t="str">
        <f>Currency&amp;$C21&amp;$D21&amp;$B21&amp;"_"&amp;"Fwd"&amp;E21&amp;IF(H21=0,,"_S"&amp;$F21&amp;$G21)&amp;QuoteSuffix</f>
        <v>EURAB6E19Y_Fwd1w_S6E12E_Quote</v>
      </c>
      <c r="K21" s="256" t="str">
        <f>_xll.qlForwardSwapQuote(J21,I21,H21,E21,Permanent,Trigger,ObjectOverwrite)</f>
        <v>EURAB6E19Y_Fwd1w_S6E12E_Quote#0010</v>
      </c>
      <c r="L21" s="265" t="str">
        <f>_xll.ohRangeRetrieveError(K21)</f>
        <v/>
      </c>
      <c r="M21" s="57"/>
    </row>
    <row r="22" spans="1:13" x14ac:dyDescent="0.2">
      <c r="A22" s="136"/>
      <c r="B22" s="88" t="s">
        <v>97</v>
      </c>
      <c r="C22" s="120" t="str">
        <f>VLOOKUP(Currency,$O$3:$T$7,2)</f>
        <v>AB</v>
      </c>
      <c r="D22" s="120" t="str">
        <f>VLOOKUP(Currency,$O$3:$T$7,3)</f>
        <v>6E</v>
      </c>
      <c r="E22" s="120" t="str">
        <f>VLOOKUP(Currency,$O$3:$T$7,4)</f>
        <v>1w</v>
      </c>
      <c r="F22" s="120" t="str">
        <f>VLOOKUP(Currency,$O$3:$T$7,5)</f>
        <v>6E</v>
      </c>
      <c r="G22" s="120" t="str">
        <f>VLOOKUP(Currency,$O$3:$T$7,6)</f>
        <v>12E</v>
      </c>
      <c r="H22" s="258" t="str">
        <f>IF(F22=0,0,Currency&amp;$F22&amp;$G22&amp;$B22&amp;QuoteSuffix)</f>
        <v>EUR6E12E20Y_Quote</v>
      </c>
      <c r="I22" s="257" t="str">
        <f>PROPER(Currency)&amp;FamilyName&amp;"Swap"&amp;FixingType&amp;$B22</f>
        <v>EuriborSwapIsdaFixA20Y</v>
      </c>
      <c r="J22" s="256" t="str">
        <f>Currency&amp;$C22&amp;$D22&amp;$B22&amp;"_"&amp;"Fwd"&amp;E22&amp;IF(H22=0,,"_S"&amp;$F22&amp;$G22)&amp;QuoteSuffix</f>
        <v>EURAB6E20Y_Fwd1w_S6E12E_Quote</v>
      </c>
      <c r="K22" s="256" t="str">
        <f>_xll.qlForwardSwapQuote(J22,I22,H22,E22,Permanent,Trigger,ObjectOverwrite)</f>
        <v>EURAB6E20Y_Fwd1w_S6E12E_Quote#0010</v>
      </c>
      <c r="L22" s="265" t="str">
        <f>_xll.ohRangeRetrieveError(K22)</f>
        <v/>
      </c>
      <c r="M22" s="57"/>
    </row>
    <row r="23" spans="1:13" x14ac:dyDescent="0.2">
      <c r="A23" s="136"/>
      <c r="B23" s="88" t="s">
        <v>96</v>
      </c>
      <c r="C23" s="120" t="str">
        <f>VLOOKUP(Currency,$O$3:$T$7,2)</f>
        <v>AB</v>
      </c>
      <c r="D23" s="120" t="str">
        <f>VLOOKUP(Currency,$O$3:$T$7,3)</f>
        <v>6E</v>
      </c>
      <c r="E23" s="120" t="str">
        <f>VLOOKUP(Currency,$O$3:$T$7,4)</f>
        <v>1w</v>
      </c>
      <c r="F23" s="120" t="str">
        <f>VLOOKUP(Currency,$O$3:$T$7,5)</f>
        <v>6E</v>
      </c>
      <c r="G23" s="120" t="str">
        <f>VLOOKUP(Currency,$O$3:$T$7,6)</f>
        <v>12E</v>
      </c>
      <c r="H23" s="258" t="str">
        <f>IF(F23=0,0,Currency&amp;$F23&amp;$G23&amp;$B23&amp;QuoteSuffix)</f>
        <v>EUR6E12E21Y_Quote</v>
      </c>
      <c r="I23" s="257" t="str">
        <f>PROPER(Currency)&amp;FamilyName&amp;"Swap"&amp;FixingType&amp;$B23</f>
        <v>EuriborSwapIsdaFixA21Y</v>
      </c>
      <c r="J23" s="256" t="str">
        <f>Currency&amp;$C23&amp;$D23&amp;$B23&amp;"_"&amp;"Fwd"&amp;E23&amp;IF(H23=0,,"_S"&amp;$F23&amp;$G23)&amp;QuoteSuffix</f>
        <v>EURAB6E21Y_Fwd1w_S6E12E_Quote</v>
      </c>
      <c r="K23" s="256" t="str">
        <f>_xll.qlForwardSwapQuote(J23,I23,H23,E23,Permanent,Trigger,ObjectOverwrite)</f>
        <v>EURAB6E21Y_Fwd1w_S6E12E_Quote#0010</v>
      </c>
      <c r="L23" s="265" t="str">
        <f>_xll.ohRangeRetrieveError(K23)</f>
        <v/>
      </c>
      <c r="M23" s="57"/>
    </row>
    <row r="24" spans="1:13" x14ac:dyDescent="0.2">
      <c r="A24" s="136"/>
      <c r="B24" s="88" t="s">
        <v>95</v>
      </c>
      <c r="C24" s="120" t="str">
        <f>VLOOKUP(Currency,$O$3:$T$7,2)</f>
        <v>AB</v>
      </c>
      <c r="D24" s="120" t="str">
        <f>VLOOKUP(Currency,$O$3:$T$7,3)</f>
        <v>6E</v>
      </c>
      <c r="E24" s="120" t="str">
        <f>VLOOKUP(Currency,$O$3:$T$7,4)</f>
        <v>1w</v>
      </c>
      <c r="F24" s="120" t="str">
        <f>VLOOKUP(Currency,$O$3:$T$7,5)</f>
        <v>6E</v>
      </c>
      <c r="G24" s="120" t="str">
        <f>VLOOKUP(Currency,$O$3:$T$7,6)</f>
        <v>12E</v>
      </c>
      <c r="H24" s="258" t="str">
        <f>IF(F24=0,0,Currency&amp;$F24&amp;$G24&amp;$B24&amp;QuoteSuffix)</f>
        <v>EUR6E12E22Y_Quote</v>
      </c>
      <c r="I24" s="257" t="str">
        <f>PROPER(Currency)&amp;FamilyName&amp;"Swap"&amp;FixingType&amp;$B24</f>
        <v>EuriborSwapIsdaFixA22Y</v>
      </c>
      <c r="J24" s="256" t="str">
        <f>Currency&amp;$C24&amp;$D24&amp;$B24&amp;"_"&amp;"Fwd"&amp;E24&amp;IF(H24=0,,"_S"&amp;$F24&amp;$G24)&amp;QuoteSuffix</f>
        <v>EURAB6E22Y_Fwd1w_S6E12E_Quote</v>
      </c>
      <c r="K24" s="256" t="str">
        <f>_xll.qlForwardSwapQuote(J24,I24,H24,E24,Permanent,Trigger,ObjectOverwrite)</f>
        <v>EURAB6E22Y_Fwd1w_S6E12E_Quote#0010</v>
      </c>
      <c r="L24" s="265" t="str">
        <f>_xll.ohRangeRetrieveError(K24)</f>
        <v/>
      </c>
      <c r="M24" s="57"/>
    </row>
    <row r="25" spans="1:13" x14ac:dyDescent="0.2">
      <c r="A25" s="136"/>
      <c r="B25" s="88" t="s">
        <v>94</v>
      </c>
      <c r="C25" s="120" t="str">
        <f>VLOOKUP(Currency,$O$3:$T$7,2)</f>
        <v>AB</v>
      </c>
      <c r="D25" s="120" t="str">
        <f>VLOOKUP(Currency,$O$3:$T$7,3)</f>
        <v>6E</v>
      </c>
      <c r="E25" s="120" t="str">
        <f>VLOOKUP(Currency,$O$3:$T$7,4)</f>
        <v>1w</v>
      </c>
      <c r="F25" s="120" t="str">
        <f>VLOOKUP(Currency,$O$3:$T$7,5)</f>
        <v>6E</v>
      </c>
      <c r="G25" s="120" t="str">
        <f>VLOOKUP(Currency,$O$3:$T$7,6)</f>
        <v>12E</v>
      </c>
      <c r="H25" s="258" t="str">
        <f>IF(F25=0,0,Currency&amp;$F25&amp;$G25&amp;$B25&amp;QuoteSuffix)</f>
        <v>EUR6E12E23Y_Quote</v>
      </c>
      <c r="I25" s="257" t="str">
        <f>PROPER(Currency)&amp;FamilyName&amp;"Swap"&amp;FixingType&amp;$B25</f>
        <v>EuriborSwapIsdaFixA23Y</v>
      </c>
      <c r="J25" s="256" t="str">
        <f>Currency&amp;$C25&amp;$D25&amp;$B25&amp;"_"&amp;"Fwd"&amp;E25&amp;IF(H25=0,,"_S"&amp;$F25&amp;$G25)&amp;QuoteSuffix</f>
        <v>EURAB6E23Y_Fwd1w_S6E12E_Quote</v>
      </c>
      <c r="K25" s="256" t="str">
        <f>_xll.qlForwardSwapQuote(J25,I25,H25,E25,Permanent,Trigger,ObjectOverwrite)</f>
        <v>EURAB6E23Y_Fwd1w_S6E12E_Quote#0010</v>
      </c>
      <c r="L25" s="265" t="str">
        <f>_xll.ohRangeRetrieveError(K25)</f>
        <v/>
      </c>
      <c r="M25" s="57"/>
    </row>
    <row r="26" spans="1:13" x14ac:dyDescent="0.2">
      <c r="A26" s="136"/>
      <c r="B26" s="88" t="s">
        <v>93</v>
      </c>
      <c r="C26" s="120" t="str">
        <f>VLOOKUP(Currency,$O$3:$T$7,2)</f>
        <v>AB</v>
      </c>
      <c r="D26" s="120" t="str">
        <f>VLOOKUP(Currency,$O$3:$T$7,3)</f>
        <v>6E</v>
      </c>
      <c r="E26" s="120" t="str">
        <f>VLOOKUP(Currency,$O$3:$T$7,4)</f>
        <v>1w</v>
      </c>
      <c r="F26" s="120" t="str">
        <f>VLOOKUP(Currency,$O$3:$T$7,5)</f>
        <v>6E</v>
      </c>
      <c r="G26" s="120" t="str">
        <f>VLOOKUP(Currency,$O$3:$T$7,6)</f>
        <v>12E</v>
      </c>
      <c r="H26" s="258" t="str">
        <f>IF(F26=0,0,Currency&amp;$F26&amp;$G26&amp;$B26&amp;QuoteSuffix)</f>
        <v>EUR6E12E24Y_Quote</v>
      </c>
      <c r="I26" s="257" t="str">
        <f>PROPER(Currency)&amp;FamilyName&amp;"Swap"&amp;FixingType&amp;$B26</f>
        <v>EuriborSwapIsdaFixA24Y</v>
      </c>
      <c r="J26" s="256" t="str">
        <f>Currency&amp;$C26&amp;$D26&amp;$B26&amp;"_"&amp;"Fwd"&amp;E26&amp;IF(H26=0,,"_S"&amp;$F26&amp;$G26)&amp;QuoteSuffix</f>
        <v>EURAB6E24Y_Fwd1w_S6E12E_Quote</v>
      </c>
      <c r="K26" s="256" t="str">
        <f>_xll.qlForwardSwapQuote(J26,I26,H26,E26,Permanent,Trigger,ObjectOverwrite)</f>
        <v>EURAB6E24Y_Fwd1w_S6E12E_Quote#0010</v>
      </c>
      <c r="L26" s="265" t="str">
        <f>_xll.ohRangeRetrieveError(K26)</f>
        <v/>
      </c>
      <c r="M26" s="57"/>
    </row>
    <row r="27" spans="1:13" x14ac:dyDescent="0.2">
      <c r="A27" s="136"/>
      <c r="B27" s="88" t="s">
        <v>92</v>
      </c>
      <c r="C27" s="120" t="str">
        <f>VLOOKUP(Currency,$O$3:$T$7,2)</f>
        <v>AB</v>
      </c>
      <c r="D27" s="120" t="str">
        <f>VLOOKUP(Currency,$O$3:$T$7,3)</f>
        <v>6E</v>
      </c>
      <c r="E27" s="120" t="str">
        <f>VLOOKUP(Currency,$O$3:$T$7,4)</f>
        <v>1w</v>
      </c>
      <c r="F27" s="120" t="str">
        <f>VLOOKUP(Currency,$O$3:$T$7,5)</f>
        <v>6E</v>
      </c>
      <c r="G27" s="120" t="str">
        <f>VLOOKUP(Currency,$O$3:$T$7,6)</f>
        <v>12E</v>
      </c>
      <c r="H27" s="258" t="str">
        <f>IF(F27=0,0,Currency&amp;$F27&amp;$G27&amp;$B27&amp;QuoteSuffix)</f>
        <v>EUR6E12E25Y_Quote</v>
      </c>
      <c r="I27" s="257" t="str">
        <f>PROPER(Currency)&amp;FamilyName&amp;"Swap"&amp;FixingType&amp;$B27</f>
        <v>EuriborSwapIsdaFixA25Y</v>
      </c>
      <c r="J27" s="256" t="str">
        <f>Currency&amp;$C27&amp;$D27&amp;$B27&amp;"_"&amp;"Fwd"&amp;E27&amp;IF(H27=0,,"_S"&amp;$F27&amp;$G27)&amp;QuoteSuffix</f>
        <v>EURAB6E25Y_Fwd1w_S6E12E_Quote</v>
      </c>
      <c r="K27" s="256" t="str">
        <f>_xll.qlForwardSwapQuote(J27,I27,H27,E27,Permanent,Trigger,ObjectOverwrite)</f>
        <v>EURAB6E25Y_Fwd1w_S6E12E_Quote#0010</v>
      </c>
      <c r="L27" s="265" t="str">
        <f>_xll.ohRangeRetrieveError(K27)</f>
        <v/>
      </c>
      <c r="M27" s="57"/>
    </row>
    <row r="28" spans="1:13" x14ac:dyDescent="0.2">
      <c r="A28" s="136"/>
      <c r="B28" s="88" t="s">
        <v>91</v>
      </c>
      <c r="C28" s="120" t="str">
        <f>VLOOKUP(Currency,$O$3:$T$7,2)</f>
        <v>AB</v>
      </c>
      <c r="D28" s="120" t="str">
        <f>VLOOKUP(Currency,$O$3:$T$7,3)</f>
        <v>6E</v>
      </c>
      <c r="E28" s="120" t="str">
        <f>VLOOKUP(Currency,$O$3:$T$7,4)</f>
        <v>1w</v>
      </c>
      <c r="F28" s="120" t="str">
        <f>VLOOKUP(Currency,$O$3:$T$7,5)</f>
        <v>6E</v>
      </c>
      <c r="G28" s="120" t="str">
        <f>VLOOKUP(Currency,$O$3:$T$7,6)</f>
        <v>12E</v>
      </c>
      <c r="H28" s="258" t="str">
        <f>IF(F28=0,0,Currency&amp;$F28&amp;$G28&amp;$B28&amp;QuoteSuffix)</f>
        <v>EUR6E12E26Y_Quote</v>
      </c>
      <c r="I28" s="257" t="str">
        <f>PROPER(Currency)&amp;FamilyName&amp;"Swap"&amp;FixingType&amp;$B28</f>
        <v>EuriborSwapIsdaFixA26Y</v>
      </c>
      <c r="J28" s="256" t="str">
        <f>Currency&amp;$C28&amp;$D28&amp;$B28&amp;"_"&amp;"Fwd"&amp;E28&amp;IF(H28=0,,"_S"&amp;$F28&amp;$G28)&amp;QuoteSuffix</f>
        <v>EURAB6E26Y_Fwd1w_S6E12E_Quote</v>
      </c>
      <c r="K28" s="256" t="str">
        <f>_xll.qlForwardSwapQuote(J28,I28,H28,E28,Permanent,Trigger,ObjectOverwrite)</f>
        <v>EURAB6E26Y_Fwd1w_S6E12E_Quote#0010</v>
      </c>
      <c r="L28" s="265" t="str">
        <f>_xll.ohRangeRetrieveError(K28)</f>
        <v/>
      </c>
      <c r="M28" s="57"/>
    </row>
    <row r="29" spans="1:13" x14ac:dyDescent="0.2">
      <c r="A29" s="136"/>
      <c r="B29" s="88" t="s">
        <v>90</v>
      </c>
      <c r="C29" s="120" t="str">
        <f>VLOOKUP(Currency,$O$3:$T$7,2)</f>
        <v>AB</v>
      </c>
      <c r="D29" s="120" t="str">
        <f>VLOOKUP(Currency,$O$3:$T$7,3)</f>
        <v>6E</v>
      </c>
      <c r="E29" s="120" t="str">
        <f>VLOOKUP(Currency,$O$3:$T$7,4)</f>
        <v>1w</v>
      </c>
      <c r="F29" s="120" t="str">
        <f>VLOOKUP(Currency,$O$3:$T$7,5)</f>
        <v>6E</v>
      </c>
      <c r="G29" s="120" t="str">
        <f>VLOOKUP(Currency,$O$3:$T$7,6)</f>
        <v>12E</v>
      </c>
      <c r="H29" s="258" t="str">
        <f>IF(F29=0,0,Currency&amp;$F29&amp;$G29&amp;$B29&amp;QuoteSuffix)</f>
        <v>EUR6E12E27Y_Quote</v>
      </c>
      <c r="I29" s="257" t="str">
        <f>PROPER(Currency)&amp;FamilyName&amp;"Swap"&amp;FixingType&amp;$B29</f>
        <v>EuriborSwapIsdaFixA27Y</v>
      </c>
      <c r="J29" s="256" t="str">
        <f>Currency&amp;$C29&amp;$D29&amp;$B29&amp;"_"&amp;"Fwd"&amp;E29&amp;IF(H29=0,,"_S"&amp;$F29&amp;$G29)&amp;QuoteSuffix</f>
        <v>EURAB6E27Y_Fwd1w_S6E12E_Quote</v>
      </c>
      <c r="K29" s="256" t="str">
        <f>_xll.qlForwardSwapQuote(J29,I29,H29,E29,Permanent,Trigger,ObjectOverwrite)</f>
        <v>EURAB6E27Y_Fwd1w_S6E12E_Quote#0010</v>
      </c>
      <c r="L29" s="265" t="str">
        <f>_xll.ohRangeRetrieveError(K29)</f>
        <v/>
      </c>
      <c r="M29" s="57"/>
    </row>
    <row r="30" spans="1:13" x14ac:dyDescent="0.2">
      <c r="A30" s="136"/>
      <c r="B30" s="88" t="s">
        <v>89</v>
      </c>
      <c r="C30" s="120" t="str">
        <f>VLOOKUP(Currency,$O$3:$T$7,2)</f>
        <v>AB</v>
      </c>
      <c r="D30" s="120" t="str">
        <f>VLOOKUP(Currency,$O$3:$T$7,3)</f>
        <v>6E</v>
      </c>
      <c r="E30" s="120" t="str">
        <f>VLOOKUP(Currency,$O$3:$T$7,4)</f>
        <v>1w</v>
      </c>
      <c r="F30" s="120" t="str">
        <f>VLOOKUP(Currency,$O$3:$T$7,5)</f>
        <v>6E</v>
      </c>
      <c r="G30" s="120" t="str">
        <f>VLOOKUP(Currency,$O$3:$T$7,6)</f>
        <v>12E</v>
      </c>
      <c r="H30" s="258" t="str">
        <f>IF(F30=0,0,Currency&amp;$F30&amp;$G30&amp;$B30&amp;QuoteSuffix)</f>
        <v>EUR6E12E28Y_Quote</v>
      </c>
      <c r="I30" s="257" t="str">
        <f>PROPER(Currency)&amp;FamilyName&amp;"Swap"&amp;FixingType&amp;$B30</f>
        <v>EuriborSwapIsdaFixA28Y</v>
      </c>
      <c r="J30" s="256" t="str">
        <f>Currency&amp;$C30&amp;$D30&amp;$B30&amp;"_"&amp;"Fwd"&amp;E30&amp;IF(H30=0,,"_S"&amp;$F30&amp;$G30)&amp;QuoteSuffix</f>
        <v>EURAB6E28Y_Fwd1w_S6E12E_Quote</v>
      </c>
      <c r="K30" s="256" t="str">
        <f>_xll.qlForwardSwapQuote(J30,I30,H30,E30,Permanent,Trigger,ObjectOverwrite)</f>
        <v>EURAB6E28Y_Fwd1w_S6E12E_Quote#0010</v>
      </c>
      <c r="L30" s="265" t="str">
        <f>_xll.ohRangeRetrieveError(K30)</f>
        <v/>
      </c>
      <c r="M30" s="57"/>
    </row>
    <row r="31" spans="1:13" x14ac:dyDescent="0.2">
      <c r="A31" s="136"/>
      <c r="B31" s="88" t="s">
        <v>88</v>
      </c>
      <c r="C31" s="120" t="str">
        <f>VLOOKUP(Currency,$O$3:$T$7,2)</f>
        <v>AB</v>
      </c>
      <c r="D31" s="120" t="str">
        <f>VLOOKUP(Currency,$O$3:$T$7,3)</f>
        <v>6E</v>
      </c>
      <c r="E31" s="120" t="str">
        <f>VLOOKUP(Currency,$O$3:$T$7,4)</f>
        <v>1w</v>
      </c>
      <c r="F31" s="120" t="str">
        <f>VLOOKUP(Currency,$O$3:$T$7,5)</f>
        <v>6E</v>
      </c>
      <c r="G31" s="120" t="str">
        <f>VLOOKUP(Currency,$O$3:$T$7,6)</f>
        <v>12E</v>
      </c>
      <c r="H31" s="258" t="str">
        <f>IF(F31=0,0,Currency&amp;$F31&amp;$G31&amp;$B31&amp;QuoteSuffix)</f>
        <v>EUR6E12E29Y_Quote</v>
      </c>
      <c r="I31" s="257" t="str">
        <f>PROPER(Currency)&amp;FamilyName&amp;"Swap"&amp;FixingType&amp;$B31</f>
        <v>EuriborSwapIsdaFixA29Y</v>
      </c>
      <c r="J31" s="256" t="str">
        <f>Currency&amp;$C31&amp;$D31&amp;$B31&amp;"_"&amp;"Fwd"&amp;E31&amp;IF(H31=0,,"_S"&amp;$F31&amp;$G31)&amp;QuoteSuffix</f>
        <v>EURAB6E29Y_Fwd1w_S6E12E_Quote</v>
      </c>
      <c r="K31" s="256" t="str">
        <f>_xll.qlForwardSwapQuote(J31,I31,H31,E31,Permanent,Trigger,ObjectOverwrite)</f>
        <v>EURAB6E29Y_Fwd1w_S6E12E_Quote#0010</v>
      </c>
      <c r="L31" s="265" t="str">
        <f>_xll.ohRangeRetrieveError(K31)</f>
        <v/>
      </c>
      <c r="M31" s="57"/>
    </row>
    <row r="32" spans="1:13" x14ac:dyDescent="0.2">
      <c r="A32" s="136"/>
      <c r="B32" s="88" t="s">
        <v>87</v>
      </c>
      <c r="C32" s="120" t="str">
        <f>VLOOKUP(Currency,$O$3:$T$7,2)</f>
        <v>AB</v>
      </c>
      <c r="D32" s="120" t="str">
        <f>VLOOKUP(Currency,$O$3:$T$7,3)</f>
        <v>6E</v>
      </c>
      <c r="E32" s="120" t="str">
        <f>VLOOKUP(Currency,$O$3:$T$7,4)</f>
        <v>1w</v>
      </c>
      <c r="F32" s="120" t="str">
        <f>VLOOKUP(Currency,$O$3:$T$7,5)</f>
        <v>6E</v>
      </c>
      <c r="G32" s="120" t="str">
        <f>VLOOKUP(Currency,$O$3:$T$7,6)</f>
        <v>12E</v>
      </c>
      <c r="H32" s="258" t="str">
        <f>IF(F32=0,0,Currency&amp;$F32&amp;$G32&amp;$B32&amp;QuoteSuffix)</f>
        <v>EUR6E12E30Y_Quote</v>
      </c>
      <c r="I32" s="257" t="str">
        <f>PROPER(Currency)&amp;FamilyName&amp;"Swap"&amp;FixingType&amp;$B32</f>
        <v>EuriborSwapIsdaFixA30Y</v>
      </c>
      <c r="J32" s="256" t="str">
        <f>Currency&amp;$C32&amp;$D32&amp;$B32&amp;"_"&amp;"Fwd"&amp;E32&amp;IF(H32=0,,"_S"&amp;$F32&amp;$G32)&amp;QuoteSuffix</f>
        <v>EURAB6E30Y_Fwd1w_S6E12E_Quote</v>
      </c>
      <c r="K32" s="256" t="str">
        <f>_xll.qlForwardSwapQuote(J32,I32,H32,E32,Permanent,Trigger,ObjectOverwrite)</f>
        <v>EURAB6E30Y_Fwd1w_S6E12E_Quote#0010</v>
      </c>
      <c r="L32" s="265" t="str">
        <f>_xll.ohRangeRetrieveError(K32)</f>
        <v/>
      </c>
      <c r="M32" s="57"/>
    </row>
    <row r="33" spans="1:13" x14ac:dyDescent="0.2">
      <c r="A33" s="136"/>
      <c r="B33" s="88" t="s">
        <v>82</v>
      </c>
      <c r="C33" s="120" t="str">
        <f>VLOOKUP(Currency,$O$3:$T$7,2)</f>
        <v>AB</v>
      </c>
      <c r="D33" s="120" t="str">
        <f>VLOOKUP(Currency,$O$3:$T$7,3)</f>
        <v>6E</v>
      </c>
      <c r="E33" s="120" t="str">
        <f>VLOOKUP(Currency,$O$3:$T$7,4)</f>
        <v>1w</v>
      </c>
      <c r="F33" s="120" t="str">
        <f>VLOOKUP(Currency,$O$3:$T$7,5)</f>
        <v>6E</v>
      </c>
      <c r="G33" s="120" t="str">
        <f>VLOOKUP(Currency,$O$3:$T$7,6)</f>
        <v>12E</v>
      </c>
      <c r="H33" s="258" t="str">
        <f>IF(F33=0,0,Currency&amp;$F33&amp;$G33&amp;$B33&amp;QuoteSuffix)</f>
        <v>EUR6E12E35Y_Quote</v>
      </c>
      <c r="I33" s="257" t="str">
        <f>PROPER(Currency)&amp;FamilyName&amp;"Swap"&amp;FixingType&amp;$B33</f>
        <v>EuriborSwapIsdaFixA35Y</v>
      </c>
      <c r="J33" s="256" t="str">
        <f>Currency&amp;$C33&amp;$D33&amp;$B33&amp;"_"&amp;"Fwd"&amp;E33&amp;IF(H33=0,,"_S"&amp;$F33&amp;$G33)&amp;QuoteSuffix</f>
        <v>EURAB6E35Y_Fwd1w_S6E12E_Quote</v>
      </c>
      <c r="K33" s="256" t="str">
        <f>_xll.qlForwardSwapQuote(J33,I33,H33,E33,Permanent,Trigger,ObjectOverwrite)</f>
        <v>EURAB6E35Y_Fwd1w_S6E12E_Quote#0010</v>
      </c>
      <c r="L33" s="265" t="str">
        <f>_xll.ohRangeRetrieveError(K33)</f>
        <v/>
      </c>
      <c r="M33" s="57"/>
    </row>
    <row r="34" spans="1:13" x14ac:dyDescent="0.2">
      <c r="A34" s="136"/>
      <c r="B34" s="88" t="s">
        <v>77</v>
      </c>
      <c r="C34" s="120" t="str">
        <f>VLOOKUP(Currency,$O$3:$T$7,2)</f>
        <v>AB</v>
      </c>
      <c r="D34" s="120" t="str">
        <f>VLOOKUP(Currency,$O$3:$T$7,3)</f>
        <v>6E</v>
      </c>
      <c r="E34" s="120" t="str">
        <f>VLOOKUP(Currency,$O$3:$T$7,4)</f>
        <v>1w</v>
      </c>
      <c r="F34" s="120" t="str">
        <f>VLOOKUP(Currency,$O$3:$T$7,5)</f>
        <v>6E</v>
      </c>
      <c r="G34" s="120" t="str">
        <f>VLOOKUP(Currency,$O$3:$T$7,6)</f>
        <v>12E</v>
      </c>
      <c r="H34" s="258" t="str">
        <f>IF(F34=0,0,Currency&amp;$F34&amp;$G34&amp;$B34&amp;QuoteSuffix)</f>
        <v>EUR6E12E40Y_Quote</v>
      </c>
      <c r="I34" s="257" t="str">
        <f>PROPER(Currency)&amp;FamilyName&amp;"Swap"&amp;FixingType&amp;$B34</f>
        <v>EuriborSwapIsdaFixA40Y</v>
      </c>
      <c r="J34" s="256" t="str">
        <f>Currency&amp;$C34&amp;$D34&amp;$B34&amp;"_"&amp;"Fwd"&amp;E34&amp;IF(H34=0,,"_S"&amp;$F34&amp;$G34)&amp;QuoteSuffix</f>
        <v>EURAB6E40Y_Fwd1w_S6E12E_Quote</v>
      </c>
      <c r="K34" s="256" t="str">
        <f>_xll.qlForwardSwapQuote(J34,I34,H34,E34,Permanent,Trigger,ObjectOverwrite)</f>
        <v>EURAB6E40Y_Fwd1w_S6E12E_Quote#0010</v>
      </c>
      <c r="L34" s="265" t="str">
        <f>_xll.ohRangeRetrieveError(K34)</f>
        <v/>
      </c>
      <c r="M34" s="57"/>
    </row>
    <row r="35" spans="1:13" x14ac:dyDescent="0.2">
      <c r="A35" s="136"/>
      <c r="B35" s="88" t="s">
        <v>67</v>
      </c>
      <c r="C35" s="120" t="str">
        <f>VLOOKUP(Currency,$O$3:$T$7,2)</f>
        <v>AB</v>
      </c>
      <c r="D35" s="120" t="str">
        <f>VLOOKUP(Currency,$O$3:$T$7,3)</f>
        <v>6E</v>
      </c>
      <c r="E35" s="120" t="str">
        <f>VLOOKUP(Currency,$O$3:$T$7,4)</f>
        <v>1w</v>
      </c>
      <c r="F35" s="120" t="str">
        <f>VLOOKUP(Currency,$O$3:$T$7,5)</f>
        <v>6E</v>
      </c>
      <c r="G35" s="120" t="str">
        <f>VLOOKUP(Currency,$O$3:$T$7,6)</f>
        <v>12E</v>
      </c>
      <c r="H35" s="258" t="str">
        <f>IF(F35=0,0,Currency&amp;$F35&amp;$G35&amp;$B35&amp;QuoteSuffix)</f>
        <v>EUR6E12E50Y_Quote</v>
      </c>
      <c r="I35" s="257" t="str">
        <f>PROPER(Currency)&amp;FamilyName&amp;"Swap"&amp;FixingType&amp;$B35</f>
        <v>EuriborSwapIsdaFixA50Y</v>
      </c>
      <c r="J35" s="256" t="str">
        <f>Currency&amp;$C35&amp;$D35&amp;$B35&amp;"_"&amp;"Fwd"&amp;E35&amp;IF(H35=0,,"_S"&amp;$F35&amp;$G35)&amp;QuoteSuffix</f>
        <v>EURAB6E50Y_Fwd1w_S6E12E_Quote</v>
      </c>
      <c r="K35" s="256" t="str">
        <f>_xll.qlForwardSwapQuote(J35,I35,H35,E35,Permanent,Trigger,ObjectOverwrite)</f>
        <v>EURAB6E50Y_Fwd1w_S6E12E_Quote#0010</v>
      </c>
      <c r="L35" s="265" t="str">
        <f>_xll.ohRangeRetrieveError(K35)</f>
        <v/>
      </c>
      <c r="M35" s="57"/>
    </row>
    <row r="36" spans="1:13" x14ac:dyDescent="0.2">
      <c r="A36" s="136"/>
      <c r="B36" s="88" t="s">
        <v>57</v>
      </c>
      <c r="C36" s="120" t="str">
        <f>VLOOKUP(Currency,$O$3:$T$7,2)</f>
        <v>AB</v>
      </c>
      <c r="D36" s="120" t="str">
        <f>VLOOKUP(Currency,$O$3:$T$7,3)</f>
        <v>6E</v>
      </c>
      <c r="E36" s="120" t="str">
        <f>VLOOKUP(Currency,$O$3:$T$7,4)</f>
        <v>1w</v>
      </c>
      <c r="F36" s="120" t="str">
        <f>VLOOKUP(Currency,$O$3:$T$7,5)</f>
        <v>6E</v>
      </c>
      <c r="G36" s="120" t="str">
        <f>VLOOKUP(Currency,$O$3:$T$7,6)</f>
        <v>12E</v>
      </c>
      <c r="H36" s="258" t="str">
        <f>IF(F36=0,0,Currency&amp;$F36&amp;$G36&amp;$B36&amp;QuoteSuffix)</f>
        <v>EUR6E12E60Y_Quote</v>
      </c>
      <c r="I36" s="257" t="str">
        <f>PROPER(Currency)&amp;FamilyName&amp;"Swap"&amp;FixingType&amp;$B36</f>
        <v>EuriborSwapIsdaFixA60Y</v>
      </c>
      <c r="J36" s="256" t="str">
        <f>Currency&amp;$C36&amp;$D36&amp;$B36&amp;"_"&amp;"Fwd"&amp;E36&amp;IF(H36=0,,"_S"&amp;$F36&amp;$G36)&amp;QuoteSuffix</f>
        <v>EURAB6E60Y_Fwd1w_S6E12E_Quote</v>
      </c>
      <c r="K36" s="256" t="str">
        <f>_xll.qlForwardSwapQuote(J36,I36,H36,E36,Permanent,Trigger,ObjectOverwrite)</f>
        <v>EURAB6E60Y_Fwd1w_S6E12E_Quote#0010</v>
      </c>
      <c r="L36" s="265" t="str">
        <f>_xll.ohRangeRetrieveError(K36)</f>
        <v/>
      </c>
      <c r="M36" s="57"/>
    </row>
    <row r="37" spans="1:13" ht="12" thickBot="1" x14ac:dyDescent="0.25">
      <c r="A37" s="56"/>
      <c r="B37" s="55"/>
      <c r="C37" s="55"/>
      <c r="D37" s="55"/>
      <c r="E37" s="55"/>
      <c r="F37" s="55"/>
      <c r="G37" s="55"/>
      <c r="H37" s="55"/>
      <c r="I37" s="55"/>
      <c r="J37" s="55"/>
      <c r="K37" s="130"/>
      <c r="L37" s="130"/>
      <c r="M37" s="54"/>
    </row>
  </sheetData>
  <pageMargins left="0.75" right="0.75" top="1" bottom="1" header="0.5" footer="0.5"/>
  <pageSetup paperSize="9" orientation="portrait" r:id="rId1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0"/>
  <sheetViews>
    <sheetView workbookViewId="0"/>
  </sheetViews>
  <sheetFormatPr defaultColWidth="8" defaultRowHeight="11.25" x14ac:dyDescent="0.2"/>
  <cols>
    <col min="1" max="1" width="3.28515625" style="110" customWidth="1"/>
    <col min="2" max="2" width="4.28515625" style="110" customWidth="1"/>
    <col min="3" max="3" width="15.5703125" style="110" bestFit="1" customWidth="1"/>
    <col min="4" max="4" width="90.7109375" style="110" bestFit="1" customWidth="1"/>
    <col min="5" max="5" width="3.7109375" style="110" customWidth="1"/>
    <col min="6" max="6" width="35.28515625" style="110" customWidth="1"/>
    <col min="7" max="7" width="4.28515625" style="110" customWidth="1"/>
    <col min="8" max="16384" width="8" style="110"/>
  </cols>
  <sheetData>
    <row r="1" spans="1:5" ht="13.5" thickBot="1" x14ac:dyDescent="0.25">
      <c r="A1" s="110" t="s">
        <v>216</v>
      </c>
      <c r="B1" s="116" t="str">
        <f>_xll.qlxlVersion(TRUE,Trigger)</f>
        <v>QuantLibXL 1.3.0 - MS VC++ 9.0 - Multithreaded Static Runtime library - Release Configuration - Dec  5 2013 11:03:51</v>
      </c>
    </row>
    <row r="2" spans="1:5" s="1" customFormat="1" ht="15.75" x14ac:dyDescent="0.25">
      <c r="A2" s="23"/>
      <c r="B2" s="115" t="s">
        <v>150</v>
      </c>
      <c r="C2" s="114"/>
      <c r="D2" s="114"/>
      <c r="E2" s="113"/>
    </row>
    <row r="3" spans="1:5" s="1" customFormat="1" ht="12.75" x14ac:dyDescent="0.2">
      <c r="A3" s="23"/>
      <c r="B3" s="9"/>
      <c r="C3" s="13"/>
      <c r="D3" s="13"/>
      <c r="E3" s="5"/>
    </row>
    <row r="4" spans="1:5" s="1" customFormat="1" ht="12.75" x14ac:dyDescent="0.2">
      <c r="A4" s="23"/>
      <c r="B4" s="9"/>
      <c r="C4" s="16" t="s">
        <v>31</v>
      </c>
      <c r="D4" s="15"/>
      <c r="E4" s="14"/>
    </row>
    <row r="5" spans="1:5" s="1" customFormat="1" ht="12.75" x14ac:dyDescent="0.2">
      <c r="A5" s="23"/>
      <c r="B5" s="9"/>
      <c r="C5" s="16" t="s">
        <v>30</v>
      </c>
      <c r="D5" s="15" t="b">
        <v>1</v>
      </c>
      <c r="E5" s="14"/>
    </row>
    <row r="6" spans="1:5" s="1" customFormat="1" ht="12.75" x14ac:dyDescent="0.2">
      <c r="A6" s="23"/>
      <c r="B6" s="9"/>
      <c r="C6" s="16" t="s">
        <v>29</v>
      </c>
      <c r="D6" s="15" t="b">
        <v>0</v>
      </c>
      <c r="E6" s="14"/>
    </row>
    <row r="7" spans="1:5" s="1" customFormat="1" ht="12.75" x14ac:dyDescent="0.2">
      <c r="A7" s="23"/>
      <c r="B7" s="9"/>
      <c r="C7" s="16" t="s">
        <v>28</v>
      </c>
      <c r="D7" s="15" t="b">
        <v>1</v>
      </c>
      <c r="E7" s="14"/>
    </row>
    <row r="8" spans="1:5" s="1" customFormat="1" ht="12.75" x14ac:dyDescent="0.2">
      <c r="A8" s="23"/>
      <c r="B8" s="9"/>
      <c r="C8" s="16" t="s">
        <v>27</v>
      </c>
      <c r="D8" s="25" t="str">
        <f ca="1">SUBSTITUTE(LEFT(CELL("filename",A1),FIND("[",CELL("filename",A1),1)-1),"\XLS\","\XML\")</f>
        <v>C:\Users\erik\Documents\repos\quantlib_nando\QuantLibXL\Data2\XML\</v>
      </c>
      <c r="E8" s="14"/>
    </row>
    <row r="9" spans="1:5" s="1" customFormat="1" ht="12.75" x14ac:dyDescent="0.2">
      <c r="A9" s="23"/>
      <c r="B9" s="9"/>
      <c r="C9" s="16" t="s">
        <v>26</v>
      </c>
      <c r="D9" s="24" t="b">
        <v>1</v>
      </c>
      <c r="E9" s="14"/>
    </row>
    <row r="10" spans="1:5" s="1" customFormat="1" ht="13.5" thickBot="1" x14ac:dyDescent="0.25">
      <c r="A10" s="23"/>
      <c r="B10" s="4"/>
      <c r="C10" s="3"/>
      <c r="D10" s="3"/>
      <c r="E10" s="2"/>
    </row>
    <row r="11" spans="1:5" ht="12" thickBot="1" x14ac:dyDescent="0.25"/>
    <row r="12" spans="1:5" ht="15.75" x14ac:dyDescent="0.25">
      <c r="B12" s="115" t="s">
        <v>149</v>
      </c>
      <c r="C12" s="114"/>
      <c r="D12" s="114"/>
      <c r="E12" s="113"/>
    </row>
    <row r="13" spans="1:5" x14ac:dyDescent="0.2">
      <c r="B13" s="9"/>
      <c r="C13" s="13"/>
      <c r="D13" s="13"/>
      <c r="E13" s="5"/>
    </row>
    <row r="14" spans="1:5" x14ac:dyDescent="0.2">
      <c r="B14" s="9"/>
      <c r="C14" s="16" t="s">
        <v>25</v>
      </c>
      <c r="D14" s="15" t="s">
        <v>123</v>
      </c>
      <c r="E14" s="14"/>
    </row>
    <row r="15" spans="1:5" x14ac:dyDescent="0.2">
      <c r="B15" s="9"/>
      <c r="C15" s="16" t="s">
        <v>54</v>
      </c>
      <c r="D15" s="15" t="s">
        <v>53</v>
      </c>
      <c r="E15" s="14"/>
    </row>
    <row r="16" spans="1:5" x14ac:dyDescent="0.2">
      <c r="B16" s="9"/>
      <c r="C16" s="16" t="s">
        <v>119</v>
      </c>
      <c r="D16" s="15" t="s">
        <v>118</v>
      </c>
      <c r="E16" s="14"/>
    </row>
    <row r="17" spans="2:5" x14ac:dyDescent="0.2">
      <c r="B17" s="9"/>
      <c r="C17" s="16" t="s">
        <v>148</v>
      </c>
      <c r="D17" s="24" t="s">
        <v>147</v>
      </c>
      <c r="E17" s="14"/>
    </row>
    <row r="18" spans="2:5" x14ac:dyDescent="0.2">
      <c r="B18" s="9"/>
      <c r="C18" s="16" t="s">
        <v>146</v>
      </c>
      <c r="D18" s="112">
        <v>1E-4</v>
      </c>
      <c r="E18" s="14"/>
    </row>
    <row r="19" spans="2:5" x14ac:dyDescent="0.2">
      <c r="B19" s="9"/>
      <c r="C19" s="16" t="s">
        <v>145</v>
      </c>
      <c r="D19" s="111">
        <v>-0.01</v>
      </c>
      <c r="E19" s="14"/>
    </row>
    <row r="20" spans="2:5" ht="12" thickBot="1" x14ac:dyDescent="0.25">
      <c r="B20" s="4"/>
      <c r="C20" s="3"/>
      <c r="D20" s="3"/>
      <c r="E20" s="2"/>
    </row>
  </sheetData>
  <mergeCells count="2">
    <mergeCell ref="B2:E2"/>
    <mergeCell ref="B12:E12"/>
  </mergeCells>
  <dataValidations count="2">
    <dataValidation type="list" allowBlank="1" showInputMessage="1" showErrorMessage="1" sqref="D15">
      <formula1>"ibor,Libor"</formula1>
    </dataValidation>
    <dataValidation type="list" allowBlank="1" showInputMessage="1" showErrorMessage="1" sqref="D14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6"/>
  <sheetViews>
    <sheetView workbookViewId="0"/>
  </sheetViews>
  <sheetFormatPr defaultRowHeight="11.25" x14ac:dyDescent="0.2"/>
  <cols>
    <col min="1" max="1" width="3.28515625" style="77" customWidth="1"/>
    <col min="2" max="2" width="3.5703125" style="77" bestFit="1" customWidth="1"/>
    <col min="3" max="3" width="5.7109375" style="77" bestFit="1" customWidth="1"/>
    <col min="4" max="4" width="5.42578125" style="77" bestFit="1" customWidth="1"/>
    <col min="5" max="5" width="15.7109375" style="77" bestFit="1" customWidth="1"/>
    <col min="6" max="6" width="25" style="77" bestFit="1" customWidth="1"/>
    <col min="7" max="7" width="26.28515625" style="77" bestFit="1" customWidth="1"/>
    <col min="8" max="8" width="53.140625" style="77" customWidth="1"/>
    <col min="9" max="16384" width="9.140625" style="77"/>
  </cols>
  <sheetData>
    <row r="1" spans="1:8" x14ac:dyDescent="0.2">
      <c r="A1" s="77" t="s">
        <v>221</v>
      </c>
    </row>
    <row r="2" spans="1:8" x14ac:dyDescent="0.2">
      <c r="E2" s="272" t="s">
        <v>220</v>
      </c>
      <c r="F2" s="271" t="str">
        <f>PROPER(Currency)&amp;"HW_Volatility_Quote"</f>
        <v>EurHW_Volatility_Quote</v>
      </c>
    </row>
    <row r="3" spans="1:8" x14ac:dyDescent="0.2">
      <c r="E3" s="272" t="s">
        <v>219</v>
      </c>
      <c r="F3" s="271" t="str">
        <f>PROPER(Currency)&amp;"HW_MeanReversion_Quote"</f>
        <v>EurHW_MeanReversion_Quote</v>
      </c>
    </row>
    <row r="4" spans="1:8" x14ac:dyDescent="0.2">
      <c r="E4" s="272" t="s">
        <v>218</v>
      </c>
      <c r="F4" s="271" t="str">
        <f>PROPER(Currency)&amp;FamilyName&amp;$G$4</f>
        <v>Euribor3M</v>
      </c>
      <c r="G4" s="270" t="s">
        <v>43</v>
      </c>
    </row>
    <row r="6" spans="1:8" ht="22.5" x14ac:dyDescent="0.2">
      <c r="A6" s="166"/>
      <c r="B6" s="102" t="s">
        <v>188</v>
      </c>
      <c r="C6" s="209" t="s">
        <v>187</v>
      </c>
      <c r="D6" s="209" t="s">
        <v>186</v>
      </c>
      <c r="E6" s="209" t="s">
        <v>217</v>
      </c>
      <c r="F6" s="101" t="str">
        <f>Currency&amp;"_020_Futures"&amp;G4&amp;"ConvAdj.xml"</f>
        <v>EUR_020_Futures3MConvAdj.xml</v>
      </c>
      <c r="G6" s="123">
        <f ca="1">IF(Serialize,_xll.ohObjectSave(G7:G126,SerializationPath&amp;F6,FileOverwrite,Serialize),"---")</f>
        <v>120</v>
      </c>
      <c r="H6" s="84" t="str">
        <f ca="1">_xll.ohRangeRetrieveError(G6)</f>
        <v/>
      </c>
    </row>
    <row r="7" spans="1:8" x14ac:dyDescent="0.2">
      <c r="A7" s="160"/>
      <c r="B7" s="165">
        <v>1</v>
      </c>
      <c r="C7" s="163" t="b">
        <v>0</v>
      </c>
      <c r="D7" s="163" t="str">
        <f t="array" ref="D7:D126">_xll.qlIMMNextCodes(_xll.qlSettingsEvaluationDate(Trigger)-1,$C7:$C126)</f>
        <v>Z3</v>
      </c>
      <c r="E7" s="268" t="str">
        <f>Currency&amp;"FUT"&amp;$G$4&amp;$D7&amp;QuoteSuffix</f>
        <v>EURFUT3MZ3_Quote</v>
      </c>
      <c r="F7" s="269" t="str">
        <f>Currency&amp;"FUT"&amp;$G$4&amp;$D7&amp;"ConvAdj"&amp;QuoteSuffix</f>
        <v>EURFUT3MZ3ConvAdj_Quote</v>
      </c>
      <c r="G7" s="268" t="str">
        <f>_xll.qlFuturesConvAdjustmentQuote($F7,IborIndex,$D7,$E7,Volatility,MeanReversion,Permanent,Trigger,ObjectOverwrite)</f>
        <v>EURFUT3MZ3ConvAdj_Quote#0008</v>
      </c>
      <c r="H7" s="84" t="str">
        <f>_xll.ohRangeRetrieveError(G7)</f>
        <v/>
      </c>
    </row>
    <row r="8" spans="1:8" x14ac:dyDescent="0.2">
      <c r="A8" s="160"/>
      <c r="B8" s="121">
        <v>2</v>
      </c>
      <c r="C8" s="158" t="b">
        <v>0</v>
      </c>
      <c r="D8" s="158" t="str">
        <v>F4</v>
      </c>
      <c r="E8" s="268" t="str">
        <f>Currency&amp;"FUT"&amp;$G$4&amp;$D8&amp;QuoteSuffix</f>
        <v>EURFUT3MF4_Quote</v>
      </c>
      <c r="F8" s="269" t="str">
        <f>Currency&amp;"FUT"&amp;$G$4&amp;$D8&amp;"ConvAdj"&amp;QuoteSuffix</f>
        <v>EURFUT3MF4ConvAdj_Quote</v>
      </c>
      <c r="G8" s="268" t="str">
        <f>_xll.qlFuturesConvAdjustmentQuote($F8,IborIndex,$D8,$E8,Volatility,MeanReversion,Permanent,Trigger,ObjectOverwrite)</f>
        <v>EURFUT3MF4ConvAdj_Quote#0008</v>
      </c>
      <c r="H8" s="84" t="str">
        <f>_xll.ohRangeRetrieveError(G8)</f>
        <v/>
      </c>
    </row>
    <row r="9" spans="1:8" x14ac:dyDescent="0.2">
      <c r="A9" s="160"/>
      <c r="B9" s="121">
        <v>3</v>
      </c>
      <c r="C9" s="158" t="b">
        <v>0</v>
      </c>
      <c r="D9" s="158" t="str">
        <v>G4</v>
      </c>
      <c r="E9" s="268" t="str">
        <f>Currency&amp;"FUT"&amp;$G$4&amp;$D9&amp;QuoteSuffix</f>
        <v>EURFUT3MG4_Quote</v>
      </c>
      <c r="F9" s="269" t="str">
        <f>Currency&amp;"FUT"&amp;$G$4&amp;$D9&amp;"ConvAdj"&amp;QuoteSuffix</f>
        <v>EURFUT3MG4ConvAdj_Quote</v>
      </c>
      <c r="G9" s="268" t="str">
        <f>_xll.qlFuturesConvAdjustmentQuote($F9,IborIndex,$D9,$E9,Volatility,MeanReversion,Permanent,Trigger,ObjectOverwrite)</f>
        <v>EURFUT3MG4ConvAdj_Quote#0008</v>
      </c>
      <c r="H9" s="84" t="str">
        <f>_xll.ohRangeRetrieveError(G9)</f>
        <v/>
      </c>
    </row>
    <row r="10" spans="1:8" x14ac:dyDescent="0.2">
      <c r="A10" s="160"/>
      <c r="B10" s="121">
        <v>4</v>
      </c>
      <c r="C10" s="158" t="b">
        <v>0</v>
      </c>
      <c r="D10" s="158" t="str">
        <v>H4</v>
      </c>
      <c r="E10" s="268" t="str">
        <f>Currency&amp;"FUT"&amp;$G$4&amp;$D10&amp;QuoteSuffix</f>
        <v>EURFUT3MH4_Quote</v>
      </c>
      <c r="F10" s="269" t="str">
        <f>Currency&amp;"FUT"&amp;$G$4&amp;$D10&amp;"ConvAdj"&amp;QuoteSuffix</f>
        <v>EURFUT3MH4ConvAdj_Quote</v>
      </c>
      <c r="G10" s="268" t="str">
        <f>_xll.qlFuturesConvAdjustmentQuote($F10,IborIndex,$D10,$E10,Volatility,MeanReversion,Permanent,Trigger,ObjectOverwrite)</f>
        <v>EURFUT3MH4ConvAdj_Quote#0008</v>
      </c>
      <c r="H10" s="84" t="str">
        <f>_xll.ohRangeRetrieveError(G10)</f>
        <v/>
      </c>
    </row>
    <row r="11" spans="1:8" x14ac:dyDescent="0.2">
      <c r="A11" s="160"/>
      <c r="B11" s="121">
        <v>5</v>
      </c>
      <c r="C11" s="158" t="b">
        <v>0</v>
      </c>
      <c r="D11" s="158" t="str">
        <v>J4</v>
      </c>
      <c r="E11" s="268" t="str">
        <f>Currency&amp;"FUT"&amp;$G$4&amp;$D11&amp;QuoteSuffix</f>
        <v>EURFUT3MJ4_Quote</v>
      </c>
      <c r="F11" s="269" t="str">
        <f>Currency&amp;"FUT"&amp;$G$4&amp;$D11&amp;"ConvAdj"&amp;QuoteSuffix</f>
        <v>EURFUT3MJ4ConvAdj_Quote</v>
      </c>
      <c r="G11" s="268" t="str">
        <f>_xll.qlFuturesConvAdjustmentQuote($F11,IborIndex,$D11,$E11,Volatility,MeanReversion,Permanent,Trigger,ObjectOverwrite)</f>
        <v>EURFUT3MJ4ConvAdj_Quote#0008</v>
      </c>
      <c r="H11" s="84" t="str">
        <f>_xll.ohRangeRetrieveError(G11)</f>
        <v/>
      </c>
    </row>
    <row r="12" spans="1:8" x14ac:dyDescent="0.2">
      <c r="A12" s="160"/>
      <c r="B12" s="121">
        <v>6</v>
      </c>
      <c r="C12" s="158" t="b">
        <v>0</v>
      </c>
      <c r="D12" s="158" t="str">
        <v>K4</v>
      </c>
      <c r="E12" s="268" t="str">
        <f>Currency&amp;"FUT"&amp;$G$4&amp;$D12&amp;QuoteSuffix</f>
        <v>EURFUT3MK4_Quote</v>
      </c>
      <c r="F12" s="269" t="str">
        <f>Currency&amp;"FUT"&amp;$G$4&amp;$D12&amp;"ConvAdj"&amp;QuoteSuffix</f>
        <v>EURFUT3MK4ConvAdj_Quote</v>
      </c>
      <c r="G12" s="268" t="str">
        <f>_xll.qlFuturesConvAdjustmentQuote($F12,IborIndex,$D12,$E12,Volatility,MeanReversion,Permanent,Trigger,ObjectOverwrite)</f>
        <v>EURFUT3MK4ConvAdj_Quote#0008</v>
      </c>
      <c r="H12" s="84" t="str">
        <f>_xll.ohRangeRetrieveError(G12)</f>
        <v/>
      </c>
    </row>
    <row r="13" spans="1:8" x14ac:dyDescent="0.2">
      <c r="A13" s="160"/>
      <c r="B13" s="121">
        <v>7</v>
      </c>
      <c r="C13" s="158" t="b">
        <v>0</v>
      </c>
      <c r="D13" s="158" t="str">
        <v>M4</v>
      </c>
      <c r="E13" s="268" t="str">
        <f>Currency&amp;"FUT"&amp;$G$4&amp;$D13&amp;QuoteSuffix</f>
        <v>EURFUT3MM4_Quote</v>
      </c>
      <c r="F13" s="269" t="str">
        <f>Currency&amp;"FUT"&amp;$G$4&amp;$D13&amp;"ConvAdj"&amp;QuoteSuffix</f>
        <v>EURFUT3MM4ConvAdj_Quote</v>
      </c>
      <c r="G13" s="268" t="str">
        <f>_xll.qlFuturesConvAdjustmentQuote($F13,IborIndex,$D13,$E13,Volatility,MeanReversion,Permanent,Trigger,ObjectOverwrite)</f>
        <v>EURFUT3MM4ConvAdj_Quote#0008</v>
      </c>
      <c r="H13" s="84" t="str">
        <f>_xll.ohRangeRetrieveError(G13)</f>
        <v/>
      </c>
    </row>
    <row r="14" spans="1:8" x14ac:dyDescent="0.2">
      <c r="A14" s="160"/>
      <c r="B14" s="121">
        <v>8</v>
      </c>
      <c r="C14" s="158" t="b">
        <v>0</v>
      </c>
      <c r="D14" s="158" t="str">
        <v>N4</v>
      </c>
      <c r="E14" s="268" t="str">
        <f>Currency&amp;"FUT"&amp;$G$4&amp;$D14&amp;QuoteSuffix</f>
        <v>EURFUT3MN4_Quote</v>
      </c>
      <c r="F14" s="269" t="str">
        <f>Currency&amp;"FUT"&amp;$G$4&amp;$D14&amp;"ConvAdj"&amp;QuoteSuffix</f>
        <v>EURFUT3MN4ConvAdj_Quote</v>
      </c>
      <c r="G14" s="268" t="str">
        <f>_xll.qlFuturesConvAdjustmentQuote($F14,IborIndex,$D14,$E14,Volatility,MeanReversion,Permanent,Trigger,ObjectOverwrite)</f>
        <v>EURFUT3MN4ConvAdj_Quote#0008</v>
      </c>
      <c r="H14" s="84" t="str">
        <f>_xll.ohRangeRetrieveError(G14)</f>
        <v/>
      </c>
    </row>
    <row r="15" spans="1:8" x14ac:dyDescent="0.2">
      <c r="A15" s="160"/>
      <c r="B15" s="121">
        <v>9</v>
      </c>
      <c r="C15" s="158" t="b">
        <v>0</v>
      </c>
      <c r="D15" s="158" t="str">
        <v>Q4</v>
      </c>
      <c r="E15" s="268" t="str">
        <f>Currency&amp;"FUT"&amp;$G$4&amp;$D15&amp;QuoteSuffix</f>
        <v>EURFUT3MQ4_Quote</v>
      </c>
      <c r="F15" s="269" t="str">
        <f>Currency&amp;"FUT"&amp;$G$4&amp;$D15&amp;"ConvAdj"&amp;QuoteSuffix</f>
        <v>EURFUT3MQ4ConvAdj_Quote</v>
      </c>
      <c r="G15" s="268" t="str">
        <f>_xll.qlFuturesConvAdjustmentQuote($F15,IborIndex,$D15,$E15,Volatility,MeanReversion,Permanent,Trigger,ObjectOverwrite)</f>
        <v>EURFUT3MQ4ConvAdj_Quote#0008</v>
      </c>
      <c r="H15" s="84" t="str">
        <f>_xll.ohRangeRetrieveError(G15)</f>
        <v/>
      </c>
    </row>
    <row r="16" spans="1:8" x14ac:dyDescent="0.2">
      <c r="A16" s="160"/>
      <c r="B16" s="121">
        <v>10</v>
      </c>
      <c r="C16" s="158" t="b">
        <v>0</v>
      </c>
      <c r="D16" s="158" t="str">
        <v>U4</v>
      </c>
      <c r="E16" s="268" t="str">
        <f>Currency&amp;"FUT"&amp;$G$4&amp;$D16&amp;QuoteSuffix</f>
        <v>EURFUT3MU4_Quote</v>
      </c>
      <c r="F16" s="269" t="str">
        <f>Currency&amp;"FUT"&amp;$G$4&amp;$D16&amp;"ConvAdj"&amp;QuoteSuffix</f>
        <v>EURFUT3MU4ConvAdj_Quote</v>
      </c>
      <c r="G16" s="268" t="str">
        <f>_xll.qlFuturesConvAdjustmentQuote($F16,IborIndex,$D16,$E16,Volatility,MeanReversion,Permanent,Trigger,ObjectOverwrite)</f>
        <v>EURFUT3MU4ConvAdj_Quote#0008</v>
      </c>
      <c r="H16" s="84" t="str">
        <f>_xll.ohRangeRetrieveError(G16)</f>
        <v/>
      </c>
    </row>
    <row r="17" spans="1:8" x14ac:dyDescent="0.2">
      <c r="A17" s="160"/>
      <c r="B17" s="121">
        <v>11</v>
      </c>
      <c r="C17" s="158" t="b">
        <v>0</v>
      </c>
      <c r="D17" s="158" t="str">
        <v>V4</v>
      </c>
      <c r="E17" s="268" t="str">
        <f>Currency&amp;"FUT"&amp;$G$4&amp;$D17&amp;QuoteSuffix</f>
        <v>EURFUT3MV4_Quote</v>
      </c>
      <c r="F17" s="269" t="str">
        <f>Currency&amp;"FUT"&amp;$G$4&amp;$D17&amp;"ConvAdj"&amp;QuoteSuffix</f>
        <v>EURFUT3MV4ConvAdj_Quote</v>
      </c>
      <c r="G17" s="268" t="str">
        <f>_xll.qlFuturesConvAdjustmentQuote($F17,IborIndex,$D17,$E17,Volatility,MeanReversion,Permanent,Trigger,ObjectOverwrite)</f>
        <v>EURFUT3MV4ConvAdj_Quote#0008</v>
      </c>
      <c r="H17" s="84" t="str">
        <f>_xll.ohRangeRetrieveError(G17)</f>
        <v/>
      </c>
    </row>
    <row r="18" spans="1:8" x14ac:dyDescent="0.2">
      <c r="A18" s="160"/>
      <c r="B18" s="121">
        <v>12</v>
      </c>
      <c r="C18" s="158" t="b">
        <v>0</v>
      </c>
      <c r="D18" s="158" t="str">
        <v>X4</v>
      </c>
      <c r="E18" s="268" t="str">
        <f>Currency&amp;"FUT"&amp;$G$4&amp;$D18&amp;QuoteSuffix</f>
        <v>EURFUT3MX4_Quote</v>
      </c>
      <c r="F18" s="269" t="str">
        <f>Currency&amp;"FUT"&amp;$G$4&amp;$D18&amp;"ConvAdj"&amp;QuoteSuffix</f>
        <v>EURFUT3MX4ConvAdj_Quote</v>
      </c>
      <c r="G18" s="268" t="str">
        <f>_xll.qlFuturesConvAdjustmentQuote($F18,IborIndex,$D18,$E18,Volatility,MeanReversion,Permanent,Trigger,ObjectOverwrite)</f>
        <v>EURFUT3MX4ConvAdj_Quote#0008</v>
      </c>
      <c r="H18" s="84" t="str">
        <f>_xll.ohRangeRetrieveError(G18)</f>
        <v/>
      </c>
    </row>
    <row r="19" spans="1:8" x14ac:dyDescent="0.2">
      <c r="A19" s="160"/>
      <c r="B19" s="121">
        <v>13</v>
      </c>
      <c r="C19" s="158" t="b">
        <v>0</v>
      </c>
      <c r="D19" s="158" t="str">
        <v>Z4</v>
      </c>
      <c r="E19" s="268" t="str">
        <f>Currency&amp;"FUT"&amp;$G$4&amp;$D19&amp;QuoteSuffix</f>
        <v>EURFUT3MZ4_Quote</v>
      </c>
      <c r="F19" s="269" t="str">
        <f>Currency&amp;"FUT"&amp;$G$4&amp;$D19&amp;"ConvAdj"&amp;QuoteSuffix</f>
        <v>EURFUT3MZ4ConvAdj_Quote</v>
      </c>
      <c r="G19" s="268" t="str">
        <f>_xll.qlFuturesConvAdjustmentQuote($F19,IborIndex,$D19,$E19,Volatility,MeanReversion,Permanent,Trigger,ObjectOverwrite)</f>
        <v>EURFUT3MZ4ConvAdj_Quote#0008</v>
      </c>
      <c r="H19" s="84" t="str">
        <f>_xll.ohRangeRetrieveError(G19)</f>
        <v/>
      </c>
    </row>
    <row r="20" spans="1:8" x14ac:dyDescent="0.2">
      <c r="A20" s="160"/>
      <c r="B20" s="121">
        <v>14</v>
      </c>
      <c r="C20" s="158" t="b">
        <v>0</v>
      </c>
      <c r="D20" s="158" t="str">
        <v>F5</v>
      </c>
      <c r="E20" s="268" t="str">
        <f>Currency&amp;"FUT"&amp;$G$4&amp;$D20&amp;QuoteSuffix</f>
        <v>EURFUT3MF5_Quote</v>
      </c>
      <c r="F20" s="269" t="str">
        <f>Currency&amp;"FUT"&amp;$G$4&amp;$D20&amp;"ConvAdj"&amp;QuoteSuffix</f>
        <v>EURFUT3MF5ConvAdj_Quote</v>
      </c>
      <c r="G20" s="268" t="str">
        <f>_xll.qlFuturesConvAdjustmentQuote($F20,IborIndex,$D20,$E20,Volatility,MeanReversion,Permanent,Trigger,ObjectOverwrite)</f>
        <v>EURFUT3MF5ConvAdj_Quote#0008</v>
      </c>
      <c r="H20" s="84" t="str">
        <f>_xll.ohRangeRetrieveError(G20)</f>
        <v/>
      </c>
    </row>
    <row r="21" spans="1:8" x14ac:dyDescent="0.2">
      <c r="A21" s="160"/>
      <c r="B21" s="121">
        <v>15</v>
      </c>
      <c r="C21" s="158" t="b">
        <v>0</v>
      </c>
      <c r="D21" s="158" t="str">
        <v>G5</v>
      </c>
      <c r="E21" s="268" t="str">
        <f>Currency&amp;"FUT"&amp;$G$4&amp;$D21&amp;QuoteSuffix</f>
        <v>EURFUT3MG5_Quote</v>
      </c>
      <c r="F21" s="269" t="str">
        <f>Currency&amp;"FUT"&amp;$G$4&amp;$D21&amp;"ConvAdj"&amp;QuoteSuffix</f>
        <v>EURFUT3MG5ConvAdj_Quote</v>
      </c>
      <c r="G21" s="268" t="str">
        <f>_xll.qlFuturesConvAdjustmentQuote($F21,IborIndex,$D21,$E21,Volatility,MeanReversion,Permanent,Trigger,ObjectOverwrite)</f>
        <v>EURFUT3MG5ConvAdj_Quote#0008</v>
      </c>
      <c r="H21" s="84" t="str">
        <f>_xll.ohRangeRetrieveError(G21)</f>
        <v/>
      </c>
    </row>
    <row r="22" spans="1:8" x14ac:dyDescent="0.2">
      <c r="A22" s="160"/>
      <c r="B22" s="121">
        <v>16</v>
      </c>
      <c r="C22" s="158" t="b">
        <v>0</v>
      </c>
      <c r="D22" s="158" t="str">
        <v>H5</v>
      </c>
      <c r="E22" s="268" t="str">
        <f>Currency&amp;"FUT"&amp;$G$4&amp;$D22&amp;QuoteSuffix</f>
        <v>EURFUT3MH5_Quote</v>
      </c>
      <c r="F22" s="269" t="str">
        <f>Currency&amp;"FUT"&amp;$G$4&amp;$D22&amp;"ConvAdj"&amp;QuoteSuffix</f>
        <v>EURFUT3MH5ConvAdj_Quote</v>
      </c>
      <c r="G22" s="268" t="str">
        <f>_xll.qlFuturesConvAdjustmentQuote($F22,IborIndex,$D22,$E22,Volatility,MeanReversion,Permanent,Trigger,ObjectOverwrite)</f>
        <v>EURFUT3MH5ConvAdj_Quote#0008</v>
      </c>
      <c r="H22" s="84" t="str">
        <f>_xll.ohRangeRetrieveError(G22)</f>
        <v/>
      </c>
    </row>
    <row r="23" spans="1:8" x14ac:dyDescent="0.2">
      <c r="A23" s="160"/>
      <c r="B23" s="121">
        <v>17</v>
      </c>
      <c r="C23" s="158" t="b">
        <v>0</v>
      </c>
      <c r="D23" s="158" t="str">
        <v>J5</v>
      </c>
      <c r="E23" s="268" t="str">
        <f>Currency&amp;"FUT"&amp;$G$4&amp;$D23&amp;QuoteSuffix</f>
        <v>EURFUT3MJ5_Quote</v>
      </c>
      <c r="F23" s="269" t="str">
        <f>Currency&amp;"FUT"&amp;$G$4&amp;$D23&amp;"ConvAdj"&amp;QuoteSuffix</f>
        <v>EURFUT3MJ5ConvAdj_Quote</v>
      </c>
      <c r="G23" s="268" t="str">
        <f>_xll.qlFuturesConvAdjustmentQuote($F23,IborIndex,$D23,$E23,Volatility,MeanReversion,Permanent,Trigger,ObjectOverwrite)</f>
        <v>EURFUT3MJ5ConvAdj_Quote#0008</v>
      </c>
      <c r="H23" s="84" t="str">
        <f>_xll.ohRangeRetrieveError(G23)</f>
        <v/>
      </c>
    </row>
    <row r="24" spans="1:8" x14ac:dyDescent="0.2">
      <c r="A24" s="160"/>
      <c r="B24" s="121">
        <v>18</v>
      </c>
      <c r="C24" s="158" t="b">
        <v>0</v>
      </c>
      <c r="D24" s="158" t="str">
        <v>K5</v>
      </c>
      <c r="E24" s="268" t="str">
        <f>Currency&amp;"FUT"&amp;$G$4&amp;$D24&amp;QuoteSuffix</f>
        <v>EURFUT3MK5_Quote</v>
      </c>
      <c r="F24" s="269" t="str">
        <f>Currency&amp;"FUT"&amp;$G$4&amp;$D24&amp;"ConvAdj"&amp;QuoteSuffix</f>
        <v>EURFUT3MK5ConvAdj_Quote</v>
      </c>
      <c r="G24" s="268" t="str">
        <f>_xll.qlFuturesConvAdjustmentQuote($F24,IborIndex,$D24,$E24,Volatility,MeanReversion,Permanent,Trigger,ObjectOverwrite)</f>
        <v>EURFUT3MK5ConvAdj_Quote#0008</v>
      </c>
      <c r="H24" s="84" t="str">
        <f>_xll.ohRangeRetrieveError(G24)</f>
        <v/>
      </c>
    </row>
    <row r="25" spans="1:8" x14ac:dyDescent="0.2">
      <c r="A25" s="160"/>
      <c r="B25" s="121">
        <v>19</v>
      </c>
      <c r="C25" s="158" t="b">
        <v>0</v>
      </c>
      <c r="D25" s="158" t="str">
        <v>M5</v>
      </c>
      <c r="E25" s="268" t="str">
        <f>Currency&amp;"FUT"&amp;$G$4&amp;$D25&amp;QuoteSuffix</f>
        <v>EURFUT3MM5_Quote</v>
      </c>
      <c r="F25" s="269" t="str">
        <f>Currency&amp;"FUT"&amp;$G$4&amp;$D25&amp;"ConvAdj"&amp;QuoteSuffix</f>
        <v>EURFUT3MM5ConvAdj_Quote</v>
      </c>
      <c r="G25" s="268" t="str">
        <f>_xll.qlFuturesConvAdjustmentQuote($F25,IborIndex,$D25,$E25,Volatility,MeanReversion,Permanent,Trigger,ObjectOverwrite)</f>
        <v>EURFUT3MM5ConvAdj_Quote#0008</v>
      </c>
      <c r="H25" s="84" t="str">
        <f>_xll.ohRangeRetrieveError(G25)</f>
        <v/>
      </c>
    </row>
    <row r="26" spans="1:8" x14ac:dyDescent="0.2">
      <c r="A26" s="160"/>
      <c r="B26" s="121">
        <v>20</v>
      </c>
      <c r="C26" s="158" t="b">
        <v>0</v>
      </c>
      <c r="D26" s="158" t="str">
        <v>N5</v>
      </c>
      <c r="E26" s="268" t="str">
        <f>Currency&amp;"FUT"&amp;$G$4&amp;$D26&amp;QuoteSuffix</f>
        <v>EURFUT3MN5_Quote</v>
      </c>
      <c r="F26" s="269" t="str">
        <f>Currency&amp;"FUT"&amp;$G$4&amp;$D26&amp;"ConvAdj"&amp;QuoteSuffix</f>
        <v>EURFUT3MN5ConvAdj_Quote</v>
      </c>
      <c r="G26" s="268" t="str">
        <f>_xll.qlFuturesConvAdjustmentQuote($F26,IborIndex,$D26,$E26,Volatility,MeanReversion,Permanent,Trigger,ObjectOverwrite)</f>
        <v>EURFUT3MN5ConvAdj_Quote#0008</v>
      </c>
      <c r="H26" s="84" t="str">
        <f>_xll.ohRangeRetrieveError(G26)</f>
        <v/>
      </c>
    </row>
    <row r="27" spans="1:8" x14ac:dyDescent="0.2">
      <c r="A27" s="160"/>
      <c r="B27" s="121">
        <v>21</v>
      </c>
      <c r="C27" s="158" t="b">
        <v>0</v>
      </c>
      <c r="D27" s="158" t="str">
        <v>Q5</v>
      </c>
      <c r="E27" s="268" t="str">
        <f>Currency&amp;"FUT"&amp;$G$4&amp;$D27&amp;QuoteSuffix</f>
        <v>EURFUT3MQ5_Quote</v>
      </c>
      <c r="F27" s="269" t="str">
        <f>Currency&amp;"FUT"&amp;$G$4&amp;$D27&amp;"ConvAdj"&amp;QuoteSuffix</f>
        <v>EURFUT3MQ5ConvAdj_Quote</v>
      </c>
      <c r="G27" s="268" t="str">
        <f>_xll.qlFuturesConvAdjustmentQuote($F27,IborIndex,$D27,$E27,Volatility,MeanReversion,Permanent,Trigger,ObjectOverwrite)</f>
        <v>EURFUT3MQ5ConvAdj_Quote#0008</v>
      </c>
      <c r="H27" s="84" t="str">
        <f>_xll.ohRangeRetrieveError(G27)</f>
        <v/>
      </c>
    </row>
    <row r="28" spans="1:8" x14ac:dyDescent="0.2">
      <c r="A28" s="160"/>
      <c r="B28" s="121">
        <v>22</v>
      </c>
      <c r="C28" s="158" t="b">
        <v>0</v>
      </c>
      <c r="D28" s="158" t="str">
        <v>U5</v>
      </c>
      <c r="E28" s="268" t="str">
        <f>Currency&amp;"FUT"&amp;$G$4&amp;$D28&amp;QuoteSuffix</f>
        <v>EURFUT3MU5_Quote</v>
      </c>
      <c r="F28" s="269" t="str">
        <f>Currency&amp;"FUT"&amp;$G$4&amp;$D28&amp;"ConvAdj"&amp;QuoteSuffix</f>
        <v>EURFUT3MU5ConvAdj_Quote</v>
      </c>
      <c r="G28" s="268" t="str">
        <f>_xll.qlFuturesConvAdjustmentQuote($F28,IborIndex,$D28,$E28,Volatility,MeanReversion,Permanent,Trigger,ObjectOverwrite)</f>
        <v>EURFUT3MU5ConvAdj_Quote#0008</v>
      </c>
      <c r="H28" s="84" t="str">
        <f>_xll.ohRangeRetrieveError(G28)</f>
        <v/>
      </c>
    </row>
    <row r="29" spans="1:8" x14ac:dyDescent="0.2">
      <c r="A29" s="160"/>
      <c r="B29" s="121">
        <v>23</v>
      </c>
      <c r="C29" s="158" t="b">
        <v>0</v>
      </c>
      <c r="D29" s="158" t="str">
        <v>V5</v>
      </c>
      <c r="E29" s="268" t="str">
        <f>Currency&amp;"FUT"&amp;$G$4&amp;$D29&amp;QuoteSuffix</f>
        <v>EURFUT3MV5_Quote</v>
      </c>
      <c r="F29" s="269" t="str">
        <f>Currency&amp;"FUT"&amp;$G$4&amp;$D29&amp;"ConvAdj"&amp;QuoteSuffix</f>
        <v>EURFUT3MV5ConvAdj_Quote</v>
      </c>
      <c r="G29" s="268" t="str">
        <f>_xll.qlFuturesConvAdjustmentQuote($F29,IborIndex,$D29,$E29,Volatility,MeanReversion,Permanent,Trigger,ObjectOverwrite)</f>
        <v>EURFUT3MV5ConvAdj_Quote#0008</v>
      </c>
      <c r="H29" s="84" t="str">
        <f>_xll.ohRangeRetrieveError(G29)</f>
        <v/>
      </c>
    </row>
    <row r="30" spans="1:8" x14ac:dyDescent="0.2">
      <c r="A30" s="160"/>
      <c r="B30" s="121">
        <v>24</v>
      </c>
      <c r="C30" s="158" t="b">
        <v>0</v>
      </c>
      <c r="D30" s="158" t="str">
        <v>X5</v>
      </c>
      <c r="E30" s="268" t="str">
        <f>Currency&amp;"FUT"&amp;$G$4&amp;$D30&amp;QuoteSuffix</f>
        <v>EURFUT3MX5_Quote</v>
      </c>
      <c r="F30" s="269" t="str">
        <f>Currency&amp;"FUT"&amp;$G$4&amp;$D30&amp;"ConvAdj"&amp;QuoteSuffix</f>
        <v>EURFUT3MX5ConvAdj_Quote</v>
      </c>
      <c r="G30" s="268" t="str">
        <f>_xll.qlFuturesConvAdjustmentQuote($F30,IborIndex,$D30,$E30,Volatility,MeanReversion,Permanent,Trigger,ObjectOverwrite)</f>
        <v>EURFUT3MX5ConvAdj_Quote#0008</v>
      </c>
      <c r="H30" s="84" t="str">
        <f>_xll.ohRangeRetrieveError(G30)</f>
        <v/>
      </c>
    </row>
    <row r="31" spans="1:8" x14ac:dyDescent="0.2">
      <c r="A31" s="160"/>
      <c r="B31" s="121">
        <v>25</v>
      </c>
      <c r="C31" s="158" t="b">
        <v>0</v>
      </c>
      <c r="D31" s="158" t="str">
        <v>Z5</v>
      </c>
      <c r="E31" s="268" t="str">
        <f>Currency&amp;"FUT"&amp;$G$4&amp;$D31&amp;QuoteSuffix</f>
        <v>EURFUT3MZ5_Quote</v>
      </c>
      <c r="F31" s="269" t="str">
        <f>Currency&amp;"FUT"&amp;$G$4&amp;$D31&amp;"ConvAdj"&amp;QuoteSuffix</f>
        <v>EURFUT3MZ5ConvAdj_Quote</v>
      </c>
      <c r="G31" s="268" t="str">
        <f>_xll.qlFuturesConvAdjustmentQuote($F31,IborIndex,$D31,$E31,Volatility,MeanReversion,Permanent,Trigger,ObjectOverwrite)</f>
        <v>EURFUT3MZ5ConvAdj_Quote#0008</v>
      </c>
      <c r="H31" s="84" t="str">
        <f>_xll.ohRangeRetrieveError(G31)</f>
        <v/>
      </c>
    </row>
    <row r="32" spans="1:8" x14ac:dyDescent="0.2">
      <c r="A32" s="160"/>
      <c r="B32" s="121">
        <v>26</v>
      </c>
      <c r="C32" s="158" t="b">
        <v>0</v>
      </c>
      <c r="D32" s="158" t="str">
        <v>F6</v>
      </c>
      <c r="E32" s="268" t="str">
        <f>Currency&amp;"FUT"&amp;$G$4&amp;$D32&amp;QuoteSuffix</f>
        <v>EURFUT3MF6_Quote</v>
      </c>
      <c r="F32" s="269" t="str">
        <f>Currency&amp;"FUT"&amp;$G$4&amp;$D32&amp;"ConvAdj"&amp;QuoteSuffix</f>
        <v>EURFUT3MF6ConvAdj_Quote</v>
      </c>
      <c r="G32" s="268" t="str">
        <f>_xll.qlFuturesConvAdjustmentQuote($F32,IborIndex,$D32,$E32,Volatility,MeanReversion,Permanent,Trigger,ObjectOverwrite)</f>
        <v>EURFUT3MF6ConvAdj_Quote#0008</v>
      </c>
      <c r="H32" s="84" t="str">
        <f>_xll.ohRangeRetrieveError(G32)</f>
        <v/>
      </c>
    </row>
    <row r="33" spans="1:8" x14ac:dyDescent="0.2">
      <c r="A33" s="160"/>
      <c r="B33" s="121">
        <v>27</v>
      </c>
      <c r="C33" s="158" t="b">
        <v>0</v>
      </c>
      <c r="D33" s="158" t="str">
        <v>G6</v>
      </c>
      <c r="E33" s="268" t="str">
        <f>Currency&amp;"FUT"&amp;$G$4&amp;$D33&amp;QuoteSuffix</f>
        <v>EURFUT3MG6_Quote</v>
      </c>
      <c r="F33" s="269" t="str">
        <f>Currency&amp;"FUT"&amp;$G$4&amp;$D33&amp;"ConvAdj"&amp;QuoteSuffix</f>
        <v>EURFUT3MG6ConvAdj_Quote</v>
      </c>
      <c r="G33" s="268" t="str">
        <f>_xll.qlFuturesConvAdjustmentQuote($F33,IborIndex,$D33,$E33,Volatility,MeanReversion,Permanent,Trigger,ObjectOverwrite)</f>
        <v>EURFUT3MG6ConvAdj_Quote#0008</v>
      </c>
      <c r="H33" s="84" t="str">
        <f>_xll.ohRangeRetrieveError(G33)</f>
        <v/>
      </c>
    </row>
    <row r="34" spans="1:8" x14ac:dyDescent="0.2">
      <c r="A34" s="160"/>
      <c r="B34" s="121">
        <v>28</v>
      </c>
      <c r="C34" s="158" t="b">
        <v>0</v>
      </c>
      <c r="D34" s="158" t="str">
        <v>H6</v>
      </c>
      <c r="E34" s="268" t="str">
        <f>Currency&amp;"FUT"&amp;$G$4&amp;$D34&amp;QuoteSuffix</f>
        <v>EURFUT3MH6_Quote</v>
      </c>
      <c r="F34" s="269" t="str">
        <f>Currency&amp;"FUT"&amp;$G$4&amp;$D34&amp;"ConvAdj"&amp;QuoteSuffix</f>
        <v>EURFUT3MH6ConvAdj_Quote</v>
      </c>
      <c r="G34" s="268" t="str">
        <f>_xll.qlFuturesConvAdjustmentQuote($F34,IborIndex,$D34,$E34,Volatility,MeanReversion,Permanent,Trigger,ObjectOverwrite)</f>
        <v>EURFUT3MH6ConvAdj_Quote#0008</v>
      </c>
      <c r="H34" s="84" t="str">
        <f>_xll.ohRangeRetrieveError(G34)</f>
        <v/>
      </c>
    </row>
    <row r="35" spans="1:8" x14ac:dyDescent="0.2">
      <c r="A35" s="160"/>
      <c r="B35" s="121">
        <v>29</v>
      </c>
      <c r="C35" s="158" t="b">
        <v>0</v>
      </c>
      <c r="D35" s="158" t="str">
        <v>J6</v>
      </c>
      <c r="E35" s="268" t="str">
        <f>Currency&amp;"FUT"&amp;$G$4&amp;$D35&amp;QuoteSuffix</f>
        <v>EURFUT3MJ6_Quote</v>
      </c>
      <c r="F35" s="269" t="str">
        <f>Currency&amp;"FUT"&amp;$G$4&amp;$D35&amp;"ConvAdj"&amp;QuoteSuffix</f>
        <v>EURFUT3MJ6ConvAdj_Quote</v>
      </c>
      <c r="G35" s="268" t="str">
        <f>_xll.qlFuturesConvAdjustmentQuote($F35,IborIndex,$D35,$E35,Volatility,MeanReversion,Permanent,Trigger,ObjectOverwrite)</f>
        <v>EURFUT3MJ6ConvAdj_Quote#0008</v>
      </c>
      <c r="H35" s="84" t="str">
        <f>_xll.ohRangeRetrieveError(G35)</f>
        <v/>
      </c>
    </row>
    <row r="36" spans="1:8" x14ac:dyDescent="0.2">
      <c r="A36" s="160"/>
      <c r="B36" s="121">
        <v>30</v>
      </c>
      <c r="C36" s="158" t="b">
        <v>0</v>
      </c>
      <c r="D36" s="158" t="str">
        <v>K6</v>
      </c>
      <c r="E36" s="268" t="str">
        <f>Currency&amp;"FUT"&amp;$G$4&amp;$D36&amp;QuoteSuffix</f>
        <v>EURFUT3MK6_Quote</v>
      </c>
      <c r="F36" s="269" t="str">
        <f>Currency&amp;"FUT"&amp;$G$4&amp;$D36&amp;"ConvAdj"&amp;QuoteSuffix</f>
        <v>EURFUT3MK6ConvAdj_Quote</v>
      </c>
      <c r="G36" s="268" t="str">
        <f>_xll.qlFuturesConvAdjustmentQuote($F36,IborIndex,$D36,$E36,Volatility,MeanReversion,Permanent,Trigger,ObjectOverwrite)</f>
        <v>EURFUT3MK6ConvAdj_Quote#0008</v>
      </c>
      <c r="H36" s="84" t="str">
        <f>_xll.ohRangeRetrieveError(G36)</f>
        <v/>
      </c>
    </row>
    <row r="37" spans="1:8" x14ac:dyDescent="0.2">
      <c r="A37" s="160"/>
      <c r="B37" s="121">
        <v>31</v>
      </c>
      <c r="C37" s="158" t="b">
        <v>0</v>
      </c>
      <c r="D37" s="158" t="str">
        <v>M6</v>
      </c>
      <c r="E37" s="268" t="str">
        <f>Currency&amp;"FUT"&amp;$G$4&amp;$D37&amp;QuoteSuffix</f>
        <v>EURFUT3MM6_Quote</v>
      </c>
      <c r="F37" s="269" t="str">
        <f>Currency&amp;"FUT"&amp;$G$4&amp;$D37&amp;"ConvAdj"&amp;QuoteSuffix</f>
        <v>EURFUT3MM6ConvAdj_Quote</v>
      </c>
      <c r="G37" s="268" t="str">
        <f>_xll.qlFuturesConvAdjustmentQuote($F37,IborIndex,$D37,$E37,Volatility,MeanReversion,Permanent,Trigger,ObjectOverwrite)</f>
        <v>EURFUT3MM6ConvAdj_Quote#0008</v>
      </c>
      <c r="H37" s="84" t="str">
        <f>_xll.ohRangeRetrieveError(G37)</f>
        <v/>
      </c>
    </row>
    <row r="38" spans="1:8" x14ac:dyDescent="0.2">
      <c r="A38" s="160"/>
      <c r="B38" s="121">
        <v>32</v>
      </c>
      <c r="C38" s="158" t="b">
        <v>0</v>
      </c>
      <c r="D38" s="158" t="str">
        <v>N6</v>
      </c>
      <c r="E38" s="268" t="str">
        <f>Currency&amp;"FUT"&amp;$G$4&amp;$D38&amp;QuoteSuffix</f>
        <v>EURFUT3MN6_Quote</v>
      </c>
      <c r="F38" s="269" t="str">
        <f>Currency&amp;"FUT"&amp;$G$4&amp;$D38&amp;"ConvAdj"&amp;QuoteSuffix</f>
        <v>EURFUT3MN6ConvAdj_Quote</v>
      </c>
      <c r="G38" s="268" t="str">
        <f>_xll.qlFuturesConvAdjustmentQuote($F38,IborIndex,$D38,$E38,Volatility,MeanReversion,Permanent,Trigger,ObjectOverwrite)</f>
        <v>EURFUT3MN6ConvAdj_Quote#0008</v>
      </c>
      <c r="H38" s="84" t="str">
        <f>_xll.ohRangeRetrieveError(G38)</f>
        <v/>
      </c>
    </row>
    <row r="39" spans="1:8" x14ac:dyDescent="0.2">
      <c r="A39" s="160"/>
      <c r="B39" s="121">
        <v>33</v>
      </c>
      <c r="C39" s="158" t="b">
        <v>0</v>
      </c>
      <c r="D39" s="158" t="str">
        <v>Q6</v>
      </c>
      <c r="E39" s="268" t="str">
        <f>Currency&amp;"FUT"&amp;$G$4&amp;$D39&amp;QuoteSuffix</f>
        <v>EURFUT3MQ6_Quote</v>
      </c>
      <c r="F39" s="269" t="str">
        <f>Currency&amp;"FUT"&amp;$G$4&amp;$D39&amp;"ConvAdj"&amp;QuoteSuffix</f>
        <v>EURFUT3MQ6ConvAdj_Quote</v>
      </c>
      <c r="G39" s="268" t="str">
        <f>_xll.qlFuturesConvAdjustmentQuote($F39,IborIndex,$D39,$E39,Volatility,MeanReversion,Permanent,Trigger,ObjectOverwrite)</f>
        <v>EURFUT3MQ6ConvAdj_Quote#0008</v>
      </c>
      <c r="H39" s="84" t="str">
        <f>_xll.ohRangeRetrieveError(G39)</f>
        <v/>
      </c>
    </row>
    <row r="40" spans="1:8" x14ac:dyDescent="0.2">
      <c r="A40" s="160"/>
      <c r="B40" s="121">
        <v>34</v>
      </c>
      <c r="C40" s="158" t="b">
        <v>0</v>
      </c>
      <c r="D40" s="158" t="str">
        <v>U6</v>
      </c>
      <c r="E40" s="268" t="str">
        <f>Currency&amp;"FUT"&amp;$G$4&amp;$D40&amp;QuoteSuffix</f>
        <v>EURFUT3MU6_Quote</v>
      </c>
      <c r="F40" s="269" t="str">
        <f>Currency&amp;"FUT"&amp;$G$4&amp;$D40&amp;"ConvAdj"&amp;QuoteSuffix</f>
        <v>EURFUT3MU6ConvAdj_Quote</v>
      </c>
      <c r="G40" s="268" t="str">
        <f>_xll.qlFuturesConvAdjustmentQuote($F40,IborIndex,$D40,$E40,Volatility,MeanReversion,Permanent,Trigger,ObjectOverwrite)</f>
        <v>EURFUT3MU6ConvAdj_Quote#0008</v>
      </c>
      <c r="H40" s="84" t="str">
        <f>_xll.ohRangeRetrieveError(G40)</f>
        <v/>
      </c>
    </row>
    <row r="41" spans="1:8" x14ac:dyDescent="0.2">
      <c r="A41" s="160"/>
      <c r="B41" s="121">
        <v>35</v>
      </c>
      <c r="C41" s="158" t="b">
        <v>0</v>
      </c>
      <c r="D41" s="158" t="str">
        <v>V6</v>
      </c>
      <c r="E41" s="268" t="str">
        <f>Currency&amp;"FUT"&amp;$G$4&amp;$D41&amp;QuoteSuffix</f>
        <v>EURFUT3MV6_Quote</v>
      </c>
      <c r="F41" s="269" t="str">
        <f>Currency&amp;"FUT"&amp;$G$4&amp;$D41&amp;"ConvAdj"&amp;QuoteSuffix</f>
        <v>EURFUT3MV6ConvAdj_Quote</v>
      </c>
      <c r="G41" s="268" t="str">
        <f>_xll.qlFuturesConvAdjustmentQuote($F41,IborIndex,$D41,$E41,Volatility,MeanReversion,Permanent,Trigger,ObjectOverwrite)</f>
        <v>EURFUT3MV6ConvAdj_Quote#0008</v>
      </c>
      <c r="H41" s="84" t="str">
        <f>_xll.ohRangeRetrieveError(G41)</f>
        <v/>
      </c>
    </row>
    <row r="42" spans="1:8" x14ac:dyDescent="0.2">
      <c r="A42" s="160"/>
      <c r="B42" s="121">
        <v>36</v>
      </c>
      <c r="C42" s="158" t="b">
        <v>0</v>
      </c>
      <c r="D42" s="158" t="str">
        <v>X6</v>
      </c>
      <c r="E42" s="268" t="str">
        <f>Currency&amp;"FUT"&amp;$G$4&amp;$D42&amp;QuoteSuffix</f>
        <v>EURFUT3MX6_Quote</v>
      </c>
      <c r="F42" s="269" t="str">
        <f>Currency&amp;"FUT"&amp;$G$4&amp;$D42&amp;"ConvAdj"&amp;QuoteSuffix</f>
        <v>EURFUT3MX6ConvAdj_Quote</v>
      </c>
      <c r="G42" s="268" t="str">
        <f>_xll.qlFuturesConvAdjustmentQuote($F42,IborIndex,$D42,$E42,Volatility,MeanReversion,Permanent,Trigger,ObjectOverwrite)</f>
        <v>EURFUT3MX6ConvAdj_Quote#0008</v>
      </c>
      <c r="H42" s="84" t="str">
        <f>_xll.ohRangeRetrieveError(G42)</f>
        <v/>
      </c>
    </row>
    <row r="43" spans="1:8" x14ac:dyDescent="0.2">
      <c r="A43" s="160"/>
      <c r="B43" s="121">
        <v>37</v>
      </c>
      <c r="C43" s="158" t="b">
        <v>0</v>
      </c>
      <c r="D43" s="158" t="str">
        <v>Z6</v>
      </c>
      <c r="E43" s="268" t="str">
        <f>Currency&amp;"FUT"&amp;$G$4&amp;$D43&amp;QuoteSuffix</f>
        <v>EURFUT3MZ6_Quote</v>
      </c>
      <c r="F43" s="269" t="str">
        <f>Currency&amp;"FUT"&amp;$G$4&amp;$D43&amp;"ConvAdj"&amp;QuoteSuffix</f>
        <v>EURFUT3MZ6ConvAdj_Quote</v>
      </c>
      <c r="G43" s="268" t="str">
        <f>_xll.qlFuturesConvAdjustmentQuote($F43,IborIndex,$D43,$E43,Volatility,MeanReversion,Permanent,Trigger,ObjectOverwrite)</f>
        <v>EURFUT3MZ6ConvAdj_Quote#0008</v>
      </c>
      <c r="H43" s="84" t="str">
        <f>_xll.ohRangeRetrieveError(G43)</f>
        <v/>
      </c>
    </row>
    <row r="44" spans="1:8" x14ac:dyDescent="0.2">
      <c r="A44" s="160"/>
      <c r="B44" s="121">
        <v>38</v>
      </c>
      <c r="C44" s="158" t="b">
        <v>0</v>
      </c>
      <c r="D44" s="158" t="str">
        <v>F7</v>
      </c>
      <c r="E44" s="268" t="str">
        <f>Currency&amp;"FUT"&amp;$G$4&amp;$D44&amp;QuoteSuffix</f>
        <v>EURFUT3MF7_Quote</v>
      </c>
      <c r="F44" s="269" t="str">
        <f>Currency&amp;"FUT"&amp;$G$4&amp;$D44&amp;"ConvAdj"&amp;QuoteSuffix</f>
        <v>EURFUT3MF7ConvAdj_Quote</v>
      </c>
      <c r="G44" s="268" t="str">
        <f>_xll.qlFuturesConvAdjustmentQuote($F44,IborIndex,$D44,$E44,Volatility,MeanReversion,Permanent,Trigger,ObjectOverwrite)</f>
        <v>EURFUT3MF7ConvAdj_Quote#0008</v>
      </c>
      <c r="H44" s="84" t="str">
        <f>_xll.ohRangeRetrieveError(G44)</f>
        <v/>
      </c>
    </row>
    <row r="45" spans="1:8" x14ac:dyDescent="0.2">
      <c r="A45" s="160"/>
      <c r="B45" s="121">
        <v>39</v>
      </c>
      <c r="C45" s="158" t="b">
        <v>0</v>
      </c>
      <c r="D45" s="158" t="str">
        <v>G7</v>
      </c>
      <c r="E45" s="268" t="str">
        <f>Currency&amp;"FUT"&amp;$G$4&amp;$D45&amp;QuoteSuffix</f>
        <v>EURFUT3MG7_Quote</v>
      </c>
      <c r="F45" s="269" t="str">
        <f>Currency&amp;"FUT"&amp;$G$4&amp;$D45&amp;"ConvAdj"&amp;QuoteSuffix</f>
        <v>EURFUT3MG7ConvAdj_Quote</v>
      </c>
      <c r="G45" s="268" t="str">
        <f>_xll.qlFuturesConvAdjustmentQuote($F45,IborIndex,$D45,$E45,Volatility,MeanReversion,Permanent,Trigger,ObjectOverwrite)</f>
        <v>EURFUT3MG7ConvAdj_Quote#0008</v>
      </c>
      <c r="H45" s="84" t="str">
        <f>_xll.ohRangeRetrieveError(G45)</f>
        <v/>
      </c>
    </row>
    <row r="46" spans="1:8" x14ac:dyDescent="0.2">
      <c r="A46" s="160"/>
      <c r="B46" s="121">
        <v>40</v>
      </c>
      <c r="C46" s="158" t="b">
        <v>0</v>
      </c>
      <c r="D46" s="158" t="str">
        <v>H7</v>
      </c>
      <c r="E46" s="268" t="str">
        <f>Currency&amp;"FUT"&amp;$G$4&amp;$D46&amp;QuoteSuffix</f>
        <v>EURFUT3MH7_Quote</v>
      </c>
      <c r="F46" s="269" t="str">
        <f>Currency&amp;"FUT"&amp;$G$4&amp;$D46&amp;"ConvAdj"&amp;QuoteSuffix</f>
        <v>EURFUT3MH7ConvAdj_Quote</v>
      </c>
      <c r="G46" s="268" t="str">
        <f>_xll.qlFuturesConvAdjustmentQuote($F46,IborIndex,$D46,$E46,Volatility,MeanReversion,Permanent,Trigger,ObjectOverwrite)</f>
        <v>EURFUT3MH7ConvAdj_Quote#0008</v>
      </c>
      <c r="H46" s="84" t="str">
        <f>_xll.ohRangeRetrieveError(G46)</f>
        <v/>
      </c>
    </row>
    <row r="47" spans="1:8" x14ac:dyDescent="0.2">
      <c r="A47" s="160"/>
      <c r="B47" s="121">
        <v>41</v>
      </c>
      <c r="C47" s="158" t="b">
        <v>0</v>
      </c>
      <c r="D47" s="158" t="str">
        <v>J7</v>
      </c>
      <c r="E47" s="268" t="str">
        <f>Currency&amp;"FUT"&amp;$G$4&amp;$D47&amp;QuoteSuffix</f>
        <v>EURFUT3MJ7_Quote</v>
      </c>
      <c r="F47" s="269" t="str">
        <f>Currency&amp;"FUT"&amp;$G$4&amp;$D47&amp;"ConvAdj"&amp;QuoteSuffix</f>
        <v>EURFUT3MJ7ConvAdj_Quote</v>
      </c>
      <c r="G47" s="268" t="str">
        <f>_xll.qlFuturesConvAdjustmentQuote($F47,IborIndex,$D47,$E47,Volatility,MeanReversion,Permanent,Trigger,ObjectOverwrite)</f>
        <v>EURFUT3MJ7ConvAdj_Quote#0008</v>
      </c>
      <c r="H47" s="84" t="str">
        <f>_xll.ohRangeRetrieveError(G47)</f>
        <v/>
      </c>
    </row>
    <row r="48" spans="1:8" x14ac:dyDescent="0.2">
      <c r="A48" s="160"/>
      <c r="B48" s="121">
        <v>42</v>
      </c>
      <c r="C48" s="158" t="b">
        <v>0</v>
      </c>
      <c r="D48" s="158" t="str">
        <v>K7</v>
      </c>
      <c r="E48" s="268" t="str">
        <f>Currency&amp;"FUT"&amp;$G$4&amp;$D48&amp;QuoteSuffix</f>
        <v>EURFUT3MK7_Quote</v>
      </c>
      <c r="F48" s="269" t="str">
        <f>Currency&amp;"FUT"&amp;$G$4&amp;$D48&amp;"ConvAdj"&amp;QuoteSuffix</f>
        <v>EURFUT3MK7ConvAdj_Quote</v>
      </c>
      <c r="G48" s="268" t="str">
        <f>_xll.qlFuturesConvAdjustmentQuote($F48,IborIndex,$D48,$E48,Volatility,MeanReversion,Permanent,Trigger,ObjectOverwrite)</f>
        <v>EURFUT3MK7ConvAdj_Quote#0008</v>
      </c>
      <c r="H48" s="84" t="str">
        <f>_xll.ohRangeRetrieveError(G48)</f>
        <v/>
      </c>
    </row>
    <row r="49" spans="1:8" x14ac:dyDescent="0.2">
      <c r="A49" s="160"/>
      <c r="B49" s="121">
        <v>43</v>
      </c>
      <c r="C49" s="158" t="b">
        <v>0</v>
      </c>
      <c r="D49" s="158" t="str">
        <v>M7</v>
      </c>
      <c r="E49" s="268" t="str">
        <f>Currency&amp;"FUT"&amp;$G$4&amp;$D49&amp;QuoteSuffix</f>
        <v>EURFUT3MM7_Quote</v>
      </c>
      <c r="F49" s="269" t="str">
        <f>Currency&amp;"FUT"&amp;$G$4&amp;$D49&amp;"ConvAdj"&amp;QuoteSuffix</f>
        <v>EURFUT3MM7ConvAdj_Quote</v>
      </c>
      <c r="G49" s="268" t="str">
        <f>_xll.qlFuturesConvAdjustmentQuote($F49,IborIndex,$D49,$E49,Volatility,MeanReversion,Permanent,Trigger,ObjectOverwrite)</f>
        <v>EURFUT3MM7ConvAdj_Quote#0008</v>
      </c>
      <c r="H49" s="84" t="str">
        <f>_xll.ohRangeRetrieveError(G49)</f>
        <v/>
      </c>
    </row>
    <row r="50" spans="1:8" x14ac:dyDescent="0.2">
      <c r="A50" s="160"/>
      <c r="B50" s="121">
        <v>44</v>
      </c>
      <c r="C50" s="158" t="b">
        <v>0</v>
      </c>
      <c r="D50" s="158" t="str">
        <v>N7</v>
      </c>
      <c r="E50" s="268" t="str">
        <f>Currency&amp;"FUT"&amp;$G$4&amp;$D50&amp;QuoteSuffix</f>
        <v>EURFUT3MN7_Quote</v>
      </c>
      <c r="F50" s="269" t="str">
        <f>Currency&amp;"FUT"&amp;$G$4&amp;$D50&amp;"ConvAdj"&amp;QuoteSuffix</f>
        <v>EURFUT3MN7ConvAdj_Quote</v>
      </c>
      <c r="G50" s="268" t="str">
        <f>_xll.qlFuturesConvAdjustmentQuote($F50,IborIndex,$D50,$E50,Volatility,MeanReversion,Permanent,Trigger,ObjectOverwrite)</f>
        <v>EURFUT3MN7ConvAdj_Quote#0008</v>
      </c>
      <c r="H50" s="84" t="str">
        <f>_xll.ohRangeRetrieveError(G50)</f>
        <v/>
      </c>
    </row>
    <row r="51" spans="1:8" x14ac:dyDescent="0.2">
      <c r="A51" s="160"/>
      <c r="B51" s="121">
        <v>45</v>
      </c>
      <c r="C51" s="158" t="b">
        <v>0</v>
      </c>
      <c r="D51" s="158" t="str">
        <v>Q7</v>
      </c>
      <c r="E51" s="268" t="str">
        <f>Currency&amp;"FUT"&amp;$G$4&amp;$D51&amp;QuoteSuffix</f>
        <v>EURFUT3MQ7_Quote</v>
      </c>
      <c r="F51" s="269" t="str">
        <f>Currency&amp;"FUT"&amp;$G$4&amp;$D51&amp;"ConvAdj"&amp;QuoteSuffix</f>
        <v>EURFUT3MQ7ConvAdj_Quote</v>
      </c>
      <c r="G51" s="268" t="str">
        <f>_xll.qlFuturesConvAdjustmentQuote($F51,IborIndex,$D51,$E51,Volatility,MeanReversion,Permanent,Trigger,ObjectOverwrite)</f>
        <v>EURFUT3MQ7ConvAdj_Quote#0008</v>
      </c>
      <c r="H51" s="84" t="str">
        <f>_xll.ohRangeRetrieveError(G51)</f>
        <v/>
      </c>
    </row>
    <row r="52" spans="1:8" x14ac:dyDescent="0.2">
      <c r="A52" s="160"/>
      <c r="B52" s="121">
        <v>46</v>
      </c>
      <c r="C52" s="158" t="b">
        <v>0</v>
      </c>
      <c r="D52" s="158" t="str">
        <v>U7</v>
      </c>
      <c r="E52" s="268" t="str">
        <f>Currency&amp;"FUT"&amp;$G$4&amp;$D52&amp;QuoteSuffix</f>
        <v>EURFUT3MU7_Quote</v>
      </c>
      <c r="F52" s="269" t="str">
        <f>Currency&amp;"FUT"&amp;$G$4&amp;$D52&amp;"ConvAdj"&amp;QuoteSuffix</f>
        <v>EURFUT3MU7ConvAdj_Quote</v>
      </c>
      <c r="G52" s="268" t="str">
        <f>_xll.qlFuturesConvAdjustmentQuote($F52,IborIndex,$D52,$E52,Volatility,MeanReversion,Permanent,Trigger,ObjectOverwrite)</f>
        <v>EURFUT3MU7ConvAdj_Quote#0008</v>
      </c>
      <c r="H52" s="84" t="str">
        <f>_xll.ohRangeRetrieveError(G52)</f>
        <v/>
      </c>
    </row>
    <row r="53" spans="1:8" x14ac:dyDescent="0.2">
      <c r="A53" s="160"/>
      <c r="B53" s="121">
        <v>47</v>
      </c>
      <c r="C53" s="158" t="b">
        <v>0</v>
      </c>
      <c r="D53" s="158" t="str">
        <v>V7</v>
      </c>
      <c r="E53" s="268" t="str">
        <f>Currency&amp;"FUT"&amp;$G$4&amp;$D53&amp;QuoteSuffix</f>
        <v>EURFUT3MV7_Quote</v>
      </c>
      <c r="F53" s="269" t="str">
        <f>Currency&amp;"FUT"&amp;$G$4&amp;$D53&amp;"ConvAdj"&amp;QuoteSuffix</f>
        <v>EURFUT3MV7ConvAdj_Quote</v>
      </c>
      <c r="G53" s="268" t="str">
        <f>_xll.qlFuturesConvAdjustmentQuote($F53,IborIndex,$D53,$E53,Volatility,MeanReversion,Permanent,Trigger,ObjectOverwrite)</f>
        <v>EURFUT3MV7ConvAdj_Quote#0008</v>
      </c>
      <c r="H53" s="84" t="str">
        <f>_xll.ohRangeRetrieveError(G53)</f>
        <v/>
      </c>
    </row>
    <row r="54" spans="1:8" x14ac:dyDescent="0.2">
      <c r="A54" s="160"/>
      <c r="B54" s="121">
        <v>48</v>
      </c>
      <c r="C54" s="158" t="b">
        <v>0</v>
      </c>
      <c r="D54" s="158" t="str">
        <v>X7</v>
      </c>
      <c r="E54" s="268" t="str">
        <f>Currency&amp;"FUT"&amp;$G$4&amp;$D54&amp;QuoteSuffix</f>
        <v>EURFUT3MX7_Quote</v>
      </c>
      <c r="F54" s="269" t="str">
        <f>Currency&amp;"FUT"&amp;$G$4&amp;$D54&amp;"ConvAdj"&amp;QuoteSuffix</f>
        <v>EURFUT3MX7ConvAdj_Quote</v>
      </c>
      <c r="G54" s="268" t="str">
        <f>_xll.qlFuturesConvAdjustmentQuote($F54,IborIndex,$D54,$E54,Volatility,MeanReversion,Permanent,Trigger,ObjectOverwrite)</f>
        <v>EURFUT3MX7ConvAdj_Quote#0008</v>
      </c>
      <c r="H54" s="84" t="str">
        <f>_xll.ohRangeRetrieveError(G54)</f>
        <v/>
      </c>
    </row>
    <row r="55" spans="1:8" x14ac:dyDescent="0.2">
      <c r="A55" s="160"/>
      <c r="B55" s="121">
        <v>49</v>
      </c>
      <c r="C55" s="158" t="b">
        <v>0</v>
      </c>
      <c r="D55" s="158" t="str">
        <v>Z7</v>
      </c>
      <c r="E55" s="268" t="str">
        <f>Currency&amp;"FUT"&amp;$G$4&amp;$D55&amp;QuoteSuffix</f>
        <v>EURFUT3MZ7_Quote</v>
      </c>
      <c r="F55" s="269" t="str">
        <f>Currency&amp;"FUT"&amp;$G$4&amp;$D55&amp;"ConvAdj"&amp;QuoteSuffix</f>
        <v>EURFUT3MZ7ConvAdj_Quote</v>
      </c>
      <c r="G55" s="268" t="str">
        <f>_xll.qlFuturesConvAdjustmentQuote($F55,IborIndex,$D55,$E55,Volatility,MeanReversion,Permanent,Trigger,ObjectOverwrite)</f>
        <v>EURFUT3MZ7ConvAdj_Quote#0008</v>
      </c>
      <c r="H55" s="84" t="str">
        <f>_xll.ohRangeRetrieveError(G55)</f>
        <v/>
      </c>
    </row>
    <row r="56" spans="1:8" x14ac:dyDescent="0.2">
      <c r="A56" s="160"/>
      <c r="B56" s="121">
        <v>50</v>
      </c>
      <c r="C56" s="158" t="b">
        <v>0</v>
      </c>
      <c r="D56" s="158" t="str">
        <v>F8</v>
      </c>
      <c r="E56" s="268" t="str">
        <f>Currency&amp;"FUT"&amp;$G$4&amp;$D56&amp;QuoteSuffix</f>
        <v>EURFUT3MF8_Quote</v>
      </c>
      <c r="F56" s="269" t="str">
        <f>Currency&amp;"FUT"&amp;$G$4&amp;$D56&amp;"ConvAdj"&amp;QuoteSuffix</f>
        <v>EURFUT3MF8ConvAdj_Quote</v>
      </c>
      <c r="G56" s="268" t="str">
        <f>_xll.qlFuturesConvAdjustmentQuote($F56,IborIndex,$D56,$E56,Volatility,MeanReversion,Permanent,Trigger,ObjectOverwrite)</f>
        <v>EURFUT3MF8ConvAdj_Quote#0008</v>
      </c>
      <c r="H56" s="84" t="str">
        <f>_xll.ohRangeRetrieveError(G56)</f>
        <v/>
      </c>
    </row>
    <row r="57" spans="1:8" x14ac:dyDescent="0.2">
      <c r="A57" s="160"/>
      <c r="B57" s="121">
        <v>51</v>
      </c>
      <c r="C57" s="158" t="b">
        <v>0</v>
      </c>
      <c r="D57" s="158" t="str">
        <v>G8</v>
      </c>
      <c r="E57" s="268" t="str">
        <f>Currency&amp;"FUT"&amp;$G$4&amp;$D57&amp;QuoteSuffix</f>
        <v>EURFUT3MG8_Quote</v>
      </c>
      <c r="F57" s="269" t="str">
        <f>Currency&amp;"FUT"&amp;$G$4&amp;$D57&amp;"ConvAdj"&amp;QuoteSuffix</f>
        <v>EURFUT3MG8ConvAdj_Quote</v>
      </c>
      <c r="G57" s="268" t="str">
        <f>_xll.qlFuturesConvAdjustmentQuote($F57,IborIndex,$D57,$E57,Volatility,MeanReversion,Permanent,Trigger,ObjectOverwrite)</f>
        <v>EURFUT3MG8ConvAdj_Quote#0008</v>
      </c>
      <c r="H57" s="84" t="str">
        <f>_xll.ohRangeRetrieveError(G57)</f>
        <v/>
      </c>
    </row>
    <row r="58" spans="1:8" x14ac:dyDescent="0.2">
      <c r="A58" s="160"/>
      <c r="B58" s="121">
        <v>52</v>
      </c>
      <c r="C58" s="158" t="b">
        <v>0</v>
      </c>
      <c r="D58" s="158" t="str">
        <v>H8</v>
      </c>
      <c r="E58" s="268" t="str">
        <f>Currency&amp;"FUT"&amp;$G$4&amp;$D58&amp;QuoteSuffix</f>
        <v>EURFUT3MH8_Quote</v>
      </c>
      <c r="F58" s="269" t="str">
        <f>Currency&amp;"FUT"&amp;$G$4&amp;$D58&amp;"ConvAdj"&amp;QuoteSuffix</f>
        <v>EURFUT3MH8ConvAdj_Quote</v>
      </c>
      <c r="G58" s="268" t="str">
        <f>_xll.qlFuturesConvAdjustmentQuote($F58,IborIndex,$D58,$E58,Volatility,MeanReversion,Permanent,Trigger,ObjectOverwrite)</f>
        <v>EURFUT3MH8ConvAdj_Quote#0008</v>
      </c>
      <c r="H58" s="84" t="str">
        <f>_xll.ohRangeRetrieveError(G58)</f>
        <v/>
      </c>
    </row>
    <row r="59" spans="1:8" x14ac:dyDescent="0.2">
      <c r="A59" s="160"/>
      <c r="B59" s="121">
        <v>53</v>
      </c>
      <c r="C59" s="158" t="b">
        <v>0</v>
      </c>
      <c r="D59" s="158" t="str">
        <v>J8</v>
      </c>
      <c r="E59" s="268" t="str">
        <f>Currency&amp;"FUT"&amp;$G$4&amp;$D59&amp;QuoteSuffix</f>
        <v>EURFUT3MJ8_Quote</v>
      </c>
      <c r="F59" s="269" t="str">
        <f>Currency&amp;"FUT"&amp;$G$4&amp;$D59&amp;"ConvAdj"&amp;QuoteSuffix</f>
        <v>EURFUT3MJ8ConvAdj_Quote</v>
      </c>
      <c r="G59" s="268" t="str">
        <f>_xll.qlFuturesConvAdjustmentQuote($F59,IborIndex,$D59,$E59,Volatility,MeanReversion,Permanent,Trigger,ObjectOverwrite)</f>
        <v>EURFUT3MJ8ConvAdj_Quote#0008</v>
      </c>
      <c r="H59" s="84" t="str">
        <f>_xll.ohRangeRetrieveError(G59)</f>
        <v/>
      </c>
    </row>
    <row r="60" spans="1:8" x14ac:dyDescent="0.2">
      <c r="A60" s="160"/>
      <c r="B60" s="121">
        <v>54</v>
      </c>
      <c r="C60" s="158" t="b">
        <v>0</v>
      </c>
      <c r="D60" s="158" t="str">
        <v>K8</v>
      </c>
      <c r="E60" s="268" t="str">
        <f>Currency&amp;"FUT"&amp;$G$4&amp;$D60&amp;QuoteSuffix</f>
        <v>EURFUT3MK8_Quote</v>
      </c>
      <c r="F60" s="269" t="str">
        <f>Currency&amp;"FUT"&amp;$G$4&amp;$D60&amp;"ConvAdj"&amp;QuoteSuffix</f>
        <v>EURFUT3MK8ConvAdj_Quote</v>
      </c>
      <c r="G60" s="268" t="str">
        <f>_xll.qlFuturesConvAdjustmentQuote($F60,IborIndex,$D60,$E60,Volatility,MeanReversion,Permanent,Trigger,ObjectOverwrite)</f>
        <v>EURFUT3MK8ConvAdj_Quote#0008</v>
      </c>
      <c r="H60" s="84" t="str">
        <f>_xll.ohRangeRetrieveError(G60)</f>
        <v/>
      </c>
    </row>
    <row r="61" spans="1:8" x14ac:dyDescent="0.2">
      <c r="A61" s="160"/>
      <c r="B61" s="121">
        <v>55</v>
      </c>
      <c r="C61" s="158" t="b">
        <v>0</v>
      </c>
      <c r="D61" s="158" t="str">
        <v>M8</v>
      </c>
      <c r="E61" s="268" t="str">
        <f>Currency&amp;"FUT"&amp;$G$4&amp;$D61&amp;QuoteSuffix</f>
        <v>EURFUT3MM8_Quote</v>
      </c>
      <c r="F61" s="269" t="str">
        <f>Currency&amp;"FUT"&amp;$G$4&amp;$D61&amp;"ConvAdj"&amp;QuoteSuffix</f>
        <v>EURFUT3MM8ConvAdj_Quote</v>
      </c>
      <c r="G61" s="268" t="str">
        <f>_xll.qlFuturesConvAdjustmentQuote($F61,IborIndex,$D61,$E61,Volatility,MeanReversion,Permanent,Trigger,ObjectOverwrite)</f>
        <v>EURFUT3MM8ConvAdj_Quote#0008</v>
      </c>
      <c r="H61" s="84" t="str">
        <f>_xll.ohRangeRetrieveError(G61)</f>
        <v/>
      </c>
    </row>
    <row r="62" spans="1:8" x14ac:dyDescent="0.2">
      <c r="A62" s="160"/>
      <c r="B62" s="121">
        <v>56</v>
      </c>
      <c r="C62" s="158" t="b">
        <v>0</v>
      </c>
      <c r="D62" s="158" t="str">
        <v>N8</v>
      </c>
      <c r="E62" s="268" t="str">
        <f>Currency&amp;"FUT"&amp;$G$4&amp;$D62&amp;QuoteSuffix</f>
        <v>EURFUT3MN8_Quote</v>
      </c>
      <c r="F62" s="269" t="str">
        <f>Currency&amp;"FUT"&amp;$G$4&amp;$D62&amp;"ConvAdj"&amp;QuoteSuffix</f>
        <v>EURFUT3MN8ConvAdj_Quote</v>
      </c>
      <c r="G62" s="268" t="str">
        <f>_xll.qlFuturesConvAdjustmentQuote($F62,IborIndex,$D62,$E62,Volatility,MeanReversion,Permanent,Trigger,ObjectOverwrite)</f>
        <v>EURFUT3MN8ConvAdj_Quote#0008</v>
      </c>
      <c r="H62" s="84" t="str">
        <f>_xll.ohRangeRetrieveError(G62)</f>
        <v/>
      </c>
    </row>
    <row r="63" spans="1:8" x14ac:dyDescent="0.2">
      <c r="A63" s="160"/>
      <c r="B63" s="121">
        <v>57</v>
      </c>
      <c r="C63" s="158" t="b">
        <v>0</v>
      </c>
      <c r="D63" s="158" t="str">
        <v>Q8</v>
      </c>
      <c r="E63" s="268" t="str">
        <f>Currency&amp;"FUT"&amp;$G$4&amp;$D63&amp;QuoteSuffix</f>
        <v>EURFUT3MQ8_Quote</v>
      </c>
      <c r="F63" s="269" t="str">
        <f>Currency&amp;"FUT"&amp;$G$4&amp;$D63&amp;"ConvAdj"&amp;QuoteSuffix</f>
        <v>EURFUT3MQ8ConvAdj_Quote</v>
      </c>
      <c r="G63" s="268" t="str">
        <f>_xll.qlFuturesConvAdjustmentQuote($F63,IborIndex,$D63,$E63,Volatility,MeanReversion,Permanent,Trigger,ObjectOverwrite)</f>
        <v>EURFUT3MQ8ConvAdj_Quote#0008</v>
      </c>
      <c r="H63" s="84" t="str">
        <f>_xll.ohRangeRetrieveError(G63)</f>
        <v/>
      </c>
    </row>
    <row r="64" spans="1:8" x14ac:dyDescent="0.2">
      <c r="A64" s="160"/>
      <c r="B64" s="121">
        <v>58</v>
      </c>
      <c r="C64" s="158" t="b">
        <v>0</v>
      </c>
      <c r="D64" s="158" t="str">
        <v>U8</v>
      </c>
      <c r="E64" s="268" t="str">
        <f>Currency&amp;"FUT"&amp;$G$4&amp;$D64&amp;QuoteSuffix</f>
        <v>EURFUT3MU8_Quote</v>
      </c>
      <c r="F64" s="269" t="str">
        <f>Currency&amp;"FUT"&amp;$G$4&amp;$D64&amp;"ConvAdj"&amp;QuoteSuffix</f>
        <v>EURFUT3MU8ConvAdj_Quote</v>
      </c>
      <c r="G64" s="268" t="str">
        <f>_xll.qlFuturesConvAdjustmentQuote($F64,IborIndex,$D64,$E64,Volatility,MeanReversion,Permanent,Trigger,ObjectOverwrite)</f>
        <v>EURFUT3MU8ConvAdj_Quote#0008</v>
      </c>
      <c r="H64" s="84" t="str">
        <f>_xll.ohRangeRetrieveError(G64)</f>
        <v/>
      </c>
    </row>
    <row r="65" spans="1:8" x14ac:dyDescent="0.2">
      <c r="A65" s="160"/>
      <c r="B65" s="121">
        <v>59</v>
      </c>
      <c r="C65" s="158" t="b">
        <v>0</v>
      </c>
      <c r="D65" s="158" t="str">
        <v>V8</v>
      </c>
      <c r="E65" s="268" t="str">
        <f>Currency&amp;"FUT"&amp;$G$4&amp;$D65&amp;QuoteSuffix</f>
        <v>EURFUT3MV8_Quote</v>
      </c>
      <c r="F65" s="269" t="str">
        <f>Currency&amp;"FUT"&amp;$G$4&amp;$D65&amp;"ConvAdj"&amp;QuoteSuffix</f>
        <v>EURFUT3MV8ConvAdj_Quote</v>
      </c>
      <c r="G65" s="268" t="str">
        <f>_xll.qlFuturesConvAdjustmentQuote($F65,IborIndex,$D65,$E65,Volatility,MeanReversion,Permanent,Trigger,ObjectOverwrite)</f>
        <v>EURFUT3MV8ConvAdj_Quote#0008</v>
      </c>
      <c r="H65" s="84" t="str">
        <f>_xll.ohRangeRetrieveError(G65)</f>
        <v/>
      </c>
    </row>
    <row r="66" spans="1:8" x14ac:dyDescent="0.2">
      <c r="A66" s="160"/>
      <c r="B66" s="121">
        <v>60</v>
      </c>
      <c r="C66" s="158" t="b">
        <v>0</v>
      </c>
      <c r="D66" s="158" t="str">
        <v>X8</v>
      </c>
      <c r="E66" s="268" t="str">
        <f>Currency&amp;"FUT"&amp;$G$4&amp;$D66&amp;QuoteSuffix</f>
        <v>EURFUT3MX8_Quote</v>
      </c>
      <c r="F66" s="269" t="str">
        <f>Currency&amp;"FUT"&amp;$G$4&amp;$D66&amp;"ConvAdj"&amp;QuoteSuffix</f>
        <v>EURFUT3MX8ConvAdj_Quote</v>
      </c>
      <c r="G66" s="268" t="str">
        <f>_xll.qlFuturesConvAdjustmentQuote($F66,IborIndex,$D66,$E66,Volatility,MeanReversion,Permanent,Trigger,ObjectOverwrite)</f>
        <v>EURFUT3MX8ConvAdj_Quote#0008</v>
      </c>
      <c r="H66" s="84" t="str">
        <f>_xll.ohRangeRetrieveError(G66)</f>
        <v/>
      </c>
    </row>
    <row r="67" spans="1:8" x14ac:dyDescent="0.2">
      <c r="A67" s="160"/>
      <c r="B67" s="121">
        <v>61</v>
      </c>
      <c r="C67" s="158" t="b">
        <v>0</v>
      </c>
      <c r="D67" s="158" t="str">
        <v>Z8</v>
      </c>
      <c r="E67" s="268" t="str">
        <f>Currency&amp;"FUT"&amp;$G$4&amp;$D67&amp;QuoteSuffix</f>
        <v>EURFUT3MZ8_Quote</v>
      </c>
      <c r="F67" s="269" t="str">
        <f>Currency&amp;"FUT"&amp;$G$4&amp;$D67&amp;"ConvAdj"&amp;QuoteSuffix</f>
        <v>EURFUT3MZ8ConvAdj_Quote</v>
      </c>
      <c r="G67" s="268" t="str">
        <f>_xll.qlFuturesConvAdjustmentQuote($F67,IborIndex,$D67,$E67,Volatility,MeanReversion,Permanent,Trigger,ObjectOverwrite)</f>
        <v>EURFUT3MZ8ConvAdj_Quote#0008</v>
      </c>
      <c r="H67" s="84" t="str">
        <f>_xll.ohRangeRetrieveError(G67)</f>
        <v/>
      </c>
    </row>
    <row r="68" spans="1:8" x14ac:dyDescent="0.2">
      <c r="A68" s="160"/>
      <c r="B68" s="121">
        <v>62</v>
      </c>
      <c r="C68" s="158" t="b">
        <v>0</v>
      </c>
      <c r="D68" s="158" t="str">
        <v>F9</v>
      </c>
      <c r="E68" s="268" t="str">
        <f>Currency&amp;"FUT"&amp;$G$4&amp;$D68&amp;QuoteSuffix</f>
        <v>EURFUT3MF9_Quote</v>
      </c>
      <c r="F68" s="269" t="str">
        <f>Currency&amp;"FUT"&amp;$G$4&amp;$D68&amp;"ConvAdj"&amp;QuoteSuffix</f>
        <v>EURFUT3MF9ConvAdj_Quote</v>
      </c>
      <c r="G68" s="268" t="str">
        <f>_xll.qlFuturesConvAdjustmentQuote($F68,IborIndex,$D68,$E68,Volatility,MeanReversion,Permanent,Trigger,ObjectOverwrite)</f>
        <v>EURFUT3MF9ConvAdj_Quote#0008</v>
      </c>
      <c r="H68" s="84" t="str">
        <f>_xll.ohRangeRetrieveError(G68)</f>
        <v/>
      </c>
    </row>
    <row r="69" spans="1:8" x14ac:dyDescent="0.2">
      <c r="A69" s="160"/>
      <c r="B69" s="121">
        <v>63</v>
      </c>
      <c r="C69" s="158" t="b">
        <v>0</v>
      </c>
      <c r="D69" s="158" t="str">
        <v>G9</v>
      </c>
      <c r="E69" s="268" t="str">
        <f>Currency&amp;"FUT"&amp;$G$4&amp;$D69&amp;QuoteSuffix</f>
        <v>EURFUT3MG9_Quote</v>
      </c>
      <c r="F69" s="269" t="str">
        <f>Currency&amp;"FUT"&amp;$G$4&amp;$D69&amp;"ConvAdj"&amp;QuoteSuffix</f>
        <v>EURFUT3MG9ConvAdj_Quote</v>
      </c>
      <c r="G69" s="268" t="str">
        <f>_xll.qlFuturesConvAdjustmentQuote($F69,IborIndex,$D69,$E69,Volatility,MeanReversion,Permanent,Trigger,ObjectOverwrite)</f>
        <v>EURFUT3MG9ConvAdj_Quote#0008</v>
      </c>
      <c r="H69" s="84" t="str">
        <f>_xll.ohRangeRetrieveError(G69)</f>
        <v/>
      </c>
    </row>
    <row r="70" spans="1:8" x14ac:dyDescent="0.2">
      <c r="A70" s="160"/>
      <c r="B70" s="121">
        <v>64</v>
      </c>
      <c r="C70" s="158" t="b">
        <v>0</v>
      </c>
      <c r="D70" s="158" t="str">
        <v>H9</v>
      </c>
      <c r="E70" s="268" t="str">
        <f>Currency&amp;"FUT"&amp;$G$4&amp;$D70&amp;QuoteSuffix</f>
        <v>EURFUT3MH9_Quote</v>
      </c>
      <c r="F70" s="269" t="str">
        <f>Currency&amp;"FUT"&amp;$G$4&amp;$D70&amp;"ConvAdj"&amp;QuoteSuffix</f>
        <v>EURFUT3MH9ConvAdj_Quote</v>
      </c>
      <c r="G70" s="268" t="str">
        <f>_xll.qlFuturesConvAdjustmentQuote($F70,IborIndex,$D70,$E70,Volatility,MeanReversion,Permanent,Trigger,ObjectOverwrite)</f>
        <v>EURFUT3MH9ConvAdj_Quote#0008</v>
      </c>
      <c r="H70" s="84" t="str">
        <f>_xll.ohRangeRetrieveError(G70)</f>
        <v/>
      </c>
    </row>
    <row r="71" spans="1:8" x14ac:dyDescent="0.2">
      <c r="A71" s="160"/>
      <c r="B71" s="121">
        <v>65</v>
      </c>
      <c r="C71" s="158" t="b">
        <v>0</v>
      </c>
      <c r="D71" s="158" t="str">
        <v>J9</v>
      </c>
      <c r="E71" s="268" t="str">
        <f>Currency&amp;"FUT"&amp;$G$4&amp;$D71&amp;QuoteSuffix</f>
        <v>EURFUT3MJ9_Quote</v>
      </c>
      <c r="F71" s="269" t="str">
        <f>Currency&amp;"FUT"&amp;$G$4&amp;$D71&amp;"ConvAdj"&amp;QuoteSuffix</f>
        <v>EURFUT3MJ9ConvAdj_Quote</v>
      </c>
      <c r="G71" s="268" t="str">
        <f>_xll.qlFuturesConvAdjustmentQuote($F71,IborIndex,$D71,$E71,Volatility,MeanReversion,Permanent,Trigger,ObjectOverwrite)</f>
        <v>EURFUT3MJ9ConvAdj_Quote#0008</v>
      </c>
      <c r="H71" s="84" t="str">
        <f>_xll.ohRangeRetrieveError(G71)</f>
        <v/>
      </c>
    </row>
    <row r="72" spans="1:8" x14ac:dyDescent="0.2">
      <c r="A72" s="160"/>
      <c r="B72" s="121">
        <v>66</v>
      </c>
      <c r="C72" s="158" t="b">
        <v>0</v>
      </c>
      <c r="D72" s="158" t="str">
        <v>K9</v>
      </c>
      <c r="E72" s="268" t="str">
        <f>Currency&amp;"FUT"&amp;$G$4&amp;$D72&amp;QuoteSuffix</f>
        <v>EURFUT3MK9_Quote</v>
      </c>
      <c r="F72" s="269" t="str">
        <f>Currency&amp;"FUT"&amp;$G$4&amp;$D72&amp;"ConvAdj"&amp;QuoteSuffix</f>
        <v>EURFUT3MK9ConvAdj_Quote</v>
      </c>
      <c r="G72" s="268" t="str">
        <f>_xll.qlFuturesConvAdjustmentQuote($F72,IborIndex,$D72,$E72,Volatility,MeanReversion,Permanent,Trigger,ObjectOverwrite)</f>
        <v>EURFUT3MK9ConvAdj_Quote#0008</v>
      </c>
      <c r="H72" s="84" t="str">
        <f>_xll.ohRangeRetrieveError(G72)</f>
        <v/>
      </c>
    </row>
    <row r="73" spans="1:8" x14ac:dyDescent="0.2">
      <c r="A73" s="160"/>
      <c r="B73" s="121">
        <v>67</v>
      </c>
      <c r="C73" s="158" t="b">
        <v>0</v>
      </c>
      <c r="D73" s="158" t="str">
        <v>M9</v>
      </c>
      <c r="E73" s="268" t="str">
        <f>Currency&amp;"FUT"&amp;$G$4&amp;$D73&amp;QuoteSuffix</f>
        <v>EURFUT3MM9_Quote</v>
      </c>
      <c r="F73" s="269" t="str">
        <f>Currency&amp;"FUT"&amp;$G$4&amp;$D73&amp;"ConvAdj"&amp;QuoteSuffix</f>
        <v>EURFUT3MM9ConvAdj_Quote</v>
      </c>
      <c r="G73" s="268" t="str">
        <f>_xll.qlFuturesConvAdjustmentQuote($F73,IborIndex,$D73,$E73,Volatility,MeanReversion,Permanent,Trigger,ObjectOverwrite)</f>
        <v>EURFUT3MM9ConvAdj_Quote#0008</v>
      </c>
      <c r="H73" s="84" t="str">
        <f>_xll.ohRangeRetrieveError(G73)</f>
        <v/>
      </c>
    </row>
    <row r="74" spans="1:8" x14ac:dyDescent="0.2">
      <c r="A74" s="160"/>
      <c r="B74" s="121">
        <v>68</v>
      </c>
      <c r="C74" s="158" t="b">
        <v>0</v>
      </c>
      <c r="D74" s="158" t="str">
        <v>N9</v>
      </c>
      <c r="E74" s="268" t="str">
        <f>Currency&amp;"FUT"&amp;$G$4&amp;$D74&amp;QuoteSuffix</f>
        <v>EURFUT3MN9_Quote</v>
      </c>
      <c r="F74" s="269" t="str">
        <f>Currency&amp;"FUT"&amp;$G$4&amp;$D74&amp;"ConvAdj"&amp;QuoteSuffix</f>
        <v>EURFUT3MN9ConvAdj_Quote</v>
      </c>
      <c r="G74" s="268" t="str">
        <f>_xll.qlFuturesConvAdjustmentQuote($F74,IborIndex,$D74,$E74,Volatility,MeanReversion,Permanent,Trigger,ObjectOverwrite)</f>
        <v>EURFUT3MN9ConvAdj_Quote#0008</v>
      </c>
      <c r="H74" s="84" t="str">
        <f>_xll.ohRangeRetrieveError(G74)</f>
        <v/>
      </c>
    </row>
    <row r="75" spans="1:8" x14ac:dyDescent="0.2">
      <c r="A75" s="160"/>
      <c r="B75" s="121">
        <v>69</v>
      </c>
      <c r="C75" s="158" t="b">
        <v>0</v>
      </c>
      <c r="D75" s="158" t="str">
        <v>Q9</v>
      </c>
      <c r="E75" s="268" t="str">
        <f>Currency&amp;"FUT"&amp;$G$4&amp;$D75&amp;QuoteSuffix</f>
        <v>EURFUT3MQ9_Quote</v>
      </c>
      <c r="F75" s="269" t="str">
        <f>Currency&amp;"FUT"&amp;$G$4&amp;$D75&amp;"ConvAdj"&amp;QuoteSuffix</f>
        <v>EURFUT3MQ9ConvAdj_Quote</v>
      </c>
      <c r="G75" s="268" t="str">
        <f>_xll.qlFuturesConvAdjustmentQuote($F75,IborIndex,$D75,$E75,Volatility,MeanReversion,Permanent,Trigger,ObjectOverwrite)</f>
        <v>EURFUT3MQ9ConvAdj_Quote#0008</v>
      </c>
      <c r="H75" s="84" t="str">
        <f>_xll.ohRangeRetrieveError(G75)</f>
        <v/>
      </c>
    </row>
    <row r="76" spans="1:8" x14ac:dyDescent="0.2">
      <c r="A76" s="160"/>
      <c r="B76" s="121">
        <v>70</v>
      </c>
      <c r="C76" s="158" t="b">
        <v>0</v>
      </c>
      <c r="D76" s="158" t="str">
        <v>U9</v>
      </c>
      <c r="E76" s="268" t="str">
        <f>Currency&amp;"FUT"&amp;$G$4&amp;$D76&amp;QuoteSuffix</f>
        <v>EURFUT3MU9_Quote</v>
      </c>
      <c r="F76" s="269" t="str">
        <f>Currency&amp;"FUT"&amp;$G$4&amp;$D76&amp;"ConvAdj"&amp;QuoteSuffix</f>
        <v>EURFUT3MU9ConvAdj_Quote</v>
      </c>
      <c r="G76" s="268" t="str">
        <f>_xll.qlFuturesConvAdjustmentQuote($F76,IborIndex,$D76,$E76,Volatility,MeanReversion,Permanent,Trigger,ObjectOverwrite)</f>
        <v>EURFUT3MU9ConvAdj_Quote#0008</v>
      </c>
      <c r="H76" s="84" t="str">
        <f>_xll.ohRangeRetrieveError(G76)</f>
        <v/>
      </c>
    </row>
    <row r="77" spans="1:8" x14ac:dyDescent="0.2">
      <c r="A77" s="160"/>
      <c r="B77" s="121">
        <v>71</v>
      </c>
      <c r="C77" s="158" t="b">
        <v>0</v>
      </c>
      <c r="D77" s="158" t="str">
        <v>V9</v>
      </c>
      <c r="E77" s="268" t="str">
        <f>Currency&amp;"FUT"&amp;$G$4&amp;$D77&amp;QuoteSuffix</f>
        <v>EURFUT3MV9_Quote</v>
      </c>
      <c r="F77" s="269" t="str">
        <f>Currency&amp;"FUT"&amp;$G$4&amp;$D77&amp;"ConvAdj"&amp;QuoteSuffix</f>
        <v>EURFUT3MV9ConvAdj_Quote</v>
      </c>
      <c r="G77" s="268" t="str">
        <f>_xll.qlFuturesConvAdjustmentQuote($F77,IborIndex,$D77,$E77,Volatility,MeanReversion,Permanent,Trigger,ObjectOverwrite)</f>
        <v>EURFUT3MV9ConvAdj_Quote#0008</v>
      </c>
      <c r="H77" s="84" t="str">
        <f>_xll.ohRangeRetrieveError(G77)</f>
        <v/>
      </c>
    </row>
    <row r="78" spans="1:8" x14ac:dyDescent="0.2">
      <c r="A78" s="160"/>
      <c r="B78" s="121">
        <v>72</v>
      </c>
      <c r="C78" s="158" t="b">
        <v>0</v>
      </c>
      <c r="D78" s="158" t="str">
        <v>X9</v>
      </c>
      <c r="E78" s="268" t="str">
        <f>Currency&amp;"FUT"&amp;$G$4&amp;$D78&amp;QuoteSuffix</f>
        <v>EURFUT3MX9_Quote</v>
      </c>
      <c r="F78" s="269" t="str">
        <f>Currency&amp;"FUT"&amp;$G$4&amp;$D78&amp;"ConvAdj"&amp;QuoteSuffix</f>
        <v>EURFUT3MX9ConvAdj_Quote</v>
      </c>
      <c r="G78" s="268" t="str">
        <f>_xll.qlFuturesConvAdjustmentQuote($F78,IborIndex,$D78,$E78,Volatility,MeanReversion,Permanent,Trigger,ObjectOverwrite)</f>
        <v>EURFUT3MX9ConvAdj_Quote#0008</v>
      </c>
      <c r="H78" s="84" t="str">
        <f>_xll.ohRangeRetrieveError(G78)</f>
        <v/>
      </c>
    </row>
    <row r="79" spans="1:8" x14ac:dyDescent="0.2">
      <c r="A79" s="160"/>
      <c r="B79" s="121">
        <v>73</v>
      </c>
      <c r="C79" s="158" t="b">
        <v>0</v>
      </c>
      <c r="D79" s="158" t="str">
        <v>Z9</v>
      </c>
      <c r="E79" s="268" t="str">
        <f>Currency&amp;"FUT"&amp;$G$4&amp;$D79&amp;QuoteSuffix</f>
        <v>EURFUT3MZ9_Quote</v>
      </c>
      <c r="F79" s="269" t="str">
        <f>Currency&amp;"FUT"&amp;$G$4&amp;$D79&amp;"ConvAdj"&amp;QuoteSuffix</f>
        <v>EURFUT3MZ9ConvAdj_Quote</v>
      </c>
      <c r="G79" s="268" t="str">
        <f>_xll.qlFuturesConvAdjustmentQuote($F79,IborIndex,$D79,$E79,Volatility,MeanReversion,Permanent,Trigger,ObjectOverwrite)</f>
        <v>EURFUT3MZ9ConvAdj_Quote#0008</v>
      </c>
      <c r="H79" s="84" t="str">
        <f>_xll.ohRangeRetrieveError(G79)</f>
        <v/>
      </c>
    </row>
    <row r="80" spans="1:8" x14ac:dyDescent="0.2">
      <c r="A80" s="160"/>
      <c r="B80" s="121">
        <v>74</v>
      </c>
      <c r="C80" s="158" t="b">
        <v>0</v>
      </c>
      <c r="D80" s="158" t="str">
        <v>F0</v>
      </c>
      <c r="E80" s="268" t="str">
        <f>Currency&amp;"FUT"&amp;$G$4&amp;$D80&amp;QuoteSuffix</f>
        <v>EURFUT3MF0_Quote</v>
      </c>
      <c r="F80" s="269" t="str">
        <f>Currency&amp;"FUT"&amp;$G$4&amp;$D80&amp;"ConvAdj"&amp;QuoteSuffix</f>
        <v>EURFUT3MF0ConvAdj_Quote</v>
      </c>
      <c r="G80" s="268" t="str">
        <f>_xll.qlFuturesConvAdjustmentQuote($F80,IborIndex,$D80,$E80,Volatility,MeanReversion,Permanent,Trigger,ObjectOverwrite)</f>
        <v>EURFUT3MF0ConvAdj_Quote#0008</v>
      </c>
      <c r="H80" s="84" t="str">
        <f>_xll.ohRangeRetrieveError(G80)</f>
        <v/>
      </c>
    </row>
    <row r="81" spans="1:8" x14ac:dyDescent="0.2">
      <c r="A81" s="160"/>
      <c r="B81" s="121">
        <v>75</v>
      </c>
      <c r="C81" s="158" t="b">
        <v>0</v>
      </c>
      <c r="D81" s="158" t="str">
        <v>G0</v>
      </c>
      <c r="E81" s="268" t="str">
        <f>Currency&amp;"FUT"&amp;$G$4&amp;$D81&amp;QuoteSuffix</f>
        <v>EURFUT3MG0_Quote</v>
      </c>
      <c r="F81" s="269" t="str">
        <f>Currency&amp;"FUT"&amp;$G$4&amp;$D81&amp;"ConvAdj"&amp;QuoteSuffix</f>
        <v>EURFUT3MG0ConvAdj_Quote</v>
      </c>
      <c r="G81" s="268" t="str">
        <f>_xll.qlFuturesConvAdjustmentQuote($F81,IborIndex,$D81,$E81,Volatility,MeanReversion,Permanent,Trigger,ObjectOverwrite)</f>
        <v>EURFUT3MG0ConvAdj_Quote#0008</v>
      </c>
      <c r="H81" s="84" t="str">
        <f>_xll.ohRangeRetrieveError(G81)</f>
        <v/>
      </c>
    </row>
    <row r="82" spans="1:8" x14ac:dyDescent="0.2">
      <c r="A82" s="160"/>
      <c r="B82" s="121">
        <v>76</v>
      </c>
      <c r="C82" s="158" t="b">
        <v>0</v>
      </c>
      <c r="D82" s="158" t="str">
        <v>H0</v>
      </c>
      <c r="E82" s="268" t="str">
        <f>Currency&amp;"FUT"&amp;$G$4&amp;$D82&amp;QuoteSuffix</f>
        <v>EURFUT3MH0_Quote</v>
      </c>
      <c r="F82" s="269" t="str">
        <f>Currency&amp;"FUT"&amp;$G$4&amp;$D82&amp;"ConvAdj"&amp;QuoteSuffix</f>
        <v>EURFUT3MH0ConvAdj_Quote</v>
      </c>
      <c r="G82" s="268" t="str">
        <f>_xll.qlFuturesConvAdjustmentQuote($F82,IborIndex,$D82,$E82,Volatility,MeanReversion,Permanent,Trigger,ObjectOverwrite)</f>
        <v>EURFUT3MH0ConvAdj_Quote#0008</v>
      </c>
      <c r="H82" s="84" t="str">
        <f>_xll.ohRangeRetrieveError(G82)</f>
        <v/>
      </c>
    </row>
    <row r="83" spans="1:8" x14ac:dyDescent="0.2">
      <c r="A83" s="160"/>
      <c r="B83" s="121">
        <v>77</v>
      </c>
      <c r="C83" s="158" t="b">
        <v>0</v>
      </c>
      <c r="D83" s="158" t="str">
        <v>J0</v>
      </c>
      <c r="E83" s="268" t="str">
        <f>Currency&amp;"FUT"&amp;$G$4&amp;$D83&amp;QuoteSuffix</f>
        <v>EURFUT3MJ0_Quote</v>
      </c>
      <c r="F83" s="269" t="str">
        <f>Currency&amp;"FUT"&amp;$G$4&amp;$D83&amp;"ConvAdj"&amp;QuoteSuffix</f>
        <v>EURFUT3MJ0ConvAdj_Quote</v>
      </c>
      <c r="G83" s="268" t="str">
        <f>_xll.qlFuturesConvAdjustmentQuote($F83,IborIndex,$D83,$E83,Volatility,MeanReversion,Permanent,Trigger,ObjectOverwrite)</f>
        <v>EURFUT3MJ0ConvAdj_Quote#0008</v>
      </c>
      <c r="H83" s="84" t="str">
        <f>_xll.ohRangeRetrieveError(G83)</f>
        <v/>
      </c>
    </row>
    <row r="84" spans="1:8" x14ac:dyDescent="0.2">
      <c r="A84" s="160"/>
      <c r="B84" s="121">
        <v>78</v>
      </c>
      <c r="C84" s="158" t="b">
        <v>0</v>
      </c>
      <c r="D84" s="158" t="str">
        <v>K0</v>
      </c>
      <c r="E84" s="268" t="str">
        <f>Currency&amp;"FUT"&amp;$G$4&amp;$D84&amp;QuoteSuffix</f>
        <v>EURFUT3MK0_Quote</v>
      </c>
      <c r="F84" s="269" t="str">
        <f>Currency&amp;"FUT"&amp;$G$4&amp;$D84&amp;"ConvAdj"&amp;QuoteSuffix</f>
        <v>EURFUT3MK0ConvAdj_Quote</v>
      </c>
      <c r="G84" s="268" t="str">
        <f>_xll.qlFuturesConvAdjustmentQuote($F84,IborIndex,$D84,$E84,Volatility,MeanReversion,Permanent,Trigger,ObjectOverwrite)</f>
        <v>EURFUT3MK0ConvAdj_Quote#0008</v>
      </c>
      <c r="H84" s="84" t="str">
        <f>_xll.ohRangeRetrieveError(G84)</f>
        <v/>
      </c>
    </row>
    <row r="85" spans="1:8" x14ac:dyDescent="0.2">
      <c r="A85" s="160"/>
      <c r="B85" s="121">
        <v>79</v>
      </c>
      <c r="C85" s="158" t="b">
        <v>0</v>
      </c>
      <c r="D85" s="158" t="str">
        <v>M0</v>
      </c>
      <c r="E85" s="268" t="str">
        <f>Currency&amp;"FUT"&amp;$G$4&amp;$D85&amp;QuoteSuffix</f>
        <v>EURFUT3MM0_Quote</v>
      </c>
      <c r="F85" s="269" t="str">
        <f>Currency&amp;"FUT"&amp;$G$4&amp;$D85&amp;"ConvAdj"&amp;QuoteSuffix</f>
        <v>EURFUT3MM0ConvAdj_Quote</v>
      </c>
      <c r="G85" s="268" t="str">
        <f>_xll.qlFuturesConvAdjustmentQuote($F85,IborIndex,$D85,$E85,Volatility,MeanReversion,Permanent,Trigger,ObjectOverwrite)</f>
        <v>EURFUT3MM0ConvAdj_Quote#0008</v>
      </c>
      <c r="H85" s="84" t="str">
        <f>_xll.ohRangeRetrieveError(G85)</f>
        <v/>
      </c>
    </row>
    <row r="86" spans="1:8" x14ac:dyDescent="0.2">
      <c r="A86" s="160"/>
      <c r="B86" s="121">
        <v>80</v>
      </c>
      <c r="C86" s="158" t="b">
        <v>0</v>
      </c>
      <c r="D86" s="158" t="str">
        <v>N0</v>
      </c>
      <c r="E86" s="268" t="str">
        <f>Currency&amp;"FUT"&amp;$G$4&amp;$D86&amp;QuoteSuffix</f>
        <v>EURFUT3MN0_Quote</v>
      </c>
      <c r="F86" s="269" t="str">
        <f>Currency&amp;"FUT"&amp;$G$4&amp;$D86&amp;"ConvAdj"&amp;QuoteSuffix</f>
        <v>EURFUT3MN0ConvAdj_Quote</v>
      </c>
      <c r="G86" s="268" t="str">
        <f>_xll.qlFuturesConvAdjustmentQuote($F86,IborIndex,$D86,$E86,Volatility,MeanReversion,Permanent,Trigger,ObjectOverwrite)</f>
        <v>EURFUT3MN0ConvAdj_Quote#0008</v>
      </c>
      <c r="H86" s="84" t="str">
        <f>_xll.ohRangeRetrieveError(G86)</f>
        <v/>
      </c>
    </row>
    <row r="87" spans="1:8" x14ac:dyDescent="0.2">
      <c r="A87" s="160"/>
      <c r="B87" s="121">
        <v>81</v>
      </c>
      <c r="C87" s="158" t="b">
        <v>0</v>
      </c>
      <c r="D87" s="158" t="str">
        <v>Q0</v>
      </c>
      <c r="E87" s="268" t="str">
        <f>Currency&amp;"FUT"&amp;$G$4&amp;$D87&amp;QuoteSuffix</f>
        <v>EURFUT3MQ0_Quote</v>
      </c>
      <c r="F87" s="269" t="str">
        <f>Currency&amp;"FUT"&amp;$G$4&amp;$D87&amp;"ConvAdj"&amp;QuoteSuffix</f>
        <v>EURFUT3MQ0ConvAdj_Quote</v>
      </c>
      <c r="G87" s="268" t="str">
        <f>_xll.qlFuturesConvAdjustmentQuote($F87,IborIndex,$D87,$E87,Volatility,MeanReversion,Permanent,Trigger,ObjectOverwrite)</f>
        <v>EURFUT3MQ0ConvAdj_Quote#0008</v>
      </c>
      <c r="H87" s="84" t="str">
        <f>_xll.ohRangeRetrieveError(G87)</f>
        <v/>
      </c>
    </row>
    <row r="88" spans="1:8" x14ac:dyDescent="0.2">
      <c r="A88" s="160"/>
      <c r="B88" s="121">
        <v>82</v>
      </c>
      <c r="C88" s="158" t="b">
        <v>0</v>
      </c>
      <c r="D88" s="158" t="str">
        <v>U0</v>
      </c>
      <c r="E88" s="268" t="str">
        <f>Currency&amp;"FUT"&amp;$G$4&amp;$D88&amp;QuoteSuffix</f>
        <v>EURFUT3MU0_Quote</v>
      </c>
      <c r="F88" s="269" t="str">
        <f>Currency&amp;"FUT"&amp;$G$4&amp;$D88&amp;"ConvAdj"&amp;QuoteSuffix</f>
        <v>EURFUT3MU0ConvAdj_Quote</v>
      </c>
      <c r="G88" s="268" t="str">
        <f>_xll.qlFuturesConvAdjustmentQuote($F88,IborIndex,$D88,$E88,Volatility,MeanReversion,Permanent,Trigger,ObjectOverwrite)</f>
        <v>EURFUT3MU0ConvAdj_Quote#0008</v>
      </c>
      <c r="H88" s="84" t="str">
        <f>_xll.ohRangeRetrieveError(G88)</f>
        <v/>
      </c>
    </row>
    <row r="89" spans="1:8" x14ac:dyDescent="0.2">
      <c r="A89" s="160"/>
      <c r="B89" s="121">
        <v>83</v>
      </c>
      <c r="C89" s="158" t="b">
        <v>0</v>
      </c>
      <c r="D89" s="158" t="str">
        <v>V0</v>
      </c>
      <c r="E89" s="268" t="str">
        <f>Currency&amp;"FUT"&amp;$G$4&amp;$D89&amp;QuoteSuffix</f>
        <v>EURFUT3MV0_Quote</v>
      </c>
      <c r="F89" s="269" t="str">
        <f>Currency&amp;"FUT"&amp;$G$4&amp;$D89&amp;"ConvAdj"&amp;QuoteSuffix</f>
        <v>EURFUT3MV0ConvAdj_Quote</v>
      </c>
      <c r="G89" s="268" t="str">
        <f>_xll.qlFuturesConvAdjustmentQuote($F89,IborIndex,$D89,$E89,Volatility,MeanReversion,Permanent,Trigger,ObjectOverwrite)</f>
        <v>EURFUT3MV0ConvAdj_Quote#0008</v>
      </c>
      <c r="H89" s="84" t="str">
        <f>_xll.ohRangeRetrieveError(G89)</f>
        <v/>
      </c>
    </row>
    <row r="90" spans="1:8" x14ac:dyDescent="0.2">
      <c r="A90" s="160"/>
      <c r="B90" s="121">
        <v>84</v>
      </c>
      <c r="C90" s="158" t="b">
        <v>0</v>
      </c>
      <c r="D90" s="158" t="str">
        <v>X0</v>
      </c>
      <c r="E90" s="268" t="str">
        <f>Currency&amp;"FUT"&amp;$G$4&amp;$D90&amp;QuoteSuffix</f>
        <v>EURFUT3MX0_Quote</v>
      </c>
      <c r="F90" s="269" t="str">
        <f>Currency&amp;"FUT"&amp;$G$4&amp;$D90&amp;"ConvAdj"&amp;QuoteSuffix</f>
        <v>EURFUT3MX0ConvAdj_Quote</v>
      </c>
      <c r="G90" s="268" t="str">
        <f>_xll.qlFuturesConvAdjustmentQuote($F90,IborIndex,$D90,$E90,Volatility,MeanReversion,Permanent,Trigger,ObjectOverwrite)</f>
        <v>EURFUT3MX0ConvAdj_Quote#0008</v>
      </c>
      <c r="H90" s="84" t="str">
        <f>_xll.ohRangeRetrieveError(G90)</f>
        <v/>
      </c>
    </row>
    <row r="91" spans="1:8" x14ac:dyDescent="0.2">
      <c r="A91" s="160"/>
      <c r="B91" s="121">
        <v>85</v>
      </c>
      <c r="C91" s="158" t="b">
        <v>0</v>
      </c>
      <c r="D91" s="158" t="str">
        <v>Z0</v>
      </c>
      <c r="E91" s="268" t="str">
        <f>Currency&amp;"FUT"&amp;$G$4&amp;$D91&amp;QuoteSuffix</f>
        <v>EURFUT3MZ0_Quote</v>
      </c>
      <c r="F91" s="269" t="str">
        <f>Currency&amp;"FUT"&amp;$G$4&amp;$D91&amp;"ConvAdj"&amp;QuoteSuffix</f>
        <v>EURFUT3MZ0ConvAdj_Quote</v>
      </c>
      <c r="G91" s="268" t="str">
        <f>_xll.qlFuturesConvAdjustmentQuote($F91,IborIndex,$D91,$E91,Volatility,MeanReversion,Permanent,Trigger,ObjectOverwrite)</f>
        <v>EURFUT3MZ0ConvAdj_Quote#0008</v>
      </c>
      <c r="H91" s="84" t="str">
        <f>_xll.ohRangeRetrieveError(G91)</f>
        <v/>
      </c>
    </row>
    <row r="92" spans="1:8" x14ac:dyDescent="0.2">
      <c r="A92" s="160"/>
      <c r="B92" s="121">
        <v>86</v>
      </c>
      <c r="C92" s="158" t="b">
        <v>0</v>
      </c>
      <c r="D92" s="158" t="str">
        <v>F1</v>
      </c>
      <c r="E92" s="268" t="str">
        <f>Currency&amp;"FUT"&amp;$G$4&amp;$D92&amp;QuoteSuffix</f>
        <v>EURFUT3MF1_Quote</v>
      </c>
      <c r="F92" s="269" t="str">
        <f>Currency&amp;"FUT"&amp;$G$4&amp;$D92&amp;"ConvAdj"&amp;QuoteSuffix</f>
        <v>EURFUT3MF1ConvAdj_Quote</v>
      </c>
      <c r="G92" s="268" t="str">
        <f>_xll.qlFuturesConvAdjustmentQuote($F92,IborIndex,$D92,$E92,Volatility,MeanReversion,Permanent,Trigger,ObjectOverwrite)</f>
        <v>EURFUT3MF1ConvAdj_Quote#0008</v>
      </c>
      <c r="H92" s="84" t="str">
        <f>_xll.ohRangeRetrieveError(G92)</f>
        <v/>
      </c>
    </row>
    <row r="93" spans="1:8" x14ac:dyDescent="0.2">
      <c r="A93" s="160"/>
      <c r="B93" s="121">
        <v>87</v>
      </c>
      <c r="C93" s="158" t="b">
        <v>0</v>
      </c>
      <c r="D93" s="158" t="str">
        <v>G1</v>
      </c>
      <c r="E93" s="268" t="str">
        <f>Currency&amp;"FUT"&amp;$G$4&amp;$D93&amp;QuoteSuffix</f>
        <v>EURFUT3MG1_Quote</v>
      </c>
      <c r="F93" s="269" t="str">
        <f>Currency&amp;"FUT"&amp;$G$4&amp;$D93&amp;"ConvAdj"&amp;QuoteSuffix</f>
        <v>EURFUT3MG1ConvAdj_Quote</v>
      </c>
      <c r="G93" s="268" t="str">
        <f>_xll.qlFuturesConvAdjustmentQuote($F93,IborIndex,$D93,$E93,Volatility,MeanReversion,Permanent,Trigger,ObjectOverwrite)</f>
        <v>EURFUT3MG1ConvAdj_Quote#0008</v>
      </c>
      <c r="H93" s="84" t="str">
        <f>_xll.ohRangeRetrieveError(G93)</f>
        <v/>
      </c>
    </row>
    <row r="94" spans="1:8" x14ac:dyDescent="0.2">
      <c r="A94" s="160"/>
      <c r="B94" s="121">
        <v>88</v>
      </c>
      <c r="C94" s="158" t="b">
        <v>0</v>
      </c>
      <c r="D94" s="158" t="str">
        <v>H1</v>
      </c>
      <c r="E94" s="268" t="str">
        <f>Currency&amp;"FUT"&amp;$G$4&amp;$D94&amp;QuoteSuffix</f>
        <v>EURFUT3MH1_Quote</v>
      </c>
      <c r="F94" s="269" t="str">
        <f>Currency&amp;"FUT"&amp;$G$4&amp;$D94&amp;"ConvAdj"&amp;QuoteSuffix</f>
        <v>EURFUT3MH1ConvAdj_Quote</v>
      </c>
      <c r="G94" s="268" t="str">
        <f>_xll.qlFuturesConvAdjustmentQuote($F94,IborIndex,$D94,$E94,Volatility,MeanReversion,Permanent,Trigger,ObjectOverwrite)</f>
        <v>EURFUT3MH1ConvAdj_Quote#0008</v>
      </c>
      <c r="H94" s="84" t="str">
        <f>_xll.ohRangeRetrieveError(G94)</f>
        <v/>
      </c>
    </row>
    <row r="95" spans="1:8" x14ac:dyDescent="0.2">
      <c r="A95" s="160"/>
      <c r="B95" s="121">
        <v>89</v>
      </c>
      <c r="C95" s="158" t="b">
        <v>0</v>
      </c>
      <c r="D95" s="158" t="str">
        <v>J1</v>
      </c>
      <c r="E95" s="268" t="str">
        <f>Currency&amp;"FUT"&amp;$G$4&amp;$D95&amp;QuoteSuffix</f>
        <v>EURFUT3MJ1_Quote</v>
      </c>
      <c r="F95" s="269" t="str">
        <f>Currency&amp;"FUT"&amp;$G$4&amp;$D95&amp;"ConvAdj"&amp;QuoteSuffix</f>
        <v>EURFUT3MJ1ConvAdj_Quote</v>
      </c>
      <c r="G95" s="268" t="str">
        <f>_xll.qlFuturesConvAdjustmentQuote($F95,IborIndex,$D95,$E95,Volatility,MeanReversion,Permanent,Trigger,ObjectOverwrite)</f>
        <v>EURFUT3MJ1ConvAdj_Quote#0008</v>
      </c>
      <c r="H95" s="84" t="str">
        <f>_xll.ohRangeRetrieveError(G95)</f>
        <v/>
      </c>
    </row>
    <row r="96" spans="1:8" x14ac:dyDescent="0.2">
      <c r="A96" s="160"/>
      <c r="B96" s="121">
        <v>90</v>
      </c>
      <c r="C96" s="158" t="b">
        <v>0</v>
      </c>
      <c r="D96" s="158" t="str">
        <v>K1</v>
      </c>
      <c r="E96" s="268" t="str">
        <f>Currency&amp;"FUT"&amp;$G$4&amp;$D96&amp;QuoteSuffix</f>
        <v>EURFUT3MK1_Quote</v>
      </c>
      <c r="F96" s="269" t="str">
        <f>Currency&amp;"FUT"&amp;$G$4&amp;$D96&amp;"ConvAdj"&amp;QuoteSuffix</f>
        <v>EURFUT3MK1ConvAdj_Quote</v>
      </c>
      <c r="G96" s="268" t="str">
        <f>_xll.qlFuturesConvAdjustmentQuote($F96,IborIndex,$D96,$E96,Volatility,MeanReversion,Permanent,Trigger,ObjectOverwrite)</f>
        <v>EURFUT3MK1ConvAdj_Quote#0008</v>
      </c>
      <c r="H96" s="84" t="str">
        <f>_xll.ohRangeRetrieveError(G96)</f>
        <v/>
      </c>
    </row>
    <row r="97" spans="1:8" x14ac:dyDescent="0.2">
      <c r="A97" s="160"/>
      <c r="B97" s="121">
        <v>91</v>
      </c>
      <c r="C97" s="158" t="b">
        <v>0</v>
      </c>
      <c r="D97" s="158" t="str">
        <v>M1</v>
      </c>
      <c r="E97" s="268" t="str">
        <f>Currency&amp;"FUT"&amp;$G$4&amp;$D97&amp;QuoteSuffix</f>
        <v>EURFUT3MM1_Quote</v>
      </c>
      <c r="F97" s="269" t="str">
        <f>Currency&amp;"FUT"&amp;$G$4&amp;$D97&amp;"ConvAdj"&amp;QuoteSuffix</f>
        <v>EURFUT3MM1ConvAdj_Quote</v>
      </c>
      <c r="G97" s="268" t="str">
        <f>_xll.qlFuturesConvAdjustmentQuote($F97,IborIndex,$D97,$E97,Volatility,MeanReversion,Permanent,Trigger,ObjectOverwrite)</f>
        <v>EURFUT3MM1ConvAdj_Quote#0008</v>
      </c>
      <c r="H97" s="84" t="str">
        <f>_xll.ohRangeRetrieveError(G97)</f>
        <v/>
      </c>
    </row>
    <row r="98" spans="1:8" x14ac:dyDescent="0.2">
      <c r="A98" s="160"/>
      <c r="B98" s="121">
        <v>92</v>
      </c>
      <c r="C98" s="158" t="b">
        <v>0</v>
      </c>
      <c r="D98" s="158" t="str">
        <v>N1</v>
      </c>
      <c r="E98" s="268" t="str">
        <f>Currency&amp;"FUT"&amp;$G$4&amp;$D98&amp;QuoteSuffix</f>
        <v>EURFUT3MN1_Quote</v>
      </c>
      <c r="F98" s="269" t="str">
        <f>Currency&amp;"FUT"&amp;$G$4&amp;$D98&amp;"ConvAdj"&amp;QuoteSuffix</f>
        <v>EURFUT3MN1ConvAdj_Quote</v>
      </c>
      <c r="G98" s="268" t="str">
        <f>_xll.qlFuturesConvAdjustmentQuote($F98,IborIndex,$D98,$E98,Volatility,MeanReversion,Permanent,Trigger,ObjectOverwrite)</f>
        <v>EURFUT3MN1ConvAdj_Quote#0008</v>
      </c>
      <c r="H98" s="84" t="str">
        <f>_xll.ohRangeRetrieveError(G98)</f>
        <v/>
      </c>
    </row>
    <row r="99" spans="1:8" x14ac:dyDescent="0.2">
      <c r="A99" s="160"/>
      <c r="B99" s="121">
        <v>93</v>
      </c>
      <c r="C99" s="158" t="b">
        <v>0</v>
      </c>
      <c r="D99" s="158" t="str">
        <v>Q1</v>
      </c>
      <c r="E99" s="268" t="str">
        <f>Currency&amp;"FUT"&amp;$G$4&amp;$D99&amp;QuoteSuffix</f>
        <v>EURFUT3MQ1_Quote</v>
      </c>
      <c r="F99" s="269" t="str">
        <f>Currency&amp;"FUT"&amp;$G$4&amp;$D99&amp;"ConvAdj"&amp;QuoteSuffix</f>
        <v>EURFUT3MQ1ConvAdj_Quote</v>
      </c>
      <c r="G99" s="268" t="str">
        <f>_xll.qlFuturesConvAdjustmentQuote($F99,IborIndex,$D99,$E99,Volatility,MeanReversion,Permanent,Trigger,ObjectOverwrite)</f>
        <v>EURFUT3MQ1ConvAdj_Quote#0008</v>
      </c>
      <c r="H99" s="84" t="str">
        <f>_xll.ohRangeRetrieveError(G99)</f>
        <v/>
      </c>
    </row>
    <row r="100" spans="1:8" x14ac:dyDescent="0.2">
      <c r="A100" s="160"/>
      <c r="B100" s="121">
        <v>94</v>
      </c>
      <c r="C100" s="158" t="b">
        <v>0</v>
      </c>
      <c r="D100" s="158" t="str">
        <v>U1</v>
      </c>
      <c r="E100" s="268" t="str">
        <f>Currency&amp;"FUT"&amp;$G$4&amp;$D100&amp;QuoteSuffix</f>
        <v>EURFUT3MU1_Quote</v>
      </c>
      <c r="F100" s="269" t="str">
        <f>Currency&amp;"FUT"&amp;$G$4&amp;$D100&amp;"ConvAdj"&amp;QuoteSuffix</f>
        <v>EURFUT3MU1ConvAdj_Quote</v>
      </c>
      <c r="G100" s="268" t="str">
        <f>_xll.qlFuturesConvAdjustmentQuote($F100,IborIndex,$D100,$E100,Volatility,MeanReversion,Permanent,Trigger,ObjectOverwrite)</f>
        <v>EURFUT3MU1ConvAdj_Quote#0008</v>
      </c>
      <c r="H100" s="84" t="str">
        <f>_xll.ohRangeRetrieveError(G100)</f>
        <v/>
      </c>
    </row>
    <row r="101" spans="1:8" x14ac:dyDescent="0.2">
      <c r="A101" s="160"/>
      <c r="B101" s="121">
        <v>95</v>
      </c>
      <c r="C101" s="158" t="b">
        <v>0</v>
      </c>
      <c r="D101" s="158" t="str">
        <v>V1</v>
      </c>
      <c r="E101" s="268" t="str">
        <f>Currency&amp;"FUT"&amp;$G$4&amp;$D101&amp;QuoteSuffix</f>
        <v>EURFUT3MV1_Quote</v>
      </c>
      <c r="F101" s="269" t="str">
        <f>Currency&amp;"FUT"&amp;$G$4&amp;$D101&amp;"ConvAdj"&amp;QuoteSuffix</f>
        <v>EURFUT3MV1ConvAdj_Quote</v>
      </c>
      <c r="G101" s="268" t="str">
        <f>_xll.qlFuturesConvAdjustmentQuote($F101,IborIndex,$D101,$E101,Volatility,MeanReversion,Permanent,Trigger,ObjectOverwrite)</f>
        <v>EURFUT3MV1ConvAdj_Quote#0008</v>
      </c>
      <c r="H101" s="84" t="str">
        <f>_xll.ohRangeRetrieveError(G101)</f>
        <v/>
      </c>
    </row>
    <row r="102" spans="1:8" x14ac:dyDescent="0.2">
      <c r="A102" s="160"/>
      <c r="B102" s="121">
        <v>96</v>
      </c>
      <c r="C102" s="158" t="b">
        <v>0</v>
      </c>
      <c r="D102" s="158" t="str">
        <v>X1</v>
      </c>
      <c r="E102" s="268" t="str">
        <f>Currency&amp;"FUT"&amp;$G$4&amp;$D102&amp;QuoteSuffix</f>
        <v>EURFUT3MX1_Quote</v>
      </c>
      <c r="F102" s="269" t="str">
        <f>Currency&amp;"FUT"&amp;$G$4&amp;$D102&amp;"ConvAdj"&amp;QuoteSuffix</f>
        <v>EURFUT3MX1ConvAdj_Quote</v>
      </c>
      <c r="G102" s="268" t="str">
        <f>_xll.qlFuturesConvAdjustmentQuote($F102,IborIndex,$D102,$E102,Volatility,MeanReversion,Permanent,Trigger,ObjectOverwrite)</f>
        <v>EURFUT3MX1ConvAdj_Quote#0008</v>
      </c>
      <c r="H102" s="84" t="str">
        <f>_xll.ohRangeRetrieveError(G102)</f>
        <v/>
      </c>
    </row>
    <row r="103" spans="1:8" x14ac:dyDescent="0.2">
      <c r="A103" s="160"/>
      <c r="B103" s="121">
        <v>97</v>
      </c>
      <c r="C103" s="158" t="b">
        <v>0</v>
      </c>
      <c r="D103" s="158" t="str">
        <v>Z1</v>
      </c>
      <c r="E103" s="268" t="str">
        <f>Currency&amp;"FUT"&amp;$G$4&amp;$D103&amp;QuoteSuffix</f>
        <v>EURFUT3MZ1_Quote</v>
      </c>
      <c r="F103" s="269" t="str">
        <f>Currency&amp;"FUT"&amp;$G$4&amp;$D103&amp;"ConvAdj"&amp;QuoteSuffix</f>
        <v>EURFUT3MZ1ConvAdj_Quote</v>
      </c>
      <c r="G103" s="268" t="str">
        <f>_xll.qlFuturesConvAdjustmentQuote($F103,IborIndex,$D103,$E103,Volatility,MeanReversion,Permanent,Trigger,ObjectOverwrite)</f>
        <v>EURFUT3MZ1ConvAdj_Quote#0008</v>
      </c>
      <c r="H103" s="84" t="str">
        <f>_xll.ohRangeRetrieveError(G103)</f>
        <v/>
      </c>
    </row>
    <row r="104" spans="1:8" x14ac:dyDescent="0.2">
      <c r="A104" s="160"/>
      <c r="B104" s="121">
        <v>98</v>
      </c>
      <c r="C104" s="158" t="b">
        <v>0</v>
      </c>
      <c r="D104" s="158" t="str">
        <v>F2</v>
      </c>
      <c r="E104" s="268" t="str">
        <f>Currency&amp;"FUT"&amp;$G$4&amp;$D104&amp;QuoteSuffix</f>
        <v>EURFUT3MF2_Quote</v>
      </c>
      <c r="F104" s="269" t="str">
        <f>Currency&amp;"FUT"&amp;$G$4&amp;$D104&amp;"ConvAdj"&amp;QuoteSuffix</f>
        <v>EURFUT3MF2ConvAdj_Quote</v>
      </c>
      <c r="G104" s="268" t="str">
        <f>_xll.qlFuturesConvAdjustmentQuote($F104,IborIndex,$D104,$E104,Volatility,MeanReversion,Permanent,Trigger,ObjectOverwrite)</f>
        <v>EURFUT3MF2ConvAdj_Quote#0008</v>
      </c>
      <c r="H104" s="84" t="str">
        <f>_xll.ohRangeRetrieveError(G104)</f>
        <v/>
      </c>
    </row>
    <row r="105" spans="1:8" x14ac:dyDescent="0.2">
      <c r="A105" s="160"/>
      <c r="B105" s="121">
        <v>99</v>
      </c>
      <c r="C105" s="158" t="b">
        <v>0</v>
      </c>
      <c r="D105" s="158" t="str">
        <v>G2</v>
      </c>
      <c r="E105" s="268" t="str">
        <f>Currency&amp;"FUT"&amp;$G$4&amp;$D105&amp;QuoteSuffix</f>
        <v>EURFUT3MG2_Quote</v>
      </c>
      <c r="F105" s="269" t="str">
        <f>Currency&amp;"FUT"&amp;$G$4&amp;$D105&amp;"ConvAdj"&amp;QuoteSuffix</f>
        <v>EURFUT3MG2ConvAdj_Quote</v>
      </c>
      <c r="G105" s="268" t="str">
        <f>_xll.qlFuturesConvAdjustmentQuote($F105,IborIndex,$D105,$E105,Volatility,MeanReversion,Permanent,Trigger,ObjectOverwrite)</f>
        <v>EURFUT3MG2ConvAdj_Quote#0008</v>
      </c>
      <c r="H105" s="84" t="str">
        <f>_xll.ohRangeRetrieveError(G105)</f>
        <v/>
      </c>
    </row>
    <row r="106" spans="1:8" x14ac:dyDescent="0.2">
      <c r="A106" s="160"/>
      <c r="B106" s="121">
        <v>100</v>
      </c>
      <c r="C106" s="158" t="b">
        <v>0</v>
      </c>
      <c r="D106" s="158" t="str">
        <v>H2</v>
      </c>
      <c r="E106" s="268" t="str">
        <f>Currency&amp;"FUT"&amp;$G$4&amp;$D106&amp;QuoteSuffix</f>
        <v>EURFUT3MH2_Quote</v>
      </c>
      <c r="F106" s="269" t="str">
        <f>Currency&amp;"FUT"&amp;$G$4&amp;$D106&amp;"ConvAdj"&amp;QuoteSuffix</f>
        <v>EURFUT3MH2ConvAdj_Quote</v>
      </c>
      <c r="G106" s="268" t="str">
        <f>_xll.qlFuturesConvAdjustmentQuote($F106,IborIndex,$D106,$E106,Volatility,MeanReversion,Permanent,Trigger,ObjectOverwrite)</f>
        <v>EURFUT3MH2ConvAdj_Quote#0008</v>
      </c>
      <c r="H106" s="84" t="str">
        <f>_xll.ohRangeRetrieveError(G106)</f>
        <v/>
      </c>
    </row>
    <row r="107" spans="1:8" x14ac:dyDescent="0.2">
      <c r="A107" s="160"/>
      <c r="B107" s="121">
        <v>101</v>
      </c>
      <c r="C107" s="158" t="b">
        <v>0</v>
      </c>
      <c r="D107" s="158" t="str">
        <v>J2</v>
      </c>
      <c r="E107" s="268" t="str">
        <f>Currency&amp;"FUT"&amp;$G$4&amp;$D107&amp;QuoteSuffix</f>
        <v>EURFUT3MJ2_Quote</v>
      </c>
      <c r="F107" s="269" t="str">
        <f>Currency&amp;"FUT"&amp;$G$4&amp;$D107&amp;"ConvAdj"&amp;QuoteSuffix</f>
        <v>EURFUT3MJ2ConvAdj_Quote</v>
      </c>
      <c r="G107" s="268" t="str">
        <f>_xll.qlFuturesConvAdjustmentQuote($F107,IborIndex,$D107,$E107,Volatility,MeanReversion,Permanent,Trigger,ObjectOverwrite)</f>
        <v>EURFUT3MJ2ConvAdj_Quote#0008</v>
      </c>
      <c r="H107" s="84" t="str">
        <f>_xll.ohRangeRetrieveError(G107)</f>
        <v/>
      </c>
    </row>
    <row r="108" spans="1:8" x14ac:dyDescent="0.2">
      <c r="A108" s="160"/>
      <c r="B108" s="121">
        <v>102</v>
      </c>
      <c r="C108" s="158" t="b">
        <v>0</v>
      </c>
      <c r="D108" s="158" t="str">
        <v>K2</v>
      </c>
      <c r="E108" s="268" t="str">
        <f>Currency&amp;"FUT"&amp;$G$4&amp;$D108&amp;QuoteSuffix</f>
        <v>EURFUT3MK2_Quote</v>
      </c>
      <c r="F108" s="269" t="str">
        <f>Currency&amp;"FUT"&amp;$G$4&amp;$D108&amp;"ConvAdj"&amp;QuoteSuffix</f>
        <v>EURFUT3MK2ConvAdj_Quote</v>
      </c>
      <c r="G108" s="268" t="str">
        <f>_xll.qlFuturesConvAdjustmentQuote($F108,IborIndex,$D108,$E108,Volatility,MeanReversion,Permanent,Trigger,ObjectOverwrite)</f>
        <v>EURFUT3MK2ConvAdj_Quote#0008</v>
      </c>
      <c r="H108" s="84" t="str">
        <f>_xll.ohRangeRetrieveError(G108)</f>
        <v/>
      </c>
    </row>
    <row r="109" spans="1:8" x14ac:dyDescent="0.2">
      <c r="A109" s="160"/>
      <c r="B109" s="121">
        <v>103</v>
      </c>
      <c r="C109" s="158" t="b">
        <v>0</v>
      </c>
      <c r="D109" s="158" t="str">
        <v>M2</v>
      </c>
      <c r="E109" s="268" t="str">
        <f>Currency&amp;"FUT"&amp;$G$4&amp;$D109&amp;QuoteSuffix</f>
        <v>EURFUT3MM2_Quote</v>
      </c>
      <c r="F109" s="269" t="str">
        <f>Currency&amp;"FUT"&amp;$G$4&amp;$D109&amp;"ConvAdj"&amp;QuoteSuffix</f>
        <v>EURFUT3MM2ConvAdj_Quote</v>
      </c>
      <c r="G109" s="268" t="str">
        <f>_xll.qlFuturesConvAdjustmentQuote($F109,IborIndex,$D109,$E109,Volatility,MeanReversion,Permanent,Trigger,ObjectOverwrite)</f>
        <v>EURFUT3MM2ConvAdj_Quote#0008</v>
      </c>
      <c r="H109" s="84" t="str">
        <f>_xll.ohRangeRetrieveError(G109)</f>
        <v/>
      </c>
    </row>
    <row r="110" spans="1:8" x14ac:dyDescent="0.2">
      <c r="A110" s="160"/>
      <c r="B110" s="121">
        <v>104</v>
      </c>
      <c r="C110" s="158" t="b">
        <v>0</v>
      </c>
      <c r="D110" s="158" t="str">
        <v>N2</v>
      </c>
      <c r="E110" s="268" t="str">
        <f>Currency&amp;"FUT"&amp;$G$4&amp;$D110&amp;QuoteSuffix</f>
        <v>EURFUT3MN2_Quote</v>
      </c>
      <c r="F110" s="269" t="str">
        <f>Currency&amp;"FUT"&amp;$G$4&amp;$D110&amp;"ConvAdj"&amp;QuoteSuffix</f>
        <v>EURFUT3MN2ConvAdj_Quote</v>
      </c>
      <c r="G110" s="268" t="str">
        <f>_xll.qlFuturesConvAdjustmentQuote($F110,IborIndex,$D110,$E110,Volatility,MeanReversion,Permanent,Trigger,ObjectOverwrite)</f>
        <v>EURFUT3MN2ConvAdj_Quote#0008</v>
      </c>
      <c r="H110" s="84" t="str">
        <f>_xll.ohRangeRetrieveError(G110)</f>
        <v/>
      </c>
    </row>
    <row r="111" spans="1:8" x14ac:dyDescent="0.2">
      <c r="A111" s="160"/>
      <c r="B111" s="121">
        <v>105</v>
      </c>
      <c r="C111" s="158" t="b">
        <v>0</v>
      </c>
      <c r="D111" s="158" t="str">
        <v>Q2</v>
      </c>
      <c r="E111" s="268" t="str">
        <f>Currency&amp;"FUT"&amp;$G$4&amp;$D111&amp;QuoteSuffix</f>
        <v>EURFUT3MQ2_Quote</v>
      </c>
      <c r="F111" s="269" t="str">
        <f>Currency&amp;"FUT"&amp;$G$4&amp;$D111&amp;"ConvAdj"&amp;QuoteSuffix</f>
        <v>EURFUT3MQ2ConvAdj_Quote</v>
      </c>
      <c r="G111" s="268" t="str">
        <f>_xll.qlFuturesConvAdjustmentQuote($F111,IborIndex,$D111,$E111,Volatility,MeanReversion,Permanent,Trigger,ObjectOverwrite)</f>
        <v>EURFUT3MQ2ConvAdj_Quote#0008</v>
      </c>
      <c r="H111" s="84" t="str">
        <f>_xll.ohRangeRetrieveError(G111)</f>
        <v/>
      </c>
    </row>
    <row r="112" spans="1:8" x14ac:dyDescent="0.2">
      <c r="A112" s="160"/>
      <c r="B112" s="121">
        <v>106</v>
      </c>
      <c r="C112" s="158" t="b">
        <v>0</v>
      </c>
      <c r="D112" s="158" t="str">
        <v>U2</v>
      </c>
      <c r="E112" s="268" t="str">
        <f>Currency&amp;"FUT"&amp;$G$4&amp;$D112&amp;QuoteSuffix</f>
        <v>EURFUT3MU2_Quote</v>
      </c>
      <c r="F112" s="269" t="str">
        <f>Currency&amp;"FUT"&amp;$G$4&amp;$D112&amp;"ConvAdj"&amp;QuoteSuffix</f>
        <v>EURFUT3MU2ConvAdj_Quote</v>
      </c>
      <c r="G112" s="268" t="str">
        <f>_xll.qlFuturesConvAdjustmentQuote($F112,IborIndex,$D112,$E112,Volatility,MeanReversion,Permanent,Trigger,ObjectOverwrite)</f>
        <v>EURFUT3MU2ConvAdj_Quote#0008</v>
      </c>
      <c r="H112" s="84" t="str">
        <f>_xll.ohRangeRetrieveError(G112)</f>
        <v/>
      </c>
    </row>
    <row r="113" spans="1:8" x14ac:dyDescent="0.2">
      <c r="A113" s="160"/>
      <c r="B113" s="121">
        <v>107</v>
      </c>
      <c r="C113" s="158" t="b">
        <v>0</v>
      </c>
      <c r="D113" s="158" t="str">
        <v>V2</v>
      </c>
      <c r="E113" s="268" t="str">
        <f>Currency&amp;"FUT"&amp;$G$4&amp;$D113&amp;QuoteSuffix</f>
        <v>EURFUT3MV2_Quote</v>
      </c>
      <c r="F113" s="269" t="str">
        <f>Currency&amp;"FUT"&amp;$G$4&amp;$D113&amp;"ConvAdj"&amp;QuoteSuffix</f>
        <v>EURFUT3MV2ConvAdj_Quote</v>
      </c>
      <c r="G113" s="268" t="str">
        <f>_xll.qlFuturesConvAdjustmentQuote($F113,IborIndex,$D113,$E113,Volatility,MeanReversion,Permanent,Trigger,ObjectOverwrite)</f>
        <v>EURFUT3MV2ConvAdj_Quote#0008</v>
      </c>
      <c r="H113" s="84" t="str">
        <f>_xll.ohRangeRetrieveError(G113)</f>
        <v/>
      </c>
    </row>
    <row r="114" spans="1:8" x14ac:dyDescent="0.2">
      <c r="A114" s="160"/>
      <c r="B114" s="121">
        <v>108</v>
      </c>
      <c r="C114" s="158" t="b">
        <v>0</v>
      </c>
      <c r="D114" s="158" t="str">
        <v>X2</v>
      </c>
      <c r="E114" s="268" t="str">
        <f>Currency&amp;"FUT"&amp;$G$4&amp;$D114&amp;QuoteSuffix</f>
        <v>EURFUT3MX2_Quote</v>
      </c>
      <c r="F114" s="269" t="str">
        <f>Currency&amp;"FUT"&amp;$G$4&amp;$D114&amp;"ConvAdj"&amp;QuoteSuffix</f>
        <v>EURFUT3MX2ConvAdj_Quote</v>
      </c>
      <c r="G114" s="268" t="str">
        <f>_xll.qlFuturesConvAdjustmentQuote($F114,IborIndex,$D114,$E114,Volatility,MeanReversion,Permanent,Trigger,ObjectOverwrite)</f>
        <v>EURFUT3MX2ConvAdj_Quote#0008</v>
      </c>
      <c r="H114" s="84" t="str">
        <f>_xll.ohRangeRetrieveError(G114)</f>
        <v/>
      </c>
    </row>
    <row r="115" spans="1:8" x14ac:dyDescent="0.2">
      <c r="A115" s="160"/>
      <c r="B115" s="121">
        <v>109</v>
      </c>
      <c r="C115" s="158" t="b">
        <v>0</v>
      </c>
      <c r="D115" s="158" t="str">
        <v>Z2</v>
      </c>
      <c r="E115" s="268" t="str">
        <f>Currency&amp;"FUT"&amp;$G$4&amp;$D115&amp;QuoteSuffix</f>
        <v>EURFUT3MZ2_Quote</v>
      </c>
      <c r="F115" s="269" t="str">
        <f>Currency&amp;"FUT"&amp;$G$4&amp;$D115&amp;"ConvAdj"&amp;QuoteSuffix</f>
        <v>EURFUT3MZ2ConvAdj_Quote</v>
      </c>
      <c r="G115" s="268" t="str">
        <f>_xll.qlFuturesConvAdjustmentQuote($F115,IborIndex,$D115,$E115,Volatility,MeanReversion,Permanent,Trigger,ObjectOverwrite)</f>
        <v>EURFUT3MZ2ConvAdj_Quote#0008</v>
      </c>
      <c r="H115" s="84" t="str">
        <f>_xll.ohRangeRetrieveError(G115)</f>
        <v/>
      </c>
    </row>
    <row r="116" spans="1:8" x14ac:dyDescent="0.2">
      <c r="A116" s="160"/>
      <c r="B116" s="121">
        <v>110</v>
      </c>
      <c r="C116" s="158" t="b">
        <v>0</v>
      </c>
      <c r="D116" s="158" t="str">
        <v>F3</v>
      </c>
      <c r="E116" s="268" t="str">
        <f>Currency&amp;"FUT"&amp;$G$4&amp;$D116&amp;QuoteSuffix</f>
        <v>EURFUT3MF3_Quote</v>
      </c>
      <c r="F116" s="269" t="str">
        <f>Currency&amp;"FUT"&amp;$G$4&amp;$D116&amp;"ConvAdj"&amp;QuoteSuffix</f>
        <v>EURFUT3MF3ConvAdj_Quote</v>
      </c>
      <c r="G116" s="268" t="str">
        <f>_xll.qlFuturesConvAdjustmentQuote($F116,IborIndex,$D116,$E116,Volatility,MeanReversion,Permanent,Trigger,ObjectOverwrite)</f>
        <v>EURFUT3MF3ConvAdj_Quote#0008</v>
      </c>
      <c r="H116" s="84" t="str">
        <f>_xll.ohRangeRetrieveError(G116)</f>
        <v/>
      </c>
    </row>
    <row r="117" spans="1:8" x14ac:dyDescent="0.2">
      <c r="A117" s="160"/>
      <c r="B117" s="121">
        <v>111</v>
      </c>
      <c r="C117" s="158" t="b">
        <v>0</v>
      </c>
      <c r="D117" s="158" t="str">
        <v>G3</v>
      </c>
      <c r="E117" s="268" t="str">
        <f>Currency&amp;"FUT"&amp;$G$4&amp;$D117&amp;QuoteSuffix</f>
        <v>EURFUT3MG3_Quote</v>
      </c>
      <c r="F117" s="269" t="str">
        <f>Currency&amp;"FUT"&amp;$G$4&amp;$D117&amp;"ConvAdj"&amp;QuoteSuffix</f>
        <v>EURFUT3MG3ConvAdj_Quote</v>
      </c>
      <c r="G117" s="268" t="str">
        <f>_xll.qlFuturesConvAdjustmentQuote($F117,IborIndex,$D117,$E117,Volatility,MeanReversion,Permanent,Trigger,ObjectOverwrite)</f>
        <v>EURFUT3MG3ConvAdj_Quote#0008</v>
      </c>
      <c r="H117" s="84" t="str">
        <f>_xll.ohRangeRetrieveError(G117)</f>
        <v/>
      </c>
    </row>
    <row r="118" spans="1:8" x14ac:dyDescent="0.2">
      <c r="A118" s="160"/>
      <c r="B118" s="121">
        <v>112</v>
      </c>
      <c r="C118" s="158" t="b">
        <v>0</v>
      </c>
      <c r="D118" s="158" t="str">
        <v>H3</v>
      </c>
      <c r="E118" s="268" t="str">
        <f>Currency&amp;"FUT"&amp;$G$4&amp;$D118&amp;QuoteSuffix</f>
        <v>EURFUT3MH3_Quote</v>
      </c>
      <c r="F118" s="269" t="str">
        <f>Currency&amp;"FUT"&amp;$G$4&amp;$D118&amp;"ConvAdj"&amp;QuoteSuffix</f>
        <v>EURFUT3MH3ConvAdj_Quote</v>
      </c>
      <c r="G118" s="268" t="str">
        <f>_xll.qlFuturesConvAdjustmentQuote($F118,IborIndex,$D118,$E118,Volatility,MeanReversion,Permanent,Trigger,ObjectOverwrite)</f>
        <v>EURFUT3MH3ConvAdj_Quote#0008</v>
      </c>
      <c r="H118" s="84" t="str">
        <f>_xll.ohRangeRetrieveError(G118)</f>
        <v/>
      </c>
    </row>
    <row r="119" spans="1:8" x14ac:dyDescent="0.2">
      <c r="A119" s="160"/>
      <c r="B119" s="121">
        <v>113</v>
      </c>
      <c r="C119" s="158" t="b">
        <v>0</v>
      </c>
      <c r="D119" s="158" t="str">
        <v>J3</v>
      </c>
      <c r="E119" s="268" t="str">
        <f>Currency&amp;"FUT"&amp;$G$4&amp;$D119&amp;QuoteSuffix</f>
        <v>EURFUT3MJ3_Quote</v>
      </c>
      <c r="F119" s="269" t="str">
        <f>Currency&amp;"FUT"&amp;$G$4&amp;$D119&amp;"ConvAdj"&amp;QuoteSuffix</f>
        <v>EURFUT3MJ3ConvAdj_Quote</v>
      </c>
      <c r="G119" s="268" t="str">
        <f>_xll.qlFuturesConvAdjustmentQuote($F119,IborIndex,$D119,$E119,Volatility,MeanReversion,Permanent,Trigger,ObjectOverwrite)</f>
        <v>EURFUT3MJ3ConvAdj_Quote#0008</v>
      </c>
      <c r="H119" s="84" t="str">
        <f>_xll.ohRangeRetrieveError(G119)</f>
        <v/>
      </c>
    </row>
    <row r="120" spans="1:8" x14ac:dyDescent="0.2">
      <c r="A120" s="160"/>
      <c r="B120" s="121">
        <v>114</v>
      </c>
      <c r="C120" s="158" t="b">
        <v>0</v>
      </c>
      <c r="D120" s="158" t="str">
        <v>K3</v>
      </c>
      <c r="E120" s="268" t="str">
        <f>Currency&amp;"FUT"&amp;$G$4&amp;$D120&amp;QuoteSuffix</f>
        <v>EURFUT3MK3_Quote</v>
      </c>
      <c r="F120" s="269" t="str">
        <f>Currency&amp;"FUT"&amp;$G$4&amp;$D120&amp;"ConvAdj"&amp;QuoteSuffix</f>
        <v>EURFUT3MK3ConvAdj_Quote</v>
      </c>
      <c r="G120" s="268" t="str">
        <f>_xll.qlFuturesConvAdjustmentQuote($F120,IborIndex,$D120,$E120,Volatility,MeanReversion,Permanent,Trigger,ObjectOverwrite)</f>
        <v>EURFUT3MK3ConvAdj_Quote#0008</v>
      </c>
      <c r="H120" s="84" t="str">
        <f>_xll.ohRangeRetrieveError(G120)</f>
        <v/>
      </c>
    </row>
    <row r="121" spans="1:8" x14ac:dyDescent="0.2">
      <c r="A121" s="160"/>
      <c r="B121" s="121">
        <v>115</v>
      </c>
      <c r="C121" s="158" t="b">
        <v>0</v>
      </c>
      <c r="D121" s="158" t="str">
        <v>M3</v>
      </c>
      <c r="E121" s="268" t="str">
        <f>Currency&amp;"FUT"&amp;$G$4&amp;$D121&amp;QuoteSuffix</f>
        <v>EURFUT3MM3_Quote</v>
      </c>
      <c r="F121" s="269" t="str">
        <f>Currency&amp;"FUT"&amp;$G$4&amp;$D121&amp;"ConvAdj"&amp;QuoteSuffix</f>
        <v>EURFUT3MM3ConvAdj_Quote</v>
      </c>
      <c r="G121" s="268" t="str">
        <f>_xll.qlFuturesConvAdjustmentQuote($F121,IborIndex,$D121,$E121,Volatility,MeanReversion,Permanent,Trigger,ObjectOverwrite)</f>
        <v>EURFUT3MM3ConvAdj_Quote#0008</v>
      </c>
      <c r="H121" s="84" t="str">
        <f>_xll.ohRangeRetrieveError(G121)</f>
        <v/>
      </c>
    </row>
    <row r="122" spans="1:8" x14ac:dyDescent="0.2">
      <c r="A122" s="160"/>
      <c r="B122" s="121">
        <v>116</v>
      </c>
      <c r="C122" s="158" t="b">
        <v>0</v>
      </c>
      <c r="D122" s="158" t="str">
        <v>N3</v>
      </c>
      <c r="E122" s="268" t="str">
        <f>Currency&amp;"FUT"&amp;$G$4&amp;$D122&amp;QuoteSuffix</f>
        <v>EURFUT3MN3_Quote</v>
      </c>
      <c r="F122" s="269" t="str">
        <f>Currency&amp;"FUT"&amp;$G$4&amp;$D122&amp;"ConvAdj"&amp;QuoteSuffix</f>
        <v>EURFUT3MN3ConvAdj_Quote</v>
      </c>
      <c r="G122" s="268" t="str">
        <f>_xll.qlFuturesConvAdjustmentQuote($F122,IborIndex,$D122,$E122,Volatility,MeanReversion,Permanent,Trigger,ObjectOverwrite)</f>
        <v>EURFUT3MN3ConvAdj_Quote#0008</v>
      </c>
      <c r="H122" s="84" t="str">
        <f>_xll.ohRangeRetrieveError(G122)</f>
        <v/>
      </c>
    </row>
    <row r="123" spans="1:8" x14ac:dyDescent="0.2">
      <c r="A123" s="160"/>
      <c r="B123" s="121">
        <v>117</v>
      </c>
      <c r="C123" s="158" t="b">
        <v>0</v>
      </c>
      <c r="D123" s="158" t="str">
        <v>Q3</v>
      </c>
      <c r="E123" s="268" t="str">
        <f>Currency&amp;"FUT"&amp;$G$4&amp;$D123&amp;QuoteSuffix</f>
        <v>EURFUT3MQ3_Quote</v>
      </c>
      <c r="F123" s="269" t="str">
        <f>Currency&amp;"FUT"&amp;$G$4&amp;$D123&amp;"ConvAdj"&amp;QuoteSuffix</f>
        <v>EURFUT3MQ3ConvAdj_Quote</v>
      </c>
      <c r="G123" s="268" t="str">
        <f>_xll.qlFuturesConvAdjustmentQuote($F123,IborIndex,$D123,$E123,Volatility,MeanReversion,Permanent,Trigger,ObjectOverwrite)</f>
        <v>EURFUT3MQ3ConvAdj_Quote#0008</v>
      </c>
      <c r="H123" s="84" t="str">
        <f>_xll.ohRangeRetrieveError(G123)</f>
        <v/>
      </c>
    </row>
    <row r="124" spans="1:8" x14ac:dyDescent="0.2">
      <c r="A124" s="160"/>
      <c r="B124" s="121">
        <v>118</v>
      </c>
      <c r="C124" s="158" t="b">
        <v>0</v>
      </c>
      <c r="D124" s="158" t="str">
        <v>U3</v>
      </c>
      <c r="E124" s="268" t="str">
        <f>Currency&amp;"FUT"&amp;$G$4&amp;$D124&amp;QuoteSuffix</f>
        <v>EURFUT3MU3_Quote</v>
      </c>
      <c r="F124" s="269" t="str">
        <f>Currency&amp;"FUT"&amp;$G$4&amp;$D124&amp;"ConvAdj"&amp;QuoteSuffix</f>
        <v>EURFUT3MU3ConvAdj_Quote</v>
      </c>
      <c r="G124" s="268" t="str">
        <f>_xll.qlFuturesConvAdjustmentQuote($F124,IborIndex,$D124,$E124,Volatility,MeanReversion,Permanent,Trigger,ObjectOverwrite)</f>
        <v>EURFUT3MU3ConvAdj_Quote#0008</v>
      </c>
      <c r="H124" s="84" t="str">
        <f>_xll.ohRangeRetrieveError(G124)</f>
        <v/>
      </c>
    </row>
    <row r="125" spans="1:8" x14ac:dyDescent="0.2">
      <c r="A125" s="160"/>
      <c r="B125" s="121">
        <v>119</v>
      </c>
      <c r="C125" s="158" t="b">
        <v>0</v>
      </c>
      <c r="D125" s="158" t="str">
        <v>V3</v>
      </c>
      <c r="E125" s="268" t="str">
        <f>Currency&amp;"FUT"&amp;$G$4&amp;$D125&amp;QuoteSuffix</f>
        <v>EURFUT3MV3_Quote</v>
      </c>
      <c r="F125" s="269" t="str">
        <f>Currency&amp;"FUT"&amp;$G$4&amp;$D125&amp;"ConvAdj"&amp;QuoteSuffix</f>
        <v>EURFUT3MV3ConvAdj_Quote</v>
      </c>
      <c r="G125" s="268" t="str">
        <f>_xll.qlFuturesConvAdjustmentQuote($F125,IborIndex,$D125,$E125,Volatility,MeanReversion,Permanent,Trigger,ObjectOverwrite)</f>
        <v>EURFUT3MV3ConvAdj_Quote#0008</v>
      </c>
      <c r="H125" s="84" t="str">
        <f>_xll.ohRangeRetrieveError(G125)</f>
        <v/>
      </c>
    </row>
    <row r="126" spans="1:8" ht="12" thickBot="1" x14ac:dyDescent="0.25">
      <c r="A126" s="154"/>
      <c r="B126" s="121">
        <v>120</v>
      </c>
      <c r="C126" s="158" t="b">
        <v>0</v>
      </c>
      <c r="D126" s="158" t="str">
        <v>X3</v>
      </c>
      <c r="E126" s="268" t="str">
        <f>Currency&amp;"FUT"&amp;$G$4&amp;$D126&amp;QuoteSuffix</f>
        <v>EURFUT3MX3_Quote</v>
      </c>
      <c r="F126" s="269" t="str">
        <f>Currency&amp;"FUT"&amp;$G$4&amp;$D126&amp;"ConvAdj"&amp;QuoteSuffix</f>
        <v>EURFUT3MX3ConvAdj_Quote</v>
      </c>
      <c r="G126" s="268" t="str">
        <f>_xll.qlFuturesConvAdjustmentQuote($F126,IborIndex,$D126,$E126,Volatility,MeanReversion,Permanent,Trigger,ObjectOverwrite)</f>
        <v>EURFUT3MX3ConvAdj_Quote#0008</v>
      </c>
      <c r="H126" s="84" t="str">
        <f>_xll.ohRangeRetrieveError(G126)</f>
        <v/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9"/>
  <sheetViews>
    <sheetView workbookViewId="0"/>
  </sheetViews>
  <sheetFormatPr defaultColWidth="8" defaultRowHeight="11.25" x14ac:dyDescent="0.2"/>
  <cols>
    <col min="1" max="1" width="6.140625" style="110" customWidth="1"/>
    <col min="2" max="2" width="4.28515625" style="110" customWidth="1"/>
    <col min="3" max="3" width="15.5703125" style="110" bestFit="1" customWidth="1"/>
    <col min="4" max="4" width="79.42578125" style="110" bestFit="1" customWidth="1"/>
    <col min="5" max="5" width="4.7109375" style="110" customWidth="1"/>
    <col min="6" max="6" width="35.28515625" style="110" customWidth="1"/>
    <col min="7" max="7" width="4.28515625" style="110" customWidth="1"/>
    <col min="8" max="16384" width="8" style="110"/>
  </cols>
  <sheetData>
    <row r="1" spans="1:5" ht="13.5" thickBot="1" x14ac:dyDescent="0.25">
      <c r="A1" s="110" t="s">
        <v>221</v>
      </c>
      <c r="B1" s="116" t="str">
        <f>_xll.qlxlVersion(TRUE,Trigger)</f>
        <v>QuantLibXL 1.3.0 - MS VC++ 9.0 - Multithreaded Static Runtime library - Release Configuration - Dec  5 2013 11:03:51</v>
      </c>
    </row>
    <row r="2" spans="1:5" s="1" customFormat="1" ht="15.75" x14ac:dyDescent="0.25">
      <c r="A2" s="23"/>
      <c r="B2" s="255" t="s">
        <v>32</v>
      </c>
      <c r="C2" s="254"/>
      <c r="D2" s="254"/>
      <c r="E2" s="253"/>
    </row>
    <row r="3" spans="1:5" s="1" customFormat="1" ht="12.75" x14ac:dyDescent="0.2">
      <c r="A3" s="23"/>
      <c r="B3" s="9"/>
      <c r="C3" s="13"/>
      <c r="D3" s="13"/>
      <c r="E3" s="5"/>
    </row>
    <row r="4" spans="1:5" s="1" customFormat="1" ht="12.75" x14ac:dyDescent="0.2">
      <c r="A4" s="23"/>
      <c r="B4" s="9"/>
      <c r="C4" s="16" t="s">
        <v>31</v>
      </c>
      <c r="D4" s="15"/>
      <c r="E4" s="14"/>
    </row>
    <row r="5" spans="1:5" s="1" customFormat="1" ht="12.75" x14ac:dyDescent="0.2">
      <c r="A5" s="23"/>
      <c r="B5" s="9"/>
      <c r="C5" s="16" t="s">
        <v>30</v>
      </c>
      <c r="D5" s="15" t="b">
        <v>1</v>
      </c>
      <c r="E5" s="14"/>
    </row>
    <row r="6" spans="1:5" s="1" customFormat="1" ht="12.75" x14ac:dyDescent="0.2">
      <c r="A6" s="23"/>
      <c r="B6" s="9"/>
      <c r="C6" s="16" t="s">
        <v>29</v>
      </c>
      <c r="D6" s="15" t="b">
        <v>0</v>
      </c>
      <c r="E6" s="14"/>
    </row>
    <row r="7" spans="1:5" s="1" customFormat="1" ht="12.75" x14ac:dyDescent="0.2">
      <c r="A7" s="23"/>
      <c r="B7" s="9"/>
      <c r="C7" s="16" t="s">
        <v>28</v>
      </c>
      <c r="D7" s="15" t="b">
        <v>1</v>
      </c>
      <c r="E7" s="14"/>
    </row>
    <row r="8" spans="1:5" s="1" customFormat="1" ht="12.75" x14ac:dyDescent="0.2">
      <c r="A8" s="23"/>
      <c r="B8" s="9"/>
      <c r="C8" s="16" t="s">
        <v>27</v>
      </c>
      <c r="D8" s="25" t="str">
        <f ca="1">SUBSTITUTE(LEFT(CELL("filename",A1),FIND("[",CELL("filename",A1),1)-1),"\XLS\","\XML\")</f>
        <v>C:\Users\erik\Documents\repos\quantlib_nando\QuantLibXL\Data2\XML\</v>
      </c>
      <c r="E8" s="14"/>
    </row>
    <row r="9" spans="1:5" s="1" customFormat="1" ht="12.75" x14ac:dyDescent="0.2">
      <c r="A9" s="23"/>
      <c r="B9" s="9"/>
      <c r="C9" s="16" t="s">
        <v>26</v>
      </c>
      <c r="D9" s="24" t="b">
        <v>1</v>
      </c>
      <c r="E9" s="14"/>
    </row>
    <row r="10" spans="1:5" s="1" customFormat="1" ht="13.5" thickBot="1" x14ac:dyDescent="0.25">
      <c r="A10" s="23"/>
      <c r="B10" s="4"/>
      <c r="C10" s="3"/>
      <c r="D10" s="3"/>
      <c r="E10" s="2"/>
    </row>
    <row r="11" spans="1:5" ht="12" thickBot="1" x14ac:dyDescent="0.25"/>
    <row r="12" spans="1:5" ht="15.75" x14ac:dyDescent="0.25">
      <c r="B12" s="115" t="s">
        <v>149</v>
      </c>
      <c r="C12" s="114"/>
      <c r="D12" s="114"/>
      <c r="E12" s="113"/>
    </row>
    <row r="13" spans="1:5" x14ac:dyDescent="0.2">
      <c r="B13" s="9"/>
      <c r="C13" s="13"/>
      <c r="D13" s="13"/>
      <c r="E13" s="5"/>
    </row>
    <row r="14" spans="1:5" x14ac:dyDescent="0.2">
      <c r="B14" s="9"/>
      <c r="C14" s="16" t="s">
        <v>25</v>
      </c>
      <c r="D14" s="15" t="s">
        <v>123</v>
      </c>
      <c r="E14" s="14"/>
    </row>
    <row r="15" spans="1:5" x14ac:dyDescent="0.2">
      <c r="B15" s="9"/>
      <c r="C15" s="16" t="s">
        <v>54</v>
      </c>
      <c r="D15" s="15" t="s">
        <v>53</v>
      </c>
      <c r="E15" s="14"/>
    </row>
    <row r="16" spans="1:5" x14ac:dyDescent="0.2">
      <c r="B16" s="9"/>
      <c r="C16" s="16" t="s">
        <v>148</v>
      </c>
      <c r="D16" s="24" t="s">
        <v>147</v>
      </c>
      <c r="E16" s="14"/>
    </row>
    <row r="17" spans="2:5" x14ac:dyDescent="0.2">
      <c r="B17" s="9"/>
      <c r="C17" s="16" t="s">
        <v>146</v>
      </c>
      <c r="D17" s="112">
        <v>1E-4</v>
      </c>
      <c r="E17" s="14"/>
    </row>
    <row r="18" spans="2:5" x14ac:dyDescent="0.2">
      <c r="B18" s="9"/>
      <c r="C18" s="16" t="s">
        <v>145</v>
      </c>
      <c r="D18" s="111">
        <v>-0.01</v>
      </c>
      <c r="E18" s="14"/>
    </row>
    <row r="19" spans="2:5" ht="12" thickBot="1" x14ac:dyDescent="0.25">
      <c r="B19" s="4"/>
      <c r="C19" s="3"/>
      <c r="D19" s="3"/>
      <c r="E19" s="2"/>
    </row>
  </sheetData>
  <mergeCells count="2">
    <mergeCell ref="B2:E2"/>
    <mergeCell ref="B12:E12"/>
  </mergeCells>
  <dataValidations count="2">
    <dataValidation type="list" allowBlank="1" showInputMessage="1" showErrorMessage="1" sqref="D15">
      <formula1>"ibor,Libor"</formula1>
    </dataValidation>
    <dataValidation type="list" allowBlank="1" showInputMessage="1" showErrorMessage="1" sqref="D14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0"/>
  <sheetViews>
    <sheetView workbookViewId="0"/>
  </sheetViews>
  <sheetFormatPr defaultRowHeight="11.25" x14ac:dyDescent="0.2"/>
  <cols>
    <col min="1" max="1" width="3.7109375" style="77" customWidth="1"/>
    <col min="2" max="2" width="6.5703125" style="21" bestFit="1" customWidth="1"/>
    <col min="3" max="3" width="3.140625" style="77" bestFit="1" customWidth="1"/>
    <col min="4" max="5" width="2.7109375" style="77" bestFit="1" customWidth="1"/>
    <col min="6" max="6" width="15.7109375" style="77" bestFit="1" customWidth="1"/>
    <col min="7" max="7" width="8" style="77" bestFit="1" customWidth="1"/>
    <col min="8" max="8" width="15.28515625" style="77" bestFit="1" customWidth="1"/>
    <col min="9" max="9" width="22.5703125" style="77" bestFit="1" customWidth="1"/>
    <col min="10" max="10" width="24.7109375" style="78" bestFit="1" customWidth="1"/>
    <col min="11" max="11" width="37.85546875" style="77" customWidth="1"/>
    <col min="12" max="12" width="4.42578125" style="77" customWidth="1"/>
    <col min="13" max="13" width="5.85546875" style="77" customWidth="1"/>
    <col min="14" max="16384" width="9.140625" style="77"/>
  </cols>
  <sheetData>
    <row r="1" spans="1:12" x14ac:dyDescent="0.2">
      <c r="A1" s="230" t="s">
        <v>226</v>
      </c>
      <c r="B1" s="213"/>
      <c r="C1" s="213"/>
      <c r="D1" s="213"/>
      <c r="E1" s="213"/>
      <c r="F1" s="213"/>
      <c r="G1" s="213"/>
      <c r="H1" s="213"/>
      <c r="I1" s="168"/>
      <c r="J1" s="229"/>
      <c r="K1" s="168"/>
      <c r="L1" s="210"/>
    </row>
    <row r="2" spans="1:12" x14ac:dyDescent="0.2">
      <c r="A2" s="136"/>
      <c r="B2" s="263" t="s">
        <v>141</v>
      </c>
      <c r="C2" s="264"/>
      <c r="D2" s="263"/>
      <c r="E2" s="263"/>
      <c r="F2" s="263" t="s">
        <v>224</v>
      </c>
      <c r="G2" s="263" t="s">
        <v>223</v>
      </c>
      <c r="H2" s="263" t="s">
        <v>214</v>
      </c>
      <c r="I2" s="262" t="str">
        <f>Currency&amp;"_020_Sw"&amp;$C$3&amp;$D$3&amp;"_Basis.xml"</f>
        <v>EUR_020_SwAB1E_Basis.xml</v>
      </c>
      <c r="J2" s="261">
        <f ca="1">IF(Serialize,_xll.ohObjectSave(J3:J39,SerializationPath&amp;I2,FileOverwrite,Serialize),"---")</f>
        <v>37</v>
      </c>
      <c r="K2" s="259" t="str">
        <f ca="1">_xll.ohRangeRetrieveError(J2)</f>
        <v/>
      </c>
      <c r="L2" s="57"/>
    </row>
    <row r="3" spans="1:12" x14ac:dyDescent="0.2">
      <c r="A3" s="136"/>
      <c r="B3" s="228" t="s">
        <v>34</v>
      </c>
      <c r="C3" s="120" t="s">
        <v>202</v>
      </c>
      <c r="D3" s="120" t="s">
        <v>136</v>
      </c>
      <c r="E3" s="120" t="s">
        <v>135</v>
      </c>
      <c r="F3" s="256" t="str">
        <f>Currency&amp;$C3&amp;E3&amp;$B3&amp;QuoteSuffix</f>
        <v>EURAB6E1Y_Quote</v>
      </c>
      <c r="G3" s="120" t="s">
        <v>222</v>
      </c>
      <c r="H3" s="257" t="str">
        <f>Currency&amp;IF($G3="-",$D3&amp;E3,E3&amp;$D3)&amp;$B3&amp;QuoteSuffix</f>
        <v>EUR1E6E1Y_Quote</v>
      </c>
      <c r="I3" s="256" t="str">
        <f>Currency&amp;$C3&amp;$D3&amp;"BASIS"&amp;$B3&amp;QuoteSuffix</f>
        <v>EURAB1EBASIS1Y_Quote</v>
      </c>
      <c r="J3" s="256" t="str">
        <f>_xll.qlCompositeQuote(I3,F3,H3,G3,Permanent,Trigger,ObjectOverwrite)</f>
        <v>EURAB1EBASIS1Y_Quote#0006</v>
      </c>
      <c r="K3" s="265" t="str">
        <f>_xll.ohRangeRetrieveError(J3)</f>
        <v/>
      </c>
      <c r="L3" s="57"/>
    </row>
    <row r="4" spans="1:12" x14ac:dyDescent="0.2">
      <c r="A4" s="136"/>
      <c r="B4" s="228" t="s">
        <v>140</v>
      </c>
      <c r="C4" s="120" t="s">
        <v>202</v>
      </c>
      <c r="D4" s="120" t="s">
        <v>136</v>
      </c>
      <c r="E4" s="120" t="s">
        <v>135</v>
      </c>
      <c r="F4" s="256" t="str">
        <f>Currency&amp;$C4&amp;E4&amp;$B4&amp;QuoteSuffix</f>
        <v>EURAB6E15M_Quote</v>
      </c>
      <c r="G4" s="120" t="s">
        <v>222</v>
      </c>
      <c r="H4" s="257" t="str">
        <f>Currency&amp;IF($G4="-",$D4&amp;E4,E4&amp;$D4)&amp;$B4&amp;QuoteSuffix</f>
        <v>EUR1E6E15M_Quote</v>
      </c>
      <c r="I4" s="256" t="str">
        <f>Currency&amp;$C4&amp;$D4&amp;"BASIS"&amp;$B4&amp;QuoteSuffix</f>
        <v>EURAB1EBASIS15M_Quote</v>
      </c>
      <c r="J4" s="256" t="str">
        <f>_xll.qlCompositeQuote(I4,F4,H4,G4,Permanent,Trigger,ObjectOverwrite)</f>
        <v>EURAB1EBASIS15M_Quote#0006</v>
      </c>
      <c r="K4" s="265" t="str">
        <f>_xll.ohRangeRetrieveError(J4)</f>
        <v/>
      </c>
      <c r="L4" s="57"/>
    </row>
    <row r="5" spans="1:12" x14ac:dyDescent="0.2">
      <c r="A5" s="136"/>
      <c r="B5" s="228" t="s">
        <v>139</v>
      </c>
      <c r="C5" s="120" t="s">
        <v>202</v>
      </c>
      <c r="D5" s="120" t="s">
        <v>136</v>
      </c>
      <c r="E5" s="120" t="s">
        <v>135</v>
      </c>
      <c r="F5" s="256" t="str">
        <f>Currency&amp;$C5&amp;E5&amp;$B5&amp;QuoteSuffix</f>
        <v>EURAB6E18M_Quote</v>
      </c>
      <c r="G5" s="120" t="s">
        <v>222</v>
      </c>
      <c r="H5" s="257" t="str">
        <f>Currency&amp;IF($G5="-",$D5&amp;E5,E5&amp;$D5)&amp;$B5&amp;QuoteSuffix</f>
        <v>EUR1E6E18M_Quote</v>
      </c>
      <c r="I5" s="256" t="str">
        <f>Currency&amp;$C5&amp;$D5&amp;"BASIS"&amp;$B5&amp;QuoteSuffix</f>
        <v>EURAB1EBASIS18M_Quote</v>
      </c>
      <c r="J5" s="256" t="str">
        <f>_xll.qlCompositeQuote(I5,F5,H5,G5,Permanent,Trigger,ObjectOverwrite)</f>
        <v>EURAB1EBASIS18M_Quote#0006</v>
      </c>
      <c r="K5" s="265" t="str">
        <f>_xll.ohRangeRetrieveError(J5)</f>
        <v/>
      </c>
      <c r="L5" s="57"/>
    </row>
    <row r="6" spans="1:12" x14ac:dyDescent="0.2">
      <c r="A6" s="136"/>
      <c r="B6" s="228" t="s">
        <v>138</v>
      </c>
      <c r="C6" s="120" t="s">
        <v>202</v>
      </c>
      <c r="D6" s="120" t="s">
        <v>136</v>
      </c>
      <c r="E6" s="120" t="s">
        <v>135</v>
      </c>
      <c r="F6" s="256" t="str">
        <f>Currency&amp;$C6&amp;E6&amp;$B6&amp;QuoteSuffix</f>
        <v>EURAB6E21M_Quote</v>
      </c>
      <c r="G6" s="120" t="s">
        <v>222</v>
      </c>
      <c r="H6" s="257" t="str">
        <f>Currency&amp;IF($G6="-",$D6&amp;E6,E6&amp;$D6)&amp;$B6&amp;QuoteSuffix</f>
        <v>EUR1E6E21M_Quote</v>
      </c>
      <c r="I6" s="256" t="str">
        <f>Currency&amp;$C6&amp;$D6&amp;"BASIS"&amp;$B6&amp;QuoteSuffix</f>
        <v>EURAB1EBASIS21M_Quote</v>
      </c>
      <c r="J6" s="256" t="str">
        <f>_xll.qlCompositeQuote(I6,F6,H6,G6,Permanent,Trigger,ObjectOverwrite)</f>
        <v>EURAB1EBASIS21M_Quote#0006</v>
      </c>
      <c r="K6" s="265" t="str">
        <f>_xll.ohRangeRetrieveError(J6)</f>
        <v/>
      </c>
      <c r="L6" s="57"/>
    </row>
    <row r="7" spans="1:12" x14ac:dyDescent="0.2">
      <c r="A7" s="136"/>
      <c r="B7" s="228" t="s">
        <v>115</v>
      </c>
      <c r="C7" s="120" t="s">
        <v>202</v>
      </c>
      <c r="D7" s="120" t="s">
        <v>136</v>
      </c>
      <c r="E7" s="120" t="s">
        <v>135</v>
      </c>
      <c r="F7" s="256" t="str">
        <f>Currency&amp;$C7&amp;E7&amp;$B7&amp;QuoteSuffix</f>
        <v>EURAB6E2Y_Quote</v>
      </c>
      <c r="G7" s="120" t="s">
        <v>222</v>
      </c>
      <c r="H7" s="257" t="str">
        <f>Currency&amp;IF($G7="-",$D7&amp;E7,E7&amp;$D7)&amp;$B7&amp;QuoteSuffix</f>
        <v>EUR1E6E2Y_Quote</v>
      </c>
      <c r="I7" s="256" t="str">
        <f>Currency&amp;$C7&amp;$D7&amp;"BASIS"&amp;$B7&amp;QuoteSuffix</f>
        <v>EURAB1EBASIS2Y_Quote</v>
      </c>
      <c r="J7" s="256" t="str">
        <f>_xll.qlCompositeQuote(I7,F7,H7,G7,Permanent,Trigger,ObjectOverwrite)</f>
        <v>EURAB1EBASIS2Y_Quote#0006</v>
      </c>
      <c r="K7" s="265" t="str">
        <f>_xll.ohRangeRetrieveError(J7)</f>
        <v/>
      </c>
      <c r="L7" s="57"/>
    </row>
    <row r="8" spans="1:12" x14ac:dyDescent="0.2">
      <c r="A8" s="136"/>
      <c r="B8" s="228" t="s">
        <v>114</v>
      </c>
      <c r="C8" s="120" t="s">
        <v>202</v>
      </c>
      <c r="D8" s="120" t="s">
        <v>136</v>
      </c>
      <c r="E8" s="120" t="s">
        <v>135</v>
      </c>
      <c r="F8" s="256" t="str">
        <f>Currency&amp;$C8&amp;E8&amp;$B8&amp;QuoteSuffix</f>
        <v>EURAB6E3Y_Quote</v>
      </c>
      <c r="G8" s="120" t="s">
        <v>222</v>
      </c>
      <c r="H8" s="257" t="str">
        <f>Currency&amp;IF($G8="-",$D8&amp;E8,E8&amp;$D8)&amp;$B8&amp;QuoteSuffix</f>
        <v>EUR1E6E3Y_Quote</v>
      </c>
      <c r="I8" s="256" t="str">
        <f>Currency&amp;$C8&amp;$D8&amp;"BASIS"&amp;$B8&amp;QuoteSuffix</f>
        <v>EURAB1EBASIS3Y_Quote</v>
      </c>
      <c r="J8" s="256" t="str">
        <f>_xll.qlCompositeQuote(I8,F8,H8,G8,Permanent,Trigger,ObjectOverwrite)</f>
        <v>EURAB1EBASIS3Y_Quote#0006</v>
      </c>
      <c r="K8" s="265" t="str">
        <f>_xll.ohRangeRetrieveError(J8)</f>
        <v/>
      </c>
      <c r="L8" s="57"/>
    </row>
    <row r="9" spans="1:12" x14ac:dyDescent="0.2">
      <c r="A9" s="136"/>
      <c r="B9" s="228" t="s">
        <v>113</v>
      </c>
      <c r="C9" s="120" t="s">
        <v>202</v>
      </c>
      <c r="D9" s="120" t="s">
        <v>136</v>
      </c>
      <c r="E9" s="120" t="s">
        <v>135</v>
      </c>
      <c r="F9" s="256" t="str">
        <f>Currency&amp;$C9&amp;E9&amp;$B9&amp;QuoteSuffix</f>
        <v>EURAB6E4Y_Quote</v>
      </c>
      <c r="G9" s="120" t="s">
        <v>222</v>
      </c>
      <c r="H9" s="257" t="str">
        <f>Currency&amp;IF($G9="-",$D9&amp;E9,E9&amp;$D9)&amp;$B9&amp;QuoteSuffix</f>
        <v>EUR1E6E4Y_Quote</v>
      </c>
      <c r="I9" s="256" t="str">
        <f>Currency&amp;$C9&amp;$D9&amp;"BASIS"&amp;$B9&amp;QuoteSuffix</f>
        <v>EURAB1EBASIS4Y_Quote</v>
      </c>
      <c r="J9" s="256" t="str">
        <f>_xll.qlCompositeQuote(I9,F9,H9,G9,Permanent,Trigger,ObjectOverwrite)</f>
        <v>EURAB1EBASIS4Y_Quote#0006</v>
      </c>
      <c r="K9" s="265" t="str">
        <f>_xll.ohRangeRetrieveError(J9)</f>
        <v/>
      </c>
      <c r="L9" s="57"/>
    </row>
    <row r="10" spans="1:12" x14ac:dyDescent="0.2">
      <c r="A10" s="136"/>
      <c r="B10" s="228" t="s">
        <v>112</v>
      </c>
      <c r="C10" s="120" t="s">
        <v>202</v>
      </c>
      <c r="D10" s="120" t="s">
        <v>136</v>
      </c>
      <c r="E10" s="120" t="s">
        <v>135</v>
      </c>
      <c r="F10" s="256" t="str">
        <f>Currency&amp;$C10&amp;E10&amp;$B10&amp;QuoteSuffix</f>
        <v>EURAB6E5Y_Quote</v>
      </c>
      <c r="G10" s="120" t="s">
        <v>222</v>
      </c>
      <c r="H10" s="257" t="str">
        <f>Currency&amp;IF($G10="-",$D10&amp;E10,E10&amp;$D10)&amp;$B10&amp;QuoteSuffix</f>
        <v>EUR1E6E5Y_Quote</v>
      </c>
      <c r="I10" s="256" t="str">
        <f>Currency&amp;$C10&amp;$D10&amp;"BASIS"&amp;$B10&amp;QuoteSuffix</f>
        <v>EURAB1EBASIS5Y_Quote</v>
      </c>
      <c r="J10" s="256" t="str">
        <f>_xll.qlCompositeQuote(I10,F10,H10,G10,Permanent,Trigger,ObjectOverwrite)</f>
        <v>EURAB1EBASIS5Y_Quote#0006</v>
      </c>
      <c r="K10" s="265" t="str">
        <f>_xll.ohRangeRetrieveError(J10)</f>
        <v/>
      </c>
      <c r="L10" s="57"/>
    </row>
    <row r="11" spans="1:12" x14ac:dyDescent="0.2">
      <c r="A11" s="136"/>
      <c r="B11" s="228" t="s">
        <v>111</v>
      </c>
      <c r="C11" s="120" t="s">
        <v>202</v>
      </c>
      <c r="D11" s="120" t="s">
        <v>136</v>
      </c>
      <c r="E11" s="120" t="s">
        <v>135</v>
      </c>
      <c r="F11" s="256" t="str">
        <f>Currency&amp;$C11&amp;E11&amp;$B11&amp;QuoteSuffix</f>
        <v>EURAB6E6Y_Quote</v>
      </c>
      <c r="G11" s="120" t="s">
        <v>222</v>
      </c>
      <c r="H11" s="257" t="str">
        <f>Currency&amp;IF($G11="-",$D11&amp;E11,E11&amp;$D11)&amp;$B11&amp;QuoteSuffix</f>
        <v>EUR1E6E6Y_Quote</v>
      </c>
      <c r="I11" s="256" t="str">
        <f>Currency&amp;$C11&amp;$D11&amp;"BASIS"&amp;$B11&amp;QuoteSuffix</f>
        <v>EURAB1EBASIS6Y_Quote</v>
      </c>
      <c r="J11" s="256" t="str">
        <f>_xll.qlCompositeQuote(I11,F11,H11,G11,Permanent,Trigger,ObjectOverwrite)</f>
        <v>EURAB1EBASIS6Y_Quote#0006</v>
      </c>
      <c r="K11" s="265" t="str">
        <f>_xll.ohRangeRetrieveError(J11)</f>
        <v/>
      </c>
      <c r="L11" s="57"/>
    </row>
    <row r="12" spans="1:12" x14ac:dyDescent="0.2">
      <c r="A12" s="136"/>
      <c r="B12" s="228" t="s">
        <v>110</v>
      </c>
      <c r="C12" s="120" t="s">
        <v>202</v>
      </c>
      <c r="D12" s="120" t="s">
        <v>136</v>
      </c>
      <c r="E12" s="120" t="s">
        <v>135</v>
      </c>
      <c r="F12" s="256" t="str">
        <f>Currency&amp;$C12&amp;E12&amp;$B12&amp;QuoteSuffix</f>
        <v>EURAB6E7Y_Quote</v>
      </c>
      <c r="G12" s="120" t="s">
        <v>222</v>
      </c>
      <c r="H12" s="257" t="str">
        <f>Currency&amp;IF($G12="-",$D12&amp;E12,E12&amp;$D12)&amp;$B12&amp;QuoteSuffix</f>
        <v>EUR1E6E7Y_Quote</v>
      </c>
      <c r="I12" s="256" t="str">
        <f>Currency&amp;$C12&amp;$D12&amp;"BASIS"&amp;$B12&amp;QuoteSuffix</f>
        <v>EURAB1EBASIS7Y_Quote</v>
      </c>
      <c r="J12" s="256" t="str">
        <f>_xll.qlCompositeQuote(I12,F12,H12,G12,Permanent,Trigger,ObjectOverwrite)</f>
        <v>EURAB1EBASIS7Y_Quote#0006</v>
      </c>
      <c r="K12" s="265" t="str">
        <f>_xll.ohRangeRetrieveError(J12)</f>
        <v/>
      </c>
      <c r="L12" s="57"/>
    </row>
    <row r="13" spans="1:12" x14ac:dyDescent="0.2">
      <c r="A13" s="136"/>
      <c r="B13" s="228" t="s">
        <v>109</v>
      </c>
      <c r="C13" s="120" t="s">
        <v>202</v>
      </c>
      <c r="D13" s="120" t="s">
        <v>136</v>
      </c>
      <c r="E13" s="120" t="s">
        <v>135</v>
      </c>
      <c r="F13" s="256" t="str">
        <f>Currency&amp;$C13&amp;E13&amp;$B13&amp;QuoteSuffix</f>
        <v>EURAB6E8Y_Quote</v>
      </c>
      <c r="G13" s="120" t="s">
        <v>222</v>
      </c>
      <c r="H13" s="257" t="str">
        <f>Currency&amp;IF($G13="-",$D13&amp;E13,E13&amp;$D13)&amp;$B13&amp;QuoteSuffix</f>
        <v>EUR1E6E8Y_Quote</v>
      </c>
      <c r="I13" s="256" t="str">
        <f>Currency&amp;$C13&amp;$D13&amp;"BASIS"&amp;$B13&amp;QuoteSuffix</f>
        <v>EURAB1EBASIS8Y_Quote</v>
      </c>
      <c r="J13" s="256" t="str">
        <f>_xll.qlCompositeQuote(I13,F13,H13,G13,Permanent,Trigger,ObjectOverwrite)</f>
        <v>EURAB1EBASIS8Y_Quote#0006</v>
      </c>
      <c r="K13" s="265" t="str">
        <f>_xll.ohRangeRetrieveError(J13)</f>
        <v/>
      </c>
      <c r="L13" s="57"/>
    </row>
    <row r="14" spans="1:12" x14ac:dyDescent="0.2">
      <c r="A14" s="136"/>
      <c r="B14" s="228" t="s">
        <v>108</v>
      </c>
      <c r="C14" s="120" t="s">
        <v>202</v>
      </c>
      <c r="D14" s="120" t="s">
        <v>136</v>
      </c>
      <c r="E14" s="120" t="s">
        <v>135</v>
      </c>
      <c r="F14" s="256" t="str">
        <f>Currency&amp;$C14&amp;E14&amp;$B14&amp;QuoteSuffix</f>
        <v>EURAB6E9Y_Quote</v>
      </c>
      <c r="G14" s="120" t="s">
        <v>222</v>
      </c>
      <c r="H14" s="257" t="str">
        <f>Currency&amp;IF($G14="-",$D14&amp;E14,E14&amp;$D14)&amp;$B14&amp;QuoteSuffix</f>
        <v>EUR1E6E9Y_Quote</v>
      </c>
      <c r="I14" s="256" t="str">
        <f>Currency&amp;$C14&amp;$D14&amp;"BASIS"&amp;$B14&amp;QuoteSuffix</f>
        <v>EURAB1EBASIS9Y_Quote</v>
      </c>
      <c r="J14" s="256" t="str">
        <f>_xll.qlCompositeQuote(I14,F14,H14,G14,Permanent,Trigger,ObjectOverwrite)</f>
        <v>EURAB1EBASIS9Y_Quote#0006</v>
      </c>
      <c r="K14" s="265" t="str">
        <f>_xll.ohRangeRetrieveError(J14)</f>
        <v/>
      </c>
      <c r="L14" s="57"/>
    </row>
    <row r="15" spans="1:12" x14ac:dyDescent="0.2">
      <c r="A15" s="136"/>
      <c r="B15" s="228" t="s">
        <v>107</v>
      </c>
      <c r="C15" s="120" t="s">
        <v>202</v>
      </c>
      <c r="D15" s="120" t="s">
        <v>136</v>
      </c>
      <c r="E15" s="120" t="s">
        <v>135</v>
      </c>
      <c r="F15" s="256" t="str">
        <f>Currency&amp;$C15&amp;E15&amp;$B15&amp;QuoteSuffix</f>
        <v>EURAB6E10Y_Quote</v>
      </c>
      <c r="G15" s="120" t="s">
        <v>222</v>
      </c>
      <c r="H15" s="257" t="str">
        <f>Currency&amp;IF($G15="-",$D15&amp;E15,E15&amp;$D15)&amp;$B15&amp;QuoteSuffix</f>
        <v>EUR1E6E10Y_Quote</v>
      </c>
      <c r="I15" s="256" t="str">
        <f>Currency&amp;$C15&amp;$D15&amp;"BASIS"&amp;$B15&amp;QuoteSuffix</f>
        <v>EURAB1EBASIS10Y_Quote</v>
      </c>
      <c r="J15" s="256" t="str">
        <f>_xll.qlCompositeQuote(I15,F15,H15,G15,Permanent,Trigger,ObjectOverwrite)</f>
        <v>EURAB1EBASIS10Y_Quote#0006</v>
      </c>
      <c r="K15" s="265" t="str">
        <f>_xll.ohRangeRetrieveError(J15)</f>
        <v/>
      </c>
      <c r="L15" s="57"/>
    </row>
    <row r="16" spans="1:12" x14ac:dyDescent="0.2">
      <c r="A16" s="136"/>
      <c r="B16" s="228" t="s">
        <v>106</v>
      </c>
      <c r="C16" s="120" t="s">
        <v>202</v>
      </c>
      <c r="D16" s="120" t="s">
        <v>136</v>
      </c>
      <c r="E16" s="120" t="s">
        <v>135</v>
      </c>
      <c r="F16" s="256" t="str">
        <f>Currency&amp;$C16&amp;E16&amp;$B16&amp;QuoteSuffix</f>
        <v>EURAB6E11Y_Quote</v>
      </c>
      <c r="G16" s="120" t="s">
        <v>222</v>
      </c>
      <c r="H16" s="257" t="str">
        <f>Currency&amp;IF($G16="-",$D16&amp;E16,E16&amp;$D16)&amp;$B16&amp;QuoteSuffix</f>
        <v>EUR1E6E11Y_Quote</v>
      </c>
      <c r="I16" s="256" t="str">
        <f>Currency&amp;$C16&amp;$D16&amp;"BASIS"&amp;$B16&amp;QuoteSuffix</f>
        <v>EURAB1EBASIS11Y_Quote</v>
      </c>
      <c r="J16" s="256" t="str">
        <f>_xll.qlCompositeQuote(I16,F16,H16,G16,Permanent,Trigger,ObjectOverwrite)</f>
        <v>EURAB1EBASIS11Y_Quote#0006</v>
      </c>
      <c r="K16" s="265" t="str">
        <f>_xll.ohRangeRetrieveError(J16)</f>
        <v/>
      </c>
      <c r="L16" s="57"/>
    </row>
    <row r="17" spans="1:12" x14ac:dyDescent="0.2">
      <c r="A17" s="136"/>
      <c r="B17" s="228" t="s">
        <v>105</v>
      </c>
      <c r="C17" s="120" t="s">
        <v>202</v>
      </c>
      <c r="D17" s="120" t="s">
        <v>136</v>
      </c>
      <c r="E17" s="120" t="s">
        <v>135</v>
      </c>
      <c r="F17" s="256" t="str">
        <f>Currency&amp;$C17&amp;E17&amp;$B17&amp;QuoteSuffix</f>
        <v>EURAB6E12Y_Quote</v>
      </c>
      <c r="G17" s="120" t="s">
        <v>222</v>
      </c>
      <c r="H17" s="257" t="str">
        <f>Currency&amp;IF($G17="-",$D17&amp;E17,E17&amp;$D17)&amp;$B17&amp;QuoteSuffix</f>
        <v>EUR1E6E12Y_Quote</v>
      </c>
      <c r="I17" s="256" t="str">
        <f>Currency&amp;$C17&amp;$D17&amp;"BASIS"&amp;$B17&amp;QuoteSuffix</f>
        <v>EURAB1EBASIS12Y_Quote</v>
      </c>
      <c r="J17" s="256" t="str">
        <f>_xll.qlCompositeQuote(I17,F17,H17,G17,Permanent,Trigger,ObjectOverwrite)</f>
        <v>EURAB1EBASIS12Y_Quote#0006</v>
      </c>
      <c r="K17" s="265" t="str">
        <f>_xll.ohRangeRetrieveError(J17)</f>
        <v/>
      </c>
      <c r="L17" s="57"/>
    </row>
    <row r="18" spans="1:12" x14ac:dyDescent="0.2">
      <c r="A18" s="136"/>
      <c r="B18" s="228" t="s">
        <v>104</v>
      </c>
      <c r="C18" s="120" t="s">
        <v>202</v>
      </c>
      <c r="D18" s="120" t="s">
        <v>136</v>
      </c>
      <c r="E18" s="120" t="s">
        <v>135</v>
      </c>
      <c r="F18" s="256" t="str">
        <f>Currency&amp;$C18&amp;E18&amp;$B18&amp;QuoteSuffix</f>
        <v>EURAB6E13Y_Quote</v>
      </c>
      <c r="G18" s="120" t="s">
        <v>222</v>
      </c>
      <c r="H18" s="257" t="str">
        <f>Currency&amp;IF($G18="-",$D18&amp;E18,E18&amp;$D18)&amp;$B18&amp;QuoteSuffix</f>
        <v>EUR1E6E13Y_Quote</v>
      </c>
      <c r="I18" s="256" t="str">
        <f>Currency&amp;$C18&amp;$D18&amp;"BASIS"&amp;$B18&amp;QuoteSuffix</f>
        <v>EURAB1EBASIS13Y_Quote</v>
      </c>
      <c r="J18" s="256" t="str">
        <f>_xll.qlCompositeQuote(I18,F18,H18,G18,Permanent,Trigger,ObjectOverwrite)</f>
        <v>EURAB1EBASIS13Y_Quote#0006</v>
      </c>
      <c r="K18" s="265" t="str">
        <f>_xll.ohRangeRetrieveError(J18)</f>
        <v/>
      </c>
      <c r="L18" s="57"/>
    </row>
    <row r="19" spans="1:12" x14ac:dyDescent="0.2">
      <c r="A19" s="136"/>
      <c r="B19" s="228" t="s">
        <v>103</v>
      </c>
      <c r="C19" s="120" t="s">
        <v>202</v>
      </c>
      <c r="D19" s="120" t="s">
        <v>136</v>
      </c>
      <c r="E19" s="120" t="s">
        <v>135</v>
      </c>
      <c r="F19" s="256" t="str">
        <f>Currency&amp;$C19&amp;E19&amp;$B19&amp;QuoteSuffix</f>
        <v>EURAB6E14Y_Quote</v>
      </c>
      <c r="G19" s="120" t="s">
        <v>222</v>
      </c>
      <c r="H19" s="257" t="str">
        <f>Currency&amp;IF($G19="-",$D19&amp;E19,E19&amp;$D19)&amp;$B19&amp;QuoteSuffix</f>
        <v>EUR1E6E14Y_Quote</v>
      </c>
      <c r="I19" s="256" t="str">
        <f>Currency&amp;$C19&amp;$D19&amp;"BASIS"&amp;$B19&amp;QuoteSuffix</f>
        <v>EURAB1EBASIS14Y_Quote</v>
      </c>
      <c r="J19" s="256" t="str">
        <f>_xll.qlCompositeQuote(I19,F19,H19,G19,Permanent,Trigger,ObjectOverwrite)</f>
        <v>EURAB1EBASIS14Y_Quote#0006</v>
      </c>
      <c r="K19" s="265" t="str">
        <f>_xll.ohRangeRetrieveError(J19)</f>
        <v/>
      </c>
      <c r="L19" s="57"/>
    </row>
    <row r="20" spans="1:12" x14ac:dyDescent="0.2">
      <c r="A20" s="136"/>
      <c r="B20" s="228" t="s">
        <v>102</v>
      </c>
      <c r="C20" s="120" t="s">
        <v>202</v>
      </c>
      <c r="D20" s="120" t="s">
        <v>136</v>
      </c>
      <c r="E20" s="120" t="s">
        <v>135</v>
      </c>
      <c r="F20" s="256" t="str">
        <f>Currency&amp;$C20&amp;E20&amp;$B20&amp;QuoteSuffix</f>
        <v>EURAB6E15Y_Quote</v>
      </c>
      <c r="G20" s="120" t="s">
        <v>222</v>
      </c>
      <c r="H20" s="257" t="str">
        <f>Currency&amp;IF($G20="-",$D20&amp;E20,E20&amp;$D20)&amp;$B20&amp;QuoteSuffix</f>
        <v>EUR1E6E15Y_Quote</v>
      </c>
      <c r="I20" s="256" t="str">
        <f>Currency&amp;$C20&amp;$D20&amp;"BASIS"&amp;$B20&amp;QuoteSuffix</f>
        <v>EURAB1EBASIS15Y_Quote</v>
      </c>
      <c r="J20" s="256" t="str">
        <f>_xll.qlCompositeQuote(I20,F20,H20,G20,Permanent,Trigger,ObjectOverwrite)</f>
        <v>EURAB1EBASIS15Y_Quote#0006</v>
      </c>
      <c r="K20" s="265" t="str">
        <f>_xll.ohRangeRetrieveError(J20)</f>
        <v/>
      </c>
      <c r="L20" s="57"/>
    </row>
    <row r="21" spans="1:12" x14ac:dyDescent="0.2">
      <c r="A21" s="136"/>
      <c r="B21" s="228" t="s">
        <v>101</v>
      </c>
      <c r="C21" s="120" t="s">
        <v>202</v>
      </c>
      <c r="D21" s="120" t="s">
        <v>136</v>
      </c>
      <c r="E21" s="120" t="s">
        <v>135</v>
      </c>
      <c r="F21" s="256" t="str">
        <f>Currency&amp;$C21&amp;E21&amp;$B21&amp;QuoteSuffix</f>
        <v>EURAB6E16Y_Quote</v>
      </c>
      <c r="G21" s="120" t="s">
        <v>222</v>
      </c>
      <c r="H21" s="257" t="str">
        <f>Currency&amp;IF($G21="-",$D21&amp;E21,E21&amp;$D21)&amp;$B21&amp;QuoteSuffix</f>
        <v>EUR1E6E16Y_Quote</v>
      </c>
      <c r="I21" s="256" t="str">
        <f>Currency&amp;$C21&amp;$D21&amp;"BASIS"&amp;$B21&amp;QuoteSuffix</f>
        <v>EURAB1EBASIS16Y_Quote</v>
      </c>
      <c r="J21" s="256" t="str">
        <f>_xll.qlCompositeQuote(I21,F21,H21,G21,Permanent,Trigger,ObjectOverwrite)</f>
        <v>EURAB1EBASIS16Y_Quote#0006</v>
      </c>
      <c r="K21" s="265" t="str">
        <f>_xll.ohRangeRetrieveError(J21)</f>
        <v/>
      </c>
      <c r="L21" s="57"/>
    </row>
    <row r="22" spans="1:12" x14ac:dyDescent="0.2">
      <c r="A22" s="136"/>
      <c r="B22" s="228" t="s">
        <v>100</v>
      </c>
      <c r="C22" s="120" t="s">
        <v>202</v>
      </c>
      <c r="D22" s="120" t="s">
        <v>136</v>
      </c>
      <c r="E22" s="120" t="s">
        <v>135</v>
      </c>
      <c r="F22" s="256" t="str">
        <f>Currency&amp;$C22&amp;E22&amp;$B22&amp;QuoteSuffix</f>
        <v>EURAB6E17Y_Quote</v>
      </c>
      <c r="G22" s="120" t="s">
        <v>222</v>
      </c>
      <c r="H22" s="257" t="str">
        <f>Currency&amp;IF($G22="-",$D22&amp;E22,E22&amp;$D22)&amp;$B22&amp;QuoteSuffix</f>
        <v>EUR1E6E17Y_Quote</v>
      </c>
      <c r="I22" s="256" t="str">
        <f>Currency&amp;$C22&amp;$D22&amp;"BASIS"&amp;$B22&amp;QuoteSuffix</f>
        <v>EURAB1EBASIS17Y_Quote</v>
      </c>
      <c r="J22" s="256" t="str">
        <f>_xll.qlCompositeQuote(I22,F22,H22,G22,Permanent,Trigger,ObjectOverwrite)</f>
        <v>EURAB1EBASIS17Y_Quote#0006</v>
      </c>
      <c r="K22" s="265" t="str">
        <f>_xll.ohRangeRetrieveError(J22)</f>
        <v/>
      </c>
      <c r="L22" s="57"/>
    </row>
    <row r="23" spans="1:12" x14ac:dyDescent="0.2">
      <c r="A23" s="136"/>
      <c r="B23" s="228" t="s">
        <v>99</v>
      </c>
      <c r="C23" s="120" t="s">
        <v>202</v>
      </c>
      <c r="D23" s="120" t="s">
        <v>136</v>
      </c>
      <c r="E23" s="120" t="s">
        <v>135</v>
      </c>
      <c r="F23" s="256" t="str">
        <f>Currency&amp;$C23&amp;E23&amp;$B23&amp;QuoteSuffix</f>
        <v>EURAB6E18Y_Quote</v>
      </c>
      <c r="G23" s="120" t="s">
        <v>222</v>
      </c>
      <c r="H23" s="257" t="str">
        <f>Currency&amp;IF($G23="-",$D23&amp;E23,E23&amp;$D23)&amp;$B23&amp;QuoteSuffix</f>
        <v>EUR1E6E18Y_Quote</v>
      </c>
      <c r="I23" s="256" t="str">
        <f>Currency&amp;$C23&amp;$D23&amp;"BASIS"&amp;$B23&amp;QuoteSuffix</f>
        <v>EURAB1EBASIS18Y_Quote</v>
      </c>
      <c r="J23" s="256" t="str">
        <f>_xll.qlCompositeQuote(I23,F23,H23,G23,Permanent,Trigger,ObjectOverwrite)</f>
        <v>EURAB1EBASIS18Y_Quote#0006</v>
      </c>
      <c r="K23" s="265" t="str">
        <f>_xll.ohRangeRetrieveError(J23)</f>
        <v/>
      </c>
      <c r="L23" s="57"/>
    </row>
    <row r="24" spans="1:12" x14ac:dyDescent="0.2">
      <c r="A24" s="136"/>
      <c r="B24" s="228" t="s">
        <v>98</v>
      </c>
      <c r="C24" s="120" t="s">
        <v>202</v>
      </c>
      <c r="D24" s="120" t="s">
        <v>136</v>
      </c>
      <c r="E24" s="120" t="s">
        <v>135</v>
      </c>
      <c r="F24" s="256" t="str">
        <f>Currency&amp;$C24&amp;E24&amp;$B24&amp;QuoteSuffix</f>
        <v>EURAB6E19Y_Quote</v>
      </c>
      <c r="G24" s="120" t="s">
        <v>222</v>
      </c>
      <c r="H24" s="257" t="str">
        <f>Currency&amp;IF($G24="-",$D24&amp;E24,E24&amp;$D24)&amp;$B24&amp;QuoteSuffix</f>
        <v>EUR1E6E19Y_Quote</v>
      </c>
      <c r="I24" s="256" t="str">
        <f>Currency&amp;$C24&amp;$D24&amp;"BASIS"&amp;$B24&amp;QuoteSuffix</f>
        <v>EURAB1EBASIS19Y_Quote</v>
      </c>
      <c r="J24" s="256" t="str">
        <f>_xll.qlCompositeQuote(I24,F24,H24,G24,Permanent,Trigger,ObjectOverwrite)</f>
        <v>EURAB1EBASIS19Y_Quote#0006</v>
      </c>
      <c r="K24" s="265" t="str">
        <f>_xll.ohRangeRetrieveError(J24)</f>
        <v/>
      </c>
      <c r="L24" s="57"/>
    </row>
    <row r="25" spans="1:12" x14ac:dyDescent="0.2">
      <c r="A25" s="136"/>
      <c r="B25" s="228" t="s">
        <v>97</v>
      </c>
      <c r="C25" s="120" t="s">
        <v>202</v>
      </c>
      <c r="D25" s="120" t="s">
        <v>136</v>
      </c>
      <c r="E25" s="120" t="s">
        <v>135</v>
      </c>
      <c r="F25" s="256" t="str">
        <f>Currency&amp;$C25&amp;E25&amp;$B25&amp;QuoteSuffix</f>
        <v>EURAB6E20Y_Quote</v>
      </c>
      <c r="G25" s="120" t="s">
        <v>222</v>
      </c>
      <c r="H25" s="257" t="str">
        <f>Currency&amp;IF($G25="-",$D25&amp;E25,E25&amp;$D25)&amp;$B25&amp;QuoteSuffix</f>
        <v>EUR1E6E20Y_Quote</v>
      </c>
      <c r="I25" s="256" t="str">
        <f>Currency&amp;$C25&amp;$D25&amp;"BASIS"&amp;$B25&amp;QuoteSuffix</f>
        <v>EURAB1EBASIS20Y_Quote</v>
      </c>
      <c r="J25" s="256" t="str">
        <f>_xll.qlCompositeQuote(I25,F25,H25,G25,Permanent,Trigger,ObjectOverwrite)</f>
        <v>EURAB1EBASIS20Y_Quote#0006</v>
      </c>
      <c r="K25" s="265" t="str">
        <f>_xll.ohRangeRetrieveError(J25)</f>
        <v/>
      </c>
      <c r="L25" s="57"/>
    </row>
    <row r="26" spans="1:12" x14ac:dyDescent="0.2">
      <c r="A26" s="136"/>
      <c r="B26" s="228" t="s">
        <v>96</v>
      </c>
      <c r="C26" s="120" t="s">
        <v>202</v>
      </c>
      <c r="D26" s="120" t="s">
        <v>136</v>
      </c>
      <c r="E26" s="120" t="s">
        <v>135</v>
      </c>
      <c r="F26" s="256" t="str">
        <f>Currency&amp;$C26&amp;E26&amp;$B26&amp;QuoteSuffix</f>
        <v>EURAB6E21Y_Quote</v>
      </c>
      <c r="G26" s="120" t="s">
        <v>222</v>
      </c>
      <c r="H26" s="257" t="str">
        <f>Currency&amp;IF($G26="-",$D26&amp;E26,E26&amp;$D26)&amp;$B26&amp;QuoteSuffix</f>
        <v>EUR1E6E21Y_Quote</v>
      </c>
      <c r="I26" s="256" t="str">
        <f>Currency&amp;$C26&amp;$D26&amp;"BASIS"&amp;$B26&amp;QuoteSuffix</f>
        <v>EURAB1EBASIS21Y_Quote</v>
      </c>
      <c r="J26" s="256" t="str">
        <f>_xll.qlCompositeQuote(I26,F26,H26,G26,Permanent,Trigger,ObjectOverwrite)</f>
        <v>EURAB1EBASIS21Y_Quote#0006</v>
      </c>
      <c r="K26" s="265" t="str">
        <f>_xll.ohRangeRetrieveError(J26)</f>
        <v/>
      </c>
      <c r="L26" s="57"/>
    </row>
    <row r="27" spans="1:12" x14ac:dyDescent="0.2">
      <c r="A27" s="136"/>
      <c r="B27" s="228" t="s">
        <v>95</v>
      </c>
      <c r="C27" s="120" t="s">
        <v>202</v>
      </c>
      <c r="D27" s="120" t="s">
        <v>136</v>
      </c>
      <c r="E27" s="120" t="s">
        <v>135</v>
      </c>
      <c r="F27" s="256" t="str">
        <f>Currency&amp;$C27&amp;E27&amp;$B27&amp;QuoteSuffix</f>
        <v>EURAB6E22Y_Quote</v>
      </c>
      <c r="G27" s="120" t="s">
        <v>222</v>
      </c>
      <c r="H27" s="257" t="str">
        <f>Currency&amp;IF($G27="-",$D27&amp;E27,E27&amp;$D27)&amp;$B27&amp;QuoteSuffix</f>
        <v>EUR1E6E22Y_Quote</v>
      </c>
      <c r="I27" s="256" t="str">
        <f>Currency&amp;$C27&amp;$D27&amp;"BASIS"&amp;$B27&amp;QuoteSuffix</f>
        <v>EURAB1EBASIS22Y_Quote</v>
      </c>
      <c r="J27" s="256" t="str">
        <f>_xll.qlCompositeQuote(I27,F27,H27,G27,Permanent,Trigger,ObjectOverwrite)</f>
        <v>EURAB1EBASIS22Y_Quote#0006</v>
      </c>
      <c r="K27" s="265" t="str">
        <f>_xll.ohRangeRetrieveError(J27)</f>
        <v/>
      </c>
      <c r="L27" s="57"/>
    </row>
    <row r="28" spans="1:12" x14ac:dyDescent="0.2">
      <c r="A28" s="136"/>
      <c r="B28" s="228" t="s">
        <v>94</v>
      </c>
      <c r="C28" s="120" t="s">
        <v>202</v>
      </c>
      <c r="D28" s="120" t="s">
        <v>136</v>
      </c>
      <c r="E28" s="120" t="s">
        <v>135</v>
      </c>
      <c r="F28" s="256" t="str">
        <f>Currency&amp;$C28&amp;E28&amp;$B28&amp;QuoteSuffix</f>
        <v>EURAB6E23Y_Quote</v>
      </c>
      <c r="G28" s="120" t="s">
        <v>222</v>
      </c>
      <c r="H28" s="257" t="str">
        <f>Currency&amp;IF($G28="-",$D28&amp;E28,E28&amp;$D28)&amp;$B28&amp;QuoteSuffix</f>
        <v>EUR1E6E23Y_Quote</v>
      </c>
      <c r="I28" s="256" t="str">
        <f>Currency&amp;$C28&amp;$D28&amp;"BASIS"&amp;$B28&amp;QuoteSuffix</f>
        <v>EURAB1EBASIS23Y_Quote</v>
      </c>
      <c r="J28" s="256" t="str">
        <f>_xll.qlCompositeQuote(I28,F28,H28,G28,Permanent,Trigger,ObjectOverwrite)</f>
        <v>EURAB1EBASIS23Y_Quote#0006</v>
      </c>
      <c r="K28" s="265" t="str">
        <f>_xll.ohRangeRetrieveError(J28)</f>
        <v/>
      </c>
      <c r="L28" s="57"/>
    </row>
    <row r="29" spans="1:12" x14ac:dyDescent="0.2">
      <c r="A29" s="136"/>
      <c r="B29" s="228" t="s">
        <v>93</v>
      </c>
      <c r="C29" s="120" t="s">
        <v>202</v>
      </c>
      <c r="D29" s="120" t="s">
        <v>136</v>
      </c>
      <c r="E29" s="120" t="s">
        <v>135</v>
      </c>
      <c r="F29" s="256" t="str">
        <f>Currency&amp;$C29&amp;E29&amp;$B29&amp;QuoteSuffix</f>
        <v>EURAB6E24Y_Quote</v>
      </c>
      <c r="G29" s="120" t="s">
        <v>222</v>
      </c>
      <c r="H29" s="257" t="str">
        <f>Currency&amp;IF($G29="-",$D29&amp;E29,E29&amp;$D29)&amp;$B29&amp;QuoteSuffix</f>
        <v>EUR1E6E24Y_Quote</v>
      </c>
      <c r="I29" s="256" t="str">
        <f>Currency&amp;$C29&amp;$D29&amp;"BASIS"&amp;$B29&amp;QuoteSuffix</f>
        <v>EURAB1EBASIS24Y_Quote</v>
      </c>
      <c r="J29" s="256" t="str">
        <f>_xll.qlCompositeQuote(I29,F29,H29,G29,Permanent,Trigger,ObjectOverwrite)</f>
        <v>EURAB1EBASIS24Y_Quote#0006</v>
      </c>
      <c r="K29" s="265" t="str">
        <f>_xll.ohRangeRetrieveError(J29)</f>
        <v/>
      </c>
      <c r="L29" s="57"/>
    </row>
    <row r="30" spans="1:12" x14ac:dyDescent="0.2">
      <c r="A30" s="136"/>
      <c r="B30" s="228" t="s">
        <v>92</v>
      </c>
      <c r="C30" s="120" t="s">
        <v>202</v>
      </c>
      <c r="D30" s="120" t="s">
        <v>136</v>
      </c>
      <c r="E30" s="120" t="s">
        <v>135</v>
      </c>
      <c r="F30" s="256" t="str">
        <f>Currency&amp;$C30&amp;E30&amp;$B30&amp;QuoteSuffix</f>
        <v>EURAB6E25Y_Quote</v>
      </c>
      <c r="G30" s="120" t="s">
        <v>222</v>
      </c>
      <c r="H30" s="257" t="str">
        <f>Currency&amp;IF($G30="-",$D30&amp;E30,E30&amp;$D30)&amp;$B30&amp;QuoteSuffix</f>
        <v>EUR1E6E25Y_Quote</v>
      </c>
      <c r="I30" s="256" t="str">
        <f>Currency&amp;$C30&amp;$D30&amp;"BASIS"&amp;$B30&amp;QuoteSuffix</f>
        <v>EURAB1EBASIS25Y_Quote</v>
      </c>
      <c r="J30" s="256" t="str">
        <f>_xll.qlCompositeQuote(I30,F30,H30,G30,Permanent,Trigger,ObjectOverwrite)</f>
        <v>EURAB1EBASIS25Y_Quote#0006</v>
      </c>
      <c r="K30" s="265" t="str">
        <f>_xll.ohRangeRetrieveError(J30)</f>
        <v/>
      </c>
      <c r="L30" s="57"/>
    </row>
    <row r="31" spans="1:12" x14ac:dyDescent="0.2">
      <c r="A31" s="136"/>
      <c r="B31" s="228" t="s">
        <v>91</v>
      </c>
      <c r="C31" s="120" t="s">
        <v>202</v>
      </c>
      <c r="D31" s="120" t="s">
        <v>136</v>
      </c>
      <c r="E31" s="120" t="s">
        <v>135</v>
      </c>
      <c r="F31" s="256" t="str">
        <f>Currency&amp;$C31&amp;E31&amp;$B31&amp;QuoteSuffix</f>
        <v>EURAB6E26Y_Quote</v>
      </c>
      <c r="G31" s="120" t="s">
        <v>222</v>
      </c>
      <c r="H31" s="257" t="str">
        <f>Currency&amp;IF($G31="-",$D31&amp;E31,E31&amp;$D31)&amp;$B31&amp;QuoteSuffix</f>
        <v>EUR1E6E26Y_Quote</v>
      </c>
      <c r="I31" s="256" t="str">
        <f>Currency&amp;$C31&amp;$D31&amp;"BASIS"&amp;$B31&amp;QuoteSuffix</f>
        <v>EURAB1EBASIS26Y_Quote</v>
      </c>
      <c r="J31" s="256" t="str">
        <f>_xll.qlCompositeQuote(I31,F31,H31,G31,Permanent,Trigger,ObjectOverwrite)</f>
        <v>EURAB1EBASIS26Y_Quote#0006</v>
      </c>
      <c r="K31" s="265" t="str">
        <f>_xll.ohRangeRetrieveError(J31)</f>
        <v/>
      </c>
      <c r="L31" s="57"/>
    </row>
    <row r="32" spans="1:12" x14ac:dyDescent="0.2">
      <c r="A32" s="136"/>
      <c r="B32" s="228" t="s">
        <v>90</v>
      </c>
      <c r="C32" s="120" t="s">
        <v>202</v>
      </c>
      <c r="D32" s="120" t="s">
        <v>136</v>
      </c>
      <c r="E32" s="120" t="s">
        <v>135</v>
      </c>
      <c r="F32" s="256" t="str">
        <f>Currency&amp;$C32&amp;E32&amp;$B32&amp;QuoteSuffix</f>
        <v>EURAB6E27Y_Quote</v>
      </c>
      <c r="G32" s="120" t="s">
        <v>222</v>
      </c>
      <c r="H32" s="257" t="str">
        <f>Currency&amp;IF($G32="-",$D32&amp;E32,E32&amp;$D32)&amp;$B32&amp;QuoteSuffix</f>
        <v>EUR1E6E27Y_Quote</v>
      </c>
      <c r="I32" s="256" t="str">
        <f>Currency&amp;$C32&amp;$D32&amp;"BASIS"&amp;$B32&amp;QuoteSuffix</f>
        <v>EURAB1EBASIS27Y_Quote</v>
      </c>
      <c r="J32" s="256" t="str">
        <f>_xll.qlCompositeQuote(I32,F32,H32,G32,Permanent,Trigger,ObjectOverwrite)</f>
        <v>EURAB1EBASIS27Y_Quote#0006</v>
      </c>
      <c r="K32" s="265" t="str">
        <f>_xll.ohRangeRetrieveError(J32)</f>
        <v/>
      </c>
      <c r="L32" s="57"/>
    </row>
    <row r="33" spans="1:12" x14ac:dyDescent="0.2">
      <c r="A33" s="136"/>
      <c r="B33" s="228" t="s">
        <v>89</v>
      </c>
      <c r="C33" s="120" t="s">
        <v>202</v>
      </c>
      <c r="D33" s="120" t="s">
        <v>136</v>
      </c>
      <c r="E33" s="120" t="s">
        <v>135</v>
      </c>
      <c r="F33" s="256" t="str">
        <f>Currency&amp;$C33&amp;E33&amp;$B33&amp;QuoteSuffix</f>
        <v>EURAB6E28Y_Quote</v>
      </c>
      <c r="G33" s="120" t="s">
        <v>222</v>
      </c>
      <c r="H33" s="257" t="str">
        <f>Currency&amp;IF($G33="-",$D33&amp;E33,E33&amp;$D33)&amp;$B33&amp;QuoteSuffix</f>
        <v>EUR1E6E28Y_Quote</v>
      </c>
      <c r="I33" s="256" t="str">
        <f>Currency&amp;$C33&amp;$D33&amp;"BASIS"&amp;$B33&amp;QuoteSuffix</f>
        <v>EURAB1EBASIS28Y_Quote</v>
      </c>
      <c r="J33" s="256" t="str">
        <f>_xll.qlCompositeQuote(I33,F33,H33,G33,Permanent,Trigger,ObjectOverwrite)</f>
        <v>EURAB1EBASIS28Y_Quote#0006</v>
      </c>
      <c r="K33" s="265" t="str">
        <f>_xll.ohRangeRetrieveError(J33)</f>
        <v/>
      </c>
      <c r="L33" s="57"/>
    </row>
    <row r="34" spans="1:12" x14ac:dyDescent="0.2">
      <c r="A34" s="136"/>
      <c r="B34" s="228" t="s">
        <v>88</v>
      </c>
      <c r="C34" s="120" t="s">
        <v>202</v>
      </c>
      <c r="D34" s="120" t="s">
        <v>136</v>
      </c>
      <c r="E34" s="120" t="s">
        <v>135</v>
      </c>
      <c r="F34" s="256" t="str">
        <f>Currency&amp;$C34&amp;E34&amp;$B34&amp;QuoteSuffix</f>
        <v>EURAB6E29Y_Quote</v>
      </c>
      <c r="G34" s="120" t="s">
        <v>222</v>
      </c>
      <c r="H34" s="257" t="str">
        <f>Currency&amp;IF($G34="-",$D34&amp;E34,E34&amp;$D34)&amp;$B34&amp;QuoteSuffix</f>
        <v>EUR1E6E29Y_Quote</v>
      </c>
      <c r="I34" s="256" t="str">
        <f>Currency&amp;$C34&amp;$D34&amp;"BASIS"&amp;$B34&amp;QuoteSuffix</f>
        <v>EURAB1EBASIS29Y_Quote</v>
      </c>
      <c r="J34" s="256" t="str">
        <f>_xll.qlCompositeQuote(I34,F34,H34,G34,Permanent,Trigger,ObjectOverwrite)</f>
        <v>EURAB1EBASIS29Y_Quote#0006</v>
      </c>
      <c r="K34" s="265" t="str">
        <f>_xll.ohRangeRetrieveError(J34)</f>
        <v/>
      </c>
      <c r="L34" s="57"/>
    </row>
    <row r="35" spans="1:12" x14ac:dyDescent="0.2">
      <c r="A35" s="136"/>
      <c r="B35" s="228" t="s">
        <v>87</v>
      </c>
      <c r="C35" s="120" t="s">
        <v>202</v>
      </c>
      <c r="D35" s="120" t="s">
        <v>136</v>
      </c>
      <c r="E35" s="120" t="s">
        <v>135</v>
      </c>
      <c r="F35" s="256" t="str">
        <f>Currency&amp;$C35&amp;E35&amp;$B35&amp;QuoteSuffix</f>
        <v>EURAB6E30Y_Quote</v>
      </c>
      <c r="G35" s="120" t="s">
        <v>222</v>
      </c>
      <c r="H35" s="257" t="str">
        <f>Currency&amp;IF($G35="-",$D35&amp;E35,E35&amp;$D35)&amp;$B35&amp;QuoteSuffix</f>
        <v>EUR1E6E30Y_Quote</v>
      </c>
      <c r="I35" s="256" t="str">
        <f>Currency&amp;$C35&amp;$D35&amp;"BASIS"&amp;$B35&amp;QuoteSuffix</f>
        <v>EURAB1EBASIS30Y_Quote</v>
      </c>
      <c r="J35" s="256" t="str">
        <f>_xll.qlCompositeQuote(I35,F35,H35,G35,Permanent,Trigger,ObjectOverwrite)</f>
        <v>EURAB1EBASIS30Y_Quote#0006</v>
      </c>
      <c r="K35" s="265" t="str">
        <f>_xll.ohRangeRetrieveError(J35)</f>
        <v/>
      </c>
      <c r="L35" s="57"/>
    </row>
    <row r="36" spans="1:12" x14ac:dyDescent="0.2">
      <c r="A36" s="136"/>
      <c r="B36" s="228" t="s">
        <v>82</v>
      </c>
      <c r="C36" s="120" t="s">
        <v>202</v>
      </c>
      <c r="D36" s="120" t="s">
        <v>136</v>
      </c>
      <c r="E36" s="120" t="s">
        <v>135</v>
      </c>
      <c r="F36" s="256" t="str">
        <f>Currency&amp;$C36&amp;E36&amp;$B36&amp;QuoteSuffix</f>
        <v>EURAB6E35Y_Quote</v>
      </c>
      <c r="G36" s="120" t="s">
        <v>222</v>
      </c>
      <c r="H36" s="257" t="str">
        <f>Currency&amp;IF($G36="-",$D36&amp;E36,E36&amp;$D36)&amp;$B36&amp;QuoteSuffix</f>
        <v>EUR1E6E35Y_Quote</v>
      </c>
      <c r="I36" s="256" t="str">
        <f>Currency&amp;$C36&amp;$D36&amp;"BASIS"&amp;$B36&amp;QuoteSuffix</f>
        <v>EURAB1EBASIS35Y_Quote</v>
      </c>
      <c r="J36" s="256" t="str">
        <f>_xll.qlCompositeQuote(I36,F36,H36,G36,Permanent,Trigger,ObjectOverwrite)</f>
        <v>EURAB1EBASIS35Y_Quote#0006</v>
      </c>
      <c r="K36" s="265" t="str">
        <f>_xll.ohRangeRetrieveError(J36)</f>
        <v/>
      </c>
      <c r="L36" s="57"/>
    </row>
    <row r="37" spans="1:12" x14ac:dyDescent="0.2">
      <c r="A37" s="136"/>
      <c r="B37" s="228" t="s">
        <v>77</v>
      </c>
      <c r="C37" s="120" t="s">
        <v>202</v>
      </c>
      <c r="D37" s="120" t="s">
        <v>136</v>
      </c>
      <c r="E37" s="120" t="s">
        <v>135</v>
      </c>
      <c r="F37" s="256" t="str">
        <f>Currency&amp;$C37&amp;E37&amp;$B37&amp;QuoteSuffix</f>
        <v>EURAB6E40Y_Quote</v>
      </c>
      <c r="G37" s="120" t="s">
        <v>222</v>
      </c>
      <c r="H37" s="257" t="str">
        <f>Currency&amp;IF($G37="-",$D37&amp;E37,E37&amp;$D37)&amp;$B37&amp;QuoteSuffix</f>
        <v>EUR1E6E40Y_Quote</v>
      </c>
      <c r="I37" s="256" t="str">
        <f>Currency&amp;$C37&amp;$D37&amp;"BASIS"&amp;$B37&amp;QuoteSuffix</f>
        <v>EURAB1EBASIS40Y_Quote</v>
      </c>
      <c r="J37" s="256" t="str">
        <f>_xll.qlCompositeQuote(I37,F37,H37,G37,Permanent,Trigger,ObjectOverwrite)</f>
        <v>EURAB1EBASIS40Y_Quote#0006</v>
      </c>
      <c r="K37" s="265" t="str">
        <f>_xll.ohRangeRetrieveError(J37)</f>
        <v/>
      </c>
      <c r="L37" s="57"/>
    </row>
    <row r="38" spans="1:12" x14ac:dyDescent="0.2">
      <c r="A38" s="136"/>
      <c r="B38" s="228" t="s">
        <v>67</v>
      </c>
      <c r="C38" s="120" t="s">
        <v>202</v>
      </c>
      <c r="D38" s="120" t="s">
        <v>136</v>
      </c>
      <c r="E38" s="120" t="s">
        <v>135</v>
      </c>
      <c r="F38" s="256" t="str">
        <f>Currency&amp;$C38&amp;E38&amp;$B38&amp;QuoteSuffix</f>
        <v>EURAB6E50Y_Quote</v>
      </c>
      <c r="G38" s="120" t="s">
        <v>222</v>
      </c>
      <c r="H38" s="257" t="str">
        <f>Currency&amp;IF($G38="-",$D38&amp;E38,E38&amp;$D38)&amp;$B38&amp;QuoteSuffix</f>
        <v>EUR1E6E50Y_Quote</v>
      </c>
      <c r="I38" s="256" t="str">
        <f>Currency&amp;$C38&amp;$D38&amp;"BASIS"&amp;$B38&amp;QuoteSuffix</f>
        <v>EURAB1EBASIS50Y_Quote</v>
      </c>
      <c r="J38" s="256" t="str">
        <f>_xll.qlCompositeQuote(I38,F38,H38,G38,Permanent,Trigger,ObjectOverwrite)</f>
        <v>EURAB1EBASIS50Y_Quote#0006</v>
      </c>
      <c r="K38" s="265" t="str">
        <f>_xll.ohRangeRetrieveError(J38)</f>
        <v/>
      </c>
      <c r="L38" s="57"/>
    </row>
    <row r="39" spans="1:12" x14ac:dyDescent="0.2">
      <c r="A39" s="136"/>
      <c r="B39" s="228" t="s">
        <v>57</v>
      </c>
      <c r="C39" s="120" t="s">
        <v>202</v>
      </c>
      <c r="D39" s="120" t="s">
        <v>136</v>
      </c>
      <c r="E39" s="120" t="s">
        <v>135</v>
      </c>
      <c r="F39" s="256" t="str">
        <f>Currency&amp;$C39&amp;E39&amp;$B39&amp;QuoteSuffix</f>
        <v>EURAB6E60Y_Quote</v>
      </c>
      <c r="G39" s="120" t="s">
        <v>222</v>
      </c>
      <c r="H39" s="257" t="str">
        <f>Currency&amp;IF($G39="-",$D39&amp;E39,E39&amp;$D39)&amp;$B39&amp;QuoteSuffix</f>
        <v>EUR1E6E60Y_Quote</v>
      </c>
      <c r="I39" s="256" t="str">
        <f>Currency&amp;$C39&amp;$D39&amp;"BASIS"&amp;$B39&amp;QuoteSuffix</f>
        <v>EURAB1EBASIS60Y_Quote</v>
      </c>
      <c r="J39" s="256" t="str">
        <f>_xll.qlCompositeQuote(I39,F39,H39,G39,Permanent,Trigger,ObjectOverwrite)</f>
        <v>EURAB1EBASIS60Y_Quote#0006</v>
      </c>
      <c r="K39" s="265" t="str">
        <f>_xll.ohRangeRetrieveError(J39)</f>
        <v/>
      </c>
      <c r="L39" s="57"/>
    </row>
    <row r="40" spans="1:12" ht="12" thickBot="1" x14ac:dyDescent="0.25">
      <c r="A40" s="56"/>
      <c r="B40" s="55"/>
      <c r="C40" s="55"/>
      <c r="D40" s="55"/>
      <c r="E40" s="55"/>
      <c r="F40" s="55"/>
      <c r="G40" s="55"/>
      <c r="H40" s="55"/>
      <c r="I40" s="55"/>
      <c r="J40" s="130"/>
      <c r="K40" s="130"/>
      <c r="L40" s="54"/>
    </row>
  </sheetData>
  <pageMargins left="0.75" right="0.75" top="1" bottom="1" header="0.5" footer="0.5"/>
  <pageSetup paperSize="9" orientation="portrait" r:id="rId1"/>
  <headerFooter alignWithMargins="0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0"/>
  <sheetViews>
    <sheetView workbookViewId="0"/>
  </sheetViews>
  <sheetFormatPr defaultRowHeight="11.25" x14ac:dyDescent="0.2"/>
  <cols>
    <col min="1" max="1" width="3.7109375" style="77" customWidth="1"/>
    <col min="2" max="2" width="6.5703125" style="21" bestFit="1" customWidth="1"/>
    <col min="3" max="3" width="3.140625" style="77" bestFit="1" customWidth="1"/>
    <col min="4" max="5" width="2.7109375" style="77" bestFit="1" customWidth="1"/>
    <col min="6" max="6" width="15.7109375" style="77" bestFit="1" customWidth="1"/>
    <col min="7" max="7" width="8" style="77" bestFit="1" customWidth="1"/>
    <col min="8" max="8" width="15.28515625" style="77" bestFit="1" customWidth="1"/>
    <col min="9" max="9" width="22.5703125" style="77" bestFit="1" customWidth="1"/>
    <col min="10" max="10" width="24.7109375" style="78" bestFit="1" customWidth="1"/>
    <col min="11" max="11" width="37.85546875" style="77" customWidth="1"/>
    <col min="12" max="12" width="4.42578125" style="77" customWidth="1"/>
    <col min="13" max="13" width="5.85546875" style="77" customWidth="1"/>
    <col min="14" max="16384" width="9.140625" style="77"/>
  </cols>
  <sheetData>
    <row r="1" spans="1:12" x14ac:dyDescent="0.2">
      <c r="A1" s="230" t="s">
        <v>226</v>
      </c>
      <c r="B1" s="213"/>
      <c r="C1" s="213"/>
      <c r="D1" s="213"/>
      <c r="E1" s="213"/>
      <c r="F1" s="213"/>
      <c r="G1" s="213"/>
      <c r="H1" s="213"/>
      <c r="I1" s="168"/>
      <c r="J1" s="229"/>
      <c r="K1" s="168"/>
      <c r="L1" s="210"/>
    </row>
    <row r="2" spans="1:12" x14ac:dyDescent="0.2">
      <c r="A2" s="136"/>
      <c r="B2" s="263" t="s">
        <v>141</v>
      </c>
      <c r="C2" s="264"/>
      <c r="D2" s="263"/>
      <c r="E2" s="263"/>
      <c r="F2" s="263" t="s">
        <v>224</v>
      </c>
      <c r="G2" s="263" t="s">
        <v>223</v>
      </c>
      <c r="H2" s="263" t="s">
        <v>214</v>
      </c>
      <c r="I2" s="262" t="str">
        <f>Currency&amp;"_020_Sw"&amp;$C$3&amp;$D$3&amp;"_Basis.xml"</f>
        <v>EUR_020_SwAB3E_Basis.xml</v>
      </c>
      <c r="J2" s="261">
        <f ca="1">IF(Serialize,_xll.ohObjectSave(J3:J39,SerializationPath&amp;I2,FileOverwrite,Serialize),"---")</f>
        <v>37</v>
      </c>
      <c r="K2" s="259" t="str">
        <f ca="1">_xll.ohRangeRetrieveError(J2)</f>
        <v/>
      </c>
      <c r="L2" s="57"/>
    </row>
    <row r="3" spans="1:12" x14ac:dyDescent="0.2">
      <c r="A3" s="136"/>
      <c r="B3" s="228" t="s">
        <v>34</v>
      </c>
      <c r="C3" s="120" t="s">
        <v>202</v>
      </c>
      <c r="D3" s="120" t="s">
        <v>142</v>
      </c>
      <c r="E3" s="120" t="s">
        <v>135</v>
      </c>
      <c r="F3" s="256" t="str">
        <f>Currency&amp;$C3&amp;E3&amp;$B3&amp;QuoteSuffix</f>
        <v>EURAB6E1Y_Quote</v>
      </c>
      <c r="G3" s="120" t="s">
        <v>222</v>
      </c>
      <c r="H3" s="257" t="str">
        <f>Currency&amp;IF($G3="-",$D3&amp;E3,E3&amp;$D3)&amp;$B3&amp;QuoteSuffix</f>
        <v>EUR3E6E1Y_Quote</v>
      </c>
      <c r="I3" s="256" t="str">
        <f>Currency&amp;$C3&amp;$D3&amp;"BASIS"&amp;$B3&amp;QuoteSuffix</f>
        <v>EURAB3EBASIS1Y_Quote</v>
      </c>
      <c r="J3" s="256" t="str">
        <f>_xll.qlCompositeQuote(I3,F3,H3,G3,Permanent,Trigger,ObjectOverwrite)</f>
        <v>EURAB3EBASIS1Y_Quote#0005</v>
      </c>
      <c r="K3" s="265" t="str">
        <f>_xll.ohRangeRetrieveError(J3)</f>
        <v/>
      </c>
      <c r="L3" s="57"/>
    </row>
    <row r="4" spans="1:12" x14ac:dyDescent="0.2">
      <c r="A4" s="136"/>
      <c r="B4" s="228" t="s">
        <v>140</v>
      </c>
      <c r="C4" s="120" t="s">
        <v>202</v>
      </c>
      <c r="D4" s="120" t="s">
        <v>142</v>
      </c>
      <c r="E4" s="120" t="s">
        <v>135</v>
      </c>
      <c r="F4" s="256" t="str">
        <f>Currency&amp;$C4&amp;E4&amp;$B4&amp;QuoteSuffix</f>
        <v>EURAB6E15M_Quote</v>
      </c>
      <c r="G4" s="120" t="s">
        <v>222</v>
      </c>
      <c r="H4" s="257" t="str">
        <f>Currency&amp;IF($G4="-",$D4&amp;E4,E4&amp;$D4)&amp;$B4&amp;QuoteSuffix</f>
        <v>EUR3E6E15M_Quote</v>
      </c>
      <c r="I4" s="256" t="str">
        <f>Currency&amp;$C4&amp;$D4&amp;"BASIS"&amp;$B4&amp;QuoteSuffix</f>
        <v>EURAB3EBASIS15M_Quote</v>
      </c>
      <c r="J4" s="256" t="str">
        <f>_xll.qlCompositeQuote(I4,F4,H4,G4,Permanent,Trigger,ObjectOverwrite)</f>
        <v>EURAB3EBASIS15M_Quote#0005</v>
      </c>
      <c r="K4" s="265" t="str">
        <f>_xll.ohRangeRetrieveError(J4)</f>
        <v/>
      </c>
      <c r="L4" s="57"/>
    </row>
    <row r="5" spans="1:12" x14ac:dyDescent="0.2">
      <c r="A5" s="136"/>
      <c r="B5" s="228" t="s">
        <v>139</v>
      </c>
      <c r="C5" s="120" t="s">
        <v>202</v>
      </c>
      <c r="D5" s="120" t="s">
        <v>142</v>
      </c>
      <c r="E5" s="120" t="s">
        <v>135</v>
      </c>
      <c r="F5" s="256" t="str">
        <f>Currency&amp;$C5&amp;E5&amp;$B5&amp;QuoteSuffix</f>
        <v>EURAB6E18M_Quote</v>
      </c>
      <c r="G5" s="120" t="s">
        <v>222</v>
      </c>
      <c r="H5" s="257" t="str">
        <f>Currency&amp;IF($G5="-",$D5&amp;E5,E5&amp;$D5)&amp;$B5&amp;QuoteSuffix</f>
        <v>EUR3E6E18M_Quote</v>
      </c>
      <c r="I5" s="256" t="str">
        <f>Currency&amp;$C5&amp;$D5&amp;"BASIS"&amp;$B5&amp;QuoteSuffix</f>
        <v>EURAB3EBASIS18M_Quote</v>
      </c>
      <c r="J5" s="256" t="str">
        <f>_xll.qlCompositeQuote(I5,F5,H5,G5,Permanent,Trigger,ObjectOverwrite)</f>
        <v>EURAB3EBASIS18M_Quote#0005</v>
      </c>
      <c r="K5" s="265" t="str">
        <f>_xll.ohRangeRetrieveError(J5)</f>
        <v/>
      </c>
      <c r="L5" s="57"/>
    </row>
    <row r="6" spans="1:12" x14ac:dyDescent="0.2">
      <c r="A6" s="136"/>
      <c r="B6" s="228" t="s">
        <v>138</v>
      </c>
      <c r="C6" s="120" t="s">
        <v>202</v>
      </c>
      <c r="D6" s="120" t="s">
        <v>142</v>
      </c>
      <c r="E6" s="120" t="s">
        <v>135</v>
      </c>
      <c r="F6" s="256" t="str">
        <f>Currency&amp;$C6&amp;E6&amp;$B6&amp;QuoteSuffix</f>
        <v>EURAB6E21M_Quote</v>
      </c>
      <c r="G6" s="120" t="s">
        <v>222</v>
      </c>
      <c r="H6" s="257" t="str">
        <f>Currency&amp;IF($G6="-",$D6&amp;E6,E6&amp;$D6)&amp;$B6&amp;QuoteSuffix</f>
        <v>EUR3E6E21M_Quote</v>
      </c>
      <c r="I6" s="256" t="str">
        <f>Currency&amp;$C6&amp;$D6&amp;"BASIS"&amp;$B6&amp;QuoteSuffix</f>
        <v>EURAB3EBASIS21M_Quote</v>
      </c>
      <c r="J6" s="256" t="str">
        <f>_xll.qlCompositeQuote(I6,F6,H6,G6,Permanent,Trigger,ObjectOverwrite)</f>
        <v>EURAB3EBASIS21M_Quote#0005</v>
      </c>
      <c r="K6" s="265" t="str">
        <f>_xll.ohRangeRetrieveError(J6)</f>
        <v/>
      </c>
      <c r="L6" s="57"/>
    </row>
    <row r="7" spans="1:12" x14ac:dyDescent="0.2">
      <c r="A7" s="136"/>
      <c r="B7" s="228" t="s">
        <v>115</v>
      </c>
      <c r="C7" s="120" t="s">
        <v>202</v>
      </c>
      <c r="D7" s="120" t="s">
        <v>142</v>
      </c>
      <c r="E7" s="120" t="s">
        <v>135</v>
      </c>
      <c r="F7" s="256" t="str">
        <f>Currency&amp;$C7&amp;E7&amp;$B7&amp;QuoteSuffix</f>
        <v>EURAB6E2Y_Quote</v>
      </c>
      <c r="G7" s="120" t="s">
        <v>222</v>
      </c>
      <c r="H7" s="257" t="str">
        <f>Currency&amp;IF($G7="-",$D7&amp;E7,E7&amp;$D7)&amp;$B7&amp;QuoteSuffix</f>
        <v>EUR3E6E2Y_Quote</v>
      </c>
      <c r="I7" s="256" t="str">
        <f>Currency&amp;$C7&amp;$D7&amp;"BASIS"&amp;$B7&amp;QuoteSuffix</f>
        <v>EURAB3EBASIS2Y_Quote</v>
      </c>
      <c r="J7" s="256" t="str">
        <f>_xll.qlCompositeQuote(I7,F7,H7,G7,Permanent,Trigger,ObjectOverwrite)</f>
        <v>EURAB3EBASIS2Y_Quote#0005</v>
      </c>
      <c r="K7" s="265" t="str">
        <f>_xll.ohRangeRetrieveError(J7)</f>
        <v/>
      </c>
      <c r="L7" s="57"/>
    </row>
    <row r="8" spans="1:12" x14ac:dyDescent="0.2">
      <c r="A8" s="136"/>
      <c r="B8" s="228" t="s">
        <v>114</v>
      </c>
      <c r="C8" s="120" t="s">
        <v>202</v>
      </c>
      <c r="D8" s="120" t="s">
        <v>142</v>
      </c>
      <c r="E8" s="120" t="s">
        <v>135</v>
      </c>
      <c r="F8" s="256" t="str">
        <f>Currency&amp;$C8&amp;E8&amp;$B8&amp;QuoteSuffix</f>
        <v>EURAB6E3Y_Quote</v>
      </c>
      <c r="G8" s="120" t="s">
        <v>222</v>
      </c>
      <c r="H8" s="257" t="str">
        <f>Currency&amp;IF($G8="-",$D8&amp;E8,E8&amp;$D8)&amp;$B8&amp;QuoteSuffix</f>
        <v>EUR3E6E3Y_Quote</v>
      </c>
      <c r="I8" s="256" t="str">
        <f>Currency&amp;$C8&amp;$D8&amp;"BASIS"&amp;$B8&amp;QuoteSuffix</f>
        <v>EURAB3EBASIS3Y_Quote</v>
      </c>
      <c r="J8" s="256" t="str">
        <f>_xll.qlCompositeQuote(I8,F8,H8,G8,Permanent,Trigger,ObjectOverwrite)</f>
        <v>EURAB3EBASIS3Y_Quote#0005</v>
      </c>
      <c r="K8" s="265" t="str">
        <f>_xll.ohRangeRetrieveError(J8)</f>
        <v/>
      </c>
      <c r="L8" s="57"/>
    </row>
    <row r="9" spans="1:12" x14ac:dyDescent="0.2">
      <c r="A9" s="136"/>
      <c r="B9" s="228" t="s">
        <v>113</v>
      </c>
      <c r="C9" s="120" t="s">
        <v>202</v>
      </c>
      <c r="D9" s="120" t="s">
        <v>142</v>
      </c>
      <c r="E9" s="120" t="s">
        <v>135</v>
      </c>
      <c r="F9" s="256" t="str">
        <f>Currency&amp;$C9&amp;E9&amp;$B9&amp;QuoteSuffix</f>
        <v>EURAB6E4Y_Quote</v>
      </c>
      <c r="G9" s="120" t="s">
        <v>222</v>
      </c>
      <c r="H9" s="257" t="str">
        <f>Currency&amp;IF($G9="-",$D9&amp;E9,E9&amp;$D9)&amp;$B9&amp;QuoteSuffix</f>
        <v>EUR3E6E4Y_Quote</v>
      </c>
      <c r="I9" s="256" t="str">
        <f>Currency&amp;$C9&amp;$D9&amp;"BASIS"&amp;$B9&amp;QuoteSuffix</f>
        <v>EURAB3EBASIS4Y_Quote</v>
      </c>
      <c r="J9" s="256" t="str">
        <f>_xll.qlCompositeQuote(I9,F9,H9,G9,Permanent,Trigger,ObjectOverwrite)</f>
        <v>EURAB3EBASIS4Y_Quote#0005</v>
      </c>
      <c r="K9" s="265" t="str">
        <f>_xll.ohRangeRetrieveError(J9)</f>
        <v/>
      </c>
      <c r="L9" s="57"/>
    </row>
    <row r="10" spans="1:12" x14ac:dyDescent="0.2">
      <c r="A10" s="136"/>
      <c r="B10" s="228" t="s">
        <v>112</v>
      </c>
      <c r="C10" s="120" t="s">
        <v>202</v>
      </c>
      <c r="D10" s="120" t="s">
        <v>142</v>
      </c>
      <c r="E10" s="120" t="s">
        <v>135</v>
      </c>
      <c r="F10" s="256" t="str">
        <f>Currency&amp;$C10&amp;E10&amp;$B10&amp;QuoteSuffix</f>
        <v>EURAB6E5Y_Quote</v>
      </c>
      <c r="G10" s="120" t="s">
        <v>222</v>
      </c>
      <c r="H10" s="257" t="str">
        <f>Currency&amp;IF($G10="-",$D10&amp;E10,E10&amp;$D10)&amp;$B10&amp;QuoteSuffix</f>
        <v>EUR3E6E5Y_Quote</v>
      </c>
      <c r="I10" s="256" t="str">
        <f>Currency&amp;$C10&amp;$D10&amp;"BASIS"&amp;$B10&amp;QuoteSuffix</f>
        <v>EURAB3EBASIS5Y_Quote</v>
      </c>
      <c r="J10" s="256" t="str">
        <f>_xll.qlCompositeQuote(I10,F10,H10,G10,Permanent,Trigger,ObjectOverwrite)</f>
        <v>EURAB3EBASIS5Y_Quote#0005</v>
      </c>
      <c r="K10" s="265" t="str">
        <f>_xll.ohRangeRetrieveError(J10)</f>
        <v/>
      </c>
      <c r="L10" s="57"/>
    </row>
    <row r="11" spans="1:12" x14ac:dyDescent="0.2">
      <c r="A11" s="136"/>
      <c r="B11" s="228" t="s">
        <v>111</v>
      </c>
      <c r="C11" s="120" t="s">
        <v>202</v>
      </c>
      <c r="D11" s="120" t="s">
        <v>142</v>
      </c>
      <c r="E11" s="120" t="s">
        <v>135</v>
      </c>
      <c r="F11" s="256" t="str">
        <f>Currency&amp;$C11&amp;E11&amp;$B11&amp;QuoteSuffix</f>
        <v>EURAB6E6Y_Quote</v>
      </c>
      <c r="G11" s="120" t="s">
        <v>222</v>
      </c>
      <c r="H11" s="257" t="str">
        <f>Currency&amp;IF($G11="-",$D11&amp;E11,E11&amp;$D11)&amp;$B11&amp;QuoteSuffix</f>
        <v>EUR3E6E6Y_Quote</v>
      </c>
      <c r="I11" s="256" t="str">
        <f>Currency&amp;$C11&amp;$D11&amp;"BASIS"&amp;$B11&amp;QuoteSuffix</f>
        <v>EURAB3EBASIS6Y_Quote</v>
      </c>
      <c r="J11" s="256" t="str">
        <f>_xll.qlCompositeQuote(I11,F11,H11,G11,Permanent,Trigger,ObjectOverwrite)</f>
        <v>EURAB3EBASIS6Y_Quote#0005</v>
      </c>
      <c r="K11" s="265" t="str">
        <f>_xll.ohRangeRetrieveError(J11)</f>
        <v/>
      </c>
      <c r="L11" s="57"/>
    </row>
    <row r="12" spans="1:12" x14ac:dyDescent="0.2">
      <c r="A12" s="136"/>
      <c r="B12" s="228" t="s">
        <v>110</v>
      </c>
      <c r="C12" s="120" t="s">
        <v>202</v>
      </c>
      <c r="D12" s="120" t="s">
        <v>142</v>
      </c>
      <c r="E12" s="120" t="s">
        <v>135</v>
      </c>
      <c r="F12" s="256" t="str">
        <f>Currency&amp;$C12&amp;E12&amp;$B12&amp;QuoteSuffix</f>
        <v>EURAB6E7Y_Quote</v>
      </c>
      <c r="G12" s="120" t="s">
        <v>222</v>
      </c>
      <c r="H12" s="257" t="str">
        <f>Currency&amp;IF($G12="-",$D12&amp;E12,E12&amp;$D12)&amp;$B12&amp;QuoteSuffix</f>
        <v>EUR3E6E7Y_Quote</v>
      </c>
      <c r="I12" s="256" t="str">
        <f>Currency&amp;$C12&amp;$D12&amp;"BASIS"&amp;$B12&amp;QuoteSuffix</f>
        <v>EURAB3EBASIS7Y_Quote</v>
      </c>
      <c r="J12" s="256" t="str">
        <f>_xll.qlCompositeQuote(I12,F12,H12,G12,Permanent,Trigger,ObjectOverwrite)</f>
        <v>EURAB3EBASIS7Y_Quote#0005</v>
      </c>
      <c r="K12" s="265" t="str">
        <f>_xll.ohRangeRetrieveError(J12)</f>
        <v/>
      </c>
      <c r="L12" s="57"/>
    </row>
    <row r="13" spans="1:12" x14ac:dyDescent="0.2">
      <c r="A13" s="136"/>
      <c r="B13" s="228" t="s">
        <v>109</v>
      </c>
      <c r="C13" s="120" t="s">
        <v>202</v>
      </c>
      <c r="D13" s="120" t="s">
        <v>142</v>
      </c>
      <c r="E13" s="120" t="s">
        <v>135</v>
      </c>
      <c r="F13" s="256" t="str">
        <f>Currency&amp;$C13&amp;E13&amp;$B13&amp;QuoteSuffix</f>
        <v>EURAB6E8Y_Quote</v>
      </c>
      <c r="G13" s="120" t="s">
        <v>222</v>
      </c>
      <c r="H13" s="257" t="str">
        <f>Currency&amp;IF($G13="-",$D13&amp;E13,E13&amp;$D13)&amp;$B13&amp;QuoteSuffix</f>
        <v>EUR3E6E8Y_Quote</v>
      </c>
      <c r="I13" s="256" t="str">
        <f>Currency&amp;$C13&amp;$D13&amp;"BASIS"&amp;$B13&amp;QuoteSuffix</f>
        <v>EURAB3EBASIS8Y_Quote</v>
      </c>
      <c r="J13" s="256" t="str">
        <f>_xll.qlCompositeQuote(I13,F13,H13,G13,Permanent,Trigger,ObjectOverwrite)</f>
        <v>EURAB3EBASIS8Y_Quote#0005</v>
      </c>
      <c r="K13" s="265" t="str">
        <f>_xll.ohRangeRetrieveError(J13)</f>
        <v/>
      </c>
      <c r="L13" s="57"/>
    </row>
    <row r="14" spans="1:12" x14ac:dyDescent="0.2">
      <c r="A14" s="136"/>
      <c r="B14" s="228" t="s">
        <v>108</v>
      </c>
      <c r="C14" s="120" t="s">
        <v>202</v>
      </c>
      <c r="D14" s="120" t="s">
        <v>142</v>
      </c>
      <c r="E14" s="120" t="s">
        <v>135</v>
      </c>
      <c r="F14" s="256" t="str">
        <f>Currency&amp;$C14&amp;E14&amp;$B14&amp;QuoteSuffix</f>
        <v>EURAB6E9Y_Quote</v>
      </c>
      <c r="G14" s="120" t="s">
        <v>222</v>
      </c>
      <c r="H14" s="257" t="str">
        <f>Currency&amp;IF($G14="-",$D14&amp;E14,E14&amp;$D14)&amp;$B14&amp;QuoteSuffix</f>
        <v>EUR3E6E9Y_Quote</v>
      </c>
      <c r="I14" s="256" t="str">
        <f>Currency&amp;$C14&amp;$D14&amp;"BASIS"&amp;$B14&amp;QuoteSuffix</f>
        <v>EURAB3EBASIS9Y_Quote</v>
      </c>
      <c r="J14" s="256" t="str">
        <f>_xll.qlCompositeQuote(I14,F14,H14,G14,Permanent,Trigger,ObjectOverwrite)</f>
        <v>EURAB3EBASIS9Y_Quote#0005</v>
      </c>
      <c r="K14" s="265" t="str">
        <f>_xll.ohRangeRetrieveError(J14)</f>
        <v/>
      </c>
      <c r="L14" s="57"/>
    </row>
    <row r="15" spans="1:12" x14ac:dyDescent="0.2">
      <c r="A15" s="136"/>
      <c r="B15" s="228" t="s">
        <v>107</v>
      </c>
      <c r="C15" s="120" t="s">
        <v>202</v>
      </c>
      <c r="D15" s="120" t="s">
        <v>142</v>
      </c>
      <c r="E15" s="120" t="s">
        <v>135</v>
      </c>
      <c r="F15" s="256" t="str">
        <f>Currency&amp;$C15&amp;E15&amp;$B15&amp;QuoteSuffix</f>
        <v>EURAB6E10Y_Quote</v>
      </c>
      <c r="G15" s="120" t="s">
        <v>222</v>
      </c>
      <c r="H15" s="257" t="str">
        <f>Currency&amp;IF($G15="-",$D15&amp;E15,E15&amp;$D15)&amp;$B15&amp;QuoteSuffix</f>
        <v>EUR3E6E10Y_Quote</v>
      </c>
      <c r="I15" s="256" t="str">
        <f>Currency&amp;$C15&amp;$D15&amp;"BASIS"&amp;$B15&amp;QuoteSuffix</f>
        <v>EURAB3EBASIS10Y_Quote</v>
      </c>
      <c r="J15" s="256" t="str">
        <f>_xll.qlCompositeQuote(I15,F15,H15,G15,Permanent,Trigger,ObjectOverwrite)</f>
        <v>EURAB3EBASIS10Y_Quote#0005</v>
      </c>
      <c r="K15" s="265" t="str">
        <f>_xll.ohRangeRetrieveError(J15)</f>
        <v/>
      </c>
      <c r="L15" s="57"/>
    </row>
    <row r="16" spans="1:12" x14ac:dyDescent="0.2">
      <c r="A16" s="136"/>
      <c r="B16" s="228" t="s">
        <v>106</v>
      </c>
      <c r="C16" s="120" t="s">
        <v>202</v>
      </c>
      <c r="D16" s="120" t="s">
        <v>142</v>
      </c>
      <c r="E16" s="120" t="s">
        <v>135</v>
      </c>
      <c r="F16" s="256" t="str">
        <f>Currency&amp;$C16&amp;E16&amp;$B16&amp;QuoteSuffix</f>
        <v>EURAB6E11Y_Quote</v>
      </c>
      <c r="G16" s="120" t="s">
        <v>222</v>
      </c>
      <c r="H16" s="257" t="str">
        <f>Currency&amp;IF($G16="-",$D16&amp;E16,E16&amp;$D16)&amp;$B16&amp;QuoteSuffix</f>
        <v>EUR3E6E11Y_Quote</v>
      </c>
      <c r="I16" s="256" t="str">
        <f>Currency&amp;$C16&amp;$D16&amp;"BASIS"&amp;$B16&amp;QuoteSuffix</f>
        <v>EURAB3EBASIS11Y_Quote</v>
      </c>
      <c r="J16" s="256" t="str">
        <f>_xll.qlCompositeQuote(I16,F16,H16,G16,Permanent,Trigger,ObjectOverwrite)</f>
        <v>EURAB3EBASIS11Y_Quote#0005</v>
      </c>
      <c r="K16" s="265" t="str">
        <f>_xll.ohRangeRetrieveError(J16)</f>
        <v/>
      </c>
      <c r="L16" s="57"/>
    </row>
    <row r="17" spans="1:12" x14ac:dyDescent="0.2">
      <c r="A17" s="136"/>
      <c r="B17" s="228" t="s">
        <v>105</v>
      </c>
      <c r="C17" s="120" t="s">
        <v>202</v>
      </c>
      <c r="D17" s="120" t="s">
        <v>142</v>
      </c>
      <c r="E17" s="120" t="s">
        <v>135</v>
      </c>
      <c r="F17" s="256" t="str">
        <f>Currency&amp;$C17&amp;E17&amp;$B17&amp;QuoteSuffix</f>
        <v>EURAB6E12Y_Quote</v>
      </c>
      <c r="G17" s="120" t="s">
        <v>222</v>
      </c>
      <c r="H17" s="257" t="str">
        <f>Currency&amp;IF($G17="-",$D17&amp;E17,E17&amp;$D17)&amp;$B17&amp;QuoteSuffix</f>
        <v>EUR3E6E12Y_Quote</v>
      </c>
      <c r="I17" s="256" t="str">
        <f>Currency&amp;$C17&amp;$D17&amp;"BASIS"&amp;$B17&amp;QuoteSuffix</f>
        <v>EURAB3EBASIS12Y_Quote</v>
      </c>
      <c r="J17" s="256" t="str">
        <f>_xll.qlCompositeQuote(I17,F17,H17,G17,Permanent,Trigger,ObjectOverwrite)</f>
        <v>EURAB3EBASIS12Y_Quote#0005</v>
      </c>
      <c r="K17" s="265" t="str">
        <f>_xll.ohRangeRetrieveError(J17)</f>
        <v/>
      </c>
      <c r="L17" s="57"/>
    </row>
    <row r="18" spans="1:12" x14ac:dyDescent="0.2">
      <c r="A18" s="136"/>
      <c r="B18" s="228" t="s">
        <v>104</v>
      </c>
      <c r="C18" s="120" t="s">
        <v>202</v>
      </c>
      <c r="D18" s="120" t="s">
        <v>142</v>
      </c>
      <c r="E18" s="120" t="s">
        <v>135</v>
      </c>
      <c r="F18" s="256" t="str">
        <f>Currency&amp;$C18&amp;E18&amp;$B18&amp;QuoteSuffix</f>
        <v>EURAB6E13Y_Quote</v>
      </c>
      <c r="G18" s="120" t="s">
        <v>222</v>
      </c>
      <c r="H18" s="257" t="str">
        <f>Currency&amp;IF($G18="-",$D18&amp;E18,E18&amp;$D18)&amp;$B18&amp;QuoteSuffix</f>
        <v>EUR3E6E13Y_Quote</v>
      </c>
      <c r="I18" s="256" t="str">
        <f>Currency&amp;$C18&amp;$D18&amp;"BASIS"&amp;$B18&amp;QuoteSuffix</f>
        <v>EURAB3EBASIS13Y_Quote</v>
      </c>
      <c r="J18" s="256" t="str">
        <f>_xll.qlCompositeQuote(I18,F18,H18,G18,Permanent,Trigger,ObjectOverwrite)</f>
        <v>EURAB3EBASIS13Y_Quote#0005</v>
      </c>
      <c r="K18" s="265" t="str">
        <f>_xll.ohRangeRetrieveError(J18)</f>
        <v/>
      </c>
      <c r="L18" s="57"/>
    </row>
    <row r="19" spans="1:12" x14ac:dyDescent="0.2">
      <c r="A19" s="136"/>
      <c r="B19" s="228" t="s">
        <v>103</v>
      </c>
      <c r="C19" s="120" t="s">
        <v>202</v>
      </c>
      <c r="D19" s="120" t="s">
        <v>142</v>
      </c>
      <c r="E19" s="120" t="s">
        <v>135</v>
      </c>
      <c r="F19" s="256" t="str">
        <f>Currency&amp;$C19&amp;E19&amp;$B19&amp;QuoteSuffix</f>
        <v>EURAB6E14Y_Quote</v>
      </c>
      <c r="G19" s="120" t="s">
        <v>222</v>
      </c>
      <c r="H19" s="257" t="str">
        <f>Currency&amp;IF($G19="-",$D19&amp;E19,E19&amp;$D19)&amp;$B19&amp;QuoteSuffix</f>
        <v>EUR3E6E14Y_Quote</v>
      </c>
      <c r="I19" s="256" t="str">
        <f>Currency&amp;$C19&amp;$D19&amp;"BASIS"&amp;$B19&amp;QuoteSuffix</f>
        <v>EURAB3EBASIS14Y_Quote</v>
      </c>
      <c r="J19" s="256" t="str">
        <f>_xll.qlCompositeQuote(I19,F19,H19,G19,Permanent,Trigger,ObjectOverwrite)</f>
        <v>EURAB3EBASIS14Y_Quote#0005</v>
      </c>
      <c r="K19" s="265" t="str">
        <f>_xll.ohRangeRetrieveError(J19)</f>
        <v/>
      </c>
      <c r="L19" s="57"/>
    </row>
    <row r="20" spans="1:12" x14ac:dyDescent="0.2">
      <c r="A20" s="136"/>
      <c r="B20" s="228" t="s">
        <v>102</v>
      </c>
      <c r="C20" s="120" t="s">
        <v>202</v>
      </c>
      <c r="D20" s="120" t="s">
        <v>142</v>
      </c>
      <c r="E20" s="120" t="s">
        <v>135</v>
      </c>
      <c r="F20" s="256" t="str">
        <f>Currency&amp;$C20&amp;E20&amp;$B20&amp;QuoteSuffix</f>
        <v>EURAB6E15Y_Quote</v>
      </c>
      <c r="G20" s="120" t="s">
        <v>222</v>
      </c>
      <c r="H20" s="257" t="str">
        <f>Currency&amp;IF($G20="-",$D20&amp;E20,E20&amp;$D20)&amp;$B20&amp;QuoteSuffix</f>
        <v>EUR3E6E15Y_Quote</v>
      </c>
      <c r="I20" s="256" t="str">
        <f>Currency&amp;$C20&amp;$D20&amp;"BASIS"&amp;$B20&amp;QuoteSuffix</f>
        <v>EURAB3EBASIS15Y_Quote</v>
      </c>
      <c r="J20" s="256" t="str">
        <f>_xll.qlCompositeQuote(I20,F20,H20,G20,Permanent,Trigger,ObjectOverwrite)</f>
        <v>EURAB3EBASIS15Y_Quote#0005</v>
      </c>
      <c r="K20" s="265" t="str">
        <f>_xll.ohRangeRetrieveError(J20)</f>
        <v/>
      </c>
      <c r="L20" s="57"/>
    </row>
    <row r="21" spans="1:12" x14ac:dyDescent="0.2">
      <c r="A21" s="136"/>
      <c r="B21" s="228" t="s">
        <v>101</v>
      </c>
      <c r="C21" s="120" t="s">
        <v>202</v>
      </c>
      <c r="D21" s="120" t="s">
        <v>142</v>
      </c>
      <c r="E21" s="120" t="s">
        <v>135</v>
      </c>
      <c r="F21" s="256" t="str">
        <f>Currency&amp;$C21&amp;E21&amp;$B21&amp;QuoteSuffix</f>
        <v>EURAB6E16Y_Quote</v>
      </c>
      <c r="G21" s="120" t="s">
        <v>222</v>
      </c>
      <c r="H21" s="257" t="str">
        <f>Currency&amp;IF($G21="-",$D21&amp;E21,E21&amp;$D21)&amp;$B21&amp;QuoteSuffix</f>
        <v>EUR3E6E16Y_Quote</v>
      </c>
      <c r="I21" s="256" t="str">
        <f>Currency&amp;$C21&amp;$D21&amp;"BASIS"&amp;$B21&amp;QuoteSuffix</f>
        <v>EURAB3EBASIS16Y_Quote</v>
      </c>
      <c r="J21" s="256" t="str">
        <f>_xll.qlCompositeQuote(I21,F21,H21,G21,Permanent,Trigger,ObjectOverwrite)</f>
        <v>EURAB3EBASIS16Y_Quote#0005</v>
      </c>
      <c r="K21" s="265" t="str">
        <f>_xll.ohRangeRetrieveError(J21)</f>
        <v/>
      </c>
      <c r="L21" s="57"/>
    </row>
    <row r="22" spans="1:12" x14ac:dyDescent="0.2">
      <c r="A22" s="136"/>
      <c r="B22" s="228" t="s">
        <v>100</v>
      </c>
      <c r="C22" s="120" t="s">
        <v>202</v>
      </c>
      <c r="D22" s="120" t="s">
        <v>142</v>
      </c>
      <c r="E22" s="120" t="s">
        <v>135</v>
      </c>
      <c r="F22" s="256" t="str">
        <f>Currency&amp;$C22&amp;E22&amp;$B22&amp;QuoteSuffix</f>
        <v>EURAB6E17Y_Quote</v>
      </c>
      <c r="G22" s="120" t="s">
        <v>222</v>
      </c>
      <c r="H22" s="257" t="str">
        <f>Currency&amp;IF($G22="-",$D22&amp;E22,E22&amp;$D22)&amp;$B22&amp;QuoteSuffix</f>
        <v>EUR3E6E17Y_Quote</v>
      </c>
      <c r="I22" s="256" t="str">
        <f>Currency&amp;$C22&amp;$D22&amp;"BASIS"&amp;$B22&amp;QuoteSuffix</f>
        <v>EURAB3EBASIS17Y_Quote</v>
      </c>
      <c r="J22" s="256" t="str">
        <f>_xll.qlCompositeQuote(I22,F22,H22,G22,Permanent,Trigger,ObjectOverwrite)</f>
        <v>EURAB3EBASIS17Y_Quote#0005</v>
      </c>
      <c r="K22" s="265" t="str">
        <f>_xll.ohRangeRetrieveError(J22)</f>
        <v/>
      </c>
      <c r="L22" s="57"/>
    </row>
    <row r="23" spans="1:12" x14ac:dyDescent="0.2">
      <c r="A23" s="136"/>
      <c r="B23" s="228" t="s">
        <v>99</v>
      </c>
      <c r="C23" s="120" t="s">
        <v>202</v>
      </c>
      <c r="D23" s="120" t="s">
        <v>142</v>
      </c>
      <c r="E23" s="120" t="s">
        <v>135</v>
      </c>
      <c r="F23" s="256" t="str">
        <f>Currency&amp;$C23&amp;E23&amp;$B23&amp;QuoteSuffix</f>
        <v>EURAB6E18Y_Quote</v>
      </c>
      <c r="G23" s="120" t="s">
        <v>222</v>
      </c>
      <c r="H23" s="257" t="str">
        <f>Currency&amp;IF($G23="-",$D23&amp;E23,E23&amp;$D23)&amp;$B23&amp;QuoteSuffix</f>
        <v>EUR3E6E18Y_Quote</v>
      </c>
      <c r="I23" s="256" t="str">
        <f>Currency&amp;$C23&amp;$D23&amp;"BASIS"&amp;$B23&amp;QuoteSuffix</f>
        <v>EURAB3EBASIS18Y_Quote</v>
      </c>
      <c r="J23" s="256" t="str">
        <f>_xll.qlCompositeQuote(I23,F23,H23,G23,Permanent,Trigger,ObjectOverwrite)</f>
        <v>EURAB3EBASIS18Y_Quote#0005</v>
      </c>
      <c r="K23" s="265" t="str">
        <f>_xll.ohRangeRetrieveError(J23)</f>
        <v/>
      </c>
      <c r="L23" s="57"/>
    </row>
    <row r="24" spans="1:12" x14ac:dyDescent="0.2">
      <c r="A24" s="136"/>
      <c r="B24" s="228" t="s">
        <v>98</v>
      </c>
      <c r="C24" s="120" t="s">
        <v>202</v>
      </c>
      <c r="D24" s="120" t="s">
        <v>142</v>
      </c>
      <c r="E24" s="120" t="s">
        <v>135</v>
      </c>
      <c r="F24" s="256" t="str">
        <f>Currency&amp;$C24&amp;E24&amp;$B24&amp;QuoteSuffix</f>
        <v>EURAB6E19Y_Quote</v>
      </c>
      <c r="G24" s="120" t="s">
        <v>222</v>
      </c>
      <c r="H24" s="257" t="str">
        <f>Currency&amp;IF($G24="-",$D24&amp;E24,E24&amp;$D24)&amp;$B24&amp;QuoteSuffix</f>
        <v>EUR3E6E19Y_Quote</v>
      </c>
      <c r="I24" s="256" t="str">
        <f>Currency&amp;$C24&amp;$D24&amp;"BASIS"&amp;$B24&amp;QuoteSuffix</f>
        <v>EURAB3EBASIS19Y_Quote</v>
      </c>
      <c r="J24" s="256" t="str">
        <f>_xll.qlCompositeQuote(I24,F24,H24,G24,Permanent,Trigger,ObjectOverwrite)</f>
        <v>EURAB3EBASIS19Y_Quote#0005</v>
      </c>
      <c r="K24" s="265" t="str">
        <f>_xll.ohRangeRetrieveError(J24)</f>
        <v/>
      </c>
      <c r="L24" s="57"/>
    </row>
    <row r="25" spans="1:12" x14ac:dyDescent="0.2">
      <c r="A25" s="136"/>
      <c r="B25" s="228" t="s">
        <v>97</v>
      </c>
      <c r="C25" s="120" t="s">
        <v>202</v>
      </c>
      <c r="D25" s="120" t="s">
        <v>142</v>
      </c>
      <c r="E25" s="120" t="s">
        <v>135</v>
      </c>
      <c r="F25" s="256" t="str">
        <f>Currency&amp;$C25&amp;E25&amp;$B25&amp;QuoteSuffix</f>
        <v>EURAB6E20Y_Quote</v>
      </c>
      <c r="G25" s="120" t="s">
        <v>222</v>
      </c>
      <c r="H25" s="257" t="str">
        <f>Currency&amp;IF($G25="-",$D25&amp;E25,E25&amp;$D25)&amp;$B25&amp;QuoteSuffix</f>
        <v>EUR3E6E20Y_Quote</v>
      </c>
      <c r="I25" s="256" t="str">
        <f>Currency&amp;$C25&amp;$D25&amp;"BASIS"&amp;$B25&amp;QuoteSuffix</f>
        <v>EURAB3EBASIS20Y_Quote</v>
      </c>
      <c r="J25" s="256" t="str">
        <f>_xll.qlCompositeQuote(I25,F25,H25,G25,Permanent,Trigger,ObjectOverwrite)</f>
        <v>EURAB3EBASIS20Y_Quote#0005</v>
      </c>
      <c r="K25" s="265" t="str">
        <f>_xll.ohRangeRetrieveError(J25)</f>
        <v/>
      </c>
      <c r="L25" s="57"/>
    </row>
    <row r="26" spans="1:12" x14ac:dyDescent="0.2">
      <c r="A26" s="136"/>
      <c r="B26" s="228" t="s">
        <v>96</v>
      </c>
      <c r="C26" s="120" t="s">
        <v>202</v>
      </c>
      <c r="D26" s="120" t="s">
        <v>142</v>
      </c>
      <c r="E26" s="120" t="s">
        <v>135</v>
      </c>
      <c r="F26" s="256" t="str">
        <f>Currency&amp;$C26&amp;E26&amp;$B26&amp;QuoteSuffix</f>
        <v>EURAB6E21Y_Quote</v>
      </c>
      <c r="G26" s="120" t="s">
        <v>222</v>
      </c>
      <c r="H26" s="257" t="str">
        <f>Currency&amp;IF($G26="-",$D26&amp;E26,E26&amp;$D26)&amp;$B26&amp;QuoteSuffix</f>
        <v>EUR3E6E21Y_Quote</v>
      </c>
      <c r="I26" s="256" t="str">
        <f>Currency&amp;$C26&amp;$D26&amp;"BASIS"&amp;$B26&amp;QuoteSuffix</f>
        <v>EURAB3EBASIS21Y_Quote</v>
      </c>
      <c r="J26" s="256" t="str">
        <f>_xll.qlCompositeQuote(I26,F26,H26,G26,Permanent,Trigger,ObjectOverwrite)</f>
        <v>EURAB3EBASIS21Y_Quote#0005</v>
      </c>
      <c r="K26" s="265" t="str">
        <f>_xll.ohRangeRetrieveError(J26)</f>
        <v/>
      </c>
      <c r="L26" s="57"/>
    </row>
    <row r="27" spans="1:12" x14ac:dyDescent="0.2">
      <c r="A27" s="136"/>
      <c r="B27" s="228" t="s">
        <v>95</v>
      </c>
      <c r="C27" s="120" t="s">
        <v>202</v>
      </c>
      <c r="D27" s="120" t="s">
        <v>142</v>
      </c>
      <c r="E27" s="120" t="s">
        <v>135</v>
      </c>
      <c r="F27" s="256" t="str">
        <f>Currency&amp;$C27&amp;E27&amp;$B27&amp;QuoteSuffix</f>
        <v>EURAB6E22Y_Quote</v>
      </c>
      <c r="G27" s="120" t="s">
        <v>222</v>
      </c>
      <c r="H27" s="257" t="str">
        <f>Currency&amp;IF($G27="-",$D27&amp;E27,E27&amp;$D27)&amp;$B27&amp;QuoteSuffix</f>
        <v>EUR3E6E22Y_Quote</v>
      </c>
      <c r="I27" s="256" t="str">
        <f>Currency&amp;$C27&amp;$D27&amp;"BASIS"&amp;$B27&amp;QuoteSuffix</f>
        <v>EURAB3EBASIS22Y_Quote</v>
      </c>
      <c r="J27" s="256" t="str">
        <f>_xll.qlCompositeQuote(I27,F27,H27,G27,Permanent,Trigger,ObjectOverwrite)</f>
        <v>EURAB3EBASIS22Y_Quote#0005</v>
      </c>
      <c r="K27" s="265" t="str">
        <f>_xll.ohRangeRetrieveError(J27)</f>
        <v/>
      </c>
      <c r="L27" s="57"/>
    </row>
    <row r="28" spans="1:12" x14ac:dyDescent="0.2">
      <c r="A28" s="136"/>
      <c r="B28" s="228" t="s">
        <v>94</v>
      </c>
      <c r="C28" s="120" t="s">
        <v>202</v>
      </c>
      <c r="D28" s="120" t="s">
        <v>142</v>
      </c>
      <c r="E28" s="120" t="s">
        <v>135</v>
      </c>
      <c r="F28" s="256" t="str">
        <f>Currency&amp;$C28&amp;E28&amp;$B28&amp;QuoteSuffix</f>
        <v>EURAB6E23Y_Quote</v>
      </c>
      <c r="G28" s="120" t="s">
        <v>222</v>
      </c>
      <c r="H28" s="257" t="str">
        <f>Currency&amp;IF($G28="-",$D28&amp;E28,E28&amp;$D28)&amp;$B28&amp;QuoteSuffix</f>
        <v>EUR3E6E23Y_Quote</v>
      </c>
      <c r="I28" s="256" t="str">
        <f>Currency&amp;$C28&amp;$D28&amp;"BASIS"&amp;$B28&amp;QuoteSuffix</f>
        <v>EURAB3EBASIS23Y_Quote</v>
      </c>
      <c r="J28" s="256" t="str">
        <f>_xll.qlCompositeQuote(I28,F28,H28,G28,Permanent,Trigger,ObjectOverwrite)</f>
        <v>EURAB3EBASIS23Y_Quote#0005</v>
      </c>
      <c r="K28" s="265" t="str">
        <f>_xll.ohRangeRetrieveError(J28)</f>
        <v/>
      </c>
      <c r="L28" s="57"/>
    </row>
    <row r="29" spans="1:12" x14ac:dyDescent="0.2">
      <c r="A29" s="136"/>
      <c r="B29" s="228" t="s">
        <v>93</v>
      </c>
      <c r="C29" s="120" t="s">
        <v>202</v>
      </c>
      <c r="D29" s="120" t="s">
        <v>142</v>
      </c>
      <c r="E29" s="120" t="s">
        <v>135</v>
      </c>
      <c r="F29" s="256" t="str">
        <f>Currency&amp;$C29&amp;E29&amp;$B29&amp;QuoteSuffix</f>
        <v>EURAB6E24Y_Quote</v>
      </c>
      <c r="G29" s="120" t="s">
        <v>222</v>
      </c>
      <c r="H29" s="257" t="str">
        <f>Currency&amp;IF($G29="-",$D29&amp;E29,E29&amp;$D29)&amp;$B29&amp;QuoteSuffix</f>
        <v>EUR3E6E24Y_Quote</v>
      </c>
      <c r="I29" s="256" t="str">
        <f>Currency&amp;$C29&amp;$D29&amp;"BASIS"&amp;$B29&amp;QuoteSuffix</f>
        <v>EURAB3EBASIS24Y_Quote</v>
      </c>
      <c r="J29" s="256" t="str">
        <f>_xll.qlCompositeQuote(I29,F29,H29,G29,Permanent,Trigger,ObjectOverwrite)</f>
        <v>EURAB3EBASIS24Y_Quote#0005</v>
      </c>
      <c r="K29" s="265" t="str">
        <f>_xll.ohRangeRetrieveError(J29)</f>
        <v/>
      </c>
      <c r="L29" s="57"/>
    </row>
    <row r="30" spans="1:12" x14ac:dyDescent="0.2">
      <c r="A30" s="136"/>
      <c r="B30" s="228" t="s">
        <v>92</v>
      </c>
      <c r="C30" s="120" t="s">
        <v>202</v>
      </c>
      <c r="D30" s="120" t="s">
        <v>142</v>
      </c>
      <c r="E30" s="120" t="s">
        <v>135</v>
      </c>
      <c r="F30" s="256" t="str">
        <f>Currency&amp;$C30&amp;E30&amp;$B30&amp;QuoteSuffix</f>
        <v>EURAB6E25Y_Quote</v>
      </c>
      <c r="G30" s="120" t="s">
        <v>222</v>
      </c>
      <c r="H30" s="257" t="str">
        <f>Currency&amp;IF($G30="-",$D30&amp;E30,E30&amp;$D30)&amp;$B30&amp;QuoteSuffix</f>
        <v>EUR3E6E25Y_Quote</v>
      </c>
      <c r="I30" s="256" t="str">
        <f>Currency&amp;$C30&amp;$D30&amp;"BASIS"&amp;$B30&amp;QuoteSuffix</f>
        <v>EURAB3EBASIS25Y_Quote</v>
      </c>
      <c r="J30" s="256" t="str">
        <f>_xll.qlCompositeQuote(I30,F30,H30,G30,Permanent,Trigger,ObjectOverwrite)</f>
        <v>EURAB3EBASIS25Y_Quote#0005</v>
      </c>
      <c r="K30" s="265" t="str">
        <f>_xll.ohRangeRetrieveError(J30)</f>
        <v/>
      </c>
      <c r="L30" s="57"/>
    </row>
    <row r="31" spans="1:12" x14ac:dyDescent="0.2">
      <c r="A31" s="136"/>
      <c r="B31" s="228" t="s">
        <v>91</v>
      </c>
      <c r="C31" s="120" t="s">
        <v>202</v>
      </c>
      <c r="D31" s="120" t="s">
        <v>142</v>
      </c>
      <c r="E31" s="120" t="s">
        <v>135</v>
      </c>
      <c r="F31" s="256" t="str">
        <f>Currency&amp;$C31&amp;E31&amp;$B31&amp;QuoteSuffix</f>
        <v>EURAB6E26Y_Quote</v>
      </c>
      <c r="G31" s="120" t="s">
        <v>222</v>
      </c>
      <c r="H31" s="257" t="str">
        <f>Currency&amp;IF($G31="-",$D31&amp;E31,E31&amp;$D31)&amp;$B31&amp;QuoteSuffix</f>
        <v>EUR3E6E26Y_Quote</v>
      </c>
      <c r="I31" s="256" t="str">
        <f>Currency&amp;$C31&amp;$D31&amp;"BASIS"&amp;$B31&amp;QuoteSuffix</f>
        <v>EURAB3EBASIS26Y_Quote</v>
      </c>
      <c r="J31" s="256" t="str">
        <f>_xll.qlCompositeQuote(I31,F31,H31,G31,Permanent,Trigger,ObjectOverwrite)</f>
        <v>EURAB3EBASIS26Y_Quote#0005</v>
      </c>
      <c r="K31" s="265" t="str">
        <f>_xll.ohRangeRetrieveError(J31)</f>
        <v/>
      </c>
      <c r="L31" s="57"/>
    </row>
    <row r="32" spans="1:12" x14ac:dyDescent="0.2">
      <c r="A32" s="136"/>
      <c r="B32" s="228" t="s">
        <v>90</v>
      </c>
      <c r="C32" s="120" t="s">
        <v>202</v>
      </c>
      <c r="D32" s="120" t="s">
        <v>142</v>
      </c>
      <c r="E32" s="120" t="s">
        <v>135</v>
      </c>
      <c r="F32" s="256" t="str">
        <f>Currency&amp;$C32&amp;E32&amp;$B32&amp;QuoteSuffix</f>
        <v>EURAB6E27Y_Quote</v>
      </c>
      <c r="G32" s="120" t="s">
        <v>222</v>
      </c>
      <c r="H32" s="257" t="str">
        <f>Currency&amp;IF($G32="-",$D32&amp;E32,E32&amp;$D32)&amp;$B32&amp;QuoteSuffix</f>
        <v>EUR3E6E27Y_Quote</v>
      </c>
      <c r="I32" s="256" t="str">
        <f>Currency&amp;$C32&amp;$D32&amp;"BASIS"&amp;$B32&amp;QuoteSuffix</f>
        <v>EURAB3EBASIS27Y_Quote</v>
      </c>
      <c r="J32" s="256" t="str">
        <f>_xll.qlCompositeQuote(I32,F32,H32,G32,Permanent,Trigger,ObjectOverwrite)</f>
        <v>EURAB3EBASIS27Y_Quote#0005</v>
      </c>
      <c r="K32" s="265" t="str">
        <f>_xll.ohRangeRetrieveError(J32)</f>
        <v/>
      </c>
      <c r="L32" s="57"/>
    </row>
    <row r="33" spans="1:12" x14ac:dyDescent="0.2">
      <c r="A33" s="136"/>
      <c r="B33" s="228" t="s">
        <v>89</v>
      </c>
      <c r="C33" s="120" t="s">
        <v>202</v>
      </c>
      <c r="D33" s="120" t="s">
        <v>142</v>
      </c>
      <c r="E33" s="120" t="s">
        <v>135</v>
      </c>
      <c r="F33" s="256" t="str">
        <f>Currency&amp;$C33&amp;E33&amp;$B33&amp;QuoteSuffix</f>
        <v>EURAB6E28Y_Quote</v>
      </c>
      <c r="G33" s="120" t="s">
        <v>222</v>
      </c>
      <c r="H33" s="257" t="str">
        <f>Currency&amp;IF($G33="-",$D33&amp;E33,E33&amp;$D33)&amp;$B33&amp;QuoteSuffix</f>
        <v>EUR3E6E28Y_Quote</v>
      </c>
      <c r="I33" s="256" t="str">
        <f>Currency&amp;$C33&amp;$D33&amp;"BASIS"&amp;$B33&amp;QuoteSuffix</f>
        <v>EURAB3EBASIS28Y_Quote</v>
      </c>
      <c r="J33" s="256" t="str">
        <f>_xll.qlCompositeQuote(I33,F33,H33,G33,Permanent,Trigger,ObjectOverwrite)</f>
        <v>EURAB3EBASIS28Y_Quote#0005</v>
      </c>
      <c r="K33" s="265" t="str">
        <f>_xll.ohRangeRetrieveError(J33)</f>
        <v/>
      </c>
      <c r="L33" s="57"/>
    </row>
    <row r="34" spans="1:12" x14ac:dyDescent="0.2">
      <c r="A34" s="136"/>
      <c r="B34" s="228" t="s">
        <v>88</v>
      </c>
      <c r="C34" s="120" t="s">
        <v>202</v>
      </c>
      <c r="D34" s="120" t="s">
        <v>142</v>
      </c>
      <c r="E34" s="120" t="s">
        <v>135</v>
      </c>
      <c r="F34" s="256" t="str">
        <f>Currency&amp;$C34&amp;E34&amp;$B34&amp;QuoteSuffix</f>
        <v>EURAB6E29Y_Quote</v>
      </c>
      <c r="G34" s="120" t="s">
        <v>222</v>
      </c>
      <c r="H34" s="257" t="str">
        <f>Currency&amp;IF($G34="-",$D34&amp;E34,E34&amp;$D34)&amp;$B34&amp;QuoteSuffix</f>
        <v>EUR3E6E29Y_Quote</v>
      </c>
      <c r="I34" s="256" t="str">
        <f>Currency&amp;$C34&amp;$D34&amp;"BASIS"&amp;$B34&amp;QuoteSuffix</f>
        <v>EURAB3EBASIS29Y_Quote</v>
      </c>
      <c r="J34" s="256" t="str">
        <f>_xll.qlCompositeQuote(I34,F34,H34,G34,Permanent,Trigger,ObjectOverwrite)</f>
        <v>EURAB3EBASIS29Y_Quote#0005</v>
      </c>
      <c r="K34" s="265" t="str">
        <f>_xll.ohRangeRetrieveError(J34)</f>
        <v/>
      </c>
      <c r="L34" s="57"/>
    </row>
    <row r="35" spans="1:12" x14ac:dyDescent="0.2">
      <c r="A35" s="136"/>
      <c r="B35" s="228" t="s">
        <v>87</v>
      </c>
      <c r="C35" s="120" t="s">
        <v>202</v>
      </c>
      <c r="D35" s="120" t="s">
        <v>142</v>
      </c>
      <c r="E35" s="120" t="s">
        <v>135</v>
      </c>
      <c r="F35" s="256" t="str">
        <f>Currency&amp;$C35&amp;E35&amp;$B35&amp;QuoteSuffix</f>
        <v>EURAB6E30Y_Quote</v>
      </c>
      <c r="G35" s="120" t="s">
        <v>222</v>
      </c>
      <c r="H35" s="257" t="str">
        <f>Currency&amp;IF($G35="-",$D35&amp;E35,E35&amp;$D35)&amp;$B35&amp;QuoteSuffix</f>
        <v>EUR3E6E30Y_Quote</v>
      </c>
      <c r="I35" s="256" t="str">
        <f>Currency&amp;$C35&amp;$D35&amp;"BASIS"&amp;$B35&amp;QuoteSuffix</f>
        <v>EURAB3EBASIS30Y_Quote</v>
      </c>
      <c r="J35" s="256" t="str">
        <f>_xll.qlCompositeQuote(I35,F35,H35,G35,Permanent,Trigger,ObjectOverwrite)</f>
        <v>EURAB3EBASIS30Y_Quote#0005</v>
      </c>
      <c r="K35" s="265" t="str">
        <f>_xll.ohRangeRetrieveError(J35)</f>
        <v/>
      </c>
      <c r="L35" s="57"/>
    </row>
    <row r="36" spans="1:12" x14ac:dyDescent="0.2">
      <c r="A36" s="136"/>
      <c r="B36" s="228" t="s">
        <v>82</v>
      </c>
      <c r="C36" s="120" t="s">
        <v>202</v>
      </c>
      <c r="D36" s="120" t="s">
        <v>142</v>
      </c>
      <c r="E36" s="120" t="s">
        <v>135</v>
      </c>
      <c r="F36" s="256" t="str">
        <f>Currency&amp;$C36&amp;E36&amp;$B36&amp;QuoteSuffix</f>
        <v>EURAB6E35Y_Quote</v>
      </c>
      <c r="G36" s="120" t="s">
        <v>222</v>
      </c>
      <c r="H36" s="257" t="str">
        <f>Currency&amp;IF($G36="-",$D36&amp;E36,E36&amp;$D36)&amp;$B36&amp;QuoteSuffix</f>
        <v>EUR3E6E35Y_Quote</v>
      </c>
      <c r="I36" s="256" t="str">
        <f>Currency&amp;$C36&amp;$D36&amp;"BASIS"&amp;$B36&amp;QuoteSuffix</f>
        <v>EURAB3EBASIS35Y_Quote</v>
      </c>
      <c r="J36" s="256" t="str">
        <f>_xll.qlCompositeQuote(I36,F36,H36,G36,Permanent,Trigger,ObjectOverwrite)</f>
        <v>EURAB3EBASIS35Y_Quote#0005</v>
      </c>
      <c r="K36" s="265" t="str">
        <f>_xll.ohRangeRetrieveError(J36)</f>
        <v/>
      </c>
      <c r="L36" s="57"/>
    </row>
    <row r="37" spans="1:12" x14ac:dyDescent="0.2">
      <c r="A37" s="136"/>
      <c r="B37" s="228" t="s">
        <v>77</v>
      </c>
      <c r="C37" s="120" t="s">
        <v>202</v>
      </c>
      <c r="D37" s="120" t="s">
        <v>142</v>
      </c>
      <c r="E37" s="120" t="s">
        <v>135</v>
      </c>
      <c r="F37" s="256" t="str">
        <f>Currency&amp;$C37&amp;E37&amp;$B37&amp;QuoteSuffix</f>
        <v>EURAB6E40Y_Quote</v>
      </c>
      <c r="G37" s="120" t="s">
        <v>222</v>
      </c>
      <c r="H37" s="257" t="str">
        <f>Currency&amp;IF($G37="-",$D37&amp;E37,E37&amp;$D37)&amp;$B37&amp;QuoteSuffix</f>
        <v>EUR3E6E40Y_Quote</v>
      </c>
      <c r="I37" s="256" t="str">
        <f>Currency&amp;$C37&amp;$D37&amp;"BASIS"&amp;$B37&amp;QuoteSuffix</f>
        <v>EURAB3EBASIS40Y_Quote</v>
      </c>
      <c r="J37" s="256" t="str">
        <f>_xll.qlCompositeQuote(I37,F37,H37,G37,Permanent,Trigger,ObjectOverwrite)</f>
        <v>EURAB3EBASIS40Y_Quote#0005</v>
      </c>
      <c r="K37" s="265" t="str">
        <f>_xll.ohRangeRetrieveError(J37)</f>
        <v/>
      </c>
      <c r="L37" s="57"/>
    </row>
    <row r="38" spans="1:12" x14ac:dyDescent="0.2">
      <c r="A38" s="136"/>
      <c r="B38" s="228" t="s">
        <v>67</v>
      </c>
      <c r="C38" s="120" t="s">
        <v>202</v>
      </c>
      <c r="D38" s="120" t="s">
        <v>142</v>
      </c>
      <c r="E38" s="120" t="s">
        <v>135</v>
      </c>
      <c r="F38" s="256" t="str">
        <f>Currency&amp;$C38&amp;E38&amp;$B38&amp;QuoteSuffix</f>
        <v>EURAB6E50Y_Quote</v>
      </c>
      <c r="G38" s="120" t="s">
        <v>222</v>
      </c>
      <c r="H38" s="257" t="str">
        <f>Currency&amp;IF($G38="-",$D38&amp;E38,E38&amp;$D38)&amp;$B38&amp;QuoteSuffix</f>
        <v>EUR3E6E50Y_Quote</v>
      </c>
      <c r="I38" s="256" t="str">
        <f>Currency&amp;$C38&amp;$D38&amp;"BASIS"&amp;$B38&amp;QuoteSuffix</f>
        <v>EURAB3EBASIS50Y_Quote</v>
      </c>
      <c r="J38" s="256" t="str">
        <f>_xll.qlCompositeQuote(I38,F38,H38,G38,Permanent,Trigger,ObjectOverwrite)</f>
        <v>EURAB3EBASIS50Y_Quote#0005</v>
      </c>
      <c r="K38" s="265" t="str">
        <f>_xll.ohRangeRetrieveError(J38)</f>
        <v/>
      </c>
      <c r="L38" s="57"/>
    </row>
    <row r="39" spans="1:12" x14ac:dyDescent="0.2">
      <c r="A39" s="136"/>
      <c r="B39" s="228" t="s">
        <v>57</v>
      </c>
      <c r="C39" s="120" t="s">
        <v>202</v>
      </c>
      <c r="D39" s="120" t="s">
        <v>142</v>
      </c>
      <c r="E39" s="120" t="s">
        <v>135</v>
      </c>
      <c r="F39" s="256" t="str">
        <f>Currency&amp;$C39&amp;E39&amp;$B39&amp;QuoteSuffix</f>
        <v>EURAB6E60Y_Quote</v>
      </c>
      <c r="G39" s="120" t="s">
        <v>222</v>
      </c>
      <c r="H39" s="257" t="str">
        <f>Currency&amp;IF($G39="-",$D39&amp;E39,E39&amp;$D39)&amp;$B39&amp;QuoteSuffix</f>
        <v>EUR3E6E60Y_Quote</v>
      </c>
      <c r="I39" s="256" t="str">
        <f>Currency&amp;$C39&amp;$D39&amp;"BASIS"&amp;$B39&amp;QuoteSuffix</f>
        <v>EURAB3EBASIS60Y_Quote</v>
      </c>
      <c r="J39" s="256" t="str">
        <f>_xll.qlCompositeQuote(I39,F39,H39,G39,Permanent,Trigger,ObjectOverwrite)</f>
        <v>EURAB3EBASIS60Y_Quote#0005</v>
      </c>
      <c r="K39" s="265" t="str">
        <f>_xll.ohRangeRetrieveError(J39)</f>
        <v/>
      </c>
      <c r="L39" s="57"/>
    </row>
    <row r="40" spans="1:12" ht="12" thickBot="1" x14ac:dyDescent="0.25">
      <c r="A40" s="56"/>
      <c r="B40" s="55"/>
      <c r="C40" s="55"/>
      <c r="D40" s="55"/>
      <c r="E40" s="55"/>
      <c r="F40" s="55"/>
      <c r="G40" s="55"/>
      <c r="H40" s="55"/>
      <c r="I40" s="55"/>
      <c r="J40" s="130"/>
      <c r="K40" s="130"/>
      <c r="L40" s="54"/>
    </row>
  </sheetData>
  <pageMargins left="0.75" right="0.75" top="1" bottom="1" header="0.5" footer="0.5"/>
  <pageSetup paperSize="9" orientation="portrait" r:id="rId1"/>
  <headerFooter alignWithMargins="0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0"/>
  <sheetViews>
    <sheetView workbookViewId="0"/>
  </sheetViews>
  <sheetFormatPr defaultRowHeight="11.25" x14ac:dyDescent="0.2"/>
  <cols>
    <col min="1" max="1" width="3.7109375" style="77" customWidth="1"/>
    <col min="2" max="2" width="6.5703125" style="21" bestFit="1" customWidth="1"/>
    <col min="3" max="3" width="3.140625" style="77" bestFit="1" customWidth="1"/>
    <col min="4" max="4" width="3.5703125" style="77" bestFit="1" customWidth="1"/>
    <col min="5" max="5" width="2.7109375" style="77" bestFit="1" customWidth="1"/>
    <col min="6" max="6" width="15.7109375" style="77" bestFit="1" customWidth="1"/>
    <col min="7" max="7" width="8" style="77" bestFit="1" customWidth="1"/>
    <col min="8" max="8" width="16.140625" style="77" bestFit="1" customWidth="1"/>
    <col min="9" max="9" width="23.42578125" style="77" bestFit="1" customWidth="1"/>
    <col min="10" max="10" width="25.7109375" style="78" bestFit="1" customWidth="1"/>
    <col min="11" max="11" width="37.85546875" style="77" customWidth="1"/>
    <col min="12" max="12" width="4.42578125" style="77" customWidth="1"/>
    <col min="13" max="13" width="5.85546875" style="77" customWidth="1"/>
    <col min="14" max="16384" width="9.140625" style="77"/>
  </cols>
  <sheetData>
    <row r="1" spans="1:12" x14ac:dyDescent="0.2">
      <c r="A1" s="230" t="s">
        <v>226</v>
      </c>
      <c r="B1" s="213"/>
      <c r="C1" s="213"/>
      <c r="D1" s="213"/>
      <c r="E1" s="213"/>
      <c r="F1" s="213"/>
      <c r="G1" s="213"/>
      <c r="H1" s="213"/>
      <c r="I1" s="168"/>
      <c r="J1" s="229"/>
      <c r="K1" s="168"/>
      <c r="L1" s="210"/>
    </row>
    <row r="2" spans="1:12" x14ac:dyDescent="0.2">
      <c r="A2" s="136"/>
      <c r="B2" s="263" t="s">
        <v>141</v>
      </c>
      <c r="C2" s="264"/>
      <c r="D2" s="263"/>
      <c r="E2" s="263"/>
      <c r="F2" s="263" t="s">
        <v>224</v>
      </c>
      <c r="G2" s="263" t="s">
        <v>223</v>
      </c>
      <c r="H2" s="263" t="s">
        <v>214</v>
      </c>
      <c r="I2" s="262" t="str">
        <f>Currency&amp;"_020_Sw"&amp;$C$3&amp;$D$3&amp;"_Basis.xml"</f>
        <v>EUR_020_SwAB6E_Basis.xml</v>
      </c>
      <c r="J2" s="261">
        <f ca="1">IF(Serialize,_xll.ohObjectSave(J3:J39,SerializationPath&amp;I2,FileOverwrite,Serialize),"---")</f>
        <v>37</v>
      </c>
      <c r="K2" s="259" t="str">
        <f ca="1">_xll.ohRangeRetrieveError(J2)</f>
        <v/>
      </c>
      <c r="L2" s="57"/>
    </row>
    <row r="3" spans="1:12" x14ac:dyDescent="0.2">
      <c r="A3" s="136"/>
      <c r="B3" s="228" t="s">
        <v>34</v>
      </c>
      <c r="C3" s="120" t="s">
        <v>202</v>
      </c>
      <c r="D3" s="120" t="s">
        <v>135</v>
      </c>
      <c r="E3" s="120" t="s">
        <v>142</v>
      </c>
      <c r="F3" s="256" t="str">
        <f>Currency&amp;$C3&amp;E3&amp;$B3&amp;QuoteSuffix</f>
        <v>EURAB3E1Y_Quote</v>
      </c>
      <c r="G3" s="120" t="s">
        <v>225</v>
      </c>
      <c r="H3" s="257" t="str">
        <f>Currency&amp;IF($G3="-",$D3&amp;E3,E3&amp;$D3)&amp;$B3&amp;QuoteSuffix</f>
        <v>EUR3E6E1Y_Quote</v>
      </c>
      <c r="I3" s="256" t="str">
        <f>Currency&amp;$C3&amp;$D3&amp;"BASIS"&amp;$B3&amp;QuoteSuffix</f>
        <v>EURAB6EBASIS1Y_Quote</v>
      </c>
      <c r="J3" s="256" t="str">
        <f>_xll.qlCompositeQuote(I3,F3,H3,G3,Permanent,Trigger,ObjectOverwrite)</f>
        <v>EURAB6EBASIS1Y_Quote#0004</v>
      </c>
      <c r="K3" s="265" t="str">
        <f>_xll.ohRangeRetrieveError(J3)</f>
        <v/>
      </c>
      <c r="L3" s="57"/>
    </row>
    <row r="4" spans="1:12" x14ac:dyDescent="0.2">
      <c r="A4" s="136"/>
      <c r="B4" s="228" t="s">
        <v>140</v>
      </c>
      <c r="C4" s="120" t="s">
        <v>202</v>
      </c>
      <c r="D4" s="120" t="s">
        <v>135</v>
      </c>
      <c r="E4" s="120" t="s">
        <v>142</v>
      </c>
      <c r="F4" s="256" t="str">
        <f>Currency&amp;$C4&amp;E4&amp;$B4&amp;QuoteSuffix</f>
        <v>EURAB3E15M_Quote</v>
      </c>
      <c r="G4" s="120" t="s">
        <v>225</v>
      </c>
      <c r="H4" s="257" t="str">
        <f>Currency&amp;IF($G4="-",$D4&amp;E4,E4&amp;$D4)&amp;$B4&amp;QuoteSuffix</f>
        <v>EUR3E6E15M_Quote</v>
      </c>
      <c r="I4" s="256" t="str">
        <f>Currency&amp;$C4&amp;$D4&amp;"BASIS"&amp;$B4&amp;QuoteSuffix</f>
        <v>EURAB6EBASIS15M_Quote</v>
      </c>
      <c r="J4" s="256" t="str">
        <f>_xll.qlCompositeQuote(I4,F4,H4,G4,Permanent,Trigger,ObjectOverwrite)</f>
        <v>EURAB6EBASIS15M_Quote#0004</v>
      </c>
      <c r="K4" s="265" t="str">
        <f>_xll.ohRangeRetrieveError(J4)</f>
        <v/>
      </c>
      <c r="L4" s="57"/>
    </row>
    <row r="5" spans="1:12" x14ac:dyDescent="0.2">
      <c r="A5" s="136"/>
      <c r="B5" s="228" t="s">
        <v>139</v>
      </c>
      <c r="C5" s="120" t="s">
        <v>202</v>
      </c>
      <c r="D5" s="120" t="s">
        <v>135</v>
      </c>
      <c r="E5" s="120" t="s">
        <v>142</v>
      </c>
      <c r="F5" s="256" t="str">
        <f>Currency&amp;$C5&amp;E5&amp;$B5&amp;QuoteSuffix</f>
        <v>EURAB3E18M_Quote</v>
      </c>
      <c r="G5" s="120" t="s">
        <v>225</v>
      </c>
      <c r="H5" s="257" t="str">
        <f>Currency&amp;IF($G5="-",$D5&amp;E5,E5&amp;$D5)&amp;$B5&amp;QuoteSuffix</f>
        <v>EUR3E6E18M_Quote</v>
      </c>
      <c r="I5" s="256" t="str">
        <f>Currency&amp;$C5&amp;$D5&amp;"BASIS"&amp;$B5&amp;QuoteSuffix</f>
        <v>EURAB6EBASIS18M_Quote</v>
      </c>
      <c r="J5" s="256" t="str">
        <f>_xll.qlCompositeQuote(I5,F5,H5,G5,Permanent,Trigger,ObjectOverwrite)</f>
        <v>EURAB6EBASIS18M_Quote#0004</v>
      </c>
      <c r="K5" s="265" t="str">
        <f>_xll.ohRangeRetrieveError(J5)</f>
        <v/>
      </c>
      <c r="L5" s="57"/>
    </row>
    <row r="6" spans="1:12" x14ac:dyDescent="0.2">
      <c r="A6" s="136"/>
      <c r="B6" s="228" t="s">
        <v>138</v>
      </c>
      <c r="C6" s="120" t="s">
        <v>202</v>
      </c>
      <c r="D6" s="120" t="s">
        <v>135</v>
      </c>
      <c r="E6" s="120" t="s">
        <v>142</v>
      </c>
      <c r="F6" s="256" t="str">
        <f>Currency&amp;$C6&amp;E6&amp;$B6&amp;QuoteSuffix</f>
        <v>EURAB3E21M_Quote</v>
      </c>
      <c r="G6" s="120" t="s">
        <v>225</v>
      </c>
      <c r="H6" s="257" t="str">
        <f>Currency&amp;IF($G6="-",$D6&amp;E6,E6&amp;$D6)&amp;$B6&amp;QuoteSuffix</f>
        <v>EUR3E6E21M_Quote</v>
      </c>
      <c r="I6" s="256" t="str">
        <f>Currency&amp;$C6&amp;$D6&amp;"BASIS"&amp;$B6&amp;QuoteSuffix</f>
        <v>EURAB6EBASIS21M_Quote</v>
      </c>
      <c r="J6" s="256" t="str">
        <f>_xll.qlCompositeQuote(I6,F6,H6,G6,Permanent,Trigger,ObjectOverwrite)</f>
        <v>EURAB6EBASIS21M_Quote#0004</v>
      </c>
      <c r="K6" s="265" t="str">
        <f>_xll.ohRangeRetrieveError(J6)</f>
        <v/>
      </c>
      <c r="L6" s="57"/>
    </row>
    <row r="7" spans="1:12" x14ac:dyDescent="0.2">
      <c r="A7" s="136"/>
      <c r="B7" s="228" t="s">
        <v>115</v>
      </c>
      <c r="C7" s="120" t="s">
        <v>202</v>
      </c>
      <c r="D7" s="120" t="s">
        <v>135</v>
      </c>
      <c r="E7" s="120" t="s">
        <v>142</v>
      </c>
      <c r="F7" s="256" t="str">
        <f>Currency&amp;$C7&amp;E7&amp;$B7&amp;QuoteSuffix</f>
        <v>EURAB3E2Y_Quote</v>
      </c>
      <c r="G7" s="120" t="s">
        <v>225</v>
      </c>
      <c r="H7" s="257" t="str">
        <f>Currency&amp;IF($G7="-",$D7&amp;E7,E7&amp;$D7)&amp;$B7&amp;QuoteSuffix</f>
        <v>EUR3E6E2Y_Quote</v>
      </c>
      <c r="I7" s="256" t="str">
        <f>Currency&amp;$C7&amp;$D7&amp;"BASIS"&amp;$B7&amp;QuoteSuffix</f>
        <v>EURAB6EBASIS2Y_Quote</v>
      </c>
      <c r="J7" s="256" t="str">
        <f>_xll.qlCompositeQuote(I7,F7,H7,G7,Permanent,Trigger,ObjectOverwrite)</f>
        <v>EURAB6EBASIS2Y_Quote#0004</v>
      </c>
      <c r="K7" s="265" t="str">
        <f>_xll.ohRangeRetrieveError(J7)</f>
        <v/>
      </c>
      <c r="L7" s="57"/>
    </row>
    <row r="8" spans="1:12" x14ac:dyDescent="0.2">
      <c r="A8" s="136"/>
      <c r="B8" s="228" t="s">
        <v>114</v>
      </c>
      <c r="C8" s="120" t="s">
        <v>202</v>
      </c>
      <c r="D8" s="120" t="s">
        <v>135</v>
      </c>
      <c r="E8" s="120" t="s">
        <v>142</v>
      </c>
      <c r="F8" s="256" t="str">
        <f>Currency&amp;$C8&amp;E8&amp;$B8&amp;QuoteSuffix</f>
        <v>EURAB3E3Y_Quote</v>
      </c>
      <c r="G8" s="120" t="s">
        <v>225</v>
      </c>
      <c r="H8" s="257" t="str">
        <f>Currency&amp;IF($G8="-",$D8&amp;E8,E8&amp;$D8)&amp;$B8&amp;QuoteSuffix</f>
        <v>EUR3E6E3Y_Quote</v>
      </c>
      <c r="I8" s="256" t="str">
        <f>Currency&amp;$C8&amp;$D8&amp;"BASIS"&amp;$B8&amp;QuoteSuffix</f>
        <v>EURAB6EBASIS3Y_Quote</v>
      </c>
      <c r="J8" s="256" t="str">
        <f>_xll.qlCompositeQuote(I8,F8,H8,G8,Permanent,Trigger,ObjectOverwrite)</f>
        <v>EURAB6EBASIS3Y_Quote#0004</v>
      </c>
      <c r="K8" s="265" t="str">
        <f>_xll.ohRangeRetrieveError(J8)</f>
        <v/>
      </c>
      <c r="L8" s="57"/>
    </row>
    <row r="9" spans="1:12" x14ac:dyDescent="0.2">
      <c r="A9" s="136"/>
      <c r="B9" s="228" t="s">
        <v>113</v>
      </c>
      <c r="C9" s="120" t="s">
        <v>202</v>
      </c>
      <c r="D9" s="120" t="s">
        <v>135</v>
      </c>
      <c r="E9" s="120" t="s">
        <v>142</v>
      </c>
      <c r="F9" s="256" t="str">
        <f>Currency&amp;$C9&amp;E9&amp;$B9&amp;QuoteSuffix</f>
        <v>EURAB3E4Y_Quote</v>
      </c>
      <c r="G9" s="120" t="s">
        <v>225</v>
      </c>
      <c r="H9" s="257" t="str">
        <f>Currency&amp;IF($G9="-",$D9&amp;E9,E9&amp;$D9)&amp;$B9&amp;QuoteSuffix</f>
        <v>EUR3E6E4Y_Quote</v>
      </c>
      <c r="I9" s="256" t="str">
        <f>Currency&amp;$C9&amp;$D9&amp;"BASIS"&amp;$B9&amp;QuoteSuffix</f>
        <v>EURAB6EBASIS4Y_Quote</v>
      </c>
      <c r="J9" s="256" t="str">
        <f>_xll.qlCompositeQuote(I9,F9,H9,G9,Permanent,Trigger,ObjectOverwrite)</f>
        <v>EURAB6EBASIS4Y_Quote#0004</v>
      </c>
      <c r="K9" s="265" t="str">
        <f>_xll.ohRangeRetrieveError(J9)</f>
        <v/>
      </c>
      <c r="L9" s="57"/>
    </row>
    <row r="10" spans="1:12" x14ac:dyDescent="0.2">
      <c r="A10" s="136"/>
      <c r="B10" s="228" t="s">
        <v>112</v>
      </c>
      <c r="C10" s="120" t="s">
        <v>202</v>
      </c>
      <c r="D10" s="120" t="s">
        <v>135</v>
      </c>
      <c r="E10" s="120" t="s">
        <v>142</v>
      </c>
      <c r="F10" s="256" t="str">
        <f>Currency&amp;$C10&amp;E10&amp;$B10&amp;QuoteSuffix</f>
        <v>EURAB3E5Y_Quote</v>
      </c>
      <c r="G10" s="120" t="s">
        <v>225</v>
      </c>
      <c r="H10" s="257" t="str">
        <f>Currency&amp;IF($G10="-",$D10&amp;E10,E10&amp;$D10)&amp;$B10&amp;QuoteSuffix</f>
        <v>EUR3E6E5Y_Quote</v>
      </c>
      <c r="I10" s="256" t="str">
        <f>Currency&amp;$C10&amp;$D10&amp;"BASIS"&amp;$B10&amp;QuoteSuffix</f>
        <v>EURAB6EBASIS5Y_Quote</v>
      </c>
      <c r="J10" s="256" t="str">
        <f>_xll.qlCompositeQuote(I10,F10,H10,G10,Permanent,Trigger,ObjectOverwrite)</f>
        <v>EURAB6EBASIS5Y_Quote#0004</v>
      </c>
      <c r="K10" s="265" t="str">
        <f>_xll.ohRangeRetrieveError(J10)</f>
        <v/>
      </c>
      <c r="L10" s="57"/>
    </row>
    <row r="11" spans="1:12" x14ac:dyDescent="0.2">
      <c r="A11" s="136"/>
      <c r="B11" s="228" t="s">
        <v>111</v>
      </c>
      <c r="C11" s="120" t="s">
        <v>202</v>
      </c>
      <c r="D11" s="120" t="s">
        <v>135</v>
      </c>
      <c r="E11" s="120" t="s">
        <v>142</v>
      </c>
      <c r="F11" s="256" t="str">
        <f>Currency&amp;$C11&amp;E11&amp;$B11&amp;QuoteSuffix</f>
        <v>EURAB3E6Y_Quote</v>
      </c>
      <c r="G11" s="120" t="s">
        <v>225</v>
      </c>
      <c r="H11" s="257" t="str">
        <f>Currency&amp;IF($G11="-",$D11&amp;E11,E11&amp;$D11)&amp;$B11&amp;QuoteSuffix</f>
        <v>EUR3E6E6Y_Quote</v>
      </c>
      <c r="I11" s="256" t="str">
        <f>Currency&amp;$C11&amp;$D11&amp;"BASIS"&amp;$B11&amp;QuoteSuffix</f>
        <v>EURAB6EBASIS6Y_Quote</v>
      </c>
      <c r="J11" s="256" t="str">
        <f>_xll.qlCompositeQuote(I11,F11,H11,G11,Permanent,Trigger,ObjectOverwrite)</f>
        <v>EURAB6EBASIS6Y_Quote#0004</v>
      </c>
      <c r="K11" s="265" t="str">
        <f>_xll.ohRangeRetrieveError(J11)</f>
        <v/>
      </c>
      <c r="L11" s="57"/>
    </row>
    <row r="12" spans="1:12" x14ac:dyDescent="0.2">
      <c r="A12" s="136"/>
      <c r="B12" s="228" t="s">
        <v>110</v>
      </c>
      <c r="C12" s="120" t="s">
        <v>202</v>
      </c>
      <c r="D12" s="120" t="s">
        <v>135</v>
      </c>
      <c r="E12" s="120" t="s">
        <v>142</v>
      </c>
      <c r="F12" s="256" t="str">
        <f>Currency&amp;$C12&amp;E12&amp;$B12&amp;QuoteSuffix</f>
        <v>EURAB3E7Y_Quote</v>
      </c>
      <c r="G12" s="120" t="s">
        <v>225</v>
      </c>
      <c r="H12" s="257" t="str">
        <f>Currency&amp;IF($G12="-",$D12&amp;E12,E12&amp;$D12)&amp;$B12&amp;QuoteSuffix</f>
        <v>EUR3E6E7Y_Quote</v>
      </c>
      <c r="I12" s="256" t="str">
        <f>Currency&amp;$C12&amp;$D12&amp;"BASIS"&amp;$B12&amp;QuoteSuffix</f>
        <v>EURAB6EBASIS7Y_Quote</v>
      </c>
      <c r="J12" s="256" t="str">
        <f>_xll.qlCompositeQuote(I12,F12,H12,G12,Permanent,Trigger,ObjectOverwrite)</f>
        <v>EURAB6EBASIS7Y_Quote#0004</v>
      </c>
      <c r="K12" s="265" t="str">
        <f>_xll.ohRangeRetrieveError(J12)</f>
        <v/>
      </c>
      <c r="L12" s="57"/>
    </row>
    <row r="13" spans="1:12" x14ac:dyDescent="0.2">
      <c r="A13" s="136"/>
      <c r="B13" s="228" t="s">
        <v>109</v>
      </c>
      <c r="C13" s="120" t="s">
        <v>202</v>
      </c>
      <c r="D13" s="120" t="s">
        <v>135</v>
      </c>
      <c r="E13" s="120" t="s">
        <v>142</v>
      </c>
      <c r="F13" s="256" t="str">
        <f>Currency&amp;$C13&amp;E13&amp;$B13&amp;QuoteSuffix</f>
        <v>EURAB3E8Y_Quote</v>
      </c>
      <c r="G13" s="120" t="s">
        <v>225</v>
      </c>
      <c r="H13" s="257" t="str">
        <f>Currency&amp;IF($G13="-",$D13&amp;E13,E13&amp;$D13)&amp;$B13&amp;QuoteSuffix</f>
        <v>EUR3E6E8Y_Quote</v>
      </c>
      <c r="I13" s="256" t="str">
        <f>Currency&amp;$C13&amp;$D13&amp;"BASIS"&amp;$B13&amp;QuoteSuffix</f>
        <v>EURAB6EBASIS8Y_Quote</v>
      </c>
      <c r="J13" s="256" t="str">
        <f>_xll.qlCompositeQuote(I13,F13,H13,G13,Permanent,Trigger,ObjectOverwrite)</f>
        <v>EURAB6EBASIS8Y_Quote#0004</v>
      </c>
      <c r="K13" s="265" t="str">
        <f>_xll.ohRangeRetrieveError(J13)</f>
        <v/>
      </c>
      <c r="L13" s="57"/>
    </row>
    <row r="14" spans="1:12" x14ac:dyDescent="0.2">
      <c r="A14" s="136"/>
      <c r="B14" s="228" t="s">
        <v>108</v>
      </c>
      <c r="C14" s="120" t="s">
        <v>202</v>
      </c>
      <c r="D14" s="120" t="s">
        <v>135</v>
      </c>
      <c r="E14" s="120" t="s">
        <v>142</v>
      </c>
      <c r="F14" s="256" t="str">
        <f>Currency&amp;$C14&amp;E14&amp;$B14&amp;QuoteSuffix</f>
        <v>EURAB3E9Y_Quote</v>
      </c>
      <c r="G14" s="120" t="s">
        <v>225</v>
      </c>
      <c r="H14" s="257" t="str">
        <f>Currency&amp;IF($G14="-",$D14&amp;E14,E14&amp;$D14)&amp;$B14&amp;QuoteSuffix</f>
        <v>EUR3E6E9Y_Quote</v>
      </c>
      <c r="I14" s="256" t="str">
        <f>Currency&amp;$C14&amp;$D14&amp;"BASIS"&amp;$B14&amp;QuoteSuffix</f>
        <v>EURAB6EBASIS9Y_Quote</v>
      </c>
      <c r="J14" s="256" t="str">
        <f>_xll.qlCompositeQuote(I14,F14,H14,G14,Permanent,Trigger,ObjectOverwrite)</f>
        <v>EURAB6EBASIS9Y_Quote#0004</v>
      </c>
      <c r="K14" s="265" t="str">
        <f>_xll.ohRangeRetrieveError(J14)</f>
        <v/>
      </c>
      <c r="L14" s="57"/>
    </row>
    <row r="15" spans="1:12" x14ac:dyDescent="0.2">
      <c r="A15" s="136"/>
      <c r="B15" s="228" t="s">
        <v>107</v>
      </c>
      <c r="C15" s="120" t="s">
        <v>202</v>
      </c>
      <c r="D15" s="120" t="s">
        <v>135</v>
      </c>
      <c r="E15" s="120" t="s">
        <v>142</v>
      </c>
      <c r="F15" s="256" t="str">
        <f>Currency&amp;$C15&amp;E15&amp;$B15&amp;QuoteSuffix</f>
        <v>EURAB3E10Y_Quote</v>
      </c>
      <c r="G15" s="120" t="s">
        <v>225</v>
      </c>
      <c r="H15" s="257" t="str">
        <f>Currency&amp;IF($G15="-",$D15&amp;E15,E15&amp;$D15)&amp;$B15&amp;QuoteSuffix</f>
        <v>EUR3E6E10Y_Quote</v>
      </c>
      <c r="I15" s="256" t="str">
        <f>Currency&amp;$C15&amp;$D15&amp;"BASIS"&amp;$B15&amp;QuoteSuffix</f>
        <v>EURAB6EBASIS10Y_Quote</v>
      </c>
      <c r="J15" s="256" t="str">
        <f>_xll.qlCompositeQuote(I15,F15,H15,G15,Permanent,Trigger,ObjectOverwrite)</f>
        <v>EURAB6EBASIS10Y_Quote#0004</v>
      </c>
      <c r="K15" s="265" t="str">
        <f>_xll.ohRangeRetrieveError(J15)</f>
        <v/>
      </c>
      <c r="L15" s="57"/>
    </row>
    <row r="16" spans="1:12" x14ac:dyDescent="0.2">
      <c r="A16" s="136"/>
      <c r="B16" s="228" t="s">
        <v>106</v>
      </c>
      <c r="C16" s="120" t="s">
        <v>202</v>
      </c>
      <c r="D16" s="120" t="s">
        <v>135</v>
      </c>
      <c r="E16" s="120" t="s">
        <v>142</v>
      </c>
      <c r="F16" s="256" t="str">
        <f>Currency&amp;$C16&amp;E16&amp;$B16&amp;QuoteSuffix</f>
        <v>EURAB3E11Y_Quote</v>
      </c>
      <c r="G16" s="120" t="s">
        <v>225</v>
      </c>
      <c r="H16" s="257" t="str">
        <f>Currency&amp;IF($G16="-",$D16&amp;E16,E16&amp;$D16)&amp;$B16&amp;QuoteSuffix</f>
        <v>EUR3E6E11Y_Quote</v>
      </c>
      <c r="I16" s="256" t="str">
        <f>Currency&amp;$C16&amp;$D16&amp;"BASIS"&amp;$B16&amp;QuoteSuffix</f>
        <v>EURAB6EBASIS11Y_Quote</v>
      </c>
      <c r="J16" s="256" t="str">
        <f>_xll.qlCompositeQuote(I16,F16,H16,G16,Permanent,Trigger,ObjectOverwrite)</f>
        <v>EURAB6EBASIS11Y_Quote#0004</v>
      </c>
      <c r="K16" s="265" t="str">
        <f>_xll.ohRangeRetrieveError(J16)</f>
        <v/>
      </c>
      <c r="L16" s="57"/>
    </row>
    <row r="17" spans="1:12" x14ac:dyDescent="0.2">
      <c r="A17" s="136"/>
      <c r="B17" s="228" t="s">
        <v>105</v>
      </c>
      <c r="C17" s="120" t="s">
        <v>202</v>
      </c>
      <c r="D17" s="120" t="s">
        <v>135</v>
      </c>
      <c r="E17" s="120" t="s">
        <v>142</v>
      </c>
      <c r="F17" s="256" t="str">
        <f>Currency&amp;$C17&amp;E17&amp;$B17&amp;QuoteSuffix</f>
        <v>EURAB3E12Y_Quote</v>
      </c>
      <c r="G17" s="120" t="s">
        <v>225</v>
      </c>
      <c r="H17" s="257" t="str">
        <f>Currency&amp;IF($G17="-",$D17&amp;E17,E17&amp;$D17)&amp;$B17&amp;QuoteSuffix</f>
        <v>EUR3E6E12Y_Quote</v>
      </c>
      <c r="I17" s="256" t="str">
        <f>Currency&amp;$C17&amp;$D17&amp;"BASIS"&amp;$B17&amp;QuoteSuffix</f>
        <v>EURAB6EBASIS12Y_Quote</v>
      </c>
      <c r="J17" s="256" t="str">
        <f>_xll.qlCompositeQuote(I17,F17,H17,G17,Permanent,Trigger,ObjectOverwrite)</f>
        <v>EURAB6EBASIS12Y_Quote#0004</v>
      </c>
      <c r="K17" s="265" t="str">
        <f>_xll.ohRangeRetrieveError(J17)</f>
        <v/>
      </c>
      <c r="L17" s="57"/>
    </row>
    <row r="18" spans="1:12" x14ac:dyDescent="0.2">
      <c r="A18" s="136"/>
      <c r="B18" s="228" t="s">
        <v>104</v>
      </c>
      <c r="C18" s="120" t="s">
        <v>202</v>
      </c>
      <c r="D18" s="120" t="s">
        <v>135</v>
      </c>
      <c r="E18" s="120" t="s">
        <v>142</v>
      </c>
      <c r="F18" s="256" t="str">
        <f>Currency&amp;$C18&amp;E18&amp;$B18&amp;QuoteSuffix</f>
        <v>EURAB3E13Y_Quote</v>
      </c>
      <c r="G18" s="120" t="s">
        <v>225</v>
      </c>
      <c r="H18" s="257" t="str">
        <f>Currency&amp;IF($G18="-",$D18&amp;E18,E18&amp;$D18)&amp;$B18&amp;QuoteSuffix</f>
        <v>EUR3E6E13Y_Quote</v>
      </c>
      <c r="I18" s="256" t="str">
        <f>Currency&amp;$C18&amp;$D18&amp;"BASIS"&amp;$B18&amp;QuoteSuffix</f>
        <v>EURAB6EBASIS13Y_Quote</v>
      </c>
      <c r="J18" s="256" t="str">
        <f>_xll.qlCompositeQuote(I18,F18,H18,G18,Permanent,Trigger,ObjectOverwrite)</f>
        <v>EURAB6EBASIS13Y_Quote#0004</v>
      </c>
      <c r="K18" s="265" t="str">
        <f>_xll.ohRangeRetrieveError(J18)</f>
        <v/>
      </c>
      <c r="L18" s="57"/>
    </row>
    <row r="19" spans="1:12" x14ac:dyDescent="0.2">
      <c r="A19" s="136"/>
      <c r="B19" s="228" t="s">
        <v>103</v>
      </c>
      <c r="C19" s="120" t="s">
        <v>202</v>
      </c>
      <c r="D19" s="120" t="s">
        <v>135</v>
      </c>
      <c r="E19" s="120" t="s">
        <v>142</v>
      </c>
      <c r="F19" s="256" t="str">
        <f>Currency&amp;$C19&amp;E19&amp;$B19&amp;QuoteSuffix</f>
        <v>EURAB3E14Y_Quote</v>
      </c>
      <c r="G19" s="120" t="s">
        <v>225</v>
      </c>
      <c r="H19" s="257" t="str">
        <f>Currency&amp;IF($G19="-",$D19&amp;E19,E19&amp;$D19)&amp;$B19&amp;QuoteSuffix</f>
        <v>EUR3E6E14Y_Quote</v>
      </c>
      <c r="I19" s="256" t="str">
        <f>Currency&amp;$C19&amp;$D19&amp;"BASIS"&amp;$B19&amp;QuoteSuffix</f>
        <v>EURAB6EBASIS14Y_Quote</v>
      </c>
      <c r="J19" s="256" t="str">
        <f>_xll.qlCompositeQuote(I19,F19,H19,G19,Permanent,Trigger,ObjectOverwrite)</f>
        <v>EURAB6EBASIS14Y_Quote#0004</v>
      </c>
      <c r="K19" s="265" t="str">
        <f>_xll.ohRangeRetrieveError(J19)</f>
        <v/>
      </c>
      <c r="L19" s="57"/>
    </row>
    <row r="20" spans="1:12" x14ac:dyDescent="0.2">
      <c r="A20" s="136"/>
      <c r="B20" s="228" t="s">
        <v>102</v>
      </c>
      <c r="C20" s="120" t="s">
        <v>202</v>
      </c>
      <c r="D20" s="120" t="s">
        <v>135</v>
      </c>
      <c r="E20" s="120" t="s">
        <v>142</v>
      </c>
      <c r="F20" s="256" t="str">
        <f>Currency&amp;$C20&amp;E20&amp;$B20&amp;QuoteSuffix</f>
        <v>EURAB3E15Y_Quote</v>
      </c>
      <c r="G20" s="120" t="s">
        <v>225</v>
      </c>
      <c r="H20" s="257" t="str">
        <f>Currency&amp;IF($G20="-",$D20&amp;E20,E20&amp;$D20)&amp;$B20&amp;QuoteSuffix</f>
        <v>EUR3E6E15Y_Quote</v>
      </c>
      <c r="I20" s="256" t="str">
        <f>Currency&amp;$C20&amp;$D20&amp;"BASIS"&amp;$B20&amp;QuoteSuffix</f>
        <v>EURAB6EBASIS15Y_Quote</v>
      </c>
      <c r="J20" s="256" t="str">
        <f>_xll.qlCompositeQuote(I20,F20,H20,G20,Permanent,Trigger,ObjectOverwrite)</f>
        <v>EURAB6EBASIS15Y_Quote#0004</v>
      </c>
      <c r="K20" s="265" t="str">
        <f>_xll.ohRangeRetrieveError(J20)</f>
        <v/>
      </c>
      <c r="L20" s="57"/>
    </row>
    <row r="21" spans="1:12" x14ac:dyDescent="0.2">
      <c r="A21" s="136"/>
      <c r="B21" s="228" t="s">
        <v>101</v>
      </c>
      <c r="C21" s="120" t="s">
        <v>202</v>
      </c>
      <c r="D21" s="120" t="s">
        <v>135</v>
      </c>
      <c r="E21" s="120" t="s">
        <v>142</v>
      </c>
      <c r="F21" s="256" t="str">
        <f>Currency&amp;$C21&amp;E21&amp;$B21&amp;QuoteSuffix</f>
        <v>EURAB3E16Y_Quote</v>
      </c>
      <c r="G21" s="120" t="s">
        <v>225</v>
      </c>
      <c r="H21" s="257" t="str">
        <f>Currency&amp;IF($G21="-",$D21&amp;E21,E21&amp;$D21)&amp;$B21&amp;QuoteSuffix</f>
        <v>EUR3E6E16Y_Quote</v>
      </c>
      <c r="I21" s="256" t="str">
        <f>Currency&amp;$C21&amp;$D21&amp;"BASIS"&amp;$B21&amp;QuoteSuffix</f>
        <v>EURAB6EBASIS16Y_Quote</v>
      </c>
      <c r="J21" s="256" t="str">
        <f>_xll.qlCompositeQuote(I21,F21,H21,G21,Permanent,Trigger,ObjectOverwrite)</f>
        <v>EURAB6EBASIS16Y_Quote#0004</v>
      </c>
      <c r="K21" s="265" t="str">
        <f>_xll.ohRangeRetrieveError(J21)</f>
        <v/>
      </c>
      <c r="L21" s="57"/>
    </row>
    <row r="22" spans="1:12" x14ac:dyDescent="0.2">
      <c r="A22" s="136"/>
      <c r="B22" s="228" t="s">
        <v>100</v>
      </c>
      <c r="C22" s="120" t="s">
        <v>202</v>
      </c>
      <c r="D22" s="120" t="s">
        <v>135</v>
      </c>
      <c r="E22" s="120" t="s">
        <v>142</v>
      </c>
      <c r="F22" s="256" t="str">
        <f>Currency&amp;$C22&amp;E22&amp;$B22&amp;QuoteSuffix</f>
        <v>EURAB3E17Y_Quote</v>
      </c>
      <c r="G22" s="120" t="s">
        <v>225</v>
      </c>
      <c r="H22" s="257" t="str">
        <f>Currency&amp;IF($G22="-",$D22&amp;E22,E22&amp;$D22)&amp;$B22&amp;QuoteSuffix</f>
        <v>EUR3E6E17Y_Quote</v>
      </c>
      <c r="I22" s="256" t="str">
        <f>Currency&amp;$C22&amp;$D22&amp;"BASIS"&amp;$B22&amp;QuoteSuffix</f>
        <v>EURAB6EBASIS17Y_Quote</v>
      </c>
      <c r="J22" s="256" t="str">
        <f>_xll.qlCompositeQuote(I22,F22,H22,G22,Permanent,Trigger,ObjectOverwrite)</f>
        <v>EURAB6EBASIS17Y_Quote#0004</v>
      </c>
      <c r="K22" s="265" t="str">
        <f>_xll.ohRangeRetrieveError(J22)</f>
        <v/>
      </c>
      <c r="L22" s="57"/>
    </row>
    <row r="23" spans="1:12" x14ac:dyDescent="0.2">
      <c r="A23" s="136"/>
      <c r="B23" s="228" t="s">
        <v>99</v>
      </c>
      <c r="C23" s="120" t="s">
        <v>202</v>
      </c>
      <c r="D23" s="120" t="s">
        <v>135</v>
      </c>
      <c r="E23" s="120" t="s">
        <v>142</v>
      </c>
      <c r="F23" s="256" t="str">
        <f>Currency&amp;$C23&amp;E23&amp;$B23&amp;QuoteSuffix</f>
        <v>EURAB3E18Y_Quote</v>
      </c>
      <c r="G23" s="120" t="s">
        <v>225</v>
      </c>
      <c r="H23" s="257" t="str">
        <f>Currency&amp;IF($G23="-",$D23&amp;E23,E23&amp;$D23)&amp;$B23&amp;QuoteSuffix</f>
        <v>EUR3E6E18Y_Quote</v>
      </c>
      <c r="I23" s="256" t="str">
        <f>Currency&amp;$C23&amp;$D23&amp;"BASIS"&amp;$B23&amp;QuoteSuffix</f>
        <v>EURAB6EBASIS18Y_Quote</v>
      </c>
      <c r="J23" s="256" t="str">
        <f>_xll.qlCompositeQuote(I23,F23,H23,G23,Permanent,Trigger,ObjectOverwrite)</f>
        <v>EURAB6EBASIS18Y_Quote#0004</v>
      </c>
      <c r="K23" s="265" t="str">
        <f>_xll.ohRangeRetrieveError(J23)</f>
        <v/>
      </c>
      <c r="L23" s="57"/>
    </row>
    <row r="24" spans="1:12" x14ac:dyDescent="0.2">
      <c r="A24" s="136"/>
      <c r="B24" s="228" t="s">
        <v>98</v>
      </c>
      <c r="C24" s="120" t="s">
        <v>202</v>
      </c>
      <c r="D24" s="120" t="s">
        <v>135</v>
      </c>
      <c r="E24" s="120" t="s">
        <v>142</v>
      </c>
      <c r="F24" s="256" t="str">
        <f>Currency&amp;$C24&amp;E24&amp;$B24&amp;QuoteSuffix</f>
        <v>EURAB3E19Y_Quote</v>
      </c>
      <c r="G24" s="120" t="s">
        <v>225</v>
      </c>
      <c r="H24" s="257" t="str">
        <f>Currency&amp;IF($G24="-",$D24&amp;E24,E24&amp;$D24)&amp;$B24&amp;QuoteSuffix</f>
        <v>EUR3E6E19Y_Quote</v>
      </c>
      <c r="I24" s="256" t="str">
        <f>Currency&amp;$C24&amp;$D24&amp;"BASIS"&amp;$B24&amp;QuoteSuffix</f>
        <v>EURAB6EBASIS19Y_Quote</v>
      </c>
      <c r="J24" s="256" t="str">
        <f>_xll.qlCompositeQuote(I24,F24,H24,G24,Permanent,Trigger,ObjectOverwrite)</f>
        <v>EURAB6EBASIS19Y_Quote#0004</v>
      </c>
      <c r="K24" s="265" t="str">
        <f>_xll.ohRangeRetrieveError(J24)</f>
        <v/>
      </c>
      <c r="L24" s="57"/>
    </row>
    <row r="25" spans="1:12" x14ac:dyDescent="0.2">
      <c r="A25" s="136"/>
      <c r="B25" s="228" t="s">
        <v>97</v>
      </c>
      <c r="C25" s="120" t="s">
        <v>202</v>
      </c>
      <c r="D25" s="120" t="s">
        <v>135</v>
      </c>
      <c r="E25" s="120" t="s">
        <v>142</v>
      </c>
      <c r="F25" s="256" t="str">
        <f>Currency&amp;$C25&amp;E25&amp;$B25&amp;QuoteSuffix</f>
        <v>EURAB3E20Y_Quote</v>
      </c>
      <c r="G25" s="120" t="s">
        <v>225</v>
      </c>
      <c r="H25" s="257" t="str">
        <f>Currency&amp;IF($G25="-",$D25&amp;E25,E25&amp;$D25)&amp;$B25&amp;QuoteSuffix</f>
        <v>EUR3E6E20Y_Quote</v>
      </c>
      <c r="I25" s="256" t="str">
        <f>Currency&amp;$C25&amp;$D25&amp;"BASIS"&amp;$B25&amp;QuoteSuffix</f>
        <v>EURAB6EBASIS20Y_Quote</v>
      </c>
      <c r="J25" s="256" t="str">
        <f>_xll.qlCompositeQuote(I25,F25,H25,G25,Permanent,Trigger,ObjectOverwrite)</f>
        <v>EURAB6EBASIS20Y_Quote#0004</v>
      </c>
      <c r="K25" s="265" t="str">
        <f>_xll.ohRangeRetrieveError(J25)</f>
        <v/>
      </c>
      <c r="L25" s="57"/>
    </row>
    <row r="26" spans="1:12" x14ac:dyDescent="0.2">
      <c r="A26" s="136"/>
      <c r="B26" s="228" t="s">
        <v>96</v>
      </c>
      <c r="C26" s="120" t="s">
        <v>202</v>
      </c>
      <c r="D26" s="120" t="s">
        <v>135</v>
      </c>
      <c r="E26" s="120" t="s">
        <v>142</v>
      </c>
      <c r="F26" s="256" t="str">
        <f>Currency&amp;$C26&amp;E26&amp;$B26&amp;QuoteSuffix</f>
        <v>EURAB3E21Y_Quote</v>
      </c>
      <c r="G26" s="120" t="s">
        <v>225</v>
      </c>
      <c r="H26" s="257" t="str">
        <f>Currency&amp;IF($G26="-",$D26&amp;E26,E26&amp;$D26)&amp;$B26&amp;QuoteSuffix</f>
        <v>EUR3E6E21Y_Quote</v>
      </c>
      <c r="I26" s="256" t="str">
        <f>Currency&amp;$C26&amp;$D26&amp;"BASIS"&amp;$B26&amp;QuoteSuffix</f>
        <v>EURAB6EBASIS21Y_Quote</v>
      </c>
      <c r="J26" s="256" t="str">
        <f>_xll.qlCompositeQuote(I26,F26,H26,G26,Permanent,Trigger,ObjectOverwrite)</f>
        <v>EURAB6EBASIS21Y_Quote#0004</v>
      </c>
      <c r="K26" s="265" t="str">
        <f>_xll.ohRangeRetrieveError(J26)</f>
        <v/>
      </c>
      <c r="L26" s="57"/>
    </row>
    <row r="27" spans="1:12" x14ac:dyDescent="0.2">
      <c r="A27" s="136"/>
      <c r="B27" s="228" t="s">
        <v>95</v>
      </c>
      <c r="C27" s="120" t="s">
        <v>202</v>
      </c>
      <c r="D27" s="120" t="s">
        <v>135</v>
      </c>
      <c r="E27" s="120" t="s">
        <v>142</v>
      </c>
      <c r="F27" s="256" t="str">
        <f>Currency&amp;$C27&amp;E27&amp;$B27&amp;QuoteSuffix</f>
        <v>EURAB3E22Y_Quote</v>
      </c>
      <c r="G27" s="120" t="s">
        <v>225</v>
      </c>
      <c r="H27" s="257" t="str">
        <f>Currency&amp;IF($G27="-",$D27&amp;E27,E27&amp;$D27)&amp;$B27&amp;QuoteSuffix</f>
        <v>EUR3E6E22Y_Quote</v>
      </c>
      <c r="I27" s="256" t="str">
        <f>Currency&amp;$C27&amp;$D27&amp;"BASIS"&amp;$B27&amp;QuoteSuffix</f>
        <v>EURAB6EBASIS22Y_Quote</v>
      </c>
      <c r="J27" s="256" t="str">
        <f>_xll.qlCompositeQuote(I27,F27,H27,G27,Permanent,Trigger,ObjectOverwrite)</f>
        <v>EURAB6EBASIS22Y_Quote#0004</v>
      </c>
      <c r="K27" s="265" t="str">
        <f>_xll.ohRangeRetrieveError(J27)</f>
        <v/>
      </c>
      <c r="L27" s="57"/>
    </row>
    <row r="28" spans="1:12" x14ac:dyDescent="0.2">
      <c r="A28" s="136"/>
      <c r="B28" s="228" t="s">
        <v>94</v>
      </c>
      <c r="C28" s="120" t="s">
        <v>202</v>
      </c>
      <c r="D28" s="120" t="s">
        <v>135</v>
      </c>
      <c r="E28" s="120" t="s">
        <v>142</v>
      </c>
      <c r="F28" s="256" t="str">
        <f>Currency&amp;$C28&amp;E28&amp;$B28&amp;QuoteSuffix</f>
        <v>EURAB3E23Y_Quote</v>
      </c>
      <c r="G28" s="120" t="s">
        <v>225</v>
      </c>
      <c r="H28" s="257" t="str">
        <f>Currency&amp;IF($G28="-",$D28&amp;E28,E28&amp;$D28)&amp;$B28&amp;QuoteSuffix</f>
        <v>EUR3E6E23Y_Quote</v>
      </c>
      <c r="I28" s="256" t="str">
        <f>Currency&amp;$C28&amp;$D28&amp;"BASIS"&amp;$B28&amp;QuoteSuffix</f>
        <v>EURAB6EBASIS23Y_Quote</v>
      </c>
      <c r="J28" s="256" t="str">
        <f>_xll.qlCompositeQuote(I28,F28,H28,G28,Permanent,Trigger,ObjectOverwrite)</f>
        <v>EURAB6EBASIS23Y_Quote#0004</v>
      </c>
      <c r="K28" s="265" t="str">
        <f>_xll.ohRangeRetrieveError(J28)</f>
        <v/>
      </c>
      <c r="L28" s="57"/>
    </row>
    <row r="29" spans="1:12" x14ac:dyDescent="0.2">
      <c r="A29" s="136"/>
      <c r="B29" s="228" t="s">
        <v>93</v>
      </c>
      <c r="C29" s="120" t="s">
        <v>202</v>
      </c>
      <c r="D29" s="120" t="s">
        <v>135</v>
      </c>
      <c r="E29" s="120" t="s">
        <v>142</v>
      </c>
      <c r="F29" s="256" t="str">
        <f>Currency&amp;$C29&amp;E29&amp;$B29&amp;QuoteSuffix</f>
        <v>EURAB3E24Y_Quote</v>
      </c>
      <c r="G29" s="120" t="s">
        <v>225</v>
      </c>
      <c r="H29" s="257" t="str">
        <f>Currency&amp;IF($G29="-",$D29&amp;E29,E29&amp;$D29)&amp;$B29&amp;QuoteSuffix</f>
        <v>EUR3E6E24Y_Quote</v>
      </c>
      <c r="I29" s="256" t="str">
        <f>Currency&amp;$C29&amp;$D29&amp;"BASIS"&amp;$B29&amp;QuoteSuffix</f>
        <v>EURAB6EBASIS24Y_Quote</v>
      </c>
      <c r="J29" s="256" t="str">
        <f>_xll.qlCompositeQuote(I29,F29,H29,G29,Permanent,Trigger,ObjectOverwrite)</f>
        <v>EURAB6EBASIS24Y_Quote#0004</v>
      </c>
      <c r="K29" s="265" t="str">
        <f>_xll.ohRangeRetrieveError(J29)</f>
        <v/>
      </c>
      <c r="L29" s="57"/>
    </row>
    <row r="30" spans="1:12" x14ac:dyDescent="0.2">
      <c r="A30" s="136"/>
      <c r="B30" s="228" t="s">
        <v>92</v>
      </c>
      <c r="C30" s="120" t="s">
        <v>202</v>
      </c>
      <c r="D30" s="120" t="s">
        <v>135</v>
      </c>
      <c r="E30" s="120" t="s">
        <v>142</v>
      </c>
      <c r="F30" s="256" t="str">
        <f>Currency&amp;$C30&amp;E30&amp;$B30&amp;QuoteSuffix</f>
        <v>EURAB3E25Y_Quote</v>
      </c>
      <c r="G30" s="120" t="s">
        <v>225</v>
      </c>
      <c r="H30" s="257" t="str">
        <f>Currency&amp;IF($G30="-",$D30&amp;E30,E30&amp;$D30)&amp;$B30&amp;QuoteSuffix</f>
        <v>EUR3E6E25Y_Quote</v>
      </c>
      <c r="I30" s="256" t="str">
        <f>Currency&amp;$C30&amp;$D30&amp;"BASIS"&amp;$B30&amp;QuoteSuffix</f>
        <v>EURAB6EBASIS25Y_Quote</v>
      </c>
      <c r="J30" s="256" t="str">
        <f>_xll.qlCompositeQuote(I30,F30,H30,G30,Permanent,Trigger,ObjectOverwrite)</f>
        <v>EURAB6EBASIS25Y_Quote#0004</v>
      </c>
      <c r="K30" s="265" t="str">
        <f>_xll.ohRangeRetrieveError(J30)</f>
        <v/>
      </c>
      <c r="L30" s="57"/>
    </row>
    <row r="31" spans="1:12" x14ac:dyDescent="0.2">
      <c r="A31" s="136"/>
      <c r="B31" s="228" t="s">
        <v>91</v>
      </c>
      <c r="C31" s="120" t="s">
        <v>202</v>
      </c>
      <c r="D31" s="120" t="s">
        <v>135</v>
      </c>
      <c r="E31" s="120" t="s">
        <v>142</v>
      </c>
      <c r="F31" s="256" t="str">
        <f>Currency&amp;$C31&amp;E31&amp;$B31&amp;QuoteSuffix</f>
        <v>EURAB3E26Y_Quote</v>
      </c>
      <c r="G31" s="120" t="s">
        <v>225</v>
      </c>
      <c r="H31" s="257" t="str">
        <f>Currency&amp;IF($G31="-",$D31&amp;E31,E31&amp;$D31)&amp;$B31&amp;QuoteSuffix</f>
        <v>EUR3E6E26Y_Quote</v>
      </c>
      <c r="I31" s="256" t="str">
        <f>Currency&amp;$C31&amp;$D31&amp;"BASIS"&amp;$B31&amp;QuoteSuffix</f>
        <v>EURAB6EBASIS26Y_Quote</v>
      </c>
      <c r="J31" s="256" t="str">
        <f>_xll.qlCompositeQuote(I31,F31,H31,G31,Permanent,Trigger,ObjectOverwrite)</f>
        <v>EURAB6EBASIS26Y_Quote#0004</v>
      </c>
      <c r="K31" s="265" t="str">
        <f>_xll.ohRangeRetrieveError(J31)</f>
        <v/>
      </c>
      <c r="L31" s="57"/>
    </row>
    <row r="32" spans="1:12" x14ac:dyDescent="0.2">
      <c r="A32" s="136"/>
      <c r="B32" s="228" t="s">
        <v>90</v>
      </c>
      <c r="C32" s="120" t="s">
        <v>202</v>
      </c>
      <c r="D32" s="120" t="s">
        <v>135</v>
      </c>
      <c r="E32" s="120" t="s">
        <v>142</v>
      </c>
      <c r="F32" s="256" t="str">
        <f>Currency&amp;$C32&amp;E32&amp;$B32&amp;QuoteSuffix</f>
        <v>EURAB3E27Y_Quote</v>
      </c>
      <c r="G32" s="120" t="s">
        <v>225</v>
      </c>
      <c r="H32" s="257" t="str">
        <f>Currency&amp;IF($G32="-",$D32&amp;E32,E32&amp;$D32)&amp;$B32&amp;QuoteSuffix</f>
        <v>EUR3E6E27Y_Quote</v>
      </c>
      <c r="I32" s="256" t="str">
        <f>Currency&amp;$C32&amp;$D32&amp;"BASIS"&amp;$B32&amp;QuoteSuffix</f>
        <v>EURAB6EBASIS27Y_Quote</v>
      </c>
      <c r="J32" s="256" t="str">
        <f>_xll.qlCompositeQuote(I32,F32,H32,G32,Permanent,Trigger,ObjectOverwrite)</f>
        <v>EURAB6EBASIS27Y_Quote#0004</v>
      </c>
      <c r="K32" s="265" t="str">
        <f>_xll.ohRangeRetrieveError(J32)</f>
        <v/>
      </c>
      <c r="L32" s="57"/>
    </row>
    <row r="33" spans="1:12" x14ac:dyDescent="0.2">
      <c r="A33" s="136"/>
      <c r="B33" s="228" t="s">
        <v>89</v>
      </c>
      <c r="C33" s="120" t="s">
        <v>202</v>
      </c>
      <c r="D33" s="120" t="s">
        <v>135</v>
      </c>
      <c r="E33" s="120" t="s">
        <v>142</v>
      </c>
      <c r="F33" s="256" t="str">
        <f>Currency&amp;$C33&amp;E33&amp;$B33&amp;QuoteSuffix</f>
        <v>EURAB3E28Y_Quote</v>
      </c>
      <c r="G33" s="120" t="s">
        <v>225</v>
      </c>
      <c r="H33" s="257" t="str">
        <f>Currency&amp;IF($G33="-",$D33&amp;E33,E33&amp;$D33)&amp;$B33&amp;QuoteSuffix</f>
        <v>EUR3E6E28Y_Quote</v>
      </c>
      <c r="I33" s="256" t="str">
        <f>Currency&amp;$C33&amp;$D33&amp;"BASIS"&amp;$B33&amp;QuoteSuffix</f>
        <v>EURAB6EBASIS28Y_Quote</v>
      </c>
      <c r="J33" s="256" t="str">
        <f>_xll.qlCompositeQuote(I33,F33,H33,G33,Permanent,Trigger,ObjectOverwrite)</f>
        <v>EURAB6EBASIS28Y_Quote#0004</v>
      </c>
      <c r="K33" s="265" t="str">
        <f>_xll.ohRangeRetrieveError(J33)</f>
        <v/>
      </c>
      <c r="L33" s="57"/>
    </row>
    <row r="34" spans="1:12" x14ac:dyDescent="0.2">
      <c r="A34" s="136"/>
      <c r="B34" s="228" t="s">
        <v>88</v>
      </c>
      <c r="C34" s="120" t="s">
        <v>202</v>
      </c>
      <c r="D34" s="120" t="s">
        <v>135</v>
      </c>
      <c r="E34" s="120" t="s">
        <v>142</v>
      </c>
      <c r="F34" s="256" t="str">
        <f>Currency&amp;$C34&amp;E34&amp;$B34&amp;QuoteSuffix</f>
        <v>EURAB3E29Y_Quote</v>
      </c>
      <c r="G34" s="120" t="s">
        <v>225</v>
      </c>
      <c r="H34" s="257" t="str">
        <f>Currency&amp;IF($G34="-",$D34&amp;E34,E34&amp;$D34)&amp;$B34&amp;QuoteSuffix</f>
        <v>EUR3E6E29Y_Quote</v>
      </c>
      <c r="I34" s="256" t="str">
        <f>Currency&amp;$C34&amp;$D34&amp;"BASIS"&amp;$B34&amp;QuoteSuffix</f>
        <v>EURAB6EBASIS29Y_Quote</v>
      </c>
      <c r="J34" s="256" t="str">
        <f>_xll.qlCompositeQuote(I34,F34,H34,G34,Permanent,Trigger,ObjectOverwrite)</f>
        <v>EURAB6EBASIS29Y_Quote#0004</v>
      </c>
      <c r="K34" s="265" t="str">
        <f>_xll.ohRangeRetrieveError(J34)</f>
        <v/>
      </c>
      <c r="L34" s="57"/>
    </row>
    <row r="35" spans="1:12" x14ac:dyDescent="0.2">
      <c r="A35" s="136"/>
      <c r="B35" s="228" t="s">
        <v>87</v>
      </c>
      <c r="C35" s="120" t="s">
        <v>202</v>
      </c>
      <c r="D35" s="120" t="s">
        <v>135</v>
      </c>
      <c r="E35" s="120" t="s">
        <v>142</v>
      </c>
      <c r="F35" s="256" t="str">
        <f>Currency&amp;$C35&amp;E35&amp;$B35&amp;QuoteSuffix</f>
        <v>EURAB3E30Y_Quote</v>
      </c>
      <c r="G35" s="120" t="s">
        <v>225</v>
      </c>
      <c r="H35" s="257" t="str">
        <f>Currency&amp;IF($G35="-",$D35&amp;E35,E35&amp;$D35)&amp;$B35&amp;QuoteSuffix</f>
        <v>EUR3E6E30Y_Quote</v>
      </c>
      <c r="I35" s="256" t="str">
        <f>Currency&amp;$C35&amp;$D35&amp;"BASIS"&amp;$B35&amp;QuoteSuffix</f>
        <v>EURAB6EBASIS30Y_Quote</v>
      </c>
      <c r="J35" s="256" t="str">
        <f>_xll.qlCompositeQuote(I35,F35,H35,G35,Permanent,Trigger,ObjectOverwrite)</f>
        <v>EURAB6EBASIS30Y_Quote#0004</v>
      </c>
      <c r="K35" s="265" t="str">
        <f>_xll.ohRangeRetrieveError(J35)</f>
        <v/>
      </c>
      <c r="L35" s="57"/>
    </row>
    <row r="36" spans="1:12" x14ac:dyDescent="0.2">
      <c r="A36" s="136"/>
      <c r="B36" s="228" t="s">
        <v>82</v>
      </c>
      <c r="C36" s="120" t="s">
        <v>202</v>
      </c>
      <c r="D36" s="120" t="s">
        <v>135</v>
      </c>
      <c r="E36" s="120" t="s">
        <v>142</v>
      </c>
      <c r="F36" s="256" t="str">
        <f>Currency&amp;$C36&amp;E36&amp;$B36&amp;QuoteSuffix</f>
        <v>EURAB3E35Y_Quote</v>
      </c>
      <c r="G36" s="120" t="s">
        <v>225</v>
      </c>
      <c r="H36" s="257" t="str">
        <f>Currency&amp;IF($G36="-",$D36&amp;E36,E36&amp;$D36)&amp;$B36&amp;QuoteSuffix</f>
        <v>EUR3E6E35Y_Quote</v>
      </c>
      <c r="I36" s="256" t="str">
        <f>Currency&amp;$C36&amp;$D36&amp;"BASIS"&amp;$B36&amp;QuoteSuffix</f>
        <v>EURAB6EBASIS35Y_Quote</v>
      </c>
      <c r="J36" s="256" t="str">
        <f>_xll.qlCompositeQuote(I36,F36,H36,G36,Permanent,Trigger,ObjectOverwrite)</f>
        <v>EURAB6EBASIS35Y_Quote#0004</v>
      </c>
      <c r="K36" s="265" t="str">
        <f>_xll.ohRangeRetrieveError(J36)</f>
        <v/>
      </c>
      <c r="L36" s="57"/>
    </row>
    <row r="37" spans="1:12" x14ac:dyDescent="0.2">
      <c r="A37" s="136"/>
      <c r="B37" s="228" t="s">
        <v>77</v>
      </c>
      <c r="C37" s="120" t="s">
        <v>202</v>
      </c>
      <c r="D37" s="120" t="s">
        <v>135</v>
      </c>
      <c r="E37" s="120" t="s">
        <v>142</v>
      </c>
      <c r="F37" s="256" t="str">
        <f>Currency&amp;$C37&amp;E37&amp;$B37&amp;QuoteSuffix</f>
        <v>EURAB3E40Y_Quote</v>
      </c>
      <c r="G37" s="120" t="s">
        <v>225</v>
      </c>
      <c r="H37" s="257" t="str">
        <f>Currency&amp;IF($G37="-",$D37&amp;E37,E37&amp;$D37)&amp;$B37&amp;QuoteSuffix</f>
        <v>EUR3E6E40Y_Quote</v>
      </c>
      <c r="I37" s="256" t="str">
        <f>Currency&amp;$C37&amp;$D37&amp;"BASIS"&amp;$B37&amp;QuoteSuffix</f>
        <v>EURAB6EBASIS40Y_Quote</v>
      </c>
      <c r="J37" s="256" t="str">
        <f>_xll.qlCompositeQuote(I37,F37,H37,G37,Permanent,Trigger,ObjectOverwrite)</f>
        <v>EURAB6EBASIS40Y_Quote#0004</v>
      </c>
      <c r="K37" s="265" t="str">
        <f>_xll.ohRangeRetrieveError(J37)</f>
        <v/>
      </c>
      <c r="L37" s="57"/>
    </row>
    <row r="38" spans="1:12" x14ac:dyDescent="0.2">
      <c r="A38" s="136"/>
      <c r="B38" s="228" t="s">
        <v>67</v>
      </c>
      <c r="C38" s="120" t="s">
        <v>202</v>
      </c>
      <c r="D38" s="120" t="s">
        <v>135</v>
      </c>
      <c r="E38" s="120" t="s">
        <v>142</v>
      </c>
      <c r="F38" s="256" t="str">
        <f>Currency&amp;$C38&amp;E38&amp;$B38&amp;QuoteSuffix</f>
        <v>EURAB3E50Y_Quote</v>
      </c>
      <c r="G38" s="120" t="s">
        <v>225</v>
      </c>
      <c r="H38" s="257" t="str">
        <f>Currency&amp;IF($G38="-",$D38&amp;E38,E38&amp;$D38)&amp;$B38&amp;QuoteSuffix</f>
        <v>EUR3E6E50Y_Quote</v>
      </c>
      <c r="I38" s="256" t="str">
        <f>Currency&amp;$C38&amp;$D38&amp;"BASIS"&amp;$B38&amp;QuoteSuffix</f>
        <v>EURAB6EBASIS50Y_Quote</v>
      </c>
      <c r="J38" s="256" t="str">
        <f>_xll.qlCompositeQuote(I38,F38,H38,G38,Permanent,Trigger,ObjectOverwrite)</f>
        <v>EURAB6EBASIS50Y_Quote#0004</v>
      </c>
      <c r="K38" s="265" t="str">
        <f>_xll.ohRangeRetrieveError(J38)</f>
        <v/>
      </c>
      <c r="L38" s="57"/>
    </row>
    <row r="39" spans="1:12" x14ac:dyDescent="0.2">
      <c r="A39" s="136"/>
      <c r="B39" s="228" t="s">
        <v>57</v>
      </c>
      <c r="C39" s="120" t="s">
        <v>202</v>
      </c>
      <c r="D39" s="120" t="s">
        <v>135</v>
      </c>
      <c r="E39" s="120" t="s">
        <v>142</v>
      </c>
      <c r="F39" s="256" t="str">
        <f>Currency&amp;$C39&amp;E39&amp;$B39&amp;QuoteSuffix</f>
        <v>EURAB3E60Y_Quote</v>
      </c>
      <c r="G39" s="120" t="s">
        <v>225</v>
      </c>
      <c r="H39" s="257" t="str">
        <f>Currency&amp;IF($G39="-",$D39&amp;E39,E39&amp;$D39)&amp;$B39&amp;QuoteSuffix</f>
        <v>EUR3E6E60Y_Quote</v>
      </c>
      <c r="I39" s="256" t="str">
        <f>Currency&amp;$C39&amp;$D39&amp;"BASIS"&amp;$B39&amp;QuoteSuffix</f>
        <v>EURAB6EBASIS60Y_Quote</v>
      </c>
      <c r="J39" s="256" t="str">
        <f>_xll.qlCompositeQuote(I39,F39,H39,G39,Permanent,Trigger,ObjectOverwrite)</f>
        <v>EURAB6EBASIS60Y_Quote#0004</v>
      </c>
      <c r="K39" s="265" t="str">
        <f>_xll.ohRangeRetrieveError(J39)</f>
        <v/>
      </c>
      <c r="L39" s="57"/>
    </row>
    <row r="40" spans="1:12" ht="12" thickBot="1" x14ac:dyDescent="0.25">
      <c r="A40" s="56"/>
      <c r="B40" s="55"/>
      <c r="C40" s="55"/>
      <c r="D40" s="55"/>
      <c r="E40" s="55"/>
      <c r="F40" s="55"/>
      <c r="G40" s="55"/>
      <c r="H40" s="55"/>
      <c r="I40" s="55"/>
      <c r="J40" s="130"/>
      <c r="K40" s="130"/>
      <c r="L40" s="54"/>
    </row>
  </sheetData>
  <pageMargins left="0.75" right="0.75" top="1" bottom="1" header="0.5" footer="0.5"/>
  <pageSetup paperSize="9" orientation="portrait" r:id="rId1"/>
  <headerFooter alignWithMargins="0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0"/>
  <sheetViews>
    <sheetView workbookViewId="0"/>
  </sheetViews>
  <sheetFormatPr defaultRowHeight="11.25" x14ac:dyDescent="0.2"/>
  <cols>
    <col min="1" max="1" width="3.7109375" style="77" customWidth="1"/>
    <col min="2" max="2" width="6.5703125" style="21" bestFit="1" customWidth="1"/>
    <col min="3" max="3" width="3.140625" style="77" bestFit="1" customWidth="1"/>
    <col min="4" max="4" width="3.5703125" style="77" bestFit="1" customWidth="1"/>
    <col min="5" max="5" width="2.7109375" style="77" bestFit="1" customWidth="1"/>
    <col min="6" max="6" width="15.7109375" style="77" bestFit="1" customWidth="1"/>
    <col min="7" max="7" width="8" style="77" bestFit="1" customWidth="1"/>
    <col min="8" max="8" width="16.140625" style="77" bestFit="1" customWidth="1"/>
    <col min="9" max="9" width="23.42578125" style="77" bestFit="1" customWidth="1"/>
    <col min="10" max="10" width="25.7109375" style="78" bestFit="1" customWidth="1"/>
    <col min="11" max="11" width="37.85546875" style="77" customWidth="1"/>
    <col min="12" max="12" width="4.42578125" style="77" customWidth="1"/>
    <col min="13" max="13" width="5.85546875" style="77" customWidth="1"/>
    <col min="14" max="16384" width="9.140625" style="77"/>
  </cols>
  <sheetData>
    <row r="1" spans="1:12" x14ac:dyDescent="0.2">
      <c r="A1" s="230" t="s">
        <v>226</v>
      </c>
      <c r="B1" s="213"/>
      <c r="C1" s="213"/>
      <c r="D1" s="213"/>
      <c r="E1" s="213"/>
      <c r="F1" s="213"/>
      <c r="G1" s="213"/>
      <c r="H1" s="213"/>
      <c r="I1" s="168"/>
      <c r="J1" s="229"/>
      <c r="K1" s="168"/>
      <c r="L1" s="210"/>
    </row>
    <row r="2" spans="1:12" x14ac:dyDescent="0.2">
      <c r="A2" s="136"/>
      <c r="B2" s="263" t="s">
        <v>141</v>
      </c>
      <c r="C2" s="264"/>
      <c r="D2" s="263"/>
      <c r="E2" s="263"/>
      <c r="F2" s="263" t="s">
        <v>224</v>
      </c>
      <c r="G2" s="263" t="s">
        <v>223</v>
      </c>
      <c r="H2" s="263" t="s">
        <v>214</v>
      </c>
      <c r="I2" s="262" t="str">
        <f>Currency&amp;"_020_Sw"&amp;$C$3&amp;$D$3&amp;"_Basis.xml"</f>
        <v>EUR_020_SwAB12E_Basis.xml</v>
      </c>
      <c r="J2" s="261">
        <f ca="1">IF(Serialize,_xll.ohObjectSave(J3:J39,SerializationPath&amp;I2,FileOverwrite,Serialize),"---")</f>
        <v>37</v>
      </c>
      <c r="K2" s="259" t="str">
        <f ca="1">_xll.ohRangeRetrieveError(J2)</f>
        <v/>
      </c>
      <c r="L2" s="57"/>
    </row>
    <row r="3" spans="1:12" x14ac:dyDescent="0.2">
      <c r="A3" s="136"/>
      <c r="B3" s="228" t="s">
        <v>34</v>
      </c>
      <c r="C3" s="120" t="s">
        <v>202</v>
      </c>
      <c r="D3" s="120" t="s">
        <v>144</v>
      </c>
      <c r="E3" s="120" t="s">
        <v>135</v>
      </c>
      <c r="F3" s="256" t="str">
        <f>Currency&amp;$C3&amp;E3&amp;$B3&amp;QuoteSuffix</f>
        <v>EURAB6E1Y_Quote</v>
      </c>
      <c r="G3" s="120" t="s">
        <v>225</v>
      </c>
      <c r="H3" s="257" t="str">
        <f>Currency&amp;IF($G3="-",$D3&amp;E3,E3&amp;$D3)&amp;$B3&amp;QuoteSuffix</f>
        <v>EUR6E12E1Y_Quote</v>
      </c>
      <c r="I3" s="256" t="str">
        <f>Currency&amp;$C3&amp;$D3&amp;"BASIS"&amp;$B3&amp;QuoteSuffix</f>
        <v>EURAB12EBASIS1Y_Quote</v>
      </c>
      <c r="J3" s="256" t="str">
        <f>_xll.qlCompositeQuote(I3,F3,H3,G3,Permanent,Trigger,ObjectOverwrite)</f>
        <v>EURAB12EBASIS1Y_Quote#0003</v>
      </c>
      <c r="K3" s="265" t="str">
        <f>_xll.ohRangeRetrieveError(J3)</f>
        <v/>
      </c>
      <c r="L3" s="57"/>
    </row>
    <row r="4" spans="1:12" x14ac:dyDescent="0.2">
      <c r="A4" s="136"/>
      <c r="B4" s="228" t="s">
        <v>140</v>
      </c>
      <c r="C4" s="120" t="s">
        <v>202</v>
      </c>
      <c r="D4" s="120" t="s">
        <v>144</v>
      </c>
      <c r="E4" s="120" t="s">
        <v>135</v>
      </c>
      <c r="F4" s="256" t="str">
        <f>Currency&amp;$C4&amp;E4&amp;$B4&amp;QuoteSuffix</f>
        <v>EURAB6E15M_Quote</v>
      </c>
      <c r="G4" s="120" t="s">
        <v>225</v>
      </c>
      <c r="H4" s="257" t="str">
        <f>Currency&amp;IF($G4="-",$D4&amp;E4,E4&amp;$D4)&amp;$B4&amp;QuoteSuffix</f>
        <v>EUR6E12E15M_Quote</v>
      </c>
      <c r="I4" s="256" t="str">
        <f>Currency&amp;$C4&amp;$D4&amp;"BASIS"&amp;$B4&amp;QuoteSuffix</f>
        <v>EURAB12EBASIS15M_Quote</v>
      </c>
      <c r="J4" s="256" t="str">
        <f>_xll.qlCompositeQuote(I4,F4,H4,G4,Permanent,Trigger,ObjectOverwrite)</f>
        <v>EURAB12EBASIS15M_Quote#0003</v>
      </c>
      <c r="K4" s="265" t="str">
        <f>_xll.ohRangeRetrieveError(J4)</f>
        <v/>
      </c>
      <c r="L4" s="57"/>
    </row>
    <row r="5" spans="1:12" x14ac:dyDescent="0.2">
      <c r="A5" s="136"/>
      <c r="B5" s="228" t="s">
        <v>139</v>
      </c>
      <c r="C5" s="120" t="s">
        <v>202</v>
      </c>
      <c r="D5" s="120" t="s">
        <v>144</v>
      </c>
      <c r="E5" s="120" t="s">
        <v>135</v>
      </c>
      <c r="F5" s="256" t="str">
        <f>Currency&amp;$C5&amp;E5&amp;$B5&amp;QuoteSuffix</f>
        <v>EURAB6E18M_Quote</v>
      </c>
      <c r="G5" s="120" t="s">
        <v>225</v>
      </c>
      <c r="H5" s="257" t="str">
        <f>Currency&amp;IF($G5="-",$D5&amp;E5,E5&amp;$D5)&amp;$B5&amp;QuoteSuffix</f>
        <v>EUR6E12E18M_Quote</v>
      </c>
      <c r="I5" s="256" t="str">
        <f>Currency&amp;$C5&amp;$D5&amp;"BASIS"&amp;$B5&amp;QuoteSuffix</f>
        <v>EURAB12EBASIS18M_Quote</v>
      </c>
      <c r="J5" s="256" t="str">
        <f>_xll.qlCompositeQuote(I5,F5,H5,G5,Permanent,Trigger,ObjectOverwrite)</f>
        <v>EURAB12EBASIS18M_Quote#0003</v>
      </c>
      <c r="K5" s="265" t="str">
        <f>_xll.ohRangeRetrieveError(J5)</f>
        <v/>
      </c>
      <c r="L5" s="57"/>
    </row>
    <row r="6" spans="1:12" x14ac:dyDescent="0.2">
      <c r="A6" s="136"/>
      <c r="B6" s="228" t="s">
        <v>138</v>
      </c>
      <c r="C6" s="120" t="s">
        <v>202</v>
      </c>
      <c r="D6" s="120" t="s">
        <v>144</v>
      </c>
      <c r="E6" s="120" t="s">
        <v>135</v>
      </c>
      <c r="F6" s="256" t="str">
        <f>Currency&amp;$C6&amp;E6&amp;$B6&amp;QuoteSuffix</f>
        <v>EURAB6E21M_Quote</v>
      </c>
      <c r="G6" s="120" t="s">
        <v>225</v>
      </c>
      <c r="H6" s="257" t="str">
        <f>Currency&amp;IF($G6="-",$D6&amp;E6,E6&amp;$D6)&amp;$B6&amp;QuoteSuffix</f>
        <v>EUR6E12E21M_Quote</v>
      </c>
      <c r="I6" s="256" t="str">
        <f>Currency&amp;$C6&amp;$D6&amp;"BASIS"&amp;$B6&amp;QuoteSuffix</f>
        <v>EURAB12EBASIS21M_Quote</v>
      </c>
      <c r="J6" s="256" t="str">
        <f>_xll.qlCompositeQuote(I6,F6,H6,G6,Permanent,Trigger,ObjectOverwrite)</f>
        <v>EURAB12EBASIS21M_Quote#0003</v>
      </c>
      <c r="K6" s="265" t="str">
        <f>_xll.ohRangeRetrieveError(J6)</f>
        <v/>
      </c>
      <c r="L6" s="57"/>
    </row>
    <row r="7" spans="1:12" x14ac:dyDescent="0.2">
      <c r="A7" s="136"/>
      <c r="B7" s="228" t="s">
        <v>115</v>
      </c>
      <c r="C7" s="120" t="s">
        <v>202</v>
      </c>
      <c r="D7" s="120" t="s">
        <v>144</v>
      </c>
      <c r="E7" s="120" t="s">
        <v>135</v>
      </c>
      <c r="F7" s="256" t="str">
        <f>Currency&amp;$C7&amp;E7&amp;$B7&amp;QuoteSuffix</f>
        <v>EURAB6E2Y_Quote</v>
      </c>
      <c r="G7" s="120" t="s">
        <v>225</v>
      </c>
      <c r="H7" s="257" t="str">
        <f>Currency&amp;IF($G7="-",$D7&amp;E7,E7&amp;$D7)&amp;$B7&amp;QuoteSuffix</f>
        <v>EUR6E12E2Y_Quote</v>
      </c>
      <c r="I7" s="256" t="str">
        <f>Currency&amp;$C7&amp;$D7&amp;"BASIS"&amp;$B7&amp;QuoteSuffix</f>
        <v>EURAB12EBASIS2Y_Quote</v>
      </c>
      <c r="J7" s="256" t="str">
        <f>_xll.qlCompositeQuote(I7,F7,H7,G7,Permanent,Trigger,ObjectOverwrite)</f>
        <v>EURAB12EBASIS2Y_Quote#0003</v>
      </c>
      <c r="K7" s="265" t="str">
        <f>_xll.ohRangeRetrieveError(J7)</f>
        <v/>
      </c>
      <c r="L7" s="57"/>
    </row>
    <row r="8" spans="1:12" x14ac:dyDescent="0.2">
      <c r="A8" s="136"/>
      <c r="B8" s="228" t="s">
        <v>114</v>
      </c>
      <c r="C8" s="120" t="s">
        <v>202</v>
      </c>
      <c r="D8" s="120" t="s">
        <v>144</v>
      </c>
      <c r="E8" s="120" t="s">
        <v>135</v>
      </c>
      <c r="F8" s="256" t="str">
        <f>Currency&amp;$C8&amp;E8&amp;$B8&amp;QuoteSuffix</f>
        <v>EURAB6E3Y_Quote</v>
      </c>
      <c r="G8" s="120" t="s">
        <v>225</v>
      </c>
      <c r="H8" s="257" t="str">
        <f>Currency&amp;IF($G8="-",$D8&amp;E8,E8&amp;$D8)&amp;$B8&amp;QuoteSuffix</f>
        <v>EUR6E12E3Y_Quote</v>
      </c>
      <c r="I8" s="256" t="str">
        <f>Currency&amp;$C8&amp;$D8&amp;"BASIS"&amp;$B8&amp;QuoteSuffix</f>
        <v>EURAB12EBASIS3Y_Quote</v>
      </c>
      <c r="J8" s="256" t="str">
        <f>_xll.qlCompositeQuote(I8,F8,H8,G8,Permanent,Trigger,ObjectOverwrite)</f>
        <v>EURAB12EBASIS3Y_Quote#0003</v>
      </c>
      <c r="K8" s="265" t="str">
        <f>_xll.ohRangeRetrieveError(J8)</f>
        <v/>
      </c>
      <c r="L8" s="57"/>
    </row>
    <row r="9" spans="1:12" x14ac:dyDescent="0.2">
      <c r="A9" s="136"/>
      <c r="B9" s="228" t="s">
        <v>113</v>
      </c>
      <c r="C9" s="120" t="s">
        <v>202</v>
      </c>
      <c r="D9" s="120" t="s">
        <v>144</v>
      </c>
      <c r="E9" s="120" t="s">
        <v>135</v>
      </c>
      <c r="F9" s="256" t="str">
        <f>Currency&amp;$C9&amp;E9&amp;$B9&amp;QuoteSuffix</f>
        <v>EURAB6E4Y_Quote</v>
      </c>
      <c r="G9" s="120" t="s">
        <v>225</v>
      </c>
      <c r="H9" s="257" t="str">
        <f>Currency&amp;IF($G9="-",$D9&amp;E9,E9&amp;$D9)&amp;$B9&amp;QuoteSuffix</f>
        <v>EUR6E12E4Y_Quote</v>
      </c>
      <c r="I9" s="256" t="str">
        <f>Currency&amp;$C9&amp;$D9&amp;"BASIS"&amp;$B9&amp;QuoteSuffix</f>
        <v>EURAB12EBASIS4Y_Quote</v>
      </c>
      <c r="J9" s="256" t="str">
        <f>_xll.qlCompositeQuote(I9,F9,H9,G9,Permanent,Trigger,ObjectOverwrite)</f>
        <v>EURAB12EBASIS4Y_Quote#0003</v>
      </c>
      <c r="K9" s="265" t="str">
        <f>_xll.ohRangeRetrieveError(J9)</f>
        <v/>
      </c>
      <c r="L9" s="57"/>
    </row>
    <row r="10" spans="1:12" x14ac:dyDescent="0.2">
      <c r="A10" s="136"/>
      <c r="B10" s="228" t="s">
        <v>112</v>
      </c>
      <c r="C10" s="120" t="s">
        <v>202</v>
      </c>
      <c r="D10" s="120" t="s">
        <v>144</v>
      </c>
      <c r="E10" s="120" t="s">
        <v>135</v>
      </c>
      <c r="F10" s="256" t="str">
        <f>Currency&amp;$C10&amp;E10&amp;$B10&amp;QuoteSuffix</f>
        <v>EURAB6E5Y_Quote</v>
      </c>
      <c r="G10" s="120" t="s">
        <v>225</v>
      </c>
      <c r="H10" s="257" t="str">
        <f>Currency&amp;IF($G10="-",$D10&amp;E10,E10&amp;$D10)&amp;$B10&amp;QuoteSuffix</f>
        <v>EUR6E12E5Y_Quote</v>
      </c>
      <c r="I10" s="256" t="str">
        <f>Currency&amp;$C10&amp;$D10&amp;"BASIS"&amp;$B10&amp;QuoteSuffix</f>
        <v>EURAB12EBASIS5Y_Quote</v>
      </c>
      <c r="J10" s="256" t="str">
        <f>_xll.qlCompositeQuote(I10,F10,H10,G10,Permanent,Trigger,ObjectOverwrite)</f>
        <v>EURAB12EBASIS5Y_Quote#0003</v>
      </c>
      <c r="K10" s="265" t="str">
        <f>_xll.ohRangeRetrieveError(J10)</f>
        <v/>
      </c>
      <c r="L10" s="57"/>
    </row>
    <row r="11" spans="1:12" x14ac:dyDescent="0.2">
      <c r="A11" s="136"/>
      <c r="B11" s="228" t="s">
        <v>111</v>
      </c>
      <c r="C11" s="120" t="s">
        <v>202</v>
      </c>
      <c r="D11" s="120" t="s">
        <v>144</v>
      </c>
      <c r="E11" s="120" t="s">
        <v>135</v>
      </c>
      <c r="F11" s="256" t="str">
        <f>Currency&amp;$C11&amp;E11&amp;$B11&amp;QuoteSuffix</f>
        <v>EURAB6E6Y_Quote</v>
      </c>
      <c r="G11" s="120" t="s">
        <v>225</v>
      </c>
      <c r="H11" s="257" t="str">
        <f>Currency&amp;IF($G11="-",$D11&amp;E11,E11&amp;$D11)&amp;$B11&amp;QuoteSuffix</f>
        <v>EUR6E12E6Y_Quote</v>
      </c>
      <c r="I11" s="256" t="str">
        <f>Currency&amp;$C11&amp;$D11&amp;"BASIS"&amp;$B11&amp;QuoteSuffix</f>
        <v>EURAB12EBASIS6Y_Quote</v>
      </c>
      <c r="J11" s="256" t="str">
        <f>_xll.qlCompositeQuote(I11,F11,H11,G11,Permanent,Trigger,ObjectOverwrite)</f>
        <v>EURAB12EBASIS6Y_Quote#0003</v>
      </c>
      <c r="K11" s="265" t="str">
        <f>_xll.ohRangeRetrieveError(J11)</f>
        <v/>
      </c>
      <c r="L11" s="57"/>
    </row>
    <row r="12" spans="1:12" x14ac:dyDescent="0.2">
      <c r="A12" s="136"/>
      <c r="B12" s="228" t="s">
        <v>110</v>
      </c>
      <c r="C12" s="120" t="s">
        <v>202</v>
      </c>
      <c r="D12" s="120" t="s">
        <v>144</v>
      </c>
      <c r="E12" s="120" t="s">
        <v>135</v>
      </c>
      <c r="F12" s="256" t="str">
        <f>Currency&amp;$C12&amp;E12&amp;$B12&amp;QuoteSuffix</f>
        <v>EURAB6E7Y_Quote</v>
      </c>
      <c r="G12" s="120" t="s">
        <v>225</v>
      </c>
      <c r="H12" s="257" t="str">
        <f>Currency&amp;IF($G12="-",$D12&amp;E12,E12&amp;$D12)&amp;$B12&amp;QuoteSuffix</f>
        <v>EUR6E12E7Y_Quote</v>
      </c>
      <c r="I12" s="256" t="str">
        <f>Currency&amp;$C12&amp;$D12&amp;"BASIS"&amp;$B12&amp;QuoteSuffix</f>
        <v>EURAB12EBASIS7Y_Quote</v>
      </c>
      <c r="J12" s="256" t="str">
        <f>_xll.qlCompositeQuote(I12,F12,H12,G12,Permanent,Trigger,ObjectOverwrite)</f>
        <v>EURAB12EBASIS7Y_Quote#0003</v>
      </c>
      <c r="K12" s="265" t="str">
        <f>_xll.ohRangeRetrieveError(J12)</f>
        <v/>
      </c>
      <c r="L12" s="57"/>
    </row>
    <row r="13" spans="1:12" x14ac:dyDescent="0.2">
      <c r="A13" s="136"/>
      <c r="B13" s="228" t="s">
        <v>109</v>
      </c>
      <c r="C13" s="120" t="s">
        <v>202</v>
      </c>
      <c r="D13" s="120" t="s">
        <v>144</v>
      </c>
      <c r="E13" s="120" t="s">
        <v>135</v>
      </c>
      <c r="F13" s="256" t="str">
        <f>Currency&amp;$C13&amp;E13&amp;$B13&amp;QuoteSuffix</f>
        <v>EURAB6E8Y_Quote</v>
      </c>
      <c r="G13" s="120" t="s">
        <v>225</v>
      </c>
      <c r="H13" s="257" t="str">
        <f>Currency&amp;IF($G13="-",$D13&amp;E13,E13&amp;$D13)&amp;$B13&amp;QuoteSuffix</f>
        <v>EUR6E12E8Y_Quote</v>
      </c>
      <c r="I13" s="256" t="str">
        <f>Currency&amp;$C13&amp;$D13&amp;"BASIS"&amp;$B13&amp;QuoteSuffix</f>
        <v>EURAB12EBASIS8Y_Quote</v>
      </c>
      <c r="J13" s="256" t="str">
        <f>_xll.qlCompositeQuote(I13,F13,H13,G13,Permanent,Trigger,ObjectOverwrite)</f>
        <v>EURAB12EBASIS8Y_Quote#0003</v>
      </c>
      <c r="K13" s="265" t="str">
        <f>_xll.ohRangeRetrieveError(J13)</f>
        <v/>
      </c>
      <c r="L13" s="57"/>
    </row>
    <row r="14" spans="1:12" x14ac:dyDescent="0.2">
      <c r="A14" s="136"/>
      <c r="B14" s="228" t="s">
        <v>108</v>
      </c>
      <c r="C14" s="120" t="s">
        <v>202</v>
      </c>
      <c r="D14" s="120" t="s">
        <v>144</v>
      </c>
      <c r="E14" s="120" t="s">
        <v>135</v>
      </c>
      <c r="F14" s="256" t="str">
        <f>Currency&amp;$C14&amp;E14&amp;$B14&amp;QuoteSuffix</f>
        <v>EURAB6E9Y_Quote</v>
      </c>
      <c r="G14" s="120" t="s">
        <v>225</v>
      </c>
      <c r="H14" s="257" t="str">
        <f>Currency&amp;IF($G14="-",$D14&amp;E14,E14&amp;$D14)&amp;$B14&amp;QuoteSuffix</f>
        <v>EUR6E12E9Y_Quote</v>
      </c>
      <c r="I14" s="256" t="str">
        <f>Currency&amp;$C14&amp;$D14&amp;"BASIS"&amp;$B14&amp;QuoteSuffix</f>
        <v>EURAB12EBASIS9Y_Quote</v>
      </c>
      <c r="J14" s="256" t="str">
        <f>_xll.qlCompositeQuote(I14,F14,H14,G14,Permanent,Trigger,ObjectOverwrite)</f>
        <v>EURAB12EBASIS9Y_Quote#0003</v>
      </c>
      <c r="K14" s="265" t="str">
        <f>_xll.ohRangeRetrieveError(J14)</f>
        <v/>
      </c>
      <c r="L14" s="57"/>
    </row>
    <row r="15" spans="1:12" x14ac:dyDescent="0.2">
      <c r="A15" s="136"/>
      <c r="B15" s="228" t="s">
        <v>107</v>
      </c>
      <c r="C15" s="120" t="s">
        <v>202</v>
      </c>
      <c r="D15" s="120" t="s">
        <v>144</v>
      </c>
      <c r="E15" s="120" t="s">
        <v>135</v>
      </c>
      <c r="F15" s="256" t="str">
        <f>Currency&amp;$C15&amp;E15&amp;$B15&amp;QuoteSuffix</f>
        <v>EURAB6E10Y_Quote</v>
      </c>
      <c r="G15" s="120" t="s">
        <v>225</v>
      </c>
      <c r="H15" s="257" t="str">
        <f>Currency&amp;IF($G15="-",$D15&amp;E15,E15&amp;$D15)&amp;$B15&amp;QuoteSuffix</f>
        <v>EUR6E12E10Y_Quote</v>
      </c>
      <c r="I15" s="256" t="str">
        <f>Currency&amp;$C15&amp;$D15&amp;"BASIS"&amp;$B15&amp;QuoteSuffix</f>
        <v>EURAB12EBASIS10Y_Quote</v>
      </c>
      <c r="J15" s="256" t="str">
        <f>_xll.qlCompositeQuote(I15,F15,H15,G15,Permanent,Trigger,ObjectOverwrite)</f>
        <v>EURAB12EBASIS10Y_Quote#0003</v>
      </c>
      <c r="K15" s="265" t="str">
        <f>_xll.ohRangeRetrieveError(J15)</f>
        <v/>
      </c>
      <c r="L15" s="57"/>
    </row>
    <row r="16" spans="1:12" x14ac:dyDescent="0.2">
      <c r="A16" s="136"/>
      <c r="B16" s="228" t="s">
        <v>106</v>
      </c>
      <c r="C16" s="120" t="s">
        <v>202</v>
      </c>
      <c r="D16" s="120" t="s">
        <v>144</v>
      </c>
      <c r="E16" s="120" t="s">
        <v>135</v>
      </c>
      <c r="F16" s="256" t="str">
        <f>Currency&amp;$C16&amp;E16&amp;$B16&amp;QuoteSuffix</f>
        <v>EURAB6E11Y_Quote</v>
      </c>
      <c r="G16" s="120" t="s">
        <v>225</v>
      </c>
      <c r="H16" s="257" t="str">
        <f>Currency&amp;IF($G16="-",$D16&amp;E16,E16&amp;$D16)&amp;$B16&amp;QuoteSuffix</f>
        <v>EUR6E12E11Y_Quote</v>
      </c>
      <c r="I16" s="256" t="str">
        <f>Currency&amp;$C16&amp;$D16&amp;"BASIS"&amp;$B16&amp;QuoteSuffix</f>
        <v>EURAB12EBASIS11Y_Quote</v>
      </c>
      <c r="J16" s="256" t="str">
        <f>_xll.qlCompositeQuote(I16,F16,H16,G16,Permanent,Trigger,ObjectOverwrite)</f>
        <v>EURAB12EBASIS11Y_Quote#0003</v>
      </c>
      <c r="K16" s="265" t="str">
        <f>_xll.ohRangeRetrieveError(J16)</f>
        <v/>
      </c>
      <c r="L16" s="57"/>
    </row>
    <row r="17" spans="1:12" x14ac:dyDescent="0.2">
      <c r="A17" s="136"/>
      <c r="B17" s="228" t="s">
        <v>105</v>
      </c>
      <c r="C17" s="120" t="s">
        <v>202</v>
      </c>
      <c r="D17" s="120" t="s">
        <v>144</v>
      </c>
      <c r="E17" s="120" t="s">
        <v>135</v>
      </c>
      <c r="F17" s="256" t="str">
        <f>Currency&amp;$C17&amp;E17&amp;$B17&amp;QuoteSuffix</f>
        <v>EURAB6E12Y_Quote</v>
      </c>
      <c r="G17" s="120" t="s">
        <v>225</v>
      </c>
      <c r="H17" s="257" t="str">
        <f>Currency&amp;IF($G17="-",$D17&amp;E17,E17&amp;$D17)&amp;$B17&amp;QuoteSuffix</f>
        <v>EUR6E12E12Y_Quote</v>
      </c>
      <c r="I17" s="256" t="str">
        <f>Currency&amp;$C17&amp;$D17&amp;"BASIS"&amp;$B17&amp;QuoteSuffix</f>
        <v>EURAB12EBASIS12Y_Quote</v>
      </c>
      <c r="J17" s="256" t="str">
        <f>_xll.qlCompositeQuote(I17,F17,H17,G17,Permanent,Trigger,ObjectOverwrite)</f>
        <v>EURAB12EBASIS12Y_Quote#0003</v>
      </c>
      <c r="K17" s="265" t="str">
        <f>_xll.ohRangeRetrieveError(J17)</f>
        <v/>
      </c>
      <c r="L17" s="57"/>
    </row>
    <row r="18" spans="1:12" x14ac:dyDescent="0.2">
      <c r="A18" s="136"/>
      <c r="B18" s="228" t="s">
        <v>104</v>
      </c>
      <c r="C18" s="120" t="s">
        <v>202</v>
      </c>
      <c r="D18" s="120" t="s">
        <v>144</v>
      </c>
      <c r="E18" s="120" t="s">
        <v>135</v>
      </c>
      <c r="F18" s="256" t="str">
        <f>Currency&amp;$C18&amp;E18&amp;$B18&amp;QuoteSuffix</f>
        <v>EURAB6E13Y_Quote</v>
      </c>
      <c r="G18" s="120" t="s">
        <v>225</v>
      </c>
      <c r="H18" s="257" t="str">
        <f>Currency&amp;IF($G18="-",$D18&amp;E18,E18&amp;$D18)&amp;$B18&amp;QuoteSuffix</f>
        <v>EUR6E12E13Y_Quote</v>
      </c>
      <c r="I18" s="256" t="str">
        <f>Currency&amp;$C18&amp;$D18&amp;"BASIS"&amp;$B18&amp;QuoteSuffix</f>
        <v>EURAB12EBASIS13Y_Quote</v>
      </c>
      <c r="J18" s="256" t="str">
        <f>_xll.qlCompositeQuote(I18,F18,H18,G18,Permanent,Trigger,ObjectOverwrite)</f>
        <v>EURAB12EBASIS13Y_Quote#0003</v>
      </c>
      <c r="K18" s="265" t="str">
        <f>_xll.ohRangeRetrieveError(J18)</f>
        <v/>
      </c>
      <c r="L18" s="57"/>
    </row>
    <row r="19" spans="1:12" x14ac:dyDescent="0.2">
      <c r="A19" s="136"/>
      <c r="B19" s="228" t="s">
        <v>103</v>
      </c>
      <c r="C19" s="120" t="s">
        <v>202</v>
      </c>
      <c r="D19" s="120" t="s">
        <v>144</v>
      </c>
      <c r="E19" s="120" t="s">
        <v>135</v>
      </c>
      <c r="F19" s="256" t="str">
        <f>Currency&amp;$C19&amp;E19&amp;$B19&amp;QuoteSuffix</f>
        <v>EURAB6E14Y_Quote</v>
      </c>
      <c r="G19" s="120" t="s">
        <v>225</v>
      </c>
      <c r="H19" s="257" t="str">
        <f>Currency&amp;IF($G19="-",$D19&amp;E19,E19&amp;$D19)&amp;$B19&amp;QuoteSuffix</f>
        <v>EUR6E12E14Y_Quote</v>
      </c>
      <c r="I19" s="256" t="str">
        <f>Currency&amp;$C19&amp;$D19&amp;"BASIS"&amp;$B19&amp;QuoteSuffix</f>
        <v>EURAB12EBASIS14Y_Quote</v>
      </c>
      <c r="J19" s="256" t="str">
        <f>_xll.qlCompositeQuote(I19,F19,H19,G19,Permanent,Trigger,ObjectOverwrite)</f>
        <v>EURAB12EBASIS14Y_Quote#0003</v>
      </c>
      <c r="K19" s="265" t="str">
        <f>_xll.ohRangeRetrieveError(J19)</f>
        <v/>
      </c>
      <c r="L19" s="57"/>
    </row>
    <row r="20" spans="1:12" x14ac:dyDescent="0.2">
      <c r="A20" s="136"/>
      <c r="B20" s="228" t="s">
        <v>102</v>
      </c>
      <c r="C20" s="120" t="s">
        <v>202</v>
      </c>
      <c r="D20" s="120" t="s">
        <v>144</v>
      </c>
      <c r="E20" s="120" t="s">
        <v>135</v>
      </c>
      <c r="F20" s="256" t="str">
        <f>Currency&amp;$C20&amp;E20&amp;$B20&amp;QuoteSuffix</f>
        <v>EURAB6E15Y_Quote</v>
      </c>
      <c r="G20" s="120" t="s">
        <v>225</v>
      </c>
      <c r="H20" s="257" t="str">
        <f>Currency&amp;IF($G20="-",$D20&amp;E20,E20&amp;$D20)&amp;$B20&amp;QuoteSuffix</f>
        <v>EUR6E12E15Y_Quote</v>
      </c>
      <c r="I20" s="256" t="str">
        <f>Currency&amp;$C20&amp;$D20&amp;"BASIS"&amp;$B20&amp;QuoteSuffix</f>
        <v>EURAB12EBASIS15Y_Quote</v>
      </c>
      <c r="J20" s="256" t="str">
        <f>_xll.qlCompositeQuote(I20,F20,H20,G20,Permanent,Trigger,ObjectOverwrite)</f>
        <v>EURAB12EBASIS15Y_Quote#0003</v>
      </c>
      <c r="K20" s="265" t="str">
        <f>_xll.ohRangeRetrieveError(J20)</f>
        <v/>
      </c>
      <c r="L20" s="57"/>
    </row>
    <row r="21" spans="1:12" x14ac:dyDescent="0.2">
      <c r="A21" s="136"/>
      <c r="B21" s="228" t="s">
        <v>101</v>
      </c>
      <c r="C21" s="120" t="s">
        <v>202</v>
      </c>
      <c r="D21" s="120" t="s">
        <v>144</v>
      </c>
      <c r="E21" s="120" t="s">
        <v>135</v>
      </c>
      <c r="F21" s="256" t="str">
        <f>Currency&amp;$C21&amp;E21&amp;$B21&amp;QuoteSuffix</f>
        <v>EURAB6E16Y_Quote</v>
      </c>
      <c r="G21" s="120" t="s">
        <v>225</v>
      </c>
      <c r="H21" s="257" t="str">
        <f>Currency&amp;IF($G21="-",$D21&amp;E21,E21&amp;$D21)&amp;$B21&amp;QuoteSuffix</f>
        <v>EUR6E12E16Y_Quote</v>
      </c>
      <c r="I21" s="256" t="str">
        <f>Currency&amp;$C21&amp;$D21&amp;"BASIS"&amp;$B21&amp;QuoteSuffix</f>
        <v>EURAB12EBASIS16Y_Quote</v>
      </c>
      <c r="J21" s="256" t="str">
        <f>_xll.qlCompositeQuote(I21,F21,H21,G21,Permanent,Trigger,ObjectOverwrite)</f>
        <v>EURAB12EBASIS16Y_Quote#0003</v>
      </c>
      <c r="K21" s="265" t="str">
        <f>_xll.ohRangeRetrieveError(J21)</f>
        <v/>
      </c>
      <c r="L21" s="57"/>
    </row>
    <row r="22" spans="1:12" x14ac:dyDescent="0.2">
      <c r="A22" s="136"/>
      <c r="B22" s="228" t="s">
        <v>100</v>
      </c>
      <c r="C22" s="120" t="s">
        <v>202</v>
      </c>
      <c r="D22" s="120" t="s">
        <v>144</v>
      </c>
      <c r="E22" s="120" t="s">
        <v>135</v>
      </c>
      <c r="F22" s="256" t="str">
        <f>Currency&amp;$C22&amp;E22&amp;$B22&amp;QuoteSuffix</f>
        <v>EURAB6E17Y_Quote</v>
      </c>
      <c r="G22" s="120" t="s">
        <v>225</v>
      </c>
      <c r="H22" s="257" t="str">
        <f>Currency&amp;IF($G22="-",$D22&amp;E22,E22&amp;$D22)&amp;$B22&amp;QuoteSuffix</f>
        <v>EUR6E12E17Y_Quote</v>
      </c>
      <c r="I22" s="256" t="str">
        <f>Currency&amp;$C22&amp;$D22&amp;"BASIS"&amp;$B22&amp;QuoteSuffix</f>
        <v>EURAB12EBASIS17Y_Quote</v>
      </c>
      <c r="J22" s="256" t="str">
        <f>_xll.qlCompositeQuote(I22,F22,H22,G22,Permanent,Trigger,ObjectOverwrite)</f>
        <v>EURAB12EBASIS17Y_Quote#0003</v>
      </c>
      <c r="K22" s="265" t="str">
        <f>_xll.ohRangeRetrieveError(J22)</f>
        <v/>
      </c>
      <c r="L22" s="57"/>
    </row>
    <row r="23" spans="1:12" x14ac:dyDescent="0.2">
      <c r="A23" s="136"/>
      <c r="B23" s="228" t="s">
        <v>99</v>
      </c>
      <c r="C23" s="120" t="s">
        <v>202</v>
      </c>
      <c r="D23" s="120" t="s">
        <v>144</v>
      </c>
      <c r="E23" s="120" t="s">
        <v>135</v>
      </c>
      <c r="F23" s="256" t="str">
        <f>Currency&amp;$C23&amp;E23&amp;$B23&amp;QuoteSuffix</f>
        <v>EURAB6E18Y_Quote</v>
      </c>
      <c r="G23" s="120" t="s">
        <v>225</v>
      </c>
      <c r="H23" s="257" t="str">
        <f>Currency&amp;IF($G23="-",$D23&amp;E23,E23&amp;$D23)&amp;$B23&amp;QuoteSuffix</f>
        <v>EUR6E12E18Y_Quote</v>
      </c>
      <c r="I23" s="256" t="str">
        <f>Currency&amp;$C23&amp;$D23&amp;"BASIS"&amp;$B23&amp;QuoteSuffix</f>
        <v>EURAB12EBASIS18Y_Quote</v>
      </c>
      <c r="J23" s="256" t="str">
        <f>_xll.qlCompositeQuote(I23,F23,H23,G23,Permanent,Trigger,ObjectOverwrite)</f>
        <v>EURAB12EBASIS18Y_Quote#0003</v>
      </c>
      <c r="K23" s="265" t="str">
        <f>_xll.ohRangeRetrieveError(J23)</f>
        <v/>
      </c>
      <c r="L23" s="57"/>
    </row>
    <row r="24" spans="1:12" x14ac:dyDescent="0.2">
      <c r="A24" s="136"/>
      <c r="B24" s="228" t="s">
        <v>98</v>
      </c>
      <c r="C24" s="120" t="s">
        <v>202</v>
      </c>
      <c r="D24" s="120" t="s">
        <v>144</v>
      </c>
      <c r="E24" s="120" t="s">
        <v>135</v>
      </c>
      <c r="F24" s="256" t="str">
        <f>Currency&amp;$C24&amp;E24&amp;$B24&amp;QuoteSuffix</f>
        <v>EURAB6E19Y_Quote</v>
      </c>
      <c r="G24" s="120" t="s">
        <v>225</v>
      </c>
      <c r="H24" s="257" t="str">
        <f>Currency&amp;IF($G24="-",$D24&amp;E24,E24&amp;$D24)&amp;$B24&amp;QuoteSuffix</f>
        <v>EUR6E12E19Y_Quote</v>
      </c>
      <c r="I24" s="256" t="str">
        <f>Currency&amp;$C24&amp;$D24&amp;"BASIS"&amp;$B24&amp;QuoteSuffix</f>
        <v>EURAB12EBASIS19Y_Quote</v>
      </c>
      <c r="J24" s="256" t="str">
        <f>_xll.qlCompositeQuote(I24,F24,H24,G24,Permanent,Trigger,ObjectOverwrite)</f>
        <v>EURAB12EBASIS19Y_Quote#0003</v>
      </c>
      <c r="K24" s="265" t="str">
        <f>_xll.ohRangeRetrieveError(J24)</f>
        <v/>
      </c>
      <c r="L24" s="57"/>
    </row>
    <row r="25" spans="1:12" x14ac:dyDescent="0.2">
      <c r="A25" s="136"/>
      <c r="B25" s="228" t="s">
        <v>97</v>
      </c>
      <c r="C25" s="120" t="s">
        <v>202</v>
      </c>
      <c r="D25" s="120" t="s">
        <v>144</v>
      </c>
      <c r="E25" s="120" t="s">
        <v>135</v>
      </c>
      <c r="F25" s="256" t="str">
        <f>Currency&amp;$C25&amp;E25&amp;$B25&amp;QuoteSuffix</f>
        <v>EURAB6E20Y_Quote</v>
      </c>
      <c r="G25" s="120" t="s">
        <v>225</v>
      </c>
      <c r="H25" s="257" t="str">
        <f>Currency&amp;IF($G25="-",$D25&amp;E25,E25&amp;$D25)&amp;$B25&amp;QuoteSuffix</f>
        <v>EUR6E12E20Y_Quote</v>
      </c>
      <c r="I25" s="256" t="str">
        <f>Currency&amp;$C25&amp;$D25&amp;"BASIS"&amp;$B25&amp;QuoteSuffix</f>
        <v>EURAB12EBASIS20Y_Quote</v>
      </c>
      <c r="J25" s="256" t="str">
        <f>_xll.qlCompositeQuote(I25,F25,H25,G25,Permanent,Trigger,ObjectOverwrite)</f>
        <v>EURAB12EBASIS20Y_Quote#0003</v>
      </c>
      <c r="K25" s="265" t="str">
        <f>_xll.ohRangeRetrieveError(J25)</f>
        <v/>
      </c>
      <c r="L25" s="57"/>
    </row>
    <row r="26" spans="1:12" x14ac:dyDescent="0.2">
      <c r="A26" s="136"/>
      <c r="B26" s="228" t="s">
        <v>96</v>
      </c>
      <c r="C26" s="120" t="s">
        <v>202</v>
      </c>
      <c r="D26" s="120" t="s">
        <v>144</v>
      </c>
      <c r="E26" s="120" t="s">
        <v>135</v>
      </c>
      <c r="F26" s="256" t="str">
        <f>Currency&amp;$C26&amp;E26&amp;$B26&amp;QuoteSuffix</f>
        <v>EURAB6E21Y_Quote</v>
      </c>
      <c r="G26" s="120" t="s">
        <v>225</v>
      </c>
      <c r="H26" s="257" t="str">
        <f>Currency&amp;IF($G26="-",$D26&amp;E26,E26&amp;$D26)&amp;$B26&amp;QuoteSuffix</f>
        <v>EUR6E12E21Y_Quote</v>
      </c>
      <c r="I26" s="256" t="str">
        <f>Currency&amp;$C26&amp;$D26&amp;"BASIS"&amp;$B26&amp;QuoteSuffix</f>
        <v>EURAB12EBASIS21Y_Quote</v>
      </c>
      <c r="J26" s="256" t="str">
        <f>_xll.qlCompositeQuote(I26,F26,H26,G26,Permanent,Trigger,ObjectOverwrite)</f>
        <v>EURAB12EBASIS21Y_Quote#0003</v>
      </c>
      <c r="K26" s="265" t="str">
        <f>_xll.ohRangeRetrieveError(J26)</f>
        <v/>
      </c>
      <c r="L26" s="57"/>
    </row>
    <row r="27" spans="1:12" x14ac:dyDescent="0.2">
      <c r="A27" s="136"/>
      <c r="B27" s="228" t="s">
        <v>95</v>
      </c>
      <c r="C27" s="120" t="s">
        <v>202</v>
      </c>
      <c r="D27" s="120" t="s">
        <v>144</v>
      </c>
      <c r="E27" s="120" t="s">
        <v>135</v>
      </c>
      <c r="F27" s="256" t="str">
        <f>Currency&amp;$C27&amp;E27&amp;$B27&amp;QuoteSuffix</f>
        <v>EURAB6E22Y_Quote</v>
      </c>
      <c r="G27" s="120" t="s">
        <v>225</v>
      </c>
      <c r="H27" s="257" t="str">
        <f>Currency&amp;IF($G27="-",$D27&amp;E27,E27&amp;$D27)&amp;$B27&amp;QuoteSuffix</f>
        <v>EUR6E12E22Y_Quote</v>
      </c>
      <c r="I27" s="256" t="str">
        <f>Currency&amp;$C27&amp;$D27&amp;"BASIS"&amp;$B27&amp;QuoteSuffix</f>
        <v>EURAB12EBASIS22Y_Quote</v>
      </c>
      <c r="J27" s="256" t="str">
        <f>_xll.qlCompositeQuote(I27,F27,H27,G27,Permanent,Trigger,ObjectOverwrite)</f>
        <v>EURAB12EBASIS22Y_Quote#0003</v>
      </c>
      <c r="K27" s="265" t="str">
        <f>_xll.ohRangeRetrieveError(J27)</f>
        <v/>
      </c>
      <c r="L27" s="57"/>
    </row>
    <row r="28" spans="1:12" x14ac:dyDescent="0.2">
      <c r="A28" s="136"/>
      <c r="B28" s="228" t="s">
        <v>94</v>
      </c>
      <c r="C28" s="120" t="s">
        <v>202</v>
      </c>
      <c r="D28" s="120" t="s">
        <v>144</v>
      </c>
      <c r="E28" s="120" t="s">
        <v>135</v>
      </c>
      <c r="F28" s="256" t="str">
        <f>Currency&amp;$C28&amp;E28&amp;$B28&amp;QuoteSuffix</f>
        <v>EURAB6E23Y_Quote</v>
      </c>
      <c r="G28" s="120" t="s">
        <v>225</v>
      </c>
      <c r="H28" s="257" t="str">
        <f>Currency&amp;IF($G28="-",$D28&amp;E28,E28&amp;$D28)&amp;$B28&amp;QuoteSuffix</f>
        <v>EUR6E12E23Y_Quote</v>
      </c>
      <c r="I28" s="256" t="str">
        <f>Currency&amp;$C28&amp;$D28&amp;"BASIS"&amp;$B28&amp;QuoteSuffix</f>
        <v>EURAB12EBASIS23Y_Quote</v>
      </c>
      <c r="J28" s="256" t="str">
        <f>_xll.qlCompositeQuote(I28,F28,H28,G28,Permanent,Trigger,ObjectOverwrite)</f>
        <v>EURAB12EBASIS23Y_Quote#0003</v>
      </c>
      <c r="K28" s="265" t="str">
        <f>_xll.ohRangeRetrieveError(J28)</f>
        <v/>
      </c>
      <c r="L28" s="57"/>
    </row>
    <row r="29" spans="1:12" x14ac:dyDescent="0.2">
      <c r="A29" s="136"/>
      <c r="B29" s="228" t="s">
        <v>93</v>
      </c>
      <c r="C29" s="120" t="s">
        <v>202</v>
      </c>
      <c r="D29" s="120" t="s">
        <v>144</v>
      </c>
      <c r="E29" s="120" t="s">
        <v>135</v>
      </c>
      <c r="F29" s="256" t="str">
        <f>Currency&amp;$C29&amp;E29&amp;$B29&amp;QuoteSuffix</f>
        <v>EURAB6E24Y_Quote</v>
      </c>
      <c r="G29" s="120" t="s">
        <v>225</v>
      </c>
      <c r="H29" s="257" t="str">
        <f>Currency&amp;IF($G29="-",$D29&amp;E29,E29&amp;$D29)&amp;$B29&amp;QuoteSuffix</f>
        <v>EUR6E12E24Y_Quote</v>
      </c>
      <c r="I29" s="256" t="str">
        <f>Currency&amp;$C29&amp;$D29&amp;"BASIS"&amp;$B29&amp;QuoteSuffix</f>
        <v>EURAB12EBASIS24Y_Quote</v>
      </c>
      <c r="J29" s="256" t="str">
        <f>_xll.qlCompositeQuote(I29,F29,H29,G29,Permanent,Trigger,ObjectOverwrite)</f>
        <v>EURAB12EBASIS24Y_Quote#0003</v>
      </c>
      <c r="K29" s="265" t="str">
        <f>_xll.ohRangeRetrieveError(J29)</f>
        <v/>
      </c>
      <c r="L29" s="57"/>
    </row>
    <row r="30" spans="1:12" x14ac:dyDescent="0.2">
      <c r="A30" s="136"/>
      <c r="B30" s="228" t="s">
        <v>92</v>
      </c>
      <c r="C30" s="120" t="s">
        <v>202</v>
      </c>
      <c r="D30" s="120" t="s">
        <v>144</v>
      </c>
      <c r="E30" s="120" t="s">
        <v>135</v>
      </c>
      <c r="F30" s="256" t="str">
        <f>Currency&amp;$C30&amp;E30&amp;$B30&amp;QuoteSuffix</f>
        <v>EURAB6E25Y_Quote</v>
      </c>
      <c r="G30" s="120" t="s">
        <v>225</v>
      </c>
      <c r="H30" s="257" t="str">
        <f>Currency&amp;IF($G30="-",$D30&amp;E30,E30&amp;$D30)&amp;$B30&amp;QuoteSuffix</f>
        <v>EUR6E12E25Y_Quote</v>
      </c>
      <c r="I30" s="256" t="str">
        <f>Currency&amp;$C30&amp;$D30&amp;"BASIS"&amp;$B30&amp;QuoteSuffix</f>
        <v>EURAB12EBASIS25Y_Quote</v>
      </c>
      <c r="J30" s="256" t="str">
        <f>_xll.qlCompositeQuote(I30,F30,H30,G30,Permanent,Trigger,ObjectOverwrite)</f>
        <v>EURAB12EBASIS25Y_Quote#0003</v>
      </c>
      <c r="K30" s="265" t="str">
        <f>_xll.ohRangeRetrieveError(J30)</f>
        <v/>
      </c>
      <c r="L30" s="57"/>
    </row>
    <row r="31" spans="1:12" x14ac:dyDescent="0.2">
      <c r="A31" s="136"/>
      <c r="B31" s="228" t="s">
        <v>91</v>
      </c>
      <c r="C31" s="120" t="s">
        <v>202</v>
      </c>
      <c r="D31" s="120" t="s">
        <v>144</v>
      </c>
      <c r="E31" s="120" t="s">
        <v>135</v>
      </c>
      <c r="F31" s="256" t="str">
        <f>Currency&amp;$C31&amp;E31&amp;$B31&amp;QuoteSuffix</f>
        <v>EURAB6E26Y_Quote</v>
      </c>
      <c r="G31" s="120" t="s">
        <v>225</v>
      </c>
      <c r="H31" s="257" t="str">
        <f>Currency&amp;IF($G31="-",$D31&amp;E31,E31&amp;$D31)&amp;$B31&amp;QuoteSuffix</f>
        <v>EUR6E12E26Y_Quote</v>
      </c>
      <c r="I31" s="256" t="str">
        <f>Currency&amp;$C31&amp;$D31&amp;"BASIS"&amp;$B31&amp;QuoteSuffix</f>
        <v>EURAB12EBASIS26Y_Quote</v>
      </c>
      <c r="J31" s="256" t="str">
        <f>_xll.qlCompositeQuote(I31,F31,H31,G31,Permanent,Trigger,ObjectOverwrite)</f>
        <v>EURAB12EBASIS26Y_Quote#0003</v>
      </c>
      <c r="K31" s="265" t="str">
        <f>_xll.ohRangeRetrieveError(J31)</f>
        <v/>
      </c>
      <c r="L31" s="57"/>
    </row>
    <row r="32" spans="1:12" x14ac:dyDescent="0.2">
      <c r="A32" s="136"/>
      <c r="B32" s="228" t="s">
        <v>90</v>
      </c>
      <c r="C32" s="120" t="s">
        <v>202</v>
      </c>
      <c r="D32" s="120" t="s">
        <v>144</v>
      </c>
      <c r="E32" s="120" t="s">
        <v>135</v>
      </c>
      <c r="F32" s="256" t="str">
        <f>Currency&amp;$C32&amp;E32&amp;$B32&amp;QuoteSuffix</f>
        <v>EURAB6E27Y_Quote</v>
      </c>
      <c r="G32" s="120" t="s">
        <v>225</v>
      </c>
      <c r="H32" s="257" t="str">
        <f>Currency&amp;IF($G32="-",$D32&amp;E32,E32&amp;$D32)&amp;$B32&amp;QuoteSuffix</f>
        <v>EUR6E12E27Y_Quote</v>
      </c>
      <c r="I32" s="256" t="str">
        <f>Currency&amp;$C32&amp;$D32&amp;"BASIS"&amp;$B32&amp;QuoteSuffix</f>
        <v>EURAB12EBASIS27Y_Quote</v>
      </c>
      <c r="J32" s="256" t="str">
        <f>_xll.qlCompositeQuote(I32,F32,H32,G32,Permanent,Trigger,ObjectOverwrite)</f>
        <v>EURAB12EBASIS27Y_Quote#0003</v>
      </c>
      <c r="K32" s="265" t="str">
        <f>_xll.ohRangeRetrieveError(J32)</f>
        <v/>
      </c>
      <c r="L32" s="57"/>
    </row>
    <row r="33" spans="1:12" x14ac:dyDescent="0.2">
      <c r="A33" s="136"/>
      <c r="B33" s="228" t="s">
        <v>89</v>
      </c>
      <c r="C33" s="120" t="s">
        <v>202</v>
      </c>
      <c r="D33" s="120" t="s">
        <v>144</v>
      </c>
      <c r="E33" s="120" t="s">
        <v>135</v>
      </c>
      <c r="F33" s="256" t="str">
        <f>Currency&amp;$C33&amp;E33&amp;$B33&amp;QuoteSuffix</f>
        <v>EURAB6E28Y_Quote</v>
      </c>
      <c r="G33" s="120" t="s">
        <v>225</v>
      </c>
      <c r="H33" s="257" t="str">
        <f>Currency&amp;IF($G33="-",$D33&amp;E33,E33&amp;$D33)&amp;$B33&amp;QuoteSuffix</f>
        <v>EUR6E12E28Y_Quote</v>
      </c>
      <c r="I33" s="256" t="str">
        <f>Currency&amp;$C33&amp;$D33&amp;"BASIS"&amp;$B33&amp;QuoteSuffix</f>
        <v>EURAB12EBASIS28Y_Quote</v>
      </c>
      <c r="J33" s="256" t="str">
        <f>_xll.qlCompositeQuote(I33,F33,H33,G33,Permanent,Trigger,ObjectOverwrite)</f>
        <v>EURAB12EBASIS28Y_Quote#0003</v>
      </c>
      <c r="K33" s="265" t="str">
        <f>_xll.ohRangeRetrieveError(J33)</f>
        <v/>
      </c>
      <c r="L33" s="57"/>
    </row>
    <row r="34" spans="1:12" x14ac:dyDescent="0.2">
      <c r="A34" s="136"/>
      <c r="B34" s="228" t="s">
        <v>88</v>
      </c>
      <c r="C34" s="120" t="s">
        <v>202</v>
      </c>
      <c r="D34" s="120" t="s">
        <v>144</v>
      </c>
      <c r="E34" s="120" t="s">
        <v>135</v>
      </c>
      <c r="F34" s="256" t="str">
        <f>Currency&amp;$C34&amp;E34&amp;$B34&amp;QuoteSuffix</f>
        <v>EURAB6E29Y_Quote</v>
      </c>
      <c r="G34" s="120" t="s">
        <v>225</v>
      </c>
      <c r="H34" s="257" t="str">
        <f>Currency&amp;IF($G34="-",$D34&amp;E34,E34&amp;$D34)&amp;$B34&amp;QuoteSuffix</f>
        <v>EUR6E12E29Y_Quote</v>
      </c>
      <c r="I34" s="256" t="str">
        <f>Currency&amp;$C34&amp;$D34&amp;"BASIS"&amp;$B34&amp;QuoteSuffix</f>
        <v>EURAB12EBASIS29Y_Quote</v>
      </c>
      <c r="J34" s="256" t="str">
        <f>_xll.qlCompositeQuote(I34,F34,H34,G34,Permanent,Trigger,ObjectOverwrite)</f>
        <v>EURAB12EBASIS29Y_Quote#0003</v>
      </c>
      <c r="K34" s="265" t="str">
        <f>_xll.ohRangeRetrieveError(J34)</f>
        <v/>
      </c>
      <c r="L34" s="57"/>
    </row>
    <row r="35" spans="1:12" x14ac:dyDescent="0.2">
      <c r="A35" s="136"/>
      <c r="B35" s="228" t="s">
        <v>87</v>
      </c>
      <c r="C35" s="120" t="s">
        <v>202</v>
      </c>
      <c r="D35" s="120" t="s">
        <v>144</v>
      </c>
      <c r="E35" s="120" t="s">
        <v>135</v>
      </c>
      <c r="F35" s="256" t="str">
        <f>Currency&amp;$C35&amp;E35&amp;$B35&amp;QuoteSuffix</f>
        <v>EURAB6E30Y_Quote</v>
      </c>
      <c r="G35" s="120" t="s">
        <v>225</v>
      </c>
      <c r="H35" s="257" t="str">
        <f>Currency&amp;IF($G35="-",$D35&amp;E35,E35&amp;$D35)&amp;$B35&amp;QuoteSuffix</f>
        <v>EUR6E12E30Y_Quote</v>
      </c>
      <c r="I35" s="256" t="str">
        <f>Currency&amp;$C35&amp;$D35&amp;"BASIS"&amp;$B35&amp;QuoteSuffix</f>
        <v>EURAB12EBASIS30Y_Quote</v>
      </c>
      <c r="J35" s="256" t="str">
        <f>_xll.qlCompositeQuote(I35,F35,H35,G35,Permanent,Trigger,ObjectOverwrite)</f>
        <v>EURAB12EBASIS30Y_Quote#0003</v>
      </c>
      <c r="K35" s="265" t="str">
        <f>_xll.ohRangeRetrieveError(J35)</f>
        <v/>
      </c>
      <c r="L35" s="57"/>
    </row>
    <row r="36" spans="1:12" x14ac:dyDescent="0.2">
      <c r="A36" s="136"/>
      <c r="B36" s="228" t="s">
        <v>82</v>
      </c>
      <c r="C36" s="120" t="s">
        <v>202</v>
      </c>
      <c r="D36" s="120" t="s">
        <v>144</v>
      </c>
      <c r="E36" s="120" t="s">
        <v>135</v>
      </c>
      <c r="F36" s="256" t="str">
        <f>Currency&amp;$C36&amp;E36&amp;$B36&amp;QuoteSuffix</f>
        <v>EURAB6E35Y_Quote</v>
      </c>
      <c r="G36" s="120" t="s">
        <v>225</v>
      </c>
      <c r="H36" s="257" t="str">
        <f>Currency&amp;IF($G36="-",$D36&amp;E36,E36&amp;$D36)&amp;$B36&amp;QuoteSuffix</f>
        <v>EUR6E12E35Y_Quote</v>
      </c>
      <c r="I36" s="256" t="str">
        <f>Currency&amp;$C36&amp;$D36&amp;"BASIS"&amp;$B36&amp;QuoteSuffix</f>
        <v>EURAB12EBASIS35Y_Quote</v>
      </c>
      <c r="J36" s="256" t="str">
        <f>_xll.qlCompositeQuote(I36,F36,H36,G36,Permanent,Trigger,ObjectOverwrite)</f>
        <v>EURAB12EBASIS35Y_Quote#0003</v>
      </c>
      <c r="K36" s="265" t="str">
        <f>_xll.ohRangeRetrieveError(J36)</f>
        <v/>
      </c>
      <c r="L36" s="57"/>
    </row>
    <row r="37" spans="1:12" x14ac:dyDescent="0.2">
      <c r="A37" s="136"/>
      <c r="B37" s="228" t="s">
        <v>77</v>
      </c>
      <c r="C37" s="120" t="s">
        <v>202</v>
      </c>
      <c r="D37" s="120" t="s">
        <v>144</v>
      </c>
      <c r="E37" s="120" t="s">
        <v>135</v>
      </c>
      <c r="F37" s="256" t="str">
        <f>Currency&amp;$C37&amp;E37&amp;$B37&amp;QuoteSuffix</f>
        <v>EURAB6E40Y_Quote</v>
      </c>
      <c r="G37" s="120" t="s">
        <v>225</v>
      </c>
      <c r="H37" s="257" t="str">
        <f>Currency&amp;IF($G37="-",$D37&amp;E37,E37&amp;$D37)&amp;$B37&amp;QuoteSuffix</f>
        <v>EUR6E12E40Y_Quote</v>
      </c>
      <c r="I37" s="256" t="str">
        <f>Currency&amp;$C37&amp;$D37&amp;"BASIS"&amp;$B37&amp;QuoteSuffix</f>
        <v>EURAB12EBASIS40Y_Quote</v>
      </c>
      <c r="J37" s="256" t="str">
        <f>_xll.qlCompositeQuote(I37,F37,H37,G37,Permanent,Trigger,ObjectOverwrite)</f>
        <v>EURAB12EBASIS40Y_Quote#0003</v>
      </c>
      <c r="K37" s="265" t="str">
        <f>_xll.ohRangeRetrieveError(J37)</f>
        <v/>
      </c>
      <c r="L37" s="57"/>
    </row>
    <row r="38" spans="1:12" x14ac:dyDescent="0.2">
      <c r="A38" s="136"/>
      <c r="B38" s="228" t="s">
        <v>67</v>
      </c>
      <c r="C38" s="120" t="s">
        <v>202</v>
      </c>
      <c r="D38" s="120" t="s">
        <v>144</v>
      </c>
      <c r="E38" s="120" t="s">
        <v>135</v>
      </c>
      <c r="F38" s="256" t="str">
        <f>Currency&amp;$C38&amp;E38&amp;$B38&amp;QuoteSuffix</f>
        <v>EURAB6E50Y_Quote</v>
      </c>
      <c r="G38" s="120" t="s">
        <v>225</v>
      </c>
      <c r="H38" s="257" t="str">
        <f>Currency&amp;IF($G38="-",$D38&amp;E38,E38&amp;$D38)&amp;$B38&amp;QuoteSuffix</f>
        <v>EUR6E12E50Y_Quote</v>
      </c>
      <c r="I38" s="256" t="str">
        <f>Currency&amp;$C38&amp;$D38&amp;"BASIS"&amp;$B38&amp;QuoteSuffix</f>
        <v>EURAB12EBASIS50Y_Quote</v>
      </c>
      <c r="J38" s="256" t="str">
        <f>_xll.qlCompositeQuote(I38,F38,H38,G38,Permanent,Trigger,ObjectOverwrite)</f>
        <v>EURAB12EBASIS50Y_Quote#0003</v>
      </c>
      <c r="K38" s="265" t="str">
        <f>_xll.ohRangeRetrieveError(J38)</f>
        <v/>
      </c>
      <c r="L38" s="57"/>
    </row>
    <row r="39" spans="1:12" x14ac:dyDescent="0.2">
      <c r="A39" s="136"/>
      <c r="B39" s="228" t="s">
        <v>57</v>
      </c>
      <c r="C39" s="120" t="s">
        <v>202</v>
      </c>
      <c r="D39" s="120" t="s">
        <v>144</v>
      </c>
      <c r="E39" s="120" t="s">
        <v>135</v>
      </c>
      <c r="F39" s="256" t="str">
        <f>Currency&amp;$C39&amp;E39&amp;$B39&amp;QuoteSuffix</f>
        <v>EURAB6E60Y_Quote</v>
      </c>
      <c r="G39" s="120" t="s">
        <v>225</v>
      </c>
      <c r="H39" s="257" t="str">
        <f>Currency&amp;IF($G39="-",$D39&amp;E39,E39&amp;$D39)&amp;$B39&amp;QuoteSuffix</f>
        <v>EUR6E12E60Y_Quote</v>
      </c>
      <c r="I39" s="256" t="str">
        <f>Currency&amp;$C39&amp;$D39&amp;"BASIS"&amp;$B39&amp;QuoteSuffix</f>
        <v>EURAB12EBASIS60Y_Quote</v>
      </c>
      <c r="J39" s="256" t="str">
        <f>_xll.qlCompositeQuote(I39,F39,H39,G39,Permanent,Trigger,ObjectOverwrite)</f>
        <v>EURAB12EBASIS60Y_Quote#0003</v>
      </c>
      <c r="K39" s="265" t="str">
        <f>_xll.ohRangeRetrieveError(J39)</f>
        <v/>
      </c>
      <c r="L39" s="57"/>
    </row>
    <row r="40" spans="1:12" ht="12" thickBot="1" x14ac:dyDescent="0.25">
      <c r="A40" s="56"/>
      <c r="B40" s="55"/>
      <c r="C40" s="55"/>
      <c r="D40" s="55"/>
      <c r="E40" s="55"/>
      <c r="F40" s="55"/>
      <c r="G40" s="55"/>
      <c r="H40" s="55"/>
      <c r="I40" s="55"/>
      <c r="J40" s="130"/>
      <c r="K40" s="130"/>
      <c r="L40" s="54"/>
    </row>
  </sheetData>
  <pageMargins left="0.75" right="0.75" top="1" bottom="1" header="0.5" footer="0.5"/>
  <pageSetup paperSize="9" orientation="portrait" r:id="rId1"/>
  <headerFooter alignWithMargins="0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8"/>
  <sheetViews>
    <sheetView tabSelected="1" workbookViewId="0"/>
  </sheetViews>
  <sheetFormatPr defaultColWidth="8" defaultRowHeight="11.25" x14ac:dyDescent="0.2"/>
  <cols>
    <col min="1" max="1" width="3.28515625" style="110" customWidth="1"/>
    <col min="2" max="2" width="4.28515625" style="110" customWidth="1"/>
    <col min="3" max="3" width="15.5703125" style="110" bestFit="1" customWidth="1"/>
    <col min="4" max="4" width="90.7109375" style="110" bestFit="1" customWidth="1"/>
    <col min="5" max="5" width="3.7109375" style="110" customWidth="1"/>
    <col min="6" max="6" width="35.28515625" style="110" customWidth="1"/>
    <col min="7" max="7" width="4.28515625" style="110" customWidth="1"/>
    <col min="8" max="16384" width="8" style="110"/>
  </cols>
  <sheetData>
    <row r="1" spans="1:5" ht="13.5" thickBot="1" x14ac:dyDescent="0.25">
      <c r="A1" s="110" t="s">
        <v>226</v>
      </c>
      <c r="B1" s="116" t="str">
        <f>_xll.qlxlVersion(TRUE,Trigger)</f>
        <v>QuantLibXL 1.3.0 - MS VC++ 9.0 - Multithreaded Static Runtime library - Release Configuration - Dec  5 2013 11:03:51</v>
      </c>
    </row>
    <row r="2" spans="1:5" s="1" customFormat="1" ht="15.75" x14ac:dyDescent="0.25">
      <c r="A2" s="23"/>
      <c r="B2" s="115" t="s">
        <v>150</v>
      </c>
      <c r="C2" s="114"/>
      <c r="D2" s="114"/>
      <c r="E2" s="113"/>
    </row>
    <row r="3" spans="1:5" s="1" customFormat="1" ht="12.75" x14ac:dyDescent="0.2">
      <c r="A3" s="23"/>
      <c r="B3" s="9"/>
      <c r="C3" s="13"/>
      <c r="D3" s="13"/>
      <c r="E3" s="5"/>
    </row>
    <row r="4" spans="1:5" s="1" customFormat="1" ht="12.75" x14ac:dyDescent="0.2">
      <c r="A4" s="23"/>
      <c r="B4" s="9"/>
      <c r="C4" s="16" t="s">
        <v>31</v>
      </c>
      <c r="D4" s="15"/>
      <c r="E4" s="14"/>
    </row>
    <row r="5" spans="1:5" s="1" customFormat="1" ht="12.75" x14ac:dyDescent="0.2">
      <c r="A5" s="23"/>
      <c r="B5" s="9"/>
      <c r="C5" s="16" t="s">
        <v>30</v>
      </c>
      <c r="D5" s="15" t="b">
        <v>1</v>
      </c>
      <c r="E5" s="14"/>
    </row>
    <row r="6" spans="1:5" s="1" customFormat="1" ht="12.75" x14ac:dyDescent="0.2">
      <c r="A6" s="23"/>
      <c r="B6" s="9"/>
      <c r="C6" s="16" t="s">
        <v>29</v>
      </c>
      <c r="D6" s="15" t="b">
        <v>0</v>
      </c>
      <c r="E6" s="14"/>
    </row>
    <row r="7" spans="1:5" s="1" customFormat="1" ht="12.75" x14ac:dyDescent="0.2">
      <c r="A7" s="23"/>
      <c r="B7" s="9"/>
      <c r="C7" s="16" t="s">
        <v>28</v>
      </c>
      <c r="D7" s="15" t="b">
        <v>1</v>
      </c>
      <c r="E7" s="14"/>
    </row>
    <row r="8" spans="1:5" s="1" customFormat="1" ht="12.75" x14ac:dyDescent="0.2">
      <c r="A8" s="23"/>
      <c r="B8" s="9"/>
      <c r="C8" s="16" t="s">
        <v>27</v>
      </c>
      <c r="D8" s="25" t="str">
        <f ca="1">SUBSTITUTE(LEFT(CELL("filename",A1),FIND("[",CELL("filename",A1),1)-1),"\XLS\","\XML\")</f>
        <v>C:\Users\erik\Documents\repos\quantlib_nando\QuantLibXL\Data2\XML\</v>
      </c>
      <c r="E8" s="14"/>
    </row>
    <row r="9" spans="1:5" s="1" customFormat="1" ht="12.75" x14ac:dyDescent="0.2">
      <c r="A9" s="23"/>
      <c r="B9" s="9"/>
      <c r="C9" s="16" t="s">
        <v>26</v>
      </c>
      <c r="D9" s="24" t="b">
        <v>1</v>
      </c>
      <c r="E9" s="14"/>
    </row>
    <row r="10" spans="1:5" s="1" customFormat="1" ht="13.5" thickBot="1" x14ac:dyDescent="0.25">
      <c r="A10" s="23"/>
      <c r="B10" s="4"/>
      <c r="C10" s="3"/>
      <c r="D10" s="3"/>
      <c r="E10" s="2"/>
    </row>
    <row r="11" spans="1:5" ht="12" thickBot="1" x14ac:dyDescent="0.25"/>
    <row r="12" spans="1:5" ht="15.75" x14ac:dyDescent="0.25">
      <c r="B12" s="115" t="s">
        <v>149</v>
      </c>
      <c r="C12" s="114"/>
      <c r="D12" s="114"/>
      <c r="E12" s="113"/>
    </row>
    <row r="13" spans="1:5" x14ac:dyDescent="0.2">
      <c r="B13" s="9"/>
      <c r="C13" s="13"/>
      <c r="D13" s="13"/>
      <c r="E13" s="5"/>
    </row>
    <row r="14" spans="1:5" x14ac:dyDescent="0.2">
      <c r="B14" s="9"/>
      <c r="C14" s="16" t="s">
        <v>25</v>
      </c>
      <c r="D14" s="24" t="s">
        <v>123</v>
      </c>
      <c r="E14" s="14"/>
    </row>
    <row r="15" spans="1:5" x14ac:dyDescent="0.2">
      <c r="B15" s="9"/>
      <c r="C15" s="16" t="s">
        <v>148</v>
      </c>
      <c r="D15" s="24" t="s">
        <v>147</v>
      </c>
      <c r="E15" s="14"/>
    </row>
    <row r="16" spans="1:5" x14ac:dyDescent="0.2">
      <c r="B16" s="9"/>
      <c r="C16" s="16" t="s">
        <v>146</v>
      </c>
      <c r="D16" s="112">
        <v>1E-4</v>
      </c>
      <c r="E16" s="14"/>
    </row>
    <row r="17" spans="2:5" x14ac:dyDescent="0.2">
      <c r="B17" s="9"/>
      <c r="C17" s="16" t="s">
        <v>145</v>
      </c>
      <c r="D17" s="111">
        <v>-0.01</v>
      </c>
      <c r="E17" s="14"/>
    </row>
    <row r="18" spans="2:5" ht="12" thickBot="1" x14ac:dyDescent="0.25">
      <c r="B18" s="4"/>
      <c r="C18" s="3"/>
      <c r="D18" s="3"/>
      <c r="E18" s="2"/>
    </row>
  </sheetData>
  <mergeCells count="2">
    <mergeCell ref="B2:E2"/>
    <mergeCell ref="B12:E12"/>
  </mergeCells>
  <dataValidations count="1">
    <dataValidation type="list" allowBlank="1" showInputMessage="1" showErrorMessage="1" sqref="D14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48</vt:i4>
      </vt:variant>
      <vt:variant>
        <vt:lpstr>Named Ranges</vt:lpstr>
      </vt:variant>
      <vt:variant>
        <vt:i4>434</vt:i4>
      </vt:variant>
    </vt:vector>
  </HeadingPairs>
  <TitlesOfParts>
    <vt:vector size="482" baseType="lpstr">
      <vt:lpstr>EUR</vt:lpstr>
      <vt:lpstr>RelinkableHandles</vt:lpstr>
      <vt:lpstr>Euribor</vt:lpstr>
      <vt:lpstr>Euribor365</vt:lpstr>
      <vt:lpstr>EuriborSwapIsdaFixA</vt:lpstr>
      <vt:lpstr>EuriborSwapIsdaFixB</vt:lpstr>
      <vt:lpstr>EuriborSwapIfrFix</vt:lpstr>
      <vt:lpstr>General Settings (2)</vt:lpstr>
      <vt:lpstr>Libor</vt:lpstr>
      <vt:lpstr>LiborSwapIsdaFixA</vt:lpstr>
      <vt:lpstr>LiborSwapIsdaFixB</vt:lpstr>
      <vt:lpstr>LiborSwapIfrFix</vt:lpstr>
      <vt:lpstr>EurLibor</vt:lpstr>
      <vt:lpstr>BasisSwap1MxM</vt:lpstr>
      <vt:lpstr>BasisSwap3M6M</vt:lpstr>
      <vt:lpstr>BasisSwapxM12M</vt:lpstr>
      <vt:lpstr>EUR_010_BasisSwapQuotes</vt:lpstr>
      <vt:lpstr>Deposits</vt:lpstr>
      <vt:lpstr>FRA</vt:lpstr>
      <vt:lpstr>Futures1M</vt:lpstr>
      <vt:lpstr>Futures3M</vt:lpstr>
      <vt:lpstr>ImmFra6M </vt:lpstr>
      <vt:lpstr>FuturesHWConvAdj</vt:lpstr>
      <vt:lpstr>EUR_010_DepoFRAFuturesQuotes</vt:lpstr>
      <vt:lpstr>OIS</vt:lpstr>
      <vt:lpstr>Swaps1M</vt:lpstr>
      <vt:lpstr>SwapsIMMDated</vt:lpstr>
      <vt:lpstr>Swap3M</vt:lpstr>
      <vt:lpstr>Swap6M</vt:lpstr>
      <vt:lpstr>EUR_010_SwapQuotes</vt:lpstr>
      <vt:lpstr>ON</vt:lpstr>
      <vt:lpstr>1M</vt:lpstr>
      <vt:lpstr>3M</vt:lpstr>
      <vt:lpstr>6M</vt:lpstr>
      <vt:lpstr>1Y</vt:lpstr>
      <vt:lpstr>EUR_015_SyntheticQuotes</vt:lpstr>
      <vt:lpstr>1M (2)</vt:lpstr>
      <vt:lpstr>3M (2)</vt:lpstr>
      <vt:lpstr>6M (2)</vt:lpstr>
      <vt:lpstr>1Y (2)</vt:lpstr>
      <vt:lpstr>EUR_020_ForwardSwapQuotes</vt:lpstr>
      <vt:lpstr>3M (3)</vt:lpstr>
      <vt:lpstr>EUR_020_FuturesConvAdjQuotes</vt:lpstr>
      <vt:lpstr>1M (3)</vt:lpstr>
      <vt:lpstr>3M (4)</vt:lpstr>
      <vt:lpstr>6M (3)</vt:lpstr>
      <vt:lpstr>1Y (3)</vt:lpstr>
      <vt:lpstr>EUR_020_SwapFromBasisQuotes</vt:lpstr>
      <vt:lpstr>'1M'!Currency</vt:lpstr>
      <vt:lpstr>'1M (2)'!Currency</vt:lpstr>
      <vt:lpstr>'1M (3)'!Currency</vt:lpstr>
      <vt:lpstr>'1Y'!Currency</vt:lpstr>
      <vt:lpstr>'1Y (2)'!Currency</vt:lpstr>
      <vt:lpstr>'1Y (3)'!Currency</vt:lpstr>
      <vt:lpstr>'3M'!Currency</vt:lpstr>
      <vt:lpstr>'3M (2)'!Currency</vt:lpstr>
      <vt:lpstr>'3M (3)'!Currency</vt:lpstr>
      <vt:lpstr>'3M (4)'!Currency</vt:lpstr>
      <vt:lpstr>'6M'!Currency</vt:lpstr>
      <vt:lpstr>'6M (2)'!Currency</vt:lpstr>
      <vt:lpstr>'6M (3)'!Currency</vt:lpstr>
      <vt:lpstr>BasisSwap1MxM!Currency</vt:lpstr>
      <vt:lpstr>BasisSwap3M6M!Currency</vt:lpstr>
      <vt:lpstr>BasisSwapxM12M!Currency</vt:lpstr>
      <vt:lpstr>Deposits!Currency</vt:lpstr>
      <vt:lpstr>EUR!Currency</vt:lpstr>
      <vt:lpstr>EUR_010_BasisSwapQuotes!Currency</vt:lpstr>
      <vt:lpstr>EUR_010_DepoFRAFuturesQuotes!Currency</vt:lpstr>
      <vt:lpstr>EUR_010_SwapQuotes!Currency</vt:lpstr>
      <vt:lpstr>EUR_015_SyntheticQuotes!Currency</vt:lpstr>
      <vt:lpstr>EUR_020_ForwardSwapQuotes!Currency</vt:lpstr>
      <vt:lpstr>EUR_020_FuturesConvAdjQuotes!Currency</vt:lpstr>
      <vt:lpstr>EUR_020_SwapFromBasisQuotes!Currency</vt:lpstr>
      <vt:lpstr>EurLibor!Currency</vt:lpstr>
      <vt:lpstr>FRA!Currency</vt:lpstr>
      <vt:lpstr>Futures1M!Currency</vt:lpstr>
      <vt:lpstr>Futures3M!Currency</vt:lpstr>
      <vt:lpstr>FuturesHWConvAdj!Currency</vt:lpstr>
      <vt:lpstr>'ImmFra6M '!Currency</vt:lpstr>
      <vt:lpstr>Libor!Currency</vt:lpstr>
      <vt:lpstr>LiborSwapIfrFix!Currency</vt:lpstr>
      <vt:lpstr>LiborSwapIsdaFixA!Currency</vt:lpstr>
      <vt:lpstr>LiborSwapIsdaFixB!Currency</vt:lpstr>
      <vt:lpstr>OIS!Currency</vt:lpstr>
      <vt:lpstr>ON!Currency</vt:lpstr>
      <vt:lpstr>Swap3M!Currency</vt:lpstr>
      <vt:lpstr>Swap6M!Currency</vt:lpstr>
      <vt:lpstr>Swaps1M!Currency</vt:lpstr>
      <vt:lpstr>SwapsIMMDated!Currency</vt:lpstr>
      <vt:lpstr>Currency</vt:lpstr>
      <vt:lpstr>'3M (3)'!FamilyName</vt:lpstr>
      <vt:lpstr>EUR_020_FuturesConvAdjQuotes!FamilyName</vt:lpstr>
      <vt:lpstr>Euribor!FamilyName</vt:lpstr>
      <vt:lpstr>Euribor365!FamilyName</vt:lpstr>
      <vt:lpstr>EuriborSwapIfrFix!FamilyName</vt:lpstr>
      <vt:lpstr>EuriborSwapIsdaFixA!FamilyName</vt:lpstr>
      <vt:lpstr>EuriborSwapIsdaFixB!FamilyName</vt:lpstr>
      <vt:lpstr>Libor!FamilyName</vt:lpstr>
      <vt:lpstr>LiborSwapIfrFix!FamilyName</vt:lpstr>
      <vt:lpstr>LiborSwapIsdaFixA!FamilyName</vt:lpstr>
      <vt:lpstr>LiborSwapIsdaFixB!FamilyName</vt:lpstr>
      <vt:lpstr>FamilyName</vt:lpstr>
      <vt:lpstr>Euribor!FileName</vt:lpstr>
      <vt:lpstr>Euribor365!FileName</vt:lpstr>
      <vt:lpstr>EuriborSwapIfrFix!FileName</vt:lpstr>
      <vt:lpstr>EuriborSwapIsdaFixA!FileName</vt:lpstr>
      <vt:lpstr>EuriborSwapIsdaFixB!FileName</vt:lpstr>
      <vt:lpstr>Libor!FileName</vt:lpstr>
      <vt:lpstr>LiborSwapIfrFix!FileName</vt:lpstr>
      <vt:lpstr>LiborSwapIsdaFixA!FileName</vt:lpstr>
      <vt:lpstr>LiborSwapIsdaFixB!FileName</vt:lpstr>
      <vt:lpstr>'1M'!FileOverwrite</vt:lpstr>
      <vt:lpstr>'1M (2)'!FileOverwrite</vt:lpstr>
      <vt:lpstr>'1M (3)'!FileOverwrite</vt:lpstr>
      <vt:lpstr>'1Y'!FileOverwrite</vt:lpstr>
      <vt:lpstr>'1Y (2)'!FileOverwrite</vt:lpstr>
      <vt:lpstr>'1Y (3)'!FileOverwrite</vt:lpstr>
      <vt:lpstr>'3M'!FileOverwrite</vt:lpstr>
      <vt:lpstr>'3M (2)'!FileOverwrite</vt:lpstr>
      <vt:lpstr>'3M (3)'!FileOverwrite</vt:lpstr>
      <vt:lpstr>'3M (4)'!FileOverwrite</vt:lpstr>
      <vt:lpstr>'6M'!FileOverwrite</vt:lpstr>
      <vt:lpstr>'6M (2)'!FileOverwrite</vt:lpstr>
      <vt:lpstr>'6M (3)'!FileOverwrite</vt:lpstr>
      <vt:lpstr>BasisSwap1MxM!FileOverwrite</vt:lpstr>
      <vt:lpstr>BasisSwap3M6M!FileOverwrite</vt:lpstr>
      <vt:lpstr>BasisSwapxM12M!FileOverwrite</vt:lpstr>
      <vt:lpstr>Deposits!FileOverwrite</vt:lpstr>
      <vt:lpstr>EUR_010_BasisSwapQuotes!FileOverwrite</vt:lpstr>
      <vt:lpstr>EUR_010_DepoFRAFuturesQuotes!FileOverwrite</vt:lpstr>
      <vt:lpstr>EUR_010_SwapQuotes!FileOverwrite</vt:lpstr>
      <vt:lpstr>EUR_015_SyntheticQuotes!FileOverwrite</vt:lpstr>
      <vt:lpstr>EUR_020_ForwardSwapQuotes!FileOverwrite</vt:lpstr>
      <vt:lpstr>EUR_020_FuturesConvAdjQuotes!FileOverwrite</vt:lpstr>
      <vt:lpstr>EUR_020_SwapFromBasisQuotes!FileOverwrite</vt:lpstr>
      <vt:lpstr>Euribor!FileOverwrite</vt:lpstr>
      <vt:lpstr>Euribor365!FileOverwrite</vt:lpstr>
      <vt:lpstr>EuriborSwapIfrFix!FileOverwrite</vt:lpstr>
      <vt:lpstr>EuriborSwapIsdaFixA!FileOverwrite</vt:lpstr>
      <vt:lpstr>EuriborSwapIsdaFixB!FileOverwrite</vt:lpstr>
      <vt:lpstr>EurLibor!FileOverwrite</vt:lpstr>
      <vt:lpstr>FRA!FileOverwrite</vt:lpstr>
      <vt:lpstr>Futures1M!FileOverwrite</vt:lpstr>
      <vt:lpstr>Futures3M!FileOverwrite</vt:lpstr>
      <vt:lpstr>FuturesHWConvAdj!FileOverwrite</vt:lpstr>
      <vt:lpstr>'General Settings (2)'!FileOverwrite</vt:lpstr>
      <vt:lpstr>'ImmFra6M '!FileOverwrite</vt:lpstr>
      <vt:lpstr>Libor!FileOverwrite</vt:lpstr>
      <vt:lpstr>LiborSwapIfrFix!FileOverwrite</vt:lpstr>
      <vt:lpstr>LiborSwapIsdaFixA!FileOverwrite</vt:lpstr>
      <vt:lpstr>LiborSwapIsdaFixB!FileOverwrite</vt:lpstr>
      <vt:lpstr>OIS!FileOverwrite</vt:lpstr>
      <vt:lpstr>ON!FileOverwrite</vt:lpstr>
      <vt:lpstr>Swap3M!FileOverwrite</vt:lpstr>
      <vt:lpstr>Swap6M!FileOverwrite</vt:lpstr>
      <vt:lpstr>Swaps1M!FileOverwrite</vt:lpstr>
      <vt:lpstr>SwapsIMMDated!FileOverwrite</vt:lpstr>
      <vt:lpstr>FileOverwrite</vt:lpstr>
      <vt:lpstr>EuriborSwapIfrFix!FixingType</vt:lpstr>
      <vt:lpstr>EuriborSwapIsdaFixA!FixingType</vt:lpstr>
      <vt:lpstr>EuriborSwapIsdaFixB!FixingType</vt:lpstr>
      <vt:lpstr>LiborSwapIfrFix!FixingType</vt:lpstr>
      <vt:lpstr>LiborSwapIsdaFixA!FixingType</vt:lpstr>
      <vt:lpstr>LiborSwapIsdaFixB!FixingType</vt:lpstr>
      <vt:lpstr>FixingType</vt:lpstr>
      <vt:lpstr>'3M (3)'!IborIndex</vt:lpstr>
      <vt:lpstr>'3M (3)'!MeanReversion</vt:lpstr>
      <vt:lpstr>'1M'!Months</vt:lpstr>
      <vt:lpstr>'1Y'!Months</vt:lpstr>
      <vt:lpstr>'3M'!Months</vt:lpstr>
      <vt:lpstr>'6M'!Months</vt:lpstr>
      <vt:lpstr>ON!Months</vt:lpstr>
      <vt:lpstr>'1M'!ObjectOverwrite</vt:lpstr>
      <vt:lpstr>'1M (2)'!ObjectOverwrite</vt:lpstr>
      <vt:lpstr>'1M (3)'!ObjectOverwrite</vt:lpstr>
      <vt:lpstr>'1Y'!ObjectOverwrite</vt:lpstr>
      <vt:lpstr>'1Y (2)'!ObjectOverwrite</vt:lpstr>
      <vt:lpstr>'1Y (3)'!ObjectOverwrite</vt:lpstr>
      <vt:lpstr>'3M'!ObjectOverwrite</vt:lpstr>
      <vt:lpstr>'3M (2)'!ObjectOverwrite</vt:lpstr>
      <vt:lpstr>'3M (3)'!ObjectOverwrite</vt:lpstr>
      <vt:lpstr>'3M (4)'!ObjectOverwrite</vt:lpstr>
      <vt:lpstr>'6M'!ObjectOverwrite</vt:lpstr>
      <vt:lpstr>'6M (2)'!ObjectOverwrite</vt:lpstr>
      <vt:lpstr>'6M (3)'!ObjectOverwrite</vt:lpstr>
      <vt:lpstr>BasisSwap1MxM!ObjectOverwrite</vt:lpstr>
      <vt:lpstr>BasisSwap3M6M!ObjectOverwrite</vt:lpstr>
      <vt:lpstr>BasisSwapxM12M!ObjectOverwrite</vt:lpstr>
      <vt:lpstr>Deposits!ObjectOverwrite</vt:lpstr>
      <vt:lpstr>EUR_010_BasisSwapQuotes!ObjectOverwrite</vt:lpstr>
      <vt:lpstr>EUR_010_DepoFRAFuturesQuotes!ObjectOverwrite</vt:lpstr>
      <vt:lpstr>EUR_010_SwapQuotes!ObjectOverwrite</vt:lpstr>
      <vt:lpstr>EUR_015_SyntheticQuotes!ObjectOverwrite</vt:lpstr>
      <vt:lpstr>EUR_020_ForwardSwapQuotes!ObjectOverwrite</vt:lpstr>
      <vt:lpstr>EUR_020_FuturesConvAdjQuotes!ObjectOverwrite</vt:lpstr>
      <vt:lpstr>EUR_020_SwapFromBasisQuotes!ObjectOverwrite</vt:lpstr>
      <vt:lpstr>Euribor!ObjectOverwrite</vt:lpstr>
      <vt:lpstr>Euribor365!ObjectOverwrite</vt:lpstr>
      <vt:lpstr>EuriborSwapIfrFix!ObjectOverwrite</vt:lpstr>
      <vt:lpstr>EuriborSwapIsdaFixA!ObjectOverwrite</vt:lpstr>
      <vt:lpstr>EuriborSwapIsdaFixB!ObjectOverwrite</vt:lpstr>
      <vt:lpstr>EurLibor!ObjectOverwrite</vt:lpstr>
      <vt:lpstr>FRA!ObjectOverwrite</vt:lpstr>
      <vt:lpstr>Futures1M!ObjectOverwrite</vt:lpstr>
      <vt:lpstr>Futures3M!ObjectOverwrite</vt:lpstr>
      <vt:lpstr>FuturesHWConvAdj!ObjectOverwrite</vt:lpstr>
      <vt:lpstr>'General Settings (2)'!ObjectOverwrite</vt:lpstr>
      <vt:lpstr>'ImmFra6M '!ObjectOverwrite</vt:lpstr>
      <vt:lpstr>Libor!ObjectOverwrite</vt:lpstr>
      <vt:lpstr>LiborSwapIfrFix!ObjectOverwrite</vt:lpstr>
      <vt:lpstr>LiborSwapIsdaFixA!ObjectOverwrite</vt:lpstr>
      <vt:lpstr>LiborSwapIsdaFixB!ObjectOverwrite</vt:lpstr>
      <vt:lpstr>OIS!ObjectOverwrite</vt:lpstr>
      <vt:lpstr>ON!ObjectOverwrite</vt:lpstr>
      <vt:lpstr>Swap3M!ObjectOverwrite</vt:lpstr>
      <vt:lpstr>Swap6M!ObjectOverwrite</vt:lpstr>
      <vt:lpstr>Swaps1M!ObjectOverwrite</vt:lpstr>
      <vt:lpstr>SwapsIMMDated!ObjectOverwrite</vt:lpstr>
      <vt:lpstr>ObjectOverwrite</vt:lpstr>
      <vt:lpstr>'1M'!Permanent</vt:lpstr>
      <vt:lpstr>'1M (2)'!Permanent</vt:lpstr>
      <vt:lpstr>'1M (3)'!Permanent</vt:lpstr>
      <vt:lpstr>'1Y'!Permanent</vt:lpstr>
      <vt:lpstr>'1Y (2)'!Permanent</vt:lpstr>
      <vt:lpstr>'1Y (3)'!Permanent</vt:lpstr>
      <vt:lpstr>'3M'!Permanent</vt:lpstr>
      <vt:lpstr>'3M (2)'!Permanent</vt:lpstr>
      <vt:lpstr>'3M (3)'!Permanent</vt:lpstr>
      <vt:lpstr>'3M (4)'!Permanent</vt:lpstr>
      <vt:lpstr>'6M'!Permanent</vt:lpstr>
      <vt:lpstr>'6M (2)'!Permanent</vt:lpstr>
      <vt:lpstr>'6M (3)'!Permanent</vt:lpstr>
      <vt:lpstr>BasisSwap1MxM!Permanent</vt:lpstr>
      <vt:lpstr>BasisSwap3M6M!Permanent</vt:lpstr>
      <vt:lpstr>BasisSwapxM12M!Permanent</vt:lpstr>
      <vt:lpstr>Deposits!Permanent</vt:lpstr>
      <vt:lpstr>EUR_010_BasisSwapQuotes!Permanent</vt:lpstr>
      <vt:lpstr>EUR_010_DepoFRAFuturesQuotes!Permanent</vt:lpstr>
      <vt:lpstr>EUR_010_SwapQuotes!Permanent</vt:lpstr>
      <vt:lpstr>EUR_015_SyntheticQuotes!Permanent</vt:lpstr>
      <vt:lpstr>EUR_020_ForwardSwapQuotes!Permanent</vt:lpstr>
      <vt:lpstr>EUR_020_FuturesConvAdjQuotes!Permanent</vt:lpstr>
      <vt:lpstr>EUR_020_SwapFromBasisQuotes!Permanent</vt:lpstr>
      <vt:lpstr>Euribor!Permanent</vt:lpstr>
      <vt:lpstr>Euribor365!Permanent</vt:lpstr>
      <vt:lpstr>EuriborSwapIfrFix!Permanent</vt:lpstr>
      <vt:lpstr>EuriborSwapIsdaFixA!Permanent</vt:lpstr>
      <vt:lpstr>EuriborSwapIsdaFixB!Permanent</vt:lpstr>
      <vt:lpstr>EurLibor!Permanent</vt:lpstr>
      <vt:lpstr>FRA!Permanent</vt:lpstr>
      <vt:lpstr>Futures1M!Permanent</vt:lpstr>
      <vt:lpstr>Futures3M!Permanent</vt:lpstr>
      <vt:lpstr>FuturesHWConvAdj!Permanent</vt:lpstr>
      <vt:lpstr>'General Settings (2)'!Permanent</vt:lpstr>
      <vt:lpstr>'ImmFra6M '!Permanent</vt:lpstr>
      <vt:lpstr>Libor!Permanent</vt:lpstr>
      <vt:lpstr>LiborSwapIfrFix!Permanent</vt:lpstr>
      <vt:lpstr>LiborSwapIsdaFixA!Permanent</vt:lpstr>
      <vt:lpstr>LiborSwapIsdaFixB!Permanent</vt:lpstr>
      <vt:lpstr>OIS!Permanent</vt:lpstr>
      <vt:lpstr>ON!Permanent</vt:lpstr>
      <vt:lpstr>Swap3M!Permanent</vt:lpstr>
      <vt:lpstr>Swap6M!Permanent</vt:lpstr>
      <vt:lpstr>Swaps1M!Permanent</vt:lpstr>
      <vt:lpstr>SwapsIMMDated!Permanent</vt:lpstr>
      <vt:lpstr>Permanent</vt:lpstr>
      <vt:lpstr>Deposits!PriceTickValue</vt:lpstr>
      <vt:lpstr>EUR_010_DepoFRAFuturesQuotes!PriceTickValue</vt:lpstr>
      <vt:lpstr>EUR_010_SwapQuotes!PriceTickValue</vt:lpstr>
      <vt:lpstr>EUR_020_ForwardSwapQuotes!PriceTickValue</vt:lpstr>
      <vt:lpstr>EUR_020_FuturesConvAdjQuotes!PriceTickValue</vt:lpstr>
      <vt:lpstr>EUR_020_SwapFromBasisQuotes!PriceTickValue</vt:lpstr>
      <vt:lpstr>FRA!PriceTickValue</vt:lpstr>
      <vt:lpstr>Futures1M!PriceTickValue</vt:lpstr>
      <vt:lpstr>Futures3M!PriceTickValue</vt:lpstr>
      <vt:lpstr>FuturesHWConvAdj!PriceTickValue</vt:lpstr>
      <vt:lpstr>'ImmFra6M '!PriceTickValue</vt:lpstr>
      <vt:lpstr>PriceTickValue</vt:lpstr>
      <vt:lpstr>'1M'!QuoteSuffix</vt:lpstr>
      <vt:lpstr>'1M (2)'!QuoteSuffix</vt:lpstr>
      <vt:lpstr>'1M (3)'!QuoteSuffix</vt:lpstr>
      <vt:lpstr>'1Y'!QuoteSuffix</vt:lpstr>
      <vt:lpstr>'1Y (2)'!QuoteSuffix</vt:lpstr>
      <vt:lpstr>'1Y (3)'!QuoteSuffix</vt:lpstr>
      <vt:lpstr>'3M'!QuoteSuffix</vt:lpstr>
      <vt:lpstr>'3M (2)'!QuoteSuffix</vt:lpstr>
      <vt:lpstr>'3M (3)'!QuoteSuffix</vt:lpstr>
      <vt:lpstr>'3M (4)'!QuoteSuffix</vt:lpstr>
      <vt:lpstr>'6M'!QuoteSuffix</vt:lpstr>
      <vt:lpstr>'6M (2)'!QuoteSuffix</vt:lpstr>
      <vt:lpstr>'6M (3)'!QuoteSuffix</vt:lpstr>
      <vt:lpstr>Deposits!QuoteSuffix</vt:lpstr>
      <vt:lpstr>EUR_010_DepoFRAFuturesQuotes!QuoteSuffix</vt:lpstr>
      <vt:lpstr>EUR_010_SwapQuotes!QuoteSuffix</vt:lpstr>
      <vt:lpstr>EUR_015_SyntheticQuotes!QuoteSuffix</vt:lpstr>
      <vt:lpstr>EUR_020_ForwardSwapQuotes!QuoteSuffix</vt:lpstr>
      <vt:lpstr>EUR_020_FuturesConvAdjQuotes!QuoteSuffix</vt:lpstr>
      <vt:lpstr>EUR_020_SwapFromBasisQuotes!QuoteSuffix</vt:lpstr>
      <vt:lpstr>FRA!QuoteSuffix</vt:lpstr>
      <vt:lpstr>Futures1M!QuoteSuffix</vt:lpstr>
      <vt:lpstr>Futures3M!QuoteSuffix</vt:lpstr>
      <vt:lpstr>FuturesHWConvAdj!QuoteSuffix</vt:lpstr>
      <vt:lpstr>'ImmFra6M '!QuoteSuffix</vt:lpstr>
      <vt:lpstr>OIS!QuoteSuffix</vt:lpstr>
      <vt:lpstr>ON!QuoteSuffix</vt:lpstr>
      <vt:lpstr>Swap3M!QuoteSuffix</vt:lpstr>
      <vt:lpstr>Swap6M!QuoteSuffix</vt:lpstr>
      <vt:lpstr>Swaps1M!QuoteSuffix</vt:lpstr>
      <vt:lpstr>SwapsIMMDated!QuoteSuffix</vt:lpstr>
      <vt:lpstr>QuoteSuffix</vt:lpstr>
      <vt:lpstr>'1M'!RateTickValue</vt:lpstr>
      <vt:lpstr>'1Y'!RateTickValue</vt:lpstr>
      <vt:lpstr>'3M'!RateTickValue</vt:lpstr>
      <vt:lpstr>'6M'!RateTickValue</vt:lpstr>
      <vt:lpstr>Deposits!RateTickValue</vt:lpstr>
      <vt:lpstr>EUR_010_DepoFRAFuturesQuotes!RateTickValue</vt:lpstr>
      <vt:lpstr>EUR_010_SwapQuotes!RateTickValue</vt:lpstr>
      <vt:lpstr>EUR_015_SyntheticQuotes!RateTickValue</vt:lpstr>
      <vt:lpstr>EUR_020_ForwardSwapQuotes!RateTickValue</vt:lpstr>
      <vt:lpstr>EUR_020_FuturesConvAdjQuotes!RateTickValue</vt:lpstr>
      <vt:lpstr>EUR_020_SwapFromBasisQuotes!RateTickValue</vt:lpstr>
      <vt:lpstr>FRA!RateTickValue</vt:lpstr>
      <vt:lpstr>Futures1M!RateTickValue</vt:lpstr>
      <vt:lpstr>Futures3M!RateTickValue</vt:lpstr>
      <vt:lpstr>FuturesHWConvAdj!RateTickValue</vt:lpstr>
      <vt:lpstr>'ImmFra6M '!RateTickValue</vt:lpstr>
      <vt:lpstr>OIS!RateTickValue</vt:lpstr>
      <vt:lpstr>ON!RateTickValue</vt:lpstr>
      <vt:lpstr>Swap3M!RateTickValue</vt:lpstr>
      <vt:lpstr>Swap6M!RateTickValue</vt:lpstr>
      <vt:lpstr>Swaps1M!RateTickValue</vt:lpstr>
      <vt:lpstr>SwapsIMMDated!RateTickValue</vt:lpstr>
      <vt:lpstr>RateTickValue</vt:lpstr>
      <vt:lpstr>'1M'!SerializationPath</vt:lpstr>
      <vt:lpstr>'1M (2)'!SerializationPath</vt:lpstr>
      <vt:lpstr>'1M (3)'!SerializationPath</vt:lpstr>
      <vt:lpstr>'1Y'!SerializationPath</vt:lpstr>
      <vt:lpstr>'1Y (2)'!SerializationPath</vt:lpstr>
      <vt:lpstr>'1Y (3)'!SerializationPath</vt:lpstr>
      <vt:lpstr>'3M'!SerializationPath</vt:lpstr>
      <vt:lpstr>'3M (2)'!SerializationPath</vt:lpstr>
      <vt:lpstr>'3M (3)'!SerializationPath</vt:lpstr>
      <vt:lpstr>'3M (4)'!SerializationPath</vt:lpstr>
      <vt:lpstr>'6M'!SerializationPath</vt:lpstr>
      <vt:lpstr>'6M (2)'!SerializationPath</vt:lpstr>
      <vt:lpstr>'6M (3)'!SerializationPath</vt:lpstr>
      <vt:lpstr>BasisSwap1MxM!SerializationPath</vt:lpstr>
      <vt:lpstr>BasisSwap3M6M!SerializationPath</vt:lpstr>
      <vt:lpstr>BasisSwapxM12M!SerializationPath</vt:lpstr>
      <vt:lpstr>Deposits!SerializationPath</vt:lpstr>
      <vt:lpstr>EUR_010_BasisSwapQuotes!SerializationPath</vt:lpstr>
      <vt:lpstr>EUR_010_DepoFRAFuturesQuotes!SerializationPath</vt:lpstr>
      <vt:lpstr>EUR_010_SwapQuotes!SerializationPath</vt:lpstr>
      <vt:lpstr>EUR_015_SyntheticQuotes!SerializationPath</vt:lpstr>
      <vt:lpstr>EUR_020_ForwardSwapQuotes!SerializationPath</vt:lpstr>
      <vt:lpstr>EUR_020_FuturesConvAdjQuotes!SerializationPath</vt:lpstr>
      <vt:lpstr>EUR_020_SwapFromBasisQuotes!SerializationPath</vt:lpstr>
      <vt:lpstr>Euribor!SerializationPath</vt:lpstr>
      <vt:lpstr>Euribor365!SerializationPath</vt:lpstr>
      <vt:lpstr>EuriborSwapIfrFix!SerializationPath</vt:lpstr>
      <vt:lpstr>EuriborSwapIsdaFixA!SerializationPath</vt:lpstr>
      <vt:lpstr>EuriborSwapIsdaFixB!SerializationPath</vt:lpstr>
      <vt:lpstr>EurLibor!SerializationPath</vt:lpstr>
      <vt:lpstr>FRA!SerializationPath</vt:lpstr>
      <vt:lpstr>Futures1M!SerializationPath</vt:lpstr>
      <vt:lpstr>Futures3M!SerializationPath</vt:lpstr>
      <vt:lpstr>FuturesHWConvAdj!SerializationPath</vt:lpstr>
      <vt:lpstr>'General Settings (2)'!SerializationPath</vt:lpstr>
      <vt:lpstr>'ImmFra6M '!SerializationPath</vt:lpstr>
      <vt:lpstr>Libor!SerializationPath</vt:lpstr>
      <vt:lpstr>LiborSwapIfrFix!SerializationPath</vt:lpstr>
      <vt:lpstr>LiborSwapIsdaFixA!SerializationPath</vt:lpstr>
      <vt:lpstr>LiborSwapIsdaFixB!SerializationPath</vt:lpstr>
      <vt:lpstr>OIS!SerializationPath</vt:lpstr>
      <vt:lpstr>ON!SerializationPath</vt:lpstr>
      <vt:lpstr>Swap3M!SerializationPath</vt:lpstr>
      <vt:lpstr>Swap6M!SerializationPath</vt:lpstr>
      <vt:lpstr>Swaps1M!SerializationPath</vt:lpstr>
      <vt:lpstr>SwapsIMMDated!SerializationPath</vt:lpstr>
      <vt:lpstr>SerializationPath</vt:lpstr>
      <vt:lpstr>'1M'!Serialize</vt:lpstr>
      <vt:lpstr>'1M (2)'!Serialize</vt:lpstr>
      <vt:lpstr>'1M (3)'!Serialize</vt:lpstr>
      <vt:lpstr>'1Y'!Serialize</vt:lpstr>
      <vt:lpstr>'1Y (2)'!Serialize</vt:lpstr>
      <vt:lpstr>'1Y (3)'!Serialize</vt:lpstr>
      <vt:lpstr>'3M'!Serialize</vt:lpstr>
      <vt:lpstr>'3M (2)'!Serialize</vt:lpstr>
      <vt:lpstr>'3M (3)'!Serialize</vt:lpstr>
      <vt:lpstr>'3M (4)'!Serialize</vt:lpstr>
      <vt:lpstr>'6M'!Serialize</vt:lpstr>
      <vt:lpstr>'6M (2)'!Serialize</vt:lpstr>
      <vt:lpstr>'6M (3)'!Serialize</vt:lpstr>
      <vt:lpstr>BasisSwap1MxM!Serialize</vt:lpstr>
      <vt:lpstr>BasisSwap3M6M!Serialize</vt:lpstr>
      <vt:lpstr>BasisSwapxM12M!Serialize</vt:lpstr>
      <vt:lpstr>Deposits!Serialize</vt:lpstr>
      <vt:lpstr>EUR_010_BasisSwapQuotes!Serialize</vt:lpstr>
      <vt:lpstr>EUR_010_DepoFRAFuturesQuotes!Serialize</vt:lpstr>
      <vt:lpstr>EUR_010_SwapQuotes!Serialize</vt:lpstr>
      <vt:lpstr>EUR_015_SyntheticQuotes!Serialize</vt:lpstr>
      <vt:lpstr>EUR_020_ForwardSwapQuotes!Serialize</vt:lpstr>
      <vt:lpstr>EUR_020_FuturesConvAdjQuotes!Serialize</vt:lpstr>
      <vt:lpstr>EUR_020_SwapFromBasisQuotes!Serialize</vt:lpstr>
      <vt:lpstr>Euribor!Serialize</vt:lpstr>
      <vt:lpstr>Euribor365!Serialize</vt:lpstr>
      <vt:lpstr>EuriborSwapIfrFix!Serialize</vt:lpstr>
      <vt:lpstr>EuriborSwapIsdaFixA!Serialize</vt:lpstr>
      <vt:lpstr>EuriborSwapIsdaFixB!Serialize</vt:lpstr>
      <vt:lpstr>EurLibor!Serialize</vt:lpstr>
      <vt:lpstr>FRA!Serialize</vt:lpstr>
      <vt:lpstr>Futures1M!Serialize</vt:lpstr>
      <vt:lpstr>Futures3M!Serialize</vt:lpstr>
      <vt:lpstr>FuturesHWConvAdj!Serialize</vt:lpstr>
      <vt:lpstr>'General Settings (2)'!Serialize</vt:lpstr>
      <vt:lpstr>'ImmFra6M '!Serialize</vt:lpstr>
      <vt:lpstr>Libor!Serialize</vt:lpstr>
      <vt:lpstr>LiborSwapIfrFix!Serialize</vt:lpstr>
      <vt:lpstr>LiborSwapIsdaFixA!Serialize</vt:lpstr>
      <vt:lpstr>LiborSwapIsdaFixB!Serialize</vt:lpstr>
      <vt:lpstr>OIS!Serialize</vt:lpstr>
      <vt:lpstr>ON!Serialize</vt:lpstr>
      <vt:lpstr>Swap3M!Serialize</vt:lpstr>
      <vt:lpstr>Swap6M!Serialize</vt:lpstr>
      <vt:lpstr>Swaps1M!Serialize</vt:lpstr>
      <vt:lpstr>SwapsIMMDated!Serialize</vt:lpstr>
      <vt:lpstr>Serialize</vt:lpstr>
      <vt:lpstr>SwapMainSetConventions</vt:lpstr>
      <vt:lpstr>SwapSecondarySetConventions</vt:lpstr>
      <vt:lpstr>'1M'!Tenor</vt:lpstr>
      <vt:lpstr>'1Y'!Tenor</vt:lpstr>
      <vt:lpstr>'3M'!Tenor</vt:lpstr>
      <vt:lpstr>'6M'!Tenor</vt:lpstr>
      <vt:lpstr>ON!Tenor</vt:lpstr>
      <vt:lpstr>'1M'!Trigger</vt:lpstr>
      <vt:lpstr>'1M (2)'!Trigger</vt:lpstr>
      <vt:lpstr>'1M (3)'!Trigger</vt:lpstr>
      <vt:lpstr>'1Y'!Trigger</vt:lpstr>
      <vt:lpstr>'1Y (2)'!Trigger</vt:lpstr>
      <vt:lpstr>'1Y (3)'!Trigger</vt:lpstr>
      <vt:lpstr>'3M'!Trigger</vt:lpstr>
      <vt:lpstr>'3M (2)'!Trigger</vt:lpstr>
      <vt:lpstr>'3M (3)'!Trigger</vt:lpstr>
      <vt:lpstr>'3M (4)'!Trigger</vt:lpstr>
      <vt:lpstr>'6M'!Trigger</vt:lpstr>
      <vt:lpstr>'6M (2)'!Trigger</vt:lpstr>
      <vt:lpstr>'6M (3)'!Trigger</vt:lpstr>
      <vt:lpstr>BasisSwap1MxM!Trigger</vt:lpstr>
      <vt:lpstr>BasisSwap3M6M!Trigger</vt:lpstr>
      <vt:lpstr>BasisSwapxM12M!Trigger</vt:lpstr>
      <vt:lpstr>Deposits!Trigger</vt:lpstr>
      <vt:lpstr>EUR_010_BasisSwapQuotes!Trigger</vt:lpstr>
      <vt:lpstr>EUR_010_DepoFRAFuturesQuotes!Trigger</vt:lpstr>
      <vt:lpstr>EUR_010_SwapQuotes!Trigger</vt:lpstr>
      <vt:lpstr>EUR_015_SyntheticQuotes!Trigger</vt:lpstr>
      <vt:lpstr>EUR_020_ForwardSwapQuotes!Trigger</vt:lpstr>
      <vt:lpstr>EUR_020_FuturesConvAdjQuotes!Trigger</vt:lpstr>
      <vt:lpstr>EUR_020_SwapFromBasisQuotes!Trigger</vt:lpstr>
      <vt:lpstr>Euribor!Trigger</vt:lpstr>
      <vt:lpstr>Euribor365!Trigger</vt:lpstr>
      <vt:lpstr>EuriborSwapIfrFix!Trigger</vt:lpstr>
      <vt:lpstr>EuriborSwapIsdaFixA!Trigger</vt:lpstr>
      <vt:lpstr>EuriborSwapIsdaFixB!Trigger</vt:lpstr>
      <vt:lpstr>EurLibor!Trigger</vt:lpstr>
      <vt:lpstr>FRA!Trigger</vt:lpstr>
      <vt:lpstr>Futures1M!Trigger</vt:lpstr>
      <vt:lpstr>Futures3M!Trigger</vt:lpstr>
      <vt:lpstr>FuturesHWConvAdj!Trigger</vt:lpstr>
      <vt:lpstr>'General Settings (2)'!Trigger</vt:lpstr>
      <vt:lpstr>'ImmFra6M '!Trigger</vt:lpstr>
      <vt:lpstr>Libor!Trigger</vt:lpstr>
      <vt:lpstr>LiborSwapIfrFix!Trigger</vt:lpstr>
      <vt:lpstr>LiborSwapIsdaFixA!Trigger</vt:lpstr>
      <vt:lpstr>LiborSwapIsdaFixB!Trigger</vt:lpstr>
      <vt:lpstr>OIS!Trigger</vt:lpstr>
      <vt:lpstr>ON!Trigger</vt:lpstr>
      <vt:lpstr>Swap3M!Trigger</vt:lpstr>
      <vt:lpstr>Swap6M!Trigger</vt:lpstr>
      <vt:lpstr>Swaps1M!Trigger</vt:lpstr>
      <vt:lpstr>SwapsIMMDated!Trigger</vt:lpstr>
      <vt:lpstr>Trigger</vt:lpstr>
      <vt:lpstr>'3M (3)'!Volatility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erik</cp:lastModifiedBy>
  <dcterms:created xsi:type="dcterms:W3CDTF">2013-12-09T23:24:41Z</dcterms:created>
  <dcterms:modified xsi:type="dcterms:W3CDTF">2013-12-09T23:46:46Z</dcterms:modified>
</cp:coreProperties>
</file>
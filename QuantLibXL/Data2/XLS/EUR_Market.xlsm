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78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externalReferences>
    <externalReference r:id="rId43"/>
    <externalReference r:id="rId44"/>
  </externalReference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AB5" i="32" l="1" a="1"/>
  <c r="AB7" i="32" s="1"/>
  <c r="AB5" i="32"/>
  <c r="AB6" i="32"/>
  <c r="AB12" i="32"/>
  <c r="AB13" i="32"/>
  <c r="AB14" i="32"/>
  <c r="AB20" i="32"/>
  <c r="AB21" i="32"/>
  <c r="AB22" i="32"/>
  <c r="AB28" i="32"/>
  <c r="AB29" i="32"/>
  <c r="AB30" i="32"/>
  <c r="AB36" i="32"/>
  <c r="AB37" i="32"/>
  <c r="AB38" i="32"/>
  <c r="AB5" i="31" a="1"/>
  <c r="AB8" i="31" s="1"/>
  <c r="AB5" i="31"/>
  <c r="AB6" i="31"/>
  <c r="AB7" i="31"/>
  <c r="AB12" i="31"/>
  <c r="AB13" i="31"/>
  <c r="AB14" i="31"/>
  <c r="AB15" i="31"/>
  <c r="AB20" i="31"/>
  <c r="AB21" i="31"/>
  <c r="AB22" i="31"/>
  <c r="AB23" i="31"/>
  <c r="AB28" i="31"/>
  <c r="AB29" i="31"/>
  <c r="AB30" i="31"/>
  <c r="AB31" i="31"/>
  <c r="AB36" i="31"/>
  <c r="AB37" i="31"/>
  <c r="AB38" i="31"/>
  <c r="AB39" i="31"/>
  <c r="X5" i="30" a="1"/>
  <c r="X5" i="30"/>
  <c r="X6" i="30"/>
  <c r="X7" i="30"/>
  <c r="X8" i="30"/>
  <c r="X9" i="30"/>
  <c r="X10" i="30"/>
  <c r="X11" i="30"/>
  <c r="X5" i="29" a="1"/>
  <c r="X5" i="29"/>
  <c r="X6" i="29"/>
  <c r="X7" i="29"/>
  <c r="X8" i="29"/>
  <c r="X9" i="29"/>
  <c r="X10" i="29"/>
  <c r="X11" i="29"/>
  <c r="X12" i="29"/>
  <c r="X13" i="29"/>
  <c r="X14" i="29"/>
  <c r="X15" i="29"/>
  <c r="X5" i="28" a="1"/>
  <c r="X11" i="28" s="1"/>
  <c r="X18" i="28"/>
  <c r="X19" i="28"/>
  <c r="X20" i="28"/>
  <c r="X28" i="28"/>
  <c r="X36" i="28"/>
  <c r="Y7" i="24" a="1"/>
  <c r="Y12" i="24" s="1"/>
  <c r="Y13" i="24"/>
  <c r="Y21" i="24"/>
  <c r="Y22" i="24"/>
  <c r="Y28" i="24"/>
  <c r="Y29" i="24"/>
  <c r="Y36" i="24"/>
  <c r="Y44" i="24"/>
  <c r="Y45" i="24"/>
  <c r="Y46" i="24"/>
  <c r="Y6" i="23" a="1"/>
  <c r="Y12" i="23" s="1"/>
  <c r="Y7" i="23"/>
  <c r="Y8" i="23"/>
  <c r="Y9" i="23"/>
  <c r="Y10" i="23"/>
  <c r="Y11" i="23"/>
  <c r="Y13" i="23"/>
  <c r="Y15" i="23"/>
  <c r="Y16" i="23"/>
  <c r="Y17" i="23"/>
  <c r="V5" i="22" a="1"/>
  <c r="V10" i="22" s="1"/>
  <c r="V12" i="22"/>
  <c r="V18" i="22"/>
  <c r="V19" i="22"/>
  <c r="V27" i="22"/>
  <c r="O5" i="21" a="1"/>
  <c r="O5" i="21"/>
  <c r="O6" i="21"/>
  <c r="O12" i="21"/>
  <c r="O13" i="21"/>
  <c r="O20" i="21"/>
  <c r="O22" i="21"/>
  <c r="AB5" i="19" a="1"/>
  <c r="AB5" i="19" s="1"/>
  <c r="AB8" i="19"/>
  <c r="AB9" i="19"/>
  <c r="AB10" i="19"/>
  <c r="AB11" i="19"/>
  <c r="AB12" i="19"/>
  <c r="AB16" i="19"/>
  <c r="AB17" i="19"/>
  <c r="AB18" i="19"/>
  <c r="AB19" i="19"/>
  <c r="AB20" i="19"/>
  <c r="AB24" i="19"/>
  <c r="AB25" i="19"/>
  <c r="AB26" i="19"/>
  <c r="AB27" i="19"/>
  <c r="AB28" i="19"/>
  <c r="AB32" i="19"/>
  <c r="AB33" i="19"/>
  <c r="AB34" i="19"/>
  <c r="AB35" i="19"/>
  <c r="AB36" i="19"/>
  <c r="AB40" i="19"/>
  <c r="AB41" i="19"/>
  <c r="AB42" i="19"/>
  <c r="AB5" i="18" a="1"/>
  <c r="AB10" i="18"/>
  <c r="AB11" i="18"/>
  <c r="AB27" i="18"/>
  <c r="AB28" i="18"/>
  <c r="AB34" i="18"/>
  <c r="AB5" i="17" a="1"/>
  <c r="AB5" i="17"/>
  <c r="AB11" i="17"/>
  <c r="AB12" i="17"/>
  <c r="AB13" i="17"/>
  <c r="AB19" i="17"/>
  <c r="AB20" i="17"/>
  <c r="AB21" i="17"/>
  <c r="AB27" i="17"/>
  <c r="AB28" i="17"/>
  <c r="AB29" i="17"/>
  <c r="AB35" i="17"/>
  <c r="AB36" i="17"/>
  <c r="AB37" i="17"/>
  <c r="AB5" i="18" l="1"/>
  <c r="AB13" i="18"/>
  <c r="AB21" i="18"/>
  <c r="AB29" i="18"/>
  <c r="AB37" i="18"/>
  <c r="AB6" i="18"/>
  <c r="AB14" i="18"/>
  <c r="AB22" i="18"/>
  <c r="AB30" i="18"/>
  <c r="AB38" i="18"/>
  <c r="AB7" i="18"/>
  <c r="AB15" i="18"/>
  <c r="AB23" i="18"/>
  <c r="AB31" i="18"/>
  <c r="AB39" i="18"/>
  <c r="AB8" i="18"/>
  <c r="AB16" i="18"/>
  <c r="AB24" i="18"/>
  <c r="AB32" i="18"/>
  <c r="AB40" i="18"/>
  <c r="AB9" i="18"/>
  <c r="AB17" i="18"/>
  <c r="AB25" i="18"/>
  <c r="AB33" i="18"/>
  <c r="AB41" i="18"/>
  <c r="AB26" i="18"/>
  <c r="O7" i="21"/>
  <c r="O15" i="21"/>
  <c r="O8" i="21"/>
  <c r="O16" i="21"/>
  <c r="O9" i="21"/>
  <c r="O17" i="21"/>
  <c r="O10" i="21"/>
  <c r="O18" i="21"/>
  <c r="O11" i="21"/>
  <c r="O19" i="21"/>
  <c r="V11" i="22"/>
  <c r="Y38" i="24"/>
  <c r="Y20" i="24"/>
  <c r="X35" i="28"/>
  <c r="X12" i="28"/>
  <c r="AB6" i="17"/>
  <c r="AB14" i="17"/>
  <c r="AB22" i="17"/>
  <c r="AB30" i="17"/>
  <c r="AB38" i="17"/>
  <c r="AB7" i="17"/>
  <c r="AB15" i="17"/>
  <c r="AB23" i="17"/>
  <c r="AB31" i="17"/>
  <c r="AB39" i="17"/>
  <c r="AB8" i="17"/>
  <c r="AB16" i="17"/>
  <c r="AB24" i="17"/>
  <c r="AB32" i="17"/>
  <c r="AB40" i="17"/>
  <c r="AB9" i="17"/>
  <c r="AB17" i="17"/>
  <c r="AB25" i="17"/>
  <c r="AB33" i="17"/>
  <c r="AB41" i="17"/>
  <c r="AB10" i="17"/>
  <c r="AB18" i="17"/>
  <c r="AB26" i="17"/>
  <c r="AB34" i="17"/>
  <c r="AB42" i="17"/>
  <c r="AB20" i="18"/>
  <c r="O21" i="21"/>
  <c r="V28" i="22"/>
  <c r="Y37" i="24"/>
  <c r="Y14" i="24"/>
  <c r="X34" i="28"/>
  <c r="AB42" i="18"/>
  <c r="AB19" i="18"/>
  <c r="V5" i="22"/>
  <c r="V13" i="22"/>
  <c r="V21" i="22"/>
  <c r="V29" i="22"/>
  <c r="V6" i="22"/>
  <c r="V14" i="22"/>
  <c r="V22" i="22"/>
  <c r="V30" i="22"/>
  <c r="V7" i="22"/>
  <c r="V15" i="22"/>
  <c r="V23" i="22"/>
  <c r="V31" i="22"/>
  <c r="V8" i="22"/>
  <c r="V16" i="22"/>
  <c r="V24" i="22"/>
  <c r="V32" i="22"/>
  <c r="V9" i="22"/>
  <c r="V17" i="22"/>
  <c r="V25" i="22"/>
  <c r="V33" i="22"/>
  <c r="X5" i="28"/>
  <c r="X13" i="28"/>
  <c r="X21" i="28"/>
  <c r="X29" i="28"/>
  <c r="X37" i="28"/>
  <c r="X6" i="28"/>
  <c r="X14" i="28"/>
  <c r="X22" i="28"/>
  <c r="X30" i="28"/>
  <c r="X38" i="28"/>
  <c r="X7" i="28"/>
  <c r="X15" i="28"/>
  <c r="X23" i="28"/>
  <c r="X31" i="28"/>
  <c r="X39" i="28"/>
  <c r="X8" i="28"/>
  <c r="X16" i="28"/>
  <c r="X24" i="28"/>
  <c r="X32" i="28"/>
  <c r="X40" i="28"/>
  <c r="X9" i="28"/>
  <c r="X17" i="28"/>
  <c r="X25" i="28"/>
  <c r="X33" i="28"/>
  <c r="X10" i="28"/>
  <c r="AB36" i="18"/>
  <c r="AB18" i="18"/>
  <c r="O14" i="21"/>
  <c r="V26" i="22"/>
  <c r="Y30" i="24"/>
  <c r="X27" i="28"/>
  <c r="AB35" i="18"/>
  <c r="AB12" i="18"/>
  <c r="V20" i="22"/>
  <c r="Y7" i="24"/>
  <c r="Y15" i="24"/>
  <c r="Y23" i="24"/>
  <c r="Y31" i="24"/>
  <c r="Y39" i="24"/>
  <c r="Y47" i="24"/>
  <c r="Y8" i="24"/>
  <c r="Y16" i="24"/>
  <c r="Y24" i="24"/>
  <c r="Y32" i="24"/>
  <c r="Y40" i="24"/>
  <c r="Y48" i="24"/>
  <c r="Y9" i="24"/>
  <c r="Y17" i="24"/>
  <c r="Y25" i="24"/>
  <c r="Y33" i="24"/>
  <c r="Y41" i="24"/>
  <c r="Y10" i="24"/>
  <c r="Y18" i="24"/>
  <c r="Y26" i="24"/>
  <c r="Y34" i="24"/>
  <c r="Y42" i="24"/>
  <c r="Y11" i="24"/>
  <c r="Y19" i="24"/>
  <c r="Y27" i="24"/>
  <c r="Y35" i="24"/>
  <c r="Y43" i="24"/>
  <c r="X26" i="28"/>
  <c r="AB35" i="32"/>
  <c r="AB27" i="32"/>
  <c r="AB19" i="32"/>
  <c r="AB11" i="32"/>
  <c r="AB39" i="19"/>
  <c r="AB31" i="19"/>
  <c r="AB23" i="19"/>
  <c r="AB15" i="19"/>
  <c r="AB7" i="19"/>
  <c r="Y14" i="23"/>
  <c r="Y6" i="23"/>
  <c r="AB35" i="31"/>
  <c r="AB27" i="31"/>
  <c r="AB19" i="31"/>
  <c r="AB11" i="31"/>
  <c r="AB42" i="32"/>
  <c r="AB34" i="32"/>
  <c r="AB26" i="32"/>
  <c r="AB18" i="32"/>
  <c r="AB10" i="32"/>
  <c r="AB38" i="19"/>
  <c r="AB30" i="19"/>
  <c r="AB22" i="19"/>
  <c r="AB14" i="19"/>
  <c r="AB6" i="19"/>
  <c r="AB42" i="31"/>
  <c r="AB34" i="31"/>
  <c r="AB26" i="31"/>
  <c r="AB18" i="31"/>
  <c r="AB10" i="31"/>
  <c r="AB41" i="32"/>
  <c r="AB33" i="32"/>
  <c r="AB25" i="32"/>
  <c r="AB17" i="32"/>
  <c r="AB9" i="32"/>
  <c r="AB37" i="19"/>
  <c r="AB29" i="19"/>
  <c r="AB21" i="19"/>
  <c r="AB13" i="19"/>
  <c r="AB41" i="31"/>
  <c r="AB33" i="31"/>
  <c r="AB25" i="31"/>
  <c r="AB17" i="31"/>
  <c r="AB9" i="31"/>
  <c r="AB40" i="32"/>
  <c r="AB32" i="32"/>
  <c r="AB24" i="32"/>
  <c r="AB16" i="32"/>
  <c r="AB8" i="32"/>
  <c r="AB40" i="31"/>
  <c r="AB32" i="31"/>
  <c r="AB24" i="31"/>
  <c r="AB16" i="31"/>
  <c r="AB39" i="32"/>
  <c r="AB31" i="32"/>
  <c r="AB23" i="32"/>
  <c r="AB15" i="32"/>
  <c r="N5" i="38" l="1" a="1"/>
  <c r="N6" i="38" s="1"/>
  <c r="N5" i="38"/>
  <c r="N7" i="38"/>
  <c r="N14" i="38"/>
  <c r="N15" i="38"/>
  <c r="N19" i="38"/>
  <c r="N5" i="37" a="1"/>
  <c r="N5" i="37" s="1"/>
  <c r="N13" i="37"/>
  <c r="N5" i="36" a="1"/>
  <c r="N5" i="36"/>
  <c r="N6" i="36"/>
  <c r="N7" i="36"/>
  <c r="N8" i="36"/>
  <c r="N9" i="36"/>
  <c r="N10" i="36"/>
  <c r="N11" i="36"/>
  <c r="N5" i="35" a="1"/>
  <c r="N5" i="35"/>
  <c r="N6" i="35"/>
  <c r="N7" i="35"/>
  <c r="N8" i="35"/>
  <c r="N9" i="35"/>
  <c r="Y6" i="25" a="1"/>
  <c r="Y6" i="25"/>
  <c r="Y7" i="25"/>
  <c r="Y8" i="25"/>
  <c r="Y9" i="25"/>
  <c r="N11" i="37" l="1"/>
  <c r="N10" i="37"/>
  <c r="N13" i="38"/>
  <c r="N6" i="37"/>
  <c r="N12" i="38"/>
  <c r="N11" i="38"/>
  <c r="N7" i="37"/>
  <c r="N8" i="37"/>
  <c r="N9" i="37"/>
  <c r="N14" i="37"/>
  <c r="N20" i="38"/>
  <c r="N12" i="37"/>
  <c r="N8" i="38"/>
  <c r="N16" i="38"/>
  <c r="N9" i="38"/>
  <c r="N17" i="38"/>
  <c r="N10" i="38"/>
  <c r="N18" i="38"/>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13" i="6"/>
  <c r="E9" i="6"/>
  <c r="E14" i="6"/>
  <c r="E11" i="6"/>
  <c r="E15" i="6"/>
  <c r="E10" i="6"/>
  <c r="E17" i="6"/>
  <c r="E18" i="6"/>
  <c r="E21" i="6"/>
  <c r="E12" i="6"/>
  <c r="E20" i="6"/>
  <c r="E8" i="6"/>
  <c r="E6" i="6"/>
  <c r="E16" i="6"/>
  <c r="E19" i="6"/>
  <c r="E7" i="6"/>
  <c r="E22" i="6"/>
  <c r="S2" i="6" l="1"/>
  <c r="S8" i="6" s="1"/>
  <c r="Y2" i="6"/>
  <c r="J6" i="6"/>
  <c r="F11" i="6"/>
  <c r="V8" i="6"/>
  <c r="F13" i="6"/>
  <c r="F19" i="6"/>
  <c r="F10" i="6"/>
  <c r="F14" i="6"/>
  <c r="F15" i="6"/>
  <c r="F20" i="6"/>
  <c r="F6" i="6"/>
  <c r="F12" i="6"/>
  <c r="F8" i="6"/>
  <c r="F22" i="6"/>
  <c r="F17" i="6"/>
  <c r="F18" i="6"/>
  <c r="F21" i="6"/>
  <c r="F9" i="6"/>
  <c r="F7" i="6"/>
  <c r="J7" i="6"/>
  <c r="F16"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9" i="73"/>
  <c r="G5" i="73"/>
  <c r="G12" i="73"/>
  <c r="G6" i="73"/>
  <c r="G4" i="73"/>
  <c r="G10" i="73"/>
  <c r="G18" i="73"/>
  <c r="G14" i="73"/>
  <c r="G17" i="73"/>
  <c r="G7" i="73"/>
  <c r="G11" i="73"/>
  <c r="G15" i="73"/>
  <c r="G8" i="73"/>
  <c r="G16" i="73"/>
  <c r="D9" i="67"/>
  <c r="G13"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7" i="73"/>
  <c r="G14" i="72"/>
  <c r="G16" i="72"/>
  <c r="K8" i="73"/>
  <c r="K9" i="73"/>
  <c r="K17" i="73"/>
  <c r="K14" i="73"/>
  <c r="G7" i="72"/>
  <c r="K6" i="73"/>
  <c r="G10" i="72"/>
  <c r="G8" i="72"/>
  <c r="K12" i="73"/>
  <c r="G17" i="72"/>
  <c r="G6" i="72"/>
  <c r="K13" i="73"/>
  <c r="K16" i="73"/>
  <c r="G18" i="72"/>
  <c r="K18" i="73"/>
  <c r="G11" i="72"/>
  <c r="G9" i="72"/>
  <c r="G4" i="72"/>
  <c r="K5" i="73"/>
  <c r="K4" i="73"/>
  <c r="K10" i="73"/>
  <c r="G13" i="72"/>
  <c r="G12" i="72"/>
  <c r="K11" i="73"/>
  <c r="G5" i="72"/>
  <c r="G15" i="72"/>
  <c r="K15" i="73"/>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G5" i="71"/>
  <c r="K10" i="72"/>
  <c r="K9" i="72"/>
  <c r="K5" i="72"/>
  <c r="H12" i="73"/>
  <c r="H17" i="73"/>
  <c r="G12" i="71"/>
  <c r="G14" i="71"/>
  <c r="K6" i="72"/>
  <c r="K18" i="72"/>
  <c r="H10" i="73"/>
  <c r="G13" i="71"/>
  <c r="H15" i="73"/>
  <c r="H11" i="73"/>
  <c r="G7" i="71"/>
  <c r="H16" i="73"/>
  <c r="G9" i="71"/>
  <c r="G15" i="71"/>
  <c r="K4" i="72"/>
  <c r="H4" i="73"/>
  <c r="K14" i="72"/>
  <c r="H5" i="73"/>
  <c r="H14" i="73"/>
  <c r="G11" i="71"/>
  <c r="G16" i="71"/>
  <c r="H18" i="73"/>
  <c r="H13" i="73"/>
  <c r="G8" i="71"/>
  <c r="K7" i="72"/>
  <c r="G17" i="71"/>
  <c r="K17" i="72"/>
  <c r="H6" i="73"/>
  <c r="K16" i="72"/>
  <c r="G4" i="71"/>
  <c r="K15" i="72"/>
  <c r="K13" i="72"/>
  <c r="G10" i="71"/>
  <c r="K12" i="72"/>
  <c r="K11" i="72"/>
  <c r="G6" i="71"/>
  <c r="K8" i="72"/>
  <c r="G18" i="71"/>
  <c r="H7" i="73"/>
  <c r="H8" i="73"/>
  <c r="H9"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9" i="73"/>
  <c r="L8" i="73"/>
  <c r="L16" i="73"/>
  <c r="L11" i="73"/>
  <c r="L12" i="73"/>
  <c r="L17" i="73"/>
  <c r="L15" i="73"/>
  <c r="L13" i="73"/>
  <c r="L7" i="73"/>
  <c r="L10" i="73"/>
  <c r="L5" i="73"/>
  <c r="L6" i="73"/>
  <c r="L4" i="73"/>
  <c r="L18" i="73"/>
  <c r="K15" i="71"/>
  <c r="G10" i="70"/>
  <c r="H8" i="72"/>
  <c r="G16" i="70"/>
  <c r="N12" i="73"/>
  <c r="N8" i="73"/>
  <c r="K16" i="71"/>
  <c r="K12" i="71"/>
  <c r="N15" i="73"/>
  <c r="N10" i="73"/>
  <c r="G17" i="70"/>
  <c r="K9" i="71"/>
  <c r="H13" i="72"/>
  <c r="G15" i="70"/>
  <c r="N18" i="73"/>
  <c r="N6" i="73"/>
  <c r="G5" i="70"/>
  <c r="N4" i="73"/>
  <c r="H14" i="72"/>
  <c r="H18" i="72"/>
  <c r="G4" i="70"/>
  <c r="K10" i="71"/>
  <c r="G9" i="70"/>
  <c r="H4" i="72"/>
  <c r="H10" i="72"/>
  <c r="K11" i="71"/>
  <c r="G13" i="70"/>
  <c r="G7" i="70"/>
  <c r="K4" i="71"/>
  <c r="K14" i="71"/>
  <c r="K5" i="71"/>
  <c r="G11" i="70"/>
  <c r="N7" i="73"/>
  <c r="N14" i="73"/>
  <c r="G6" i="70"/>
  <c r="N13" i="73"/>
  <c r="K17" i="71"/>
  <c r="N9" i="73"/>
  <c r="H5" i="72"/>
  <c r="K7" i="71"/>
  <c r="K8" i="71"/>
  <c r="H17" i="72"/>
  <c r="H16" i="72"/>
  <c r="H12" i="72"/>
  <c r="N17" i="73"/>
  <c r="G8" i="70"/>
  <c r="N5" i="73"/>
  <c r="N11" i="73"/>
  <c r="G12" i="70"/>
  <c r="H6" i="72"/>
  <c r="H11" i="72"/>
  <c r="K18" i="71"/>
  <c r="G14" i="70"/>
  <c r="K6" i="71"/>
  <c r="N16" i="73"/>
  <c r="H9" i="72"/>
  <c r="K13" i="71"/>
  <c r="H7" i="72"/>
  <c r="H15" i="72"/>
  <c r="G18" i="70"/>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5" i="72"/>
  <c r="L7" i="72"/>
  <c r="L17" i="72"/>
  <c r="L14" i="72"/>
  <c r="L18" i="72"/>
  <c r="L4" i="72"/>
  <c r="L6" i="72"/>
  <c r="L16" i="72"/>
  <c r="L8" i="72"/>
  <c r="L13" i="72"/>
  <c r="L12" i="72"/>
  <c r="L11" i="72"/>
  <c r="L5" i="72"/>
  <c r="L10" i="72"/>
  <c r="L9" i="72"/>
  <c r="N15" i="72"/>
  <c r="N17" i="72"/>
  <c r="H5" i="71"/>
  <c r="G11" i="69"/>
  <c r="N9" i="72"/>
  <c r="K4" i="70"/>
  <c r="H12" i="71"/>
  <c r="G13" i="69"/>
  <c r="K14" i="70"/>
  <c r="N7" i="72"/>
  <c r="N6" i="70"/>
  <c r="K7" i="70"/>
  <c r="K17" i="70"/>
  <c r="G4" i="69"/>
  <c r="K9" i="70"/>
  <c r="N5" i="72"/>
  <c r="G5" i="69"/>
  <c r="K10" i="70"/>
  <c r="K16" i="70"/>
  <c r="K13" i="70"/>
  <c r="H14" i="71"/>
  <c r="N10" i="70"/>
  <c r="G7" i="69"/>
  <c r="H6" i="71"/>
  <c r="N18" i="72"/>
  <c r="N13" i="72"/>
  <c r="G15" i="69"/>
  <c r="G16" i="69"/>
  <c r="N11" i="72"/>
  <c r="G14" i="69"/>
  <c r="G17" i="69"/>
  <c r="N10" i="72"/>
  <c r="N17" i="70"/>
  <c r="K6" i="70"/>
  <c r="H4" i="71"/>
  <c r="N15" i="70"/>
  <c r="N13" i="70"/>
  <c r="H13" i="71"/>
  <c r="K12" i="70"/>
  <c r="H8" i="71"/>
  <c r="N14" i="70"/>
  <c r="H17" i="71"/>
  <c r="N4" i="72"/>
  <c r="N16" i="70"/>
  <c r="K18" i="70"/>
  <c r="G9" i="69"/>
  <c r="H15" i="71"/>
  <c r="G6" i="69"/>
  <c r="G12" i="69"/>
  <c r="N8" i="72"/>
  <c r="H16" i="71"/>
  <c r="N16" i="72"/>
  <c r="K8" i="70"/>
  <c r="G8" i="69"/>
  <c r="N14" i="72"/>
  <c r="H9" i="71"/>
  <c r="H7" i="71"/>
  <c r="K5" i="70"/>
  <c r="N12" i="72"/>
  <c r="H11" i="71"/>
  <c r="H18" i="71"/>
  <c r="K11" i="70"/>
  <c r="G10" i="69"/>
  <c r="K15" i="70"/>
  <c r="N6" i="72"/>
  <c r="G18" i="69"/>
  <c r="N11" i="70"/>
  <c r="H10" i="71"/>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9" i="71"/>
  <c r="L4" i="71"/>
  <c r="L13" i="71"/>
  <c r="L16" i="71"/>
  <c r="L7" i="71"/>
  <c r="L8" i="71"/>
  <c r="L17" i="71"/>
  <c r="L15" i="71"/>
  <c r="L5" i="71"/>
  <c r="L10" i="71"/>
  <c r="L14" i="71"/>
  <c r="L6" i="71"/>
  <c r="L12" i="71"/>
  <c r="L11" i="71"/>
  <c r="N13" i="71"/>
  <c r="N12" i="71"/>
  <c r="N4" i="71"/>
  <c r="K17" i="69"/>
  <c r="H18" i="70"/>
  <c r="K6" i="69"/>
  <c r="N18" i="71"/>
  <c r="K12" i="69"/>
  <c r="H12" i="70"/>
  <c r="N7" i="71"/>
  <c r="K13" i="69"/>
  <c r="N14" i="71"/>
  <c r="N8" i="71"/>
  <c r="N10" i="71"/>
  <c r="K11" i="69"/>
  <c r="H7" i="70"/>
  <c r="K10" i="69"/>
  <c r="N6" i="71"/>
  <c r="K14" i="69"/>
  <c r="K5" i="69"/>
  <c r="K9" i="69"/>
  <c r="N16" i="71"/>
  <c r="K16" i="69"/>
  <c r="H8" i="70"/>
  <c r="K8" i="69"/>
  <c r="K18" i="69"/>
  <c r="H4" i="70"/>
  <c r="K4" i="69"/>
  <c r="N11" i="71"/>
  <c r="K15" i="69"/>
  <c r="N5" i="71"/>
  <c r="H5" i="70"/>
  <c r="H9" i="70"/>
  <c r="N15" i="71"/>
  <c r="N9" i="71"/>
  <c r="K7" i="69"/>
  <c r="N17" i="71"/>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8" i="70"/>
  <c r="L7" i="70"/>
  <c r="L18" i="70"/>
  <c r="L9" i="70"/>
  <c r="L4" i="70"/>
  <c r="L5" i="70"/>
  <c r="L12" i="70"/>
  <c r="H7" i="69"/>
  <c r="H17" i="69"/>
  <c r="H9" i="69"/>
  <c r="H15" i="69"/>
  <c r="H6" i="69"/>
  <c r="N7" i="70"/>
  <c r="H5" i="69"/>
  <c r="N4" i="70"/>
  <c r="N8" i="70"/>
  <c r="H12" i="69"/>
  <c r="H8" i="69"/>
  <c r="H4" i="69"/>
  <c r="H16" i="69"/>
  <c r="H11" i="69"/>
  <c r="N9" i="70"/>
  <c r="N5" i="70"/>
  <c r="H14" i="69"/>
  <c r="H18" i="69"/>
  <c r="H10" i="69"/>
  <c r="N12" i="70"/>
  <c r="N18" i="70"/>
  <c r="H13" i="69"/>
  <c r="M7" i="70" l="1"/>
  <c r="O7" i="70" s="1"/>
  <c r="M9" i="70"/>
  <c r="O9" i="70" s="1"/>
  <c r="M5" i="70"/>
  <c r="O5" i="70" s="1"/>
  <c r="M8" i="70"/>
  <c r="O8" i="70" s="1"/>
  <c r="M18" i="70"/>
  <c r="O18" i="70" s="1"/>
  <c r="M4" i="70"/>
  <c r="O4" i="70" s="1"/>
  <c r="M12" i="70"/>
  <c r="O12" i="70" s="1"/>
  <c r="M2" i="71"/>
  <c r="L17" i="69"/>
  <c r="L4" i="69"/>
  <c r="L10" i="69"/>
  <c r="L14" i="69"/>
  <c r="L8" i="69"/>
  <c r="L18" i="69"/>
  <c r="L15" i="69"/>
  <c r="L12" i="69"/>
  <c r="L11" i="69"/>
  <c r="L7" i="69"/>
  <c r="L16" i="69"/>
  <c r="L9" i="69"/>
  <c r="L6" i="69"/>
  <c r="L5" i="69"/>
  <c r="L13" i="69"/>
  <c r="N8" i="69"/>
  <c r="N15" i="69"/>
  <c r="N7" i="69"/>
  <c r="N4" i="69"/>
  <c r="N18" i="69"/>
  <c r="N17" i="69"/>
  <c r="N10" i="69"/>
  <c r="N13" i="69"/>
  <c r="N12" i="69"/>
  <c r="N5" i="69"/>
  <c r="N11" i="69"/>
  <c r="N9" i="69"/>
  <c r="N14" i="69"/>
  <c r="N6" i="69"/>
  <c r="N16"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J4" i="21"/>
  <c r="M4" i="22"/>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5" i="23"/>
  <c r="U14" i="23"/>
  <c r="U12" i="23"/>
  <c r="U11" i="23"/>
  <c r="U13" i="23"/>
  <c r="U16" i="23"/>
  <c r="U17"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27" i="24"/>
  <c r="U48" i="24"/>
  <c r="U40" i="24"/>
  <c r="U36" i="24"/>
  <c r="U46" i="24"/>
  <c r="U23" i="24"/>
  <c r="U21" i="24"/>
  <c r="U37" i="24"/>
  <c r="U28" i="24"/>
  <c r="U43" i="24"/>
  <c r="U45" i="24"/>
  <c r="U30" i="24"/>
  <c r="U35" i="24"/>
  <c r="U32" i="24"/>
  <c r="U38" i="24"/>
  <c r="U22" i="24"/>
  <c r="U17" i="24"/>
  <c r="U33" i="24"/>
  <c r="U19" i="24"/>
  <c r="U31" i="24"/>
  <c r="U44" i="24"/>
  <c r="U13" i="24"/>
  <c r="U16" i="24"/>
  <c r="U39" i="24"/>
  <c r="U24" i="24"/>
  <c r="U29" i="24"/>
  <c r="U42" i="24"/>
  <c r="U20" i="24"/>
  <c r="U15" i="24"/>
  <c r="U34" i="24"/>
  <c r="U47" i="24"/>
  <c r="U25" i="24"/>
  <c r="U12" i="24"/>
  <c r="U14" i="24"/>
  <c r="U41" i="24"/>
  <c r="U18"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8" i="25"/>
  <c r="U9" i="25"/>
  <c r="U6" i="25"/>
  <c r="U7"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P5" i="26" s="1" a="1"/>
  <c r="R5" i="32"/>
  <c r="AJ5" i="32"/>
  <c r="P6" i="32"/>
  <c r="Q6" i="32"/>
  <c r="X6" i="32"/>
  <c r="P5" i="26" l="1"/>
  <c r="P6" i="26"/>
  <c r="R6" i="32"/>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R19" i="19" s="1"/>
  <c r="Q19" i="19"/>
  <c r="V19" i="19"/>
  <c r="W19" i="19" l="1"/>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0" i="28"/>
  <c r="Y52" i="28"/>
  <c r="Y51" i="28"/>
  <c r="Y55" i="28"/>
  <c r="Y53" i="28"/>
  <c r="Y54"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19" i="49"/>
  <c r="J15" i="49"/>
  <c r="J34" i="49"/>
  <c r="J6" i="49"/>
  <c r="J20" i="49"/>
  <c r="J26" i="49"/>
  <c r="J9" i="49"/>
  <c r="J23" i="49"/>
  <c r="J3" i="49"/>
  <c r="J21" i="49"/>
  <c r="J10" i="49"/>
  <c r="J38" i="49"/>
  <c r="J28" i="49"/>
  <c r="J39" i="49"/>
  <c r="J25" i="49"/>
  <c r="J4" i="49"/>
  <c r="J33" i="49"/>
  <c r="J13" i="49"/>
  <c r="J11" i="49"/>
  <c r="J22" i="49"/>
  <c r="J27" i="49"/>
  <c r="J16" i="49"/>
  <c r="J12" i="49"/>
  <c r="J14" i="49"/>
  <c r="J18" i="49"/>
  <c r="J8" i="49"/>
  <c r="J5" i="49"/>
  <c r="J7" i="49"/>
  <c r="J30" i="49"/>
  <c r="J31" i="49"/>
  <c r="J35" i="49"/>
  <c r="J32" i="49"/>
  <c r="J17" i="49"/>
  <c r="J29" i="49"/>
  <c r="J24" i="49"/>
  <c r="J36" i="49"/>
  <c r="J37"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22" i="49"/>
  <c r="K36" i="49"/>
  <c r="K9" i="49"/>
  <c r="K12" i="49"/>
  <c r="K15" i="49"/>
  <c r="K21" i="49"/>
  <c r="K27" i="49"/>
  <c r="K38" i="49"/>
  <c r="K5" i="49"/>
  <c r="K39" i="49"/>
  <c r="K18" i="49"/>
  <c r="K19" i="49"/>
  <c r="K7" i="49"/>
  <c r="K29" i="49"/>
  <c r="K3" i="49"/>
  <c r="K28" i="49"/>
  <c r="K35" i="49"/>
  <c r="K6" i="49"/>
  <c r="K17" i="49"/>
  <c r="K26" i="49"/>
  <c r="K37" i="49"/>
  <c r="K2" i="49"/>
  <c r="K16" i="49"/>
  <c r="K24" i="49"/>
  <c r="K20" i="49"/>
  <c r="K23" i="49"/>
  <c r="K31" i="49"/>
  <c r="K4" i="49"/>
  <c r="K8" i="49"/>
  <c r="K13" i="49"/>
  <c r="K30" i="49"/>
  <c r="K10" i="49"/>
  <c r="K32" i="49"/>
  <c r="K14" i="49"/>
  <c r="K33" i="49"/>
  <c r="K11" i="49"/>
  <c r="K25" i="49"/>
  <c r="K34"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4" i="43"/>
  <c r="K21" i="40"/>
  <c r="K11" i="43"/>
  <c r="K14" i="40"/>
  <c r="K8" i="40"/>
  <c r="K17" i="40"/>
  <c r="K35" i="40"/>
  <c r="K27" i="40"/>
  <c r="K4" i="43"/>
  <c r="K32" i="43"/>
  <c r="K16" i="43"/>
  <c r="K10" i="43"/>
  <c r="K25" i="40"/>
  <c r="K35" i="43"/>
  <c r="K24" i="43"/>
  <c r="K31" i="43"/>
  <c r="K7" i="43"/>
  <c r="K12" i="40"/>
  <c r="K9" i="40"/>
  <c r="K5" i="40"/>
  <c r="K16" i="40"/>
  <c r="K22" i="43"/>
  <c r="K29" i="40"/>
  <c r="K8" i="43"/>
  <c r="K19" i="40"/>
  <c r="K13" i="43"/>
  <c r="K27" i="43"/>
  <c r="K29" i="43"/>
  <c r="K24" i="40"/>
  <c r="K11" i="40"/>
  <c r="K15" i="43"/>
  <c r="K23" i="43"/>
  <c r="K34" i="40"/>
  <c r="K26" i="43"/>
  <c r="K21" i="43"/>
  <c r="K5" i="43"/>
  <c r="K6" i="43"/>
  <c r="K22" i="40"/>
  <c r="K25" i="43"/>
  <c r="K4" i="40"/>
  <c r="K33" i="40"/>
  <c r="K12" i="43"/>
  <c r="K30" i="40"/>
  <c r="K36" i="40"/>
  <c r="K30" i="43"/>
  <c r="K28" i="40"/>
  <c r="K20" i="40"/>
  <c r="K17" i="43"/>
  <c r="K9" i="43"/>
  <c r="K28" i="43"/>
  <c r="K10" i="40"/>
  <c r="K15" i="40"/>
  <c r="K13" i="40"/>
  <c r="K26" i="40"/>
  <c r="K34" i="43"/>
  <c r="K23" i="40"/>
  <c r="K32" i="40"/>
  <c r="K33" i="43"/>
  <c r="K20" i="43"/>
  <c r="K18" i="40"/>
  <c r="K19" i="43"/>
  <c r="K31" i="40"/>
  <c r="K36" i="43"/>
  <c r="K18" i="43"/>
  <c r="K6" i="40"/>
  <c r="K7" i="40"/>
  <c r="K2" i="41"/>
  <c r="K2" i="40"/>
  <c r="J2" i="42" l="1"/>
  <c r="J2" i="43"/>
  <c r="C1" i="38"/>
  <c r="L25" i="40"/>
  <c r="L36" i="40"/>
  <c r="L33" i="43"/>
  <c r="L25" i="43"/>
  <c r="L30" i="40"/>
  <c r="L35" i="40"/>
  <c r="L23" i="43"/>
  <c r="L29" i="43"/>
  <c r="L20" i="40"/>
  <c r="L12" i="40"/>
  <c r="L26" i="43"/>
  <c r="L32" i="43"/>
  <c r="L4" i="43"/>
  <c r="L24" i="40"/>
  <c r="L10" i="43"/>
  <c r="L18" i="40"/>
  <c r="L7" i="43"/>
  <c r="K2" i="43"/>
  <c r="L13" i="43"/>
  <c r="L34" i="40"/>
  <c r="L21" i="43"/>
  <c r="L28" i="40"/>
  <c r="L7" i="40"/>
  <c r="L14" i="43"/>
  <c r="L19" i="43"/>
  <c r="L26" i="40"/>
  <c r="L29" i="40"/>
  <c r="L4" i="40"/>
  <c r="L11" i="43"/>
  <c r="L32" i="40"/>
  <c r="L6" i="43"/>
  <c r="L13" i="40"/>
  <c r="L18" i="43"/>
  <c r="L21" i="40"/>
  <c r="L31" i="43"/>
  <c r="L17" i="43"/>
  <c r="L12" i="43"/>
  <c r="L24" i="43"/>
  <c r="L5" i="43"/>
  <c r="L9" i="40"/>
  <c r="L22" i="43"/>
  <c r="L23" i="40"/>
  <c r="L8" i="40"/>
  <c r="L27" i="40"/>
  <c r="L6" i="40"/>
  <c r="L8" i="43"/>
  <c r="L11" i="40"/>
  <c r="L31" i="40"/>
  <c r="L17" i="40"/>
  <c r="L2" i="40"/>
  <c r="L22" i="40"/>
  <c r="L16" i="43"/>
  <c r="L19" i="40"/>
  <c r="L36" i="43"/>
  <c r="L5" i="40"/>
  <c r="L2" i="41"/>
  <c r="L14" i="40"/>
  <c r="L16" i="40"/>
  <c r="L10" i="40"/>
  <c r="L9" i="43"/>
  <c r="L35" i="43"/>
  <c r="L27" i="43"/>
  <c r="L34" i="43"/>
  <c r="L15" i="43"/>
  <c r="L30" i="43"/>
  <c r="L20" i="43"/>
  <c r="L33" i="40"/>
  <c r="L15" i="40"/>
  <c r="L28" i="43"/>
  <c r="K2" i="42"/>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4" i="38"/>
  <c r="D46" i="38"/>
  <c r="D17" i="38"/>
  <c r="D37" i="38"/>
  <c r="D44" i="38"/>
  <c r="D5" i="38"/>
  <c r="D42" i="38"/>
  <c r="D45" i="38"/>
  <c r="D53" i="38"/>
  <c r="D32" i="38"/>
  <c r="D57" i="38"/>
  <c r="D28" i="38"/>
  <c r="D22" i="38"/>
  <c r="D6" i="38"/>
  <c r="D23" i="38"/>
  <c r="D8" i="38"/>
  <c r="D11" i="38"/>
  <c r="D33" i="38"/>
  <c r="D18" i="38"/>
  <c r="D15" i="38"/>
  <c r="D10" i="38"/>
  <c r="D7" i="38"/>
  <c r="D19" i="38"/>
  <c r="D43" i="38"/>
  <c r="D49" i="38"/>
  <c r="D61" i="38"/>
  <c r="D58" i="38"/>
  <c r="D35" i="38"/>
  <c r="D38" i="38"/>
  <c r="D39" i="38"/>
  <c r="D62" i="38"/>
  <c r="D34" i="38"/>
  <c r="D25" i="38"/>
  <c r="D51" i="38"/>
  <c r="D3" i="38"/>
  <c r="D31" i="38"/>
  <c r="D50" i="38"/>
  <c r="D12" i="38"/>
  <c r="D21" i="38"/>
  <c r="D54" i="38"/>
  <c r="D63" i="38"/>
  <c r="D20" i="38"/>
  <c r="D60" i="38"/>
  <c r="D16" i="38"/>
  <c r="D14" i="38"/>
  <c r="D59" i="38"/>
  <c r="D48" i="38"/>
  <c r="D55" i="38"/>
  <c r="D30" i="38"/>
  <c r="D56" i="38"/>
  <c r="D40" i="38"/>
  <c r="D47" i="38"/>
  <c r="D26" i="38"/>
  <c r="D13" i="38"/>
  <c r="D9" i="38"/>
  <c r="D52" i="38"/>
  <c r="D29" i="38"/>
  <c r="D27" i="38"/>
  <c r="D41" i="38"/>
  <c r="D4" i="38"/>
  <c r="D36" i="38"/>
  <c r="D64" i="38"/>
  <c r="L2" i="42"/>
  <c r="L2" i="43"/>
  <c r="C2" i="37" l="1"/>
  <c r="C3" i="37"/>
  <c r="C4" i="37"/>
  <c r="C5" i="37"/>
  <c r="C6" i="37"/>
  <c r="C7" i="37"/>
  <c r="C8" i="37"/>
  <c r="C9" i="37"/>
  <c r="C10" i="37"/>
  <c r="C11" i="37"/>
  <c r="C12" i="37"/>
  <c r="C13" i="37"/>
  <c r="C14" i="37"/>
  <c r="C15" i="37"/>
  <c r="C16" i="37"/>
  <c r="C1" i="36"/>
  <c r="Y31" i="38"/>
  <c r="E23" i="38"/>
  <c r="E53" i="38"/>
  <c r="Y33" i="38"/>
  <c r="Y61" i="38"/>
  <c r="E4" i="38"/>
  <c r="Y35" i="38"/>
  <c r="D8" i="37"/>
  <c r="Y43" i="38"/>
  <c r="E47" i="38"/>
  <c r="D13" i="37"/>
  <c r="E26" i="38"/>
  <c r="E44" i="38"/>
  <c r="E8" i="38"/>
  <c r="Y57" i="38"/>
  <c r="E12" i="38"/>
  <c r="Y51" i="38"/>
  <c r="E39" i="38"/>
  <c r="Y55" i="38"/>
  <c r="E16" i="38"/>
  <c r="E61" i="38"/>
  <c r="E54" i="38"/>
  <c r="Y29" i="38"/>
  <c r="E36" i="38"/>
  <c r="E34" i="38"/>
  <c r="E63" i="38"/>
  <c r="E57" i="38"/>
  <c r="Y38" i="38"/>
  <c r="E25" i="38"/>
  <c r="D5" i="37"/>
  <c r="Y60" i="38"/>
  <c r="Y56" i="38"/>
  <c r="E24" i="38"/>
  <c r="E15" i="38"/>
  <c r="E17" i="38"/>
  <c r="Y62" i="38"/>
  <c r="D10" i="37"/>
  <c r="D6" i="37"/>
  <c r="E35" i="38"/>
  <c r="Y44" i="38"/>
  <c r="Y36" i="38"/>
  <c r="E31" i="38"/>
  <c r="E18" i="38"/>
  <c r="E6" i="38"/>
  <c r="E28" i="38"/>
  <c r="D14" i="37"/>
  <c r="E13" i="38"/>
  <c r="E59" i="38"/>
  <c r="D4" i="37"/>
  <c r="E37" i="38"/>
  <c r="Y59" i="38"/>
  <c r="D3" i="37"/>
  <c r="E43" i="38"/>
  <c r="E3" i="38"/>
  <c r="E7" i="38"/>
  <c r="Y34" i="38"/>
  <c r="E22" i="38"/>
  <c r="Y22" i="38"/>
  <c r="E21" i="38"/>
  <c r="D15" i="37"/>
  <c r="Y52" i="38"/>
  <c r="E20" i="38"/>
  <c r="D11" i="37"/>
  <c r="D12" i="37"/>
  <c r="Y32" i="38"/>
  <c r="Y49" i="38"/>
  <c r="E55" i="38"/>
  <c r="E19" i="38"/>
  <c r="D9" i="37"/>
  <c r="Y58" i="38"/>
  <c r="E52" i="38"/>
  <c r="E30" i="38"/>
  <c r="Y37" i="38"/>
  <c r="Y26" i="38"/>
  <c r="E49" i="38"/>
  <c r="Y64" i="38"/>
  <c r="Y28" i="38"/>
  <c r="Y63" i="38"/>
  <c r="E10" i="38"/>
  <c r="E32" i="38"/>
  <c r="Y30" i="38"/>
  <c r="Y42" i="38"/>
  <c r="E42" i="38"/>
  <c r="E14" i="38"/>
  <c r="Y47" i="38"/>
  <c r="E11" i="38"/>
  <c r="D7" i="37"/>
  <c r="E56" i="38"/>
  <c r="E58" i="38"/>
  <c r="Y46" i="38"/>
  <c r="Y48" i="38"/>
  <c r="Y41" i="38"/>
  <c r="E40" i="38"/>
  <c r="Y25" i="38"/>
  <c r="E64" i="38"/>
  <c r="Y50" i="38"/>
  <c r="D16" i="37"/>
  <c r="E46" i="38"/>
  <c r="E48" i="38"/>
  <c r="E51" i="38"/>
  <c r="E50" i="38"/>
  <c r="E38" i="38"/>
  <c r="Y27" i="38"/>
  <c r="E41" i="38"/>
  <c r="Y39" i="38"/>
  <c r="E33" i="38"/>
  <c r="Y23" i="38"/>
  <c r="E60" i="38"/>
  <c r="E29" i="38"/>
  <c r="Y21" i="38"/>
  <c r="Y40" i="38"/>
  <c r="E62" i="38"/>
  <c r="Y53" i="38"/>
  <c r="Y54" i="38"/>
  <c r="E5" i="38"/>
  <c r="Y45" i="38"/>
  <c r="E27" i="38"/>
  <c r="E9" i="38"/>
  <c r="Y24" i="38"/>
  <c r="E45" i="38"/>
  <c r="O13" i="38"/>
  <c r="O14" i="38"/>
  <c r="O8" i="38"/>
  <c r="O20" i="38"/>
  <c r="O10" i="38"/>
  <c r="O7" i="38"/>
  <c r="O17" i="38"/>
  <c r="O15" i="38"/>
  <c r="O6" i="38"/>
  <c r="O11" i="38"/>
  <c r="O16" i="38"/>
  <c r="O18" i="38"/>
  <c r="O12" i="38"/>
  <c r="O5" i="38"/>
  <c r="O19" i="38"/>
  <c r="O9" i="38"/>
  <c r="C2" i="36" l="1"/>
  <c r="C3" i="36"/>
  <c r="C4" i="36"/>
  <c r="C5" i="36"/>
  <c r="C6" i="36"/>
  <c r="C7" i="36"/>
  <c r="C8" i="36"/>
  <c r="C9" i="36"/>
  <c r="C10" i="36"/>
  <c r="C11" i="36"/>
  <c r="C12" i="36"/>
  <c r="C13" i="36"/>
  <c r="C1" i="35"/>
  <c r="E6" i="37"/>
  <c r="E7" i="37"/>
  <c r="E12" i="37"/>
  <c r="E5" i="37"/>
  <c r="D4" i="36"/>
  <c r="E4" i="37"/>
  <c r="D13" i="36"/>
  <c r="D8" i="36"/>
  <c r="E13" i="37"/>
  <c r="E8" i="37"/>
  <c r="E9" i="37"/>
  <c r="D6" i="36"/>
  <c r="E11" i="37"/>
  <c r="E16" i="37"/>
  <c r="E15" i="37"/>
  <c r="D7" i="36"/>
  <c r="E3" i="37"/>
  <c r="D10" i="36"/>
  <c r="D11" i="36"/>
  <c r="E10" i="37"/>
  <c r="D9" i="36"/>
  <c r="D3" i="36"/>
  <c r="D12" i="36"/>
  <c r="E14" i="37"/>
  <c r="D5" i="36"/>
  <c r="O5" i="37"/>
  <c r="O9" i="37"/>
  <c r="O7" i="37"/>
  <c r="O14" i="37"/>
  <c r="O6" i="37"/>
  <c r="O12" i="37"/>
  <c r="O13" i="37"/>
  <c r="O8" i="37"/>
  <c r="O10" i="37"/>
  <c r="O11" i="37"/>
  <c r="C2" i="35" l="1"/>
  <c r="C3" i="35"/>
  <c r="C4" i="35"/>
  <c r="C5" i="35"/>
  <c r="C6" i="35"/>
  <c r="C7" i="35"/>
  <c r="C8" i="35"/>
  <c r="C9" i="35"/>
  <c r="C10" i="35"/>
  <c r="C11" i="35"/>
  <c r="C2" i="34"/>
  <c r="C3" i="34"/>
  <c r="C4" i="34"/>
  <c r="E6" i="36"/>
  <c r="D5" i="35"/>
  <c r="E5" i="36"/>
  <c r="D3" i="35"/>
  <c r="D8" i="35"/>
  <c r="E7" i="36"/>
  <c r="D3" i="34"/>
  <c r="E12" i="36"/>
  <c r="D6" i="35"/>
  <c r="E9" i="36"/>
  <c r="D7" i="35"/>
  <c r="E13" i="36"/>
  <c r="E8" i="36"/>
  <c r="E11" i="36"/>
  <c r="D11" i="35"/>
  <c r="D9" i="35"/>
  <c r="D10" i="35"/>
  <c r="D4" i="34"/>
  <c r="E10" i="36"/>
  <c r="E3" i="36"/>
  <c r="D4" i="35"/>
  <c r="E4" i="36"/>
  <c r="O5" i="36"/>
  <c r="O7" i="36"/>
  <c r="O10" i="36"/>
  <c r="O8" i="36"/>
  <c r="O11" i="36"/>
  <c r="O9" i="36"/>
  <c r="O6" i="36"/>
  <c r="D2" i="37"/>
  <c r="D2" i="34"/>
  <c r="D2" i="36"/>
  <c r="D2" i="38"/>
  <c r="D2" i="35"/>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18" i="28"/>
  <c r="F14" i="29"/>
  <c r="F9" i="28"/>
  <c r="F15" i="29"/>
  <c r="F5" i="28"/>
  <c r="E5" i="35"/>
  <c r="F10" i="30"/>
  <c r="F20" i="28"/>
  <c r="F17" i="28"/>
  <c r="F34" i="28"/>
  <c r="F27" i="28"/>
  <c r="E7" i="35"/>
  <c r="F36" i="28"/>
  <c r="F28" i="28"/>
  <c r="D42" i="28"/>
  <c r="F12" i="29"/>
  <c r="F30" i="28"/>
  <c r="E6" i="35"/>
  <c r="F8" i="28"/>
  <c r="E3" i="34"/>
  <c r="E11" i="35"/>
  <c r="F10" i="29"/>
  <c r="F7" i="28"/>
  <c r="E8" i="35"/>
  <c r="F6" i="29"/>
  <c r="F6" i="30"/>
  <c r="F25" i="28"/>
  <c r="F16" i="28"/>
  <c r="F13" i="28"/>
  <c r="F31" i="28"/>
  <c r="F14" i="28"/>
  <c r="F6" i="28"/>
  <c r="F15" i="28"/>
  <c r="F11" i="28"/>
  <c r="F10" i="28"/>
  <c r="F35" i="28"/>
  <c r="F40" i="28"/>
  <c r="F12" i="28"/>
  <c r="E3" i="35"/>
  <c r="F7" i="29"/>
  <c r="F9" i="30"/>
  <c r="F26" i="28"/>
  <c r="F9" i="29"/>
  <c r="F37" i="28"/>
  <c r="F38" i="28"/>
  <c r="F32" i="28"/>
  <c r="E9" i="35"/>
  <c r="F29" i="28"/>
  <c r="F5" i="29"/>
  <c r="F11" i="29"/>
  <c r="F8" i="30"/>
  <c r="E10" i="35"/>
  <c r="F11" i="30"/>
  <c r="E4" i="34"/>
  <c r="F5" i="30"/>
  <c r="F33" i="28"/>
  <c r="F23" i="28"/>
  <c r="F39" i="28"/>
  <c r="F24" i="28"/>
  <c r="E4" i="35"/>
  <c r="F21" i="28"/>
  <c r="F7" i="30"/>
  <c r="F19" i="28"/>
  <c r="F8" i="29"/>
  <c r="F13" i="29"/>
  <c r="F22" i="28"/>
  <c r="Y7" i="30"/>
  <c r="O6" i="35"/>
  <c r="Y6" i="30"/>
  <c r="Y9" i="30"/>
  <c r="Y8" i="30"/>
  <c r="Y10" i="30"/>
  <c r="O5" i="35"/>
  <c r="O8" i="35"/>
  <c r="Y5" i="30"/>
  <c r="O7" i="35"/>
  <c r="Y11" i="30"/>
  <c r="O9" i="35"/>
  <c r="E2" i="38"/>
  <c r="E2" i="34"/>
  <c r="E2" i="37"/>
  <c r="E2" i="36"/>
  <c r="E2" i="35"/>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14" i="28"/>
  <c r="F42" i="28"/>
  <c r="G12" i="29"/>
  <c r="G32" i="28"/>
  <c r="G9" i="29"/>
  <c r="G6" i="29"/>
  <c r="G15" i="29"/>
  <c r="G18" i="28"/>
  <c r="F19" i="31"/>
  <c r="G12" i="28"/>
  <c r="G15" i="28"/>
  <c r="G17" i="28"/>
  <c r="G10" i="28"/>
  <c r="G23" i="28"/>
  <c r="F11" i="32"/>
  <c r="F35" i="32"/>
  <c r="F32" i="31"/>
  <c r="G9" i="30"/>
  <c r="G7" i="30"/>
  <c r="G39" i="28"/>
  <c r="G13" i="28"/>
  <c r="F38" i="31"/>
  <c r="F22" i="32"/>
  <c r="G22" i="28"/>
  <c r="F30" i="31"/>
  <c r="G20" i="28"/>
  <c r="F27" i="31"/>
  <c r="G29" i="28"/>
  <c r="G10" i="29"/>
  <c r="G19" i="28"/>
  <c r="G30" i="28"/>
  <c r="D43" i="28"/>
  <c r="G33" i="28"/>
  <c r="G35" i="28"/>
  <c r="G21" i="28"/>
  <c r="G31" i="28"/>
  <c r="G13" i="29"/>
  <c r="G26" i="28"/>
  <c r="F38" i="32"/>
  <c r="G10" i="30"/>
  <c r="G24" i="28"/>
  <c r="F27" i="32"/>
  <c r="F19" i="32"/>
  <c r="G7" i="29"/>
  <c r="G8" i="28"/>
  <c r="G5" i="29"/>
  <c r="G6" i="28"/>
  <c r="G40" i="28"/>
  <c r="G28" i="28"/>
  <c r="G14" i="29"/>
  <c r="G7" i="28"/>
  <c r="F16" i="31"/>
  <c r="F22" i="31"/>
  <c r="F24" i="31"/>
  <c r="G11" i="29"/>
  <c r="F35" i="31"/>
  <c r="G11" i="28"/>
  <c r="G8" i="30"/>
  <c r="G37" i="28"/>
  <c r="G9" i="28"/>
  <c r="G11" i="30"/>
  <c r="G36" i="28"/>
  <c r="G5" i="28"/>
  <c r="G6" i="30"/>
  <c r="G27" i="28"/>
  <c r="F30" i="32"/>
  <c r="G5" i="30"/>
  <c r="G34" i="28"/>
  <c r="G38" i="28"/>
  <c r="G8" i="29"/>
  <c r="G25" i="28"/>
  <c r="G16" i="28"/>
  <c r="Y14" i="28"/>
  <c r="Y12" i="29"/>
  <c r="Y15" i="29"/>
  <c r="Y11" i="28"/>
  <c r="Y27" i="28"/>
  <c r="Y8" i="28"/>
  <c r="Y10" i="28"/>
  <c r="Y7" i="28"/>
  <c r="Y6" i="28"/>
  <c r="Y7" i="29"/>
  <c r="Y37" i="28"/>
  <c r="Y6" i="29"/>
  <c r="Y11" i="29"/>
  <c r="Y19" i="28"/>
  <c r="Y9" i="29"/>
  <c r="Y30" i="28"/>
  <c r="Y17" i="28"/>
  <c r="Y39" i="28"/>
  <c r="Y22" i="28"/>
  <c r="Y14" i="29"/>
  <c r="Y25" i="28"/>
  <c r="Y36" i="28"/>
  <c r="Y34" i="28"/>
  <c r="Y33" i="28"/>
  <c r="Y9" i="28"/>
  <c r="Y35" i="28"/>
  <c r="Y24" i="28"/>
  <c r="Y15" i="28"/>
  <c r="Y16" i="28"/>
  <c r="Y12" i="28"/>
  <c r="Y28" i="28"/>
  <c r="Y32" i="28"/>
  <c r="Y13" i="28"/>
  <c r="Y23" i="28"/>
  <c r="Y26" i="28"/>
  <c r="Y5" i="29"/>
  <c r="Y10" i="29"/>
  <c r="Y13" i="29"/>
  <c r="Y29" i="28"/>
  <c r="Y38" i="28"/>
  <c r="Y31" i="28"/>
  <c r="Y18" i="28"/>
  <c r="Y21" i="28"/>
  <c r="Y40" i="28"/>
  <c r="Y8" i="29"/>
  <c r="Y20" i="28"/>
  <c r="Y5"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0" i="31"/>
  <c r="F36" i="31"/>
  <c r="G42" i="28"/>
  <c r="D44" i="28"/>
  <c r="F43" i="28"/>
  <c r="F39" i="32"/>
  <c r="F34" i="32"/>
  <c r="F13" i="32"/>
  <c r="F17" i="32"/>
  <c r="F23" i="31"/>
  <c r="G24" i="31"/>
  <c r="F6" i="32"/>
  <c r="F32" i="32"/>
  <c r="G35" i="32"/>
  <c r="F31" i="32"/>
  <c r="F21" i="32"/>
  <c r="F25" i="31"/>
  <c r="F15" i="31"/>
  <c r="F9" i="32"/>
  <c r="F10" i="31"/>
  <c r="F25" i="32"/>
  <c r="F29" i="31"/>
  <c r="G30" i="31"/>
  <c r="F41" i="31"/>
  <c r="F28" i="31"/>
  <c r="F21" i="31"/>
  <c r="F14" i="32"/>
  <c r="F7" i="31"/>
  <c r="F24" i="32"/>
  <c r="F7" i="32"/>
  <c r="F33" i="31"/>
  <c r="F29" i="32"/>
  <c r="F20" i="31"/>
  <c r="F23" i="32"/>
  <c r="F14" i="31"/>
  <c r="F26" i="31"/>
  <c r="F41" i="32"/>
  <c r="G32" i="31"/>
  <c r="G16" i="31"/>
  <c r="F28" i="32"/>
  <c r="F15" i="32"/>
  <c r="G35" i="31"/>
  <c r="G11" i="32"/>
  <c r="F34" i="31"/>
  <c r="F12" i="31"/>
  <c r="F31" i="31"/>
  <c r="F6" i="31"/>
  <c r="F37" i="31"/>
  <c r="F33" i="32"/>
  <c r="F17" i="31"/>
  <c r="F8" i="32"/>
  <c r="F12" i="32"/>
  <c r="F18" i="32"/>
  <c r="F8" i="31"/>
  <c r="G22" i="31"/>
  <c r="F13" i="31"/>
  <c r="G38" i="31"/>
  <c r="F26" i="32"/>
  <c r="G38" i="32"/>
  <c r="F20" i="32"/>
  <c r="G19" i="31"/>
  <c r="G19" i="32"/>
  <c r="F11" i="31"/>
  <c r="G22" i="32"/>
  <c r="F18" i="31"/>
  <c r="F9" i="31"/>
  <c r="F10" i="32"/>
  <c r="G27" i="31"/>
  <c r="F39" i="31"/>
  <c r="G27" i="32"/>
  <c r="F42" i="32"/>
  <c r="F42" i="31"/>
  <c r="F37" i="32"/>
  <c r="F40" i="32"/>
  <c r="G30" i="32"/>
  <c r="F16" i="32"/>
  <c r="F36" i="32"/>
  <c r="AC19" i="31"/>
  <c r="AC32" i="31"/>
  <c r="AC27" i="32"/>
  <c r="AC38" i="31"/>
  <c r="AC35" i="32"/>
  <c r="AC27" i="31"/>
  <c r="AC22" i="31"/>
  <c r="AC38" i="32"/>
  <c r="AC19" i="32"/>
  <c r="AC11" i="32"/>
  <c r="AC16" i="31"/>
  <c r="AC35" i="31"/>
  <c r="AC30" i="32"/>
  <c r="AC24" i="31"/>
  <c r="AC22" i="32"/>
  <c r="AC30"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41" i="32"/>
  <c r="G8" i="32"/>
  <c r="G9" i="31"/>
  <c r="G23" i="31"/>
  <c r="G21" i="32"/>
  <c r="G23" i="32"/>
  <c r="F44" i="28"/>
  <c r="G12" i="31"/>
  <c r="G24" i="32"/>
  <c r="G10" i="31"/>
  <c r="G11" i="31"/>
  <c r="G31" i="31"/>
  <c r="G9" i="32"/>
  <c r="G37" i="32"/>
  <c r="G29" i="32"/>
  <c r="G10" i="32"/>
  <c r="G26" i="32"/>
  <c r="G16" i="32"/>
  <c r="G21" i="31"/>
  <c r="G39" i="32"/>
  <c r="G28" i="32"/>
  <c r="G20" i="31"/>
  <c r="G33" i="32"/>
  <c r="G18" i="32"/>
  <c r="G17" i="31"/>
  <c r="G36" i="32"/>
  <c r="G29" i="31"/>
  <c r="G39" i="31"/>
  <c r="G40" i="31"/>
  <c r="G7" i="32"/>
  <c r="G28" i="31"/>
  <c r="G31" i="32"/>
  <c r="G42" i="31"/>
  <c r="G34" i="31"/>
  <c r="G14" i="32"/>
  <c r="G6" i="32"/>
  <c r="G13" i="32"/>
  <c r="G32" i="32"/>
  <c r="G8" i="31"/>
  <c r="G25" i="32"/>
  <c r="G34" i="32"/>
  <c r="G15" i="32"/>
  <c r="G15" i="31"/>
  <c r="G37" i="31"/>
  <c r="G33" i="31"/>
  <c r="G20" i="32"/>
  <c r="G40" i="32"/>
  <c r="G6" i="31"/>
  <c r="G26" i="31"/>
  <c r="G42" i="32"/>
  <c r="G18" i="31"/>
  <c r="D45" i="28"/>
  <c r="G7" i="31"/>
  <c r="G36" i="31"/>
  <c r="G41" i="31"/>
  <c r="G25" i="31"/>
  <c r="G43" i="28"/>
  <c r="G13" i="31"/>
  <c r="G12" i="32"/>
  <c r="G14" i="31"/>
  <c r="G17" i="32"/>
  <c r="AC13" i="32"/>
  <c r="AC31" i="31"/>
  <c r="AC20" i="32"/>
  <c r="AC41" i="32"/>
  <c r="AC16" i="32"/>
  <c r="AC42" i="31"/>
  <c r="AC25" i="31"/>
  <c r="AC9" i="32"/>
  <c r="AC18" i="31"/>
  <c r="AC40" i="31"/>
  <c r="AC29" i="32"/>
  <c r="AC21" i="31"/>
  <c r="AC17" i="31"/>
  <c r="AC26" i="32"/>
  <c r="AC36" i="32"/>
  <c r="AC6" i="32"/>
  <c r="AC33" i="32"/>
  <c r="AC7" i="31"/>
  <c r="AC32" i="32"/>
  <c r="AC36" i="31"/>
  <c r="AC14" i="32"/>
  <c r="AC14" i="31"/>
  <c r="AC7" i="32"/>
  <c r="AC12" i="31"/>
  <c r="AC21" i="32"/>
  <c r="AC11" i="31"/>
  <c r="AC12" i="32"/>
  <c r="AC41" i="31"/>
  <c r="AC28" i="31"/>
  <c r="AC37" i="32"/>
  <c r="AC23" i="31"/>
  <c r="AC17" i="32"/>
  <c r="AC9" i="31"/>
  <c r="AC33" i="31"/>
  <c r="AC29" i="31"/>
  <c r="AC34" i="32"/>
  <c r="AC23" i="32"/>
  <c r="AC6" i="31"/>
  <c r="AC37" i="31"/>
  <c r="AC8" i="32"/>
  <c r="AC42" i="32"/>
  <c r="AC39" i="32"/>
  <c r="AC10" i="32"/>
  <c r="AC20" i="31"/>
  <c r="AC31" i="32"/>
  <c r="AC8" i="31"/>
  <c r="AC34" i="31"/>
  <c r="AC10" i="31"/>
  <c r="AC18" i="32"/>
  <c r="AC39" i="31"/>
  <c r="AC13" i="31"/>
  <c r="AC28" i="32"/>
  <c r="AC24" i="32"/>
  <c r="AC40" i="32"/>
  <c r="AC15" i="32"/>
  <c r="AC15" i="31"/>
  <c r="AC25" i="32"/>
  <c r="AC26" i="31"/>
  <c r="E45" i="28" l="1"/>
  <c r="F45" i="28"/>
  <c r="G44" i="28"/>
  <c r="D46" i="28"/>
  <c r="E46" i="28" l="1"/>
  <c r="G45" i="28"/>
  <c r="F46" i="28"/>
  <c r="D47" i="28"/>
  <c r="E47" i="28" l="1"/>
  <c r="G46" i="28"/>
  <c r="D48" i="28"/>
  <c r="F47" i="28"/>
  <c r="E48" i="28" l="1"/>
  <c r="F48" i="28"/>
  <c r="G47" i="28"/>
  <c r="D49" i="28"/>
  <c r="E49" i="28" l="1"/>
  <c r="D50" i="28"/>
  <c r="G48" i="28"/>
  <c r="F49" i="28"/>
  <c r="E50" i="28" l="1"/>
  <c r="F50" i="28"/>
  <c r="D51" i="28"/>
  <c r="G49" i="28"/>
  <c r="E51" i="28" l="1"/>
  <c r="F51" i="28"/>
  <c r="G50" i="28"/>
  <c r="D52" i="28"/>
  <c r="E52" i="28" l="1"/>
  <c r="G51" i="28"/>
  <c r="F52" i="28"/>
  <c r="D53" i="28"/>
  <c r="E53" i="28" l="1"/>
  <c r="G52" i="28"/>
  <c r="F53" i="28"/>
  <c r="D54" i="28"/>
  <c r="E54" i="28" l="1"/>
  <c r="F54" i="28"/>
  <c r="D55" i="28"/>
  <c r="G53" i="28"/>
  <c r="G54" i="28"/>
  <c r="E55" i="28" l="1"/>
  <c r="F55" i="28"/>
  <c r="D56" i="28"/>
  <c r="G55" i="28"/>
  <c r="E56" i="28" l="1"/>
  <c r="F56" i="28"/>
  <c r="D57" i="28"/>
  <c r="D58" i="28"/>
  <c r="G56" i="28"/>
  <c r="E57" i="28" l="1"/>
  <c r="E58" i="28"/>
  <c r="F58" i="28"/>
  <c r="D59" i="28"/>
  <c r="F57" i="28"/>
  <c r="G57" i="28"/>
  <c r="G58" i="28"/>
  <c r="E59" i="28" l="1"/>
  <c r="D60" i="28"/>
  <c r="F59" i="28"/>
  <c r="G59" i="28"/>
  <c r="E60" i="28" l="1"/>
  <c r="D61" i="28"/>
  <c r="F60" i="28"/>
  <c r="G60" i="28"/>
  <c r="E61" i="28" l="1"/>
  <c r="D62" i="28"/>
  <c r="F61" i="28"/>
  <c r="G61" i="28"/>
  <c r="F5" i="32"/>
  <c r="F4" i="30"/>
  <c r="F4" i="29"/>
  <c r="F5" i="31"/>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18" i="21"/>
  <c r="E19" i="22"/>
  <c r="E13" i="22"/>
  <c r="D21" i="21"/>
  <c r="E32" i="22"/>
  <c r="D20" i="21"/>
  <c r="D12" i="21"/>
  <c r="F62" i="28"/>
  <c r="D9" i="21"/>
  <c r="E7" i="22"/>
  <c r="E3" i="22"/>
  <c r="E16" i="22"/>
  <c r="D19" i="21"/>
  <c r="E20" i="22"/>
  <c r="E23" i="22"/>
  <c r="D15" i="21"/>
  <c r="E17" i="22"/>
  <c r="E34" i="22"/>
  <c r="E35" i="22"/>
  <c r="E10" i="22"/>
  <c r="D22" i="21"/>
  <c r="D11" i="21"/>
  <c r="C6" i="26"/>
  <c r="E33" i="22"/>
  <c r="E4" i="22"/>
  <c r="D63" i="28"/>
  <c r="E22" i="22"/>
  <c r="D6" i="25" a="1"/>
  <c r="E25" i="22"/>
  <c r="E28" i="22"/>
  <c r="E8" i="22"/>
  <c r="D6" i="23" a="1"/>
  <c r="D17" i="21"/>
  <c r="E29" i="22"/>
  <c r="D14" i="21"/>
  <c r="E9" i="22"/>
  <c r="E24" i="22"/>
  <c r="E6" i="22"/>
  <c r="E31" i="22"/>
  <c r="E30" i="22"/>
  <c r="E14" i="22"/>
  <c r="D16" i="21"/>
  <c r="E21" i="22"/>
  <c r="E26" i="22"/>
  <c r="D13" i="21"/>
  <c r="D5" i="21"/>
  <c r="E18" i="22"/>
  <c r="D10" i="21"/>
  <c r="E12" i="22"/>
  <c r="E11" i="22"/>
  <c r="D6" i="21"/>
  <c r="E15" i="22"/>
  <c r="C5" i="26"/>
  <c r="D7" i="21"/>
  <c r="E5" i="22"/>
  <c r="E27" i="22"/>
  <c r="D8" i="21"/>
  <c r="G5" i="31"/>
  <c r="G4" i="30"/>
  <c r="G5" i="32"/>
  <c r="AC5" i="32"/>
  <c r="G62" i="28"/>
  <c r="G4" i="29"/>
  <c r="AC5" i="31"/>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7" i="23"/>
  <c r="F34" i="23"/>
  <c r="F14" i="23"/>
  <c r="F109" i="23"/>
  <c r="F9" i="25"/>
  <c r="D5" i="26"/>
  <c r="F63" i="25"/>
  <c r="F56" i="25"/>
  <c r="F15" i="22"/>
  <c r="F84" i="25"/>
  <c r="F30" i="25"/>
  <c r="F44" i="23"/>
  <c r="F40" i="25"/>
  <c r="F37" i="23"/>
  <c r="F118" i="25"/>
  <c r="F90" i="23"/>
  <c r="F75" i="25"/>
  <c r="F26" i="23"/>
  <c r="F106" i="25"/>
  <c r="F86" i="23"/>
  <c r="F60" i="25"/>
  <c r="E14" i="21"/>
  <c r="F99" i="23"/>
  <c r="F86" i="25"/>
  <c r="F107" i="25"/>
  <c r="F75" i="23"/>
  <c r="F20" i="25"/>
  <c r="E13" i="21"/>
  <c r="F65" i="23"/>
  <c r="F89" i="23"/>
  <c r="F12" i="23"/>
  <c r="F76" i="25"/>
  <c r="F30" i="22"/>
  <c r="F38" i="25"/>
  <c r="F119" i="25"/>
  <c r="F108" i="25"/>
  <c r="E21" i="21"/>
  <c r="F73" i="25"/>
  <c r="F43" i="23"/>
  <c r="F120" i="25"/>
  <c r="F104" i="23"/>
  <c r="F64" i="23"/>
  <c r="F56" i="23"/>
  <c r="F85" i="23"/>
  <c r="F13" i="23"/>
  <c r="F45" i="25"/>
  <c r="F109" i="25"/>
  <c r="F123" i="23"/>
  <c r="F23" i="25"/>
  <c r="E16" i="21"/>
  <c r="F71" i="23"/>
  <c r="F31" i="23"/>
  <c r="F125" i="25"/>
  <c r="F110" i="23"/>
  <c r="F43" i="25"/>
  <c r="F118" i="23"/>
  <c r="F102" i="23"/>
  <c r="F121" i="23"/>
  <c r="F12" i="25"/>
  <c r="F32" i="25"/>
  <c r="F57" i="23"/>
  <c r="F63" i="23"/>
  <c r="F85" i="25"/>
  <c r="F80" i="23"/>
  <c r="F97" i="25"/>
  <c r="E5" i="21"/>
  <c r="F24" i="22"/>
  <c r="F11" i="22"/>
  <c r="F42" i="23"/>
  <c r="F20" i="23"/>
  <c r="F91" i="25"/>
  <c r="F47" i="25"/>
  <c r="F23" i="23"/>
  <c r="F49" i="25"/>
  <c r="F46" i="25"/>
  <c r="F82" i="25"/>
  <c r="F33" i="23"/>
  <c r="F21" i="25"/>
  <c r="F30" i="23"/>
  <c r="F21" i="23"/>
  <c r="F90" i="25"/>
  <c r="F9" i="22"/>
  <c r="F113" i="25"/>
  <c r="F69" i="25"/>
  <c r="F87" i="25"/>
  <c r="F91" i="23"/>
  <c r="F111" i="25"/>
  <c r="F79" i="23"/>
  <c r="F78" i="25"/>
  <c r="F62" i="23"/>
  <c r="F57" i="25"/>
  <c r="F101" i="25"/>
  <c r="F9" i="23"/>
  <c r="F107" i="23"/>
  <c r="F35" i="22"/>
  <c r="F117" i="25"/>
  <c r="F116" i="23"/>
  <c r="F125" i="23"/>
  <c r="F41" i="23"/>
  <c r="F72" i="23"/>
  <c r="E10" i="21"/>
  <c r="F97" i="23"/>
  <c r="F47" i="23"/>
  <c r="F5" i="22"/>
  <c r="F28" i="23"/>
  <c r="F14" i="22"/>
  <c r="F22" i="23"/>
  <c r="F104" i="25"/>
  <c r="F94" i="23"/>
  <c r="F16" i="25"/>
  <c r="F48" i="23"/>
  <c r="F7" i="25"/>
  <c r="E20" i="21"/>
  <c r="F18" i="22"/>
  <c r="F24" i="25"/>
  <c r="F66" i="25"/>
  <c r="F27" i="22"/>
  <c r="E8" i="21"/>
  <c r="F77" i="25"/>
  <c r="F31" i="25"/>
  <c r="F87" i="23"/>
  <c r="F103" i="23"/>
  <c r="F96" i="23"/>
  <c r="F25" i="25"/>
  <c r="E19" i="21"/>
  <c r="F92" i="23"/>
  <c r="F105" i="23"/>
  <c r="F94" i="25"/>
  <c r="F27" i="25"/>
  <c r="E17" i="21"/>
  <c r="F98" i="25"/>
  <c r="F81" i="23"/>
  <c r="F108" i="23"/>
  <c r="F62" i="25"/>
  <c r="D64" i="28"/>
  <c r="F88" i="23"/>
  <c r="F61" i="23"/>
  <c r="F19" i="25"/>
  <c r="F114" i="25"/>
  <c r="F36" i="23"/>
  <c r="F52" i="23"/>
  <c r="F50" i="25"/>
  <c r="F101" i="23"/>
  <c r="F100" i="23"/>
  <c r="F55" i="23"/>
  <c r="F73" i="23"/>
  <c r="F99" i="25"/>
  <c r="F13" i="25"/>
  <c r="F82" i="23"/>
  <c r="F70" i="25"/>
  <c r="F96" i="25"/>
  <c r="F42" i="25"/>
  <c r="F39" i="25"/>
  <c r="F10" i="25"/>
  <c r="F81" i="25"/>
  <c r="F27" i="23"/>
  <c r="F93" i="25"/>
  <c r="F7" i="22"/>
  <c r="F61" i="25"/>
  <c r="F69" i="23"/>
  <c r="F71" i="25"/>
  <c r="F51" i="25"/>
  <c r="F98" i="23"/>
  <c r="F79" i="25"/>
  <c r="F80" i="25"/>
  <c r="F55" i="25"/>
  <c r="E22" i="21"/>
  <c r="F121" i="25"/>
  <c r="F64" i="25"/>
  <c r="F59" i="23"/>
  <c r="F122" i="23"/>
  <c r="F22" i="25"/>
  <c r="F40" i="23"/>
  <c r="F93" i="23"/>
  <c r="F38" i="23"/>
  <c r="F44" i="25"/>
  <c r="F115" i="25"/>
  <c r="F89" i="25"/>
  <c r="F16" i="22"/>
  <c r="F124" i="25"/>
  <c r="F78" i="23"/>
  <c r="F102" i="25"/>
  <c r="F17" i="22"/>
  <c r="F115" i="23"/>
  <c r="F39" i="23"/>
  <c r="F11" i="23"/>
  <c r="F6" i="25"/>
  <c r="E11" i="21"/>
  <c r="F122" i="25"/>
  <c r="E18" i="21"/>
  <c r="F36" i="25"/>
  <c r="F72" i="25"/>
  <c r="F49" i="23"/>
  <c r="E6" i="21"/>
  <c r="F23" i="22"/>
  <c r="F3" i="22"/>
  <c r="F33" i="22"/>
  <c r="F95" i="23"/>
  <c r="F28" i="22"/>
  <c r="F103" i="25"/>
  <c r="F58" i="25"/>
  <c r="F8" i="22"/>
  <c r="F11" i="25"/>
  <c r="F48" i="25"/>
  <c r="F7" i="23"/>
  <c r="F13" i="22"/>
  <c r="F41" i="25"/>
  <c r="F105" i="25"/>
  <c r="F14" i="25"/>
  <c r="F106" i="23"/>
  <c r="F100" i="25"/>
  <c r="F12" i="22"/>
  <c r="F84" i="23"/>
  <c r="F53" i="25"/>
  <c r="F116" i="25"/>
  <c r="F59" i="25"/>
  <c r="F24" i="23"/>
  <c r="F52" i="25"/>
  <c r="F68" i="25"/>
  <c r="F10" i="22"/>
  <c r="F32" i="22"/>
  <c r="F18" i="25"/>
  <c r="F19" i="22"/>
  <c r="F63" i="28"/>
  <c r="F74" i="23"/>
  <c r="F29" i="23"/>
  <c r="F113" i="23"/>
  <c r="F8" i="23"/>
  <c r="F70" i="23"/>
  <c r="F8" i="25"/>
  <c r="F26" i="25"/>
  <c r="F76" i="23"/>
  <c r="E15" i="21"/>
  <c r="F83" i="25"/>
  <c r="F29" i="25"/>
  <c r="F88" i="25"/>
  <c r="F20" i="22"/>
  <c r="F111" i="23"/>
  <c r="F45" i="23"/>
  <c r="F58" i="23"/>
  <c r="F66" i="23"/>
  <c r="F112" i="23"/>
  <c r="F65" i="25"/>
  <c r="F34" i="22"/>
  <c r="F10" i="23"/>
  <c r="F32" i="23"/>
  <c r="F124" i="23"/>
  <c r="F67" i="25"/>
  <c r="F95" i="25"/>
  <c r="F37" i="25"/>
  <c r="F53" i="23"/>
  <c r="F4" i="22"/>
  <c r="F25" i="23"/>
  <c r="F25" i="22"/>
  <c r="F112" i="25"/>
  <c r="F34" i="25"/>
  <c r="F110" i="25"/>
  <c r="F29" i="22"/>
  <c r="F16" i="23"/>
  <c r="F19" i="23"/>
  <c r="F6" i="23"/>
  <c r="F31" i="22"/>
  <c r="F22" i="22"/>
  <c r="F54" i="23"/>
  <c r="F123" i="25"/>
  <c r="F54" i="25"/>
  <c r="F26" i="22"/>
  <c r="F114" i="23"/>
  <c r="F83" i="23"/>
  <c r="D6" i="26"/>
  <c r="F15" i="23"/>
  <c r="F18" i="23"/>
  <c r="F50" i="23"/>
  <c r="F51" i="23"/>
  <c r="F33" i="25"/>
  <c r="E9" i="21"/>
  <c r="F77" i="23"/>
  <c r="F67" i="23"/>
  <c r="F35" i="23"/>
  <c r="F17" i="25"/>
  <c r="F60" i="23"/>
  <c r="F15" i="25"/>
  <c r="F46" i="23"/>
  <c r="F119" i="23"/>
  <c r="F21" i="22"/>
  <c r="F120" i="23"/>
  <c r="E12" i="21"/>
  <c r="F68" i="23"/>
  <c r="F74" i="25"/>
  <c r="F6" i="22"/>
  <c r="F35" i="25"/>
  <c r="E7" i="21"/>
  <c r="F28" i="25"/>
  <c r="F92" i="25"/>
  <c r="F117" i="23"/>
  <c r="Q6" i="26"/>
  <c r="W22" i="22"/>
  <c r="W5" i="22"/>
  <c r="P7" i="21"/>
  <c r="W26" i="22"/>
  <c r="W24" i="22"/>
  <c r="W20" i="22"/>
  <c r="W19" i="22"/>
  <c r="P15" i="21"/>
  <c r="P11" i="21"/>
  <c r="Z14" i="23"/>
  <c r="Z8" i="23"/>
  <c r="W16" i="22"/>
  <c r="P18" i="21"/>
  <c r="P8" i="21"/>
  <c r="W21" i="22"/>
  <c r="W27" i="22"/>
  <c r="P5" i="21"/>
  <c r="W13" i="22"/>
  <c r="P21" i="21"/>
  <c r="Z8" i="25"/>
  <c r="W25" i="22"/>
  <c r="W15" i="22"/>
  <c r="W11" i="22"/>
  <c r="W12" i="22"/>
  <c r="P12" i="21"/>
  <c r="Z17" i="23"/>
  <c r="Z15" i="23"/>
  <c r="P9" i="21"/>
  <c r="P20" i="21"/>
  <c r="W31" i="22"/>
  <c r="W30" i="22"/>
  <c r="W28" i="22"/>
  <c r="W18" i="22"/>
  <c r="W6" i="22"/>
  <c r="Z6" i="25"/>
  <c r="Z13" i="23"/>
  <c r="W32" i="22"/>
  <c r="W23" i="22"/>
  <c r="W29" i="22"/>
  <c r="P19" i="21"/>
  <c r="Z9" i="23"/>
  <c r="W9" i="22"/>
  <c r="Z7" i="23"/>
  <c r="W10" i="22"/>
  <c r="Z10" i="23"/>
  <c r="Z7" i="25"/>
  <c r="W8" i="22"/>
  <c r="P10" i="21"/>
  <c r="P6" i="21"/>
  <c r="Z16" i="23"/>
  <c r="W14" i="22"/>
  <c r="W7" i="22"/>
  <c r="W17" i="22"/>
  <c r="P14" i="21"/>
  <c r="P22" i="21"/>
  <c r="W33" i="22"/>
  <c r="P16" i="21"/>
  <c r="Z9" i="25"/>
  <c r="Z6" i="23"/>
  <c r="P13" i="21"/>
  <c r="Z12" i="23"/>
  <c r="Q5" i="26"/>
  <c r="Z11" i="23"/>
  <c r="P17" i="21"/>
  <c r="D4" i="21"/>
  <c r="G63" i="28"/>
  <c r="E2" i="22"/>
  <c r="C4" i="26"/>
  <c r="F5" i="23"/>
  <c r="F5" i="25"/>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62" i="23"/>
  <c r="G121" i="23"/>
  <c r="G45" i="23"/>
  <c r="G104" i="23"/>
  <c r="G119" i="23"/>
  <c r="G39" i="25"/>
  <c r="G10" i="25"/>
  <c r="G78" i="25"/>
  <c r="G40" i="23"/>
  <c r="G12" i="23"/>
  <c r="G9" i="25"/>
  <c r="G106" i="23"/>
  <c r="G48" i="23"/>
  <c r="G108" i="25"/>
  <c r="G18" i="25"/>
  <c r="G93" i="25"/>
  <c r="G94" i="25"/>
  <c r="G79" i="23"/>
  <c r="G102" i="23"/>
  <c r="G14" i="25"/>
  <c r="G124" i="25"/>
  <c r="G35" i="25"/>
  <c r="G77" i="25"/>
  <c r="G50" i="23"/>
  <c r="G44" i="23"/>
  <c r="G109" i="23"/>
  <c r="G88" i="23"/>
  <c r="G107" i="25"/>
  <c r="G49" i="25"/>
  <c r="G19" i="25"/>
  <c r="G38" i="23"/>
  <c r="G111" i="25"/>
  <c r="G52" i="23"/>
  <c r="G47" i="23"/>
  <c r="G70" i="23"/>
  <c r="G41" i="25"/>
  <c r="G64" i="25"/>
  <c r="G6" i="23"/>
  <c r="G59" i="25"/>
  <c r="G35" i="23"/>
  <c r="G112" i="25"/>
  <c r="G75" i="23"/>
  <c r="F64" i="28"/>
  <c r="G124" i="23"/>
  <c r="G52" i="25"/>
  <c r="G100" i="25"/>
  <c r="G24" i="23"/>
  <c r="G59" i="23"/>
  <c r="G38" i="25"/>
  <c r="G25" i="25"/>
  <c r="G32" i="23"/>
  <c r="G69" i="23"/>
  <c r="G15" i="23"/>
  <c r="G16" i="23"/>
  <c r="G43" i="25"/>
  <c r="G25" i="23"/>
  <c r="G29" i="25"/>
  <c r="G17" i="23"/>
  <c r="G86" i="25"/>
  <c r="G92" i="23"/>
  <c r="G16" i="25"/>
  <c r="G72" i="23"/>
  <c r="G116" i="23"/>
  <c r="G36" i="23"/>
  <c r="G115" i="25"/>
  <c r="G125" i="25"/>
  <c r="G87" i="23"/>
  <c r="G111" i="23"/>
  <c r="G42" i="25"/>
  <c r="G17" i="25"/>
  <c r="G33" i="25"/>
  <c r="G31" i="23"/>
  <c r="G97" i="25"/>
  <c r="G48" i="25"/>
  <c r="G22" i="23"/>
  <c r="G54" i="23"/>
  <c r="G34" i="25"/>
  <c r="G7" i="25"/>
  <c r="G99" i="23"/>
  <c r="G120" i="23"/>
  <c r="G51" i="25"/>
  <c r="G82" i="25"/>
  <c r="G110" i="23"/>
  <c r="G31" i="25"/>
  <c r="G65" i="23"/>
  <c r="G83" i="25"/>
  <c r="G103" i="25"/>
  <c r="G95" i="23"/>
  <c r="G77" i="23"/>
  <c r="G81" i="23"/>
  <c r="G113" i="23"/>
  <c r="G109" i="25"/>
  <c r="G76" i="23"/>
  <c r="G37" i="23"/>
  <c r="G82" i="23"/>
  <c r="G79" i="25"/>
  <c r="G20" i="23"/>
  <c r="G69" i="25"/>
  <c r="G33" i="23"/>
  <c r="G91" i="23"/>
  <c r="G84" i="25"/>
  <c r="G50" i="25"/>
  <c r="G90" i="23"/>
  <c r="G78" i="23"/>
  <c r="G89" i="23"/>
  <c r="G45" i="25"/>
  <c r="G18" i="23"/>
  <c r="G106" i="25"/>
  <c r="G89" i="25"/>
  <c r="G107" i="23"/>
  <c r="G103" i="23"/>
  <c r="G54" i="25"/>
  <c r="G41" i="23"/>
  <c r="G123" i="23"/>
  <c r="G68" i="23"/>
  <c r="G91" i="25"/>
  <c r="G60" i="23"/>
  <c r="G27" i="25"/>
  <c r="G80" i="23"/>
  <c r="G60" i="25"/>
  <c r="G28" i="23"/>
  <c r="G95" i="25"/>
  <c r="G83" i="23"/>
  <c r="G80" i="25"/>
  <c r="G90" i="25"/>
  <c r="G118" i="23"/>
  <c r="G100" i="23"/>
  <c r="G44" i="25"/>
  <c r="G88" i="25"/>
  <c r="G122" i="23"/>
  <c r="G74" i="23"/>
  <c r="G53" i="23"/>
  <c r="G53" i="25"/>
  <c r="G98" i="23"/>
  <c r="G21" i="25"/>
  <c r="G30" i="23"/>
  <c r="G27" i="23"/>
  <c r="G40" i="25"/>
  <c r="G85" i="23"/>
  <c r="G56" i="25"/>
  <c r="G19" i="23"/>
  <c r="G61" i="25"/>
  <c r="G39" i="23"/>
  <c r="G15" i="25"/>
  <c r="G93" i="23"/>
  <c r="G46" i="25"/>
  <c r="G71" i="23"/>
  <c r="G46" i="23"/>
  <c r="G97" i="23"/>
  <c r="G117" i="25"/>
  <c r="G56" i="23"/>
  <c r="G22" i="25"/>
  <c r="G24" i="25"/>
  <c r="G120" i="25"/>
  <c r="G96" i="23"/>
  <c r="G9" i="23"/>
  <c r="G116" i="25"/>
  <c r="G26" i="25"/>
  <c r="G47" i="25"/>
  <c r="G21" i="23"/>
  <c r="G101" i="23"/>
  <c r="G66" i="25"/>
  <c r="G67" i="25"/>
  <c r="G11" i="23"/>
  <c r="G66" i="23"/>
  <c r="G62" i="25"/>
  <c r="G123" i="25"/>
  <c r="G98" i="25"/>
  <c r="G110" i="25"/>
  <c r="G26" i="23"/>
  <c r="G32" i="25"/>
  <c r="G84" i="23"/>
  <c r="G114" i="23"/>
  <c r="G37" i="25"/>
  <c r="G55" i="25"/>
  <c r="G14" i="23"/>
  <c r="G7" i="23"/>
  <c r="G8" i="23"/>
  <c r="G6" i="25"/>
  <c r="G113" i="25"/>
  <c r="G12" i="25"/>
  <c r="G65" i="25"/>
  <c r="G61" i="23"/>
  <c r="G36" i="25"/>
  <c r="G105" i="23"/>
  <c r="G72" i="25"/>
  <c r="G58" i="23"/>
  <c r="G63" i="23"/>
  <c r="G114" i="25"/>
  <c r="G42" i="23"/>
  <c r="G10" i="23"/>
  <c r="G64" i="23"/>
  <c r="G11" i="25"/>
  <c r="G115" i="23"/>
  <c r="G67" i="23"/>
  <c r="G13" i="25"/>
  <c r="G101" i="25"/>
  <c r="G43" i="23"/>
  <c r="G94" i="23"/>
  <c r="G76" i="25"/>
  <c r="G51" i="23"/>
  <c r="G81" i="25"/>
  <c r="G104" i="25"/>
  <c r="G108" i="23"/>
  <c r="G102" i="25"/>
  <c r="G119" i="25"/>
  <c r="G85" i="25"/>
  <c r="D65" i="28"/>
  <c r="G68" i="25"/>
  <c r="G99" i="25"/>
  <c r="G86" i="23"/>
  <c r="G92" i="25"/>
  <c r="G49" i="23"/>
  <c r="G34" i="23"/>
  <c r="G23" i="25"/>
  <c r="G74" i="25"/>
  <c r="G13" i="23"/>
  <c r="G57" i="23"/>
  <c r="G70" i="25"/>
  <c r="G87" i="25"/>
  <c r="G55" i="23"/>
  <c r="G112" i="23"/>
  <c r="G28" i="25"/>
  <c r="G117" i="23"/>
  <c r="G71" i="25"/>
  <c r="G122" i="25"/>
  <c r="G75" i="25"/>
  <c r="G57" i="25"/>
  <c r="G29" i="23"/>
  <c r="G73" i="23"/>
  <c r="G30" i="25"/>
  <c r="G125" i="23"/>
  <c r="G73" i="25"/>
  <c r="G118" i="25"/>
  <c r="G63" i="25"/>
  <c r="G20" i="25"/>
  <c r="G105" i="25"/>
  <c r="G58" i="25"/>
  <c r="G121" i="25"/>
  <c r="G23" i="23"/>
  <c r="G8" i="25"/>
  <c r="G96" i="25"/>
  <c r="Q3" i="26"/>
  <c r="G64" i="28"/>
  <c r="E4" i="21"/>
  <c r="D4" i="26"/>
  <c r="G5" i="25"/>
  <c r="F2" i="22"/>
  <c r="G5" i="23"/>
  <c r="E65" i="28" l="1"/>
  <c r="E5" i="17"/>
  <c r="E5" i="19"/>
  <c r="C6" i="19"/>
  <c r="E5" i="18"/>
  <c r="E4" i="18"/>
  <c r="C7" i="18"/>
  <c r="E6" i="18"/>
  <c r="C6" i="17"/>
  <c r="D66" i="28"/>
  <c r="F5" i="19"/>
  <c r="F5" i="17"/>
  <c r="F5" i="18"/>
  <c r="F6" i="18"/>
  <c r="F65" i="28"/>
  <c r="G65" i="28"/>
  <c r="E66" i="28" l="1"/>
  <c r="H3" i="48"/>
  <c r="C7" i="19"/>
  <c r="E6" i="19"/>
  <c r="E7" i="18"/>
  <c r="C8" i="18"/>
  <c r="E4" i="17"/>
  <c r="C7" i="17"/>
  <c r="E6" i="17"/>
  <c r="F66" i="28"/>
  <c r="J3" i="48"/>
  <c r="F6" i="19"/>
  <c r="F7" i="18"/>
  <c r="G5" i="19"/>
  <c r="N3" i="48"/>
  <c r="G5" i="18"/>
  <c r="G6" i="18"/>
  <c r="F6" i="17"/>
  <c r="G5" i="17"/>
  <c r="D67" i="28"/>
  <c r="G66" i="28"/>
  <c r="E67" i="28" l="1"/>
  <c r="H3" i="50"/>
  <c r="H4" i="48"/>
  <c r="H3" i="47"/>
  <c r="E7" i="19"/>
  <c r="C8" i="19"/>
  <c r="E8" i="18"/>
  <c r="C9" i="18"/>
  <c r="C8" i="17"/>
  <c r="E7" i="17"/>
  <c r="F8" i="18"/>
  <c r="D68" i="28"/>
  <c r="G6" i="19"/>
  <c r="J4" i="48"/>
  <c r="F7" i="17"/>
  <c r="G7" i="18"/>
  <c r="F67" i="28"/>
  <c r="J3" i="50"/>
  <c r="N3" i="50"/>
  <c r="F7" i="19"/>
  <c r="K3" i="48"/>
  <c r="J3" i="47"/>
  <c r="G6" i="17"/>
  <c r="G67" i="28"/>
  <c r="E68" i="28" l="1"/>
  <c r="H4" i="50"/>
  <c r="H5" i="48"/>
  <c r="H4" i="47"/>
  <c r="E8" i="19"/>
  <c r="C9" i="19"/>
  <c r="C10" i="18"/>
  <c r="E9" i="18"/>
  <c r="E8" i="17"/>
  <c r="C9" i="17"/>
  <c r="J5" i="48"/>
  <c r="D69" i="28"/>
  <c r="K3" i="47"/>
  <c r="K3" i="50"/>
  <c r="G7" i="17"/>
  <c r="F68" i="28"/>
  <c r="G7" i="19"/>
  <c r="F9" i="18"/>
  <c r="J4" i="50"/>
  <c r="F8" i="17"/>
  <c r="G8" i="18"/>
  <c r="F8" i="19"/>
  <c r="J4" i="47"/>
  <c r="K4" i="48"/>
  <c r="G68" i="28"/>
  <c r="E69" i="28" l="1"/>
  <c r="H5" i="50"/>
  <c r="H6" i="48"/>
  <c r="H5" i="47"/>
  <c r="E4" i="19"/>
  <c r="C10" i="19"/>
  <c r="E9" i="19"/>
  <c r="E10" i="18"/>
  <c r="C11" i="18"/>
  <c r="C10" i="17"/>
  <c r="E9" i="17"/>
  <c r="J6" i="48"/>
  <c r="J5" i="47"/>
  <c r="G8" i="17"/>
  <c r="G8" i="19"/>
  <c r="K4" i="50"/>
  <c r="F69" i="28"/>
  <c r="G9" i="18"/>
  <c r="J5" i="50"/>
  <c r="F9" i="19"/>
  <c r="F10" i="18"/>
  <c r="K4" i="47"/>
  <c r="F9" i="17"/>
  <c r="D70" i="28"/>
  <c r="K5" i="48"/>
  <c r="G69" i="28"/>
  <c r="E70" i="28" l="1"/>
  <c r="H6" i="50"/>
  <c r="H7" i="48"/>
  <c r="H6" i="47"/>
  <c r="E10" i="19"/>
  <c r="C11" i="19"/>
  <c r="E11" i="18"/>
  <c r="C12" i="18"/>
  <c r="E10" i="17"/>
  <c r="C11" i="17"/>
  <c r="F10" i="19"/>
  <c r="K5" i="47"/>
  <c r="D71" i="28"/>
  <c r="F70" i="28"/>
  <c r="G10" i="18"/>
  <c r="J7" i="48"/>
  <c r="J6" i="47"/>
  <c r="F11" i="18"/>
  <c r="K5" i="50"/>
  <c r="G9" i="17"/>
  <c r="J6" i="50"/>
  <c r="G9" i="19"/>
  <c r="K6" i="48"/>
  <c r="F10" i="17"/>
  <c r="G70" i="28"/>
  <c r="E71" i="28" l="1"/>
  <c r="H7" i="50"/>
  <c r="H8" i="48"/>
  <c r="H7" i="47"/>
  <c r="C12" i="19"/>
  <c r="E11" i="19"/>
  <c r="C13" i="18"/>
  <c r="E12" i="18"/>
  <c r="C12" i="17"/>
  <c r="E11" i="17"/>
  <c r="G10" i="19"/>
  <c r="F12" i="18"/>
  <c r="G11" i="18"/>
  <c r="K6" i="50"/>
  <c r="K6" i="47"/>
  <c r="J7" i="50"/>
  <c r="J8" i="48"/>
  <c r="J7" i="47"/>
  <c r="G10" i="17"/>
  <c r="K7" i="48"/>
  <c r="F11" i="19"/>
  <c r="D72" i="28"/>
  <c r="F11" i="17"/>
  <c r="F71" i="28"/>
  <c r="G71" i="28"/>
  <c r="E72" i="28" l="1"/>
  <c r="H8" i="50"/>
  <c r="H9" i="48"/>
  <c r="H8" i="47"/>
  <c r="E12" i="19"/>
  <c r="C13" i="19"/>
  <c r="E13" i="18"/>
  <c r="C14" i="18"/>
  <c r="E12" i="17"/>
  <c r="C13" i="17"/>
  <c r="K8" i="48"/>
  <c r="J8" i="50"/>
  <c r="G11" i="17"/>
  <c r="G12" i="18"/>
  <c r="G11" i="19"/>
  <c r="J8" i="47"/>
  <c r="D73" i="28"/>
  <c r="D74" i="28" s="1"/>
  <c r="K7" i="47"/>
  <c r="K7" i="50"/>
  <c r="J9" i="48"/>
  <c r="F72" i="28"/>
  <c r="F12" i="19"/>
  <c r="F13" i="18"/>
  <c r="F12" i="17"/>
  <c r="G72" i="28"/>
  <c r="E73" i="28" l="1"/>
  <c r="E74" i="28"/>
  <c r="H9" i="50"/>
  <c r="H10" i="48"/>
  <c r="H9" i="47"/>
  <c r="E13" i="19"/>
  <c r="C14" i="19"/>
  <c r="C15" i="18"/>
  <c r="E14" i="18"/>
  <c r="E13" i="17"/>
  <c r="C14" i="17"/>
  <c r="J9" i="50"/>
  <c r="F74" i="28"/>
  <c r="G12" i="19"/>
  <c r="K8" i="50"/>
  <c r="J9" i="47"/>
  <c r="F13" i="17"/>
  <c r="K8" i="47"/>
  <c r="G13" i="18"/>
  <c r="K9" i="48"/>
  <c r="F14" i="18"/>
  <c r="F13" i="19"/>
  <c r="F73" i="28"/>
  <c r="J10" i="48"/>
  <c r="D75" i="28"/>
  <c r="D76" i="28" s="1"/>
  <c r="G12" i="17"/>
  <c r="G74" i="28"/>
  <c r="G73" i="28"/>
  <c r="E75" i="28" l="1"/>
  <c r="E76" i="28"/>
  <c r="H10" i="50"/>
  <c r="H11" i="48"/>
  <c r="H10" i="47"/>
  <c r="C15" i="19"/>
  <c r="E14" i="19"/>
  <c r="C16" i="18"/>
  <c r="E15" i="18"/>
  <c r="C15" i="17"/>
  <c r="E14" i="17"/>
  <c r="K9" i="47"/>
  <c r="G14" i="18"/>
  <c r="F75" i="28"/>
  <c r="F76" i="28"/>
  <c r="J11" i="48"/>
  <c r="K10" i="48"/>
  <c r="G13" i="19"/>
  <c r="G13" i="17"/>
  <c r="F14" i="17"/>
  <c r="D77" i="28"/>
  <c r="J10" i="47"/>
  <c r="F15" i="18"/>
  <c r="J10" i="50"/>
  <c r="F14" i="19"/>
  <c r="K9" i="50"/>
  <c r="G76" i="28"/>
  <c r="G75" i="28"/>
  <c r="E77" i="28" l="1"/>
  <c r="H11" i="50"/>
  <c r="H12" i="48"/>
  <c r="H11" i="47"/>
  <c r="E15" i="19"/>
  <c r="C16" i="19"/>
  <c r="C17" i="18"/>
  <c r="E16" i="18"/>
  <c r="E15" i="17"/>
  <c r="C16" i="17"/>
  <c r="F15" i="19"/>
  <c r="G14" i="17"/>
  <c r="F16" i="18"/>
  <c r="K11" i="48"/>
  <c r="F15" i="17"/>
  <c r="K10" i="47"/>
  <c r="J11" i="47"/>
  <c r="G14" i="19"/>
  <c r="G15" i="18"/>
  <c r="K10" i="50"/>
  <c r="J11" i="50"/>
  <c r="J12" i="48"/>
  <c r="F77" i="28"/>
  <c r="G77" i="28"/>
  <c r="F4" i="28"/>
  <c r="H12" i="50" l="1"/>
  <c r="H13" i="48"/>
  <c r="H12" i="47"/>
  <c r="E16" i="19"/>
  <c r="C17" i="19"/>
  <c r="C18" i="18"/>
  <c r="E17" i="18"/>
  <c r="E16" i="17"/>
  <c r="C17" i="17"/>
  <c r="J12" i="50"/>
  <c r="K11" i="50"/>
  <c r="F17" i="18"/>
  <c r="K11" i="47"/>
  <c r="J12" i="47"/>
  <c r="G15" i="17"/>
  <c r="G16" i="18"/>
  <c r="J13" i="48"/>
  <c r="F16" i="17"/>
  <c r="F16" i="19"/>
  <c r="G15" i="19"/>
  <c r="K12" i="48"/>
  <c r="G4" i="28"/>
  <c r="H13" i="50" l="1"/>
  <c r="H14" i="48"/>
  <c r="H13" i="47"/>
  <c r="C18" i="19"/>
  <c r="E17" i="19"/>
  <c r="E18" i="18"/>
  <c r="C19" i="18"/>
  <c r="C18" i="17"/>
  <c r="E17" i="17"/>
  <c r="F17" i="19"/>
  <c r="G16" i="19"/>
  <c r="K12" i="47"/>
  <c r="J13" i="50"/>
  <c r="F18" i="18"/>
  <c r="J13" i="47"/>
  <c r="J14" i="48"/>
  <c r="K13" i="48"/>
  <c r="G17" i="18"/>
  <c r="G16" i="17"/>
  <c r="K12" i="50"/>
  <c r="F17" i="17"/>
  <c r="H14" i="50" l="1"/>
  <c r="H15" i="48"/>
  <c r="H14" i="47"/>
  <c r="E18" i="19"/>
  <c r="C19" i="19"/>
  <c r="E19" i="18"/>
  <c r="C20" i="18"/>
  <c r="E18" i="17"/>
  <c r="C19" i="17"/>
  <c r="K13" i="47"/>
  <c r="F18" i="17"/>
  <c r="G18" i="18"/>
  <c r="F18" i="19"/>
  <c r="G17" i="17"/>
  <c r="K13" i="50"/>
  <c r="J14" i="50"/>
  <c r="G17" i="19"/>
  <c r="K14" i="48"/>
  <c r="F19" i="18"/>
  <c r="J14" i="47"/>
  <c r="J15" i="48"/>
  <c r="H15" i="50" l="1"/>
  <c r="H16" i="48"/>
  <c r="H15" i="47"/>
  <c r="C20" i="19"/>
  <c r="E19" i="19"/>
  <c r="C21" i="18"/>
  <c r="E20" i="18"/>
  <c r="C20" i="17"/>
  <c r="E19" i="17"/>
  <c r="G18" i="17"/>
  <c r="G18" i="19"/>
  <c r="F20" i="18"/>
  <c r="F19" i="19"/>
  <c r="G19" i="18"/>
  <c r="K15" i="48"/>
  <c r="K14" i="50"/>
  <c r="F19" i="17"/>
  <c r="J15" i="47"/>
  <c r="K14" i="47"/>
  <c r="J15" i="50"/>
  <c r="J16" i="48"/>
  <c r="H16" i="50" l="1"/>
  <c r="H17" i="48"/>
  <c r="H16" i="47"/>
  <c r="E20" i="19"/>
  <c r="C21" i="19"/>
  <c r="C22" i="18"/>
  <c r="E21" i="18"/>
  <c r="E20" i="17"/>
  <c r="C21" i="17"/>
  <c r="F20" i="19"/>
  <c r="K15" i="47"/>
  <c r="F20" i="17"/>
  <c r="F21" i="18"/>
  <c r="J17" i="48"/>
  <c r="G19" i="17"/>
  <c r="K16" i="48"/>
  <c r="J16" i="50"/>
  <c r="G20" i="18"/>
  <c r="G19" i="19"/>
  <c r="K15" i="50"/>
  <c r="J16" i="47"/>
  <c r="H17" i="50" l="1"/>
  <c r="H18" i="48"/>
  <c r="H17" i="47"/>
  <c r="E21" i="19"/>
  <c r="C22" i="19"/>
  <c r="E22" i="18"/>
  <c r="C23" i="18"/>
  <c r="E21" i="17"/>
  <c r="C22" i="17"/>
  <c r="F21" i="17"/>
  <c r="J17" i="47"/>
  <c r="G20" i="19"/>
  <c r="F21" i="19"/>
  <c r="F22" i="18"/>
  <c r="K16" i="47"/>
  <c r="G20" i="17"/>
  <c r="J17" i="50"/>
  <c r="K16" i="50"/>
  <c r="K17" i="48"/>
  <c r="G21" i="18"/>
  <c r="J18" i="48"/>
  <c r="H18" i="50" l="1"/>
  <c r="H19" i="48"/>
  <c r="H18" i="47"/>
  <c r="C23" i="19"/>
  <c r="E22" i="19"/>
  <c r="C24" i="18"/>
  <c r="E23" i="18"/>
  <c r="C23" i="17"/>
  <c r="E22" i="17"/>
  <c r="K18" i="48"/>
  <c r="K17" i="50"/>
  <c r="F22" i="17"/>
  <c r="G21" i="17"/>
  <c r="F23" i="18"/>
  <c r="J19" i="48"/>
  <c r="F22" i="19"/>
  <c r="G21" i="19"/>
  <c r="J18" i="50"/>
  <c r="K17" i="47"/>
  <c r="G22" i="18"/>
  <c r="J18" i="47"/>
  <c r="H19" i="50" l="1"/>
  <c r="H20" i="48"/>
  <c r="H19" i="47"/>
  <c r="E23" i="19"/>
  <c r="C24" i="19"/>
  <c r="C25" i="18"/>
  <c r="E24" i="18"/>
  <c r="E23" i="17"/>
  <c r="C24" i="17"/>
  <c r="K19" i="48"/>
  <c r="J20" i="48"/>
  <c r="G23" i="18"/>
  <c r="K18" i="50"/>
  <c r="F23" i="17"/>
  <c r="G22" i="17"/>
  <c r="F24" i="18"/>
  <c r="J19" i="50"/>
  <c r="J19" i="47"/>
  <c r="G22" i="19"/>
  <c r="K18" i="47"/>
  <c r="F23" i="19"/>
  <c r="H20" i="50" l="1"/>
  <c r="H21" i="48"/>
  <c r="H20" i="47"/>
  <c r="E24" i="19"/>
  <c r="C25" i="19"/>
  <c r="C26" i="18"/>
  <c r="E25" i="18"/>
  <c r="E24" i="17"/>
  <c r="C25" i="17"/>
  <c r="J21" i="48"/>
  <c r="G24" i="18"/>
  <c r="F25" i="18"/>
  <c r="F24" i="17"/>
  <c r="F24" i="19"/>
  <c r="K19" i="50"/>
  <c r="K20" i="48"/>
  <c r="J20" i="50"/>
  <c r="G23" i="17"/>
  <c r="J20" i="47"/>
  <c r="K19" i="47"/>
  <c r="G23" i="19"/>
  <c r="H21" i="50" l="1"/>
  <c r="H22" i="48"/>
  <c r="H21" i="47"/>
  <c r="C26" i="19"/>
  <c r="E25" i="19"/>
  <c r="E26" i="18"/>
  <c r="C27" i="18"/>
  <c r="C26" i="17"/>
  <c r="E25" i="17"/>
  <c r="K20" i="50"/>
  <c r="F25" i="17"/>
  <c r="J21" i="47"/>
  <c r="J21" i="50"/>
  <c r="J22" i="48"/>
  <c r="G24" i="17"/>
  <c r="G25" i="18"/>
  <c r="K21" i="48"/>
  <c r="F25" i="19"/>
  <c r="F26" i="18"/>
  <c r="K20" i="47"/>
  <c r="G24" i="19"/>
  <c r="H22" i="50" l="1"/>
  <c r="H23" i="48"/>
  <c r="H22" i="47"/>
  <c r="E26" i="19"/>
  <c r="C27" i="19"/>
  <c r="E27" i="18"/>
  <c r="C28" i="18"/>
  <c r="E26" i="17"/>
  <c r="C27" i="17"/>
  <c r="F27" i="18"/>
  <c r="J22" i="47"/>
  <c r="J22" i="50"/>
  <c r="K21" i="50"/>
  <c r="G25" i="17"/>
  <c r="G26" i="18"/>
  <c r="G25" i="19"/>
  <c r="K22" i="48"/>
  <c r="J23" i="48"/>
  <c r="F26" i="19"/>
  <c r="K21" i="47"/>
  <c r="F26" i="17"/>
  <c r="H23" i="50" l="1"/>
  <c r="H24" i="48"/>
  <c r="H23" i="47"/>
  <c r="C28" i="19"/>
  <c r="E27" i="19"/>
  <c r="C29" i="18"/>
  <c r="E28" i="18"/>
  <c r="C28" i="17"/>
  <c r="E27" i="17"/>
  <c r="F28" i="18"/>
  <c r="G26" i="17"/>
  <c r="J24" i="48"/>
  <c r="K22" i="47"/>
  <c r="J23" i="47"/>
  <c r="J23" i="50"/>
  <c r="G27" i="18"/>
  <c r="K22" i="50"/>
  <c r="G26" i="19"/>
  <c r="K23" i="48"/>
  <c r="F27" i="19"/>
  <c r="F27" i="17"/>
  <c r="H24" i="50" l="1"/>
  <c r="H25" i="48"/>
  <c r="H24" i="47"/>
  <c r="E28" i="19"/>
  <c r="C29" i="19"/>
  <c r="C30" i="18"/>
  <c r="E29" i="18"/>
  <c r="E28" i="17"/>
  <c r="C29" i="17"/>
  <c r="K23" i="47"/>
  <c r="F28" i="19"/>
  <c r="K24" i="48"/>
  <c r="F28" i="17"/>
  <c r="G28" i="18"/>
  <c r="F29" i="18"/>
  <c r="J25" i="48"/>
  <c r="K23" i="50"/>
  <c r="G27" i="17"/>
  <c r="G27" i="19"/>
  <c r="J24" i="47"/>
  <c r="J24" i="50"/>
  <c r="H25" i="50" l="1"/>
  <c r="H26" i="48"/>
  <c r="H25" i="47"/>
  <c r="E29" i="19"/>
  <c r="C30" i="19"/>
  <c r="E30" i="18"/>
  <c r="C31" i="18"/>
  <c r="E29" i="17"/>
  <c r="C30" i="17"/>
  <c r="F29" i="19"/>
  <c r="G29" i="18"/>
  <c r="K24" i="47"/>
  <c r="K25" i="48"/>
  <c r="J26" i="48"/>
  <c r="J25" i="47"/>
  <c r="F30" i="18"/>
  <c r="K24" i="50"/>
  <c r="F29" i="17"/>
  <c r="G28" i="17"/>
  <c r="G28" i="19"/>
  <c r="J25" i="50"/>
  <c r="H26" i="50" l="1"/>
  <c r="H27" i="48"/>
  <c r="H26" i="47"/>
  <c r="C31" i="19"/>
  <c r="E30" i="19"/>
  <c r="E31" i="18"/>
  <c r="C32" i="18"/>
  <c r="C31" i="17"/>
  <c r="E30" i="17"/>
  <c r="G29" i="17"/>
  <c r="K26" i="48"/>
  <c r="G29" i="19"/>
  <c r="J26" i="50"/>
  <c r="K25" i="47"/>
  <c r="J26" i="47"/>
  <c r="J27" i="48"/>
  <c r="K25" i="50"/>
  <c r="F31" i="18"/>
  <c r="G30" i="18"/>
  <c r="F30" i="19"/>
  <c r="F30" i="17"/>
  <c r="H27" i="50" l="1"/>
  <c r="H28" i="48"/>
  <c r="H27" i="47"/>
  <c r="E31" i="19"/>
  <c r="C32" i="19"/>
  <c r="C33" i="18"/>
  <c r="E32" i="18"/>
  <c r="C32" i="17"/>
  <c r="E31" i="17"/>
  <c r="J27" i="47"/>
  <c r="J27" i="50"/>
  <c r="K26" i="47"/>
  <c r="G30" i="19"/>
  <c r="K27" i="48"/>
  <c r="J28" i="48"/>
  <c r="F31" i="19"/>
  <c r="K26" i="50"/>
  <c r="G31" i="18"/>
  <c r="F32" i="18"/>
  <c r="F31" i="17"/>
  <c r="G30" i="17"/>
  <c r="H28" i="50" l="1"/>
  <c r="H29" i="48"/>
  <c r="H28" i="47"/>
  <c r="E32" i="19"/>
  <c r="C33" i="19"/>
  <c r="C34" i="18"/>
  <c r="E33" i="18"/>
  <c r="E32" i="17"/>
  <c r="C33" i="17"/>
  <c r="K27" i="50"/>
  <c r="K27" i="47"/>
  <c r="F32" i="19"/>
  <c r="F32" i="17"/>
  <c r="F33" i="18"/>
  <c r="K28" i="48"/>
  <c r="J28" i="47"/>
  <c r="G32" i="18"/>
  <c r="J29" i="48"/>
  <c r="G31" i="17"/>
  <c r="J28" i="50"/>
  <c r="G31" i="19"/>
  <c r="H29" i="50" l="1"/>
  <c r="H30" i="48"/>
  <c r="H29" i="47"/>
  <c r="C34" i="19"/>
  <c r="E33" i="19"/>
  <c r="E34" i="18"/>
  <c r="C35" i="18"/>
  <c r="C34" i="17"/>
  <c r="E33" i="17"/>
  <c r="G33" i="18"/>
  <c r="K28" i="50"/>
  <c r="J30" i="48"/>
  <c r="F34" i="18"/>
  <c r="F33" i="19"/>
  <c r="G32" i="19"/>
  <c r="J29" i="47"/>
  <c r="J29" i="50"/>
  <c r="K28" i="47"/>
  <c r="F33" i="17"/>
  <c r="G32" i="17"/>
  <c r="K29" i="48"/>
  <c r="H30" i="50" l="1"/>
  <c r="H31" i="48"/>
  <c r="H30" i="47"/>
  <c r="E34" i="19"/>
  <c r="C35" i="19"/>
  <c r="E35" i="18"/>
  <c r="C36" i="18"/>
  <c r="E34" i="17"/>
  <c r="C35" i="17"/>
  <c r="G34" i="18"/>
  <c r="J30" i="50"/>
  <c r="J31" i="48"/>
  <c r="J30" i="47"/>
  <c r="F35" i="18"/>
  <c r="K29" i="47"/>
  <c r="K29" i="50"/>
  <c r="F34" i="17"/>
  <c r="F34" i="19"/>
  <c r="K30" i="48"/>
  <c r="G33" i="19"/>
  <c r="G33" i="17"/>
  <c r="H31" i="50" l="1"/>
  <c r="H32" i="48"/>
  <c r="H31" i="47"/>
  <c r="C36" i="19"/>
  <c r="E35" i="19"/>
  <c r="C37" i="18"/>
  <c r="E36" i="18"/>
  <c r="C36" i="17"/>
  <c r="E35" i="17"/>
  <c r="J31" i="50"/>
  <c r="F35" i="19"/>
  <c r="J32" i="48"/>
  <c r="G35" i="18"/>
  <c r="K30" i="47"/>
  <c r="K30" i="50"/>
  <c r="K31" i="48"/>
  <c r="J31" i="47"/>
  <c r="G34" i="19"/>
  <c r="F35" i="17"/>
  <c r="F36" i="18"/>
  <c r="G34" i="17"/>
  <c r="H32" i="50" l="1"/>
  <c r="H33" i="48"/>
  <c r="H32" i="47"/>
  <c r="E36" i="19"/>
  <c r="C37" i="19"/>
  <c r="E37" i="18"/>
  <c r="C38" i="18"/>
  <c r="E36" i="17"/>
  <c r="C37" i="17"/>
  <c r="G35" i="17"/>
  <c r="K31" i="50"/>
  <c r="K31" i="47"/>
  <c r="K32" i="48"/>
  <c r="J33" i="48"/>
  <c r="F36" i="19"/>
  <c r="F37" i="18"/>
  <c r="J32" i="50"/>
  <c r="J32" i="47"/>
  <c r="F36" i="17"/>
  <c r="G36" i="18"/>
  <c r="G35" i="19"/>
  <c r="H33" i="50" l="1"/>
  <c r="H34" i="48"/>
  <c r="H33" i="47"/>
  <c r="E37" i="19"/>
  <c r="C38" i="19"/>
  <c r="E38" i="18"/>
  <c r="C39" i="18"/>
  <c r="E37" i="17"/>
  <c r="C38" i="17"/>
  <c r="J33" i="50"/>
  <c r="J33" i="47"/>
  <c r="F37" i="17"/>
  <c r="J34" i="48"/>
  <c r="G36" i="17"/>
  <c r="G36" i="19"/>
  <c r="K33" i="48"/>
  <c r="F37" i="19"/>
  <c r="K32" i="47"/>
  <c r="G37" i="18"/>
  <c r="F38" i="18"/>
  <c r="K32" i="50"/>
  <c r="H34" i="50" l="1"/>
  <c r="H35" i="48"/>
  <c r="H34" i="47"/>
  <c r="C39" i="19"/>
  <c r="E38" i="19"/>
  <c r="E39" i="18"/>
  <c r="C40" i="18"/>
  <c r="C39" i="17"/>
  <c r="E38" i="17"/>
  <c r="G37" i="19"/>
  <c r="J34" i="50"/>
  <c r="K33" i="50"/>
  <c r="F38" i="19"/>
  <c r="J34" i="47"/>
  <c r="K34" i="48"/>
  <c r="J35" i="48"/>
  <c r="F38" i="17"/>
  <c r="G38" i="18"/>
  <c r="F39" i="18"/>
  <c r="K33" i="47"/>
  <c r="G37" i="17"/>
  <c r="H35" i="50" l="1"/>
  <c r="H36" i="48"/>
  <c r="H35" i="47"/>
  <c r="E39" i="19"/>
  <c r="C40" i="19"/>
  <c r="E40" i="18"/>
  <c r="C41" i="18"/>
  <c r="C40" i="17"/>
  <c r="E39" i="17"/>
  <c r="F39" i="17"/>
  <c r="F40" i="18"/>
  <c r="F39" i="19"/>
  <c r="K35" i="48"/>
  <c r="J35" i="50"/>
  <c r="K34" i="50"/>
  <c r="G38" i="17"/>
  <c r="J36" i="48"/>
  <c r="G38" i="19"/>
  <c r="J35" i="47"/>
  <c r="G39" i="18"/>
  <c r="K34" i="47"/>
  <c r="H36" i="50" l="1"/>
  <c r="H37" i="48"/>
  <c r="H36" i="47"/>
  <c r="C41" i="19"/>
  <c r="E40" i="19"/>
  <c r="E41" i="18"/>
  <c r="C42" i="18"/>
  <c r="E42" i="18" s="1"/>
  <c r="E40" i="17"/>
  <c r="C41" i="17"/>
  <c r="K35" i="47"/>
  <c r="G39" i="17"/>
  <c r="G40" i="18"/>
  <c r="K35" i="50"/>
  <c r="G39" i="19"/>
  <c r="K36" i="48"/>
  <c r="J36" i="50"/>
  <c r="F40" i="19"/>
  <c r="J36" i="47"/>
  <c r="F42" i="18"/>
  <c r="F41" i="18"/>
  <c r="F40" i="17"/>
  <c r="J37" i="48"/>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40" i="13"/>
  <c r="G10" i="15"/>
  <c r="G32" i="13"/>
  <c r="G53" i="14"/>
  <c r="G31" i="13"/>
  <c r="G53" i="15"/>
  <c r="G45" i="15"/>
  <c r="G37" i="15"/>
  <c r="F9" i="12"/>
  <c r="G65" i="14"/>
  <c r="G16" i="15"/>
  <c r="G21" i="15"/>
  <c r="G50" i="13"/>
  <c r="G40" i="17"/>
  <c r="G35" i="14"/>
  <c r="G38" i="13"/>
  <c r="G9" i="14"/>
  <c r="G59" i="14"/>
  <c r="G29" i="13"/>
  <c r="G52" i="13"/>
  <c r="G46" i="14"/>
  <c r="G27" i="13"/>
  <c r="G62" i="14"/>
  <c r="G32" i="15"/>
  <c r="G41" i="14"/>
  <c r="G52" i="14"/>
  <c r="G25" i="15"/>
  <c r="G47" i="15"/>
  <c r="G23" i="13"/>
  <c r="G23" i="15"/>
  <c r="G17" i="15"/>
  <c r="G26" i="13"/>
  <c r="G20" i="14"/>
  <c r="F14" i="12"/>
  <c r="F41" i="17"/>
  <c r="G12" i="15"/>
  <c r="F42" i="19"/>
  <c r="G27" i="15"/>
  <c r="G42" i="18"/>
  <c r="G29" i="15"/>
  <c r="G19" i="13"/>
  <c r="G25" i="13"/>
  <c r="G65" i="13"/>
  <c r="J37" i="50"/>
  <c r="G39" i="15"/>
  <c r="G35" i="13"/>
  <c r="G33" i="15"/>
  <c r="G40" i="19"/>
  <c r="G31" i="14"/>
  <c r="G22" i="14"/>
  <c r="G64" i="15"/>
  <c r="G60" i="15"/>
  <c r="G15" i="14"/>
  <c r="F10" i="12"/>
  <c r="G47" i="14"/>
  <c r="G10" i="14"/>
  <c r="G20" i="13"/>
  <c r="G66" i="13"/>
  <c r="F7" i="12"/>
  <c r="G62" i="15"/>
  <c r="F11" i="12"/>
  <c r="G40" i="14"/>
  <c r="G14" i="13"/>
  <c r="G55" i="13"/>
  <c r="G25" i="14"/>
  <c r="G43" i="15"/>
  <c r="G50" i="14"/>
  <c r="G66" i="15"/>
  <c r="F19" i="12"/>
  <c r="G61" i="15"/>
  <c r="G12" i="14"/>
  <c r="G33" i="13"/>
  <c r="G8" i="15"/>
  <c r="G13" i="15"/>
  <c r="G34" i="15"/>
  <c r="G36" i="13"/>
  <c r="G11" i="15"/>
  <c r="F18" i="12"/>
  <c r="G9" i="15"/>
  <c r="G21" i="13"/>
  <c r="G52" i="15"/>
  <c r="G47" i="13"/>
  <c r="G58" i="13"/>
  <c r="G30" i="15"/>
  <c r="F8" i="12"/>
  <c r="G60" i="14"/>
  <c r="G26" i="15"/>
  <c r="G54" i="14"/>
  <c r="G19" i="14"/>
  <c r="G24" i="13"/>
  <c r="G59" i="15"/>
  <c r="G17" i="14"/>
  <c r="G46" i="15"/>
  <c r="G53" i="13"/>
  <c r="G34" i="14"/>
  <c r="G37" i="14"/>
  <c r="G21" i="14"/>
  <c r="G36" i="15"/>
  <c r="G34" i="13"/>
  <c r="G54" i="15"/>
  <c r="G56" i="14"/>
  <c r="G42" i="14"/>
  <c r="K36" i="47"/>
  <c r="G30" i="13"/>
  <c r="G36" i="14"/>
  <c r="G8" i="14"/>
  <c r="G24" i="15"/>
  <c r="G46" i="13"/>
  <c r="G45" i="14"/>
  <c r="F20" i="12"/>
  <c r="G15" i="15"/>
  <c r="G61" i="13"/>
  <c r="G18" i="13"/>
  <c r="G66" i="14"/>
  <c r="G57" i="15"/>
  <c r="G64" i="14"/>
  <c r="G9" i="13"/>
  <c r="J37" i="47"/>
  <c r="G38" i="15"/>
  <c r="G12" i="13"/>
  <c r="G51" i="14"/>
  <c r="G32" i="14"/>
  <c r="G14" i="14"/>
  <c r="G19" i="15"/>
  <c r="G56" i="15"/>
  <c r="G16" i="14"/>
  <c r="G7" i="14"/>
  <c r="G59" i="13"/>
  <c r="K36" i="50"/>
  <c r="G27" i="14"/>
  <c r="G8" i="13"/>
  <c r="G16" i="13"/>
  <c r="G38" i="14"/>
  <c r="G28" i="15"/>
  <c r="G39" i="13"/>
  <c r="G43" i="13"/>
  <c r="G15" i="13"/>
  <c r="G45" i="13"/>
  <c r="G14" i="15"/>
  <c r="G33" i="14"/>
  <c r="G49" i="14"/>
  <c r="G61" i="14"/>
  <c r="G17" i="13"/>
  <c r="F16" i="12"/>
  <c r="G28" i="13"/>
  <c r="F41" i="19"/>
  <c r="G13" i="14"/>
  <c r="G24" i="14"/>
  <c r="G7" i="13"/>
  <c r="G40" i="15"/>
  <c r="G22" i="13"/>
  <c r="F42" i="17"/>
  <c r="G54" i="13"/>
  <c r="G42" i="15"/>
  <c r="G56" i="13"/>
  <c r="G51" i="15"/>
  <c r="G58" i="15"/>
  <c r="G65" i="15"/>
  <c r="G44" i="13"/>
  <c r="G48" i="15"/>
  <c r="G41" i="13"/>
  <c r="F6" i="12"/>
  <c r="J38" i="48"/>
  <c r="G60" i="13"/>
  <c r="G48" i="14"/>
  <c r="G55" i="14"/>
  <c r="G18" i="15"/>
  <c r="G49" i="13"/>
  <c r="G57" i="14"/>
  <c r="G63" i="14"/>
  <c r="G11" i="14"/>
  <c r="G57" i="13"/>
  <c r="G22" i="15"/>
  <c r="G48" i="13"/>
  <c r="G55" i="15"/>
  <c r="G29" i="14"/>
  <c r="F13" i="12"/>
  <c r="G28" i="14"/>
  <c r="G7" i="15"/>
  <c r="G51" i="13"/>
  <c r="G50" i="15"/>
  <c r="G31" i="15"/>
  <c r="G44" i="14"/>
  <c r="G43" i="14"/>
  <c r="G10" i="13"/>
  <c r="G62" i="13"/>
  <c r="F17" i="12"/>
  <c r="G11" i="13"/>
  <c r="G13" i="13"/>
  <c r="G49" i="15"/>
  <c r="G26" i="14"/>
  <c r="G63" i="13"/>
  <c r="G64" i="13"/>
  <c r="J39" i="48"/>
  <c r="F12" i="12"/>
  <c r="G23" i="14"/>
  <c r="G42" i="13"/>
  <c r="G63" i="15"/>
  <c r="G58" i="14"/>
  <c r="G37" i="13"/>
  <c r="F15" i="12"/>
  <c r="G18" i="14"/>
  <c r="G30" i="14"/>
  <c r="G20" i="15"/>
  <c r="G41" i="18"/>
  <c r="G39" i="14"/>
  <c r="G35" i="15"/>
  <c r="K37" i="48"/>
  <c r="G41" i="15"/>
  <c r="G44" i="15"/>
  <c r="G4" i="18"/>
  <c r="F4" i="17"/>
  <c r="G6" i="14"/>
  <c r="F4" i="19"/>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H51" i="13"/>
  <c r="J22" i="6"/>
  <c r="K37" i="47"/>
  <c r="G26" i="10"/>
  <c r="G48" i="9"/>
  <c r="G34" i="9"/>
  <c r="H36" i="14"/>
  <c r="G17" i="8"/>
  <c r="G66" i="10"/>
  <c r="G11" i="12"/>
  <c r="H43" i="13"/>
  <c r="H65" i="15"/>
  <c r="G10" i="10"/>
  <c r="G64" i="9"/>
  <c r="H47" i="13"/>
  <c r="G62" i="10"/>
  <c r="H7" i="14"/>
  <c r="G60" i="10"/>
  <c r="H32" i="14"/>
  <c r="H53" i="14"/>
  <c r="H20" i="13"/>
  <c r="G58" i="9"/>
  <c r="G18" i="10"/>
  <c r="G17" i="9"/>
  <c r="F14" i="7"/>
  <c r="G59" i="8"/>
  <c r="H29" i="13"/>
  <c r="H37" i="14"/>
  <c r="H66" i="13"/>
  <c r="H25" i="13"/>
  <c r="J39" i="50"/>
  <c r="G13" i="12"/>
  <c r="G37" i="10"/>
  <c r="H17" i="14"/>
  <c r="H32" i="13"/>
  <c r="G42" i="17"/>
  <c r="H66" i="15"/>
  <c r="F11" i="7"/>
  <c r="G33" i="9"/>
  <c r="G13" i="8"/>
  <c r="G51" i="10"/>
  <c r="G7" i="9"/>
  <c r="G42" i="10"/>
  <c r="G55" i="9"/>
  <c r="H29" i="14"/>
  <c r="G41" i="17"/>
  <c r="G32" i="9"/>
  <c r="G60" i="8"/>
  <c r="H46" i="13"/>
  <c r="G23" i="9"/>
  <c r="H57" i="14"/>
  <c r="G29" i="9"/>
  <c r="H57" i="13"/>
  <c r="H19" i="13"/>
  <c r="H17" i="15"/>
  <c r="J13" i="6"/>
  <c r="H24" i="14"/>
  <c r="H25" i="15"/>
  <c r="H8" i="15"/>
  <c r="H36" i="13"/>
  <c r="H16" i="13"/>
  <c r="H57" i="15"/>
  <c r="H65" i="13"/>
  <c r="H47" i="15"/>
  <c r="H15" i="14"/>
  <c r="G33" i="8"/>
  <c r="G64" i="10"/>
  <c r="H11" i="14"/>
  <c r="G53" i="9"/>
  <c r="G27" i="10"/>
  <c r="H21" i="15"/>
  <c r="H44" i="13"/>
  <c r="G31" i="9"/>
  <c r="H23" i="15"/>
  <c r="G16" i="10"/>
  <c r="H37" i="15"/>
  <c r="G24" i="8"/>
  <c r="H56" i="13"/>
  <c r="F6" i="7"/>
  <c r="H32" i="15"/>
  <c r="H52" i="15"/>
  <c r="H34" i="15"/>
  <c r="G35" i="10"/>
  <c r="H18" i="13"/>
  <c r="H45" i="14"/>
  <c r="G13" i="10"/>
  <c r="H62" i="15"/>
  <c r="H38" i="13"/>
  <c r="G20" i="8"/>
  <c r="G9" i="10"/>
  <c r="H31" i="15"/>
  <c r="G17" i="10"/>
  <c r="G14" i="10"/>
  <c r="F19" i="7"/>
  <c r="F20" i="7"/>
  <c r="G12" i="12"/>
  <c r="H58" i="14"/>
  <c r="G20" i="12"/>
  <c r="G18" i="9"/>
  <c r="G45" i="10"/>
  <c r="H51" i="14"/>
  <c r="H7" i="13"/>
  <c r="G39" i="8"/>
  <c r="H48" i="14"/>
  <c r="G41" i="9"/>
  <c r="G33" i="10"/>
  <c r="G11" i="9"/>
  <c r="H29" i="15"/>
  <c r="H25" i="14"/>
  <c r="H27" i="15"/>
  <c r="G30" i="9"/>
  <c r="H24" i="15"/>
  <c r="G45" i="9"/>
  <c r="G61" i="10"/>
  <c r="H40" i="13"/>
  <c r="H49" i="14"/>
  <c r="G46" i="8"/>
  <c r="G8" i="10"/>
  <c r="H60" i="14"/>
  <c r="H44" i="14"/>
  <c r="H45" i="13"/>
  <c r="H14" i="13"/>
  <c r="G53" i="10"/>
  <c r="F10" i="7"/>
  <c r="H59" i="14"/>
  <c r="G54" i="8"/>
  <c r="H36" i="15"/>
  <c r="G62" i="8"/>
  <c r="H48" i="15"/>
  <c r="G30" i="8"/>
  <c r="G19" i="10"/>
  <c r="G23" i="8"/>
  <c r="J17" i="6"/>
  <c r="G22" i="10"/>
  <c r="H19" i="15"/>
  <c r="J21" i="6"/>
  <c r="J39" i="47"/>
  <c r="K38" i="48"/>
  <c r="H44" i="15"/>
  <c r="G63" i="10"/>
  <c r="G12" i="8"/>
  <c r="G15" i="12"/>
  <c r="G16" i="8"/>
  <c r="G8" i="9"/>
  <c r="G9" i="9"/>
  <c r="H27" i="14"/>
  <c r="H9" i="15"/>
  <c r="H33" i="13"/>
  <c r="L6" i="6"/>
  <c r="H27" i="13"/>
  <c r="G18" i="8"/>
  <c r="G14" i="8"/>
  <c r="H43" i="14"/>
  <c r="G47" i="9"/>
  <c r="G60" i="9"/>
  <c r="H50" i="13"/>
  <c r="H20" i="14"/>
  <c r="H8" i="14"/>
  <c r="G22" i="8"/>
  <c r="H54" i="13"/>
  <c r="G40" i="10"/>
  <c r="G11" i="10"/>
  <c r="G16" i="9"/>
  <c r="G50" i="8"/>
  <c r="G64" i="8"/>
  <c r="G46" i="9"/>
  <c r="H64" i="14"/>
  <c r="G41" i="19"/>
  <c r="G7" i="8"/>
  <c r="G22" i="9"/>
  <c r="H28" i="13"/>
  <c r="G57" i="9"/>
  <c r="H60" i="13"/>
  <c r="J16" i="6"/>
  <c r="H42" i="15"/>
  <c r="H53" i="13"/>
  <c r="H23" i="13"/>
  <c r="J10" i="6"/>
  <c r="G41" i="10"/>
  <c r="J9" i="6"/>
  <c r="G21" i="9"/>
  <c r="H40" i="15"/>
  <c r="G39" i="10"/>
  <c r="G43" i="10"/>
  <c r="G8" i="12"/>
  <c r="G57" i="10"/>
  <c r="H12" i="15"/>
  <c r="G56" i="10"/>
  <c r="H19" i="14"/>
  <c r="G28" i="10"/>
  <c r="H11" i="15"/>
  <c r="H49" i="13"/>
  <c r="G31" i="10"/>
  <c r="H20" i="15"/>
  <c r="G58" i="10"/>
  <c r="G28" i="8"/>
  <c r="G34" i="8"/>
  <c r="G12" i="10"/>
  <c r="H15" i="15"/>
  <c r="G38" i="8"/>
  <c r="H42" i="14"/>
  <c r="G9" i="8"/>
  <c r="G54" i="9"/>
  <c r="H23" i="14"/>
  <c r="H22" i="13"/>
  <c r="J15" i="6"/>
  <c r="H34" i="14"/>
  <c r="G24" i="9"/>
  <c r="G46" i="10"/>
  <c r="H10" i="13"/>
  <c r="G52" i="10"/>
  <c r="G19" i="8"/>
  <c r="H43" i="15"/>
  <c r="G15" i="10"/>
  <c r="K37" i="50"/>
  <c r="H26" i="13"/>
  <c r="J38" i="50"/>
  <c r="H46" i="14"/>
  <c r="H54" i="14"/>
  <c r="G29" i="10"/>
  <c r="H13" i="13"/>
  <c r="H56" i="14"/>
  <c r="G47" i="10"/>
  <c r="G20" i="10"/>
  <c r="H46" i="15"/>
  <c r="G30" i="10"/>
  <c r="H9" i="14"/>
  <c r="F15" i="7"/>
  <c r="H28" i="15"/>
  <c r="G51" i="8"/>
  <c r="H55" i="15"/>
  <c r="G29" i="8"/>
  <c r="G52" i="9"/>
  <c r="H14" i="15"/>
  <c r="K39" i="48"/>
  <c r="G59" i="9"/>
  <c r="H14" i="14"/>
  <c r="G63" i="8"/>
  <c r="H21" i="13"/>
  <c r="H34" i="13"/>
  <c r="J18" i="6"/>
  <c r="H61" i="15"/>
  <c r="H9" i="13"/>
  <c r="G36" i="8"/>
  <c r="F9" i="7"/>
  <c r="H13" i="15"/>
  <c r="F12" i="7"/>
  <c r="G23" i="10"/>
  <c r="G16" i="12"/>
  <c r="G59" i="10"/>
  <c r="H10" i="15"/>
  <c r="H30" i="14"/>
  <c r="H22" i="14"/>
  <c r="H59" i="13"/>
  <c r="J19" i="6"/>
  <c r="H64" i="15"/>
  <c r="G61" i="9"/>
  <c r="H41" i="15"/>
  <c r="H16" i="15"/>
  <c r="F16" i="7"/>
  <c r="G41" i="8"/>
  <c r="G27" i="8"/>
  <c r="G49" i="10"/>
  <c r="H63" i="15"/>
  <c r="G7" i="12"/>
  <c r="G26" i="8"/>
  <c r="G40" i="9"/>
  <c r="G21" i="10"/>
  <c r="H35" i="15"/>
  <c r="H58" i="13"/>
  <c r="H26" i="14"/>
  <c r="G20" i="9"/>
  <c r="H12" i="14"/>
  <c r="G44" i="9"/>
  <c r="H63" i="13"/>
  <c r="J8" i="6"/>
  <c r="H50" i="14"/>
  <c r="G25" i="8"/>
  <c r="G47" i="8"/>
  <c r="G65" i="10"/>
  <c r="G58" i="8"/>
  <c r="G11" i="8"/>
  <c r="G21" i="8"/>
  <c r="G12" i="9"/>
  <c r="H45" i="15"/>
  <c r="H16" i="14"/>
  <c r="H56" i="15"/>
  <c r="H41" i="13"/>
  <c r="G28" i="9"/>
  <c r="G13" i="9"/>
  <c r="H41" i="14"/>
  <c r="G48" i="8"/>
  <c r="G65" i="9"/>
  <c r="H7" i="15"/>
  <c r="H35" i="13"/>
  <c r="G65" i="8"/>
  <c r="F18" i="7"/>
  <c r="G49" i="8"/>
  <c r="G39" i="9"/>
  <c r="H10" i="14"/>
  <c r="G43" i="8"/>
  <c r="H42" i="13"/>
  <c r="H22" i="15"/>
  <c r="G35" i="8"/>
  <c r="G55" i="8"/>
  <c r="G55" i="10"/>
  <c r="G53" i="8"/>
  <c r="H53" i="15"/>
  <c r="G50" i="10"/>
  <c r="G36" i="10"/>
  <c r="H30" i="13"/>
  <c r="H8" i="13"/>
  <c r="G50" i="9"/>
  <c r="G19" i="12"/>
  <c r="G15" i="8"/>
  <c r="H52" i="13"/>
  <c r="H24" i="13"/>
  <c r="G24" i="10"/>
  <c r="G14" i="9"/>
  <c r="H28" i="14"/>
  <c r="G27" i="9"/>
  <c r="H62" i="14"/>
  <c r="H38" i="14"/>
  <c r="G56" i="9"/>
  <c r="G51" i="9"/>
  <c r="J38" i="47"/>
  <c r="G25" i="10"/>
  <c r="H65" i="14"/>
  <c r="H33" i="15"/>
  <c r="H61" i="13"/>
  <c r="G35" i="9"/>
  <c r="G38" i="10"/>
  <c r="G66" i="8"/>
  <c r="F8" i="7"/>
  <c r="H38" i="15"/>
  <c r="G49" i="9"/>
  <c r="H52" i="14"/>
  <c r="G42" i="8"/>
  <c r="G8" i="8"/>
  <c r="G18" i="12"/>
  <c r="Y48" i="28"/>
  <c r="H66" i="14"/>
  <c r="G40" i="8"/>
  <c r="G10" i="8"/>
  <c r="J20" i="6"/>
  <c r="H18" i="15"/>
  <c r="H54" i="15"/>
  <c r="H31" i="14"/>
  <c r="H18" i="14"/>
  <c r="G26" i="9"/>
  <c r="G9" i="12"/>
  <c r="G37" i="9"/>
  <c r="H35" i="14"/>
  <c r="H30" i="15"/>
  <c r="H31" i="13"/>
  <c r="G52" i="8"/>
  <c r="G6" i="12"/>
  <c r="H59" i="15"/>
  <c r="G42" i="9"/>
  <c r="F17" i="7"/>
  <c r="H11" i="13"/>
  <c r="H63" i="14"/>
  <c r="H21" i="14"/>
  <c r="G44" i="10"/>
  <c r="H40" i="14"/>
  <c r="H55" i="14"/>
  <c r="H13" i="14"/>
  <c r="G37" i="8"/>
  <c r="G25" i="9"/>
  <c r="F13" i="7"/>
  <c r="G63" i="9"/>
  <c r="H60" i="15"/>
  <c r="G36" i="9"/>
  <c r="H51" i="15"/>
  <c r="H49" i="15"/>
  <c r="H64" i="13"/>
  <c r="G48" i="10"/>
  <c r="H58" i="15"/>
  <c r="G66" i="9"/>
  <c r="G32" i="8"/>
  <c r="G54" i="10"/>
  <c r="H37" i="13"/>
  <c r="G10" i="12"/>
  <c r="G34" i="10"/>
  <c r="J12" i="6"/>
  <c r="G45" i="8"/>
  <c r="H39" i="15"/>
  <c r="H39" i="14"/>
  <c r="G61" i="8"/>
  <c r="G31" i="8"/>
  <c r="H47" i="14"/>
  <c r="G42" i="19"/>
  <c r="J11" i="6"/>
  <c r="H50" i="15"/>
  <c r="G56" i="8"/>
  <c r="J14" i="6"/>
  <c r="G14" i="12"/>
  <c r="G15" i="9"/>
  <c r="G7" i="10"/>
  <c r="H39" i="13"/>
  <c r="F7" i="7"/>
  <c r="G57" i="8"/>
  <c r="H61" i="14"/>
  <c r="H48" i="13"/>
  <c r="H33" i="14"/>
  <c r="G19" i="9"/>
  <c r="H17" i="13"/>
  <c r="H62" i="13"/>
  <c r="G44" i="8"/>
  <c r="G32" i="10"/>
  <c r="H15" i="13"/>
  <c r="G38" i="9"/>
  <c r="H55" i="13"/>
  <c r="G62" i="9"/>
  <c r="G17" i="12"/>
  <c r="H12" i="13"/>
  <c r="G10" i="9"/>
  <c r="H26" i="15"/>
  <c r="G43" i="9"/>
  <c r="Y3" i="28"/>
  <c r="G4" i="19"/>
  <c r="H6" i="14"/>
  <c r="G6" i="13"/>
  <c r="F5" i="7"/>
  <c r="F5" i="12"/>
  <c r="G4" i="17"/>
  <c r="G6" i="15"/>
  <c r="Y9" i="6" l="1"/>
  <c r="X5" i="19" a="1"/>
  <c r="H32" i="8"/>
  <c r="H26" i="10"/>
  <c r="H44" i="8"/>
  <c r="L7" i="6"/>
  <c r="H50" i="9"/>
  <c r="H13" i="8"/>
  <c r="H57" i="8"/>
  <c r="H59" i="9"/>
  <c r="H49" i="9"/>
  <c r="H36" i="9"/>
  <c r="H20" i="10"/>
  <c r="H51" i="8"/>
  <c r="H33" i="8"/>
  <c r="H37" i="9"/>
  <c r="G16" i="7"/>
  <c r="H19" i="10"/>
  <c r="L17" i="6"/>
  <c r="H51" i="9"/>
  <c r="H35" i="10"/>
  <c r="H46" i="9"/>
  <c r="H29" i="8"/>
  <c r="H61" i="9"/>
  <c r="H17" i="9"/>
  <c r="H30" i="8"/>
  <c r="H44" i="9"/>
  <c r="H56" i="10"/>
  <c r="H25" i="8"/>
  <c r="H31" i="10"/>
  <c r="H39" i="9"/>
  <c r="H53" i="9"/>
  <c r="H43" i="9"/>
  <c r="H32" i="10"/>
  <c r="H45" i="9"/>
  <c r="H16" i="8"/>
  <c r="H45" i="10"/>
  <c r="H10" i="9"/>
  <c r="H40" i="8"/>
  <c r="H55" i="10"/>
  <c r="H48" i="8"/>
  <c r="K11" i="6"/>
  <c r="H18" i="9"/>
  <c r="H62" i="10"/>
  <c r="H54" i="9"/>
  <c r="K39" i="50"/>
  <c r="H14" i="9"/>
  <c r="H49" i="10"/>
  <c r="K19" i="6"/>
  <c r="H15" i="9"/>
  <c r="H9" i="8"/>
  <c r="H17" i="10"/>
  <c r="H52" i="9"/>
  <c r="G11" i="7"/>
  <c r="L9" i="6"/>
  <c r="H43" i="8"/>
  <c r="H22" i="8"/>
  <c r="H33" i="9"/>
  <c r="K38" i="47"/>
  <c r="H63" i="8"/>
  <c r="H46" i="8"/>
  <c r="H30" i="9"/>
  <c r="H25" i="9"/>
  <c r="H35" i="9"/>
  <c r="H34" i="8"/>
  <c r="H36" i="10"/>
  <c r="G6" i="7"/>
  <c r="H63" i="9"/>
  <c r="H47" i="9"/>
  <c r="H27" i="8"/>
  <c r="H19" i="9"/>
  <c r="H38" i="8"/>
  <c r="H7" i="10"/>
  <c r="H27" i="10"/>
  <c r="H61" i="10"/>
  <c r="H52" i="8"/>
  <c r="H51" i="10"/>
  <c r="H45" i="8"/>
  <c r="H14" i="8"/>
  <c r="H24" i="9"/>
  <c r="H55" i="9"/>
  <c r="H7" i="8"/>
  <c r="H64" i="8"/>
  <c r="K39" i="47"/>
  <c r="H29" i="10"/>
  <c r="H42" i="8"/>
  <c r="H13" i="9"/>
  <c r="H28" i="10"/>
  <c r="H54" i="10"/>
  <c r="H42" i="10"/>
  <c r="H57" i="10"/>
  <c r="H41" i="8"/>
  <c r="H49" i="8"/>
  <c r="H36" i="8"/>
  <c r="G19" i="7"/>
  <c r="H12" i="10"/>
  <c r="H41" i="10"/>
  <c r="H48" i="9"/>
  <c r="H50" i="10"/>
  <c r="H24" i="10"/>
  <c r="K20" i="6"/>
  <c r="H65" i="9"/>
  <c r="K7" i="6"/>
  <c r="H34" i="9"/>
  <c r="L20" i="6"/>
  <c r="H53" i="8"/>
  <c r="H41" i="9"/>
  <c r="H39" i="10"/>
  <c r="H23" i="10"/>
  <c r="G20" i="7"/>
  <c r="H56" i="8"/>
  <c r="G18" i="7"/>
  <c r="H21" i="10"/>
  <c r="H57" i="9"/>
  <c r="G7" i="7"/>
  <c r="H31" i="8"/>
  <c r="K38" i="50"/>
  <c r="H37" i="10"/>
  <c r="H16" i="10"/>
  <c r="H12" i="8"/>
  <c r="H19" i="8"/>
  <c r="H35" i="8"/>
  <c r="G14" i="7"/>
  <c r="G8" i="7"/>
  <c r="H65" i="8"/>
  <c r="H66" i="9"/>
  <c r="H44" i="10"/>
  <c r="H21" i="9"/>
  <c r="H64" i="10"/>
  <c r="H63" i="10"/>
  <c r="H26" i="9"/>
  <c r="H20" i="8"/>
  <c r="H29" i="9"/>
  <c r="H9" i="9"/>
  <c r="G9" i="7"/>
  <c r="L13" i="6"/>
  <c r="H58" i="8"/>
  <c r="H8" i="8"/>
  <c r="H23" i="8"/>
  <c r="H8" i="9"/>
  <c r="H9" i="10"/>
  <c r="H25" i="10"/>
  <c r="H11" i="10"/>
  <c r="H10" i="8"/>
  <c r="H43" i="10"/>
  <c r="H31" i="9"/>
  <c r="H50" i="8"/>
  <c r="H65" i="10"/>
  <c r="H12" i="9"/>
  <c r="H18" i="10"/>
  <c r="Z9" i="6"/>
  <c r="L11" i="6"/>
  <c r="H27" i="9"/>
  <c r="H30" i="10"/>
  <c r="H58" i="9"/>
  <c r="H40" i="10"/>
  <c r="H15" i="8"/>
  <c r="H7" i="9"/>
  <c r="H20" i="9"/>
  <c r="H59" i="10"/>
  <c r="H23" i="9"/>
  <c r="H39" i="8"/>
  <c r="H18" i="8"/>
  <c r="K9" i="6"/>
  <c r="G17" i="7"/>
  <c r="H28" i="8"/>
  <c r="H59" i="8"/>
  <c r="H60" i="10"/>
  <c r="H58" i="10"/>
  <c r="H47" i="8"/>
  <c r="K13" i="6"/>
  <c r="L14" i="6"/>
  <c r="H8" i="10"/>
  <c r="H14" i="10"/>
  <c r="H66" i="10"/>
  <c r="H66" i="8"/>
  <c r="H15" i="10"/>
  <c r="H60" i="9"/>
  <c r="H34" i="10"/>
  <c r="H26" i="8"/>
  <c r="H17" i="8"/>
  <c r="G10" i="7"/>
  <c r="H62" i="9"/>
  <c r="H52" i="10"/>
  <c r="H40" i="9"/>
  <c r="G13" i="7"/>
  <c r="H10" i="10"/>
  <c r="H33" i="10"/>
  <c r="H16" i="9"/>
  <c r="H13" i="10"/>
  <c r="H11" i="9"/>
  <c r="G15" i="7"/>
  <c r="H53" i="10"/>
  <c r="H38" i="10"/>
  <c r="H22" i="9"/>
  <c r="L19" i="6"/>
  <c r="H55" i="8"/>
  <c r="H47" i="10"/>
  <c r="H22" i="10"/>
  <c r="H61" i="8"/>
  <c r="H54" i="8"/>
  <c r="G12" i="7"/>
  <c r="H37" i="8"/>
  <c r="H46" i="10"/>
  <c r="H64" i="9"/>
  <c r="H24" i="8"/>
  <c r="H42" i="9"/>
  <c r="H48" i="10"/>
  <c r="H11" i="8"/>
  <c r="H60" i="8"/>
  <c r="H56" i="9"/>
  <c r="H38" i="9"/>
  <c r="H28" i="9"/>
  <c r="H32" i="9"/>
  <c r="H21" i="8"/>
  <c r="H62" i="8"/>
  <c r="G6" i="9"/>
  <c r="G6" i="10"/>
  <c r="H6" i="15"/>
  <c r="G6" i="8"/>
  <c r="H6" i="13"/>
  <c r="G5" i="12"/>
  <c r="G5" i="7"/>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K12" i="6"/>
  <c r="Z8" i="6"/>
  <c r="W9" i="6"/>
  <c r="Z12" i="6"/>
  <c r="Z13" i="6"/>
  <c r="L22" i="6"/>
  <c r="Z19" i="6"/>
  <c r="L16" i="6"/>
  <c r="L18" i="6"/>
  <c r="Z10" i="6"/>
  <c r="M13" i="6"/>
  <c r="L15" i="6"/>
  <c r="L10" i="6"/>
  <c r="M11" i="6"/>
  <c r="K8" i="6"/>
  <c r="Z22" i="6"/>
  <c r="L21" i="6"/>
  <c r="Z21" i="6"/>
  <c r="Z20" i="6"/>
  <c r="K22" i="6"/>
  <c r="K16" i="6"/>
  <c r="Z14" i="6"/>
  <c r="Z16" i="6"/>
  <c r="L12" i="6"/>
  <c r="K10" i="6"/>
  <c r="K14" i="6"/>
  <c r="Z15" i="6"/>
  <c r="K21" i="6"/>
  <c r="Z18" i="6"/>
  <c r="M19" i="6"/>
  <c r="M9" i="6"/>
  <c r="K17" i="6"/>
  <c r="M20" i="6"/>
  <c r="K18" i="6"/>
  <c r="M7" i="6"/>
  <c r="Z11" i="6"/>
  <c r="L8" i="6"/>
  <c r="Z17" i="6"/>
  <c r="K15" i="6"/>
  <c r="H6" i="10"/>
  <c r="H6" i="9"/>
  <c r="J5" i="6"/>
  <c r="H6" i="8"/>
  <c r="X8" i="18" l="1"/>
  <c r="X7" i="18"/>
  <c r="X5" i="18"/>
  <c r="X6" i="18"/>
  <c r="X9" i="18"/>
  <c r="X10" i="18"/>
  <c r="W15" i="6"/>
  <c r="W11" i="6"/>
  <c r="M10" i="6"/>
  <c r="W19" i="6"/>
  <c r="W13" i="6"/>
  <c r="M12" i="6"/>
  <c r="W17" i="6"/>
  <c r="W20" i="6"/>
  <c r="M22" i="6"/>
  <c r="M8" i="6"/>
  <c r="W22" i="6"/>
  <c r="W12" i="6"/>
  <c r="M21" i="6"/>
  <c r="W16" i="6"/>
  <c r="W21" i="6"/>
  <c r="M17" i="6"/>
  <c r="M15" i="6"/>
  <c r="M14" i="6"/>
  <c r="W10" i="6"/>
  <c r="W14" i="6"/>
  <c r="M18" i="6"/>
  <c r="M16" i="6"/>
  <c r="W18" i="6"/>
  <c r="AA9" i="6"/>
  <c r="W8" i="6"/>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20" i="6"/>
  <c r="AA16" i="6"/>
  <c r="AA18" i="6"/>
  <c r="AA21" i="6"/>
  <c r="AA12" i="6"/>
  <c r="AA15" i="6"/>
  <c r="AA8" i="6"/>
  <c r="AA11" i="6"/>
  <c r="AA14" i="6"/>
  <c r="AA13" i="6"/>
  <c r="AA19" i="6"/>
  <c r="AA10" i="6"/>
  <c r="AA22" i="6"/>
  <c r="AC9" i="6"/>
  <c r="AA17" i="6"/>
  <c r="AC30" i="19"/>
  <c r="AC20" i="19"/>
  <c r="AC24" i="19"/>
  <c r="AC6" i="19"/>
  <c r="AC16" i="19"/>
  <c r="AC19" i="19"/>
  <c r="AC29" i="19"/>
  <c r="AC17" i="19"/>
  <c r="AC37" i="19"/>
  <c r="AC7" i="19"/>
  <c r="AC14" i="19"/>
  <c r="AC23" i="19"/>
  <c r="AC31" i="19"/>
  <c r="AC42" i="19"/>
  <c r="AC18" i="19"/>
  <c r="AC15" i="19"/>
  <c r="AC21" i="19"/>
  <c r="AC26" i="19"/>
  <c r="AC28" i="19"/>
  <c r="AC36" i="19"/>
  <c r="AC13" i="19"/>
  <c r="AC38" i="19"/>
  <c r="AC39" i="19"/>
  <c r="AC32" i="19"/>
  <c r="AC10" i="19"/>
  <c r="AC12" i="19"/>
  <c r="AC33" i="19"/>
  <c r="AC27" i="19"/>
  <c r="AC8" i="19"/>
  <c r="AC40" i="19"/>
  <c r="AC9" i="19"/>
  <c r="AC34" i="19"/>
  <c r="AC41" i="19"/>
  <c r="AC35" i="19"/>
  <c r="AC11" i="19"/>
  <c r="AC25" i="19"/>
  <c r="AC22" i="19"/>
  <c r="AC5" i="19"/>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Y41" i="18"/>
  <c r="AC15" i="6"/>
  <c r="AC14" i="6"/>
  <c r="AC22" i="6"/>
  <c r="AC12" i="6"/>
  <c r="AC8" i="6"/>
  <c r="AC17" i="6"/>
  <c r="AC19" i="6"/>
  <c r="AC20" i="6"/>
  <c r="AC18" i="6"/>
  <c r="AC21" i="6"/>
  <c r="AC13" i="6"/>
  <c r="AC11" i="6"/>
  <c r="AC10" i="6"/>
  <c r="AC16" i="6"/>
  <c r="AC3" i="19"/>
  <c r="AB2" i="6" l="1"/>
  <c r="Y42" i="18"/>
  <c r="X42" i="18" s="1"/>
  <c r="S3" i="17"/>
  <c r="AJ7" i="18" l="1"/>
  <c r="X5" i="17" a="1"/>
  <c r="AC11" i="18"/>
  <c r="AC32" i="18"/>
  <c r="AC9" i="18"/>
  <c r="AC34" i="18"/>
  <c r="AC10" i="18"/>
  <c r="AC13" i="18"/>
  <c r="AC25" i="18"/>
  <c r="AC29" i="18"/>
  <c r="AC39" i="18"/>
  <c r="AC27" i="18"/>
  <c r="AC23" i="18"/>
  <c r="AC35" i="18"/>
  <c r="AC8" i="18"/>
  <c r="AC30" i="18"/>
  <c r="AC20" i="18"/>
  <c r="AC17" i="18"/>
  <c r="AC6" i="18"/>
  <c r="AC24" i="18"/>
  <c r="AC22" i="18"/>
  <c r="AC5" i="18"/>
  <c r="AC37" i="18"/>
  <c r="AC33" i="18"/>
  <c r="AC38" i="18"/>
  <c r="AC26" i="18"/>
  <c r="AC36" i="18"/>
  <c r="AC42" i="18"/>
  <c r="AC19" i="18"/>
  <c r="AC7" i="18"/>
  <c r="AC15" i="18"/>
  <c r="AC28" i="18"/>
  <c r="AC16" i="18"/>
  <c r="AC31" i="18"/>
  <c r="AC14" i="18"/>
  <c r="AC18" i="18"/>
  <c r="AC41" i="18"/>
  <c r="AC12" i="18"/>
  <c r="AC40" i="18"/>
  <c r="AC21"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30"/>
  <c r="Y3" i="29"/>
  <c r="AC3" i="31"/>
  <c r="AC3" i="32"/>
  <c r="M7" i="25" l="1"/>
  <c r="M6" i="25"/>
  <c r="M8" i="25"/>
  <c r="AC42" i="17"/>
  <c r="AC27" i="17"/>
  <c r="AC5" i="17"/>
  <c r="AC22" i="17"/>
  <c r="AC39" i="17"/>
  <c r="AC37" i="17"/>
  <c r="AC11" i="17"/>
  <c r="AC36" i="17"/>
  <c r="AC20" i="17"/>
  <c r="AC25" i="17"/>
  <c r="AC12" i="17"/>
  <c r="AC17" i="17"/>
  <c r="AC7" i="17"/>
  <c r="AC9" i="17"/>
  <c r="AC31" i="17"/>
  <c r="AC30" i="17"/>
  <c r="AC10" i="17"/>
  <c r="AC28" i="17"/>
  <c r="AC26" i="17"/>
  <c r="AC21" i="17"/>
  <c r="AC33" i="17"/>
  <c r="AC34" i="17"/>
  <c r="AC14" i="17"/>
  <c r="AC13" i="17"/>
  <c r="AC41" i="17"/>
  <c r="AC40" i="17"/>
  <c r="AC18" i="17"/>
  <c r="AC38" i="17"/>
  <c r="AC24" i="17"/>
  <c r="AC15" i="17"/>
  <c r="AC29" i="17"/>
  <c r="AC19" i="17"/>
  <c r="AC32" i="17"/>
  <c r="AC16" i="17"/>
  <c r="AC8" i="17"/>
  <c r="AC23" i="17"/>
  <c r="AC35" i="17"/>
  <c r="AC6"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7" i="24"/>
  <c r="F18" i="24"/>
  <c r="F9" i="24"/>
  <c r="F35" i="24"/>
  <c r="F7" i="24"/>
  <c r="F31" i="24"/>
  <c r="F47" i="24"/>
  <c r="F10" i="24"/>
  <c r="F16" i="24"/>
  <c r="F45" i="24"/>
  <c r="F37" i="24"/>
  <c r="F48" i="24"/>
  <c r="F21" i="24"/>
  <c r="F13" i="24"/>
  <c r="F42" i="24"/>
  <c r="F11" i="24"/>
  <c r="F36" i="24"/>
  <c r="F20" i="24"/>
  <c r="F8" i="24"/>
  <c r="F24" i="24"/>
  <c r="F14" i="24"/>
  <c r="F33" i="24"/>
  <c r="F29" i="24"/>
  <c r="F23" i="24"/>
  <c r="F39" i="24"/>
  <c r="F46" i="24"/>
  <c r="F40" i="24"/>
  <c r="F22" i="24"/>
  <c r="AK7" i="24" a="1"/>
  <c r="F12" i="24"/>
  <c r="F19" i="24"/>
  <c r="F41" i="24"/>
  <c r="F15" i="24"/>
  <c r="F43" i="24"/>
  <c r="F17" i="24"/>
  <c r="F30" i="24"/>
  <c r="F44" i="24"/>
  <c r="F26" i="24"/>
  <c r="F38" i="24"/>
  <c r="F32" i="24"/>
  <c r="F28" i="24"/>
  <c r="F34" i="24"/>
  <c r="F25"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7" i="24"/>
  <c r="G9" i="24"/>
  <c r="G46" i="24"/>
  <c r="G29" i="24"/>
  <c r="G43" i="24"/>
  <c r="G45" i="24"/>
  <c r="G14" i="24"/>
  <c r="G32" i="24"/>
  <c r="G15" i="24"/>
  <c r="G31" i="24"/>
  <c r="G47" i="24"/>
  <c r="G41" i="24"/>
  <c r="G34" i="24"/>
  <c r="G12" i="24"/>
  <c r="G36" i="24"/>
  <c r="G21" i="24"/>
  <c r="G19" i="24"/>
  <c r="G25" i="24"/>
  <c r="G39" i="24"/>
  <c r="G26" i="24"/>
  <c r="G22" i="24"/>
  <c r="G11" i="24"/>
  <c r="G48" i="24"/>
  <c r="G37" i="24"/>
  <c r="G24" i="24"/>
  <c r="G44" i="24"/>
  <c r="G40" i="24"/>
  <c r="G23" i="24"/>
  <c r="G35" i="24"/>
  <c r="G28" i="24"/>
  <c r="G33" i="24"/>
  <c r="G13" i="24"/>
  <c r="G10" i="24"/>
  <c r="G30" i="24"/>
  <c r="G18" i="24"/>
  <c r="G27" i="24"/>
  <c r="G38" i="24"/>
  <c r="G20" i="24"/>
  <c r="G8" i="24"/>
  <c r="G17" i="24"/>
  <c r="G42" i="24"/>
  <c r="G16" i="24"/>
  <c r="Z38" i="24"/>
  <c r="Z7" i="24"/>
  <c r="Z30" i="24"/>
  <c r="Z45" i="24"/>
  <c r="Z14" i="24"/>
  <c r="Z19" i="24"/>
  <c r="Z32" i="24"/>
  <c r="Z13" i="24"/>
  <c r="Z40" i="24"/>
  <c r="Z16" i="24"/>
  <c r="Z48" i="24"/>
  <c r="Z37" i="24"/>
  <c r="Z17" i="24"/>
  <c r="Z29" i="24"/>
  <c r="Z34" i="24"/>
  <c r="Z42" i="24"/>
  <c r="Z41" i="24"/>
  <c r="Z33" i="24"/>
  <c r="Z26" i="24"/>
  <c r="Z8" i="24"/>
  <c r="Z28" i="24"/>
  <c r="Z10" i="24"/>
  <c r="Z22" i="24"/>
  <c r="Z46" i="24"/>
  <c r="Z31" i="24"/>
  <c r="Z18" i="24"/>
  <c r="Z39" i="24"/>
  <c r="Z47" i="24"/>
  <c r="Z15" i="24"/>
  <c r="Z44" i="24"/>
  <c r="Z25" i="24"/>
  <c r="Z36" i="24"/>
  <c r="Z23" i="24"/>
  <c r="Z43" i="24"/>
  <c r="Z27" i="24"/>
  <c r="Z24" i="24"/>
  <c r="Z11" i="24"/>
  <c r="Z12" i="24"/>
  <c r="Z21" i="24"/>
  <c r="Z20" i="24"/>
  <c r="Z35" i="24"/>
  <c r="Z9"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40" i="24"/>
  <c r="AN48" i="24"/>
  <c r="AN20" i="24"/>
  <c r="AN22" i="24"/>
  <c r="AN19" i="24"/>
  <c r="AN34" i="24"/>
  <c r="AN12" i="24"/>
  <c r="AN9" i="24"/>
  <c r="AN46" i="24"/>
  <c r="AN37" i="24"/>
  <c r="AN13" i="24"/>
  <c r="AN18" i="24"/>
  <c r="AN25" i="24"/>
  <c r="AN44" i="24"/>
  <c r="AN8" i="24"/>
  <c r="AO22" i="24"/>
  <c r="AN30" i="24"/>
  <c r="AO30" i="24" s="1"/>
  <c r="AO46" i="24"/>
  <c r="AN47" i="24"/>
  <c r="AN36" i="24"/>
  <c r="AO36" i="24" s="1"/>
  <c r="AN16" i="24"/>
  <c r="AO16" i="24" s="1"/>
  <c r="AN24" i="24"/>
  <c r="AN31" i="24"/>
  <c r="AN21" i="24"/>
  <c r="AN42" i="24"/>
  <c r="AO20" i="24"/>
  <c r="AN43" i="24"/>
  <c r="AO43" i="24" s="1"/>
  <c r="AO48" i="24"/>
  <c r="AN17" i="24"/>
  <c r="AN32" i="24"/>
  <c r="AN28" i="24"/>
  <c r="AO25" i="24"/>
  <c r="AO9" i="24"/>
  <c r="AN26" i="24"/>
  <c r="AO26" i="24" s="1"/>
  <c r="AN41" i="24"/>
  <c r="AO42" i="24"/>
  <c r="AN33" i="24"/>
  <c r="AN15" i="24"/>
  <c r="AO17" i="24"/>
  <c r="AN29" i="24"/>
  <c r="AO29" i="24" s="1"/>
  <c r="AN10" i="24"/>
  <c r="AN23" i="24"/>
  <c r="AN39" i="24"/>
  <c r="AN45" i="24"/>
  <c r="AN14" i="24"/>
  <c r="AO14" i="24" s="1"/>
  <c r="AO19" i="24"/>
  <c r="AN27" i="24"/>
  <c r="AN35" i="24"/>
  <c r="AO15" i="24"/>
  <c r="AN7" i="24"/>
  <c r="AO41" i="24"/>
  <c r="AN11" i="24"/>
  <c r="AO11" i="24" s="1"/>
  <c r="AN38" i="24"/>
  <c r="O3" i="35"/>
  <c r="Z5" i="24"/>
  <c r="O3" i="36"/>
  <c r="AN6" i="24"/>
  <c r="D7" i="67"/>
  <c r="J2" i="47"/>
  <c r="J2" i="50"/>
  <c r="J2" i="48"/>
  <c r="K2" i="48" s="1"/>
  <c r="AO7" i="24"/>
  <c r="AO12" i="24"/>
  <c r="AO10" i="24"/>
  <c r="AO39" i="24"/>
  <c r="AO21" i="24"/>
  <c r="AO40" i="24"/>
  <c r="AO33" i="24"/>
  <c r="AO35" i="24"/>
  <c r="AO27" i="24"/>
  <c r="AO31" i="24"/>
  <c r="AO37" i="24"/>
  <c r="AO34" i="24"/>
  <c r="AO24" i="24"/>
  <c r="AO18" i="24"/>
  <c r="AO44" i="24"/>
  <c r="AO32" i="24"/>
  <c r="AO28" i="24"/>
  <c r="AO8" i="24"/>
  <c r="AO23" i="24"/>
  <c r="AO47" i="24"/>
  <c r="AO13" i="24"/>
  <c r="AO38" i="24"/>
  <c r="AO45" i="24"/>
  <c r="K2" i="50"/>
  <c r="K2" i="47"/>
  <c r="AO6" i="24"/>
  <c r="J20" i="38" l="1"/>
  <c r="J10" i="38" l="1"/>
  <c r="J12" i="38"/>
  <c r="J19" i="38"/>
  <c r="J6" i="38"/>
  <c r="J16" i="38"/>
  <c r="J7" i="38"/>
  <c r="J14" i="38"/>
  <c r="J8" i="38"/>
  <c r="J13" i="38"/>
  <c r="J15" i="38"/>
  <c r="J9" i="38"/>
  <c r="J18" i="38"/>
  <c r="J5" i="38"/>
  <c r="J11" i="38"/>
  <c r="J17" i="38"/>
  <c r="J5" i="35" l="1"/>
  <c r="J6" i="35" l="1"/>
  <c r="J7" i="35"/>
  <c r="J9" i="35"/>
  <c r="J8" i="35"/>
  <c r="J5" i="36" l="1"/>
  <c r="J7" i="36" l="1"/>
  <c r="J8" i="36"/>
  <c r="J6" i="37"/>
  <c r="J7" i="37"/>
  <c r="J14" i="37"/>
  <c r="J5" i="37"/>
  <c r="J8" i="37"/>
  <c r="J11" i="37"/>
  <c r="J10" i="37"/>
  <c r="J9" i="37"/>
  <c r="J13" i="37"/>
  <c r="J12" i="37"/>
  <c r="J6" i="36"/>
  <c r="J10" i="36"/>
  <c r="J9" i="36"/>
  <c r="J11" i="36" l="1"/>
  <c r="T60" i="38" l="1"/>
  <c r="T21" i="38"/>
  <c r="T38" i="38"/>
  <c r="T39" i="38"/>
  <c r="T37" i="38"/>
  <c r="T34" i="38"/>
  <c r="T42" i="38"/>
  <c r="T55" i="38"/>
  <c r="T57" i="38"/>
  <c r="T52" i="38"/>
  <c r="T49" i="38"/>
  <c r="T44" i="38"/>
  <c r="T24" i="38"/>
  <c r="T56" i="38"/>
  <c r="T48" i="38"/>
  <c r="T26" i="38"/>
  <c r="T33" i="38"/>
  <c r="T62" i="38"/>
  <c r="T40" i="38"/>
  <c r="T53" i="38"/>
  <c r="T29" i="38"/>
  <c r="T50" i="38"/>
  <c r="T43" i="38"/>
  <c r="T59" i="38"/>
  <c r="T32" i="38"/>
  <c r="T30" i="38"/>
  <c r="T27" i="38"/>
  <c r="T22" i="38"/>
  <c r="T58" i="38"/>
  <c r="T23" i="38"/>
  <c r="T35" i="38"/>
  <c r="T51" i="38"/>
  <c r="T28" i="38"/>
  <c r="T41" i="38"/>
  <c r="T64" i="38"/>
  <c r="T61" i="38"/>
  <c r="T45" i="38"/>
  <c r="T63" i="38"/>
  <c r="T31" i="38"/>
  <c r="T47" i="38"/>
  <c r="T36" i="38"/>
  <c r="T25" i="38"/>
  <c r="T46" i="38"/>
  <c r="T54" i="38"/>
</calcChain>
</file>

<file path=xl/sharedStrings.xml><?xml version="1.0" encoding="utf-8"?>
<sst xmlns="http://schemas.openxmlformats.org/spreadsheetml/2006/main" count="4273" uniqueCount="322">
  <si>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</si>
  <si>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</si>
  <si>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</si>
  <si>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</si>
  <si>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</si>
  <si>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</si>
  <si>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</si>
  <si>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</si>
  <si>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</si>
  <si>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</si>
  <si>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</si>
  <si>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</si>
  <si>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</si>
  <si>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</si>
  <si>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</si>
  <si>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</si>
  <si>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</si>
  <si>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</si>
  <si>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</si>
  <si>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</si>
  <si>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</si>
  <si>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</si>
  <si>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</si>
  <si>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</si>
  <si>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</si>
  <si>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</si>
  <si>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</si>
  <si>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</si>
  <si>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</si>
  <si>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</si>
  <si>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</si>
  <si>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</si>
  <si>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</si>
  <si>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</si>
  <si>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</si>
  <si>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</si>
  <si>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</si>
  <si>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</si>
  <si>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</si>
  <si>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</si>
  <si>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</si>
  <si>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</si>
  <si>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</si>
  <si>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</si>
  <si>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</si>
  <si>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</si>
  <si>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</si>
  <si>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</si>
  <si>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</si>
  <si>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</si>
  <si>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</si>
  <si>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</si>
  <si>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</si>
  <si>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</si>
  <si>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</si>
  <si>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</si>
  <si>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</si>
  <si>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</si>
  <si>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</si>
  <si>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</si>
  <si>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</si>
  <si>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</si>
  <si>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</si>
  <si>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</si>
  <si>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</si>
  <si>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</si>
  <si>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</si>
  <si>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</si>
  <si>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</si>
  <si>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</si>
  <si>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</si>
  <si>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</si>
  <si>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</si>
  <si>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</si>
  <si>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</si>
  <si>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</si>
  <si>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</si>
  <si>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</si>
  <si>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</si>
  <si>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</si>
  <si>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</si>
  <si>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</si>
  <si>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</si>
  <si>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</si>
  <si>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</si>
  <si>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</si>
  <si>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</si>
  <si>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</si>
  <si>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</si>
  <si>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</si>
  <si>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</si>
  <si>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</si>
  <si>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</si>
  <si>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</si>
  <si>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</si>
  <si>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</si>
  <si>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</si>
  <si>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</si>
  <si>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</si>
  <si>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</si>
  <si>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</si>
  <si>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</si>
  <si>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</si>
  <si>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</si>
  <si>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</si>
  <si>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</si>
  <si>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</si>
  <si>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</si>
  <si>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</si>
  <si>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</si>
  <si>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</si>
  <si>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</si>
  <si>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</si>
  <si>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</si>
  <si>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</si>
  <si>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</si>
  <si>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</si>
  <si>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</si>
  <si>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</si>
  <si>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</si>
  <si>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</si>
  <si>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</si>
  <si>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</si>
  <si>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</si>
  <si>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</si>
  <si>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</si>
  <si>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</si>
  <si>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</si>
  <si>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</si>
  <si>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</si>
  <si>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</si>
  <si>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</si>
  <si>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</si>
  <si>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</si>
  <si>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</si>
  <si>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</si>
  <si>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</si>
  <si>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</si>
  <si>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</si>
  <si>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</si>
  <si>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</si>
  <si>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</si>
  <si>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</si>
  <si>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</si>
  <si>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</si>
  <si>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</si>
  <si>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</si>
  <si>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</si>
  <si>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</si>
  <si>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</si>
  <si>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</si>
  <si>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</si>
  <si>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</si>
  <si>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</si>
  <si>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</si>
  <si>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</si>
  <si>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</si>
  <si>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</si>
  <si>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</si>
  <si>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</si>
  <si>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</si>
  <si>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</si>
  <si>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</si>
  <si>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</si>
  <si>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</si>
  <si>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</si>
  <si>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</si>
  <si>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</si>
  <si>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</si>
  <si>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</si>
  <si>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</si>
  <si>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</si>
  <si>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</si>
  <si>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</si>
  <si>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</si>
  <si>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</si>
  <si>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</si>
  <si>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</si>
  <si>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</si>
  <si>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</si>
  <si>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</si>
  <si>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</si>
  <si>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</si>
  <si>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</si>
  <si>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</si>
  <si>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</si>
  <si>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</si>
  <si>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</si>
  <si>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</si>
  <si>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</si>
  <si>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</si>
  <si>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</si>
  <si>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</si>
  <si>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</si>
  <si>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</si>
  <si>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</si>
  <si>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</si>
  <si>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</si>
  <si>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</si>
  <si>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</si>
  <si>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</si>
  <si>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</si>
  <si>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</si>
  <si>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</si>
  <si>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</si>
  <si>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</si>
  <si>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</si>
  <si>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</si>
  <si>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</si>
  <si>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</si>
  <si>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</si>
  <si>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</si>
  <si>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</si>
  <si>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</si>
  <si>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</si>
  <si>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</si>
  <si>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</si>
  <si>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</si>
  <si>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</si>
  <si>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</si>
  <si>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</si>
  <si>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</si>
  <si>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</si>
  <si>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</si>
  <si>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</si>
  <si>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</si>
  <si>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</si>
  <si>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</si>
  <si>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</si>
  <si>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</si>
  <si>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</si>
  <si>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</si>
  <si>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</si>
  <si>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</si>
  <si>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</si>
  <si>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</si>
  <si>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</si>
  <si>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</si>
  <si>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</si>
  <si>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</si>
  <si>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</si>
  <si>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</si>
  <si>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</si>
  <si>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</si>
  <si>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</si>
  <si>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</si>
  <si>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</si>
  <si>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</si>
  <si>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</si>
  <si>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</si>
  <si>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</si>
  <si>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</si>
  <si>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</si>
  <si>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</si>
  <si>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</si>
  <si>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</si>
  <si>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</si>
  <si>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</si>
  <si>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</si>
  <si>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</si>
  <si>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</si>
  <si>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</si>
  <si>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</si>
  <si>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</si>
  <si>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</si>
  <si>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</si>
  <si>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</si>
  <si>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</si>
  <si>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</si>
  <si>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</si>
  <si>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</si>
  <si>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</si>
  <si>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</si>
  <si>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</si>
  <si>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</si>
  <si>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</si>
  <si>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</si>
  <si>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</si>
  <si>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</si>
  <si>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</si>
  <si>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</si>
  <si>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</si>
  <si>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</si>
  <si>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</si>
  <si>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</si>
  <si>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</si>
  <si>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</si>
  <si>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</si>
  <si>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</si>
  <si>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</si>
  <si>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</si>
  <si>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</si>
  <si>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</si>
  <si>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</si>
  <si>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</si>
  <si>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</si>
  <si>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</si>
  <si>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</si>
  <si>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</si>
  <si>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</si>
  <si>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</si>
  <si>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</si>
  <si>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</si>
  <si>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</si>
  <si>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</si>
  <si>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</si>
  <si>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</si>
  <si>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</si>
  <si>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</si>
  <si>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</si>
  <si>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</si>
  <si>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</si>
  <si>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</si>
  <si>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</si>
  <si>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</si>
  <si>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</si>
  <si>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</si>
  <si>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</si>
  <si>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</si>
  <si>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t>
  </si>
  <si>
    <t>EUR_Synth1YFRAQuotesFeed</t>
  </si>
  <si>
    <t>EUR_InterestRateQuotesFeed!OIS</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</si>
</sst>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8" borderId="0" xfId="1" applyFill="1"/>
    <xf numFmtId="0" fontId="5" fillId="8" borderId="0" xfId="1" applyFont="1" applyFill="1" applyBorder="1"/>
    <xf numFmtId="0" fontId="10" fillId="0" borderId="16" xfId="1" applyFont="1" applyFill="1" applyBorder="1" applyAlignment="1">
      <alignment horizontal="center" vertical="center" wrapText="1"/>
    </xf>
    <xf numFmtId="170" fontId="5" fillId="9" borderId="17" xfId="4" applyNumberFormat="1" applyFont="1" applyFill="1" applyBorder="1" applyAlignment="1">
      <alignment horizontal="center"/>
    </xf>
    <xf numFmtId="170" fontId="5" fillId="9" borderId="22" xfId="4" applyNumberFormat="1" applyFont="1" applyFill="1" applyBorder="1" applyAlignment="1">
      <alignment horizontal="center"/>
    </xf>
    <xf numFmtId="170" fontId="5" fillId="9"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0" borderId="10" xfId="1" applyFont="1" applyFill="1" applyBorder="1"/>
    <xf numFmtId="0" fontId="12" fillId="10" borderId="9" xfId="1" applyFont="1" applyFill="1" applyBorder="1"/>
    <xf numFmtId="0" fontId="12" fillId="10" borderId="8" xfId="1" applyFont="1" applyFill="1" applyBorder="1"/>
    <xf numFmtId="0" fontId="12" fillId="10" borderId="7" xfId="1" applyFont="1" applyFill="1" applyBorder="1"/>
    <xf numFmtId="0" fontId="12" fillId="10" borderId="0" xfId="1" applyFont="1" applyFill="1" applyBorder="1"/>
    <xf numFmtId="0" fontId="12" fillId="10" borderId="5" xfId="1" applyFont="1" applyFill="1" applyBorder="1" applyAlignment="1">
      <alignment horizontal="center"/>
    </xf>
    <xf numFmtId="0" fontId="12" fillId="10" borderId="5" xfId="1" applyFont="1" applyFill="1" applyBorder="1"/>
    <xf numFmtId="0" fontId="23" fillId="10" borderId="4" xfId="1" applyFont="1" applyFill="1" applyBorder="1"/>
    <xf numFmtId="0" fontId="5" fillId="10" borderId="4" xfId="1" applyFont="1" applyFill="1" applyBorder="1"/>
    <xf numFmtId="0" fontId="12" fillId="10"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9"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170" fontId="19" fillId="0" borderId="17" xfId="14" quotePrefix="1" applyNumberFormat="1" applyFont="1" applyFill="1" applyBorder="1"/>
    <xf numFmtId="170" fontId="19" fillId="0" borderId="22" xfId="14" quotePrefix="1" applyNumberFormat="1" applyFont="1" applyFill="1" applyBorder="1"/>
    <xf numFmtId="170" fontId="19" fillId="0" borderId="15" xfId="14" quotePrefix="1" applyNumberFormat="1" applyFont="1" applyFill="1" applyBorder="1"/>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385537920"/>
        <c:axId val="385544192"/>
      </c:scatterChart>
      <c:valAx>
        <c:axId val="38553792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544192"/>
        <c:crosses val="autoZero"/>
        <c:crossBetween val="midCat"/>
      </c:valAx>
      <c:valAx>
        <c:axId val="38554419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53792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385872640"/>
        <c:axId val="385874560"/>
      </c:scatterChart>
      <c:valAx>
        <c:axId val="38587264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874560"/>
        <c:crosses val="autoZero"/>
        <c:crossBetween val="midCat"/>
      </c:valAx>
      <c:valAx>
        <c:axId val="38587456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38587264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SynthDepoQuotesFee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UR_Synth1YFRAQuotesFee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Calculation"/>
    </sheetNames>
    <sheetDataSet>
      <sheetData sheetId="0"/>
      <sheetData sheetId="1"/>
      <sheetData sheetId="2">
        <row r="34">
          <cell r="G34" t="e">
            <v>#NUM!</v>
          </cell>
          <cell r="H34" t="e">
            <v>#NUM!</v>
          </cell>
          <cell r="J34" t="e">
            <v>#NUM!</v>
          </cell>
          <cell r="P34" t="e">
            <v>#NUM!</v>
          </cell>
        </row>
        <row r="35">
          <cell r="G35" t="e">
            <v>#NUM!</v>
          </cell>
          <cell r="H35" t="e">
            <v>#NUM!</v>
          </cell>
          <cell r="J35" t="e">
            <v>#NUM!</v>
          </cell>
          <cell r="P35" t="e">
            <v>#NUM!</v>
          </cell>
        </row>
        <row r="36">
          <cell r="G36" t="e">
            <v>#NUM!</v>
          </cell>
          <cell r="H36" t="e">
            <v>#NUM!</v>
          </cell>
          <cell r="J36" t="e">
            <v>#NUM!</v>
          </cell>
          <cell r="P36" t="e">
            <v>#NUM!</v>
          </cell>
        </row>
        <row r="37">
          <cell r="G37" t="e">
            <v>#NUM!</v>
          </cell>
          <cell r="H37" t="e">
            <v>#NUM!</v>
          </cell>
          <cell r="J37" t="e">
            <v>#NUM!</v>
          </cell>
          <cell r="P37" t="e">
            <v>#NUM!</v>
          </cell>
        </row>
        <row r="38">
          <cell r="G38" t="e">
            <v>#NUM!</v>
          </cell>
          <cell r="H38" t="e">
            <v>#NUM!</v>
          </cell>
          <cell r="J38" t="e">
            <v>#NUM!</v>
          </cell>
          <cell r="P38" t="e">
            <v>#NUM!</v>
          </cell>
        </row>
        <row r="39">
          <cell r="H39" t="e">
            <v>#NUM!</v>
          </cell>
          <cell r="J39" t="e">
            <v>#NUM!</v>
          </cell>
          <cell r="P39" t="e">
            <v>#NUM!</v>
          </cell>
        </row>
        <row r="40">
          <cell r="H40" t="e">
            <v>#NUM!</v>
          </cell>
          <cell r="J40" t="e">
            <v>#NUM!</v>
          </cell>
          <cell r="P40" t="e">
            <v>#NUM!</v>
          </cell>
        </row>
        <row r="41">
          <cell r="J41" t="e">
            <v>#NUM!</v>
          </cell>
          <cell r="P41" t="e">
            <v>#NUM!</v>
          </cell>
        </row>
        <row r="42">
          <cell r="J42" t="e">
            <v>#NUM!</v>
          </cell>
          <cell r="P42" t="e">
            <v>#NUM!</v>
          </cell>
        </row>
        <row r="43">
          <cell r="J43" t="e">
            <v>#NUM!</v>
          </cell>
          <cell r="P43" t="e">
            <v>#NUM!</v>
          </cell>
        </row>
        <row r="44">
          <cell r="J44" t="e">
            <v>#NUM!</v>
          </cell>
        </row>
        <row r="45">
          <cell r="J45" t="e">
            <v>#NUM!</v>
          </cell>
        </row>
        <row r="46">
          <cell r="J46" t="e">
            <v>#NUM!</v>
          </cell>
        </row>
        <row r="47">
          <cell r="J47" t="e">
            <v>#NUM!</v>
          </cell>
        </row>
        <row r="48">
          <cell r="J48" t="e">
            <v>#NUM!</v>
          </cell>
        </row>
        <row r="49">
          <cell r="J49" t="e">
            <v>#NUM!</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RateHelpers"/>
      <sheetName val="Calculation"/>
    </sheetNames>
    <sheetDataSet>
      <sheetData sheetId="0"/>
      <sheetData sheetId="1"/>
      <sheetData sheetId="2"/>
      <sheetData sheetId="3">
        <row r="8">
          <cell r="N8" t="e">
            <v>#NUM!</v>
          </cell>
        </row>
        <row r="9">
          <cell r="N9" t="e">
            <v>#NUM!</v>
          </cell>
        </row>
        <row r="10">
          <cell r="N10" t="e">
            <v>#NUM!</v>
          </cell>
        </row>
        <row r="11">
          <cell r="N11" t="e">
            <v>#NUM!</v>
          </cell>
        </row>
        <row r="12">
          <cell r="N12" t="e">
            <v>#NUM!</v>
          </cell>
        </row>
        <row r="13">
          <cell r="N13" t="e">
            <v>#NUM!</v>
          </cell>
        </row>
        <row r="14">
          <cell r="N14" t="e">
            <v>#NUM!</v>
          </cell>
        </row>
        <row r="15">
          <cell r="N15" t="e">
            <v>#NUM!</v>
          </cell>
        </row>
        <row r="16">
          <cell r="N16" t="e">
            <v>#NUM!</v>
          </cell>
        </row>
        <row r="17">
          <cell r="N17" t="e">
            <v>#NUM!</v>
          </cell>
        </row>
        <row r="18">
          <cell r="N18" t="e">
            <v>#NUM!</v>
          </cell>
        </row>
        <row r="19">
          <cell r="N19" t="e">
            <v>#NUM!</v>
          </cell>
        </row>
        <row r="20">
          <cell r="N20" t="e">
            <v>#NUM!</v>
          </cell>
        </row>
        <row r="21">
          <cell r="N21" t="e">
            <v>#NUM!</v>
          </cell>
        </row>
        <row r="22">
          <cell r="N22" t="e">
            <v>#NUM!</v>
          </cell>
        </row>
        <row r="23">
          <cell r="N23" t="e">
            <v>#NUM!</v>
          </cell>
        </row>
        <row r="24">
          <cell r="N24" t="e">
            <v>#NUM!</v>
          </cell>
        </row>
        <row r="25">
          <cell r="N25" t="e">
            <v>#NUM!</v>
          </cell>
        </row>
        <row r="26">
          <cell r="N26" t="e">
            <v>#NUM!</v>
          </cell>
        </row>
        <row r="27">
          <cell r="N27" t="e">
            <v>#NUM!</v>
          </cell>
        </row>
        <row r="28">
          <cell r="N28" t="e">
            <v>#NUM!</v>
          </cell>
        </row>
        <row r="29">
          <cell r="N29" t="e">
            <v>#NUM!</v>
          </cell>
        </row>
        <row r="30">
          <cell r="N30" t="e">
            <v>#NUM!</v>
          </cell>
        </row>
        <row r="31">
          <cell r="N31" t="e">
            <v>#NUM!</v>
          </cell>
        </row>
        <row r="32">
          <cell r="N32" t="e">
            <v>#NUM!</v>
          </cell>
        </row>
        <row r="33">
          <cell r="N33" t="e">
            <v>#NUM!</v>
          </cell>
        </row>
        <row r="34">
          <cell r="N34" t="e">
            <v>#NUM!</v>
          </cell>
        </row>
        <row r="35">
          <cell r="N35" t="e">
            <v>#NUM!</v>
          </cell>
        </row>
        <row r="36">
          <cell r="N36" t="e">
            <v>#NUM!</v>
          </cell>
        </row>
        <row r="37">
          <cell r="N37" t="e">
            <v>#NUM!</v>
          </cell>
        </row>
        <row r="38">
          <cell r="N38" t="e">
            <v>#NUM!</v>
          </cell>
        </row>
        <row r="39">
          <cell r="N39" t="e">
            <v>#NUM!</v>
          </cell>
        </row>
        <row r="40">
          <cell r="N40" t="e">
            <v>#NUM!</v>
          </cell>
        </row>
        <row r="41">
          <cell r="N41" t="e">
            <v>#NUM!</v>
          </cell>
        </row>
        <row r="42">
          <cell r="N42" t="e">
            <v>#NUM!</v>
          </cell>
        </row>
        <row r="43">
          <cell r="N43" t="e">
            <v>#NUM!</v>
          </cell>
        </row>
        <row r="44">
          <cell r="N44" t="e">
            <v>#NUM!</v>
          </cell>
        </row>
        <row r="45">
          <cell r="N45" t="e">
            <v>#NUM!</v>
          </cell>
        </row>
        <row r="46">
          <cell r="N46" t="e">
            <v>#NUM!</v>
          </cell>
        </row>
        <row r="47">
          <cell r="N47" t="e">
            <v>#NUM!</v>
          </cell>
        </row>
        <row r="48">
          <cell r="N48" t="e">
            <v>#NUM!</v>
          </cell>
        </row>
        <row r="49">
          <cell r="N49" t="e">
            <v>#NUM!</v>
          </cell>
        </row>
        <row r="50">
          <cell r="N50" t="e">
            <v>#NUM!</v>
          </cell>
        </row>
        <row r="51">
          <cell r="N51" t="e">
            <v>#NUM!</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06" customWidth="1"/>
    <col min="3" max="3" width="14.85546875" style="406" bestFit="1" customWidth="1"/>
    <col min="4" max="4" width="21.42578125" style="406" bestFit="1" customWidth="1"/>
    <col min="5" max="5" width="20.7109375" style="406" bestFit="1" customWidth="1"/>
    <col min="6" max="8" width="2.7109375" style="406" customWidth="1"/>
    <col min="9" max="9" width="12.140625" style="406" bestFit="1" customWidth="1"/>
    <col min="10" max="10" width="53.7109375" style="406" bestFit="1" customWidth="1"/>
    <col min="11" max="11" width="2.7109375" style="406" customWidth="1"/>
    <col min="12" max="16384" width="9.140625" style="406"/>
  </cols>
  <sheetData>
    <row r="1" spans="1:11" ht="13.5" thickBot="1" x14ac:dyDescent="0.25">
      <c r="A1" s="406" t="s">
        <v>293</v>
      </c>
      <c r="B1" s="406" t="str">
        <f>_xll.qlxlVersion(TRUE,Trigger)</f>
        <v>QuantLibXL 1.4.0 - MS VC++ 9.0 - Multithreaded Dynamic Runtime library - Release Configuration - Feb  7 2014 15:33:58</v>
      </c>
    </row>
    <row r="2" spans="1:11" ht="15.75" x14ac:dyDescent="0.25">
      <c r="B2" s="583" t="s">
        <v>292</v>
      </c>
      <c r="C2" s="584"/>
      <c r="D2" s="584"/>
      <c r="E2" s="584"/>
      <c r="F2" s="585"/>
      <c r="H2" s="583" t="s">
        <v>20</v>
      </c>
      <c r="I2" s="584"/>
      <c r="J2" s="584"/>
      <c r="K2" s="585"/>
    </row>
    <row r="3" spans="1:11" x14ac:dyDescent="0.2">
      <c r="B3" s="391"/>
      <c r="C3" s="405"/>
      <c r="D3" s="405"/>
      <c r="E3" s="405"/>
      <c r="F3" s="404"/>
      <c r="H3" s="9"/>
      <c r="I3" s="12"/>
      <c r="J3" s="12"/>
      <c r="K3" s="5"/>
    </row>
    <row r="4" spans="1:11" x14ac:dyDescent="0.2">
      <c r="B4" s="391"/>
      <c r="C4" s="494" t="s">
        <v>13</v>
      </c>
      <c r="D4" s="497" t="s">
        <v>110</v>
      </c>
      <c r="E4" s="401"/>
      <c r="F4" s="393"/>
      <c r="H4" s="9"/>
      <c r="I4" s="15" t="s">
        <v>19</v>
      </c>
      <c r="J4" s="14">
        <v>41681.635092592594</v>
      </c>
      <c r="K4" s="13"/>
    </row>
    <row r="5" spans="1:11" x14ac:dyDescent="0.2">
      <c r="B5" s="391"/>
      <c r="C5" s="495" t="s">
        <v>19</v>
      </c>
      <c r="D5" s="498">
        <v>41479.711631944447</v>
      </c>
      <c r="E5" s="401"/>
      <c r="F5" s="393"/>
      <c r="H5" s="9"/>
      <c r="I5" s="15" t="s">
        <v>18</v>
      </c>
      <c r="J5" s="14" t="b">
        <v>1</v>
      </c>
      <c r="K5" s="13"/>
    </row>
    <row r="6" spans="1:11" x14ac:dyDescent="0.2">
      <c r="B6" s="391"/>
      <c r="C6" s="495" t="s">
        <v>291</v>
      </c>
      <c r="D6" s="499" t="s">
        <v>290</v>
      </c>
      <c r="E6" s="401"/>
      <c r="F6" s="393"/>
      <c r="H6" s="9"/>
      <c r="I6" s="15" t="s">
        <v>17</v>
      </c>
      <c r="J6" s="14" t="b">
        <v>0</v>
      </c>
      <c r="K6" s="13"/>
    </row>
    <row r="7" spans="1:11" x14ac:dyDescent="0.2">
      <c r="B7" s="391"/>
      <c r="C7" s="495" t="s">
        <v>289</v>
      </c>
      <c r="D7" s="500">
        <f ca="1">_xll.ohTrigger(Deposits!P3,FRA!W3,Futures3M!Z5,FuturesHWConvAdj!Q3,Swaps1M!Y3,Swap3M!AC3,SwapsIMMDated!Y3,Swap6M!AC3,BasisSwap1MxM!AC3,BasisSwap3M6M!AC3,BasisSwapxM12M!AC3,OIS!Y3)</f>
        <v>117</v>
      </c>
      <c r="E7" s="401"/>
      <c r="F7" s="393"/>
      <c r="H7" s="9"/>
      <c r="I7" s="15" t="s">
        <v>16</v>
      </c>
      <c r="J7" s="14" t="b">
        <v>1</v>
      </c>
      <c r="K7" s="13"/>
    </row>
    <row r="8" spans="1:11" x14ac:dyDescent="0.2">
      <c r="B8" s="391"/>
      <c r="C8" s="495" t="s">
        <v>288</v>
      </c>
      <c r="D8" s="500" t="s">
        <v>287</v>
      </c>
      <c r="E8" s="401"/>
      <c r="F8" s="393"/>
      <c r="H8" s="9"/>
      <c r="I8" s="15" t="s">
        <v>15</v>
      </c>
      <c r="J8" s="20" t="str">
        <f ca="1">SUBSTITUTE(LEFT(CELL("filename",A1),FIND("[",CELL("filename",A1),1)-1),"\XLS\","\XML\")</f>
        <v>C:\Users\erik\Documents\repos\quantlib\QuantLibXL\Data2\XML\</v>
      </c>
      <c r="K8" s="13"/>
    </row>
    <row r="9" spans="1:11" x14ac:dyDescent="0.2">
      <c r="B9" s="391"/>
      <c r="C9" s="496" t="s">
        <v>316</v>
      </c>
      <c r="D9" s="501">
        <f>_xll.qlSettingsEvaluationDate(Trigger)</f>
        <v>41681</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5.75" x14ac:dyDescent="0.25">
      <c r="B13" s="391"/>
      <c r="C13" s="400" t="s">
        <v>224</v>
      </c>
      <c r="D13" s="399" t="s">
        <v>223</v>
      </c>
      <c r="E13" s="396"/>
      <c r="F13" s="393"/>
      <c r="H13" s="583" t="s">
        <v>136</v>
      </c>
      <c r="I13" s="584"/>
      <c r="J13" s="584"/>
      <c r="K13" s="585"/>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1</v>
      </c>
      <c r="F24" s="49"/>
    </row>
    <row r="25" spans="2:11" ht="13.5" thickBot="1" x14ac:dyDescent="0.25">
      <c r="B25" s="387"/>
      <c r="C25" s="47"/>
      <c r="D25" s="47"/>
      <c r="E25" s="47"/>
      <c r="F25" s="46"/>
    </row>
    <row r="26" spans="2:11" x14ac:dyDescent="0.2">
      <c r="C26" s="407"/>
      <c r="D26" s="407"/>
      <c r="E26" s="407"/>
      <c r="F26" s="407"/>
    </row>
    <row r="27" spans="2:11" x14ac:dyDescent="0.2">
      <c r="C27" s="407"/>
      <c r="D27" s="407"/>
      <c r="E27" s="407"/>
      <c r="F27" s="407"/>
    </row>
    <row r="28" spans="2:11" x14ac:dyDescent="0.2">
      <c r="C28" s="407"/>
      <c r="D28" s="407"/>
      <c r="E28" s="407"/>
      <c r="F28" s="407"/>
    </row>
    <row r="29" spans="2:11" x14ac:dyDescent="0.2">
      <c r="C29" s="407"/>
      <c r="D29" s="407"/>
      <c r="E29" s="407"/>
      <c r="F29" s="407"/>
    </row>
    <row r="30" spans="2:11" x14ac:dyDescent="0.2">
      <c r="C30" s="407"/>
      <c r="D30" s="407"/>
      <c r="E30" s="407"/>
      <c r="F30" s="407"/>
    </row>
    <row r="31" spans="2:11" x14ac:dyDescent="0.2">
      <c r="C31" s="407"/>
      <c r="D31" s="407"/>
      <c r="E31" s="407"/>
      <c r="F31" s="40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6" t="s">
        <v>317</v>
      </c>
      <c r="Q1" s="426"/>
      <c r="R1" s="426"/>
      <c r="S1" s="431"/>
      <c r="T1" s="439"/>
      <c r="U1" s="477"/>
      <c r="V1" s="477"/>
      <c r="W1" s="426"/>
      <c r="X1" s="431"/>
      <c r="Y1" s="426"/>
      <c r="Z1" s="426"/>
      <c r="AA1" s="426"/>
      <c r="AB1" s="426"/>
      <c r="AC1" s="426"/>
      <c r="AD1" s="426"/>
      <c r="AE1" s="426"/>
      <c r="AF1" s="426"/>
    </row>
    <row r="2" spans="1:32" s="21" customFormat="1" ht="19.5" x14ac:dyDescent="0.4">
      <c r="B2" s="41"/>
      <c r="C2" s="40"/>
      <c r="D2" s="40"/>
      <c r="E2" s="40"/>
      <c r="F2" s="40"/>
      <c r="G2" s="40"/>
      <c r="H2" s="40"/>
      <c r="I2" s="39"/>
      <c r="J2" s="38"/>
      <c r="K2" s="38"/>
      <c r="L2" s="38"/>
      <c r="M2" s="38"/>
      <c r="N2" s="37"/>
      <c r="P2" s="426"/>
      <c r="Q2" s="476"/>
      <c r="R2" s="470"/>
      <c r="S2" s="475" t="str">
        <f>VLOOKUP(Currency,Traits,2,FALSE)</f>
        <v>IBOR</v>
      </c>
      <c r="T2" s="474"/>
      <c r="U2" s="473"/>
      <c r="V2" s="473"/>
      <c r="W2" s="470"/>
      <c r="X2" s="470"/>
      <c r="Y2" s="472" t="str">
        <f>VLOOKUP(Currency,Traits,3,FALSE)</f>
        <v>ibor</v>
      </c>
      <c r="Z2" s="470"/>
      <c r="AA2" s="470"/>
      <c r="AB2" s="471">
        <f>MAX(AD8:AD22)</f>
        <v>0</v>
      </c>
      <c r="AC2" s="470"/>
      <c r="AD2" s="470"/>
      <c r="AE2" s="469"/>
      <c r="AF2" s="426"/>
    </row>
    <row r="3" spans="1:32" s="21" customFormat="1" ht="33.75" x14ac:dyDescent="0.2">
      <c r="B3" s="26"/>
      <c r="C3" s="12"/>
      <c r="D3" s="15" t="s">
        <v>13</v>
      </c>
      <c r="E3" s="14" t="s">
        <v>12</v>
      </c>
      <c r="F3" s="12"/>
      <c r="G3" s="35"/>
      <c r="H3" s="35"/>
      <c r="I3" s="15" t="s">
        <v>41</v>
      </c>
      <c r="J3" s="36" t="s">
        <v>40</v>
      </c>
      <c r="K3" s="34"/>
      <c r="L3" s="34"/>
      <c r="M3" s="34"/>
      <c r="N3" s="27"/>
      <c r="P3" s="426"/>
      <c r="Q3" s="455"/>
      <c r="R3" s="467" t="s">
        <v>39</v>
      </c>
      <c r="S3" s="466" t="e">
        <f ca="1">_xll.RData(S8:S22,T3:U3,,,,T8)</f>
        <v>#NAME?</v>
      </c>
      <c r="T3" s="466" t="s">
        <v>301</v>
      </c>
      <c r="U3" s="466" t="s">
        <v>227</v>
      </c>
      <c r="V3" s="466" t="s">
        <v>300</v>
      </c>
      <c r="W3" s="465" t="s">
        <v>299</v>
      </c>
      <c r="X3" s="468"/>
      <c r="Y3" s="467" t="s">
        <v>238</v>
      </c>
      <c r="Z3" s="466" t="s">
        <v>298</v>
      </c>
      <c r="AA3" s="466" t="s">
        <v>297</v>
      </c>
      <c r="AB3" s="466" t="s">
        <v>296</v>
      </c>
      <c r="AC3" s="465" t="s">
        <v>295</v>
      </c>
      <c r="AD3" s="464"/>
      <c r="AE3" s="445"/>
      <c r="AF3" s="426"/>
    </row>
    <row r="4" spans="1:32" s="21" customFormat="1" x14ac:dyDescent="0.2">
      <c r="B4" s="26"/>
      <c r="C4" s="12"/>
      <c r="D4" s="12"/>
      <c r="E4" s="12"/>
      <c r="F4" s="12"/>
      <c r="G4" s="35"/>
      <c r="H4" s="35"/>
      <c r="I4" s="34"/>
      <c r="J4" s="34"/>
      <c r="K4" s="34"/>
      <c r="L4" s="34"/>
      <c r="M4" s="34"/>
      <c r="N4" s="27"/>
      <c r="P4" s="426"/>
      <c r="Q4" s="455"/>
      <c r="R4" s="502"/>
      <c r="S4" s="503"/>
      <c r="T4" s="503"/>
      <c r="U4" s="503"/>
      <c r="V4" s="503"/>
      <c r="W4" s="504"/>
      <c r="X4" s="468"/>
      <c r="Y4" s="502"/>
      <c r="Z4" s="503"/>
      <c r="AA4" s="503"/>
      <c r="AB4" s="503"/>
      <c r="AC4" s="504"/>
      <c r="AD4" s="505"/>
      <c r="AE4" s="445"/>
      <c r="AF4" s="42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6"/>
      <c r="Q5" s="455"/>
      <c r="R5" s="502"/>
      <c r="S5" s="503"/>
      <c r="T5" s="503"/>
      <c r="U5" s="503"/>
      <c r="V5" s="503"/>
      <c r="W5" s="504"/>
      <c r="X5" s="468"/>
      <c r="Y5" s="502"/>
      <c r="Z5" s="503"/>
      <c r="AA5" s="503"/>
      <c r="AB5" s="503"/>
      <c r="AC5" s="504"/>
      <c r="AD5" s="505"/>
      <c r="AE5" s="445"/>
      <c r="AF5" s="426"/>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26"/>
      <c r="Q6" s="455"/>
      <c r="R6" s="502"/>
      <c r="S6" s="503"/>
      <c r="T6" s="503"/>
      <c r="U6" s="503"/>
      <c r="V6" s="503"/>
      <c r="W6" s="504"/>
      <c r="X6" s="468"/>
      <c r="Y6" s="502"/>
      <c r="Z6" s="503"/>
      <c r="AA6" s="503"/>
      <c r="AB6" s="503"/>
      <c r="AC6" s="504"/>
      <c r="AD6" s="505"/>
      <c r="AE6" s="445"/>
      <c r="AF6" s="426"/>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26"/>
      <c r="Q7" s="455"/>
      <c r="R7" s="502"/>
      <c r="S7" s="503"/>
      <c r="T7" s="503"/>
      <c r="U7" s="503"/>
      <c r="V7" s="503"/>
      <c r="W7" s="504"/>
      <c r="X7" s="468"/>
      <c r="Y7" s="502"/>
      <c r="Z7" s="503"/>
      <c r="AA7" s="503"/>
      <c r="AB7" s="503"/>
      <c r="AC7" s="504"/>
      <c r="AD7" s="505"/>
      <c r="AE7" s="445"/>
      <c r="AF7" s="426"/>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26"/>
      <c r="Q8" s="455"/>
      <c r="R8" s="463" t="s">
        <v>35</v>
      </c>
      <c r="S8" s="458" t="str">
        <f t="shared" ref="S8:S22" si="2">Currency&amp;$S$2&amp;$R8&amp;"D="</f>
        <v>EURIBORSWD=</v>
      </c>
      <c r="T8" s="462">
        <v>41479</v>
      </c>
      <c r="U8" s="461">
        <v>0.107</v>
      </c>
      <c r="V8" s="461" t="b">
        <f>IF(AND(ISNUMBER($U8),$U8&lt;&gt;0%,_xll.ohTrigger(Trigger)+1),TRUE,FALSE)</f>
        <v>1</v>
      </c>
      <c r="W8" s="460" t="b">
        <f>IF($V8,_xll.qlIndexAddFixings($Y8,$T8,$U8/100,TRUE,ISERROR($Z8)),NA())</f>
        <v>1</v>
      </c>
      <c r="X8" s="450"/>
      <c r="Y8" s="459" t="str">
        <f>J8</f>
        <v>EuriborSW#0000</v>
      </c>
      <c r="Z8" s="458" t="e">
        <f>_xll.qlIndexFixing($Y8,$T8,TRUE,$V8)</f>
        <v>#NUM!</v>
      </c>
      <c r="AA8" s="458">
        <f>IF($W8,_xll.qlIndexFixing($Y8,$T8,FALSE,$V8),"-")</f>
        <v>1.07E-3</v>
      </c>
      <c r="AB8" s="458" t="e">
        <f t="shared" ref="AB8:AB22" si="3">Z8-AA8</f>
        <v>#NUM!</v>
      </c>
      <c r="AC8" s="457">
        <f>_xll.qlIndexFixing($Y8,$T8,TRUE,$AA8)</f>
        <v>1.07E-3</v>
      </c>
      <c r="AD8" s="456">
        <f t="shared" ref="AD8:AD22" si="4">IF(ISERROR(AB8),0,ABS(AB8))</f>
        <v>0</v>
      </c>
      <c r="AE8" s="445"/>
      <c r="AF8" s="426"/>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26"/>
      <c r="Q9" s="455"/>
      <c r="R9" s="463" t="s">
        <v>34</v>
      </c>
      <c r="S9" s="458" t="str">
        <f t="shared" si="2"/>
        <v>EURIBOR2WD=</v>
      </c>
      <c r="T9" s="462">
        <v>41479</v>
      </c>
      <c r="U9" s="461">
        <v>0.113</v>
      </c>
      <c r="V9" s="461" t="b">
        <f>IF(AND(ISNUMBER($U9),$U9&lt;&gt;0%,_xll.ohTrigger(Trigger)+1),TRUE,FALSE)</f>
        <v>1</v>
      </c>
      <c r="W9" s="460" t="b">
        <f>IF($V9,_xll.qlIndexAddFixings($Y9,$T9,$U9/100,TRUE,ISERROR($Z9)),NA())</f>
        <v>1</v>
      </c>
      <c r="X9" s="450"/>
      <c r="Y9" s="459" t="str">
        <f t="shared" ref="Y9:Y22" si="5">J9</f>
        <v>Euribor2W#0000</v>
      </c>
      <c r="Z9" s="458" t="e">
        <f>_xll.qlIndexFixing($Y9,$T9,TRUE,$V9)</f>
        <v>#NUM!</v>
      </c>
      <c r="AA9" s="458">
        <f>IF($W9,_xll.qlIndexFixing($Y9,$T9,FALSE,$V9),"-")</f>
        <v>1.1299999999999999E-3</v>
      </c>
      <c r="AB9" s="458" t="e">
        <f t="shared" si="3"/>
        <v>#NUM!</v>
      </c>
      <c r="AC9" s="457">
        <f>_xll.qlIndexFixing($Y9,$T9,TRUE,$AA9)</f>
        <v>1.1299999999999999E-3</v>
      </c>
      <c r="AD9" s="456">
        <f t="shared" si="4"/>
        <v>0</v>
      </c>
      <c r="AE9" s="445"/>
      <c r="AF9" s="426"/>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26"/>
      <c r="Q10" s="455"/>
      <c r="R10" s="463" t="s">
        <v>33</v>
      </c>
      <c r="S10" s="458" t="str">
        <f t="shared" si="2"/>
        <v>EURIBOR3WD=</v>
      </c>
      <c r="T10" s="462">
        <v>41479</v>
      </c>
      <c r="U10" s="461">
        <v>0.121</v>
      </c>
      <c r="V10" s="461" t="b">
        <f>IF(AND(ISNUMBER($U10),$U10&lt;&gt;0%,_xll.ohTrigger(Trigger)+1),TRUE,FALSE)</f>
        <v>1</v>
      </c>
      <c r="W10" s="460" t="b">
        <f>IF($V10,_xll.qlIndexAddFixings($Y10,$T10,$U10/100,TRUE,ISERROR($Z10)),NA())</f>
        <v>1</v>
      </c>
      <c r="X10" s="450"/>
      <c r="Y10" s="459" t="str">
        <f t="shared" si="5"/>
        <v>Euribor3W#0000</v>
      </c>
      <c r="Z10" s="458" t="e">
        <f>_xll.qlIndexFixing($Y10,$T10,TRUE,$V10)</f>
        <v>#NUM!</v>
      </c>
      <c r="AA10" s="458">
        <f>IF($W10,_xll.qlIndexFixing($Y10,$T10,FALSE,$V10),"-")</f>
        <v>1.2099999999999999E-3</v>
      </c>
      <c r="AB10" s="458" t="e">
        <f t="shared" si="3"/>
        <v>#NUM!</v>
      </c>
      <c r="AC10" s="457">
        <f>_xll.qlIndexFixing($Y10,$T10,TRUE,$AA10)</f>
        <v>1.2099999999999999E-3</v>
      </c>
      <c r="AD10" s="456">
        <f t="shared" si="4"/>
        <v>0</v>
      </c>
      <c r="AE10" s="445"/>
      <c r="AF10" s="426"/>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26"/>
      <c r="Q11" s="455"/>
      <c r="R11" s="463" t="s">
        <v>32</v>
      </c>
      <c r="S11" s="458" t="str">
        <f t="shared" si="2"/>
        <v>EURIBOR1MD=</v>
      </c>
      <c r="T11" s="462">
        <v>41479</v>
      </c>
      <c r="U11" s="461">
        <v>0.13100000000000001</v>
      </c>
      <c r="V11" s="461" t="b">
        <f>IF(AND(ISNUMBER($U11),$U11&lt;&gt;0%,_xll.ohTrigger(Trigger)+1),TRUE,FALSE)</f>
        <v>1</v>
      </c>
      <c r="W11" s="460" t="b">
        <f>IF($V11,_xll.qlIndexAddFixings($Y11,$T11,$U11/100,TRUE,ISERROR($Z11)),NA())</f>
        <v>1</v>
      </c>
      <c r="X11" s="450"/>
      <c r="Y11" s="459" t="str">
        <f t="shared" si="5"/>
        <v>Euribor1M#0000</v>
      </c>
      <c r="Z11" s="458" t="e">
        <f>_xll.qlIndexFixing($Y11,$T11,TRUE,$V11)</f>
        <v>#NUM!</v>
      </c>
      <c r="AA11" s="458">
        <f>IF($W11,_xll.qlIndexFixing($Y11,$T11,FALSE,$V11),"-")</f>
        <v>1.31E-3</v>
      </c>
      <c r="AB11" s="458" t="e">
        <f t="shared" si="3"/>
        <v>#NUM!</v>
      </c>
      <c r="AC11" s="457">
        <f>_xll.qlIndexFixing($Y11,$T11,TRUE,$AA11)</f>
        <v>1.31E-3</v>
      </c>
      <c r="AD11" s="456">
        <f t="shared" si="4"/>
        <v>0</v>
      </c>
      <c r="AE11" s="445"/>
      <c r="AF11" s="426"/>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26"/>
      <c r="Q12" s="455"/>
      <c r="R12" s="463" t="s">
        <v>31</v>
      </c>
      <c r="S12" s="458" t="str">
        <f t="shared" si="2"/>
        <v>EURIBOR2MD=</v>
      </c>
      <c r="T12" s="462">
        <v>41479</v>
      </c>
      <c r="U12" s="461">
        <v>0.18099999999999999</v>
      </c>
      <c r="V12" s="461" t="b">
        <f>IF(AND(ISNUMBER($U12),$U12&lt;&gt;0%,_xll.ohTrigger(Trigger)+1),TRUE,FALSE)</f>
        <v>1</v>
      </c>
      <c r="W12" s="460" t="b">
        <f>IF($V12,_xll.qlIndexAddFixings($Y12,$T12,$U12/100,TRUE,ISERROR($Z12)),NA())</f>
        <v>1</v>
      </c>
      <c r="X12" s="450"/>
      <c r="Y12" s="459" t="str">
        <f t="shared" si="5"/>
        <v>Euribor2M#0000</v>
      </c>
      <c r="Z12" s="458" t="e">
        <f>_xll.qlIndexFixing($Y12,$T12,TRUE,$V12)</f>
        <v>#NUM!</v>
      </c>
      <c r="AA12" s="458">
        <f>IF($W12,_xll.qlIndexFixing($Y12,$T12,FALSE,$V12),"-")</f>
        <v>1.81E-3</v>
      </c>
      <c r="AB12" s="458" t="e">
        <f t="shared" si="3"/>
        <v>#NUM!</v>
      </c>
      <c r="AC12" s="457">
        <f>_xll.qlIndexFixing($Y12,$T12,TRUE,$AA12)</f>
        <v>1.81E-3</v>
      </c>
      <c r="AD12" s="456">
        <f t="shared" si="4"/>
        <v>0</v>
      </c>
      <c r="AE12" s="445"/>
      <c r="AF12" s="426"/>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26"/>
      <c r="Q13" s="455"/>
      <c r="R13" s="463" t="s">
        <v>30</v>
      </c>
      <c r="S13" s="458" t="str">
        <f t="shared" si="2"/>
        <v>EURIBOR3MD=</v>
      </c>
      <c r="T13" s="462">
        <v>41479</v>
      </c>
      <c r="U13" s="461">
        <v>0.22500000000000001</v>
      </c>
      <c r="V13" s="461" t="b">
        <f>IF(AND(ISNUMBER($U13),$U13&lt;&gt;0%,_xll.ohTrigger(Trigger)+1),TRUE,FALSE)</f>
        <v>1</v>
      </c>
      <c r="W13" s="460" t="b">
        <f>IF($V13,_xll.qlIndexAddFixings($Y13,$T13,$U13/100,TRUE,ISERROR($Z13)),NA())</f>
        <v>1</v>
      </c>
      <c r="X13" s="450"/>
      <c r="Y13" s="459" t="str">
        <f t="shared" si="5"/>
        <v>Euribor3M#0000</v>
      </c>
      <c r="Z13" s="458" t="e">
        <f>_xll.qlIndexFixing($Y13,$T13,TRUE,$V13)</f>
        <v>#NUM!</v>
      </c>
      <c r="AA13" s="458">
        <f>IF($W13,_xll.qlIndexFixing($Y13,$T13,FALSE,$V13),"-")</f>
        <v>2.2500000000000003E-3</v>
      </c>
      <c r="AB13" s="458" t="e">
        <f t="shared" si="3"/>
        <v>#NUM!</v>
      </c>
      <c r="AC13" s="457">
        <f>_xll.qlIndexFixing($Y13,$T13,TRUE,$AA13)</f>
        <v>2.2500000000000003E-3</v>
      </c>
      <c r="AD13" s="456">
        <f t="shared" si="4"/>
        <v>0</v>
      </c>
      <c r="AE13" s="445"/>
      <c r="AF13" s="426"/>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26"/>
      <c r="Q14" s="455"/>
      <c r="R14" s="463" t="s">
        <v>29</v>
      </c>
      <c r="S14" s="458" t="str">
        <f t="shared" si="2"/>
        <v>EURIBOR4MD=</v>
      </c>
      <c r="T14" s="462">
        <v>41479</v>
      </c>
      <c r="U14" s="461">
        <v>0.26500000000000001</v>
      </c>
      <c r="V14" s="461" t="b">
        <f>IF(AND(ISNUMBER($U14),$U14&lt;&gt;0%,_xll.ohTrigger(Trigger)+1),TRUE,FALSE)</f>
        <v>1</v>
      </c>
      <c r="W14" s="460" t="b">
        <f>IF($V14,_xll.qlIndexAddFixings($Y14,$T14,$U14/100,TRUE,ISERROR($Z14)),NA())</f>
        <v>1</v>
      </c>
      <c r="X14" s="450"/>
      <c r="Y14" s="459" t="str">
        <f t="shared" si="5"/>
        <v>Euribor4M#0000</v>
      </c>
      <c r="Z14" s="458" t="e">
        <f>_xll.qlIndexFixing($Y14,$T14,TRUE,$V14)</f>
        <v>#NUM!</v>
      </c>
      <c r="AA14" s="458">
        <f>IF($W14,_xll.qlIndexFixing($Y14,$T14,FALSE,$V14),"-")</f>
        <v>2.65E-3</v>
      </c>
      <c r="AB14" s="458" t="e">
        <f t="shared" si="3"/>
        <v>#NUM!</v>
      </c>
      <c r="AC14" s="457">
        <f>_xll.qlIndexFixing($Y14,$T14,TRUE,$AA14)</f>
        <v>2.65E-3</v>
      </c>
      <c r="AD14" s="456">
        <f t="shared" si="4"/>
        <v>0</v>
      </c>
      <c r="AE14" s="445"/>
      <c r="AF14" s="426"/>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26"/>
      <c r="Q15" s="455"/>
      <c r="R15" s="463" t="s">
        <v>28</v>
      </c>
      <c r="S15" s="458" t="str">
        <f t="shared" si="2"/>
        <v>EURIBOR5MD=</v>
      </c>
      <c r="T15" s="462">
        <v>41479</v>
      </c>
      <c r="U15" s="461">
        <v>0.29899999999999999</v>
      </c>
      <c r="V15" s="461" t="b">
        <f>IF(AND(ISNUMBER($U15),$U15&lt;&gt;0%,_xll.ohTrigger(Trigger)+1),TRUE,FALSE)</f>
        <v>1</v>
      </c>
      <c r="W15" s="460" t="b">
        <f>IF($V15,_xll.qlIndexAddFixings($Y15,$T15,$U15/100,TRUE,ISERROR($Z15)),NA())</f>
        <v>1</v>
      </c>
      <c r="X15" s="450"/>
      <c r="Y15" s="459" t="str">
        <f t="shared" si="5"/>
        <v>Euribor5M#0000</v>
      </c>
      <c r="Z15" s="458" t="e">
        <f>_xll.qlIndexFixing($Y15,$T15,TRUE,$V15)</f>
        <v>#NUM!</v>
      </c>
      <c r="AA15" s="458">
        <f>IF($W15,_xll.qlIndexFixing($Y15,$T15,FALSE,$V15),"-")</f>
        <v>2.99E-3</v>
      </c>
      <c r="AB15" s="458" t="e">
        <f t="shared" si="3"/>
        <v>#NUM!</v>
      </c>
      <c r="AC15" s="457">
        <f>_xll.qlIndexFixing($Y15,$T15,TRUE,$AA15)</f>
        <v>2.99E-3</v>
      </c>
      <c r="AD15" s="456">
        <f t="shared" si="4"/>
        <v>0</v>
      </c>
      <c r="AE15" s="445"/>
      <c r="AF15" s="426"/>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26"/>
      <c r="Q16" s="455"/>
      <c r="R16" s="463" t="s">
        <v>27</v>
      </c>
      <c r="S16" s="458" t="str">
        <f t="shared" si="2"/>
        <v>EURIBOR6MD=</v>
      </c>
      <c r="T16" s="462">
        <v>41479</v>
      </c>
      <c r="U16" s="461">
        <v>0.34300000000000003</v>
      </c>
      <c r="V16" s="461" t="b">
        <f>IF(AND(ISNUMBER($U16),$U16&lt;&gt;0%,_xll.ohTrigger(Trigger)+1),TRUE,FALSE)</f>
        <v>1</v>
      </c>
      <c r="W16" s="460" t="b">
        <f>IF($V16,_xll.qlIndexAddFixings($Y16,$T16,$U16/100,TRUE,ISERROR($Z16)),NA())</f>
        <v>1</v>
      </c>
      <c r="X16" s="450"/>
      <c r="Y16" s="459" t="str">
        <f t="shared" si="5"/>
        <v>Euribor6M#0000</v>
      </c>
      <c r="Z16" s="458" t="e">
        <f>_xll.qlIndexFixing($Y16,$T16,TRUE,$V16)</f>
        <v>#NUM!</v>
      </c>
      <c r="AA16" s="458">
        <f>IF($W16,_xll.qlIndexFixing($Y16,$T16,FALSE,$V16),"-")</f>
        <v>3.4300000000000003E-3</v>
      </c>
      <c r="AB16" s="458" t="e">
        <f t="shared" si="3"/>
        <v>#NUM!</v>
      </c>
      <c r="AC16" s="457">
        <f>_xll.qlIndexFixing($Y16,$T16,TRUE,$AA16)</f>
        <v>3.4300000000000003E-3</v>
      </c>
      <c r="AD16" s="456">
        <f t="shared" si="4"/>
        <v>0</v>
      </c>
      <c r="AE16" s="445"/>
      <c r="AF16" s="426"/>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26"/>
      <c r="Q17" s="455"/>
      <c r="R17" s="463" t="s">
        <v>26</v>
      </c>
      <c r="S17" s="458" t="str">
        <f t="shared" si="2"/>
        <v>EURIBOR7MD=</v>
      </c>
      <c r="T17" s="462">
        <v>41479</v>
      </c>
      <c r="U17" s="461">
        <v>0.377</v>
      </c>
      <c r="V17" s="461" t="b">
        <f>IF(AND(ISNUMBER($U17),$U17&lt;&gt;0%,_xll.ohTrigger(Trigger)+1),TRUE,FALSE)</f>
        <v>1</v>
      </c>
      <c r="W17" s="460" t="b">
        <f>IF($V17,_xll.qlIndexAddFixings($Y17,$T17,$U17/100,TRUE,ISERROR($Z17)),NA())</f>
        <v>1</v>
      </c>
      <c r="X17" s="450"/>
      <c r="Y17" s="459" t="str">
        <f t="shared" si="5"/>
        <v>Euribor7M#0000</v>
      </c>
      <c r="Z17" s="458" t="e">
        <f>_xll.qlIndexFixing($Y17,$T17,TRUE,$V17)</f>
        <v>#NUM!</v>
      </c>
      <c r="AA17" s="458">
        <f>IF($W17,_xll.qlIndexFixing($Y17,$T17,FALSE,$V17),"-")</f>
        <v>3.7699999999999999E-3</v>
      </c>
      <c r="AB17" s="458" t="e">
        <f t="shared" si="3"/>
        <v>#NUM!</v>
      </c>
      <c r="AC17" s="457">
        <f>_xll.qlIndexFixing($Y17,$T17,TRUE,$AA17)</f>
        <v>3.7699999999999999E-3</v>
      </c>
      <c r="AD17" s="456">
        <f t="shared" si="4"/>
        <v>0</v>
      </c>
      <c r="AE17" s="445"/>
      <c r="AF17" s="426"/>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26"/>
      <c r="Q18" s="455"/>
      <c r="R18" s="463" t="s">
        <v>25</v>
      </c>
      <c r="S18" s="458" t="str">
        <f t="shared" si="2"/>
        <v>EURIBOR8MD=</v>
      </c>
      <c r="T18" s="462">
        <v>41479</v>
      </c>
      <c r="U18" s="461">
        <v>0.41199999999999998</v>
      </c>
      <c r="V18" s="461" t="b">
        <f>IF(AND(ISNUMBER($U18),$U18&lt;&gt;0%,_xll.ohTrigger(Trigger)+1),TRUE,FALSE)</f>
        <v>1</v>
      </c>
      <c r="W18" s="460" t="b">
        <f>IF($V18,_xll.qlIndexAddFixings($Y18,$T18,$U18/100,TRUE,ISERROR($Z18)),NA())</f>
        <v>1</v>
      </c>
      <c r="X18" s="450"/>
      <c r="Y18" s="459" t="str">
        <f t="shared" si="5"/>
        <v>Euribor8M#0000</v>
      </c>
      <c r="Z18" s="458" t="e">
        <f>_xll.qlIndexFixing($Y18,$T18,TRUE,$V18)</f>
        <v>#NUM!</v>
      </c>
      <c r="AA18" s="458">
        <f>IF($W18,_xll.qlIndexFixing($Y18,$T18,FALSE,$V18),"-")</f>
        <v>4.1199999999999995E-3</v>
      </c>
      <c r="AB18" s="458" t="e">
        <f t="shared" si="3"/>
        <v>#NUM!</v>
      </c>
      <c r="AC18" s="457">
        <f>_xll.qlIndexFixing($Y18,$T18,TRUE,$AA18)</f>
        <v>4.1199999999999995E-3</v>
      </c>
      <c r="AD18" s="456">
        <f t="shared" si="4"/>
        <v>0</v>
      </c>
      <c r="AE18" s="445"/>
      <c r="AF18" s="426"/>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26"/>
      <c r="Q19" s="455"/>
      <c r="R19" s="463" t="s">
        <v>24</v>
      </c>
      <c r="S19" s="458" t="str">
        <f t="shared" si="2"/>
        <v>EURIBOR9MD=</v>
      </c>
      <c r="T19" s="462">
        <v>41479</v>
      </c>
      <c r="U19" s="461">
        <v>0.442</v>
      </c>
      <c r="V19" s="461" t="b">
        <f>IF(AND(ISNUMBER($U19),$U19&lt;&gt;0%,_xll.ohTrigger(Trigger)+1),TRUE,FALSE)</f>
        <v>1</v>
      </c>
      <c r="W19" s="460" t="b">
        <f>IF($V19,_xll.qlIndexAddFixings($Y19,$T19,$U19/100,TRUE,ISERROR($Z19)),NA())</f>
        <v>1</v>
      </c>
      <c r="X19" s="450"/>
      <c r="Y19" s="459" t="str">
        <f t="shared" si="5"/>
        <v>Euribor9M#0000</v>
      </c>
      <c r="Z19" s="458" t="e">
        <f>_xll.qlIndexFixing($Y19,$T19,TRUE,$V19)</f>
        <v>#NUM!</v>
      </c>
      <c r="AA19" s="458">
        <f>IF($W19,_xll.qlIndexFixing($Y19,$T19,FALSE,$V19),"-")</f>
        <v>4.4200000000000003E-3</v>
      </c>
      <c r="AB19" s="458" t="e">
        <f t="shared" si="3"/>
        <v>#NUM!</v>
      </c>
      <c r="AC19" s="457">
        <f>_xll.qlIndexFixing($Y19,$T19,TRUE,$AA19)</f>
        <v>4.4200000000000003E-3</v>
      </c>
      <c r="AD19" s="456">
        <f t="shared" si="4"/>
        <v>0</v>
      </c>
      <c r="AE19" s="445"/>
      <c r="AF19" s="426"/>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26"/>
      <c r="Q20" s="455"/>
      <c r="R20" s="463" t="s">
        <v>23</v>
      </c>
      <c r="S20" s="458" t="str">
        <f t="shared" si="2"/>
        <v>EURIBOR10MD=</v>
      </c>
      <c r="T20" s="462">
        <v>41479</v>
      </c>
      <c r="U20" s="461">
        <v>0.47299999999999998</v>
      </c>
      <c r="V20" s="461" t="b">
        <f>IF(AND(ISNUMBER($U20),$U20&lt;&gt;0%,_xll.ohTrigger(Trigger)+1),TRUE,FALSE)</f>
        <v>1</v>
      </c>
      <c r="W20" s="460" t="b">
        <f>IF($V20,_xll.qlIndexAddFixings($Y20,$T20,$U20/100,TRUE,ISERROR($Z20)),NA())</f>
        <v>1</v>
      </c>
      <c r="X20" s="450"/>
      <c r="Y20" s="459" t="str">
        <f t="shared" si="5"/>
        <v>Euribor10M#0000</v>
      </c>
      <c r="Z20" s="458" t="e">
        <f>_xll.qlIndexFixing($Y20,$T20,TRUE,$V20)</f>
        <v>#NUM!</v>
      </c>
      <c r="AA20" s="458">
        <f>IF($W20,_xll.qlIndexFixing($Y20,$T20,FALSE,$V20),"-")</f>
        <v>4.7299999999999998E-3</v>
      </c>
      <c r="AB20" s="458" t="e">
        <f t="shared" si="3"/>
        <v>#NUM!</v>
      </c>
      <c r="AC20" s="457">
        <f>_xll.qlIndexFixing($Y20,$T20,TRUE,$AA20)</f>
        <v>4.7299999999999998E-3</v>
      </c>
      <c r="AD20" s="456">
        <f t="shared" si="4"/>
        <v>0</v>
      </c>
      <c r="AE20" s="445"/>
      <c r="AF20" s="426"/>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26"/>
      <c r="Q21" s="455"/>
      <c r="R21" s="463" t="s">
        <v>22</v>
      </c>
      <c r="S21" s="458" t="str">
        <f t="shared" si="2"/>
        <v>EURIBOR11MD=</v>
      </c>
      <c r="T21" s="462">
        <v>41479</v>
      </c>
      <c r="U21" s="461">
        <v>0.503</v>
      </c>
      <c r="V21" s="461" t="b">
        <f>IF(AND(ISNUMBER($U21),$U21&lt;&gt;0%,_xll.ohTrigger(Trigger)+1),TRUE,FALSE)</f>
        <v>1</v>
      </c>
      <c r="W21" s="460" t="b">
        <f>IF($V21,_xll.qlIndexAddFixings($Y21,$T21,$U21/100,TRUE,ISERROR($Z21)),NA())</f>
        <v>1</v>
      </c>
      <c r="X21" s="450"/>
      <c r="Y21" s="459" t="str">
        <f t="shared" si="5"/>
        <v>Euribor11M#0000</v>
      </c>
      <c r="Z21" s="458" t="e">
        <f>_xll.qlIndexFixing($Y21,$T21,TRUE,$V21)</f>
        <v>#NUM!</v>
      </c>
      <c r="AA21" s="458">
        <f>IF($W21,_xll.qlIndexFixing($Y21,$T21,FALSE,$V21),"-")</f>
        <v>5.0299999999999997E-3</v>
      </c>
      <c r="AB21" s="458" t="e">
        <f t="shared" si="3"/>
        <v>#NUM!</v>
      </c>
      <c r="AC21" s="457">
        <f>_xll.qlIndexFixing($Y21,$T21,TRUE,$AA21)</f>
        <v>5.0299999999999997E-3</v>
      </c>
      <c r="AD21" s="456">
        <f t="shared" si="4"/>
        <v>0</v>
      </c>
      <c r="AE21" s="445"/>
      <c r="AF21" s="426"/>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26"/>
      <c r="Q22" s="455"/>
      <c r="R22" s="454" t="s">
        <v>21</v>
      </c>
      <c r="S22" s="448" t="str">
        <f t="shared" si="2"/>
        <v>EURIBOR1YD=</v>
      </c>
      <c r="T22" s="453">
        <v>41479</v>
      </c>
      <c r="U22" s="452">
        <v>0.53500000000000003</v>
      </c>
      <c r="V22" s="452" t="b">
        <f>IF(AND(ISNUMBER($U22),$U22&lt;&gt;0%,_xll.ohTrigger(Trigger)+1),TRUE,FALSE)</f>
        <v>1</v>
      </c>
      <c r="W22" s="451" t="b">
        <f>IF($V22,_xll.qlIndexAddFixings($Y22,$T22,$U22/100,TRUE,ISERROR($Z22)),NA())</f>
        <v>1</v>
      </c>
      <c r="X22" s="450"/>
      <c r="Y22" s="449" t="str">
        <f t="shared" si="5"/>
        <v>Euribor1Y#0000</v>
      </c>
      <c r="Z22" s="448" t="e">
        <f>_xll.qlIndexFixing($Y22,$T22,TRUE,$V22)</f>
        <v>#NUM!</v>
      </c>
      <c r="AA22" s="448">
        <f>IF($W22,_xll.qlIndexFixing($Y22,$T22,FALSE,$V22),"-")</f>
        <v>5.3500000000000006E-3</v>
      </c>
      <c r="AB22" s="448" t="e">
        <f t="shared" si="3"/>
        <v>#NUM!</v>
      </c>
      <c r="AC22" s="447">
        <f>_xll.qlIndexFixing($Y22,$T22,TRUE,$AA22)</f>
        <v>5.3500000000000006E-3</v>
      </c>
      <c r="AD22" s="446">
        <f t="shared" si="4"/>
        <v>0</v>
      </c>
      <c r="AE22" s="445"/>
      <c r="AF22" s="426"/>
    </row>
    <row r="23" spans="2:32" s="21" customFormat="1" ht="12" thickBot="1" x14ac:dyDescent="0.25">
      <c r="B23" s="4"/>
      <c r="C23" s="3"/>
      <c r="D23" s="3"/>
      <c r="E23" s="3"/>
      <c r="F23" s="3"/>
      <c r="G23" s="3"/>
      <c r="H23" s="3"/>
      <c r="I23" s="3"/>
      <c r="J23" s="3"/>
      <c r="K23" s="3"/>
      <c r="L23" s="3"/>
      <c r="M23" s="3"/>
      <c r="N23" s="2"/>
      <c r="P23" s="426"/>
      <c r="Q23" s="444"/>
      <c r="R23" s="441"/>
      <c r="S23" s="441"/>
      <c r="T23" s="443"/>
      <c r="U23" s="442"/>
      <c r="V23" s="442"/>
      <c r="W23" s="441"/>
      <c r="X23" s="441"/>
      <c r="Y23" s="441"/>
      <c r="Z23" s="441"/>
      <c r="AA23" s="441"/>
      <c r="AB23" s="441"/>
      <c r="AC23" s="441"/>
      <c r="AD23" s="441"/>
      <c r="AE23" s="440"/>
      <c r="AF23" s="426"/>
    </row>
    <row r="24" spans="2:32" s="21" customFormat="1" ht="12" thickBot="1" x14ac:dyDescent="0.25">
      <c r="P24" s="426"/>
      <c r="Q24" s="426"/>
      <c r="R24" s="426"/>
      <c r="S24" s="426"/>
      <c r="T24" s="439"/>
      <c r="U24" s="438"/>
      <c r="V24" s="438"/>
      <c r="W24" s="426"/>
      <c r="X24" s="426"/>
      <c r="Y24" s="426"/>
      <c r="Z24" s="426"/>
      <c r="AA24" s="426"/>
      <c r="AB24" s="426"/>
      <c r="AC24" s="426"/>
      <c r="AD24" s="426"/>
      <c r="AE24" s="426"/>
      <c r="AF24" s="426"/>
    </row>
    <row r="25" spans="2:32" x14ac:dyDescent="0.2">
      <c r="P25" s="426"/>
      <c r="Q25" s="426"/>
      <c r="R25" s="437" t="s">
        <v>124</v>
      </c>
      <c r="S25" s="436" t="s">
        <v>207</v>
      </c>
      <c r="T25" s="435" t="s">
        <v>207</v>
      </c>
      <c r="U25" s="434"/>
      <c r="V25" s="426"/>
      <c r="W25" s="426"/>
      <c r="X25" s="426"/>
      <c r="Y25" s="426"/>
      <c r="Z25" s="426"/>
      <c r="AA25" s="426"/>
      <c r="AB25" s="426"/>
      <c r="AC25" s="426"/>
      <c r="AD25" s="426"/>
      <c r="AE25" s="426"/>
      <c r="AF25" s="426"/>
    </row>
    <row r="26" spans="2:32" x14ac:dyDescent="0.2">
      <c r="P26" s="426"/>
      <c r="Q26" s="426"/>
      <c r="R26" s="432" t="s">
        <v>110</v>
      </c>
      <c r="S26" s="431" t="s">
        <v>230</v>
      </c>
      <c r="T26" s="430" t="s">
        <v>40</v>
      </c>
      <c r="U26" s="426"/>
      <c r="V26" s="426"/>
      <c r="W26" s="426"/>
      <c r="X26" s="426"/>
      <c r="Y26" s="433"/>
      <c r="Z26" s="426"/>
      <c r="AA26" s="426"/>
      <c r="AB26" s="426"/>
      <c r="AC26" s="426"/>
      <c r="AD26" s="426"/>
      <c r="AE26" s="426"/>
      <c r="AF26" s="426"/>
    </row>
    <row r="27" spans="2:32" x14ac:dyDescent="0.2">
      <c r="P27" s="426"/>
      <c r="Q27" s="426"/>
      <c r="R27" s="432" t="s">
        <v>266</v>
      </c>
      <c r="S27" s="431" t="s">
        <v>207</v>
      </c>
      <c r="T27" s="430" t="s">
        <v>207</v>
      </c>
      <c r="U27" s="426"/>
      <c r="V27" s="426"/>
      <c r="W27" s="426"/>
      <c r="X27" s="426"/>
      <c r="Y27" s="433"/>
      <c r="Z27" s="426"/>
      <c r="AA27" s="426"/>
      <c r="AB27" s="426"/>
      <c r="AC27" s="426"/>
      <c r="AD27" s="426"/>
      <c r="AE27" s="426"/>
      <c r="AF27" s="426"/>
    </row>
    <row r="28" spans="2:32" x14ac:dyDescent="0.2">
      <c r="P28" s="426"/>
      <c r="Q28" s="426"/>
      <c r="R28" s="432" t="s">
        <v>294</v>
      </c>
      <c r="S28" s="431" t="s">
        <v>207</v>
      </c>
      <c r="T28" s="430" t="s">
        <v>207</v>
      </c>
      <c r="U28" s="426"/>
      <c r="V28" s="426"/>
      <c r="W28" s="426"/>
      <c r="X28" s="426"/>
      <c r="Y28" s="433"/>
      <c r="Z28" s="426"/>
      <c r="AA28" s="426"/>
      <c r="AB28" s="426"/>
      <c r="AC28" s="426"/>
      <c r="AD28" s="426"/>
      <c r="AE28" s="426"/>
      <c r="AF28" s="426"/>
    </row>
    <row r="29" spans="2:32" x14ac:dyDescent="0.2">
      <c r="P29" s="426"/>
      <c r="Q29" s="426"/>
      <c r="R29" s="432" t="s">
        <v>121</v>
      </c>
      <c r="S29" s="431" t="s">
        <v>207</v>
      </c>
      <c r="T29" s="430" t="s">
        <v>207</v>
      </c>
      <c r="U29" s="426"/>
      <c r="V29" s="426"/>
      <c r="W29" s="426"/>
      <c r="X29" s="426"/>
      <c r="Y29" s="426"/>
      <c r="Z29" s="426"/>
      <c r="AA29" s="426"/>
      <c r="AB29" s="426"/>
      <c r="AC29" s="426"/>
      <c r="AD29" s="426"/>
      <c r="AE29" s="426"/>
      <c r="AF29" s="426"/>
    </row>
    <row r="30" spans="2:32" x14ac:dyDescent="0.2">
      <c r="P30" s="426"/>
      <c r="Q30" s="426"/>
      <c r="R30" s="432" t="s">
        <v>120</v>
      </c>
      <c r="S30" s="431" t="s">
        <v>207</v>
      </c>
      <c r="T30" s="430" t="s">
        <v>207</v>
      </c>
      <c r="U30" s="426"/>
      <c r="V30" s="426"/>
      <c r="W30" s="426"/>
      <c r="X30" s="426"/>
      <c r="Y30" s="426"/>
      <c r="Z30" s="426"/>
      <c r="AA30" s="426"/>
      <c r="AB30" s="426"/>
      <c r="AC30" s="426"/>
      <c r="AD30" s="426"/>
      <c r="AE30" s="426"/>
      <c r="AF30" s="426"/>
    </row>
    <row r="31" spans="2:32" ht="13.5" thickBot="1" x14ac:dyDescent="0.25">
      <c r="P31" s="426"/>
      <c r="Q31" s="426"/>
      <c r="R31" s="429" t="s">
        <v>118</v>
      </c>
      <c r="S31" s="428" t="s">
        <v>207</v>
      </c>
      <c r="T31" s="427" t="s">
        <v>207</v>
      </c>
      <c r="U31" s="426"/>
      <c r="V31" s="426"/>
      <c r="W31" s="426"/>
      <c r="X31" s="426"/>
      <c r="Y31" s="426"/>
      <c r="Z31" s="426"/>
      <c r="AA31" s="426"/>
      <c r="AB31" s="426"/>
      <c r="AC31" s="426"/>
      <c r="AD31" s="426"/>
      <c r="AE31" s="426"/>
      <c r="AF31" s="426"/>
    </row>
    <row r="32" spans="2:32" x14ac:dyDescent="0.2">
      <c r="P32" s="426"/>
      <c r="Q32" s="426"/>
      <c r="R32" s="426"/>
      <c r="S32" s="426"/>
      <c r="T32" s="426"/>
      <c r="U32" s="426"/>
      <c r="V32" s="426"/>
      <c r="W32" s="426"/>
      <c r="X32" s="426"/>
      <c r="Y32" s="426"/>
      <c r="Z32" s="426"/>
      <c r="AA32" s="426"/>
      <c r="AB32" s="426"/>
      <c r="AC32" s="426"/>
      <c r="AD32" s="426"/>
      <c r="AE32" s="426"/>
      <c r="AF32" s="42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election activeCell="AB10" sqref="AB10"/>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obj_0076a#0000</v>
      </c>
      <c r="T3" s="137"/>
      <c r="U3" s="137"/>
      <c r="V3" s="137"/>
      <c r="W3" s="137"/>
      <c r="X3" s="137"/>
      <c r="Y3" s="253"/>
      <c r="Z3" s="253"/>
      <c r="AA3" s="253"/>
      <c r="AB3" s="137"/>
      <c r="AC3" s="284">
        <f>_xll.ohTrigger(AC5:AC42)</f>
        <v>2</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78" t="e">
        <f t="array" ref="AB5:AB42">QuoteLive</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EUR1E6E1Y_Quote#0000</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78">
        <v>22</v>
      </c>
      <c r="AC6" s="258">
        <f>_xll.qlSimpleQuoteSetValue(F6,ROUND(AB6/10000,6),Trigger)</f>
        <v>0</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EUR1E6E15M_Quote#0000</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78">
        <v>22.978821515415554</v>
      </c>
      <c r="AC7" s="258">
        <f>_xll.qlSimpleQuoteSetValue(F7,ROUND(AB7/10000,6),Trigger)</f>
        <v>0</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EUR1E6E18M_Quote#0000</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78">
        <v>23.906114424664885</v>
      </c>
      <c r="AC8" s="258">
        <f>_xll.qlSimpleQuoteSetValue(F8,ROUND(AB8/10000,6),Trigger)</f>
        <v>0</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EUR1E6E21M_Quote#0000</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78">
        <v>24.730350121581775</v>
      </c>
      <c r="AC9" s="258">
        <f>_xll.qlSimpleQuoteSetValue(F9,ROUND(AB9/10000,6),Trigger)</f>
        <v>0</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78">
        <v>25.4</v>
      </c>
      <c r="AC10" s="258">
        <f>_xll.qlSimpleQuoteSetValue(F10,ROUND(AB10/10000,6),Trigger)</f>
        <v>0</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78">
        <v>26.5</v>
      </c>
      <c r="AC11" s="258">
        <f>_xll.qlSimpleQuoteSetValue(F11,ROUND(AB11/10000,6),Trigger)</f>
        <v>0</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78">
        <v>26.6</v>
      </c>
      <c r="AC12" s="258">
        <f>_xll.qlSimpleQuoteSetValue(F12,ROUND(AB12/10000,6),Trigger)</f>
        <v>0</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78">
        <v>26.4</v>
      </c>
      <c r="AC13" s="258">
        <f>_xll.qlSimpleQuoteSetValue(F13,ROUND(AB13/10000,6),Trigger)</f>
        <v>0</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78">
        <v>26</v>
      </c>
      <c r="AC14" s="258">
        <f>_xll.qlSimpleQuoteSetValue(F14,ROUND(AB14/10000,6),Trigger)</f>
        <v>1.0000000000000026E-5</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78">
        <v>25.3</v>
      </c>
      <c r="AC15" s="258">
        <f>_xll.qlSimpleQuoteSetValue(F15,ROUND(AB15/10000,6),Trigger)</f>
        <v>0</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78">
        <v>24.6</v>
      </c>
      <c r="AC16" s="258">
        <f>_xll.qlSimpleQuoteSetValue(F16,ROUND(AB16/10000,6),Trigger)</f>
        <v>0</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78">
        <v>23.9</v>
      </c>
      <c r="AC17" s="258">
        <f>_xll.qlSimpleQuoteSetValue(F17,ROUND(AB17/10000,6),Trigger)</f>
        <v>1.0000000000000026E-5</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78">
        <v>23.1</v>
      </c>
      <c r="AC18" s="258">
        <f>_xll.qlSimpleQuoteSetValue(F18,ROUND(AB18/10000,6),Trigger)</f>
        <v>1.0000000000000026E-5</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78">
        <v>22.3</v>
      </c>
      <c r="AC19" s="258">
        <f>_xll.qlSimpleQuoteSetValue(F19,ROUND(AB19/10000,6),Trigger)</f>
        <v>0</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78">
        <v>21.5</v>
      </c>
      <c r="AC20" s="258">
        <f>_xll.qlSimpleQuoteSetValue(F20,ROUND(AB20/10000,6),Trigger)</f>
        <v>0</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78">
        <v>20.767158961360217</v>
      </c>
      <c r="AC21" s="258">
        <f>_xll.qlSimpleQuoteSetValue(F21,ROUND(AB21/10000,6),Trigger)</f>
        <v>1.9999999999998318E-6</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78">
        <v>20.106819379057171</v>
      </c>
      <c r="AC22" s="258">
        <f>_xll.qlSimpleQuoteSetValue(F22,ROUND(AB22/10000,6),Trigger)</f>
        <v>1.0000000000001327E-6</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78">
        <v>19.5</v>
      </c>
      <c r="AC23" s="258">
        <f>_xll.qlSimpleQuoteSetValue(F23,ROUND(AB23/10000,6),Trigger)</f>
        <v>0</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78">
        <v>18.930884672736056</v>
      </c>
      <c r="AC24" s="258">
        <f>_xll.qlSimpleQuoteSetValue(F24,ROUND(AB24/10000,6),Trigger)</f>
        <v>-1.0000000000001327E-6</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78">
        <v>18.396317652365603</v>
      </c>
      <c r="AC25" s="258">
        <f>_xll.qlSimpleQuoteSetValue(F25,ROUND(AB25/10000,6),Trigger)</f>
        <v>0</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78">
        <v>17.896308295627119</v>
      </c>
      <c r="AC26" s="258">
        <f>_xll.qlSimpleQuoteSetValue(F26,ROUND(AB26/10000,6),Trigger)</f>
        <v>0</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78">
        <v>17.430865959259091</v>
      </c>
      <c r="AC27" s="258">
        <f>_xll.qlSimpleQuoteSetValue(F27,ROUND(AB27/10000,6),Trigger)</f>
        <v>0</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78">
        <v>17</v>
      </c>
      <c r="AC28" s="258">
        <f>_xll.qlSimpleQuoteSetValue(F28,ROUND(AB28/10000,6),Trigger)</f>
        <v>0</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78">
        <v>16.603202627818849</v>
      </c>
      <c r="AC29" s="258">
        <f>_xll.qlSimpleQuoteSetValue(F29,ROUND(AB29/10000,6),Trigger)</f>
        <v>-9.9999999999991589E-7</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78">
        <v>16.237897465606693</v>
      </c>
      <c r="AC30" s="258">
        <f>_xll.qlSimpleQuoteSetValue(F30,ROUND(AB30/10000,6),Trigger)</f>
        <v>0</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78">
        <v>15.900990989485116</v>
      </c>
      <c r="AC31" s="258">
        <f>_xll.qlSimpleQuoteSetValue(F31,ROUND(AB31/10000,6),Trigger)</f>
        <v>-9.9999999999991589E-7</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78">
        <v>15.589389675575694</v>
      </c>
      <c r="AC32" s="258">
        <f>_xll.qlSimpleQuoteSetValue(F32,ROUND(AB32/10000,6),Trigger)</f>
        <v>-9.9999999999991589E-7</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78">
        <v>15.3</v>
      </c>
      <c r="AC33" s="258">
        <f>_xll.qlSimpleQuoteSetValue(F33,ROUND(AB33/10000,6),Trigger)</f>
        <v>0</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78">
        <v>15.029904815988555</v>
      </c>
      <c r="AC34" s="258">
        <f>_xll.qlSimpleQuoteSetValue(F34,ROUND(AB34/10000,6),Trigger)</f>
        <v>9.9999999999991589E-7</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78">
        <v>14.776892485207624</v>
      </c>
      <c r="AC35" s="258">
        <f>_xll.qlSimpleQuoteSetValue(F35,ROUND(AB35/10000,6),Trigger)</f>
        <v>3.9999999999998804E-6</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78">
        <v>14.538927746432416</v>
      </c>
      <c r="AC36" s="258">
        <f>_xll.qlSimpleQuoteSetValue(F36,ROUND(AB36/10000,6),Trigger)</f>
        <v>5.999999999999929E-6</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78">
        <v>14.313975338438139</v>
      </c>
      <c r="AC37" s="258">
        <f>_xll.qlSimpleQuoteSetValue(F37,ROUND(AB37/10000,6),Trigger)</f>
        <v>7.9999999999999776E-6</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78">
        <v>14.1</v>
      </c>
      <c r="AC38" s="258">
        <f>_xll.qlSimpleQuoteSetValue(F38,ROUND(AB38/10000,6),Trigger)</f>
        <v>1.0000000000000026E-5</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78">
        <v>13.159016711814663</v>
      </c>
      <c r="AC39" s="258">
        <f>_xll.qlSimpleQuoteSetValue(F39,ROUND(AB39/10000,6),Trigger)</f>
        <v>1.3999999999999907E-5</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78">
        <v>12.4</v>
      </c>
      <c r="AC40" s="258">
        <f>_xll.qlSimpleQuoteSetValue(F40,ROUND(AB40/10000,6),Trigger)</f>
        <v>1.0000000000000026E-5</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78">
        <v>11.3</v>
      </c>
      <c r="AC41" s="258">
        <f>_xll.qlSimpleQuoteSetValue(F41,ROUND(AB41/10000,6),Trigger)</f>
        <v>0</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79">
        <v>10.6</v>
      </c>
      <c r="AC42" s="250">
        <f>_xll.qlSimpleQuoteSetValue(F42,ROUND(AB42/10000,6),Trigger)</f>
        <v>0</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obj_00769#0000</v>
      </c>
      <c r="T3" s="137"/>
      <c r="U3" s="137"/>
      <c r="V3" s="137"/>
      <c r="W3" s="137"/>
      <c r="X3" s="137"/>
      <c r="Y3" s="253"/>
      <c r="Z3" s="253"/>
      <c r="AA3" s="253"/>
      <c r="AB3" s="137"/>
      <c r="AC3" s="284">
        <f>_xll.ohTrigger(AC5:AC42)</f>
        <v>2</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78" t="e">
        <f t="array" ref="AB5:AB42">QuoteLive</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78">
        <v>10</v>
      </c>
      <c r="AC6" s="258">
        <f>_xll.qlSimpleQuoteSetValue(F6,ROUND(AB6/10000,6),Trigger)</f>
        <v>-1.3499999999999992E-4</v>
      </c>
      <c r="AD6" s="217"/>
      <c r="AE6" s="17"/>
      <c r="AF6" s="86" t="s">
        <v>110</v>
      </c>
      <c r="AG6" s="85" t="s">
        <v>129</v>
      </c>
      <c r="AH6" s="84" t="s">
        <v>122</v>
      </c>
      <c r="AI6" s="17" t="str">
        <f t="shared" si="3"/>
        <v>1Y</v>
      </c>
      <c r="AJ6" s="376">
        <f>((Swap6M!AB6-Swap3M!AB6)*100-AB6)/10000</f>
        <v>3.5527136788005011E-19</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78">
        <v>10.707205499281535</v>
      </c>
      <c r="AC7" s="258">
        <f>_xll.qlSimpleQuoteSetValue(F7,ROUND(AB7/10000,6),Trigger)</f>
        <v>-1.0300000000000001E-4</v>
      </c>
      <c r="AD7" s="217"/>
      <c r="AE7" s="17"/>
      <c r="AF7" s="86" t="s">
        <v>121</v>
      </c>
      <c r="AG7" s="85" t="s">
        <v>117</v>
      </c>
      <c r="AH7" s="84" t="s">
        <v>119</v>
      </c>
      <c r="AI7" s="17" t="str">
        <f t="shared" si="3"/>
        <v>15M</v>
      </c>
      <c r="AJ7" s="376">
        <f>((Swap6M!AB7-Swap3M!AB7)*100-AB7)/10000</f>
        <v>-1.4072054992815382E-4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78">
        <v>11.3</v>
      </c>
      <c r="AC8" s="258">
        <f>_xll.qlSimpleQuoteSetValue(F8,ROUND(AB8/10000,6),Trigger)</f>
        <v>-7.9999999999999993E-5</v>
      </c>
      <c r="AD8" s="217"/>
      <c r="AE8" s="17"/>
      <c r="AF8" s="86" t="s">
        <v>120</v>
      </c>
      <c r="AG8" s="85" t="s">
        <v>117</v>
      </c>
      <c r="AH8" s="84" t="s">
        <v>119</v>
      </c>
      <c r="AI8" s="17" t="str">
        <f t="shared" si="3"/>
        <v>18M</v>
      </c>
      <c r="AJ8" s="376">
        <f>((Swap6M!AB8-Swap3M!AB8)*100-AB8)/10000</f>
        <v>-1.0000000000000141E-5</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78">
        <v>11.697133502155394</v>
      </c>
      <c r="AC9" s="258">
        <f>_xll.qlSimpleQuoteSetValue(F9,ROUND(AB9/10000,6),Trigger)</f>
        <v>-7.2999999999999931E-5</v>
      </c>
      <c r="AD9" s="217"/>
      <c r="AE9" s="17"/>
      <c r="AF9" s="83" t="s">
        <v>118</v>
      </c>
      <c r="AG9" s="82" t="s">
        <v>119</v>
      </c>
      <c r="AH9" s="81" t="s">
        <v>117</v>
      </c>
      <c r="AI9" s="17" t="str">
        <f t="shared" si="3"/>
        <v>21M</v>
      </c>
      <c r="AJ9" s="376">
        <f>((Swap6M!AB9-Swap3M!AB9)*100-AB9)/10000</f>
        <v>-1.0971335021553959E-4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78">
        <v>11.95</v>
      </c>
      <c r="AC10" s="258">
        <f>_xll.qlSimpleQuoteSetValue(F10,ROUND(AB10/10000,6),Trigger)</f>
        <v>-7.499999999999998E-5</v>
      </c>
      <c r="AD10" s="217"/>
      <c r="AE10" s="17"/>
      <c r="AF10" s="17"/>
      <c r="AG10" s="17"/>
      <c r="AH10" s="17"/>
      <c r="AI10" s="17" t="str">
        <f t="shared" si="3"/>
        <v>2Y</v>
      </c>
      <c r="AJ10" s="376">
        <f>((Swap6M!AB10-Swap3M!AB10)*100-AB10)/10000</f>
        <v>-4.9999999999988273E-6</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78">
        <v>12.4</v>
      </c>
      <c r="AC11" s="258">
        <f>_xll.qlSimpleQuoteSetValue(F11,ROUND(AB11/10000,6),Trigger)</f>
        <v>-9.5000000000000032E-5</v>
      </c>
      <c r="AD11" s="217"/>
      <c r="AE11" s="17"/>
      <c r="AF11" s="17"/>
      <c r="AG11" s="17"/>
      <c r="AH11" s="17"/>
      <c r="AI11" s="17" t="str">
        <f t="shared" si="3"/>
        <v>3Y</v>
      </c>
      <c r="AJ11" s="376">
        <f>((Swap6M!AB11-Swap3M!AB11)*100-AB11)/10000</f>
        <v>0</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78">
        <v>12.35</v>
      </c>
      <c r="AC12" s="258">
        <f>_xll.qlSimpleQuoteSetValue(F12,ROUND(AB12/10000,6),Trigger)</f>
        <v>-1.4499999999999995E-4</v>
      </c>
      <c r="AD12" s="217"/>
      <c r="AE12" s="17"/>
      <c r="AF12" s="17"/>
      <c r="AG12" s="17"/>
      <c r="AH12" s="17"/>
      <c r="AI12" s="17" t="str">
        <f t="shared" si="3"/>
        <v>4Y</v>
      </c>
      <c r="AJ12" s="376">
        <f>((Swap6M!AB12-Swap3M!AB12)*100-AB12)/10000</f>
        <v>-4.9999999999998937E-6</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78">
        <v>12</v>
      </c>
      <c r="AC13" s="258">
        <f>_xll.qlSimpleQuoteSetValue(F13,ROUND(AB13/10000,6),Trigger)</f>
        <v>-1.9000000000000006E-4</v>
      </c>
      <c r="AD13" s="217"/>
      <c r="AE13" s="17"/>
      <c r="AF13" s="17"/>
      <c r="AG13" s="17"/>
      <c r="AH13" s="17"/>
      <c r="AI13" s="17" t="str">
        <f t="shared" si="3"/>
        <v>5Y</v>
      </c>
      <c r="AJ13" s="376">
        <f>((Swap6M!AB13-Swap3M!AB13)*100-AB13)/10000</f>
        <v>1.0658141036401502E-18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78">
        <v>11.75</v>
      </c>
      <c r="AC14" s="258">
        <f>_xll.qlSimpleQuoteSetValue(F14,ROUND(AB14/10000,6),Trigger)</f>
        <v>-2.0499999999999989E-4</v>
      </c>
      <c r="AD14" s="217"/>
      <c r="AE14" s="17"/>
      <c r="AF14" s="17"/>
      <c r="AG14" s="17"/>
      <c r="AH14" s="17"/>
      <c r="AI14" s="17" t="str">
        <f t="shared" si="3"/>
        <v>6Y</v>
      </c>
      <c r="AJ14" s="376">
        <f>((Swap6M!AB14-Swap3M!AB14)*100-AB14)/10000</f>
        <v>-5.0000000000000707E-6</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78">
        <v>11.4</v>
      </c>
      <c r="AC15" s="258">
        <f>_xll.qlSimpleQuoteSetValue(F15,ROUND(AB15/10000,6),Trigger)</f>
        <v>-2.050000000000001E-4</v>
      </c>
      <c r="AD15" s="217"/>
      <c r="AE15" s="17"/>
      <c r="AF15" s="17"/>
      <c r="AG15" s="17"/>
      <c r="AH15" s="17"/>
      <c r="AI15" s="17" t="str">
        <f t="shared" si="3"/>
        <v>7Y</v>
      </c>
      <c r="AJ15" s="376">
        <f>((Swap6M!AB15-Swap3M!AB15)*100-AB15)/10000</f>
        <v>-1.2434497875801753E-18</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78">
        <v>11.1</v>
      </c>
      <c r="AC16" s="258">
        <f>_xll.qlSimpleQuoteSetValue(F16,ROUND(AB16/10000,6),Trigger)</f>
        <v>-1.8499999999999983E-4</v>
      </c>
      <c r="AD16" s="217"/>
      <c r="AE16" s="17"/>
      <c r="AF16" s="17"/>
      <c r="AG16" s="17"/>
      <c r="AH16" s="17"/>
      <c r="AI16" s="17" t="str">
        <f t="shared" si="3"/>
        <v>8Y</v>
      </c>
      <c r="AJ16" s="376">
        <f>((Swap6M!AB16-Swap3M!AB16)*100-AB16)/10000</f>
        <v>-2.3092638912203255E-18</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78">
        <v>10.65</v>
      </c>
      <c r="AC17" s="258">
        <f>_xll.qlSimpleQuoteSetValue(F17,ROUND(AB17/10000,6),Trigger)</f>
        <v>-1.7500000000000003E-4</v>
      </c>
      <c r="AD17" s="217"/>
      <c r="AE17" s="17"/>
      <c r="AF17" s="17"/>
      <c r="AG17" s="17"/>
      <c r="AH17" s="17"/>
      <c r="AI17" s="17" t="str">
        <f t="shared" si="3"/>
        <v>9Y</v>
      </c>
      <c r="AJ17" s="376">
        <f>((Swap6M!AB17-Swap3M!AB17)*100-AB17)/10000</f>
        <v>-4.999999999999183E-6</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78">
        <v>10.199999999999999</v>
      </c>
      <c r="AC18" s="258">
        <f>_xll.qlSimpleQuoteSetValue(F18,ROUND(AB18/10000,6),Trigger)</f>
        <v>-1.65E-4</v>
      </c>
      <c r="AD18" s="217"/>
      <c r="AE18" s="17"/>
      <c r="AF18" s="17"/>
      <c r="AG18" s="17"/>
      <c r="AH18" s="17"/>
      <c r="AI18" s="17" t="str">
        <f t="shared" si="3"/>
        <v>10Y</v>
      </c>
      <c r="AJ18" s="376">
        <f>((Swap6M!AB18-Swap3M!AB18)*100-AB18)/10000</f>
        <v>9.9999999999997874E-6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78">
        <v>9.85</v>
      </c>
      <c r="AC19" s="258">
        <f>_xll.qlSimpleQuoteSetValue(F19,ROUND(AB19/10000,6),Trigger)</f>
        <v>-1.4499999999999995E-4</v>
      </c>
      <c r="AD19" s="217"/>
      <c r="AE19" s="17"/>
      <c r="AF19" s="17"/>
      <c r="AG19" s="17"/>
      <c r="AH19" s="17"/>
      <c r="AI19" s="17" t="str">
        <f t="shared" si="3"/>
        <v>11Y</v>
      </c>
      <c r="AJ19" s="376">
        <f>((Swap6M!AB19-Swap3M!AB19)*100-AB19)/10000</f>
        <v>4.9999999999975838E-6</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78">
        <v>9.5500000000000007</v>
      </c>
      <c r="AC20" s="258">
        <f>_xll.qlSimpleQuoteSetValue(F20,ROUND(AB20/10000,6),Trigger)</f>
        <v>-1.1999999999999999E-4</v>
      </c>
      <c r="AD20" s="217"/>
      <c r="AE20" s="17"/>
      <c r="AF20" s="17"/>
      <c r="AG20" s="17"/>
      <c r="AH20" s="17"/>
      <c r="AI20" s="17" t="str">
        <f t="shared" si="3"/>
        <v>12Y</v>
      </c>
      <c r="AJ20" s="376">
        <f>((Swap6M!AB20-Swap3M!AB20)*100-AB20)/10000</f>
        <v>5.0000000000007814E-6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78">
        <v>9.2370385241899786</v>
      </c>
      <c r="AC21" s="258">
        <f>_xll.qlSimpleQuoteSetValue(F21,ROUND(AB21/10000,6),Trigger)</f>
        <v>-9.6000000000000057E-5</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78">
        <v>8.9139108863230252</v>
      </c>
      <c r="AC22" s="258">
        <f>_xll.qlSimpleQuoteSetValue(F22,ROUND(AB22/10000,6),Trigger)</f>
        <v>-7.7000000000000028E-5</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78">
        <v>8.6</v>
      </c>
      <c r="AC23" s="258">
        <f>_xll.qlSimpleQuoteSetValue(F23,ROUND(AB23/10000,6),Trigger)</f>
        <v>-6.0000000000000049E-5</v>
      </c>
      <c r="AD23" s="217"/>
      <c r="AE23" s="17"/>
      <c r="AF23" s="17"/>
      <c r="AG23" s="17"/>
      <c r="AH23" s="17"/>
      <c r="AI23" s="17" t="str">
        <f t="shared" si="3"/>
        <v>15Y</v>
      </c>
      <c r="AJ23" s="376">
        <f>((Swap6M!AB23-Swap3M!AB23)*100-AB23)/10000</f>
        <v>1.0000000000001919E-5</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78">
        <v>8.311111988281171</v>
      </c>
      <c r="AC24" s="258">
        <f>_xll.qlSimpleQuoteSetValue(F24,ROUND(AB24/10000,6),Trigger)</f>
        <v>-4.699999999999995E-5</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78">
        <v>8.0487458120644462</v>
      </c>
      <c r="AC25" s="258">
        <f>_xll.qlSimpleQuoteSetValue(F25,ROUND(AB25/10000,6),Trigger)</f>
        <v>-3.7999999999999948E-5</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78">
        <v>7.8108236417071328</v>
      </c>
      <c r="AC26" s="258">
        <f>_xll.qlSimpleQuoteSetValue(F26,ROUND(AB26/10000,6),Trigger)</f>
        <v>-3.0999999999999995E-5</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78">
        <v>7.5952676475665477</v>
      </c>
      <c r="AC27" s="258">
        <f>_xll.qlSimpleQuoteSetValue(F27,ROUND(AB27/10000,6),Trigger)</f>
        <v>-2.3999999999999933E-5</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78">
        <v>7.4</v>
      </c>
      <c r="AC28" s="258">
        <f>_xll.qlSimpleQuoteSetValue(F28,ROUND(AB28/10000,6),Trigger)</f>
        <v>-2.0000000000000052E-5</v>
      </c>
      <c r="AD28" s="217"/>
      <c r="AE28" s="17"/>
      <c r="AF28" s="17"/>
      <c r="AG28" s="17"/>
      <c r="AH28" s="17"/>
      <c r="AI28" s="17" t="str">
        <f t="shared" si="3"/>
        <v>20Y</v>
      </c>
      <c r="AJ28" s="376">
        <f>((Swap6M!AB28-Swap3M!AB28)*100-AB28)/10000</f>
        <v>1.0000000000001741E-5</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78">
        <v>7.222900765978534</v>
      </c>
      <c r="AC29" s="258">
        <f>_xll.qlSimpleQuoteSetValue(F29,ROUND(AB29/10000,6),Trigger)</f>
        <v>-1.6000000000000064E-5</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78">
        <v>7.0616815989281108</v>
      </c>
      <c r="AC30" s="258">
        <f>_xll.qlSimpleQuoteSetValue(F30,ROUND(AB30/10000,6),Trigger)</f>
        <v>-1.0999999999999942E-5</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78">
        <v>6.91401204888842</v>
      </c>
      <c r="AC31" s="258">
        <f>_xll.qlSimpleQuoteSetValue(F31,ROUND(AB31/10000,6),Trigger)</f>
        <v>-7.0000000000000617E-6</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78">
        <v>6.7775616658991531</v>
      </c>
      <c r="AC32" s="258">
        <f>_xll.qlSimpleQuoteSetValue(F32,ROUND(AB32/10000,6),Trigger)</f>
        <v>-2.9999999999999645E-6</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78">
        <v>6.65</v>
      </c>
      <c r="AC33" s="258">
        <f>_xll.qlSimpleQuoteSetValue(F33,ROUND(AB33/10000,6),Trigger)</f>
        <v>0</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78">
        <v>6.529284947804693</v>
      </c>
      <c r="AC34" s="258">
        <f>_xll.qlSimpleQuoteSetValue(F34,ROUND(AB34/10000,6),Trigger)</f>
        <v>2.0000000000000486E-6</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78">
        <v>6.4145277922231152</v>
      </c>
      <c r="AC35" s="258">
        <f>_xll.qlSimpleQuoteSetValue(F35,ROUND(AB35/10000,6),Trigger)</f>
        <v>2.9999999999999645E-6</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78">
        <v>6.3051281627391909</v>
      </c>
      <c r="AC36" s="258">
        <f>_xll.qlSimpleQuoteSetValue(F36,ROUND(AB36/10000,6),Trigger)</f>
        <v>5.0000000000000131E-6</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78">
        <v>6.200485688836844</v>
      </c>
      <c r="AC37" s="258">
        <f>_xll.qlSimpleQuoteSetValue(F37,ROUND(AB37/10000,6),Trigger)</f>
        <v>5.0000000000000131E-6</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78">
        <v>6.1</v>
      </c>
      <c r="AC38" s="258">
        <f>_xll.qlSimpleQuoteSetValue(F38,ROUND(AB38/10000,6),Trigger)</f>
        <v>5.0000000000000131E-6</v>
      </c>
      <c r="AD38" s="217"/>
      <c r="AE38" s="17"/>
      <c r="AF38" s="17"/>
      <c r="AG38" s="17"/>
      <c r="AH38" s="17"/>
      <c r="AI38" s="17" t="str">
        <f t="shared" si="3"/>
        <v>30Y</v>
      </c>
      <c r="AJ38" s="376">
        <f>((Swap6M!AB38-Swap3M!AB38)*100-AB38)/10000</f>
        <v>9.999999999998366E-6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78">
        <v>5.6524497666484645</v>
      </c>
      <c r="AC39" s="258">
        <f>_xll.qlSimpleQuoteSetValue(F39,ROUND(AB39/10000,6),Trigger)</f>
        <v>5.0000000000000131E-6</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78">
        <v>5.3</v>
      </c>
      <c r="AC40" s="258">
        <f>_xll.qlSimpleQuoteSetValue(F40,ROUND(AB40/10000,6),Trigger)</f>
        <v>5.0000000000000131E-6</v>
      </c>
      <c r="AD40" s="217"/>
      <c r="AE40" s="17"/>
      <c r="AF40" s="17"/>
      <c r="AG40" s="17"/>
      <c r="AH40" s="17"/>
      <c r="AI40" s="17" t="str">
        <f t="shared" si="3"/>
        <v>40Y</v>
      </c>
      <c r="AJ40" s="376">
        <f>((Swap6M!AB40-Swap3M!AB40)*100-AB40)/10000</f>
        <v>1.0000000000002718E-5</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78">
        <v>4.8499999999999996</v>
      </c>
      <c r="AC41" s="258">
        <f>_xll.qlSimpleQuoteSetValue(F41,ROUND(AB41/10000,6),Trigger)</f>
        <v>1.0000000000000026E-5</v>
      </c>
      <c r="AD41" s="217"/>
      <c r="AE41" s="17"/>
      <c r="AF41" s="17"/>
      <c r="AG41" s="17"/>
      <c r="AH41" s="17"/>
      <c r="AI41" s="17" t="str">
        <f t="shared" si="3"/>
        <v>50Y</v>
      </c>
      <c r="AJ41" s="376">
        <f>((Swap6M!AB41-Swap3M!AB41)*100-AB41)/10000</f>
        <v>4.9999999999993609E-6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79">
        <v>4.5968749999999989</v>
      </c>
      <c r="AC42" s="250">
        <f>_xll.qlSimpleQuoteSetValue(F42,ROUND(AB42/10000,6),Trigger)</f>
        <v>1.6000000000000009E-5</v>
      </c>
      <c r="AD42" s="217"/>
      <c r="AE42" s="17"/>
      <c r="AF42" s="17"/>
      <c r="AG42" s="17"/>
      <c r="AH42" s="17"/>
      <c r="AI42" s="17" t="str">
        <f t="shared" si="3"/>
        <v>60Y</v>
      </c>
      <c r="AJ42" s="376">
        <f>((Swap6M!AB42-Swap3M!AB42)*100-AB42)/10000</f>
        <v>3.1249999999829468E-7</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obj_00768#0000</v>
      </c>
      <c r="T3" s="137"/>
      <c r="U3" s="137"/>
      <c r="V3" s="137"/>
      <c r="W3" s="137"/>
      <c r="X3" s="137"/>
      <c r="Y3" s="253"/>
      <c r="Z3" s="253"/>
      <c r="AA3" s="253"/>
      <c r="AB3" s="137"/>
      <c r="AC3" s="284">
        <f>_xll.ohTrigger(AC5:AC42)</f>
        <v>2</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8"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78" t="e">
        <f t="array" ref="AB5:AB42">QuoteLive</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78">
        <v>11.5</v>
      </c>
      <c r="AC6" s="258">
        <f>_xll.qlSimpleQuoteSetValue(F6,ROUND(AB6/10000,6),Trigger)</f>
        <v>-4.6000000000000012E-4</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78">
        <v>12.050187007852388</v>
      </c>
      <c r="AC7" s="258">
        <f>_xll.qlSimpleQuoteSetValue(F7,ROUND(AB7/10000,6),Trigger)</f>
        <v>-3.2900000000000008E-4</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78">
        <v>12.5779440069799</v>
      </c>
      <c r="AC8" s="258">
        <f>_xll.qlSimpleQuoteSetValue(F8,ROUND(AB8/10000,6),Trigger)</f>
        <v>-2.0399999999999997E-4</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78">
        <v>12.991729002617461</v>
      </c>
      <c r="AC9" s="258">
        <f>_xll.qlSimpleQuoteSetValue(F9,ROUND(AB9/10000,6),Trigger)</f>
        <v>-1.0699999999999989E-4</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78">
        <v>13.2</v>
      </c>
      <c r="AC10" s="258">
        <f>_xll.qlSimpleQuoteSetValue(F10,ROUND(AB10/10000,6),Trigger)</f>
        <v>-5.9999999999999941E-5</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78">
        <v>13.3</v>
      </c>
      <c r="AC11" s="258">
        <f>_xll.qlSimpleQuoteSetValue(F11,ROUND(AB11/10000,6),Trigger)</f>
        <v>-5.9999999999999941E-5</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78">
        <v>13.3</v>
      </c>
      <c r="AC12" s="258">
        <f>_xll.qlSimpleQuoteSetValue(F12,ROUND(AB12/10000,6),Trigger)</f>
        <v>-6.9999999999999967E-5</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78">
        <v>13.2</v>
      </c>
      <c r="AC13" s="258">
        <f>_xll.qlSimpleQuoteSetValue(F13,ROUND(AB13/10000,6),Trigger)</f>
        <v>-9.0000000000000019E-5</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78">
        <v>13.1</v>
      </c>
      <c r="AC14" s="258">
        <f>_xll.qlSimpleQuoteSetValue(F14,ROUND(AB14/10000,6),Trigger)</f>
        <v>-9.0000000000000019E-5</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78">
        <v>12.9</v>
      </c>
      <c r="AC15" s="258">
        <f>_xll.qlSimpleQuoteSetValue(F15,ROUND(AB15/10000,6),Trigger)</f>
        <v>-9.0000000000000019E-5</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78">
        <v>12.6</v>
      </c>
      <c r="AC16" s="258">
        <f>_xll.qlSimpleQuoteSetValue(F16,ROUND(AB16/10000,6),Trigger)</f>
        <v>-9.0000000000000019E-5</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78">
        <v>12.4</v>
      </c>
      <c r="AC17" s="258">
        <f>_xll.qlSimpleQuoteSetValue(F17,ROUND(AB17/10000,6),Trigger)</f>
        <v>-7.9999999999999993E-5</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78">
        <v>12.1</v>
      </c>
      <c r="AC18" s="258">
        <f>_xll.qlSimpleQuoteSetValue(F18,ROUND(AB18/10000,6),Trigger)</f>
        <v>-6.0000000000000157E-5</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78">
        <v>11.7</v>
      </c>
      <c r="AC19" s="258">
        <f>_xll.qlSimpleQuoteSetValue(F19,ROUND(AB19/10000,6),Trigger)</f>
        <v>-4.9999999999999914E-5</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78">
        <v>11.3</v>
      </c>
      <c r="AC20" s="258">
        <f>_xll.qlSimpleQuoteSetValue(F20,ROUND(AB20/10000,6),Trigger)</f>
        <v>-4.0000000000000105E-5</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78">
        <v>10.934820884371806</v>
      </c>
      <c r="AC21" s="258">
        <f>_xll.qlSimpleQuoteSetValue(F21,ROUND(AB21/10000,6),Trigger)</f>
        <v>-2.8999999999999946E-5</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78">
        <v>10.603393916008477</v>
      </c>
      <c r="AC22" s="258">
        <f>_xll.qlSimpleQuoteSetValue(F22,ROUND(AB22/10000,6),Trigger)</f>
        <v>-1.9000000000000137E-5</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78">
        <v>10.3</v>
      </c>
      <c r="AC23" s="258">
        <f>_xll.qlSimpleQuoteSetValue(F23,ROUND(AB23/10000,6),Trigger)</f>
        <v>-9.9999999999998094E-6</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78">
        <v>10.019693178368922</v>
      </c>
      <c r="AC24" s="258">
        <f>_xll.qlSimpleQuoteSetValue(F24,ROUND(AB24/10000,6),Trigger)</f>
        <v>-3.9999999999998804E-6</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78">
        <v>9.7606200408680301</v>
      </c>
      <c r="AC25" s="258">
        <f>_xll.qlSimpleQuoteSetValue(F25,ROUND(AB25/10000,6),Trigger)</f>
        <v>-1.0000000000000243E-6</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78">
        <v>9.5217003141826773</v>
      </c>
      <c r="AC26" s="258">
        <f>_xll.qlSimpleQuoteSetValue(F26,ROUND(AB26/10000,6),Trigger)</f>
        <v>1.0000000000000243E-6</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78">
        <v>9.3018537249982174</v>
      </c>
      <c r="AC27" s="258">
        <f>_xll.qlSimpleQuoteSetValue(F27,ROUND(AB27/10000,6),Trigger)</f>
        <v>1.0000000000000243E-6</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78">
        <v>9.1</v>
      </c>
      <c r="AC28" s="258">
        <f>_xll.qlSimpleQuoteSetValue(F28,ROUND(AB28/10000,6),Trigger)</f>
        <v>0</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78">
        <v>8.9148763476990585</v>
      </c>
      <c r="AC29" s="258">
        <f>_xll.qlSimpleQuoteSetValue(F29,ROUND(AB29/10000,6),Trigger)</f>
        <v>-2.0000000000000486E-6</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78">
        <v>8.7444899039091517</v>
      </c>
      <c r="AC30" s="258">
        <f>_xll.qlSimpleQuoteSetValue(F30,ROUND(AB30/10000,6),Trigger)</f>
        <v>-3.9999999999999888E-6</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78">
        <v>8.5866652862697137</v>
      </c>
      <c r="AC31" s="258">
        <f>_xll.qlSimpleQuoteSetValue(F31,ROUND(AB31/10000,6),Trigger)</f>
        <v>-5.0000000000000131E-6</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78">
        <v>8.4392271124201841</v>
      </c>
      <c r="AC32" s="258">
        <f>_xll.qlSimpleQuoteSetValue(F32,ROUND(AB32/10000,6),Trigger)</f>
        <v>-7.9999999999999776E-6</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78">
        <v>8.3000000000000007</v>
      </c>
      <c r="AC33" s="258">
        <f>_xll.qlSimpleQuoteSetValue(F33,ROUND(AB33/10000,6),Trigger)</f>
        <v>-1.0000000000000026E-5</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78">
        <v>8.1672014308348437</v>
      </c>
      <c r="AC34" s="258">
        <f>_xll.qlSimpleQuoteSetValue(F34,ROUND(AB34/10000,6),Trigger)</f>
        <v>-1.1999999999999966E-5</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78">
        <v>8.0406203434953678</v>
      </c>
      <c r="AC35" s="258">
        <f>_xll.qlSimpleQuoteSetValue(F35,ROUND(AB35/10000,6),Trigger)</f>
        <v>-1.4999999999999931E-5</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78">
        <v>7.9204385407384699</v>
      </c>
      <c r="AC36" s="258">
        <f>_xll.qlSimpleQuoteSetValue(F36,ROUND(AB36/10000,6),Trigger)</f>
        <v>-1.7000000000000088E-5</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78">
        <v>7.8068378253210478</v>
      </c>
      <c r="AC37" s="258">
        <f>_xll.qlSimpleQuoteSetValue(F37,ROUND(AB37/10000,6),Trigger)</f>
        <v>-1.8000000000000004E-5</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78">
        <v>7.7</v>
      </c>
      <c r="AC38" s="258">
        <f>_xll.qlSimpleQuoteSetValue(F38,ROUND(AB38/10000,6),Trigger)</f>
        <v>-2.0000000000000052E-5</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78">
        <v>7.7</v>
      </c>
      <c r="AC39" s="258">
        <f>_xll.qlSimpleQuoteSetValue(F39,ROUND(AB39/10000,6),Trigger)</f>
        <v>-2.0000000000000052E-5</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78">
        <v>7.7</v>
      </c>
      <c r="AC40" s="258">
        <f>_xll.qlSimpleQuoteSetValue(F40,ROUND(AB40/10000,6),Trigger)</f>
        <v>-2.0000000000000052E-5</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78">
        <v>7.7</v>
      </c>
      <c r="AC41" s="258">
        <f>_xll.qlSimpleQuoteSetValue(F41,ROUND(AB41/10000,6),Trigger)</f>
        <v>-2.0000000000000052E-5</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79">
        <v>7.7</v>
      </c>
      <c r="AC42" s="250">
        <f>_xll.qlSimpleQuoteSetValue(F42,ROUND(AB42/10000,6),Trigger)</f>
        <v>-2.0000000000000052E-5</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2</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QuoteLive</f>
        <v>0.1</v>
      </c>
      <c r="P5" s="270">
        <f>_xll.qlSimpleQuoteSetValue(D5,O5/100,Trigger)</f>
        <v>-2.4999999999999996E-3</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4">
        <v>0.1</v>
      </c>
      <c r="P6" s="258">
        <f>_xll.qlSimpleQuoteSetValue(D6,O6/100,Trigger)</f>
        <v>-2.4999999999999996E-3</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4">
        <v>0.1</v>
      </c>
      <c r="P7" s="258">
        <f>_xll.qlSimpleQuoteSetValue(D7,O7/100,Trigger)</f>
        <v>-1.5E-3</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4">
        <v>0.11</v>
      </c>
      <c r="P8" s="258">
        <f>_xll.qlSimpleQuoteSetValue(D8,O8/100,Trigger)</f>
        <v>-1.4E-3</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4">
        <v>0.12</v>
      </c>
      <c r="P9" s="258">
        <f>_xll.qlSimpleQuoteSetValue(D9,O9/100,Trigger)</f>
        <v>-1.4E-3</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4">
        <v>0.13</v>
      </c>
      <c r="P10" s="258">
        <f>_xll.qlSimpleQuoteSetValue(D10,O10/100,Trigger)</f>
        <v>-1.2999999999999999E-3</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4">
        <v>0.14000000000000001</v>
      </c>
      <c r="P11" s="258">
        <f>_xll.qlSimpleQuoteSetValue(D11,O11/100,Trigger)</f>
        <v>-1.2999999999999999E-3</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4">
        <v>0.18</v>
      </c>
      <c r="P12" s="258">
        <f>_xll.qlSimpleQuoteSetValue(D12,O12/100,Trigger)</f>
        <v>-1.0000000000000005E-3</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4">
        <v>0.22</v>
      </c>
      <c r="P13" s="258">
        <f>_xll.qlSimpleQuoteSetValue(D13,O13/100,Trigger)</f>
        <v>-8.9999999999999976E-4</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4">
        <v>0.26</v>
      </c>
      <c r="P14" s="258">
        <f>_xll.qlSimpleQuoteSetValue(D14,O14/100,Trigger)</f>
        <v>-7.000000000000001E-4</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4">
        <v>0.3</v>
      </c>
      <c r="P15" s="258">
        <f>_xll.qlSimpleQuoteSetValue(D15,O15/100,Trigger)</f>
        <v>-5.9999999999999984E-4</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4">
        <v>0.34</v>
      </c>
      <c r="P16" s="258">
        <f>_xll.qlSimpleQuoteSetValue(D16,O16/100,Trigger)</f>
        <v>-5.9999999999999984E-4</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4">
        <v>0.37</v>
      </c>
      <c r="P17" s="258">
        <f>_xll.qlSimpleQuoteSetValue(D17,O17/100,Trigger)</f>
        <v>-4.9999999999999958E-4</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4">
        <v>0.41</v>
      </c>
      <c r="P18" s="258">
        <f>_xll.qlSimpleQuoteSetValue(D18,O18/100,Trigger)</f>
        <v>-5.0000000000000044E-4</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4">
        <v>0.44</v>
      </c>
      <c r="P19" s="258">
        <f>_xll.qlSimpleQuoteSetValue(D19,O19/100,Trigger)</f>
        <v>-4.9999999999999958E-4</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4">
        <v>0.47</v>
      </c>
      <c r="P20" s="258">
        <f>_xll.qlSimpleQuoteSetValue(D20,O20/100,Trigger)</f>
        <v>-4.0000000000000105E-4</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4">
        <v>0.5</v>
      </c>
      <c r="P21" s="258">
        <f>_xll.qlSimpleQuoteSetValue(D21,O21/100,Trigger)</f>
        <v>-2.9999999999999992E-4</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7">
        <v>0.53</v>
      </c>
      <c r="P22" s="250">
        <f>_xll.qlSimpleQuoteSetValue(D22,O22/100,Trigger)</f>
        <v>-3.9999999999999931E-4</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2</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6"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f t="array" ref="V5:V33">QuoteLive</f>
        <v>0.22500000000000001</v>
      </c>
      <c r="W5" s="270" t="e">
        <f>_xll.qlSimpleQuoteSetValue(E5,V5/100,Trigger)</f>
        <v>#N/A</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v>0.22500000000000001</v>
      </c>
      <c r="W6" s="250" t="e">
        <f>_xll.qlSimpleQuoteSetValue(E6,V6/100,Trigger)</f>
        <v>#N/A</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0.245</v>
      </c>
      <c r="W7" s="258">
        <f>_xll.qlSimpleQuoteSetValue(E7,V7/100,Trigger)</f>
        <v>-6.0999999999999987E-4</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0.26800000000000002</v>
      </c>
      <c r="W8" s="258">
        <f>_xll.qlSimpleQuoteSetValue(E8,V8/100,Trigger)</f>
        <v>-2.8999999999999989E-4</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0.29400000000000004</v>
      </c>
      <c r="W9" s="258">
        <f>_xll.qlSimpleQuoteSetValue(E9,V9/100,Trigger)</f>
        <v>4.3368086899420177E-19</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0.311</v>
      </c>
      <c r="W10" s="258">
        <f>_xll.qlSimpleQuoteSetValue(E10,V10/100,Trigger)</f>
        <v>1.9000000000000006E-4</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0.33199999999999996</v>
      </c>
      <c r="W11" s="258">
        <f>_xll.qlSimpleQuoteSetValue(E11,V11/100,Trigger)</f>
        <v>4.199999999999998E-4</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0.35199999999999998</v>
      </c>
      <c r="W12" s="258">
        <f>_xll.qlSimpleQuoteSetValue(E12,V12/100,Trigger)</f>
        <v>5.9999999999999984E-4</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v>0.34299999999999997</v>
      </c>
      <c r="W13" s="270" t="e">
        <f>_xll.qlSimpleQuoteSetValue(E13,V13/100,Trigger)</f>
        <v>#N/A</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v>0.34399999999999997</v>
      </c>
      <c r="W14" s="250" t="e">
        <f>_xll.qlSimpleQuoteSetValue(E14,V14/100,Trigger)</f>
        <v>#N/A</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0.372</v>
      </c>
      <c r="W15" s="258">
        <f>_xll.qlSimpleQuoteSetValue(E15,V15/100,Trigger)</f>
        <v>-3.0000000000000035E-4</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0.39600000000000002</v>
      </c>
      <c r="W16" s="258">
        <f>_xll.qlSimpleQuoteSetValue(E16,V16/100,Trigger)</f>
        <v>-4.0000000000000105E-5</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0.42800000000000005</v>
      </c>
      <c r="W17" s="258">
        <f>_xll.qlSimpleQuoteSetValue(E17,V17/100,Trigger)</f>
        <v>2.7000000000000027E-4</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0.45099999999999996</v>
      </c>
      <c r="W18" s="258">
        <f>_xll.qlSimpleQuoteSetValue(E18,V18/100,Trigger)</f>
        <v>4.7999999999999866E-4</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0.47699999999999998</v>
      </c>
      <c r="W19" s="258">
        <f>_xll.qlSimpleQuoteSetValue(E19,V19/100,Trigger)</f>
        <v>7.1999999999999929E-4</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0.5</v>
      </c>
      <c r="W20" s="258">
        <f>_xll.qlSimpleQuoteSetValue(E20,V20/100,Trigger)</f>
        <v>8.6000000000000052E-4</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0.52600000000000002</v>
      </c>
      <c r="W21" s="258">
        <f>_xll.qlSimpleQuoteSetValue(E21,V21/100,Trigger)</f>
        <v>1.0499999999999997E-3</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0.55000000000000004</v>
      </c>
      <c r="W22" s="258">
        <f>_xll.qlSimpleQuoteSetValue(E22,V22/100,Trigger)</f>
        <v>1.2000000000000005E-3</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0.57499999999999996</v>
      </c>
      <c r="W23" s="258">
        <f>_xll.qlSimpleQuoteSetValue(E23,V23/100,Trigger)</f>
        <v>1.32E-3</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0.59699999999999998</v>
      </c>
      <c r="W24" s="258">
        <f>_xll.qlSimpleQuoteSetValue(E24,V24/100,Trigger)</f>
        <v>1.3999999999999993E-3</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0.623</v>
      </c>
      <c r="W25" s="258">
        <f>_xll.qlSimpleQuoteSetValue(E25,V25/100,Trigger)</f>
        <v>1.530000000000001E-3</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0.64700000000000002</v>
      </c>
      <c r="W26" s="258">
        <f>_xll.qlSimpleQuoteSetValue(E26,V26/100,Trigger)</f>
        <v>1.5900000000000003E-3</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0.66700000000000004</v>
      </c>
      <c r="W27" s="258">
        <f>_xll.qlSimpleQuoteSetValue(E27,V27/100,Trigger)</f>
        <v>1.5900000000000003E-3</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0.69</v>
      </c>
      <c r="W28" s="258">
        <f>_xll.qlSimpleQuoteSetValue(E28,V28/100,Trigger)</f>
        <v>1.6499999999999996E-3</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0.71299999999999997</v>
      </c>
      <c r="W29" s="258">
        <f>_xll.qlSimpleQuoteSetValue(E29,V29/100,Trigger)</f>
        <v>1.64E-3</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0.73499999999999999</v>
      </c>
      <c r="W30" s="258">
        <f>_xll.qlSimpleQuoteSetValue(E30,V30/100,Trigger)</f>
        <v>1.6199999999999999E-3</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0.76100000000000001</v>
      </c>
      <c r="W31" s="258">
        <f>_xll.qlSimpleQuoteSetValue(E31,V31/100,Trigger)</f>
        <v>1.6300000000000004E-3</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0.78400000000000003</v>
      </c>
      <c r="W32" s="258">
        <f>_xll.qlSimpleQuoteSetValue(E32,V32/100,Trigger)</f>
        <v>1.5499999999999993E-3</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7">
        <v>0.86399999999999999</v>
      </c>
      <c r="W33" s="535">
        <f>_xll.qlSimpleQuoteSetValue(E35,V33/100,Trigger)</f>
        <v>1.8999999999999998E-3</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2</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80"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G4</v>
      </c>
      <c r="E6" s="143" t="str">
        <f t="shared" ref="E6:E37" si="0">Currency&amp;$D$4&amp;$E$4&amp;$D6&amp;QuoteSuffix</f>
        <v>EURFUT1MG4_Quote</v>
      </c>
      <c r="F6" s="148" t="str">
        <f>_xll.qlSimpleQuote(E6,,PriceTickValue,Permanent,Trigger,ObjectOverwrite)</f>
        <v>EURFUT1MG4_Quote#0000</v>
      </c>
      <c r="G6" s="147" t="str">
        <f>_xll.ohRangeRetrieveError(F6)</f>
        <v/>
      </c>
      <c r="H6" s="141"/>
      <c r="J6" s="323"/>
      <c r="K6" s="336">
        <v>1</v>
      </c>
      <c r="L6" s="335" t="b">
        <v>0</v>
      </c>
      <c r="M6" s="271" t="str">
        <f t="array" ref="M6:M17">_xll.qlIMMcode(FuturesDates)</f>
        <v>G4</v>
      </c>
      <c r="N6" s="334">
        <f t="array" ref="N6:N17">_xll.qlIMMNextDates(_xll.qlSettingsEvaluationDate(Trigger)-1,$L6:$L17)</f>
        <v>41689</v>
      </c>
      <c r="O6" s="271" t="str">
        <f t="array" ref="O6:O17">VLOOKUP(Currency,LiffeCodes,2)&amp;FuturesCodes</f>
        <v>G4</v>
      </c>
      <c r="P6" s="333" t="s">
        <v>244</v>
      </c>
      <c r="Q6" s="271" t="s">
        <v>244</v>
      </c>
      <c r="R6" s="271" t="s">
        <v>244</v>
      </c>
      <c r="S6" s="271" t="s">
        <v>244</v>
      </c>
      <c r="T6" s="271" t="s">
        <v>244</v>
      </c>
      <c r="U6" s="274" t="e">
        <f>_xll.qlMidSafe($Q6,$R6)</f>
        <v>#NUM!</v>
      </c>
      <c r="V6" s="253"/>
      <c r="W6" s="332" t="e">
        <v>#NUM!</v>
      </c>
      <c r="X6" s="253"/>
      <c r="Y6" s="331" t="e">
        <f t="array" ref="Y6:Y17">QuoteLive</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H4</v>
      </c>
      <c r="E7" s="143" t="str">
        <f t="shared" si="0"/>
        <v>EURFUT1MH4_Quote</v>
      </c>
      <c r="F7" s="142" t="str">
        <f>_xll.qlSimpleQuote(E7,,PriceTickValue,Permanent,Trigger,ObjectOverwrite)</f>
        <v>EURFUT1MH4_Quote#0000</v>
      </c>
      <c r="G7" s="105" t="str">
        <f>_xll.ohRangeRetrieveError(F7)</f>
        <v/>
      </c>
      <c r="H7" s="141"/>
      <c r="J7" s="323"/>
      <c r="K7" s="329">
        <v>2</v>
      </c>
      <c r="L7" s="328" t="b">
        <v>0</v>
      </c>
      <c r="M7" s="259" t="str">
        <v>H4</v>
      </c>
      <c r="N7" s="327">
        <v>41717</v>
      </c>
      <c r="O7" s="259" t="str">
        <v>H4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J4</v>
      </c>
      <c r="E8" s="143" t="str">
        <f t="shared" si="0"/>
        <v>EURFUT1MJ4_Quote</v>
      </c>
      <c r="F8" s="142" t="str">
        <f>_xll.qlSimpleQuote(E8,,PriceTickValue,Permanent,Trigger,ObjectOverwrite)</f>
        <v>EURFUT1MJ4_Quote#0000</v>
      </c>
      <c r="G8" s="105" t="str">
        <f>_xll.ohRangeRetrieveError(F8)</f>
        <v/>
      </c>
      <c r="H8" s="141"/>
      <c r="J8" s="323"/>
      <c r="K8" s="329">
        <v>3</v>
      </c>
      <c r="L8" s="328" t="b">
        <v>0</v>
      </c>
      <c r="M8" s="259" t="str">
        <v>J4</v>
      </c>
      <c r="N8" s="327">
        <v>41745</v>
      </c>
      <c r="O8" s="259" t="str">
        <v>J4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K4</v>
      </c>
      <c r="E9" s="143" t="str">
        <f t="shared" si="0"/>
        <v>EURFUT1MK4_Quote</v>
      </c>
      <c r="F9" s="142" t="str">
        <f>_xll.qlSimpleQuote(E9,,PriceTickValue,Permanent,Trigger,ObjectOverwrite)</f>
        <v>EURFUT1MK4_Quote#0000</v>
      </c>
      <c r="G9" s="105" t="str">
        <f>_xll.ohRangeRetrieveError(F9)</f>
        <v/>
      </c>
      <c r="H9" s="141"/>
      <c r="J9" s="323"/>
      <c r="K9" s="329">
        <v>4</v>
      </c>
      <c r="L9" s="328" t="b">
        <v>0</v>
      </c>
      <c r="M9" s="259" t="str">
        <v>K4</v>
      </c>
      <c r="N9" s="327">
        <v>41780</v>
      </c>
      <c r="O9" s="259" t="str">
        <v>K4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M4</v>
      </c>
      <c r="E10" s="143" t="str">
        <f t="shared" si="0"/>
        <v>EURFUT1MM4_Quote</v>
      </c>
      <c r="F10" s="142" t="str">
        <f>_xll.qlSimpleQuote(E10,,PriceTickValue,Permanent,Trigger,ObjectOverwrite)</f>
        <v>EURFUT1MM4_Quote#0000</v>
      </c>
      <c r="G10" s="105" t="str">
        <f>_xll.ohRangeRetrieveError(F10)</f>
        <v/>
      </c>
      <c r="H10" s="141"/>
      <c r="J10" s="323"/>
      <c r="K10" s="329">
        <v>5</v>
      </c>
      <c r="L10" s="328" t="b">
        <v>0</v>
      </c>
      <c r="M10" s="259" t="str">
        <v>M4</v>
      </c>
      <c r="N10" s="327">
        <v>41808</v>
      </c>
      <c r="O10" s="259" t="str">
        <v>M4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N4</v>
      </c>
      <c r="E11" s="143" t="str">
        <f t="shared" si="0"/>
        <v>EURFUT1MN4_Quote</v>
      </c>
      <c r="F11" s="142" t="str">
        <f>_xll.qlSimpleQuote(E11,,PriceTickValue,Permanent,Trigger,ObjectOverwrite)</f>
        <v>EURFUT1MN4_Quote#0000</v>
      </c>
      <c r="G11" s="105" t="str">
        <f>_xll.ohRangeRetrieveError(F11)</f>
        <v/>
      </c>
      <c r="H11" s="141"/>
      <c r="J11" s="323"/>
      <c r="K11" s="329">
        <v>6</v>
      </c>
      <c r="L11" s="328" t="b">
        <v>0</v>
      </c>
      <c r="M11" s="259" t="str">
        <v>N4</v>
      </c>
      <c r="N11" s="327">
        <v>41836</v>
      </c>
      <c r="O11" s="259" t="str">
        <v>N4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Q4</v>
      </c>
      <c r="E12" s="143" t="str">
        <f t="shared" si="0"/>
        <v>EURFUT1MQ4_Quote</v>
      </c>
      <c r="F12" s="142" t="str">
        <f>_xll.qlSimpleQuote(E12,,PriceTickValue,Permanent,Trigger,ObjectOverwrite)</f>
        <v>EURFUT1MQ4_Quote#0000</v>
      </c>
      <c r="G12" s="105" t="str">
        <f>_xll.ohRangeRetrieveError(F12)</f>
        <v/>
      </c>
      <c r="H12" s="141"/>
      <c r="J12" s="323"/>
      <c r="K12" s="329">
        <v>7</v>
      </c>
      <c r="L12" s="328" t="b">
        <v>0</v>
      </c>
      <c r="M12" s="259" t="str">
        <v>Q4</v>
      </c>
      <c r="N12" s="327">
        <v>41871</v>
      </c>
      <c r="O12" s="259" t="str">
        <v>Q4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U4</v>
      </c>
      <c r="E13" s="143" t="str">
        <f t="shared" si="0"/>
        <v>EURFUT1MU4_Quote</v>
      </c>
      <c r="F13" s="142" t="str">
        <f>_xll.qlSimpleQuote(E13,,PriceTickValue,Permanent,Trigger,ObjectOverwrite)</f>
        <v>EURFUT1MU4_Quote#0000</v>
      </c>
      <c r="G13" s="105" t="str">
        <f>_xll.ohRangeRetrieveError(F13)</f>
        <v/>
      </c>
      <c r="H13" s="141"/>
      <c r="J13" s="323"/>
      <c r="K13" s="329">
        <v>8</v>
      </c>
      <c r="L13" s="328" t="b">
        <v>0</v>
      </c>
      <c r="M13" s="259" t="str">
        <v>U4</v>
      </c>
      <c r="N13" s="327">
        <v>41899</v>
      </c>
      <c r="O13" s="259" t="str">
        <v>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V4</v>
      </c>
      <c r="E14" s="143" t="str">
        <f t="shared" si="0"/>
        <v>EURFUT1MV4_Quote</v>
      </c>
      <c r="F14" s="142" t="str">
        <f>_xll.qlSimpleQuote(E14,,PriceTickValue,Permanent,Trigger,ObjectOverwrite)</f>
        <v>EURFUT1MV4_Quote#0000</v>
      </c>
      <c r="G14" s="105" t="str">
        <f>_xll.ohRangeRetrieveError(F14)</f>
        <v/>
      </c>
      <c r="H14" s="141"/>
      <c r="J14" s="323"/>
      <c r="K14" s="329">
        <v>9</v>
      </c>
      <c r="L14" s="328" t="b">
        <v>0</v>
      </c>
      <c r="M14" s="259" t="str">
        <v>V4</v>
      </c>
      <c r="N14" s="327">
        <v>41927</v>
      </c>
      <c r="O14" s="259" t="str">
        <v>V4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X4</v>
      </c>
      <c r="E15" s="143" t="str">
        <f t="shared" si="0"/>
        <v>EURFUT1MX4_Quote</v>
      </c>
      <c r="F15" s="142" t="str">
        <f>_xll.qlSimpleQuote(E15,,PriceTickValue,Permanent,Trigger,ObjectOverwrite)</f>
        <v>EURFUT1MX4_Quote#0000</v>
      </c>
      <c r="G15" s="105" t="str">
        <f>_xll.ohRangeRetrieveError(F15)</f>
        <v/>
      </c>
      <c r="H15" s="141"/>
      <c r="J15" s="323"/>
      <c r="K15" s="329">
        <v>10</v>
      </c>
      <c r="L15" s="328" t="b">
        <v>0</v>
      </c>
      <c r="M15" s="259" t="str">
        <v>X4</v>
      </c>
      <c r="N15" s="327">
        <v>41962</v>
      </c>
      <c r="O15" s="259" t="str">
        <v>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Z4</v>
      </c>
      <c r="E16" s="143" t="str">
        <f t="shared" si="0"/>
        <v>EURFUT1MZ4_Quote</v>
      </c>
      <c r="F16" s="142" t="str">
        <f>_xll.qlSimpleQuote(E16,,PriceTickValue,Permanent,Trigger,ObjectOverwrite)</f>
        <v>EURFUT1MZ4_Quote#0000</v>
      </c>
      <c r="G16" s="105" t="str">
        <f>_xll.ohRangeRetrieveError(F16)</f>
        <v/>
      </c>
      <c r="H16" s="141"/>
      <c r="J16" s="323"/>
      <c r="K16" s="329">
        <v>11</v>
      </c>
      <c r="L16" s="328" t="b">
        <v>0</v>
      </c>
      <c r="M16" s="259" t="str">
        <v>Z4</v>
      </c>
      <c r="N16" s="327">
        <v>41990</v>
      </c>
      <c r="O16" s="259" t="str">
        <v>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F5</v>
      </c>
      <c r="E17" s="143" t="str">
        <f t="shared" si="0"/>
        <v>EURFUT1MF5_Quote</v>
      </c>
      <c r="F17" s="142" t="str">
        <f>_xll.qlSimpleQuote(E17,,PriceTickValue,Permanent,Trigger,ObjectOverwrite)</f>
        <v>EURFUT1MF5_Quote#0000</v>
      </c>
      <c r="G17" s="105" t="str">
        <f>_xll.ohRangeRetrieveError(F17)</f>
        <v/>
      </c>
      <c r="H17" s="141"/>
      <c r="J17" s="323"/>
      <c r="K17" s="322">
        <v>12</v>
      </c>
      <c r="L17" s="321" t="b">
        <v>0</v>
      </c>
      <c r="M17" s="251" t="str">
        <v>F5</v>
      </c>
      <c r="N17" s="320">
        <v>42025</v>
      </c>
      <c r="O17" s="251" t="str">
        <v>F5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G5</v>
      </c>
      <c r="E18" s="143" t="str">
        <f t="shared" si="0"/>
        <v>EURFUT1MG5_Quote</v>
      </c>
      <c r="F18" s="142" t="str">
        <f>_xll.qlSimpleQuote(E18,,PriceTickValue,Permanent,Trigger,ObjectOverwrite)</f>
        <v>EURFUT1MG5_Quote#0000</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H5</v>
      </c>
      <c r="E19" s="143" t="str">
        <f t="shared" si="0"/>
        <v>EURFUT1MH5_Quote</v>
      </c>
      <c r="F19" s="142" t="str">
        <f>_xll.qlSimpleQuote(E19,,PriceTickValue,Permanent,Trigger,ObjectOverwrite)</f>
        <v>EURFUT1MH5_Quote#0000</v>
      </c>
      <c r="G19" s="105" t="str">
        <f>_xll.ohRangeRetrieveError(F19)</f>
        <v/>
      </c>
      <c r="H19" s="141"/>
    </row>
    <row r="20" spans="1:32" x14ac:dyDescent="0.2">
      <c r="A20" s="146"/>
      <c r="B20" s="107">
        <v>15</v>
      </c>
      <c r="C20" s="145" t="b">
        <v>0</v>
      </c>
      <c r="D20" s="144" t="str">
        <v>J5</v>
      </c>
      <c r="E20" s="143" t="str">
        <f t="shared" si="0"/>
        <v>EURFUT1MJ5_Quote</v>
      </c>
      <c r="F20" s="142" t="str">
        <f>_xll.qlSimpleQuote(E20,,PriceTickValue,Permanent,Trigger,ObjectOverwrite)</f>
        <v>EURFUT1MJ5_Quote#0000</v>
      </c>
      <c r="G20" s="105" t="str">
        <f>_xll.ohRangeRetrieveError(F20)</f>
        <v/>
      </c>
      <c r="H20" s="141"/>
    </row>
    <row r="21" spans="1:32" x14ac:dyDescent="0.2">
      <c r="A21" s="146"/>
      <c r="B21" s="107">
        <v>16</v>
      </c>
      <c r="C21" s="145" t="b">
        <v>0</v>
      </c>
      <c r="D21" s="144" t="str">
        <v>K5</v>
      </c>
      <c r="E21" s="143" t="str">
        <f t="shared" si="0"/>
        <v>EURFUT1MK5_Quote</v>
      </c>
      <c r="F21" s="142" t="str">
        <f>_xll.qlSimpleQuote(E21,,PriceTickValue,Permanent,Trigger,ObjectOverwrite)</f>
        <v>EURFUT1MK5_Quote#0000</v>
      </c>
      <c r="G21" s="105" t="str">
        <f>_xll.ohRangeRetrieveError(F21)</f>
        <v/>
      </c>
      <c r="H21" s="141"/>
    </row>
    <row r="22" spans="1:32" x14ac:dyDescent="0.2">
      <c r="A22" s="146"/>
      <c r="B22" s="107">
        <v>17</v>
      </c>
      <c r="C22" s="145" t="b">
        <v>0</v>
      </c>
      <c r="D22" s="144" t="str">
        <v>M5</v>
      </c>
      <c r="E22" s="143" t="str">
        <f t="shared" si="0"/>
        <v>EURFUT1MM5_Quote</v>
      </c>
      <c r="F22" s="142" t="str">
        <f>_xll.qlSimpleQuote(E22,,PriceTickValue,Permanent,Trigger,ObjectOverwrite)</f>
        <v>EURFUT1MM5_Quote#0000</v>
      </c>
      <c r="G22" s="105" t="str">
        <f>_xll.ohRangeRetrieveError(F22)</f>
        <v/>
      </c>
      <c r="H22" s="141"/>
    </row>
    <row r="23" spans="1:32" x14ac:dyDescent="0.2">
      <c r="A23" s="146"/>
      <c r="B23" s="107">
        <v>18</v>
      </c>
      <c r="C23" s="145" t="b">
        <v>0</v>
      </c>
      <c r="D23" s="144" t="str">
        <v>N5</v>
      </c>
      <c r="E23" s="143" t="str">
        <f t="shared" si="0"/>
        <v>EURFUT1MN5_Quote</v>
      </c>
      <c r="F23" s="142" t="str">
        <f>_xll.qlSimpleQuote(E23,,PriceTickValue,Permanent,Trigger,ObjectOverwrite)</f>
        <v>EURFUT1MN5_Quote#0000</v>
      </c>
      <c r="G23" s="105" t="str">
        <f>_xll.ohRangeRetrieveError(F23)</f>
        <v/>
      </c>
      <c r="H23" s="141"/>
    </row>
    <row r="24" spans="1:32" x14ac:dyDescent="0.2">
      <c r="A24" s="146"/>
      <c r="B24" s="107">
        <v>19</v>
      </c>
      <c r="C24" s="145" t="b">
        <v>0</v>
      </c>
      <c r="D24" s="144" t="str">
        <v>Q5</v>
      </c>
      <c r="E24" s="143" t="str">
        <f t="shared" si="0"/>
        <v>EURFUT1MQ5_Quote</v>
      </c>
      <c r="F24" s="142" t="str">
        <f>_xll.qlSimpleQuote(E24,,PriceTickValue,Permanent,Trigger,ObjectOverwrite)</f>
        <v>EURFUT1MQ5_Quote#0000</v>
      </c>
      <c r="G24" s="105" t="str">
        <f>_xll.ohRangeRetrieveError(F24)</f>
        <v/>
      </c>
      <c r="H24" s="141"/>
    </row>
    <row r="25" spans="1:32" x14ac:dyDescent="0.2">
      <c r="A25" s="146"/>
      <c r="B25" s="107">
        <v>20</v>
      </c>
      <c r="C25" s="145" t="b">
        <v>0</v>
      </c>
      <c r="D25" s="144" t="str">
        <v>U5</v>
      </c>
      <c r="E25" s="143" t="str">
        <f t="shared" si="0"/>
        <v>EURFUT1MU5_Quote</v>
      </c>
      <c r="F25" s="142" t="str">
        <f>_xll.qlSimpleQuote(E25,,PriceTickValue,Permanent,Trigger,ObjectOverwrite)</f>
        <v>EURFUT1MU5_Quote#0000</v>
      </c>
      <c r="G25" s="105" t="str">
        <f>_xll.ohRangeRetrieveError(F25)</f>
        <v/>
      </c>
      <c r="H25" s="141"/>
    </row>
    <row r="26" spans="1:32" x14ac:dyDescent="0.2">
      <c r="A26" s="146"/>
      <c r="B26" s="107">
        <v>21</v>
      </c>
      <c r="C26" s="145" t="b">
        <v>0</v>
      </c>
      <c r="D26" s="144" t="str">
        <v>V5</v>
      </c>
      <c r="E26" s="143" t="str">
        <f t="shared" si="0"/>
        <v>EURFUT1MV5_Quote</v>
      </c>
      <c r="F26" s="142" t="str">
        <f>_xll.qlSimpleQuote(E26,,PriceTickValue,Permanent,Trigger,ObjectOverwrite)</f>
        <v>EURFUT1MV5_Quote#0000</v>
      </c>
      <c r="G26" s="105" t="str">
        <f>_xll.ohRangeRetrieveError(F26)</f>
        <v/>
      </c>
      <c r="H26" s="141"/>
    </row>
    <row r="27" spans="1:32" x14ac:dyDescent="0.2">
      <c r="A27" s="146"/>
      <c r="B27" s="107">
        <v>22</v>
      </c>
      <c r="C27" s="145" t="b">
        <v>0</v>
      </c>
      <c r="D27" s="144" t="str">
        <v>X5</v>
      </c>
      <c r="E27" s="143" t="str">
        <f t="shared" si="0"/>
        <v>EURFUT1MX5_Quote</v>
      </c>
      <c r="F27" s="142" t="str">
        <f>_xll.qlSimpleQuote(E27,,PriceTickValue,Permanent,Trigger,ObjectOverwrite)</f>
        <v>EURFUT1MX5_Quote#0000</v>
      </c>
      <c r="G27" s="105" t="str">
        <f>_xll.ohRangeRetrieveError(F27)</f>
        <v/>
      </c>
      <c r="H27" s="141"/>
    </row>
    <row r="28" spans="1:32" x14ac:dyDescent="0.2">
      <c r="A28" s="146"/>
      <c r="B28" s="107">
        <v>23</v>
      </c>
      <c r="C28" s="145" t="b">
        <v>0</v>
      </c>
      <c r="D28" s="144" t="str">
        <v>Z5</v>
      </c>
      <c r="E28" s="143" t="str">
        <f t="shared" si="0"/>
        <v>EURFUT1MZ5_Quote</v>
      </c>
      <c r="F28" s="142" t="str">
        <f>_xll.qlSimpleQuote(E28,,PriceTickValue,Permanent,Trigger,ObjectOverwrite)</f>
        <v>EURFUT1MZ5_Quote#0000</v>
      </c>
      <c r="G28" s="105" t="str">
        <f>_xll.ohRangeRetrieveError(F28)</f>
        <v/>
      </c>
      <c r="H28" s="141"/>
    </row>
    <row r="29" spans="1:32" x14ac:dyDescent="0.2">
      <c r="A29" s="146"/>
      <c r="B29" s="107">
        <v>24</v>
      </c>
      <c r="C29" s="145" t="b">
        <v>0</v>
      </c>
      <c r="D29" s="144" t="str">
        <v>F6</v>
      </c>
      <c r="E29" s="143" t="str">
        <f t="shared" si="0"/>
        <v>EURFUT1MF6_Quote</v>
      </c>
      <c r="F29" s="142" t="str">
        <f>_xll.qlSimpleQuote(E29,,PriceTickValue,Permanent,Trigger,ObjectOverwrite)</f>
        <v>EURFUT1MF6_Quote#0000</v>
      </c>
      <c r="G29" s="105" t="str">
        <f>_xll.ohRangeRetrieveError(F29)</f>
        <v/>
      </c>
      <c r="H29" s="141"/>
    </row>
    <row r="30" spans="1:32" x14ac:dyDescent="0.2">
      <c r="A30" s="146"/>
      <c r="B30" s="107">
        <v>25</v>
      </c>
      <c r="C30" s="145" t="b">
        <v>0</v>
      </c>
      <c r="D30" s="144" t="str">
        <v>G6</v>
      </c>
      <c r="E30" s="143" t="str">
        <f t="shared" si="0"/>
        <v>EURFUT1MG6_Quote</v>
      </c>
      <c r="F30" s="142" t="str">
        <f>_xll.qlSimpleQuote(E30,,PriceTickValue,Permanent,Trigger,ObjectOverwrite)</f>
        <v>EURFUT1MG6_Quote#0000</v>
      </c>
      <c r="G30" s="105" t="str">
        <f>_xll.ohRangeRetrieveError(F30)</f>
        <v/>
      </c>
      <c r="H30" s="141"/>
    </row>
    <row r="31" spans="1:32" x14ac:dyDescent="0.2">
      <c r="A31" s="146"/>
      <c r="B31" s="107">
        <v>26</v>
      </c>
      <c r="C31" s="145" t="b">
        <v>0</v>
      </c>
      <c r="D31" s="144" t="str">
        <v>H6</v>
      </c>
      <c r="E31" s="143" t="str">
        <f t="shared" si="0"/>
        <v>EURFUT1MH6_Quote</v>
      </c>
      <c r="F31" s="142" t="str">
        <f>_xll.qlSimpleQuote(E31,,PriceTickValue,Permanent,Trigger,ObjectOverwrite)</f>
        <v>EURFUT1MH6_Quote#0000</v>
      </c>
      <c r="G31" s="105" t="str">
        <f>_xll.ohRangeRetrieveError(F31)</f>
        <v/>
      </c>
      <c r="H31" s="141"/>
    </row>
    <row r="32" spans="1:32" x14ac:dyDescent="0.2">
      <c r="A32" s="146"/>
      <c r="B32" s="107">
        <v>27</v>
      </c>
      <c r="C32" s="145" t="b">
        <v>0</v>
      </c>
      <c r="D32" s="144" t="str">
        <v>J6</v>
      </c>
      <c r="E32" s="143" t="str">
        <f t="shared" si="0"/>
        <v>EURFUT1MJ6_Quote</v>
      </c>
      <c r="F32" s="142" t="str">
        <f>_xll.qlSimpleQuote(E32,,PriceTickValue,Permanent,Trigger,ObjectOverwrite)</f>
        <v>EURFUT1MJ6_Quote#0000</v>
      </c>
      <c r="G32" s="105" t="str">
        <f>_xll.ohRangeRetrieveError(F32)</f>
        <v/>
      </c>
      <c r="H32" s="141"/>
    </row>
    <row r="33" spans="1:8" x14ac:dyDescent="0.2">
      <c r="A33" s="146"/>
      <c r="B33" s="107">
        <v>28</v>
      </c>
      <c r="C33" s="145" t="b">
        <v>0</v>
      </c>
      <c r="D33" s="144" t="str">
        <v>K6</v>
      </c>
      <c r="E33" s="143" t="str">
        <f t="shared" si="0"/>
        <v>EURFUT1MK6_Quote</v>
      </c>
      <c r="F33" s="142" t="str">
        <f>_xll.qlSimpleQuote(E33,,PriceTickValue,Permanent,Trigger,ObjectOverwrite)</f>
        <v>EURFUT1MK6_Quote#0000</v>
      </c>
      <c r="G33" s="105" t="str">
        <f>_xll.ohRangeRetrieveError(F33)</f>
        <v/>
      </c>
      <c r="H33" s="141"/>
    </row>
    <row r="34" spans="1:8" x14ac:dyDescent="0.2">
      <c r="A34" s="146"/>
      <c r="B34" s="107">
        <v>29</v>
      </c>
      <c r="C34" s="145" t="b">
        <v>0</v>
      </c>
      <c r="D34" s="144" t="str">
        <v>M6</v>
      </c>
      <c r="E34" s="143" t="str">
        <f t="shared" si="0"/>
        <v>EURFUT1MM6_Quote</v>
      </c>
      <c r="F34" s="142" t="str">
        <f>_xll.qlSimpleQuote(E34,,PriceTickValue,Permanent,Trigger,ObjectOverwrite)</f>
        <v>EURFUT1MM6_Quote#0000</v>
      </c>
      <c r="G34" s="105" t="str">
        <f>_xll.ohRangeRetrieveError(F34)</f>
        <v/>
      </c>
      <c r="H34" s="141"/>
    </row>
    <row r="35" spans="1:8" x14ac:dyDescent="0.2">
      <c r="A35" s="146"/>
      <c r="B35" s="107">
        <v>30</v>
      </c>
      <c r="C35" s="145" t="b">
        <v>0</v>
      </c>
      <c r="D35" s="144" t="str">
        <v>N6</v>
      </c>
      <c r="E35" s="143" t="str">
        <f t="shared" si="0"/>
        <v>EURFUT1MN6_Quote</v>
      </c>
      <c r="F35" s="142" t="str">
        <f>_xll.qlSimpleQuote(E35,,PriceTickValue,Permanent,Trigger,ObjectOverwrite)</f>
        <v>EURFUT1MN6_Quote#0000</v>
      </c>
      <c r="G35" s="105" t="str">
        <f>_xll.ohRangeRetrieveError(F35)</f>
        <v/>
      </c>
      <c r="H35" s="141"/>
    </row>
    <row r="36" spans="1:8" x14ac:dyDescent="0.2">
      <c r="A36" s="146"/>
      <c r="B36" s="107">
        <v>31</v>
      </c>
      <c r="C36" s="145" t="b">
        <v>0</v>
      </c>
      <c r="D36" s="144" t="str">
        <v>Q6</v>
      </c>
      <c r="E36" s="143" t="str">
        <f t="shared" si="0"/>
        <v>EURFUT1MQ6_Quote</v>
      </c>
      <c r="F36" s="142" t="str">
        <f>_xll.qlSimpleQuote(E36,,PriceTickValue,Permanent,Trigger,ObjectOverwrite)</f>
        <v>EURFUT1MQ6_Quote#0000</v>
      </c>
      <c r="G36" s="105" t="str">
        <f>_xll.ohRangeRetrieveError(F36)</f>
        <v/>
      </c>
      <c r="H36" s="141"/>
    </row>
    <row r="37" spans="1:8" x14ac:dyDescent="0.2">
      <c r="A37" s="146"/>
      <c r="B37" s="107">
        <v>32</v>
      </c>
      <c r="C37" s="145" t="b">
        <v>0</v>
      </c>
      <c r="D37" s="144" t="str">
        <v>U6</v>
      </c>
      <c r="E37" s="143" t="str">
        <f t="shared" si="0"/>
        <v>EURFUT1MU6_Quote</v>
      </c>
      <c r="F37" s="142" t="str">
        <f>_xll.qlSimpleQuote(E37,,PriceTickValue,Permanent,Trigger,ObjectOverwrite)</f>
        <v>EURFUT1MU6_Quote#0000</v>
      </c>
      <c r="G37" s="105" t="str">
        <f>_xll.ohRangeRetrieveError(F37)</f>
        <v/>
      </c>
      <c r="H37" s="141"/>
    </row>
    <row r="38" spans="1:8" x14ac:dyDescent="0.2">
      <c r="A38" s="146"/>
      <c r="B38" s="107">
        <v>33</v>
      </c>
      <c r="C38" s="145" t="b">
        <v>0</v>
      </c>
      <c r="D38" s="144" t="str">
        <v>V6</v>
      </c>
      <c r="E38" s="143" t="str">
        <f t="shared" ref="E38:E69" si="2">Currency&amp;$D$4&amp;$E$4&amp;$D38&amp;QuoteSuffix</f>
        <v>EURFUT1MV6_Quote</v>
      </c>
      <c r="F38" s="142" t="str">
        <f>_xll.qlSimpleQuote(E38,,PriceTickValue,Permanent,Trigger,ObjectOverwrite)</f>
        <v>EURFUT1MV6_Quote#0000</v>
      </c>
      <c r="G38" s="105" t="str">
        <f>_xll.ohRangeRetrieveError(F38)</f>
        <v/>
      </c>
      <c r="H38" s="141"/>
    </row>
    <row r="39" spans="1:8" x14ac:dyDescent="0.2">
      <c r="A39" s="146"/>
      <c r="B39" s="107">
        <v>34</v>
      </c>
      <c r="C39" s="145" t="b">
        <v>0</v>
      </c>
      <c r="D39" s="144" t="str">
        <v>X6</v>
      </c>
      <c r="E39" s="143" t="str">
        <f t="shared" si="2"/>
        <v>EURFUT1MX6_Quote</v>
      </c>
      <c r="F39" s="142" t="str">
        <f>_xll.qlSimpleQuote(E39,,PriceTickValue,Permanent,Trigger,ObjectOverwrite)</f>
        <v>EURFUT1MX6_Quote#0000</v>
      </c>
      <c r="G39" s="105" t="str">
        <f>_xll.ohRangeRetrieveError(F39)</f>
        <v/>
      </c>
      <c r="H39" s="141"/>
    </row>
    <row r="40" spans="1:8" x14ac:dyDescent="0.2">
      <c r="A40" s="146"/>
      <c r="B40" s="107">
        <v>35</v>
      </c>
      <c r="C40" s="145" t="b">
        <v>0</v>
      </c>
      <c r="D40" s="144" t="str">
        <v>Z6</v>
      </c>
      <c r="E40" s="143" t="str">
        <f t="shared" si="2"/>
        <v>EURFUT1MZ6_Quote</v>
      </c>
      <c r="F40" s="142" t="str">
        <f>_xll.qlSimpleQuote(E40,,PriceTickValue,Permanent,Trigger,ObjectOverwrite)</f>
        <v>EURFUT1MZ6_Quote#0000</v>
      </c>
      <c r="G40" s="105" t="str">
        <f>_xll.ohRangeRetrieveError(F40)</f>
        <v/>
      </c>
      <c r="H40" s="141"/>
    </row>
    <row r="41" spans="1:8" x14ac:dyDescent="0.2">
      <c r="A41" s="146"/>
      <c r="B41" s="107">
        <v>36</v>
      </c>
      <c r="C41" s="145" t="b">
        <v>0</v>
      </c>
      <c r="D41" s="144" t="str">
        <v>F7</v>
      </c>
      <c r="E41" s="143" t="str">
        <f t="shared" si="2"/>
        <v>EURFUT1MF7_Quote</v>
      </c>
      <c r="F41" s="142" t="str">
        <f>_xll.qlSimpleQuote(E41,,PriceTickValue,Permanent,Trigger,ObjectOverwrite)</f>
        <v>EURFUT1MF7_Quote#0000</v>
      </c>
      <c r="G41" s="105" t="str">
        <f>_xll.ohRangeRetrieveError(F41)</f>
        <v/>
      </c>
      <c r="H41" s="141"/>
    </row>
    <row r="42" spans="1:8" x14ac:dyDescent="0.2">
      <c r="A42" s="146"/>
      <c r="B42" s="107">
        <v>37</v>
      </c>
      <c r="C42" s="145" t="b">
        <v>0</v>
      </c>
      <c r="D42" s="144" t="str">
        <v>G7</v>
      </c>
      <c r="E42" s="143" t="str">
        <f t="shared" si="2"/>
        <v>EURFUT1MG7_Quote</v>
      </c>
      <c r="F42" s="142" t="str">
        <f>_xll.qlSimpleQuote(E42,,PriceTickValue,Permanent,Trigger,ObjectOverwrite)</f>
        <v>EURFUT1MG7_Quote#0000</v>
      </c>
      <c r="G42" s="105" t="str">
        <f>_xll.ohRangeRetrieveError(F42)</f>
        <v/>
      </c>
      <c r="H42" s="141"/>
    </row>
    <row r="43" spans="1:8" x14ac:dyDescent="0.2">
      <c r="A43" s="146"/>
      <c r="B43" s="107">
        <v>38</v>
      </c>
      <c r="C43" s="145" t="b">
        <v>0</v>
      </c>
      <c r="D43" s="144" t="str">
        <v>H7</v>
      </c>
      <c r="E43" s="143" t="str">
        <f t="shared" si="2"/>
        <v>EURFUT1MH7_Quote</v>
      </c>
      <c r="F43" s="142" t="str">
        <f>_xll.qlSimpleQuote(E43,,PriceTickValue,Permanent,Trigger,ObjectOverwrite)</f>
        <v>EURFUT1MH7_Quote#0000</v>
      </c>
      <c r="G43" s="105" t="str">
        <f>_xll.ohRangeRetrieveError(F43)</f>
        <v/>
      </c>
      <c r="H43" s="141"/>
    </row>
    <row r="44" spans="1:8" x14ac:dyDescent="0.2">
      <c r="A44" s="146"/>
      <c r="B44" s="107">
        <v>39</v>
      </c>
      <c r="C44" s="145" t="b">
        <v>0</v>
      </c>
      <c r="D44" s="144" t="str">
        <v>J7</v>
      </c>
      <c r="E44" s="143" t="str">
        <f t="shared" si="2"/>
        <v>EURFUT1MJ7_Quote</v>
      </c>
      <c r="F44" s="142" t="str">
        <f>_xll.qlSimpleQuote(E44,,PriceTickValue,Permanent,Trigger,ObjectOverwrite)</f>
        <v>EURFUT1MJ7_Quote#0000</v>
      </c>
      <c r="G44" s="105" t="str">
        <f>_xll.ohRangeRetrieveError(F44)</f>
        <v/>
      </c>
      <c r="H44" s="141"/>
    </row>
    <row r="45" spans="1:8" x14ac:dyDescent="0.2">
      <c r="A45" s="146"/>
      <c r="B45" s="107">
        <v>40</v>
      </c>
      <c r="C45" s="145" t="b">
        <v>0</v>
      </c>
      <c r="D45" s="144" t="str">
        <v>K7</v>
      </c>
      <c r="E45" s="143" t="str">
        <f t="shared" si="2"/>
        <v>EURFUT1MK7_Quote</v>
      </c>
      <c r="F45" s="142" t="str">
        <f>_xll.qlSimpleQuote(E45,,PriceTickValue,Permanent,Trigger,ObjectOverwrite)</f>
        <v>EURFUT1MK7_Quote#0000</v>
      </c>
      <c r="G45" s="105" t="str">
        <f>_xll.ohRangeRetrieveError(F45)</f>
        <v/>
      </c>
      <c r="H45" s="141"/>
    </row>
    <row r="46" spans="1:8" x14ac:dyDescent="0.2">
      <c r="A46" s="146"/>
      <c r="B46" s="107">
        <v>41</v>
      </c>
      <c r="C46" s="145" t="b">
        <v>0</v>
      </c>
      <c r="D46" s="144" t="str">
        <v>M7</v>
      </c>
      <c r="E46" s="143" t="str">
        <f t="shared" si="2"/>
        <v>EURFUT1MM7_Quote</v>
      </c>
      <c r="F46" s="142" t="str">
        <f>_xll.qlSimpleQuote(E46,,PriceTickValue,Permanent,Trigger,ObjectOverwrite)</f>
        <v>EURFUT1MM7_Quote#0000</v>
      </c>
      <c r="G46" s="105" t="str">
        <f>_xll.ohRangeRetrieveError(F46)</f>
        <v/>
      </c>
      <c r="H46" s="141"/>
    </row>
    <row r="47" spans="1:8" x14ac:dyDescent="0.2">
      <c r="A47" s="146"/>
      <c r="B47" s="107">
        <v>42</v>
      </c>
      <c r="C47" s="145" t="b">
        <v>0</v>
      </c>
      <c r="D47" s="144" t="str">
        <v>N7</v>
      </c>
      <c r="E47" s="143" t="str">
        <f t="shared" si="2"/>
        <v>EURFUT1MN7_Quote</v>
      </c>
      <c r="F47" s="142" t="str">
        <f>_xll.qlSimpleQuote(E47,,PriceTickValue,Permanent,Trigger,ObjectOverwrite)</f>
        <v>EURFUT1MN7_Quote#0000</v>
      </c>
      <c r="G47" s="105" t="str">
        <f>_xll.ohRangeRetrieveError(F47)</f>
        <v/>
      </c>
      <c r="H47" s="141"/>
    </row>
    <row r="48" spans="1:8" x14ac:dyDescent="0.2">
      <c r="A48" s="146"/>
      <c r="B48" s="107">
        <v>43</v>
      </c>
      <c r="C48" s="145" t="b">
        <v>0</v>
      </c>
      <c r="D48" s="144" t="str">
        <v>Q7</v>
      </c>
      <c r="E48" s="143" t="str">
        <f t="shared" si="2"/>
        <v>EURFUT1MQ7_Quote</v>
      </c>
      <c r="F48" s="142" t="str">
        <f>_xll.qlSimpleQuote(E48,,PriceTickValue,Permanent,Trigger,ObjectOverwrite)</f>
        <v>EURFUT1MQ7_Quote#0000</v>
      </c>
      <c r="G48" s="105" t="str">
        <f>_xll.ohRangeRetrieveError(F48)</f>
        <v/>
      </c>
      <c r="H48" s="141"/>
    </row>
    <row r="49" spans="1:8" x14ac:dyDescent="0.2">
      <c r="A49" s="146"/>
      <c r="B49" s="107">
        <v>44</v>
      </c>
      <c r="C49" s="145" t="b">
        <v>0</v>
      </c>
      <c r="D49" s="144" t="str">
        <v>U7</v>
      </c>
      <c r="E49" s="143" t="str">
        <f t="shared" si="2"/>
        <v>EURFUT1MU7_Quote</v>
      </c>
      <c r="F49" s="142" t="str">
        <f>_xll.qlSimpleQuote(E49,,PriceTickValue,Permanent,Trigger,ObjectOverwrite)</f>
        <v>EURFUT1MU7_Quote#0000</v>
      </c>
      <c r="G49" s="105" t="str">
        <f>_xll.ohRangeRetrieveError(F49)</f>
        <v/>
      </c>
      <c r="H49" s="141"/>
    </row>
    <row r="50" spans="1:8" x14ac:dyDescent="0.2">
      <c r="A50" s="146"/>
      <c r="B50" s="107">
        <v>45</v>
      </c>
      <c r="C50" s="145" t="b">
        <v>0</v>
      </c>
      <c r="D50" s="144" t="str">
        <v>V7</v>
      </c>
      <c r="E50" s="143" t="str">
        <f t="shared" si="2"/>
        <v>EURFUT1MV7_Quote</v>
      </c>
      <c r="F50" s="142" t="str">
        <f>_xll.qlSimpleQuote(E50,,PriceTickValue,Permanent,Trigger,ObjectOverwrite)</f>
        <v>EURFUT1MV7_Quote#0000</v>
      </c>
      <c r="G50" s="105" t="str">
        <f>_xll.ohRangeRetrieveError(F50)</f>
        <v/>
      </c>
      <c r="H50" s="141"/>
    </row>
    <row r="51" spans="1:8" x14ac:dyDescent="0.2">
      <c r="A51" s="146"/>
      <c r="B51" s="107">
        <v>46</v>
      </c>
      <c r="C51" s="145" t="b">
        <v>0</v>
      </c>
      <c r="D51" s="144" t="str">
        <v>X7</v>
      </c>
      <c r="E51" s="143" t="str">
        <f t="shared" si="2"/>
        <v>EURFUT1MX7_Quote</v>
      </c>
      <c r="F51" s="142" t="str">
        <f>_xll.qlSimpleQuote(E51,,PriceTickValue,Permanent,Trigger,ObjectOverwrite)</f>
        <v>EURFUT1MX7_Quote#0000</v>
      </c>
      <c r="G51" s="105" t="str">
        <f>_xll.ohRangeRetrieveError(F51)</f>
        <v/>
      </c>
      <c r="H51" s="141"/>
    </row>
    <row r="52" spans="1:8" x14ac:dyDescent="0.2">
      <c r="A52" s="146"/>
      <c r="B52" s="107">
        <v>47</v>
      </c>
      <c r="C52" s="145" t="b">
        <v>0</v>
      </c>
      <c r="D52" s="144" t="str">
        <v>Z7</v>
      </c>
      <c r="E52" s="143" t="str">
        <f t="shared" si="2"/>
        <v>EURFUT1MZ7_Quote</v>
      </c>
      <c r="F52" s="142" t="str">
        <f>_xll.qlSimpleQuote(E52,,PriceTickValue,Permanent,Trigger,ObjectOverwrite)</f>
        <v>EURFUT1MZ7_Quote#0000</v>
      </c>
      <c r="G52" s="105" t="str">
        <f>_xll.ohRangeRetrieveError(F52)</f>
        <v/>
      </c>
      <c r="H52" s="141"/>
    </row>
    <row r="53" spans="1:8" x14ac:dyDescent="0.2">
      <c r="A53" s="146"/>
      <c r="B53" s="107">
        <v>48</v>
      </c>
      <c r="C53" s="145" t="b">
        <v>0</v>
      </c>
      <c r="D53" s="144" t="str">
        <v>F8</v>
      </c>
      <c r="E53" s="143" t="str">
        <f t="shared" si="2"/>
        <v>EURFUT1MF8_Quote</v>
      </c>
      <c r="F53" s="142" t="str">
        <f>_xll.qlSimpleQuote(E53,,PriceTickValue,Permanent,Trigger,ObjectOverwrite)</f>
        <v>EURFUT1MF8_Quote#0000</v>
      </c>
      <c r="G53" s="105" t="str">
        <f>_xll.ohRangeRetrieveError(F53)</f>
        <v/>
      </c>
      <c r="H53" s="141"/>
    </row>
    <row r="54" spans="1:8" x14ac:dyDescent="0.2">
      <c r="A54" s="146"/>
      <c r="B54" s="107">
        <v>49</v>
      </c>
      <c r="C54" s="145" t="b">
        <v>0</v>
      </c>
      <c r="D54" s="144" t="str">
        <v>G8</v>
      </c>
      <c r="E54" s="143" t="str">
        <f t="shared" si="2"/>
        <v>EURFUT1MG8_Quote</v>
      </c>
      <c r="F54" s="142" t="str">
        <f>_xll.qlSimpleQuote(E54,,PriceTickValue,Permanent,Trigger,ObjectOverwrite)</f>
        <v>EURFUT1MG8_Quote#0000</v>
      </c>
      <c r="G54" s="105" t="str">
        <f>_xll.ohRangeRetrieveError(F54)</f>
        <v/>
      </c>
      <c r="H54" s="141"/>
    </row>
    <row r="55" spans="1:8" x14ac:dyDescent="0.2">
      <c r="A55" s="146"/>
      <c r="B55" s="107">
        <v>50</v>
      </c>
      <c r="C55" s="145" t="b">
        <v>0</v>
      </c>
      <c r="D55" s="144" t="str">
        <v>H8</v>
      </c>
      <c r="E55" s="143" t="str">
        <f t="shared" si="2"/>
        <v>EURFUT1MH8_Quote</v>
      </c>
      <c r="F55" s="142" t="str">
        <f>_xll.qlSimpleQuote(E55,,PriceTickValue,Permanent,Trigger,ObjectOverwrite)</f>
        <v>EURFUT1MH8_Quote#0000</v>
      </c>
      <c r="G55" s="105" t="str">
        <f>_xll.ohRangeRetrieveError(F55)</f>
        <v/>
      </c>
      <c r="H55" s="141"/>
    </row>
    <row r="56" spans="1:8" x14ac:dyDescent="0.2">
      <c r="A56" s="146"/>
      <c r="B56" s="107">
        <v>51</v>
      </c>
      <c r="C56" s="145" t="b">
        <v>0</v>
      </c>
      <c r="D56" s="144" t="str">
        <v>J8</v>
      </c>
      <c r="E56" s="143" t="str">
        <f t="shared" si="2"/>
        <v>EURFUT1MJ8_Quote</v>
      </c>
      <c r="F56" s="142" t="str">
        <f>_xll.qlSimpleQuote(E56,,PriceTickValue,Permanent,Trigger,ObjectOverwrite)</f>
        <v>EURFUT1MJ8_Quote#0000</v>
      </c>
      <c r="G56" s="105" t="str">
        <f>_xll.ohRangeRetrieveError(F56)</f>
        <v/>
      </c>
      <c r="H56" s="141"/>
    </row>
    <row r="57" spans="1:8" x14ac:dyDescent="0.2">
      <c r="A57" s="146"/>
      <c r="B57" s="107">
        <v>52</v>
      </c>
      <c r="C57" s="145" t="b">
        <v>0</v>
      </c>
      <c r="D57" s="144" t="str">
        <v>K8</v>
      </c>
      <c r="E57" s="143" t="str">
        <f t="shared" si="2"/>
        <v>EURFUT1MK8_Quote</v>
      </c>
      <c r="F57" s="142" t="str">
        <f>_xll.qlSimpleQuote(E57,,PriceTickValue,Permanent,Trigger,ObjectOverwrite)</f>
        <v>EURFUT1MK8_Quote#0000</v>
      </c>
      <c r="G57" s="105" t="str">
        <f>_xll.ohRangeRetrieveError(F57)</f>
        <v/>
      </c>
      <c r="H57" s="141"/>
    </row>
    <row r="58" spans="1:8" x14ac:dyDescent="0.2">
      <c r="A58" s="146"/>
      <c r="B58" s="107">
        <v>53</v>
      </c>
      <c r="C58" s="145" t="b">
        <v>0</v>
      </c>
      <c r="D58" s="144" t="str">
        <v>M8</v>
      </c>
      <c r="E58" s="143" t="str">
        <f t="shared" si="2"/>
        <v>EURFUT1MM8_Quote</v>
      </c>
      <c r="F58" s="142" t="str">
        <f>_xll.qlSimpleQuote(E58,,PriceTickValue,Permanent,Trigger,ObjectOverwrite)</f>
        <v>EURFUT1MM8_Quote#0000</v>
      </c>
      <c r="G58" s="105" t="str">
        <f>_xll.ohRangeRetrieveError(F58)</f>
        <v/>
      </c>
      <c r="H58" s="141"/>
    </row>
    <row r="59" spans="1:8" x14ac:dyDescent="0.2">
      <c r="A59" s="146"/>
      <c r="B59" s="107">
        <v>54</v>
      </c>
      <c r="C59" s="145" t="b">
        <v>0</v>
      </c>
      <c r="D59" s="144" t="str">
        <v>N8</v>
      </c>
      <c r="E59" s="143" t="str">
        <f t="shared" si="2"/>
        <v>EURFUT1MN8_Quote</v>
      </c>
      <c r="F59" s="142" t="str">
        <f>_xll.qlSimpleQuote(E59,,PriceTickValue,Permanent,Trigger,ObjectOverwrite)</f>
        <v>EURFUT1MN8_Quote#0000</v>
      </c>
      <c r="G59" s="105" t="str">
        <f>_xll.ohRangeRetrieveError(F59)</f>
        <v/>
      </c>
      <c r="H59" s="141"/>
    </row>
    <row r="60" spans="1:8" x14ac:dyDescent="0.2">
      <c r="A60" s="146"/>
      <c r="B60" s="107">
        <v>55</v>
      </c>
      <c r="C60" s="145" t="b">
        <v>0</v>
      </c>
      <c r="D60" s="144" t="str">
        <v>Q8</v>
      </c>
      <c r="E60" s="143" t="str">
        <f t="shared" si="2"/>
        <v>EURFUT1MQ8_Quote</v>
      </c>
      <c r="F60" s="142" t="str">
        <f>_xll.qlSimpleQuote(E60,,PriceTickValue,Permanent,Trigger,ObjectOverwrite)</f>
        <v>EURFUT1MQ8_Quote#0000</v>
      </c>
      <c r="G60" s="105" t="str">
        <f>_xll.ohRangeRetrieveError(F60)</f>
        <v/>
      </c>
      <c r="H60" s="141"/>
    </row>
    <row r="61" spans="1:8" x14ac:dyDescent="0.2">
      <c r="A61" s="146"/>
      <c r="B61" s="107">
        <v>56</v>
      </c>
      <c r="C61" s="145" t="b">
        <v>0</v>
      </c>
      <c r="D61" s="144" t="str">
        <v>U8</v>
      </c>
      <c r="E61" s="143" t="str">
        <f t="shared" si="2"/>
        <v>EURFUT1MU8_Quote</v>
      </c>
      <c r="F61" s="142" t="str">
        <f>_xll.qlSimpleQuote(E61,,PriceTickValue,Permanent,Trigger,ObjectOverwrite)</f>
        <v>EURFUT1MU8_Quote#0000</v>
      </c>
      <c r="G61" s="105" t="str">
        <f>_xll.ohRangeRetrieveError(F61)</f>
        <v/>
      </c>
      <c r="H61" s="141"/>
    </row>
    <row r="62" spans="1:8" x14ac:dyDescent="0.2">
      <c r="A62" s="146"/>
      <c r="B62" s="107">
        <v>57</v>
      </c>
      <c r="C62" s="145" t="b">
        <v>0</v>
      </c>
      <c r="D62" s="144" t="str">
        <v>V8</v>
      </c>
      <c r="E62" s="143" t="str">
        <f t="shared" si="2"/>
        <v>EURFUT1MV8_Quote</v>
      </c>
      <c r="F62" s="142" t="str">
        <f>_xll.qlSimpleQuote(E62,,PriceTickValue,Permanent,Trigger,ObjectOverwrite)</f>
        <v>EURFUT1MV8_Quote#0000</v>
      </c>
      <c r="G62" s="105" t="str">
        <f>_xll.ohRangeRetrieveError(F62)</f>
        <v/>
      </c>
      <c r="H62" s="141"/>
    </row>
    <row r="63" spans="1:8" x14ac:dyDescent="0.2">
      <c r="A63" s="146"/>
      <c r="B63" s="107">
        <v>58</v>
      </c>
      <c r="C63" s="145" t="b">
        <v>0</v>
      </c>
      <c r="D63" s="144" t="str">
        <v>X8</v>
      </c>
      <c r="E63" s="143" t="str">
        <f t="shared" si="2"/>
        <v>EURFUT1MX8_Quote</v>
      </c>
      <c r="F63" s="142" t="str">
        <f>_xll.qlSimpleQuote(E63,,PriceTickValue,Permanent,Trigger,ObjectOverwrite)</f>
        <v>EURFUT1MX8_Quote#0000</v>
      </c>
      <c r="G63" s="105" t="str">
        <f>_xll.ohRangeRetrieveError(F63)</f>
        <v/>
      </c>
      <c r="H63" s="141"/>
    </row>
    <row r="64" spans="1:8" x14ac:dyDescent="0.2">
      <c r="A64" s="146"/>
      <c r="B64" s="107">
        <v>59</v>
      </c>
      <c r="C64" s="145" t="b">
        <v>0</v>
      </c>
      <c r="D64" s="144" t="str">
        <v>Z8</v>
      </c>
      <c r="E64" s="143" t="str">
        <f t="shared" si="2"/>
        <v>EURFUT1MZ8_Quote</v>
      </c>
      <c r="F64" s="142" t="str">
        <f>_xll.qlSimpleQuote(E64,,PriceTickValue,Permanent,Trigger,ObjectOverwrite)</f>
        <v>EURFUT1MZ8_Quote#0000</v>
      </c>
      <c r="G64" s="105" t="str">
        <f>_xll.ohRangeRetrieveError(F64)</f>
        <v/>
      </c>
      <c r="H64" s="141"/>
    </row>
    <row r="65" spans="1:8" x14ac:dyDescent="0.2">
      <c r="A65" s="146"/>
      <c r="B65" s="107">
        <v>60</v>
      </c>
      <c r="C65" s="145" t="b">
        <v>0</v>
      </c>
      <c r="D65" s="144" t="str">
        <v>F9</v>
      </c>
      <c r="E65" s="143" t="str">
        <f t="shared" si="2"/>
        <v>EURFUT1MF9_Quote</v>
      </c>
      <c r="F65" s="142" t="str">
        <f>_xll.qlSimpleQuote(E65,,PriceTickValue,Permanent,Trigger,ObjectOverwrite)</f>
        <v>EURFUT1MF9_Quote#0000</v>
      </c>
      <c r="G65" s="105" t="str">
        <f>_xll.ohRangeRetrieveError(F65)</f>
        <v/>
      </c>
      <c r="H65" s="141"/>
    </row>
    <row r="66" spans="1:8" x14ac:dyDescent="0.2">
      <c r="A66" s="146"/>
      <c r="B66" s="107">
        <v>61</v>
      </c>
      <c r="C66" s="145" t="b">
        <v>0</v>
      </c>
      <c r="D66" s="144" t="str">
        <v>G9</v>
      </c>
      <c r="E66" s="143" t="str">
        <f t="shared" si="2"/>
        <v>EURFUT1MG9_Quote</v>
      </c>
      <c r="F66" s="142" t="str">
        <f>_xll.qlSimpleQuote(E66,,PriceTickValue,Permanent,Trigger,ObjectOverwrite)</f>
        <v>EURFUT1MG9_Quote#0000</v>
      </c>
      <c r="G66" s="105" t="str">
        <f>_xll.ohRangeRetrieveError(F66)</f>
        <v/>
      </c>
      <c r="H66" s="141"/>
    </row>
    <row r="67" spans="1:8" x14ac:dyDescent="0.2">
      <c r="A67" s="146"/>
      <c r="B67" s="107">
        <v>62</v>
      </c>
      <c r="C67" s="145" t="b">
        <v>0</v>
      </c>
      <c r="D67" s="144" t="str">
        <v>H9</v>
      </c>
      <c r="E67" s="143" t="str">
        <f t="shared" si="2"/>
        <v>EURFUT1MH9_Quote</v>
      </c>
      <c r="F67" s="142" t="str">
        <f>_xll.qlSimpleQuote(E67,,PriceTickValue,Permanent,Trigger,ObjectOverwrite)</f>
        <v>EURFUT1MH9_Quote#0000</v>
      </c>
      <c r="G67" s="105" t="str">
        <f>_xll.ohRangeRetrieveError(F67)</f>
        <v/>
      </c>
      <c r="H67" s="141"/>
    </row>
    <row r="68" spans="1:8" x14ac:dyDescent="0.2">
      <c r="A68" s="146"/>
      <c r="B68" s="107">
        <v>63</v>
      </c>
      <c r="C68" s="145" t="b">
        <v>0</v>
      </c>
      <c r="D68" s="144" t="str">
        <v>J9</v>
      </c>
      <c r="E68" s="143" t="str">
        <f t="shared" si="2"/>
        <v>EURFUT1MJ9_Quote</v>
      </c>
      <c r="F68" s="142" t="str">
        <f>_xll.qlSimpleQuote(E68,,PriceTickValue,Permanent,Trigger,ObjectOverwrite)</f>
        <v>EURFUT1MJ9_Quote#0000</v>
      </c>
      <c r="G68" s="105" t="str">
        <f>_xll.ohRangeRetrieveError(F68)</f>
        <v/>
      </c>
      <c r="H68" s="141"/>
    </row>
    <row r="69" spans="1:8" x14ac:dyDescent="0.2">
      <c r="A69" s="146"/>
      <c r="B69" s="107">
        <v>64</v>
      </c>
      <c r="C69" s="145" t="b">
        <v>0</v>
      </c>
      <c r="D69" s="144" t="str">
        <v>K9</v>
      </c>
      <c r="E69" s="143" t="str">
        <f t="shared" si="2"/>
        <v>EURFUT1MK9_Quote</v>
      </c>
      <c r="F69" s="142" t="str">
        <f>_xll.qlSimpleQuote(E69,,PriceTickValue,Permanent,Trigger,ObjectOverwrite)</f>
        <v>EURFUT1MK9_Quote#0000</v>
      </c>
      <c r="G69" s="105" t="str">
        <f>_xll.ohRangeRetrieveError(F69)</f>
        <v/>
      </c>
      <c r="H69" s="141"/>
    </row>
    <row r="70" spans="1:8" x14ac:dyDescent="0.2">
      <c r="A70" s="146"/>
      <c r="B70" s="107">
        <v>65</v>
      </c>
      <c r="C70" s="145" t="b">
        <v>0</v>
      </c>
      <c r="D70" s="144" t="str">
        <v>M9</v>
      </c>
      <c r="E70" s="143" t="str">
        <f t="shared" ref="E70:E101" si="3">Currency&amp;$D$4&amp;$E$4&amp;$D70&amp;QuoteSuffix</f>
        <v>EURFUT1MM9_Quote</v>
      </c>
      <c r="F70" s="142" t="str">
        <f>_xll.qlSimpleQuote(E70,,PriceTickValue,Permanent,Trigger,ObjectOverwrite)</f>
        <v>EURFUT1MM9_Quote#0000</v>
      </c>
      <c r="G70" s="105" t="str">
        <f>_xll.ohRangeRetrieveError(F70)</f>
        <v/>
      </c>
      <c r="H70" s="141"/>
    </row>
    <row r="71" spans="1:8" x14ac:dyDescent="0.2">
      <c r="A71" s="146"/>
      <c r="B71" s="107">
        <v>66</v>
      </c>
      <c r="C71" s="145" t="b">
        <v>0</v>
      </c>
      <c r="D71" s="144" t="str">
        <v>N9</v>
      </c>
      <c r="E71" s="143" t="str">
        <f t="shared" si="3"/>
        <v>EURFUT1MN9_Quote</v>
      </c>
      <c r="F71" s="142" t="str">
        <f>_xll.qlSimpleQuote(E71,,PriceTickValue,Permanent,Trigger,ObjectOverwrite)</f>
        <v>EURFUT1MN9_Quote#0000</v>
      </c>
      <c r="G71" s="105" t="str">
        <f>_xll.ohRangeRetrieveError(F71)</f>
        <v/>
      </c>
      <c r="H71" s="141"/>
    </row>
    <row r="72" spans="1:8" x14ac:dyDescent="0.2">
      <c r="A72" s="146"/>
      <c r="B72" s="107">
        <v>67</v>
      </c>
      <c r="C72" s="145" t="b">
        <v>0</v>
      </c>
      <c r="D72" s="144" t="str">
        <v>Q9</v>
      </c>
      <c r="E72" s="143" t="str">
        <f t="shared" si="3"/>
        <v>EURFUT1MQ9_Quote</v>
      </c>
      <c r="F72" s="142" t="str">
        <f>_xll.qlSimpleQuote(E72,,PriceTickValue,Permanent,Trigger,ObjectOverwrite)</f>
        <v>EURFUT1MQ9_Quote#0000</v>
      </c>
      <c r="G72" s="105" t="str">
        <f>_xll.ohRangeRetrieveError(F72)</f>
        <v/>
      </c>
      <c r="H72" s="141"/>
    </row>
    <row r="73" spans="1:8" x14ac:dyDescent="0.2">
      <c r="A73" s="146"/>
      <c r="B73" s="107">
        <v>68</v>
      </c>
      <c r="C73" s="145" t="b">
        <v>0</v>
      </c>
      <c r="D73" s="144" t="str">
        <v>U9</v>
      </c>
      <c r="E73" s="143" t="str">
        <f t="shared" si="3"/>
        <v>EURFUT1MU9_Quote</v>
      </c>
      <c r="F73" s="142" t="str">
        <f>_xll.qlSimpleQuote(E73,,PriceTickValue,Permanent,Trigger,ObjectOverwrite)</f>
        <v>EURFUT1MU9_Quote#0000</v>
      </c>
      <c r="G73" s="105" t="str">
        <f>_xll.ohRangeRetrieveError(F73)</f>
        <v/>
      </c>
      <c r="H73" s="141"/>
    </row>
    <row r="74" spans="1:8" x14ac:dyDescent="0.2">
      <c r="A74" s="146"/>
      <c r="B74" s="107">
        <v>69</v>
      </c>
      <c r="C74" s="145" t="b">
        <v>0</v>
      </c>
      <c r="D74" s="144" t="str">
        <v>V9</v>
      </c>
      <c r="E74" s="143" t="str">
        <f t="shared" si="3"/>
        <v>EURFUT1MV9_Quote</v>
      </c>
      <c r="F74" s="142" t="str">
        <f>_xll.qlSimpleQuote(E74,,PriceTickValue,Permanent,Trigger,ObjectOverwrite)</f>
        <v>EURFUT1MV9_Quote#0000</v>
      </c>
      <c r="G74" s="105" t="str">
        <f>_xll.ohRangeRetrieveError(F74)</f>
        <v/>
      </c>
      <c r="H74" s="141"/>
    </row>
    <row r="75" spans="1:8" x14ac:dyDescent="0.2">
      <c r="A75" s="146"/>
      <c r="B75" s="107">
        <v>70</v>
      </c>
      <c r="C75" s="145" t="b">
        <v>0</v>
      </c>
      <c r="D75" s="144" t="str">
        <v>X9</v>
      </c>
      <c r="E75" s="143" t="str">
        <f t="shared" si="3"/>
        <v>EURFUT1MX9_Quote</v>
      </c>
      <c r="F75" s="142" t="str">
        <f>_xll.qlSimpleQuote(E75,,PriceTickValue,Permanent,Trigger,ObjectOverwrite)</f>
        <v>EURFUT1MX9_Quote#0000</v>
      </c>
      <c r="G75" s="105" t="str">
        <f>_xll.ohRangeRetrieveError(F75)</f>
        <v/>
      </c>
      <c r="H75" s="141"/>
    </row>
    <row r="76" spans="1:8" x14ac:dyDescent="0.2">
      <c r="A76" s="146"/>
      <c r="B76" s="107">
        <v>71</v>
      </c>
      <c r="C76" s="145" t="b">
        <v>0</v>
      </c>
      <c r="D76" s="144" t="str">
        <v>Z9</v>
      </c>
      <c r="E76" s="143" t="str">
        <f t="shared" si="3"/>
        <v>EURFUT1MZ9_Quote</v>
      </c>
      <c r="F76" s="142" t="str">
        <f>_xll.qlSimpleQuote(E76,,PriceTickValue,Permanent,Trigger,ObjectOverwrite)</f>
        <v>EURFUT1MZ9_Quote#0000</v>
      </c>
      <c r="G76" s="105" t="str">
        <f>_xll.ohRangeRetrieveError(F76)</f>
        <v/>
      </c>
      <c r="H76" s="141"/>
    </row>
    <row r="77" spans="1:8" x14ac:dyDescent="0.2">
      <c r="A77" s="146"/>
      <c r="B77" s="107">
        <v>72</v>
      </c>
      <c r="C77" s="145" t="b">
        <v>0</v>
      </c>
      <c r="D77" s="144" t="str">
        <v>F0</v>
      </c>
      <c r="E77" s="143" t="str">
        <f t="shared" si="3"/>
        <v>EURFUT1MF0_Quote</v>
      </c>
      <c r="F77" s="142" t="str">
        <f>_xll.qlSimpleQuote(E77,,PriceTickValue,Permanent,Trigger,ObjectOverwrite)</f>
        <v>EURFUT1MF0_Quote#0000</v>
      </c>
      <c r="G77" s="105" t="str">
        <f>_xll.ohRangeRetrieveError(F77)</f>
        <v/>
      </c>
      <c r="H77" s="141"/>
    </row>
    <row r="78" spans="1:8" x14ac:dyDescent="0.2">
      <c r="A78" s="146"/>
      <c r="B78" s="107">
        <v>73</v>
      </c>
      <c r="C78" s="145" t="b">
        <v>0</v>
      </c>
      <c r="D78" s="144" t="str">
        <v>G0</v>
      </c>
      <c r="E78" s="143" t="str">
        <f t="shared" si="3"/>
        <v>EURFUT1MG0_Quote</v>
      </c>
      <c r="F78" s="142" t="str">
        <f>_xll.qlSimpleQuote(E78,,PriceTickValue,Permanent,Trigger,ObjectOverwrite)</f>
        <v>EURFUT1MG0_Quote#0000</v>
      </c>
      <c r="G78" s="105" t="str">
        <f>_xll.ohRangeRetrieveError(F78)</f>
        <v/>
      </c>
      <c r="H78" s="141"/>
    </row>
    <row r="79" spans="1:8" x14ac:dyDescent="0.2">
      <c r="A79" s="146"/>
      <c r="B79" s="107">
        <v>74</v>
      </c>
      <c r="C79" s="145" t="b">
        <v>0</v>
      </c>
      <c r="D79" s="144" t="str">
        <v>H0</v>
      </c>
      <c r="E79" s="143" t="str">
        <f t="shared" si="3"/>
        <v>EURFUT1MH0_Quote</v>
      </c>
      <c r="F79" s="142" t="str">
        <f>_xll.qlSimpleQuote(E79,,PriceTickValue,Permanent,Trigger,ObjectOverwrite)</f>
        <v>EURFUT1MH0_Quote#0000</v>
      </c>
      <c r="G79" s="105" t="str">
        <f>_xll.ohRangeRetrieveError(F79)</f>
        <v/>
      </c>
      <c r="H79" s="141"/>
    </row>
    <row r="80" spans="1:8" x14ac:dyDescent="0.2">
      <c r="A80" s="146"/>
      <c r="B80" s="107">
        <v>75</v>
      </c>
      <c r="C80" s="145" t="b">
        <v>0</v>
      </c>
      <c r="D80" s="144" t="str">
        <v>J0</v>
      </c>
      <c r="E80" s="143" t="str">
        <f t="shared" si="3"/>
        <v>EURFUT1MJ0_Quote</v>
      </c>
      <c r="F80" s="142" t="str">
        <f>_xll.qlSimpleQuote(E80,,PriceTickValue,Permanent,Trigger,ObjectOverwrite)</f>
        <v>EURFUT1MJ0_Quote#0000</v>
      </c>
      <c r="G80" s="105" t="str">
        <f>_xll.ohRangeRetrieveError(F80)</f>
        <v/>
      </c>
      <c r="H80" s="141"/>
    </row>
    <row r="81" spans="1:8" x14ac:dyDescent="0.2">
      <c r="A81" s="146"/>
      <c r="B81" s="107">
        <v>76</v>
      </c>
      <c r="C81" s="145" t="b">
        <v>0</v>
      </c>
      <c r="D81" s="144" t="str">
        <v>K0</v>
      </c>
      <c r="E81" s="143" t="str">
        <f t="shared" si="3"/>
        <v>EURFUT1MK0_Quote</v>
      </c>
      <c r="F81" s="142" t="str">
        <f>_xll.qlSimpleQuote(E81,,PriceTickValue,Permanent,Trigger,ObjectOverwrite)</f>
        <v>EURFUT1MK0_Quote#0000</v>
      </c>
      <c r="G81" s="105" t="str">
        <f>_xll.ohRangeRetrieveError(F81)</f>
        <v/>
      </c>
      <c r="H81" s="141"/>
    </row>
    <row r="82" spans="1:8" x14ac:dyDescent="0.2">
      <c r="A82" s="146"/>
      <c r="B82" s="107">
        <v>77</v>
      </c>
      <c r="C82" s="145" t="b">
        <v>0</v>
      </c>
      <c r="D82" s="144" t="str">
        <v>M0</v>
      </c>
      <c r="E82" s="143" t="str">
        <f t="shared" si="3"/>
        <v>EURFUT1MM0_Quote</v>
      </c>
      <c r="F82" s="142" t="str">
        <f>_xll.qlSimpleQuote(E82,,PriceTickValue,Permanent,Trigger,ObjectOverwrite)</f>
        <v>EURFUT1MM0_Quote#0000</v>
      </c>
      <c r="G82" s="105" t="str">
        <f>_xll.ohRangeRetrieveError(F82)</f>
        <v/>
      </c>
      <c r="H82" s="141"/>
    </row>
    <row r="83" spans="1:8" x14ac:dyDescent="0.2">
      <c r="A83" s="146"/>
      <c r="B83" s="107">
        <v>78</v>
      </c>
      <c r="C83" s="145" t="b">
        <v>0</v>
      </c>
      <c r="D83" s="144" t="str">
        <v>N0</v>
      </c>
      <c r="E83" s="143" t="str">
        <f t="shared" si="3"/>
        <v>EURFUT1MN0_Quote</v>
      </c>
      <c r="F83" s="142" t="str">
        <f>_xll.qlSimpleQuote(E83,,PriceTickValue,Permanent,Trigger,ObjectOverwrite)</f>
        <v>EURFUT1MN0_Quote#0000</v>
      </c>
      <c r="G83" s="105" t="str">
        <f>_xll.ohRangeRetrieveError(F83)</f>
        <v/>
      </c>
      <c r="H83" s="141"/>
    </row>
    <row r="84" spans="1:8" x14ac:dyDescent="0.2">
      <c r="A84" s="146"/>
      <c r="B84" s="107">
        <v>79</v>
      </c>
      <c r="C84" s="145" t="b">
        <v>0</v>
      </c>
      <c r="D84" s="144" t="str">
        <v>Q0</v>
      </c>
      <c r="E84" s="143" t="str">
        <f t="shared" si="3"/>
        <v>EURFUT1MQ0_Quote</v>
      </c>
      <c r="F84" s="142" t="str">
        <f>_xll.qlSimpleQuote(E84,,PriceTickValue,Permanent,Trigger,ObjectOverwrite)</f>
        <v>EURFUT1MQ0_Quote#0000</v>
      </c>
      <c r="G84" s="105" t="str">
        <f>_xll.ohRangeRetrieveError(F84)</f>
        <v/>
      </c>
      <c r="H84" s="141"/>
    </row>
    <row r="85" spans="1:8" x14ac:dyDescent="0.2">
      <c r="A85" s="146"/>
      <c r="B85" s="107">
        <v>80</v>
      </c>
      <c r="C85" s="145" t="b">
        <v>0</v>
      </c>
      <c r="D85" s="144" t="str">
        <v>U0</v>
      </c>
      <c r="E85" s="143" t="str">
        <f t="shared" si="3"/>
        <v>EURFUT1MU0_Quote</v>
      </c>
      <c r="F85" s="142" t="str">
        <f>_xll.qlSimpleQuote(E85,,PriceTickValue,Permanent,Trigger,ObjectOverwrite)</f>
        <v>EURFUT1MU0_Quote#0000</v>
      </c>
      <c r="G85" s="105" t="str">
        <f>_xll.ohRangeRetrieveError(F85)</f>
        <v/>
      </c>
      <c r="H85" s="141"/>
    </row>
    <row r="86" spans="1:8" x14ac:dyDescent="0.2">
      <c r="A86" s="146"/>
      <c r="B86" s="107">
        <v>81</v>
      </c>
      <c r="C86" s="145" t="b">
        <v>0</v>
      </c>
      <c r="D86" s="144" t="str">
        <v>V0</v>
      </c>
      <c r="E86" s="143" t="str">
        <f t="shared" si="3"/>
        <v>EURFUT1MV0_Quote</v>
      </c>
      <c r="F86" s="142" t="str">
        <f>_xll.qlSimpleQuote(E86,,PriceTickValue,Permanent,Trigger,ObjectOverwrite)</f>
        <v>EURFUT1MV0_Quote#0000</v>
      </c>
      <c r="G86" s="105" t="str">
        <f>_xll.ohRangeRetrieveError(F86)</f>
        <v/>
      </c>
      <c r="H86" s="141"/>
    </row>
    <row r="87" spans="1:8" x14ac:dyDescent="0.2">
      <c r="A87" s="146"/>
      <c r="B87" s="107">
        <v>82</v>
      </c>
      <c r="C87" s="145" t="b">
        <v>0</v>
      </c>
      <c r="D87" s="144" t="str">
        <v>X0</v>
      </c>
      <c r="E87" s="143" t="str">
        <f t="shared" si="3"/>
        <v>EURFUT1MX0_Quote</v>
      </c>
      <c r="F87" s="142" t="str">
        <f>_xll.qlSimpleQuote(E87,,PriceTickValue,Permanent,Trigger,ObjectOverwrite)</f>
        <v>EURFUT1MX0_Quote#0000</v>
      </c>
      <c r="G87" s="105" t="str">
        <f>_xll.ohRangeRetrieveError(F87)</f>
        <v/>
      </c>
      <c r="H87" s="141"/>
    </row>
    <row r="88" spans="1:8" x14ac:dyDescent="0.2">
      <c r="A88" s="146"/>
      <c r="B88" s="107">
        <v>83</v>
      </c>
      <c r="C88" s="145" t="b">
        <v>0</v>
      </c>
      <c r="D88" s="144" t="str">
        <v>Z0</v>
      </c>
      <c r="E88" s="143" t="str">
        <f t="shared" si="3"/>
        <v>EURFUT1MZ0_Quote</v>
      </c>
      <c r="F88" s="142" t="str">
        <f>_xll.qlSimpleQuote(E88,,PriceTickValue,Permanent,Trigger,ObjectOverwrite)</f>
        <v>EURFUT1MZ0_Quote#0000</v>
      </c>
      <c r="G88" s="105" t="str">
        <f>_xll.ohRangeRetrieveError(F88)</f>
        <v/>
      </c>
      <c r="H88" s="141"/>
    </row>
    <row r="89" spans="1:8" x14ac:dyDescent="0.2">
      <c r="A89" s="146"/>
      <c r="B89" s="107">
        <v>84</v>
      </c>
      <c r="C89" s="145" t="b">
        <v>0</v>
      </c>
      <c r="D89" s="144" t="str">
        <v>F1</v>
      </c>
      <c r="E89" s="143" t="str">
        <f t="shared" si="3"/>
        <v>EURFUT1MF1_Quote</v>
      </c>
      <c r="F89" s="142" t="str">
        <f>_xll.qlSimpleQuote(E89,,PriceTickValue,Permanent,Trigger,ObjectOverwrite)</f>
        <v>EURFUT1MF1_Quote#0000</v>
      </c>
      <c r="G89" s="105" t="str">
        <f>_xll.ohRangeRetrieveError(F89)</f>
        <v/>
      </c>
      <c r="H89" s="141"/>
    </row>
    <row r="90" spans="1:8" x14ac:dyDescent="0.2">
      <c r="A90" s="146"/>
      <c r="B90" s="107">
        <v>85</v>
      </c>
      <c r="C90" s="145" t="b">
        <v>0</v>
      </c>
      <c r="D90" s="144" t="str">
        <v>G1</v>
      </c>
      <c r="E90" s="143" t="str">
        <f t="shared" si="3"/>
        <v>EURFUT1MG1_Quote</v>
      </c>
      <c r="F90" s="142" t="str">
        <f>_xll.qlSimpleQuote(E90,,PriceTickValue,Permanent,Trigger,ObjectOverwrite)</f>
        <v>EURFUT1MG1_Quote#0000</v>
      </c>
      <c r="G90" s="105" t="str">
        <f>_xll.ohRangeRetrieveError(F90)</f>
        <v/>
      </c>
      <c r="H90" s="141"/>
    </row>
    <row r="91" spans="1:8" x14ac:dyDescent="0.2">
      <c r="A91" s="146"/>
      <c r="B91" s="107">
        <v>86</v>
      </c>
      <c r="C91" s="145" t="b">
        <v>0</v>
      </c>
      <c r="D91" s="144" t="str">
        <v>H1</v>
      </c>
      <c r="E91" s="143" t="str">
        <f t="shared" si="3"/>
        <v>EURFUT1MH1_Quote</v>
      </c>
      <c r="F91" s="142" t="str">
        <f>_xll.qlSimpleQuote(E91,,PriceTickValue,Permanent,Trigger,ObjectOverwrite)</f>
        <v>EURFUT1MH1_Quote#0000</v>
      </c>
      <c r="G91" s="105" t="str">
        <f>_xll.ohRangeRetrieveError(F91)</f>
        <v/>
      </c>
      <c r="H91" s="141"/>
    </row>
    <row r="92" spans="1:8" x14ac:dyDescent="0.2">
      <c r="A92" s="146"/>
      <c r="B92" s="107">
        <v>87</v>
      </c>
      <c r="C92" s="145" t="b">
        <v>0</v>
      </c>
      <c r="D92" s="144" t="str">
        <v>J1</v>
      </c>
      <c r="E92" s="143" t="str">
        <f t="shared" si="3"/>
        <v>EURFUT1MJ1_Quote</v>
      </c>
      <c r="F92" s="142" t="str">
        <f>_xll.qlSimpleQuote(E92,,PriceTickValue,Permanent,Trigger,ObjectOverwrite)</f>
        <v>EURFUT1MJ1_Quote#0000</v>
      </c>
      <c r="G92" s="105" t="str">
        <f>_xll.ohRangeRetrieveError(F92)</f>
        <v/>
      </c>
      <c r="H92" s="141"/>
    </row>
    <row r="93" spans="1:8" x14ac:dyDescent="0.2">
      <c r="A93" s="146"/>
      <c r="B93" s="107">
        <v>88</v>
      </c>
      <c r="C93" s="145" t="b">
        <v>0</v>
      </c>
      <c r="D93" s="144" t="str">
        <v>K1</v>
      </c>
      <c r="E93" s="143" t="str">
        <f t="shared" si="3"/>
        <v>EURFUT1MK1_Quote</v>
      </c>
      <c r="F93" s="142" t="str">
        <f>_xll.qlSimpleQuote(E93,,PriceTickValue,Permanent,Trigger,ObjectOverwrite)</f>
        <v>EURFUT1MK1_Quote#0000</v>
      </c>
      <c r="G93" s="105" t="str">
        <f>_xll.ohRangeRetrieveError(F93)</f>
        <v/>
      </c>
      <c r="H93" s="141"/>
    </row>
    <row r="94" spans="1:8" x14ac:dyDescent="0.2">
      <c r="A94" s="146"/>
      <c r="B94" s="107">
        <v>89</v>
      </c>
      <c r="C94" s="145" t="b">
        <v>0</v>
      </c>
      <c r="D94" s="144" t="str">
        <v>M1</v>
      </c>
      <c r="E94" s="143" t="str">
        <f t="shared" si="3"/>
        <v>EURFUT1MM1_Quote</v>
      </c>
      <c r="F94" s="142" t="str">
        <f>_xll.qlSimpleQuote(E94,,PriceTickValue,Permanent,Trigger,ObjectOverwrite)</f>
        <v>EURFUT1MM1_Quote#0000</v>
      </c>
      <c r="G94" s="105" t="str">
        <f>_xll.ohRangeRetrieveError(F94)</f>
        <v/>
      </c>
      <c r="H94" s="141"/>
    </row>
    <row r="95" spans="1:8" x14ac:dyDescent="0.2">
      <c r="A95" s="146"/>
      <c r="B95" s="107">
        <v>90</v>
      </c>
      <c r="C95" s="145" t="b">
        <v>0</v>
      </c>
      <c r="D95" s="144" t="str">
        <v>N1</v>
      </c>
      <c r="E95" s="143" t="str">
        <f t="shared" si="3"/>
        <v>EURFUT1MN1_Quote</v>
      </c>
      <c r="F95" s="142" t="str">
        <f>_xll.qlSimpleQuote(E95,,PriceTickValue,Permanent,Trigger,ObjectOverwrite)</f>
        <v>EURFUT1MN1_Quote#0000</v>
      </c>
      <c r="G95" s="105" t="str">
        <f>_xll.ohRangeRetrieveError(F95)</f>
        <v/>
      </c>
      <c r="H95" s="141"/>
    </row>
    <row r="96" spans="1:8" x14ac:dyDescent="0.2">
      <c r="A96" s="146"/>
      <c r="B96" s="107">
        <v>91</v>
      </c>
      <c r="C96" s="145" t="b">
        <v>0</v>
      </c>
      <c r="D96" s="144" t="str">
        <v>Q1</v>
      </c>
      <c r="E96" s="143" t="str">
        <f t="shared" si="3"/>
        <v>EURFUT1MQ1_Quote</v>
      </c>
      <c r="F96" s="142" t="str">
        <f>_xll.qlSimpleQuote(E96,,PriceTickValue,Permanent,Trigger,ObjectOverwrite)</f>
        <v>EURFUT1MQ1_Quote#0000</v>
      </c>
      <c r="G96" s="105" t="str">
        <f>_xll.ohRangeRetrieveError(F96)</f>
        <v/>
      </c>
      <c r="H96" s="141"/>
    </row>
    <row r="97" spans="1:8" x14ac:dyDescent="0.2">
      <c r="A97" s="146"/>
      <c r="B97" s="107">
        <v>92</v>
      </c>
      <c r="C97" s="145" t="b">
        <v>0</v>
      </c>
      <c r="D97" s="144" t="str">
        <v>U1</v>
      </c>
      <c r="E97" s="143" t="str">
        <f t="shared" si="3"/>
        <v>EURFUT1MU1_Quote</v>
      </c>
      <c r="F97" s="142" t="str">
        <f>_xll.qlSimpleQuote(E97,,PriceTickValue,Permanent,Trigger,ObjectOverwrite)</f>
        <v>EURFUT1MU1_Quote#0000</v>
      </c>
      <c r="G97" s="105" t="str">
        <f>_xll.ohRangeRetrieveError(F97)</f>
        <v/>
      </c>
      <c r="H97" s="141"/>
    </row>
    <row r="98" spans="1:8" x14ac:dyDescent="0.2">
      <c r="A98" s="146"/>
      <c r="B98" s="107">
        <v>93</v>
      </c>
      <c r="C98" s="145" t="b">
        <v>0</v>
      </c>
      <c r="D98" s="144" t="str">
        <v>V1</v>
      </c>
      <c r="E98" s="143" t="str">
        <f t="shared" si="3"/>
        <v>EURFUT1MV1_Quote</v>
      </c>
      <c r="F98" s="142" t="str">
        <f>_xll.qlSimpleQuote(E98,,PriceTickValue,Permanent,Trigger,ObjectOverwrite)</f>
        <v>EURFUT1MV1_Quote#0000</v>
      </c>
      <c r="G98" s="105" t="str">
        <f>_xll.ohRangeRetrieveError(F98)</f>
        <v/>
      </c>
      <c r="H98" s="141"/>
    </row>
    <row r="99" spans="1:8" x14ac:dyDescent="0.2">
      <c r="A99" s="146"/>
      <c r="B99" s="107">
        <v>94</v>
      </c>
      <c r="C99" s="145" t="b">
        <v>0</v>
      </c>
      <c r="D99" s="144" t="str">
        <v>X1</v>
      </c>
      <c r="E99" s="143" t="str">
        <f t="shared" si="3"/>
        <v>EURFUT1MX1_Quote</v>
      </c>
      <c r="F99" s="142" t="str">
        <f>_xll.qlSimpleQuote(E99,,PriceTickValue,Permanent,Trigger,ObjectOverwrite)</f>
        <v>EURFUT1MX1_Quote#0000</v>
      </c>
      <c r="G99" s="105" t="str">
        <f>_xll.ohRangeRetrieveError(F99)</f>
        <v/>
      </c>
      <c r="H99" s="141"/>
    </row>
    <row r="100" spans="1:8" x14ac:dyDescent="0.2">
      <c r="A100" s="146"/>
      <c r="B100" s="107">
        <v>95</v>
      </c>
      <c r="C100" s="145" t="b">
        <v>0</v>
      </c>
      <c r="D100" s="144" t="str">
        <v>Z1</v>
      </c>
      <c r="E100" s="143" t="str">
        <f t="shared" si="3"/>
        <v>EURFUT1MZ1_Quote</v>
      </c>
      <c r="F100" s="142" t="str">
        <f>_xll.qlSimpleQuote(E100,,PriceTickValue,Permanent,Trigger,ObjectOverwrite)</f>
        <v>EURFUT1MZ1_Quote#0000</v>
      </c>
      <c r="G100" s="105" t="str">
        <f>_xll.ohRangeRetrieveError(F100)</f>
        <v/>
      </c>
      <c r="H100" s="141"/>
    </row>
    <row r="101" spans="1:8" x14ac:dyDescent="0.2">
      <c r="A101" s="146"/>
      <c r="B101" s="107">
        <v>96</v>
      </c>
      <c r="C101" s="145" t="b">
        <v>0</v>
      </c>
      <c r="D101" s="144" t="str">
        <v>F2</v>
      </c>
      <c r="E101" s="143" t="str">
        <f t="shared" si="3"/>
        <v>EURFUT1MF2_Quote</v>
      </c>
      <c r="F101" s="142" t="str">
        <f>_xll.qlSimpleQuote(E101,,PriceTickValue,Permanent,Trigger,ObjectOverwrite)</f>
        <v>EURFUT1MF2_Quote#0000</v>
      </c>
      <c r="G101" s="105" t="str">
        <f>_xll.ohRangeRetrieveError(F101)</f>
        <v/>
      </c>
      <c r="H101" s="141"/>
    </row>
    <row r="102" spans="1:8" x14ac:dyDescent="0.2">
      <c r="A102" s="146"/>
      <c r="B102" s="107">
        <v>97</v>
      </c>
      <c r="C102" s="145" t="b">
        <v>0</v>
      </c>
      <c r="D102" s="144" t="str">
        <v>G2</v>
      </c>
      <c r="E102" s="143" t="str">
        <f t="shared" ref="E102:E125" si="4">Currency&amp;$D$4&amp;$E$4&amp;$D102&amp;QuoteSuffix</f>
        <v>EURFUT1MG2_Quote</v>
      </c>
      <c r="F102" s="142" t="str">
        <f>_xll.qlSimpleQuote(E102,,PriceTickValue,Permanent,Trigger,ObjectOverwrite)</f>
        <v>EURFUT1MG2_Quote#0000</v>
      </c>
      <c r="G102" s="105" t="str">
        <f>_xll.ohRangeRetrieveError(F102)</f>
        <v/>
      </c>
      <c r="H102" s="141"/>
    </row>
    <row r="103" spans="1:8" x14ac:dyDescent="0.2">
      <c r="A103" s="146"/>
      <c r="B103" s="107">
        <v>98</v>
      </c>
      <c r="C103" s="145" t="b">
        <v>0</v>
      </c>
      <c r="D103" s="144" t="str">
        <v>H2</v>
      </c>
      <c r="E103" s="143" t="str">
        <f t="shared" si="4"/>
        <v>EURFUT1MH2_Quote</v>
      </c>
      <c r="F103" s="142" t="str">
        <f>_xll.qlSimpleQuote(E103,,PriceTickValue,Permanent,Trigger,ObjectOverwrite)</f>
        <v>EURFUT1MH2_Quote#0000</v>
      </c>
      <c r="G103" s="105" t="str">
        <f>_xll.ohRangeRetrieveError(F103)</f>
        <v/>
      </c>
      <c r="H103" s="141"/>
    </row>
    <row r="104" spans="1:8" x14ac:dyDescent="0.2">
      <c r="A104" s="146"/>
      <c r="B104" s="107">
        <v>99</v>
      </c>
      <c r="C104" s="145" t="b">
        <v>0</v>
      </c>
      <c r="D104" s="144" t="str">
        <v>J2</v>
      </c>
      <c r="E104" s="143" t="str">
        <f t="shared" si="4"/>
        <v>EURFUT1MJ2_Quote</v>
      </c>
      <c r="F104" s="142" t="str">
        <f>_xll.qlSimpleQuote(E104,,PriceTickValue,Permanent,Trigger,ObjectOverwrite)</f>
        <v>EURFUT1MJ2_Quote#0000</v>
      </c>
      <c r="G104" s="105" t="str">
        <f>_xll.ohRangeRetrieveError(F104)</f>
        <v/>
      </c>
      <c r="H104" s="141"/>
    </row>
    <row r="105" spans="1:8" x14ac:dyDescent="0.2">
      <c r="A105" s="146"/>
      <c r="B105" s="107">
        <v>100</v>
      </c>
      <c r="C105" s="145" t="b">
        <v>0</v>
      </c>
      <c r="D105" s="144" t="str">
        <v>K2</v>
      </c>
      <c r="E105" s="143" t="str">
        <f t="shared" si="4"/>
        <v>EURFUT1MK2_Quote</v>
      </c>
      <c r="F105" s="142" t="str">
        <f>_xll.qlSimpleQuote(E105,,PriceTickValue,Permanent,Trigger,ObjectOverwrite)</f>
        <v>EURFUT1MK2_Quote#0000</v>
      </c>
      <c r="G105" s="105" t="str">
        <f>_xll.ohRangeRetrieveError(F105)</f>
        <v/>
      </c>
      <c r="H105" s="141"/>
    </row>
    <row r="106" spans="1:8" x14ac:dyDescent="0.2">
      <c r="A106" s="146"/>
      <c r="B106" s="107">
        <v>101</v>
      </c>
      <c r="C106" s="145" t="b">
        <v>0</v>
      </c>
      <c r="D106" s="144" t="str">
        <v>M2</v>
      </c>
      <c r="E106" s="143" t="str">
        <f t="shared" si="4"/>
        <v>EURFUT1MM2_Quote</v>
      </c>
      <c r="F106" s="142" t="str">
        <f>_xll.qlSimpleQuote(E106,,PriceTickValue,Permanent,Trigger,ObjectOverwrite)</f>
        <v>EURFUT1MM2_Quote#0000</v>
      </c>
      <c r="G106" s="105" t="str">
        <f>_xll.ohRangeRetrieveError(F106)</f>
        <v/>
      </c>
      <c r="H106" s="141"/>
    </row>
    <row r="107" spans="1:8" x14ac:dyDescent="0.2">
      <c r="A107" s="146"/>
      <c r="B107" s="107">
        <v>102</v>
      </c>
      <c r="C107" s="145" t="b">
        <v>0</v>
      </c>
      <c r="D107" s="144" t="str">
        <v>N2</v>
      </c>
      <c r="E107" s="143" t="str">
        <f t="shared" si="4"/>
        <v>EURFUT1MN2_Quote</v>
      </c>
      <c r="F107" s="142" t="str">
        <f>_xll.qlSimpleQuote(E107,,PriceTickValue,Permanent,Trigger,ObjectOverwrite)</f>
        <v>EURFUT1MN2_Quote#0000</v>
      </c>
      <c r="G107" s="105" t="str">
        <f>_xll.ohRangeRetrieveError(F107)</f>
        <v/>
      </c>
      <c r="H107" s="141"/>
    </row>
    <row r="108" spans="1:8" x14ac:dyDescent="0.2">
      <c r="A108" s="146"/>
      <c r="B108" s="107">
        <v>103</v>
      </c>
      <c r="C108" s="145" t="b">
        <v>0</v>
      </c>
      <c r="D108" s="144" t="str">
        <v>Q2</v>
      </c>
      <c r="E108" s="143" t="str">
        <f t="shared" si="4"/>
        <v>EURFUT1MQ2_Quote</v>
      </c>
      <c r="F108" s="142" t="str">
        <f>_xll.qlSimpleQuote(E108,,PriceTickValue,Permanent,Trigger,ObjectOverwrite)</f>
        <v>EURFUT1MQ2_Quote#0000</v>
      </c>
      <c r="G108" s="105" t="str">
        <f>_xll.ohRangeRetrieveError(F108)</f>
        <v/>
      </c>
      <c r="H108" s="141"/>
    </row>
    <row r="109" spans="1:8" x14ac:dyDescent="0.2">
      <c r="A109" s="146"/>
      <c r="B109" s="107">
        <v>104</v>
      </c>
      <c r="C109" s="145" t="b">
        <v>0</v>
      </c>
      <c r="D109" s="144" t="str">
        <v>U2</v>
      </c>
      <c r="E109" s="143" t="str">
        <f t="shared" si="4"/>
        <v>EURFUT1MU2_Quote</v>
      </c>
      <c r="F109" s="142" t="str">
        <f>_xll.qlSimpleQuote(E109,,PriceTickValue,Permanent,Trigger,ObjectOverwrite)</f>
        <v>EURFUT1MU2_Quote#0000</v>
      </c>
      <c r="G109" s="105" t="str">
        <f>_xll.ohRangeRetrieveError(F109)</f>
        <v/>
      </c>
      <c r="H109" s="141"/>
    </row>
    <row r="110" spans="1:8" x14ac:dyDescent="0.2">
      <c r="A110" s="146"/>
      <c r="B110" s="107">
        <v>105</v>
      </c>
      <c r="C110" s="145" t="b">
        <v>0</v>
      </c>
      <c r="D110" s="144" t="str">
        <v>V2</v>
      </c>
      <c r="E110" s="143" t="str">
        <f t="shared" si="4"/>
        <v>EURFUT1MV2_Quote</v>
      </c>
      <c r="F110" s="142" t="str">
        <f>_xll.qlSimpleQuote(E110,,PriceTickValue,Permanent,Trigger,ObjectOverwrite)</f>
        <v>EURFUT1MV2_Quote#0000</v>
      </c>
      <c r="G110" s="105" t="str">
        <f>_xll.ohRangeRetrieveError(F110)</f>
        <v/>
      </c>
      <c r="H110" s="141"/>
    </row>
    <row r="111" spans="1:8" x14ac:dyDescent="0.2">
      <c r="A111" s="146"/>
      <c r="B111" s="107">
        <v>106</v>
      </c>
      <c r="C111" s="145" t="b">
        <v>0</v>
      </c>
      <c r="D111" s="144" t="str">
        <v>X2</v>
      </c>
      <c r="E111" s="143" t="str">
        <f t="shared" si="4"/>
        <v>EURFUT1MX2_Quote</v>
      </c>
      <c r="F111" s="142" t="str">
        <f>_xll.qlSimpleQuote(E111,,PriceTickValue,Permanent,Trigger,ObjectOverwrite)</f>
        <v>EURFUT1MX2_Quote#0000</v>
      </c>
      <c r="G111" s="105" t="str">
        <f>_xll.ohRangeRetrieveError(F111)</f>
        <v/>
      </c>
      <c r="H111" s="141"/>
    </row>
    <row r="112" spans="1:8" x14ac:dyDescent="0.2">
      <c r="A112" s="146"/>
      <c r="B112" s="107">
        <v>107</v>
      </c>
      <c r="C112" s="145" t="b">
        <v>0</v>
      </c>
      <c r="D112" s="144" t="str">
        <v>Z2</v>
      </c>
      <c r="E112" s="143" t="str">
        <f t="shared" si="4"/>
        <v>EURFUT1MZ2_Quote</v>
      </c>
      <c r="F112" s="142" t="str">
        <f>_xll.qlSimpleQuote(E112,,PriceTickValue,Permanent,Trigger,ObjectOverwrite)</f>
        <v>EURFUT1MZ2_Quote#0000</v>
      </c>
      <c r="G112" s="105" t="str">
        <f>_xll.ohRangeRetrieveError(F112)</f>
        <v/>
      </c>
      <c r="H112" s="141"/>
    </row>
    <row r="113" spans="1:8" x14ac:dyDescent="0.2">
      <c r="A113" s="146"/>
      <c r="B113" s="107">
        <v>108</v>
      </c>
      <c r="C113" s="145" t="b">
        <v>0</v>
      </c>
      <c r="D113" s="144" t="str">
        <v>F3</v>
      </c>
      <c r="E113" s="143" t="str">
        <f t="shared" si="4"/>
        <v>EURFUT1MF3_Quote</v>
      </c>
      <c r="F113" s="142" t="str">
        <f>_xll.qlSimpleQuote(E113,,PriceTickValue,Permanent,Trigger,ObjectOverwrite)</f>
        <v>EURFUT1MF3_Quote#0000</v>
      </c>
      <c r="G113" s="105" t="str">
        <f>_xll.ohRangeRetrieveError(F113)</f>
        <v/>
      </c>
      <c r="H113" s="141"/>
    </row>
    <row r="114" spans="1:8" x14ac:dyDescent="0.2">
      <c r="A114" s="146"/>
      <c r="B114" s="107">
        <v>109</v>
      </c>
      <c r="C114" s="145" t="b">
        <v>0</v>
      </c>
      <c r="D114" s="144" t="str">
        <v>G3</v>
      </c>
      <c r="E114" s="143" t="str">
        <f t="shared" si="4"/>
        <v>EURFUT1MG3_Quote</v>
      </c>
      <c r="F114" s="142" t="str">
        <f>_xll.qlSimpleQuote(E114,,PriceTickValue,Permanent,Trigger,ObjectOverwrite)</f>
        <v>EURFUT1MG3_Quote#0000</v>
      </c>
      <c r="G114" s="105" t="str">
        <f>_xll.ohRangeRetrieveError(F114)</f>
        <v/>
      </c>
      <c r="H114" s="141"/>
    </row>
    <row r="115" spans="1:8" x14ac:dyDescent="0.2">
      <c r="A115" s="146"/>
      <c r="B115" s="107">
        <v>110</v>
      </c>
      <c r="C115" s="145" t="b">
        <v>0</v>
      </c>
      <c r="D115" s="144" t="str">
        <v>H3</v>
      </c>
      <c r="E115" s="143" t="str">
        <f t="shared" si="4"/>
        <v>EURFUT1MH3_Quote</v>
      </c>
      <c r="F115" s="142" t="str">
        <f>_xll.qlSimpleQuote(E115,,PriceTickValue,Permanent,Trigger,ObjectOverwrite)</f>
        <v>EURFUT1MH3_Quote#0000</v>
      </c>
      <c r="G115" s="105" t="str">
        <f>_xll.ohRangeRetrieveError(F115)</f>
        <v/>
      </c>
      <c r="H115" s="141"/>
    </row>
    <row r="116" spans="1:8" x14ac:dyDescent="0.2">
      <c r="A116" s="146"/>
      <c r="B116" s="107">
        <v>111</v>
      </c>
      <c r="C116" s="145" t="b">
        <v>0</v>
      </c>
      <c r="D116" s="144" t="str">
        <v>J3</v>
      </c>
      <c r="E116" s="143" t="str">
        <f t="shared" si="4"/>
        <v>EURFUT1MJ3_Quote</v>
      </c>
      <c r="F116" s="142" t="str">
        <f>_xll.qlSimpleQuote(E116,,PriceTickValue,Permanent,Trigger,ObjectOverwrite)</f>
        <v>EURFUT1MJ3_Quote#0000</v>
      </c>
      <c r="G116" s="105" t="str">
        <f>_xll.ohRangeRetrieveError(F116)</f>
        <v/>
      </c>
      <c r="H116" s="141"/>
    </row>
    <row r="117" spans="1:8" x14ac:dyDescent="0.2">
      <c r="A117" s="146"/>
      <c r="B117" s="107">
        <v>112</v>
      </c>
      <c r="C117" s="145" t="b">
        <v>0</v>
      </c>
      <c r="D117" s="144" t="str">
        <v>K3</v>
      </c>
      <c r="E117" s="143" t="str">
        <f t="shared" si="4"/>
        <v>EURFUT1MK3_Quote</v>
      </c>
      <c r="F117" s="142" t="str">
        <f>_xll.qlSimpleQuote(E117,,PriceTickValue,Permanent,Trigger,ObjectOverwrite)</f>
        <v>EURFUT1MK3_Quote#0000</v>
      </c>
      <c r="G117" s="105" t="str">
        <f>_xll.ohRangeRetrieveError(F117)</f>
        <v/>
      </c>
      <c r="H117" s="141"/>
    </row>
    <row r="118" spans="1:8" x14ac:dyDescent="0.2">
      <c r="A118" s="146"/>
      <c r="B118" s="107">
        <v>113</v>
      </c>
      <c r="C118" s="145" t="b">
        <v>0</v>
      </c>
      <c r="D118" s="144" t="str">
        <v>M3</v>
      </c>
      <c r="E118" s="143" t="str">
        <f t="shared" si="4"/>
        <v>EURFUT1MM3_Quote</v>
      </c>
      <c r="F118" s="142" t="str">
        <f>_xll.qlSimpleQuote(E118,,PriceTickValue,Permanent,Trigger,ObjectOverwrite)</f>
        <v>EURFUT1MM3_Quote#0000</v>
      </c>
      <c r="G118" s="105" t="str">
        <f>_xll.ohRangeRetrieveError(F118)</f>
        <v/>
      </c>
      <c r="H118" s="141"/>
    </row>
    <row r="119" spans="1:8" x14ac:dyDescent="0.2">
      <c r="A119" s="146"/>
      <c r="B119" s="107">
        <v>114</v>
      </c>
      <c r="C119" s="145" t="b">
        <v>0</v>
      </c>
      <c r="D119" s="144" t="str">
        <v>N3</v>
      </c>
      <c r="E119" s="143" t="str">
        <f t="shared" si="4"/>
        <v>EURFUT1MN3_Quote</v>
      </c>
      <c r="F119" s="142" t="str">
        <f>_xll.qlSimpleQuote(E119,,PriceTickValue,Permanent,Trigger,ObjectOverwrite)</f>
        <v>EURFUT1MN3_Quote#0000</v>
      </c>
      <c r="G119" s="105" t="str">
        <f>_xll.ohRangeRetrieveError(F119)</f>
        <v/>
      </c>
      <c r="H119" s="141"/>
    </row>
    <row r="120" spans="1:8" x14ac:dyDescent="0.2">
      <c r="A120" s="146"/>
      <c r="B120" s="107">
        <v>115</v>
      </c>
      <c r="C120" s="145" t="b">
        <v>0</v>
      </c>
      <c r="D120" s="144" t="str">
        <v>Q3</v>
      </c>
      <c r="E120" s="143" t="str">
        <f t="shared" si="4"/>
        <v>EURFUT1MQ3_Quote</v>
      </c>
      <c r="F120" s="142" t="str">
        <f>_xll.qlSimpleQuote(E120,,PriceTickValue,Permanent,Trigger,ObjectOverwrite)</f>
        <v>EURFUT1MQ3_Quote#0000</v>
      </c>
      <c r="G120" s="105" t="str">
        <f>_xll.ohRangeRetrieveError(F120)</f>
        <v/>
      </c>
      <c r="H120" s="141"/>
    </row>
    <row r="121" spans="1:8" x14ac:dyDescent="0.2">
      <c r="A121" s="146"/>
      <c r="B121" s="107">
        <v>116</v>
      </c>
      <c r="C121" s="145" t="b">
        <v>0</v>
      </c>
      <c r="D121" s="144" t="str">
        <v>U3</v>
      </c>
      <c r="E121" s="143" t="str">
        <f t="shared" si="4"/>
        <v>EURFUT1MU3_Quote</v>
      </c>
      <c r="F121" s="142" t="str">
        <f>_xll.qlSimpleQuote(E121,,PriceTickValue,Permanent,Trigger,ObjectOverwrite)</f>
        <v>EURFUT1MU3_Quote#0000</v>
      </c>
      <c r="G121" s="105" t="str">
        <f>_xll.ohRangeRetrieveError(F121)</f>
        <v/>
      </c>
      <c r="H121" s="141"/>
    </row>
    <row r="122" spans="1:8" x14ac:dyDescent="0.2">
      <c r="A122" s="146"/>
      <c r="B122" s="107">
        <v>117</v>
      </c>
      <c r="C122" s="145" t="b">
        <v>0</v>
      </c>
      <c r="D122" s="144" t="str">
        <v>V3</v>
      </c>
      <c r="E122" s="143" t="str">
        <f t="shared" si="4"/>
        <v>EURFUT1MV3_Quote</v>
      </c>
      <c r="F122" s="142" t="str">
        <f>_xll.qlSimpleQuote(E122,,PriceTickValue,Permanent,Trigger,ObjectOverwrite)</f>
        <v>EURFUT1MV3_Quote#0000</v>
      </c>
      <c r="G122" s="105" t="str">
        <f>_xll.ohRangeRetrieveError(F122)</f>
        <v/>
      </c>
      <c r="H122" s="141"/>
    </row>
    <row r="123" spans="1:8" x14ac:dyDescent="0.2">
      <c r="A123" s="146"/>
      <c r="B123" s="107">
        <v>118</v>
      </c>
      <c r="C123" s="145" t="b">
        <v>0</v>
      </c>
      <c r="D123" s="144" t="str">
        <v>X3</v>
      </c>
      <c r="E123" s="143" t="str">
        <f t="shared" si="4"/>
        <v>EURFUT1MX3_Quote</v>
      </c>
      <c r="F123" s="142" t="str">
        <f>_xll.qlSimpleQuote(E123,,PriceTickValue,Permanent,Trigger,ObjectOverwrite)</f>
        <v>EURFUT1MX3_Quote#0000</v>
      </c>
      <c r="G123" s="105" t="str">
        <f>_xll.ohRangeRetrieveError(F123)</f>
        <v/>
      </c>
      <c r="H123" s="141"/>
    </row>
    <row r="124" spans="1:8" x14ac:dyDescent="0.2">
      <c r="A124" s="146"/>
      <c r="B124" s="107">
        <v>119</v>
      </c>
      <c r="C124" s="145" t="b">
        <v>0</v>
      </c>
      <c r="D124" s="144" t="str">
        <v>Z3</v>
      </c>
      <c r="E124" s="143" t="str">
        <f t="shared" si="4"/>
        <v>EURFUT1MZ3_Quote</v>
      </c>
      <c r="F124" s="142" t="str">
        <f>_xll.qlSimpleQuote(E124,,PriceTickValue,Permanent,Trigger,ObjectOverwrite)</f>
        <v>EURFUT1MZ3_Quote#0000</v>
      </c>
      <c r="G124" s="105" t="str">
        <f>_xll.ohRangeRetrieveError(F124)</f>
        <v/>
      </c>
      <c r="H124" s="141"/>
    </row>
    <row r="125" spans="1:8" x14ac:dyDescent="0.2">
      <c r="A125" s="146"/>
      <c r="B125" s="107">
        <v>120</v>
      </c>
      <c r="C125" s="145" t="b">
        <v>0</v>
      </c>
      <c r="D125" s="144" t="str">
        <v>F4</v>
      </c>
      <c r="E125" s="143" t="str">
        <f t="shared" si="4"/>
        <v>EURFUT1MF4_Quote</v>
      </c>
      <c r="F125" s="142" t="str">
        <f>_xll.qlSimpleQuote(E125,,PriceTickValue,Permanent,Trigger,ObjectOverwrite)</f>
        <v>EURFUT1MF4_Quote#0000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5" t="s">
        <v>206</v>
      </c>
      <c r="AI1" s="416"/>
      <c r="AJ1" s="416"/>
      <c r="AK1" s="416"/>
      <c r="AL1" s="416"/>
      <c r="AM1" s="416"/>
      <c r="AN1" s="416"/>
      <c r="AO1" s="416"/>
      <c r="AP1" s="417"/>
      <c r="AQ1" s="414"/>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8"/>
      <c r="AI2" s="419"/>
      <c r="AJ2" s="419"/>
      <c r="AK2" s="419"/>
      <c r="AL2" s="420" t="s">
        <v>205</v>
      </c>
      <c r="AM2" s="421" t="str">
        <f>PROPER(Currency)&amp;"HW_Volatility_Quote"</f>
        <v>EurHW_Volatility_Quote</v>
      </c>
      <c r="AN2" s="419"/>
      <c r="AO2" s="419"/>
      <c r="AP2" s="422"/>
      <c r="AQ2" s="414"/>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8"/>
      <c r="AI3" s="419"/>
      <c r="AJ3" s="419"/>
      <c r="AK3" s="419"/>
      <c r="AL3" s="420" t="s">
        <v>204</v>
      </c>
      <c r="AM3" s="421" t="str">
        <f>PROPER(Currency)&amp;"HW_MeanReversion_Quote"</f>
        <v>EurHW_MeanReversion_Quote</v>
      </c>
      <c r="AN3" s="419"/>
      <c r="AO3" s="419"/>
      <c r="AP3" s="423"/>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8"/>
      <c r="AI4" s="419"/>
      <c r="AJ4" s="419"/>
      <c r="AK4" s="419"/>
      <c r="AL4" s="420" t="s">
        <v>203</v>
      </c>
      <c r="AM4" s="421" t="str">
        <f>PROPER(Currency)&amp;FamilyName&amp;$AN$4</f>
        <v>Euribor3M</v>
      </c>
      <c r="AN4" s="424" t="s">
        <v>30</v>
      </c>
      <c r="AO4" s="419"/>
      <c r="AP4" s="423"/>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2</v>
      </c>
      <c r="AA5" s="338"/>
      <c r="AB5" s="17"/>
      <c r="AC5" s="17"/>
      <c r="AD5" s="17"/>
      <c r="AE5" s="17"/>
      <c r="AF5" s="17"/>
      <c r="AH5" s="418"/>
      <c r="AI5" s="419"/>
      <c r="AJ5" s="419"/>
      <c r="AK5" s="419"/>
      <c r="AL5" s="419"/>
      <c r="AM5" s="419"/>
      <c r="AN5" s="419"/>
      <c r="AO5" s="419"/>
      <c r="AP5" s="42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G4</v>
      </c>
      <c r="E7" s="143" t="str">
        <f t="shared" ref="E7:E38" si="0">Currency&amp;$D$5&amp;$E$5&amp;$D7&amp;QuoteSuffix</f>
        <v>EURFUT3MG4_Quote</v>
      </c>
      <c r="F7" s="148" t="str">
        <f>_xll.qlSimpleQuote(E7,,PriceTickValue,Permanent,Trigger,ObjectOverwrite)</f>
        <v>EURFUT3MG4_Quote#0000</v>
      </c>
      <c r="G7" s="147" t="str">
        <f>_xll.ohRangeRetrieveError(F7)</f>
        <v/>
      </c>
      <c r="H7" s="141"/>
      <c r="J7" s="323"/>
      <c r="K7" s="336">
        <v>1</v>
      </c>
      <c r="L7" s="335" t="b">
        <v>0</v>
      </c>
      <c r="M7" s="271" t="str">
        <f t="array" ref="M7:M48">_xll.qlIMMcode(FuturesDates)</f>
        <v>G4</v>
      </c>
      <c r="N7" s="334">
        <f t="array" ref="N7:N48">_xll.qlIMMNextDates(_xll.qlSettingsEvaluationDate(Trigger)-1,$L7:$L48)</f>
        <v>41689</v>
      </c>
      <c r="O7" s="271" t="str">
        <f t="array" ref="O7:O48">VLOOKUP(Currency,LiffeCodes,2)&amp;FuturesCodes</f>
        <v>FEIG4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QuoteLive</f>
        <v>99.767499999999998</v>
      </c>
      <c r="Z7" s="274">
        <f>_xll.qlSimpleQuoteSetValue(F7,Y7,Trigger)</f>
        <v>7.2500000000005116E-2</v>
      </c>
      <c r="AA7" s="49"/>
      <c r="AB7" s="17"/>
      <c r="AC7" s="86" t="s">
        <v>124</v>
      </c>
      <c r="AD7" s="84" t="s">
        <v>253</v>
      </c>
      <c r="AE7" s="17"/>
      <c r="AF7" s="290">
        <f t="shared" ref="AF7:AF48" si="1">(R7-U7)/50</f>
        <v>4.9999999999954527E-5</v>
      </c>
      <c r="AH7" s="146"/>
      <c r="AI7" s="151">
        <v>1</v>
      </c>
      <c r="AJ7" s="149" t="b">
        <v>0</v>
      </c>
      <c r="AK7" s="149" t="str">
        <f t="array" ref="AK7:AK48">_xll.qlIMMcode(FuturesDates)</f>
        <v>G4</v>
      </c>
      <c r="AL7" s="248" t="str">
        <f t="shared" ref="AL7:AL48" si="2">Currency&amp;"FUT"&amp;$AN$4&amp;$AK7&amp;QuoteSuffix</f>
        <v>EURFUT3MG4_Quote</v>
      </c>
      <c r="AM7" s="249" t="str">
        <f t="shared" ref="AM7:AM48" si="3">Currency&amp;"FUT"&amp;$AN$4&amp;$AK7&amp;"ConvAdj"&amp;QuoteSuffix</f>
        <v>EURFUT3MG4ConvAdj_Quote</v>
      </c>
      <c r="AN7" s="248" t="str">
        <f>_xll.qlFuturesConvAdjustmentQuote($AM7,IborIndex,$AK7,$AL7,Volatility,MeanReversion,Permanent,Trigger,ObjectOverwrite)</f>
        <v>EURFUT3MG4ConvAdj_Quote#0000</v>
      </c>
      <c r="AO7" s="75" t="str">
        <f>_xll.ohRangeRetrieveError(AN7)</f>
        <v/>
      </c>
      <c r="AP7" s="49"/>
    </row>
    <row r="8" spans="1:43" x14ac:dyDescent="0.2">
      <c r="A8" s="146"/>
      <c r="B8" s="107">
        <v>2</v>
      </c>
      <c r="C8" s="145" t="b">
        <v>0</v>
      </c>
      <c r="D8" s="144" t="str">
        <v>H4</v>
      </c>
      <c r="E8" s="143" t="str">
        <f t="shared" si="0"/>
        <v>EURFUT3MH4_Quote</v>
      </c>
      <c r="F8" s="142" t="str">
        <f>_xll.qlSimpleQuote(E8,,PriceTickValue,Permanent,Trigger,ObjectOverwrite)</f>
        <v>EURFUT3MH4_Quote#0000</v>
      </c>
      <c r="G8" s="105" t="str">
        <f>_xll.ohRangeRetrieveError(F8)</f>
        <v/>
      </c>
      <c r="H8" s="141"/>
      <c r="J8" s="323"/>
      <c r="K8" s="329">
        <v>2</v>
      </c>
      <c r="L8" s="328" t="b">
        <v>0</v>
      </c>
      <c r="M8" s="259" t="str">
        <v>H4</v>
      </c>
      <c r="N8" s="327">
        <v>41717</v>
      </c>
      <c r="O8" s="259" t="str">
        <v>FEIH4</v>
      </c>
      <c r="P8" s="326">
        <v>41533</v>
      </c>
      <c r="Q8" s="259">
        <v>99.734999999999999</v>
      </c>
      <c r="R8" s="259">
        <v>99.74</v>
      </c>
      <c r="S8" s="259">
        <v>99.74</v>
      </c>
      <c r="T8" s="259">
        <v>99.734999999999999</v>
      </c>
      <c r="U8" s="262">
        <f>_xll.qlMidSafe($Q8,$R8)</f>
        <v>99.737499999999997</v>
      </c>
      <c r="V8" s="253"/>
      <c r="W8" s="330">
        <v>99.702500000000001</v>
      </c>
      <c r="X8" s="253"/>
      <c r="Y8" s="324">
        <v>99.737499999999997</v>
      </c>
      <c r="Z8" s="262">
        <f>_xll.qlSimpleQuoteSetValue(F8,Y8,Trigger)</f>
        <v>3.4999999999996589E-2</v>
      </c>
      <c r="AA8" s="49"/>
      <c r="AB8" s="17"/>
      <c r="AC8" s="86" t="s">
        <v>110</v>
      </c>
      <c r="AD8" s="84" t="s">
        <v>252</v>
      </c>
      <c r="AE8" s="17"/>
      <c r="AF8" s="290">
        <f t="shared" si="1"/>
        <v>4.9999999999954527E-5</v>
      </c>
      <c r="AH8" s="146"/>
      <c r="AI8" s="107">
        <v>2</v>
      </c>
      <c r="AJ8" s="144" t="b">
        <v>0</v>
      </c>
      <c r="AK8" s="144" t="str">
        <v>H4</v>
      </c>
      <c r="AL8" s="248" t="str">
        <f t="shared" si="2"/>
        <v>EURFUT3MH4_Quote</v>
      </c>
      <c r="AM8" s="249" t="str">
        <f t="shared" si="3"/>
        <v>EURFUT3MH4ConvAdj_Quote</v>
      </c>
      <c r="AN8" s="248" t="str">
        <f>_xll.qlFuturesConvAdjustmentQuote($AM8,IborIndex,$AK8,$AL8,Volatility,MeanReversion,Permanent,Trigger,ObjectOverwrite)</f>
        <v>EURFUT3MH4ConvAdj_Quote#0000</v>
      </c>
      <c r="AO8" s="75" t="str">
        <f>_xll.ohRangeRetrieveError(AN8)</f>
        <v/>
      </c>
      <c r="AP8" s="49"/>
    </row>
    <row r="9" spans="1:43" x14ac:dyDescent="0.2">
      <c r="A9" s="146"/>
      <c r="B9" s="107">
        <v>3</v>
      </c>
      <c r="C9" s="145" t="b">
        <v>0</v>
      </c>
      <c r="D9" s="144" t="str">
        <v>J4</v>
      </c>
      <c r="E9" s="143" t="str">
        <f t="shared" si="0"/>
        <v>EURFUT3MJ4_Quote</v>
      </c>
      <c r="F9" s="142" t="str">
        <f>_xll.qlSimpleQuote(E9,,PriceTickValue,Permanent,Trigger,ObjectOverwrite)</f>
        <v>EURFUT3MJ4_Quote#0000</v>
      </c>
      <c r="G9" s="105" t="str">
        <f>_xll.ohRangeRetrieveError(F9)</f>
        <v/>
      </c>
      <c r="H9" s="141"/>
      <c r="J9" s="323"/>
      <c r="K9" s="329">
        <v>3</v>
      </c>
      <c r="L9" s="328" t="b">
        <v>0</v>
      </c>
      <c r="M9" s="259" t="str">
        <v>J4</v>
      </c>
      <c r="N9" s="327">
        <v>41745</v>
      </c>
      <c r="O9" s="259" t="str">
        <v>FEIJ4</v>
      </c>
      <c r="P9" s="326">
        <v>41561</v>
      </c>
      <c r="Q9" s="259">
        <v>99.71</v>
      </c>
      <c r="R9" s="259">
        <v>99.72</v>
      </c>
      <c r="S9" s="259">
        <v>0</v>
      </c>
      <c r="T9" s="259">
        <v>99.715000000000003</v>
      </c>
      <c r="U9" s="262">
        <f>_xll.qlMidSafe($Q9,$R9)</f>
        <v>99.715000000000003</v>
      </c>
      <c r="V9" s="253"/>
      <c r="W9" s="330">
        <v>99.704999999999998</v>
      </c>
      <c r="X9" s="253"/>
      <c r="Y9" s="324">
        <v>99.715000000000003</v>
      </c>
      <c r="Z9" s="262">
        <f>_xll.qlSimpleQuoteSetValue(F9,Y9,Trigger)</f>
        <v>1.0000000000005116E-2</v>
      </c>
      <c r="AA9" s="49"/>
      <c r="AB9" s="17"/>
      <c r="AC9" s="86" t="s">
        <v>121</v>
      </c>
      <c r="AD9" s="84" t="s">
        <v>251</v>
      </c>
      <c r="AE9" s="17"/>
      <c r="AF9" s="290">
        <f t="shared" si="1"/>
        <v>9.9999999999909054E-5</v>
      </c>
      <c r="AH9" s="146"/>
      <c r="AI9" s="107">
        <v>3</v>
      </c>
      <c r="AJ9" s="144" t="b">
        <v>0</v>
      </c>
      <c r="AK9" s="144" t="str">
        <v>J4</v>
      </c>
      <c r="AL9" s="248" t="str">
        <f t="shared" si="2"/>
        <v>EURFUT3MJ4_Quote</v>
      </c>
      <c r="AM9" s="249" t="str">
        <f t="shared" si="3"/>
        <v>EURFUT3MJ4ConvAdj_Quote</v>
      </c>
      <c r="AN9" s="248" t="str">
        <f>_xll.qlFuturesConvAdjustmentQuote($AM9,IborIndex,$AK9,$AL9,Volatility,MeanReversion,Permanent,Trigger,ObjectOverwrite)</f>
        <v>EURFUT3MJ4ConvAdj_Quote#0000</v>
      </c>
      <c r="AO9" s="75" t="str">
        <f>_xll.ohRangeRetrieveError(AN9)</f>
        <v/>
      </c>
      <c r="AP9" s="49"/>
    </row>
    <row r="10" spans="1:43" x14ac:dyDescent="0.2">
      <c r="A10" s="146"/>
      <c r="B10" s="107">
        <v>4</v>
      </c>
      <c r="C10" s="145" t="b">
        <v>0</v>
      </c>
      <c r="D10" s="144" t="str">
        <v>K4</v>
      </c>
      <c r="E10" s="143" t="str">
        <f t="shared" si="0"/>
        <v>EURFUT3MK4_Quote</v>
      </c>
      <c r="F10" s="142" t="str">
        <f>_xll.qlSimpleQuote(E10,,PriceTickValue,Permanent,Trigger,ObjectOverwrite)</f>
        <v>EURFUT3MK4_Quote#0000</v>
      </c>
      <c r="G10" s="105" t="str">
        <f>_xll.ohRangeRetrieveError(F10)</f>
        <v/>
      </c>
      <c r="H10" s="141"/>
      <c r="J10" s="323"/>
      <c r="K10" s="329">
        <v>4</v>
      </c>
      <c r="L10" s="328" t="b">
        <v>0</v>
      </c>
      <c r="M10" s="259" t="str">
        <v>K4</v>
      </c>
      <c r="N10" s="327">
        <v>41780</v>
      </c>
      <c r="O10" s="259" t="str">
        <v>FEIK4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K4</v>
      </c>
      <c r="AL10" s="248" t="str">
        <f t="shared" si="2"/>
        <v>EURFUT3MK4_Quote</v>
      </c>
      <c r="AM10" s="249" t="str">
        <f t="shared" si="3"/>
        <v>EURFUT3MK4ConvAdj_Quote</v>
      </c>
      <c r="AN10" s="248" t="str">
        <f>_xll.qlFuturesConvAdjustmentQuote($AM10,IborIndex,$AK10,$AL10,Volatility,MeanReversion,Permanent,Trigger,ObjectOverwrite)</f>
        <v>EURFUT3MK4ConvAdj_Quote#0000</v>
      </c>
      <c r="AO10" s="75" t="str">
        <f>_xll.ohRangeRetrieveError(AN10)</f>
        <v/>
      </c>
      <c r="AP10" s="49"/>
    </row>
    <row r="11" spans="1:43" ht="12" thickBot="1" x14ac:dyDescent="0.25">
      <c r="A11" s="146"/>
      <c r="B11" s="107">
        <v>5</v>
      </c>
      <c r="C11" s="145" t="b">
        <v>0</v>
      </c>
      <c r="D11" s="144" t="str">
        <v>M4</v>
      </c>
      <c r="E11" s="143" t="str">
        <f t="shared" si="0"/>
        <v>EURFUT3MM4_Quote</v>
      </c>
      <c r="F11" s="142" t="str">
        <f>_xll.qlSimpleQuote(E11,,PriceTickValue,Permanent,Trigger,ObjectOverwrite)</f>
        <v>EURFUT3MM4_Quote#0000</v>
      </c>
      <c r="G11" s="105" t="str">
        <f>_xll.ohRangeRetrieveError(F11)</f>
        <v/>
      </c>
      <c r="H11" s="141"/>
      <c r="J11" s="323"/>
      <c r="K11" s="329">
        <v>5</v>
      </c>
      <c r="L11" s="328" t="b">
        <v>0</v>
      </c>
      <c r="M11" s="259" t="str">
        <v>M4</v>
      </c>
      <c r="N11" s="327">
        <v>41808</v>
      </c>
      <c r="O11" s="259" t="str">
        <v>FEIM4</v>
      </c>
      <c r="P11" s="326">
        <v>41624</v>
      </c>
      <c r="Q11" s="259">
        <v>99.674999999999997</v>
      </c>
      <c r="R11" s="259">
        <v>99.68</v>
      </c>
      <c r="S11" s="259">
        <v>99.674999999999997</v>
      </c>
      <c r="T11" s="259">
        <v>99.674999999999997</v>
      </c>
      <c r="U11" s="262">
        <f>_xll.qlMidSafe($Q11,$R11)</f>
        <v>99.677500000000009</v>
      </c>
      <c r="V11" s="253"/>
      <c r="W11" s="325">
        <v>99.707499999999996</v>
      </c>
      <c r="X11" s="253"/>
      <c r="Y11" s="324">
        <v>99.677500000000009</v>
      </c>
      <c r="Z11" s="262">
        <f>_xll.qlSimpleQuoteSetValue(F11,Y11,Trigger)</f>
        <v>-2.9999999999986926E-2</v>
      </c>
      <c r="AA11" s="49"/>
      <c r="AB11" s="17"/>
      <c r="AC11" s="83" t="s">
        <v>118</v>
      </c>
      <c r="AD11" s="81" t="s">
        <v>250</v>
      </c>
      <c r="AE11" s="17"/>
      <c r="AF11" s="290">
        <f t="shared" si="1"/>
        <v>4.9999999999954527E-5</v>
      </c>
      <c r="AH11" s="146"/>
      <c r="AI11" s="107">
        <v>5</v>
      </c>
      <c r="AJ11" s="144" t="b">
        <v>0</v>
      </c>
      <c r="AK11" s="144" t="str">
        <v>M4</v>
      </c>
      <c r="AL11" s="248" t="str">
        <f t="shared" si="2"/>
        <v>EURFUT3MM4_Quote</v>
      </c>
      <c r="AM11" s="249" t="str">
        <f t="shared" si="3"/>
        <v>EURFUT3MM4ConvAdj_Quote</v>
      </c>
      <c r="AN11" s="248" t="str">
        <f>_xll.qlFuturesConvAdjustmentQuote($AM11,IborIndex,$AK11,$AL11,Volatility,MeanReversion,Permanent,Trigger,ObjectOverwrite)</f>
        <v>EURFUT3MM4ConvAdj_Quote#0000</v>
      </c>
      <c r="AO11" s="75" t="str">
        <f>_xll.ohRangeRetrieveError(AN11)</f>
        <v/>
      </c>
      <c r="AP11" s="49"/>
    </row>
    <row r="12" spans="1:43" x14ac:dyDescent="0.2">
      <c r="A12" s="146"/>
      <c r="B12" s="107">
        <v>6</v>
      </c>
      <c r="C12" s="145" t="b">
        <v>0</v>
      </c>
      <c r="D12" s="144" t="str">
        <v>N4</v>
      </c>
      <c r="E12" s="143" t="str">
        <f t="shared" si="0"/>
        <v>EURFUT3MN4_Quote</v>
      </c>
      <c r="F12" s="142" t="str">
        <f>_xll.qlSimpleQuote(E12,,PriceTickValue,Permanent,Trigger,ObjectOverwrite)</f>
        <v>EURFUT3MN4_Quote#0000</v>
      </c>
      <c r="G12" s="105" t="str">
        <f>_xll.ohRangeRetrieveError(F12)</f>
        <v/>
      </c>
      <c r="H12" s="141"/>
      <c r="J12" s="323"/>
      <c r="K12" s="329">
        <v>6</v>
      </c>
      <c r="L12" s="328" t="b">
        <v>0</v>
      </c>
      <c r="M12" s="259" t="str">
        <v>N4</v>
      </c>
      <c r="N12" s="327">
        <v>41836</v>
      </c>
      <c r="O12" s="259" t="str">
        <v>FEIN4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N4</v>
      </c>
      <c r="AL12" s="248" t="str">
        <f t="shared" si="2"/>
        <v>EURFUT3MN4_Quote</v>
      </c>
      <c r="AM12" s="249" t="str">
        <f t="shared" si="3"/>
        <v>EURFUT3MN4ConvAdj_Quote</v>
      </c>
      <c r="AN12" s="248" t="str">
        <f>_xll.qlFuturesConvAdjustmentQuote($AM12,IborIndex,$AK12,$AL12,Volatility,MeanReversion,Permanent,Trigger,ObjectOverwrite)</f>
        <v>EURFUT3MN4ConvAdj_Quote#0000</v>
      </c>
      <c r="AO12" s="75" t="str">
        <f>_xll.ohRangeRetrieveError(AN12)</f>
        <v/>
      </c>
      <c r="AP12" s="49"/>
    </row>
    <row r="13" spans="1:43" x14ac:dyDescent="0.2">
      <c r="A13" s="146"/>
      <c r="B13" s="107">
        <v>7</v>
      </c>
      <c r="C13" s="145" t="b">
        <v>0</v>
      </c>
      <c r="D13" s="144" t="str">
        <v>Q4</v>
      </c>
      <c r="E13" s="143" t="str">
        <f t="shared" si="0"/>
        <v>EURFUT3MQ4_Quote</v>
      </c>
      <c r="F13" s="142" t="str">
        <f>_xll.qlSimpleQuote(E13,,PriceTickValue,Permanent,Trigger,ObjectOverwrite)</f>
        <v>EURFUT3MQ4_Quote#0000</v>
      </c>
      <c r="G13" s="105" t="str">
        <f>_xll.ohRangeRetrieveError(F13)</f>
        <v/>
      </c>
      <c r="H13" s="141"/>
      <c r="J13" s="323"/>
      <c r="K13" s="329">
        <v>7</v>
      </c>
      <c r="L13" s="328" t="b">
        <v>0</v>
      </c>
      <c r="M13" s="259" t="str">
        <v>Q4</v>
      </c>
      <c r="N13" s="327">
        <v>41871</v>
      </c>
      <c r="O13" s="259" t="str">
        <v>FEIQ4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Q4</v>
      </c>
      <c r="AL13" s="248" t="str">
        <f t="shared" si="2"/>
        <v>EURFUT3MQ4_Quote</v>
      </c>
      <c r="AM13" s="249" t="str">
        <f t="shared" si="3"/>
        <v>EURFUT3MQ4ConvAdj_Quote</v>
      </c>
      <c r="AN13" s="248" t="str">
        <f>_xll.qlFuturesConvAdjustmentQuote($AM13,IborIndex,$AK13,$AL13,Volatility,MeanReversion,Permanent,Trigger,ObjectOverwrite)</f>
        <v>EURFUT3MQ4ConvAdj_Quote#0000</v>
      </c>
      <c r="AO13" s="75" t="str">
        <f>_xll.ohRangeRetrieveError(AN13)</f>
        <v/>
      </c>
      <c r="AP13" s="49"/>
    </row>
    <row r="14" spans="1:43" x14ac:dyDescent="0.2">
      <c r="A14" s="146"/>
      <c r="B14" s="107">
        <v>8</v>
      </c>
      <c r="C14" s="145" t="b">
        <v>0</v>
      </c>
      <c r="D14" s="144" t="str">
        <v>U4</v>
      </c>
      <c r="E14" s="143" t="str">
        <f t="shared" si="0"/>
        <v>EURFUT3MU4_Quote</v>
      </c>
      <c r="F14" s="142" t="str">
        <f>_xll.qlSimpleQuote(E14,,PriceTickValue,Permanent,Trigger,ObjectOverwrite)</f>
        <v>EURFUT3MU4_Quote#0000</v>
      </c>
      <c r="G14" s="105" t="str">
        <f>_xll.ohRangeRetrieveError(F14)</f>
        <v/>
      </c>
      <c r="H14" s="141"/>
      <c r="J14" s="323"/>
      <c r="K14" s="329">
        <v>8</v>
      </c>
      <c r="L14" s="328" t="b">
        <v>0</v>
      </c>
      <c r="M14" s="259" t="str">
        <v>U4</v>
      </c>
      <c r="N14" s="327">
        <v>41899</v>
      </c>
      <c r="O14" s="259" t="str">
        <v>FEIU4</v>
      </c>
      <c r="P14" s="326">
        <v>41715</v>
      </c>
      <c r="Q14" s="259">
        <v>99.605000000000004</v>
      </c>
      <c r="R14" s="259">
        <v>99.61</v>
      </c>
      <c r="S14" s="259">
        <v>99.61</v>
      </c>
      <c r="T14" s="259">
        <v>99.61</v>
      </c>
      <c r="U14" s="262">
        <f>_xll.qlMidSafe($Q14,$R14)</f>
        <v>99.607500000000002</v>
      </c>
      <c r="V14" s="253"/>
      <c r="W14" s="325">
        <v>99.702500000000001</v>
      </c>
      <c r="X14" s="253"/>
      <c r="Y14" s="324">
        <v>99.607500000000002</v>
      </c>
      <c r="Z14" s="262">
        <f>_xll.qlSimpleQuoteSetValue(F14,Y14,Trigger)</f>
        <v>-9.4999999999998863E-2</v>
      </c>
      <c r="AA14" s="49"/>
      <c r="AB14" s="17"/>
      <c r="AC14" s="17"/>
      <c r="AD14" s="17"/>
      <c r="AE14" s="17"/>
      <c r="AF14" s="290">
        <f t="shared" si="1"/>
        <v>4.9999999999954527E-5</v>
      </c>
      <c r="AH14" s="146"/>
      <c r="AI14" s="107">
        <v>8</v>
      </c>
      <c r="AJ14" s="144" t="b">
        <v>0</v>
      </c>
      <c r="AK14" s="144" t="str">
        <v>U4</v>
      </c>
      <c r="AL14" s="248" t="str">
        <f t="shared" si="2"/>
        <v>EURFUT3MU4_Quote</v>
      </c>
      <c r="AM14" s="249" t="str">
        <f t="shared" si="3"/>
        <v>EURFUT3MU4ConvAdj_Quote</v>
      </c>
      <c r="AN14" s="248" t="str">
        <f>_xll.qlFuturesConvAdjustmentQuote($AM14,IborIndex,$AK14,$AL14,Volatility,MeanReversion,Permanent,Trigger,ObjectOverwrite)</f>
        <v>EURFUT3MU4ConvAdj_Quote#0000</v>
      </c>
      <c r="AO14" s="75" t="str">
        <f>_xll.ohRangeRetrieveError(AN14)</f>
        <v/>
      </c>
      <c r="AP14" s="49"/>
    </row>
    <row r="15" spans="1:43" x14ac:dyDescent="0.2">
      <c r="A15" s="146"/>
      <c r="B15" s="107">
        <v>9</v>
      </c>
      <c r="C15" s="145" t="b">
        <v>0</v>
      </c>
      <c r="D15" s="144" t="str">
        <v>V4</v>
      </c>
      <c r="E15" s="143" t="str">
        <f t="shared" si="0"/>
        <v>EURFUT3MV4_Quote</v>
      </c>
      <c r="F15" s="142" t="str">
        <f>_xll.qlSimpleQuote(E15,,PriceTickValue,Permanent,Trigger,ObjectOverwrite)</f>
        <v>EURFUT3MV4_Quote#0000</v>
      </c>
      <c r="G15" s="105" t="str">
        <f>_xll.ohRangeRetrieveError(F15)</f>
        <v/>
      </c>
      <c r="H15" s="141"/>
      <c r="J15" s="323"/>
      <c r="K15" s="329">
        <v>9</v>
      </c>
      <c r="L15" s="328" t="b">
        <v>0</v>
      </c>
      <c r="M15" s="259" t="str">
        <v>V4</v>
      </c>
      <c r="N15" s="327">
        <v>41927</v>
      </c>
      <c r="O15" s="259" t="str">
        <v>FEIV4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V4</v>
      </c>
      <c r="AL15" s="248" t="str">
        <f t="shared" si="2"/>
        <v>EURFUT3MV4_Quote</v>
      </c>
      <c r="AM15" s="249" t="str">
        <f t="shared" si="3"/>
        <v>EURFUT3MV4ConvAdj_Quote</v>
      </c>
      <c r="AN15" s="248" t="str">
        <f>_xll.qlFuturesConvAdjustmentQuote($AM15,IborIndex,$AK15,$AL15,Volatility,MeanReversion,Permanent,Trigger,ObjectOverwrite)</f>
        <v>EURFUT3MV4ConvAdj_Quote#0000</v>
      </c>
      <c r="AO15" s="75" t="str">
        <f>_xll.ohRangeRetrieveError(AN15)</f>
        <v/>
      </c>
      <c r="AP15" s="49"/>
    </row>
    <row r="16" spans="1:43" x14ac:dyDescent="0.2">
      <c r="A16" s="146"/>
      <c r="B16" s="107">
        <v>10</v>
      </c>
      <c r="C16" s="145" t="b">
        <v>0</v>
      </c>
      <c r="D16" s="144" t="str">
        <v>X4</v>
      </c>
      <c r="E16" s="143" t="str">
        <f t="shared" si="0"/>
        <v>EURFUT3MX4_Quote</v>
      </c>
      <c r="F16" s="142" t="str">
        <f>_xll.qlSimpleQuote(E16,,PriceTickValue,Permanent,Trigger,ObjectOverwrite)</f>
        <v>EURFUT3MX4_Quote#0000</v>
      </c>
      <c r="G16" s="105" t="str">
        <f>_xll.ohRangeRetrieveError(F16)</f>
        <v/>
      </c>
      <c r="H16" s="141"/>
      <c r="J16" s="323"/>
      <c r="K16" s="329">
        <v>10</v>
      </c>
      <c r="L16" s="328" t="b">
        <v>0</v>
      </c>
      <c r="M16" s="259" t="str">
        <v>X4</v>
      </c>
      <c r="N16" s="327">
        <v>41962</v>
      </c>
      <c r="O16" s="259" t="str">
        <v>FEIX4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X4</v>
      </c>
      <c r="AL16" s="248" t="str">
        <f t="shared" si="2"/>
        <v>EURFUT3MX4_Quote</v>
      </c>
      <c r="AM16" s="249" t="str">
        <f t="shared" si="3"/>
        <v>EURFUT3MX4ConvAdj_Quote</v>
      </c>
      <c r="AN16" s="248" t="str">
        <f>_xll.qlFuturesConvAdjustmentQuote($AM16,IborIndex,$AK16,$AL16,Volatility,MeanReversion,Permanent,Trigger,ObjectOverwrite)</f>
        <v>EURFUT3MX4ConvAdj_Quote#0000</v>
      </c>
      <c r="AO16" s="75" t="str">
        <f>_xll.ohRangeRetrieveError(AN16)</f>
        <v/>
      </c>
      <c r="AP16" s="49"/>
    </row>
    <row r="17" spans="1:42" x14ac:dyDescent="0.2">
      <c r="A17" s="146"/>
      <c r="B17" s="107">
        <v>11</v>
      </c>
      <c r="C17" s="145" t="b">
        <v>0</v>
      </c>
      <c r="D17" s="144" t="str">
        <v>Z4</v>
      </c>
      <c r="E17" s="143" t="str">
        <f t="shared" si="0"/>
        <v>EURFUT3MZ4_Quote</v>
      </c>
      <c r="F17" s="142" t="str">
        <f>_xll.qlSimpleQuote(E17,,PriceTickValue,Permanent,Trigger,ObjectOverwrite)</f>
        <v>EURFUT3MZ4_Quote#0000</v>
      </c>
      <c r="G17" s="105" t="str">
        <f>_xll.ohRangeRetrieveError(F17)</f>
        <v/>
      </c>
      <c r="H17" s="141"/>
      <c r="J17" s="323"/>
      <c r="K17" s="329">
        <v>11</v>
      </c>
      <c r="L17" s="328" t="b">
        <v>0</v>
      </c>
      <c r="M17" s="259" t="str">
        <v>Z4</v>
      </c>
      <c r="N17" s="327">
        <v>41990</v>
      </c>
      <c r="O17" s="259" t="str">
        <v>FEIZ4</v>
      </c>
      <c r="P17" s="326">
        <v>41806</v>
      </c>
      <c r="Q17" s="259">
        <v>99.545000000000002</v>
      </c>
      <c r="R17" s="259">
        <v>99.55</v>
      </c>
      <c r="S17" s="259">
        <v>99.55</v>
      </c>
      <c r="T17" s="259">
        <v>99.56</v>
      </c>
      <c r="U17" s="262">
        <f>_xll.qlMidSafe($Q17,$R17)</f>
        <v>99.547499999999999</v>
      </c>
      <c r="V17" s="253"/>
      <c r="W17" s="325">
        <v>99.682500000000005</v>
      </c>
      <c r="X17" s="253"/>
      <c r="Y17" s="324">
        <v>99.547499999999999</v>
      </c>
      <c r="Z17" s="262">
        <f>_xll.qlSimpleQuoteSetValue(F17,Y17,Trigger)</f>
        <v>-0.13500000000000512</v>
      </c>
      <c r="AA17" s="49"/>
      <c r="AB17" s="17"/>
      <c r="AC17" s="17"/>
      <c r="AD17" s="17"/>
      <c r="AE17" s="17"/>
      <c r="AF17" s="290">
        <f t="shared" si="1"/>
        <v>4.9999999999954527E-5</v>
      </c>
      <c r="AH17" s="146"/>
      <c r="AI17" s="107">
        <v>11</v>
      </c>
      <c r="AJ17" s="144" t="b">
        <v>0</v>
      </c>
      <c r="AK17" s="144" t="str">
        <v>Z4</v>
      </c>
      <c r="AL17" s="248" t="str">
        <f t="shared" si="2"/>
        <v>EURFUT3MZ4_Quote</v>
      </c>
      <c r="AM17" s="249" t="str">
        <f t="shared" si="3"/>
        <v>EURFUT3MZ4ConvAdj_Quote</v>
      </c>
      <c r="AN17" s="248" t="str">
        <f>_xll.qlFuturesConvAdjustmentQuote($AM17,IborIndex,$AK17,$AL17,Volatility,MeanReversion,Permanent,Trigger,ObjectOverwrite)</f>
        <v>EURFUT3MZ4ConvAdj_Quote#0000</v>
      </c>
      <c r="AO17" s="75" t="str">
        <f>_xll.ohRangeRetrieveError(AN17)</f>
        <v/>
      </c>
      <c r="AP17" s="49"/>
    </row>
    <row r="18" spans="1:42" x14ac:dyDescent="0.2">
      <c r="A18" s="146"/>
      <c r="B18" s="107">
        <v>12</v>
      </c>
      <c r="C18" s="145" t="b">
        <v>0</v>
      </c>
      <c r="D18" s="144" t="str">
        <v>F5</v>
      </c>
      <c r="E18" s="143" t="str">
        <f t="shared" si="0"/>
        <v>EURFUT3MF5_Quote</v>
      </c>
      <c r="F18" s="142" t="str">
        <f>_xll.qlSimpleQuote(E18,,PriceTickValue,Permanent,Trigger,ObjectOverwrite)</f>
        <v>EURFUT3MF5_Quote#0000</v>
      </c>
      <c r="G18" s="105" t="str">
        <f>_xll.ohRangeRetrieveError(F18)</f>
        <v/>
      </c>
      <c r="H18" s="141"/>
      <c r="J18" s="323"/>
      <c r="K18" s="329">
        <v>12</v>
      </c>
      <c r="L18" s="328" t="b">
        <v>0</v>
      </c>
      <c r="M18" s="259" t="str">
        <v>F5</v>
      </c>
      <c r="N18" s="327">
        <v>42025</v>
      </c>
      <c r="O18" s="259" t="str">
        <v>FEIF5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F5</v>
      </c>
      <c r="AL18" s="248" t="str">
        <f t="shared" si="2"/>
        <v>EURFUT3MF5_Quote</v>
      </c>
      <c r="AM18" s="249" t="str">
        <f t="shared" si="3"/>
        <v>EURFUT3MF5ConvAdj_Quote</v>
      </c>
      <c r="AN18" s="248" t="str">
        <f>_xll.qlFuturesConvAdjustmentQuote($AM18,IborIndex,$AK18,$AL18,Volatility,MeanReversion,Permanent,Trigger,ObjectOverwrite)</f>
        <v>EURFUT3MF5ConvAdj_Quote#0000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99.487499999999997</v>
      </c>
      <c r="Z19" s="262">
        <f>_xll.qlSimpleQuoteSetValue(F19,Y19,Trigger)</f>
        <v>-0.15500000000000114</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99.417500000000004</v>
      </c>
      <c r="Z20" s="262">
        <f>_xll.qlSimpleQuoteSetValue(F20,Y20,Trigger)</f>
        <v>-0.17000000000000171</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99.347499999999997</v>
      </c>
      <c r="Z21" s="262">
        <f>_xll.qlSimpleQuoteSetValue(F21,Y21,Trigger)</f>
        <v>-0.15999999999999659</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99.267499999999998</v>
      </c>
      <c r="Z22" s="262">
        <f>_xll.qlSimpleQuoteSetValue(F22,Y22,Trigger)</f>
        <v>-0.14499999999999602</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99.182500000000005</v>
      </c>
      <c r="Z23" s="262">
        <f>_xll.qlSimpleQuoteSetValue(F23,Y23,Trigger)</f>
        <v>-0.10999999999999943</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99.074999999999989</v>
      </c>
      <c r="Z24" s="262">
        <f>_xll.qlSimpleQuoteSetValue(F24,Y24,Trigger)</f>
        <v>-8.5000000000007958E-2</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98.949999999999989</v>
      </c>
      <c r="Z25" s="262">
        <f>_xll.qlSimpleQuoteSetValue(F25,Y25,Trigger)</f>
        <v>-5.7500000000004547E-2</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98.802500000000009</v>
      </c>
      <c r="Z26" s="262">
        <f>_xll.qlSimpleQuoteSetValue(F26,Y26,Trigger)</f>
        <v>-4.2499999999989768E-2</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98.655000000000001</v>
      </c>
      <c r="Z27" s="262">
        <f>_xll.qlSimpleQuoteSetValue(F27,Y27,Trigger)</f>
        <v>-3.9999999999992042E-2</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98.515000000000001</v>
      </c>
      <c r="Z28" s="262">
        <f>_xll.qlSimpleQuoteSetValue(F28,Y28,Trigger)</f>
        <v>-2.5000000000005684E-2</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98.38</v>
      </c>
      <c r="Z29" s="262">
        <f>_xll.qlSimpleQuoteSetValue(F29,Y29,Trigger)</f>
        <v>-1.5000000000000568E-2</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98.245000000000005</v>
      </c>
      <c r="Z30" s="262">
        <f>_xll.qlSimpleQuoteSetValue(F30,Y30,Trigger)</f>
        <v>-1.2499999999988631E-2</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98.122500000000002</v>
      </c>
      <c r="Z31" s="262">
        <f>_xll.qlSimpleQuoteSetValue(F31,Y31,Trigger)</f>
        <v>-1.9999999999996021E-2</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98.004999999999995</v>
      </c>
      <c r="Z32" s="262">
        <f>_xll.qlSimpleQuoteSetValue(F32,Y32,Trigger)</f>
        <v>-2.0000000000010232E-2</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97.91749999999999</v>
      </c>
      <c r="Z33" s="262">
        <f>_xll.qlSimpleQuoteSetValue(F33,Y33,Trigger)</f>
        <v>2.4999999999835154E-3</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97.83250000000001</v>
      </c>
      <c r="Z34" s="262">
        <f>_xll.qlSimpleQuoteSetValue(F34,Y34,Trigger)</f>
        <v>4.5000000000015916E-2</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97.757499999999993</v>
      </c>
      <c r="Z35" s="262">
        <f>_xll.qlSimpleQuoteSetValue(F35,Y35,Trigger)</f>
        <v>7.2499999999990905E-2</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97.67</v>
      </c>
      <c r="Z36" s="262">
        <f>_xll.qlSimpleQuoteSetValue(F36,Y36,Trigger)</f>
        <v>9.0000000000003411E-2</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t="e">
        <v>#NUM!</v>
      </c>
      <c r="Z37" s="262" t="e">
        <f>_xll.qlSimpleQuoteSetValue(F37,Y37,Trigger)</f>
        <v>#NUM!</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t="e">
        <v>#NUM!</v>
      </c>
      <c r="Z38" s="262" t="e">
        <f>_xll.qlSimpleQuoteSetValue(F38,Y38,Trigger)</f>
        <v>#NUM!</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41698</v>
      </c>
      <c r="O4" s="137"/>
      <c r="P4" s="137"/>
      <c r="Q4" s="137"/>
      <c r="R4" s="137"/>
      <c r="S4" s="137"/>
      <c r="T4" s="137"/>
      <c r="U4" s="137"/>
      <c r="V4" s="253"/>
      <c r="W4" s="253"/>
      <c r="X4" s="137"/>
      <c r="Y4" s="137"/>
      <c r="Z4" s="284">
        <f>_xll.ohTrigger(Z6:Z9)</f>
        <v>1</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G4</v>
      </c>
      <c r="E6" s="143" t="str">
        <f t="shared" ref="E6:E37" si="0">Currency&amp;$D$4&amp;$E$4&amp;$D6&amp;QuoteSuffix</f>
        <v>EURIMMFRA6MG4_Quote</v>
      </c>
      <c r="F6" s="148" t="str">
        <f>_xll.qlSimpleQuote(E6,,PriceTickValue,Permanent,Trigger,ObjectOverwrite)</f>
        <v>EURIMMFRA6MG4_Quote#0000</v>
      </c>
      <c r="G6" s="147" t="str">
        <f>_xll.ohRangeRetrieveError(F6)</f>
        <v/>
      </c>
      <c r="H6" s="141"/>
      <c r="J6" s="323"/>
      <c r="K6" s="336">
        <v>1</v>
      </c>
      <c r="L6" s="335" t="b">
        <v>0</v>
      </c>
      <c r="M6" s="271" t="str">
        <f t="array" ref="M6:M9">_xll.qlIMMcode(FuturesDates)</f>
        <v>H4</v>
      </c>
      <c r="N6" s="334">
        <f t="array" ref="N6:N9">_xll.qlIMMNextDates(N4,$L6:$L9)</f>
        <v>41717</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t="e">
        <f>_xll.qlSimpleQuoteSetValue(F6,Y6,Trigger)</f>
        <v>#N/A</v>
      </c>
      <c r="AA6" s="49"/>
      <c r="AB6" s="17"/>
      <c r="AC6" s="290">
        <f>(R6-Q6)/100</f>
        <v>4.999999999999999E-4</v>
      </c>
    </row>
    <row r="7" spans="1:29" x14ac:dyDescent="0.2">
      <c r="A7" s="146"/>
      <c r="B7" s="107">
        <v>2</v>
      </c>
      <c r="C7" s="145" t="b">
        <v>0</v>
      </c>
      <c r="D7" s="144" t="str">
        <v>H4</v>
      </c>
      <c r="E7" s="143" t="str">
        <f t="shared" si="0"/>
        <v>EURIMMFRA6MH4_Quote</v>
      </c>
      <c r="F7" s="142" t="str">
        <f>_xll.qlSimpleQuote(E7,,PriceTickValue,Permanent,Trigger,ObjectOverwrite)</f>
        <v>EURIMMFRA6MH4_Quote#0000</v>
      </c>
      <c r="G7" s="105" t="str">
        <f>_xll.ohRangeRetrieveError(F7)</f>
        <v/>
      </c>
      <c r="H7" s="141"/>
      <c r="J7" s="323"/>
      <c r="K7" s="329">
        <v>2</v>
      </c>
      <c r="L7" s="328" t="b">
        <v>0</v>
      </c>
      <c r="M7" s="259" t="str">
        <v>J4</v>
      </c>
      <c r="N7" s="327">
        <v>41745</v>
      </c>
      <c r="O7" s="259" t="str">
        <v>EUR6F2=ICAP</v>
      </c>
      <c r="P7" s="326" t="s">
        <v>255</v>
      </c>
      <c r="Q7" s="259">
        <v>0.36199999999999999</v>
      </c>
      <c r="R7" s="259">
        <v>0.41199999999999998</v>
      </c>
      <c r="S7" s="259">
        <v>0</v>
      </c>
      <c r="T7" s="259">
        <v>0</v>
      </c>
      <c r="U7" s="262">
        <f>100-_xll.qlMidSafe($Q7,$R7)</f>
        <v>99.613</v>
      </c>
      <c r="V7" s="253"/>
      <c r="W7" s="330">
        <v>99.613</v>
      </c>
      <c r="X7" s="253"/>
      <c r="Y7" s="324">
        <v>99.613</v>
      </c>
      <c r="Z7" s="262" t="e">
        <f>_xll.qlSimpleQuoteSetValue(F7,Y7,Trigger)</f>
        <v>#N/A</v>
      </c>
      <c r="AA7" s="49"/>
      <c r="AB7" s="17"/>
      <c r="AC7" s="290">
        <f>(R7-Q7)/100</f>
        <v>4.999999999999999E-4</v>
      </c>
    </row>
    <row r="8" spans="1:29" x14ac:dyDescent="0.2">
      <c r="A8" s="146"/>
      <c r="B8" s="107">
        <v>3</v>
      </c>
      <c r="C8" s="145" t="b">
        <v>0</v>
      </c>
      <c r="D8" s="144" t="str">
        <v>J4</v>
      </c>
      <c r="E8" s="143" t="str">
        <f t="shared" si="0"/>
        <v>EURIMMFRA6MJ4_Quote</v>
      </c>
      <c r="F8" s="142" t="str">
        <f>_xll.qlSimpleQuote(E8,,PriceTickValue,Permanent,Trigger,ObjectOverwrite)</f>
        <v>EURIMMFRA6MJ4_Quote#0000</v>
      </c>
      <c r="G8" s="105" t="str">
        <f>_xll.ohRangeRetrieveError(F8)</f>
        <v/>
      </c>
      <c r="H8" s="141"/>
      <c r="J8" s="323"/>
      <c r="K8" s="329">
        <v>3</v>
      </c>
      <c r="L8" s="328" t="b">
        <v>0</v>
      </c>
      <c r="M8" s="259" t="str">
        <v>K4</v>
      </c>
      <c r="N8" s="327">
        <v>41780</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t="e">
        <f>_xll.qlSimpleQuoteSetValue(F8,Y8,Trigger)</f>
        <v>#N/A</v>
      </c>
      <c r="AA8" s="49"/>
      <c r="AB8" s="17"/>
      <c r="AC8" s="290">
        <f>(R8-Q8)/100</f>
        <v>4.999999999999999E-4</v>
      </c>
    </row>
    <row r="9" spans="1:29" x14ac:dyDescent="0.2">
      <c r="A9" s="146"/>
      <c r="B9" s="107">
        <v>4</v>
      </c>
      <c r="C9" s="145" t="b">
        <v>0</v>
      </c>
      <c r="D9" s="144" t="str">
        <v>K4</v>
      </c>
      <c r="E9" s="143" t="str">
        <f t="shared" si="0"/>
        <v>EURIMMFRA6MK4_Quote</v>
      </c>
      <c r="F9" s="142" t="str">
        <f>_xll.qlSimpleQuote(E9,,PriceTickValue,Permanent,Trigger,ObjectOverwrite)</f>
        <v>EURIMMFRA6MK4_Quote#0000</v>
      </c>
      <c r="G9" s="105" t="str">
        <f>_xll.ohRangeRetrieveError(F9)</f>
        <v/>
      </c>
      <c r="H9" s="141"/>
      <c r="J9" s="323"/>
      <c r="K9" s="322">
        <v>4</v>
      </c>
      <c r="L9" s="321" t="b">
        <v>0</v>
      </c>
      <c r="M9" s="251" t="str">
        <v>M4</v>
      </c>
      <c r="N9" s="320">
        <v>41808</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t="e">
        <f>_xll.qlSimpleQuoteSetValue(F9,Y9,Trigger)</f>
        <v>#N/A</v>
      </c>
      <c r="AA9" s="49"/>
      <c r="AB9" s="17"/>
      <c r="AC9" s="290">
        <f>(R9-Q9)/100</f>
        <v>4.999999999999999E-4</v>
      </c>
    </row>
    <row r="10" spans="1:29" ht="12" thickBot="1" x14ac:dyDescent="0.25">
      <c r="A10" s="146"/>
      <c r="B10" s="107">
        <v>5</v>
      </c>
      <c r="C10" s="145" t="b">
        <v>0</v>
      </c>
      <c r="D10" s="144" t="str">
        <v>M4</v>
      </c>
      <c r="E10" s="143" t="str">
        <f t="shared" si="0"/>
        <v>EURIMMFRA6MM4_Quote</v>
      </c>
      <c r="F10" s="142" t="str">
        <f>_xll.qlSimpleQuote(E10,,PriceTickValue,Permanent,Trigger,ObjectOverwrite)</f>
        <v>EURIMMFRA6MM4_Quote#0000</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N4</v>
      </c>
      <c r="E11" s="143" t="str">
        <f t="shared" si="0"/>
        <v>EURIMMFRA6MN4_Quote</v>
      </c>
      <c r="F11" s="142" t="str">
        <f>_xll.qlSimpleQuote(E11,,PriceTickValue,Permanent,Trigger,ObjectOverwrite)</f>
        <v>EURIMMFRA6MN4_Quote#0000</v>
      </c>
      <c r="G11" s="105" t="str">
        <f>_xll.ohRangeRetrieveError(F11)</f>
        <v/>
      </c>
      <c r="H11" s="141"/>
    </row>
    <row r="12" spans="1:29" x14ac:dyDescent="0.2">
      <c r="A12" s="146"/>
      <c r="B12" s="107">
        <v>7</v>
      </c>
      <c r="C12" s="145" t="b">
        <v>0</v>
      </c>
      <c r="D12" s="144" t="str">
        <v>Q4</v>
      </c>
      <c r="E12" s="143" t="str">
        <f t="shared" si="0"/>
        <v>EURIMMFRA6MQ4_Quote</v>
      </c>
      <c r="F12" s="142" t="str">
        <f>_xll.qlSimpleQuote(E12,,PriceTickValue,Permanent,Trigger,ObjectOverwrite)</f>
        <v>EURIMMFRA6MQ4_Quote#0000</v>
      </c>
      <c r="G12" s="105" t="str">
        <f>_xll.ohRangeRetrieveError(F12)</f>
        <v/>
      </c>
      <c r="H12" s="141"/>
    </row>
    <row r="13" spans="1:29" x14ac:dyDescent="0.2">
      <c r="A13" s="146"/>
      <c r="B13" s="107">
        <v>8</v>
      </c>
      <c r="C13" s="145" t="b">
        <v>0</v>
      </c>
      <c r="D13" s="144" t="str">
        <v>U4</v>
      </c>
      <c r="E13" s="143" t="str">
        <f t="shared" si="0"/>
        <v>EURIMMFRA6MU4_Quote</v>
      </c>
      <c r="F13" s="142" t="str">
        <f>_xll.qlSimpleQuote(E13,,PriceTickValue,Permanent,Trigger,ObjectOverwrite)</f>
        <v>EURIMMFRA6MU4_Quote#0000</v>
      </c>
      <c r="G13" s="105" t="str">
        <f>_xll.ohRangeRetrieveError(F13)</f>
        <v/>
      </c>
      <c r="H13" s="141"/>
    </row>
    <row r="14" spans="1:29" x14ac:dyDescent="0.2">
      <c r="A14" s="146"/>
      <c r="B14" s="107">
        <v>9</v>
      </c>
      <c r="C14" s="145" t="b">
        <v>0</v>
      </c>
      <c r="D14" s="144" t="str">
        <v>V4</v>
      </c>
      <c r="E14" s="143" t="str">
        <f t="shared" si="0"/>
        <v>EURIMMFRA6MV4_Quote</v>
      </c>
      <c r="F14" s="142" t="str">
        <f>_xll.qlSimpleQuote(E14,,PriceTickValue,Permanent,Trigger,ObjectOverwrite)</f>
        <v>EURIMMFRA6MV4_Quote#0000</v>
      </c>
      <c r="G14" s="105" t="str">
        <f>_xll.ohRangeRetrieveError(F14)</f>
        <v/>
      </c>
      <c r="H14" s="141"/>
    </row>
    <row r="15" spans="1:29" x14ac:dyDescent="0.2">
      <c r="A15" s="146"/>
      <c r="B15" s="107">
        <v>10</v>
      </c>
      <c r="C15" s="145" t="b">
        <v>0</v>
      </c>
      <c r="D15" s="144" t="str">
        <v>X4</v>
      </c>
      <c r="E15" s="143" t="str">
        <f t="shared" si="0"/>
        <v>EURIMMFRA6MX4_Quote</v>
      </c>
      <c r="F15" s="142" t="str">
        <f>_xll.qlSimpleQuote(E15,,PriceTickValue,Permanent,Trigger,ObjectOverwrite)</f>
        <v>EURIMMFRA6MX4_Quote#0000</v>
      </c>
      <c r="G15" s="105" t="str">
        <f>_xll.ohRangeRetrieveError(F15)</f>
        <v/>
      </c>
      <c r="H15" s="141"/>
    </row>
    <row r="16" spans="1:29" x14ac:dyDescent="0.2">
      <c r="A16" s="146"/>
      <c r="B16" s="107">
        <v>11</v>
      </c>
      <c r="C16" s="145" t="b">
        <v>0</v>
      </c>
      <c r="D16" s="144" t="str">
        <v>Z4</v>
      </c>
      <c r="E16" s="143" t="str">
        <f t="shared" si="0"/>
        <v>EURIMMFRA6MZ4_Quote</v>
      </c>
      <c r="F16" s="142" t="str">
        <f>_xll.qlSimpleQuote(E16,,PriceTickValue,Permanent,Trigger,ObjectOverwrite)</f>
        <v>EURIMMFRA6MZ4_Quote#0000</v>
      </c>
      <c r="G16" s="105" t="str">
        <f>_xll.ohRangeRetrieveError(F16)</f>
        <v/>
      </c>
      <c r="H16" s="141"/>
    </row>
    <row r="17" spans="1:8" x14ac:dyDescent="0.2">
      <c r="A17" s="146"/>
      <c r="B17" s="107">
        <v>12</v>
      </c>
      <c r="C17" s="145" t="b">
        <v>0</v>
      </c>
      <c r="D17" s="144" t="str">
        <v>F5</v>
      </c>
      <c r="E17" s="143" t="str">
        <f t="shared" si="0"/>
        <v>EURIMMFRA6MF5_Quote</v>
      </c>
      <c r="F17" s="142" t="str">
        <f>_xll.qlSimpleQuote(E17,,PriceTickValue,Permanent,Trigger,ObjectOverwrite)</f>
        <v>EURIMMFRA6MF5_Quote#0000</v>
      </c>
      <c r="G17" s="105" t="str">
        <f>_xll.ohRangeRetrieveError(F17)</f>
        <v/>
      </c>
      <c r="H17" s="141"/>
    </row>
    <row r="18" spans="1:8" x14ac:dyDescent="0.2">
      <c r="A18" s="146"/>
      <c r="B18" s="107">
        <v>13</v>
      </c>
      <c r="C18" s="145" t="b">
        <v>0</v>
      </c>
      <c r="D18" s="144" t="str">
        <v>G5</v>
      </c>
      <c r="E18" s="143" t="str">
        <f t="shared" si="0"/>
        <v>EURIMMFRA6MG5_Quote</v>
      </c>
      <c r="F18" s="142" t="str">
        <f>_xll.qlSimpleQuote(E18,,PriceTickValue,Permanent,Trigger,ObjectOverwrite)</f>
        <v>EURIMMFRA6MG5_Quote#0000</v>
      </c>
      <c r="G18" s="105" t="str">
        <f>_xll.ohRangeRetrieveError(F18)</f>
        <v/>
      </c>
      <c r="H18" s="141"/>
    </row>
    <row r="19" spans="1:8" x14ac:dyDescent="0.2">
      <c r="A19" s="146"/>
      <c r="B19" s="107">
        <v>14</v>
      </c>
      <c r="C19" s="145" t="b">
        <v>0</v>
      </c>
      <c r="D19" s="144" t="str">
        <v>H5</v>
      </c>
      <c r="E19" s="143" t="str">
        <f t="shared" si="0"/>
        <v>EURIMMFRA6MH5_Quote</v>
      </c>
      <c r="F19" s="142" t="str">
        <f>_xll.qlSimpleQuote(E19,,PriceTickValue,Permanent,Trigger,ObjectOverwrite)</f>
        <v>EURIMMFRA6MH5_Quote#0000</v>
      </c>
      <c r="G19" s="105" t="str">
        <f>_xll.ohRangeRetrieveError(F19)</f>
        <v/>
      </c>
      <c r="H19" s="141"/>
    </row>
    <row r="20" spans="1:8" x14ac:dyDescent="0.2">
      <c r="A20" s="146"/>
      <c r="B20" s="107">
        <v>15</v>
      </c>
      <c r="C20" s="145" t="b">
        <v>0</v>
      </c>
      <c r="D20" s="144" t="str">
        <v>J5</v>
      </c>
      <c r="E20" s="143" t="str">
        <f t="shared" si="0"/>
        <v>EURIMMFRA6MJ5_Quote</v>
      </c>
      <c r="F20" s="142" t="str">
        <f>_xll.qlSimpleQuote(E20,,PriceTickValue,Permanent,Trigger,ObjectOverwrite)</f>
        <v>EURIMMFRA6MJ5_Quote#0000</v>
      </c>
      <c r="G20" s="105" t="str">
        <f>_xll.ohRangeRetrieveError(F20)</f>
        <v/>
      </c>
      <c r="H20" s="141"/>
    </row>
    <row r="21" spans="1:8" x14ac:dyDescent="0.2">
      <c r="A21" s="146"/>
      <c r="B21" s="107">
        <v>16</v>
      </c>
      <c r="C21" s="145" t="b">
        <v>0</v>
      </c>
      <c r="D21" s="144" t="str">
        <v>K5</v>
      </c>
      <c r="E21" s="143" t="str">
        <f t="shared" si="0"/>
        <v>EURIMMFRA6MK5_Quote</v>
      </c>
      <c r="F21" s="142" t="str">
        <f>_xll.qlSimpleQuote(E21,,PriceTickValue,Permanent,Trigger,ObjectOverwrite)</f>
        <v>EURIMMFRA6MK5_Quote#0000</v>
      </c>
      <c r="G21" s="105" t="str">
        <f>_xll.ohRangeRetrieveError(F21)</f>
        <v/>
      </c>
      <c r="H21" s="141"/>
    </row>
    <row r="22" spans="1:8" x14ac:dyDescent="0.2">
      <c r="A22" s="146"/>
      <c r="B22" s="107">
        <v>17</v>
      </c>
      <c r="C22" s="145" t="b">
        <v>0</v>
      </c>
      <c r="D22" s="144" t="str">
        <v>M5</v>
      </c>
      <c r="E22" s="143" t="str">
        <f t="shared" si="0"/>
        <v>EURIMMFRA6MM5_Quote</v>
      </c>
      <c r="F22" s="142" t="str">
        <f>_xll.qlSimpleQuote(E22,,PriceTickValue,Permanent,Trigger,ObjectOverwrite)</f>
        <v>EURIMMFRA6MM5_Quote#0000</v>
      </c>
      <c r="G22" s="105" t="str">
        <f>_xll.ohRangeRetrieveError(F22)</f>
        <v/>
      </c>
      <c r="H22" s="141"/>
    </row>
    <row r="23" spans="1:8" x14ac:dyDescent="0.2">
      <c r="A23" s="146"/>
      <c r="B23" s="107">
        <v>18</v>
      </c>
      <c r="C23" s="145" t="b">
        <v>0</v>
      </c>
      <c r="D23" s="144" t="str">
        <v>N5</v>
      </c>
      <c r="E23" s="143" t="str">
        <f t="shared" si="0"/>
        <v>EURIMMFRA6MN5_Quote</v>
      </c>
      <c r="F23" s="142" t="str">
        <f>_xll.qlSimpleQuote(E23,,PriceTickValue,Permanent,Trigger,ObjectOverwrite)</f>
        <v>EURIMMFRA6MN5_Quote#0000</v>
      </c>
      <c r="G23" s="105" t="str">
        <f>_xll.ohRangeRetrieveError(F23)</f>
        <v/>
      </c>
      <c r="H23" s="141"/>
    </row>
    <row r="24" spans="1:8" x14ac:dyDescent="0.2">
      <c r="A24" s="146"/>
      <c r="B24" s="107">
        <v>19</v>
      </c>
      <c r="C24" s="145" t="b">
        <v>0</v>
      </c>
      <c r="D24" s="144" t="str">
        <v>Q5</v>
      </c>
      <c r="E24" s="143" t="str">
        <f t="shared" si="0"/>
        <v>EURIMMFRA6MQ5_Quote</v>
      </c>
      <c r="F24" s="142" t="str">
        <f>_xll.qlSimpleQuote(E24,,PriceTickValue,Permanent,Trigger,ObjectOverwrite)</f>
        <v>EURIMMFRA6MQ5_Quote#0000</v>
      </c>
      <c r="G24" s="105" t="str">
        <f>_xll.ohRangeRetrieveError(F24)</f>
        <v/>
      </c>
      <c r="H24" s="141"/>
    </row>
    <row r="25" spans="1:8" x14ac:dyDescent="0.2">
      <c r="A25" s="146"/>
      <c r="B25" s="107">
        <v>20</v>
      </c>
      <c r="C25" s="145" t="b">
        <v>0</v>
      </c>
      <c r="D25" s="144" t="str">
        <v>U5</v>
      </c>
      <c r="E25" s="143" t="str">
        <f t="shared" si="0"/>
        <v>EURIMMFRA6MU5_Quote</v>
      </c>
      <c r="F25" s="142" t="str">
        <f>_xll.qlSimpleQuote(E25,,PriceTickValue,Permanent,Trigger,ObjectOverwrite)</f>
        <v>EURIMMFRA6MU5_Quote#0000</v>
      </c>
      <c r="G25" s="105" t="str">
        <f>_xll.ohRangeRetrieveError(F25)</f>
        <v/>
      </c>
      <c r="H25" s="141"/>
    </row>
    <row r="26" spans="1:8" x14ac:dyDescent="0.2">
      <c r="A26" s="146"/>
      <c r="B26" s="107">
        <v>21</v>
      </c>
      <c r="C26" s="145" t="b">
        <v>0</v>
      </c>
      <c r="D26" s="144" t="str">
        <v>V5</v>
      </c>
      <c r="E26" s="143" t="str">
        <f t="shared" si="0"/>
        <v>EURIMMFRA6MV5_Quote</v>
      </c>
      <c r="F26" s="142" t="str">
        <f>_xll.qlSimpleQuote(E26,,PriceTickValue,Permanent,Trigger,ObjectOverwrite)</f>
        <v>EURIMMFRA6MV5_Quote#0000</v>
      </c>
      <c r="G26" s="105" t="str">
        <f>_xll.ohRangeRetrieveError(F26)</f>
        <v/>
      </c>
      <c r="H26" s="141"/>
    </row>
    <row r="27" spans="1:8" x14ac:dyDescent="0.2">
      <c r="A27" s="146"/>
      <c r="B27" s="107">
        <v>22</v>
      </c>
      <c r="C27" s="145" t="b">
        <v>0</v>
      </c>
      <c r="D27" s="144" t="str">
        <v>X5</v>
      </c>
      <c r="E27" s="143" t="str">
        <f t="shared" si="0"/>
        <v>EURIMMFRA6MX5_Quote</v>
      </c>
      <c r="F27" s="142" t="str">
        <f>_xll.qlSimpleQuote(E27,,PriceTickValue,Permanent,Trigger,ObjectOverwrite)</f>
        <v>EURIMMFRA6MX5_Quote#0000</v>
      </c>
      <c r="G27" s="105" t="str">
        <f>_xll.ohRangeRetrieveError(F27)</f>
        <v/>
      </c>
      <c r="H27" s="141"/>
    </row>
    <row r="28" spans="1:8" x14ac:dyDescent="0.2">
      <c r="A28" s="146"/>
      <c r="B28" s="107">
        <v>23</v>
      </c>
      <c r="C28" s="145" t="b">
        <v>0</v>
      </c>
      <c r="D28" s="144" t="str">
        <v>Z5</v>
      </c>
      <c r="E28" s="143" t="str">
        <f t="shared" si="0"/>
        <v>EURIMMFRA6MZ5_Quote</v>
      </c>
      <c r="F28" s="142" t="str">
        <f>_xll.qlSimpleQuote(E28,,PriceTickValue,Permanent,Trigger,ObjectOverwrite)</f>
        <v>EURIMMFRA6MZ5_Quote#0000</v>
      </c>
      <c r="G28" s="105" t="str">
        <f>_xll.ohRangeRetrieveError(F28)</f>
        <v/>
      </c>
      <c r="H28" s="141"/>
    </row>
    <row r="29" spans="1:8" x14ac:dyDescent="0.2">
      <c r="A29" s="146"/>
      <c r="B29" s="107">
        <v>24</v>
      </c>
      <c r="C29" s="145" t="b">
        <v>0</v>
      </c>
      <c r="D29" s="144" t="str">
        <v>F6</v>
      </c>
      <c r="E29" s="143" t="str">
        <f t="shared" si="0"/>
        <v>EURIMMFRA6MF6_Quote</v>
      </c>
      <c r="F29" s="142" t="str">
        <f>_xll.qlSimpleQuote(E29,,PriceTickValue,Permanent,Trigger,ObjectOverwrite)</f>
        <v>EURIMMFRA6MF6_Quote#0000</v>
      </c>
      <c r="G29" s="105" t="str">
        <f>_xll.ohRangeRetrieveError(F29)</f>
        <v/>
      </c>
      <c r="H29" s="141"/>
    </row>
    <row r="30" spans="1:8" x14ac:dyDescent="0.2">
      <c r="A30" s="146"/>
      <c r="B30" s="107">
        <v>25</v>
      </c>
      <c r="C30" s="145" t="b">
        <v>0</v>
      </c>
      <c r="D30" s="144" t="str">
        <v>G6</v>
      </c>
      <c r="E30" s="143" t="str">
        <f t="shared" si="0"/>
        <v>EURIMMFRA6MG6_Quote</v>
      </c>
      <c r="F30" s="142" t="str">
        <f>_xll.qlSimpleQuote(E30,,PriceTickValue,Permanent,Trigger,ObjectOverwrite)</f>
        <v>EURIMMFRA6MG6_Quote#0000</v>
      </c>
      <c r="G30" s="105" t="str">
        <f>_xll.ohRangeRetrieveError(F30)</f>
        <v/>
      </c>
      <c r="H30" s="141"/>
    </row>
    <row r="31" spans="1:8" x14ac:dyDescent="0.2">
      <c r="A31" s="146"/>
      <c r="B31" s="107">
        <v>26</v>
      </c>
      <c r="C31" s="145" t="b">
        <v>0</v>
      </c>
      <c r="D31" s="144" t="str">
        <v>H6</v>
      </c>
      <c r="E31" s="143" t="str">
        <f t="shared" si="0"/>
        <v>EURIMMFRA6MH6_Quote</v>
      </c>
      <c r="F31" s="142" t="str">
        <f>_xll.qlSimpleQuote(E31,,PriceTickValue,Permanent,Trigger,ObjectOverwrite)</f>
        <v>EURIMMFRA6MH6_Quote#0000</v>
      </c>
      <c r="G31" s="105" t="str">
        <f>_xll.ohRangeRetrieveError(F31)</f>
        <v/>
      </c>
      <c r="H31" s="141"/>
    </row>
    <row r="32" spans="1:8" x14ac:dyDescent="0.2">
      <c r="A32" s="146"/>
      <c r="B32" s="107">
        <v>27</v>
      </c>
      <c r="C32" s="145" t="b">
        <v>0</v>
      </c>
      <c r="D32" s="144" t="str">
        <v>J6</v>
      </c>
      <c r="E32" s="143" t="str">
        <f t="shared" si="0"/>
        <v>EURIMMFRA6MJ6_Quote</v>
      </c>
      <c r="F32" s="142" t="str">
        <f>_xll.qlSimpleQuote(E32,,PriceTickValue,Permanent,Trigger,ObjectOverwrite)</f>
        <v>EURIMMFRA6MJ6_Quote#0000</v>
      </c>
      <c r="G32" s="105" t="str">
        <f>_xll.ohRangeRetrieveError(F32)</f>
        <v/>
      </c>
      <c r="H32" s="141"/>
    </row>
    <row r="33" spans="1:8" x14ac:dyDescent="0.2">
      <c r="A33" s="146"/>
      <c r="B33" s="107">
        <v>28</v>
      </c>
      <c r="C33" s="145" t="b">
        <v>0</v>
      </c>
      <c r="D33" s="144" t="str">
        <v>K6</v>
      </c>
      <c r="E33" s="143" t="str">
        <f t="shared" si="0"/>
        <v>EURIMMFRA6MK6_Quote</v>
      </c>
      <c r="F33" s="142" t="str">
        <f>_xll.qlSimpleQuote(E33,,PriceTickValue,Permanent,Trigger,ObjectOverwrite)</f>
        <v>EURIMMFRA6MK6_Quote#0000</v>
      </c>
      <c r="G33" s="105" t="str">
        <f>_xll.ohRangeRetrieveError(F33)</f>
        <v/>
      </c>
      <c r="H33" s="141"/>
    </row>
    <row r="34" spans="1:8" x14ac:dyDescent="0.2">
      <c r="A34" s="146"/>
      <c r="B34" s="107">
        <v>29</v>
      </c>
      <c r="C34" s="145" t="b">
        <v>0</v>
      </c>
      <c r="D34" s="144" t="str">
        <v>M6</v>
      </c>
      <c r="E34" s="143" t="str">
        <f t="shared" si="0"/>
        <v>EURIMMFRA6MM6_Quote</v>
      </c>
      <c r="F34" s="142" t="str">
        <f>_xll.qlSimpleQuote(E34,,PriceTickValue,Permanent,Trigger,ObjectOverwrite)</f>
        <v>EURIMMFRA6MM6_Quote#0000</v>
      </c>
      <c r="G34" s="105" t="str">
        <f>_xll.ohRangeRetrieveError(F34)</f>
        <v/>
      </c>
      <c r="H34" s="141"/>
    </row>
    <row r="35" spans="1:8" x14ac:dyDescent="0.2">
      <c r="A35" s="146"/>
      <c r="B35" s="107">
        <v>30</v>
      </c>
      <c r="C35" s="145" t="b">
        <v>0</v>
      </c>
      <c r="D35" s="144" t="str">
        <v>N6</v>
      </c>
      <c r="E35" s="143" t="str">
        <f t="shared" si="0"/>
        <v>EURIMMFRA6MN6_Quote</v>
      </c>
      <c r="F35" s="142" t="str">
        <f>_xll.qlSimpleQuote(E35,,PriceTickValue,Permanent,Trigger,ObjectOverwrite)</f>
        <v>EURIMMFRA6MN6_Quote#0000</v>
      </c>
      <c r="G35" s="105" t="str">
        <f>_xll.ohRangeRetrieveError(F35)</f>
        <v/>
      </c>
      <c r="H35" s="141"/>
    </row>
    <row r="36" spans="1:8" x14ac:dyDescent="0.2">
      <c r="A36" s="146"/>
      <c r="B36" s="107">
        <v>31</v>
      </c>
      <c r="C36" s="145" t="b">
        <v>0</v>
      </c>
      <c r="D36" s="144" t="str">
        <v>Q6</v>
      </c>
      <c r="E36" s="143" t="str">
        <f t="shared" si="0"/>
        <v>EURIMMFRA6MQ6_Quote</v>
      </c>
      <c r="F36" s="142" t="str">
        <f>_xll.qlSimpleQuote(E36,,PriceTickValue,Permanent,Trigger,ObjectOverwrite)</f>
        <v>EURIMMFRA6MQ6_Quote#0000</v>
      </c>
      <c r="G36" s="105" t="str">
        <f>_xll.ohRangeRetrieveError(F36)</f>
        <v/>
      </c>
      <c r="H36" s="141"/>
    </row>
    <row r="37" spans="1:8" x14ac:dyDescent="0.2">
      <c r="A37" s="146"/>
      <c r="B37" s="107">
        <v>32</v>
      </c>
      <c r="C37" s="145" t="b">
        <v>0</v>
      </c>
      <c r="D37" s="144" t="str">
        <v>U6</v>
      </c>
      <c r="E37" s="143" t="str">
        <f t="shared" si="0"/>
        <v>EURIMMFRA6MU6_Quote</v>
      </c>
      <c r="F37" s="142" t="str">
        <f>_xll.qlSimpleQuote(E37,,PriceTickValue,Permanent,Trigger,ObjectOverwrite)</f>
        <v>EURIMMFRA6MU6_Quote#0000</v>
      </c>
      <c r="G37" s="105" t="str">
        <f>_xll.ohRangeRetrieveError(F37)</f>
        <v/>
      </c>
      <c r="H37" s="141"/>
    </row>
    <row r="38" spans="1:8" x14ac:dyDescent="0.2">
      <c r="A38" s="146"/>
      <c r="B38" s="107">
        <v>33</v>
      </c>
      <c r="C38" s="145" t="b">
        <v>0</v>
      </c>
      <c r="D38" s="144" t="str">
        <v>V6</v>
      </c>
      <c r="E38" s="143" t="str">
        <f t="shared" ref="E38:E69" si="1">Currency&amp;$D$4&amp;$E$4&amp;$D38&amp;QuoteSuffix</f>
        <v>EURIMMFRA6MV6_Quote</v>
      </c>
      <c r="F38" s="142" t="str">
        <f>_xll.qlSimpleQuote(E38,,PriceTickValue,Permanent,Trigger,ObjectOverwrite)</f>
        <v>EURIMMFRA6MV6_Quote#0000</v>
      </c>
      <c r="G38" s="105" t="str">
        <f>_xll.ohRangeRetrieveError(F38)</f>
        <v/>
      </c>
      <c r="H38" s="141"/>
    </row>
    <row r="39" spans="1:8" x14ac:dyDescent="0.2">
      <c r="A39" s="146"/>
      <c r="B39" s="107">
        <v>34</v>
      </c>
      <c r="C39" s="145" t="b">
        <v>0</v>
      </c>
      <c r="D39" s="144" t="str">
        <v>X6</v>
      </c>
      <c r="E39" s="143" t="str">
        <f t="shared" si="1"/>
        <v>EURIMMFRA6MX6_Quote</v>
      </c>
      <c r="F39" s="142" t="str">
        <f>_xll.qlSimpleQuote(E39,,PriceTickValue,Permanent,Trigger,ObjectOverwrite)</f>
        <v>EURIMMFRA6MX6_Quote#0000</v>
      </c>
      <c r="G39" s="105" t="str">
        <f>_xll.ohRangeRetrieveError(F39)</f>
        <v/>
      </c>
      <c r="H39" s="141"/>
    </row>
    <row r="40" spans="1:8" x14ac:dyDescent="0.2">
      <c r="A40" s="146"/>
      <c r="B40" s="107">
        <v>35</v>
      </c>
      <c r="C40" s="145" t="b">
        <v>0</v>
      </c>
      <c r="D40" s="144" t="str">
        <v>Z6</v>
      </c>
      <c r="E40" s="143" t="str">
        <f t="shared" si="1"/>
        <v>EURIMMFRA6MZ6_Quote</v>
      </c>
      <c r="F40" s="142" t="str">
        <f>_xll.qlSimpleQuote(E40,,PriceTickValue,Permanent,Trigger,ObjectOverwrite)</f>
        <v>EURIMMFRA6MZ6_Quote#0000</v>
      </c>
      <c r="G40" s="105" t="str">
        <f>_xll.ohRangeRetrieveError(F40)</f>
        <v/>
      </c>
      <c r="H40" s="141"/>
    </row>
    <row r="41" spans="1:8" x14ac:dyDescent="0.2">
      <c r="A41" s="146"/>
      <c r="B41" s="107">
        <v>36</v>
      </c>
      <c r="C41" s="145" t="b">
        <v>0</v>
      </c>
      <c r="D41" s="144" t="str">
        <v>F7</v>
      </c>
      <c r="E41" s="143" t="str">
        <f t="shared" si="1"/>
        <v>EURIMMFRA6MF7_Quote</v>
      </c>
      <c r="F41" s="142" t="str">
        <f>_xll.qlSimpleQuote(E41,,PriceTickValue,Permanent,Trigger,ObjectOverwrite)</f>
        <v>EURIMMFRA6MF7_Quote#0000</v>
      </c>
      <c r="G41" s="105" t="str">
        <f>_xll.ohRangeRetrieveError(F41)</f>
        <v/>
      </c>
      <c r="H41" s="141"/>
    </row>
    <row r="42" spans="1:8" x14ac:dyDescent="0.2">
      <c r="A42" s="146"/>
      <c r="B42" s="107">
        <v>37</v>
      </c>
      <c r="C42" s="145" t="b">
        <v>0</v>
      </c>
      <c r="D42" s="144" t="str">
        <v>G7</v>
      </c>
      <c r="E42" s="143" t="str">
        <f t="shared" si="1"/>
        <v>EURIMMFRA6MG7_Quote</v>
      </c>
      <c r="F42" s="142" t="str">
        <f>_xll.qlSimpleQuote(E42,,PriceTickValue,Permanent,Trigger,ObjectOverwrite)</f>
        <v>EURIMMFRA6MG7_Quote#0000</v>
      </c>
      <c r="G42" s="105" t="str">
        <f>_xll.ohRangeRetrieveError(F42)</f>
        <v/>
      </c>
      <c r="H42" s="141"/>
    </row>
    <row r="43" spans="1:8" x14ac:dyDescent="0.2">
      <c r="A43" s="146"/>
      <c r="B43" s="107">
        <v>38</v>
      </c>
      <c r="C43" s="145" t="b">
        <v>0</v>
      </c>
      <c r="D43" s="144" t="str">
        <v>H7</v>
      </c>
      <c r="E43" s="143" t="str">
        <f t="shared" si="1"/>
        <v>EURIMMFRA6MH7_Quote</v>
      </c>
      <c r="F43" s="142" t="str">
        <f>_xll.qlSimpleQuote(E43,,PriceTickValue,Permanent,Trigger,ObjectOverwrite)</f>
        <v>EURIMMFRA6MH7_Quote#0000</v>
      </c>
      <c r="G43" s="105" t="str">
        <f>_xll.ohRangeRetrieveError(F43)</f>
        <v/>
      </c>
      <c r="H43" s="141"/>
    </row>
    <row r="44" spans="1:8" x14ac:dyDescent="0.2">
      <c r="A44" s="146"/>
      <c r="B44" s="107">
        <v>39</v>
      </c>
      <c r="C44" s="145" t="b">
        <v>0</v>
      </c>
      <c r="D44" s="144" t="str">
        <v>J7</v>
      </c>
      <c r="E44" s="143" t="str">
        <f t="shared" si="1"/>
        <v>EURIMMFRA6MJ7_Quote</v>
      </c>
      <c r="F44" s="142" t="str">
        <f>_xll.qlSimpleQuote(E44,,PriceTickValue,Permanent,Trigger,ObjectOverwrite)</f>
        <v>EURIMMFRA6MJ7_Quote#0000</v>
      </c>
      <c r="G44" s="105" t="str">
        <f>_xll.ohRangeRetrieveError(F44)</f>
        <v/>
      </c>
      <c r="H44" s="141"/>
    </row>
    <row r="45" spans="1:8" x14ac:dyDescent="0.2">
      <c r="A45" s="146"/>
      <c r="B45" s="107">
        <v>40</v>
      </c>
      <c r="C45" s="145" t="b">
        <v>0</v>
      </c>
      <c r="D45" s="144" t="str">
        <v>K7</v>
      </c>
      <c r="E45" s="143" t="str">
        <f t="shared" si="1"/>
        <v>EURIMMFRA6MK7_Quote</v>
      </c>
      <c r="F45" s="142" t="str">
        <f>_xll.qlSimpleQuote(E45,,PriceTickValue,Permanent,Trigger,ObjectOverwrite)</f>
        <v>EURIMMFRA6MK7_Quote#0000</v>
      </c>
      <c r="G45" s="105" t="str">
        <f>_xll.ohRangeRetrieveError(F45)</f>
        <v/>
      </c>
      <c r="H45" s="141"/>
    </row>
    <row r="46" spans="1:8" x14ac:dyDescent="0.2">
      <c r="A46" s="146"/>
      <c r="B46" s="107">
        <v>41</v>
      </c>
      <c r="C46" s="145" t="b">
        <v>0</v>
      </c>
      <c r="D46" s="144" t="str">
        <v>M7</v>
      </c>
      <c r="E46" s="143" t="str">
        <f t="shared" si="1"/>
        <v>EURIMMFRA6MM7_Quote</v>
      </c>
      <c r="F46" s="142" t="str">
        <f>_xll.qlSimpleQuote(E46,,PriceTickValue,Permanent,Trigger,ObjectOverwrite)</f>
        <v>EURIMMFRA6MM7_Quote#0000</v>
      </c>
      <c r="G46" s="105" t="str">
        <f>_xll.ohRangeRetrieveError(F46)</f>
        <v/>
      </c>
      <c r="H46" s="141"/>
    </row>
    <row r="47" spans="1:8" x14ac:dyDescent="0.2">
      <c r="A47" s="146"/>
      <c r="B47" s="107">
        <v>42</v>
      </c>
      <c r="C47" s="145" t="b">
        <v>0</v>
      </c>
      <c r="D47" s="144" t="str">
        <v>N7</v>
      </c>
      <c r="E47" s="143" t="str">
        <f t="shared" si="1"/>
        <v>EURIMMFRA6MN7_Quote</v>
      </c>
      <c r="F47" s="142" t="str">
        <f>_xll.qlSimpleQuote(E47,,PriceTickValue,Permanent,Trigger,ObjectOverwrite)</f>
        <v>EURIMMFRA6MN7_Quote#0000</v>
      </c>
      <c r="G47" s="105" t="str">
        <f>_xll.ohRangeRetrieveError(F47)</f>
        <v/>
      </c>
      <c r="H47" s="141"/>
    </row>
    <row r="48" spans="1:8" x14ac:dyDescent="0.2">
      <c r="A48" s="146"/>
      <c r="B48" s="107">
        <v>43</v>
      </c>
      <c r="C48" s="145" t="b">
        <v>0</v>
      </c>
      <c r="D48" s="144" t="str">
        <v>Q7</v>
      </c>
      <c r="E48" s="143" t="str">
        <f t="shared" si="1"/>
        <v>EURIMMFRA6MQ7_Quote</v>
      </c>
      <c r="F48" s="142" t="str">
        <f>_xll.qlSimpleQuote(E48,,PriceTickValue,Permanent,Trigger,ObjectOverwrite)</f>
        <v>EURIMMFRA6MQ7_Quote#0000</v>
      </c>
      <c r="G48" s="105" t="str">
        <f>_xll.ohRangeRetrieveError(F48)</f>
        <v/>
      </c>
      <c r="H48" s="141"/>
    </row>
    <row r="49" spans="1:8" x14ac:dyDescent="0.2">
      <c r="A49" s="146"/>
      <c r="B49" s="107">
        <v>44</v>
      </c>
      <c r="C49" s="145" t="b">
        <v>0</v>
      </c>
      <c r="D49" s="144" t="str">
        <v>U7</v>
      </c>
      <c r="E49" s="143" t="str">
        <f t="shared" si="1"/>
        <v>EURIMMFRA6MU7_Quote</v>
      </c>
      <c r="F49" s="142" t="str">
        <f>_xll.qlSimpleQuote(E49,,PriceTickValue,Permanent,Trigger,ObjectOverwrite)</f>
        <v>EURIMMFRA6MU7_Quote#0000</v>
      </c>
      <c r="G49" s="105" t="str">
        <f>_xll.ohRangeRetrieveError(F49)</f>
        <v/>
      </c>
      <c r="H49" s="141"/>
    </row>
    <row r="50" spans="1:8" x14ac:dyDescent="0.2">
      <c r="A50" s="146"/>
      <c r="B50" s="107">
        <v>45</v>
      </c>
      <c r="C50" s="145" t="b">
        <v>0</v>
      </c>
      <c r="D50" s="144" t="str">
        <v>V7</v>
      </c>
      <c r="E50" s="143" t="str">
        <f t="shared" si="1"/>
        <v>EURIMMFRA6MV7_Quote</v>
      </c>
      <c r="F50" s="142" t="str">
        <f>_xll.qlSimpleQuote(E50,,PriceTickValue,Permanent,Trigger,ObjectOverwrite)</f>
        <v>EURIMMFRA6MV7_Quote#0000</v>
      </c>
      <c r="G50" s="105" t="str">
        <f>_xll.ohRangeRetrieveError(F50)</f>
        <v/>
      </c>
      <c r="H50" s="141"/>
    </row>
    <row r="51" spans="1:8" x14ac:dyDescent="0.2">
      <c r="A51" s="146"/>
      <c r="B51" s="107">
        <v>46</v>
      </c>
      <c r="C51" s="145" t="b">
        <v>0</v>
      </c>
      <c r="D51" s="144" t="str">
        <v>X7</v>
      </c>
      <c r="E51" s="143" t="str">
        <f t="shared" si="1"/>
        <v>EURIMMFRA6MX7_Quote</v>
      </c>
      <c r="F51" s="142" t="str">
        <f>_xll.qlSimpleQuote(E51,,PriceTickValue,Permanent,Trigger,ObjectOverwrite)</f>
        <v>EURIMMFRA6MX7_Quote#0000</v>
      </c>
      <c r="G51" s="105" t="str">
        <f>_xll.ohRangeRetrieveError(F51)</f>
        <v/>
      </c>
      <c r="H51" s="141"/>
    </row>
    <row r="52" spans="1:8" x14ac:dyDescent="0.2">
      <c r="A52" s="146"/>
      <c r="B52" s="107">
        <v>47</v>
      </c>
      <c r="C52" s="145" t="b">
        <v>0</v>
      </c>
      <c r="D52" s="144" t="str">
        <v>Z7</v>
      </c>
      <c r="E52" s="143" t="str">
        <f t="shared" si="1"/>
        <v>EURIMMFRA6MZ7_Quote</v>
      </c>
      <c r="F52" s="142" t="str">
        <f>_xll.qlSimpleQuote(E52,,PriceTickValue,Permanent,Trigger,ObjectOverwrite)</f>
        <v>EURIMMFRA6MZ7_Quote#0000</v>
      </c>
      <c r="G52" s="105" t="str">
        <f>_xll.ohRangeRetrieveError(F52)</f>
        <v/>
      </c>
      <c r="H52" s="141"/>
    </row>
    <row r="53" spans="1:8" x14ac:dyDescent="0.2">
      <c r="A53" s="146"/>
      <c r="B53" s="107">
        <v>48</v>
      </c>
      <c r="C53" s="145" t="b">
        <v>0</v>
      </c>
      <c r="D53" s="144" t="str">
        <v>F8</v>
      </c>
      <c r="E53" s="143" t="str">
        <f t="shared" si="1"/>
        <v>EURIMMFRA6MF8_Quote</v>
      </c>
      <c r="F53" s="142" t="str">
        <f>_xll.qlSimpleQuote(E53,,PriceTickValue,Permanent,Trigger,ObjectOverwrite)</f>
        <v>EURIMMFRA6MF8_Quote#0000</v>
      </c>
      <c r="G53" s="105" t="str">
        <f>_xll.ohRangeRetrieveError(F53)</f>
        <v/>
      </c>
      <c r="H53" s="141"/>
    </row>
    <row r="54" spans="1:8" x14ac:dyDescent="0.2">
      <c r="A54" s="146"/>
      <c r="B54" s="107">
        <v>49</v>
      </c>
      <c r="C54" s="145" t="b">
        <v>0</v>
      </c>
      <c r="D54" s="144" t="str">
        <v>G8</v>
      </c>
      <c r="E54" s="143" t="str">
        <f t="shared" si="1"/>
        <v>EURIMMFRA6MG8_Quote</v>
      </c>
      <c r="F54" s="142" t="str">
        <f>_xll.qlSimpleQuote(E54,,PriceTickValue,Permanent,Trigger,ObjectOverwrite)</f>
        <v>EURIMMFRA6MG8_Quote#0000</v>
      </c>
      <c r="G54" s="105" t="str">
        <f>_xll.ohRangeRetrieveError(F54)</f>
        <v/>
      </c>
      <c r="H54" s="141"/>
    </row>
    <row r="55" spans="1:8" x14ac:dyDescent="0.2">
      <c r="A55" s="146"/>
      <c r="B55" s="107">
        <v>50</v>
      </c>
      <c r="C55" s="145" t="b">
        <v>0</v>
      </c>
      <c r="D55" s="144" t="str">
        <v>H8</v>
      </c>
      <c r="E55" s="143" t="str">
        <f t="shared" si="1"/>
        <v>EURIMMFRA6MH8_Quote</v>
      </c>
      <c r="F55" s="142" t="str">
        <f>_xll.qlSimpleQuote(E55,,PriceTickValue,Permanent,Trigger,ObjectOverwrite)</f>
        <v>EURIMMFRA6MH8_Quote#0000</v>
      </c>
      <c r="G55" s="105" t="str">
        <f>_xll.ohRangeRetrieveError(F55)</f>
        <v/>
      </c>
      <c r="H55" s="141"/>
    </row>
    <row r="56" spans="1:8" x14ac:dyDescent="0.2">
      <c r="A56" s="146"/>
      <c r="B56" s="107">
        <v>51</v>
      </c>
      <c r="C56" s="145" t="b">
        <v>0</v>
      </c>
      <c r="D56" s="144" t="str">
        <v>J8</v>
      </c>
      <c r="E56" s="143" t="str">
        <f t="shared" si="1"/>
        <v>EURIMMFRA6MJ8_Quote</v>
      </c>
      <c r="F56" s="142" t="str">
        <f>_xll.qlSimpleQuote(E56,,PriceTickValue,Permanent,Trigger,ObjectOverwrite)</f>
        <v>EURIMMFRA6MJ8_Quote#0000</v>
      </c>
      <c r="G56" s="105" t="str">
        <f>_xll.ohRangeRetrieveError(F56)</f>
        <v/>
      </c>
      <c r="H56" s="141"/>
    </row>
    <row r="57" spans="1:8" x14ac:dyDescent="0.2">
      <c r="A57" s="146"/>
      <c r="B57" s="107">
        <v>52</v>
      </c>
      <c r="C57" s="145" t="b">
        <v>0</v>
      </c>
      <c r="D57" s="144" t="str">
        <v>K8</v>
      </c>
      <c r="E57" s="143" t="str">
        <f t="shared" si="1"/>
        <v>EURIMMFRA6MK8_Quote</v>
      </c>
      <c r="F57" s="142" t="str">
        <f>_xll.qlSimpleQuote(E57,,PriceTickValue,Permanent,Trigger,ObjectOverwrite)</f>
        <v>EURIMMFRA6MK8_Quote#0000</v>
      </c>
      <c r="G57" s="105" t="str">
        <f>_xll.ohRangeRetrieveError(F57)</f>
        <v/>
      </c>
      <c r="H57" s="141"/>
    </row>
    <row r="58" spans="1:8" x14ac:dyDescent="0.2">
      <c r="A58" s="146"/>
      <c r="B58" s="107">
        <v>53</v>
      </c>
      <c r="C58" s="145" t="b">
        <v>0</v>
      </c>
      <c r="D58" s="144" t="str">
        <v>M8</v>
      </c>
      <c r="E58" s="143" t="str">
        <f t="shared" si="1"/>
        <v>EURIMMFRA6MM8_Quote</v>
      </c>
      <c r="F58" s="142" t="str">
        <f>_xll.qlSimpleQuote(E58,,PriceTickValue,Permanent,Trigger,ObjectOverwrite)</f>
        <v>EURIMMFRA6MM8_Quote#0000</v>
      </c>
      <c r="G58" s="105" t="str">
        <f>_xll.ohRangeRetrieveError(F58)</f>
        <v/>
      </c>
      <c r="H58" s="141"/>
    </row>
    <row r="59" spans="1:8" x14ac:dyDescent="0.2">
      <c r="A59" s="146"/>
      <c r="B59" s="107">
        <v>54</v>
      </c>
      <c r="C59" s="145" t="b">
        <v>0</v>
      </c>
      <c r="D59" s="144" t="str">
        <v>N8</v>
      </c>
      <c r="E59" s="143" t="str">
        <f t="shared" si="1"/>
        <v>EURIMMFRA6MN8_Quote</v>
      </c>
      <c r="F59" s="142" t="str">
        <f>_xll.qlSimpleQuote(E59,,PriceTickValue,Permanent,Trigger,ObjectOverwrite)</f>
        <v>EURIMMFRA6MN8_Quote#0000</v>
      </c>
      <c r="G59" s="105" t="str">
        <f>_xll.ohRangeRetrieveError(F59)</f>
        <v/>
      </c>
      <c r="H59" s="141"/>
    </row>
    <row r="60" spans="1:8" x14ac:dyDescent="0.2">
      <c r="A60" s="146"/>
      <c r="B60" s="107">
        <v>55</v>
      </c>
      <c r="C60" s="145" t="b">
        <v>0</v>
      </c>
      <c r="D60" s="144" t="str">
        <v>Q8</v>
      </c>
      <c r="E60" s="143" t="str">
        <f t="shared" si="1"/>
        <v>EURIMMFRA6MQ8_Quote</v>
      </c>
      <c r="F60" s="142" t="str">
        <f>_xll.qlSimpleQuote(E60,,PriceTickValue,Permanent,Trigger,ObjectOverwrite)</f>
        <v>EURIMMFRA6MQ8_Quote#0000</v>
      </c>
      <c r="G60" s="105" t="str">
        <f>_xll.ohRangeRetrieveError(F60)</f>
        <v/>
      </c>
      <c r="H60" s="141"/>
    </row>
    <row r="61" spans="1:8" x14ac:dyDescent="0.2">
      <c r="A61" s="146"/>
      <c r="B61" s="107">
        <v>56</v>
      </c>
      <c r="C61" s="145" t="b">
        <v>0</v>
      </c>
      <c r="D61" s="144" t="str">
        <v>U8</v>
      </c>
      <c r="E61" s="143" t="str">
        <f t="shared" si="1"/>
        <v>EURIMMFRA6MU8_Quote</v>
      </c>
      <c r="F61" s="142" t="str">
        <f>_xll.qlSimpleQuote(E61,,PriceTickValue,Permanent,Trigger,ObjectOverwrite)</f>
        <v>EURIMMFRA6MU8_Quote#0000</v>
      </c>
      <c r="G61" s="105" t="str">
        <f>_xll.ohRangeRetrieveError(F61)</f>
        <v/>
      </c>
      <c r="H61" s="141"/>
    </row>
    <row r="62" spans="1:8" x14ac:dyDescent="0.2">
      <c r="A62" s="146"/>
      <c r="B62" s="107">
        <v>57</v>
      </c>
      <c r="C62" s="145" t="b">
        <v>0</v>
      </c>
      <c r="D62" s="144" t="str">
        <v>V8</v>
      </c>
      <c r="E62" s="143" t="str">
        <f t="shared" si="1"/>
        <v>EURIMMFRA6MV8_Quote</v>
      </c>
      <c r="F62" s="142" t="str">
        <f>_xll.qlSimpleQuote(E62,,PriceTickValue,Permanent,Trigger,ObjectOverwrite)</f>
        <v>EURIMMFRA6MV8_Quote#0000</v>
      </c>
      <c r="G62" s="105" t="str">
        <f>_xll.ohRangeRetrieveError(F62)</f>
        <v/>
      </c>
      <c r="H62" s="141"/>
    </row>
    <row r="63" spans="1:8" x14ac:dyDescent="0.2">
      <c r="A63" s="146"/>
      <c r="B63" s="107">
        <v>58</v>
      </c>
      <c r="C63" s="145" t="b">
        <v>0</v>
      </c>
      <c r="D63" s="144" t="str">
        <v>X8</v>
      </c>
      <c r="E63" s="143" t="str">
        <f t="shared" si="1"/>
        <v>EURIMMFRA6MX8_Quote</v>
      </c>
      <c r="F63" s="142" t="str">
        <f>_xll.qlSimpleQuote(E63,,PriceTickValue,Permanent,Trigger,ObjectOverwrite)</f>
        <v>EURIMMFRA6MX8_Quote#0000</v>
      </c>
      <c r="G63" s="105" t="str">
        <f>_xll.ohRangeRetrieveError(F63)</f>
        <v/>
      </c>
      <c r="H63" s="141"/>
    </row>
    <row r="64" spans="1:8" x14ac:dyDescent="0.2">
      <c r="A64" s="146"/>
      <c r="B64" s="107">
        <v>59</v>
      </c>
      <c r="C64" s="145" t="b">
        <v>0</v>
      </c>
      <c r="D64" s="144" t="str">
        <v>Z8</v>
      </c>
      <c r="E64" s="143" t="str">
        <f t="shared" si="1"/>
        <v>EURIMMFRA6MZ8_Quote</v>
      </c>
      <c r="F64" s="142" t="str">
        <f>_xll.qlSimpleQuote(E64,,PriceTickValue,Permanent,Trigger,ObjectOverwrite)</f>
        <v>EURIMMFRA6MZ8_Quote#0000</v>
      </c>
      <c r="G64" s="105" t="str">
        <f>_xll.ohRangeRetrieveError(F64)</f>
        <v/>
      </c>
      <c r="H64" s="141"/>
    </row>
    <row r="65" spans="1:8" x14ac:dyDescent="0.2">
      <c r="A65" s="146"/>
      <c r="B65" s="107">
        <v>60</v>
      </c>
      <c r="C65" s="145" t="b">
        <v>0</v>
      </c>
      <c r="D65" s="144" t="str">
        <v>F9</v>
      </c>
      <c r="E65" s="143" t="str">
        <f t="shared" si="1"/>
        <v>EURIMMFRA6MF9_Quote</v>
      </c>
      <c r="F65" s="142" t="str">
        <f>_xll.qlSimpleQuote(E65,,PriceTickValue,Permanent,Trigger,ObjectOverwrite)</f>
        <v>EURIMMFRA6MF9_Quote#0000</v>
      </c>
      <c r="G65" s="105" t="str">
        <f>_xll.ohRangeRetrieveError(F65)</f>
        <v/>
      </c>
      <c r="H65" s="141"/>
    </row>
    <row r="66" spans="1:8" x14ac:dyDescent="0.2">
      <c r="A66" s="146"/>
      <c r="B66" s="107">
        <v>61</v>
      </c>
      <c r="C66" s="145" t="b">
        <v>0</v>
      </c>
      <c r="D66" s="144" t="str">
        <v>G9</v>
      </c>
      <c r="E66" s="143" t="str">
        <f t="shared" si="1"/>
        <v>EURIMMFRA6MG9_Quote</v>
      </c>
      <c r="F66" s="142" t="str">
        <f>_xll.qlSimpleQuote(E66,,PriceTickValue,Permanent,Trigger,ObjectOverwrite)</f>
        <v>EURIMMFRA6MG9_Quote#0000</v>
      </c>
      <c r="G66" s="105" t="str">
        <f>_xll.ohRangeRetrieveError(F66)</f>
        <v/>
      </c>
      <c r="H66" s="141"/>
    </row>
    <row r="67" spans="1:8" x14ac:dyDescent="0.2">
      <c r="A67" s="146"/>
      <c r="B67" s="107">
        <v>62</v>
      </c>
      <c r="C67" s="145" t="b">
        <v>0</v>
      </c>
      <c r="D67" s="144" t="str">
        <v>H9</v>
      </c>
      <c r="E67" s="143" t="str">
        <f t="shared" si="1"/>
        <v>EURIMMFRA6MH9_Quote</v>
      </c>
      <c r="F67" s="142" t="str">
        <f>_xll.qlSimpleQuote(E67,,PriceTickValue,Permanent,Trigger,ObjectOverwrite)</f>
        <v>EURIMMFRA6MH9_Quote#0000</v>
      </c>
      <c r="G67" s="105" t="str">
        <f>_xll.ohRangeRetrieveError(F67)</f>
        <v/>
      </c>
      <c r="H67" s="141"/>
    </row>
    <row r="68" spans="1:8" x14ac:dyDescent="0.2">
      <c r="A68" s="146"/>
      <c r="B68" s="107">
        <v>63</v>
      </c>
      <c r="C68" s="145" t="b">
        <v>0</v>
      </c>
      <c r="D68" s="144" t="str">
        <v>J9</v>
      </c>
      <c r="E68" s="143" t="str">
        <f t="shared" si="1"/>
        <v>EURIMMFRA6MJ9_Quote</v>
      </c>
      <c r="F68" s="142" t="str">
        <f>_xll.qlSimpleQuote(E68,,PriceTickValue,Permanent,Trigger,ObjectOverwrite)</f>
        <v>EURIMMFRA6MJ9_Quote#0000</v>
      </c>
      <c r="G68" s="105" t="str">
        <f>_xll.ohRangeRetrieveError(F68)</f>
        <v/>
      </c>
      <c r="H68" s="141"/>
    </row>
    <row r="69" spans="1:8" x14ac:dyDescent="0.2">
      <c r="A69" s="146"/>
      <c r="B69" s="107">
        <v>64</v>
      </c>
      <c r="C69" s="145" t="b">
        <v>0</v>
      </c>
      <c r="D69" s="144" t="str">
        <v>K9</v>
      </c>
      <c r="E69" s="143" t="str">
        <f t="shared" si="1"/>
        <v>EURIMMFRA6MK9_Quote</v>
      </c>
      <c r="F69" s="142" t="str">
        <f>_xll.qlSimpleQuote(E69,,PriceTickValue,Permanent,Trigger,ObjectOverwrite)</f>
        <v>EURIMMFRA6MK9_Quote#0000</v>
      </c>
      <c r="G69" s="105" t="str">
        <f>_xll.ohRangeRetrieveError(F69)</f>
        <v/>
      </c>
      <c r="H69" s="141"/>
    </row>
    <row r="70" spans="1:8" x14ac:dyDescent="0.2">
      <c r="A70" s="146"/>
      <c r="B70" s="107">
        <v>65</v>
      </c>
      <c r="C70" s="145" t="b">
        <v>0</v>
      </c>
      <c r="D70" s="144" t="str">
        <v>M9</v>
      </c>
      <c r="E70" s="143" t="str">
        <f t="shared" ref="E70:E101" si="2">Currency&amp;$D$4&amp;$E$4&amp;$D70&amp;QuoteSuffix</f>
        <v>EURIMMFRA6MM9_Quote</v>
      </c>
      <c r="F70" s="142" t="str">
        <f>_xll.qlSimpleQuote(E70,,PriceTickValue,Permanent,Trigger,ObjectOverwrite)</f>
        <v>EURIMMFRA6MM9_Quote#0000</v>
      </c>
      <c r="G70" s="105" t="str">
        <f>_xll.ohRangeRetrieveError(F70)</f>
        <v/>
      </c>
      <c r="H70" s="141"/>
    </row>
    <row r="71" spans="1:8" x14ac:dyDescent="0.2">
      <c r="A71" s="146"/>
      <c r="B71" s="107">
        <v>66</v>
      </c>
      <c r="C71" s="145" t="b">
        <v>0</v>
      </c>
      <c r="D71" s="144" t="str">
        <v>N9</v>
      </c>
      <c r="E71" s="143" t="str">
        <f t="shared" si="2"/>
        <v>EURIMMFRA6MN9_Quote</v>
      </c>
      <c r="F71" s="142" t="str">
        <f>_xll.qlSimpleQuote(E71,,PriceTickValue,Permanent,Trigger,ObjectOverwrite)</f>
        <v>EURIMMFRA6MN9_Quote#0000</v>
      </c>
      <c r="G71" s="105" t="str">
        <f>_xll.ohRangeRetrieveError(F71)</f>
        <v/>
      </c>
      <c r="H71" s="141"/>
    </row>
    <row r="72" spans="1:8" x14ac:dyDescent="0.2">
      <c r="A72" s="146"/>
      <c r="B72" s="107">
        <v>67</v>
      </c>
      <c r="C72" s="145" t="b">
        <v>0</v>
      </c>
      <c r="D72" s="144" t="str">
        <v>Q9</v>
      </c>
      <c r="E72" s="143" t="str">
        <f t="shared" si="2"/>
        <v>EURIMMFRA6MQ9_Quote</v>
      </c>
      <c r="F72" s="142" t="str">
        <f>_xll.qlSimpleQuote(E72,,PriceTickValue,Permanent,Trigger,ObjectOverwrite)</f>
        <v>EURIMMFRA6MQ9_Quote#0000</v>
      </c>
      <c r="G72" s="105" t="str">
        <f>_xll.ohRangeRetrieveError(F72)</f>
        <v/>
      </c>
      <c r="H72" s="141"/>
    </row>
    <row r="73" spans="1:8" x14ac:dyDescent="0.2">
      <c r="A73" s="146"/>
      <c r="B73" s="107">
        <v>68</v>
      </c>
      <c r="C73" s="145" t="b">
        <v>0</v>
      </c>
      <c r="D73" s="144" t="str">
        <v>U9</v>
      </c>
      <c r="E73" s="143" t="str">
        <f t="shared" si="2"/>
        <v>EURIMMFRA6MU9_Quote</v>
      </c>
      <c r="F73" s="142" t="str">
        <f>_xll.qlSimpleQuote(E73,,PriceTickValue,Permanent,Trigger,ObjectOverwrite)</f>
        <v>EURIMMFRA6MU9_Quote#0000</v>
      </c>
      <c r="G73" s="105" t="str">
        <f>_xll.ohRangeRetrieveError(F73)</f>
        <v/>
      </c>
      <c r="H73" s="141"/>
    </row>
    <row r="74" spans="1:8" x14ac:dyDescent="0.2">
      <c r="A74" s="146"/>
      <c r="B74" s="107">
        <v>69</v>
      </c>
      <c r="C74" s="145" t="b">
        <v>0</v>
      </c>
      <c r="D74" s="144" t="str">
        <v>V9</v>
      </c>
      <c r="E74" s="143" t="str">
        <f t="shared" si="2"/>
        <v>EURIMMFRA6MV9_Quote</v>
      </c>
      <c r="F74" s="142" t="str">
        <f>_xll.qlSimpleQuote(E74,,PriceTickValue,Permanent,Trigger,ObjectOverwrite)</f>
        <v>EURIMMFRA6MV9_Quote#0000</v>
      </c>
      <c r="G74" s="105" t="str">
        <f>_xll.ohRangeRetrieveError(F74)</f>
        <v/>
      </c>
      <c r="H74" s="141"/>
    </row>
    <row r="75" spans="1:8" x14ac:dyDescent="0.2">
      <c r="A75" s="146"/>
      <c r="B75" s="107">
        <v>70</v>
      </c>
      <c r="C75" s="145" t="b">
        <v>0</v>
      </c>
      <c r="D75" s="144" t="str">
        <v>X9</v>
      </c>
      <c r="E75" s="143" t="str">
        <f t="shared" si="2"/>
        <v>EURIMMFRA6MX9_Quote</v>
      </c>
      <c r="F75" s="142" t="str">
        <f>_xll.qlSimpleQuote(E75,,PriceTickValue,Permanent,Trigger,ObjectOverwrite)</f>
        <v>EURIMMFRA6MX9_Quote#0000</v>
      </c>
      <c r="G75" s="105" t="str">
        <f>_xll.ohRangeRetrieveError(F75)</f>
        <v/>
      </c>
      <c r="H75" s="141"/>
    </row>
    <row r="76" spans="1:8" x14ac:dyDescent="0.2">
      <c r="A76" s="146"/>
      <c r="B76" s="107">
        <v>71</v>
      </c>
      <c r="C76" s="145" t="b">
        <v>0</v>
      </c>
      <c r="D76" s="144" t="str">
        <v>Z9</v>
      </c>
      <c r="E76" s="143" t="str">
        <f t="shared" si="2"/>
        <v>EURIMMFRA6MZ9_Quote</v>
      </c>
      <c r="F76" s="142" t="str">
        <f>_xll.qlSimpleQuote(E76,,PriceTickValue,Permanent,Trigger,ObjectOverwrite)</f>
        <v>EURIMMFRA6MZ9_Quote#0000</v>
      </c>
      <c r="G76" s="105" t="str">
        <f>_xll.ohRangeRetrieveError(F76)</f>
        <v/>
      </c>
      <c r="H76" s="141"/>
    </row>
    <row r="77" spans="1:8" x14ac:dyDescent="0.2">
      <c r="A77" s="146"/>
      <c r="B77" s="107">
        <v>72</v>
      </c>
      <c r="C77" s="145" t="b">
        <v>0</v>
      </c>
      <c r="D77" s="144" t="str">
        <v>F0</v>
      </c>
      <c r="E77" s="143" t="str">
        <f t="shared" si="2"/>
        <v>EURIMMFRA6MF0_Quote</v>
      </c>
      <c r="F77" s="142" t="str">
        <f>_xll.qlSimpleQuote(E77,,PriceTickValue,Permanent,Trigger,ObjectOverwrite)</f>
        <v>EURIMMFRA6MF0_Quote#0000</v>
      </c>
      <c r="G77" s="105" t="str">
        <f>_xll.ohRangeRetrieveError(F77)</f>
        <v/>
      </c>
      <c r="H77" s="141"/>
    </row>
    <row r="78" spans="1:8" x14ac:dyDescent="0.2">
      <c r="A78" s="146"/>
      <c r="B78" s="107">
        <v>73</v>
      </c>
      <c r="C78" s="145" t="b">
        <v>0</v>
      </c>
      <c r="D78" s="144" t="str">
        <v>G0</v>
      </c>
      <c r="E78" s="143" t="str">
        <f t="shared" si="2"/>
        <v>EURIMMFRA6MG0_Quote</v>
      </c>
      <c r="F78" s="142" t="str">
        <f>_xll.qlSimpleQuote(E78,,PriceTickValue,Permanent,Trigger,ObjectOverwrite)</f>
        <v>EURIMMFRA6MG0_Quote#0000</v>
      </c>
      <c r="G78" s="105" t="str">
        <f>_xll.ohRangeRetrieveError(F78)</f>
        <v/>
      </c>
      <c r="H78" s="141"/>
    </row>
    <row r="79" spans="1:8" x14ac:dyDescent="0.2">
      <c r="A79" s="146"/>
      <c r="B79" s="107">
        <v>74</v>
      </c>
      <c r="C79" s="145" t="b">
        <v>0</v>
      </c>
      <c r="D79" s="144" t="str">
        <v>H0</v>
      </c>
      <c r="E79" s="143" t="str">
        <f t="shared" si="2"/>
        <v>EURIMMFRA6MH0_Quote</v>
      </c>
      <c r="F79" s="142" t="str">
        <f>_xll.qlSimpleQuote(E79,,PriceTickValue,Permanent,Trigger,ObjectOverwrite)</f>
        <v>EURIMMFRA6MH0_Quote#0000</v>
      </c>
      <c r="G79" s="105" t="str">
        <f>_xll.ohRangeRetrieveError(F79)</f>
        <v/>
      </c>
      <c r="H79" s="141"/>
    </row>
    <row r="80" spans="1:8" x14ac:dyDescent="0.2">
      <c r="A80" s="146"/>
      <c r="B80" s="107">
        <v>75</v>
      </c>
      <c r="C80" s="145" t="b">
        <v>0</v>
      </c>
      <c r="D80" s="144" t="str">
        <v>J0</v>
      </c>
      <c r="E80" s="143" t="str">
        <f t="shared" si="2"/>
        <v>EURIMMFRA6MJ0_Quote</v>
      </c>
      <c r="F80" s="142" t="str">
        <f>_xll.qlSimpleQuote(E80,,PriceTickValue,Permanent,Trigger,ObjectOverwrite)</f>
        <v>EURIMMFRA6MJ0_Quote#0000</v>
      </c>
      <c r="G80" s="105" t="str">
        <f>_xll.ohRangeRetrieveError(F80)</f>
        <v/>
      </c>
      <c r="H80" s="141"/>
    </row>
    <row r="81" spans="1:8" x14ac:dyDescent="0.2">
      <c r="A81" s="146"/>
      <c r="B81" s="107">
        <v>76</v>
      </c>
      <c r="C81" s="145" t="b">
        <v>0</v>
      </c>
      <c r="D81" s="144" t="str">
        <v>K0</v>
      </c>
      <c r="E81" s="143" t="str">
        <f t="shared" si="2"/>
        <v>EURIMMFRA6MK0_Quote</v>
      </c>
      <c r="F81" s="142" t="str">
        <f>_xll.qlSimpleQuote(E81,,PriceTickValue,Permanent,Trigger,ObjectOverwrite)</f>
        <v>EURIMMFRA6MK0_Quote#0000</v>
      </c>
      <c r="G81" s="105" t="str">
        <f>_xll.ohRangeRetrieveError(F81)</f>
        <v/>
      </c>
      <c r="H81" s="141"/>
    </row>
    <row r="82" spans="1:8" x14ac:dyDescent="0.2">
      <c r="A82" s="146"/>
      <c r="B82" s="107">
        <v>77</v>
      </c>
      <c r="C82" s="145" t="b">
        <v>0</v>
      </c>
      <c r="D82" s="144" t="str">
        <v>M0</v>
      </c>
      <c r="E82" s="143" t="str">
        <f t="shared" si="2"/>
        <v>EURIMMFRA6MM0_Quote</v>
      </c>
      <c r="F82" s="142" t="str">
        <f>_xll.qlSimpleQuote(E82,,PriceTickValue,Permanent,Trigger,ObjectOverwrite)</f>
        <v>EURIMMFRA6MM0_Quote#0000</v>
      </c>
      <c r="G82" s="105" t="str">
        <f>_xll.ohRangeRetrieveError(F82)</f>
        <v/>
      </c>
      <c r="H82" s="141"/>
    </row>
    <row r="83" spans="1:8" x14ac:dyDescent="0.2">
      <c r="A83" s="146"/>
      <c r="B83" s="107">
        <v>78</v>
      </c>
      <c r="C83" s="145" t="b">
        <v>0</v>
      </c>
      <c r="D83" s="144" t="str">
        <v>N0</v>
      </c>
      <c r="E83" s="143" t="str">
        <f t="shared" si="2"/>
        <v>EURIMMFRA6MN0_Quote</v>
      </c>
      <c r="F83" s="142" t="str">
        <f>_xll.qlSimpleQuote(E83,,PriceTickValue,Permanent,Trigger,ObjectOverwrite)</f>
        <v>EURIMMFRA6MN0_Quote#0000</v>
      </c>
      <c r="G83" s="105" t="str">
        <f>_xll.ohRangeRetrieveError(F83)</f>
        <v/>
      </c>
      <c r="H83" s="141"/>
    </row>
    <row r="84" spans="1:8" x14ac:dyDescent="0.2">
      <c r="A84" s="146"/>
      <c r="B84" s="107">
        <v>79</v>
      </c>
      <c r="C84" s="145" t="b">
        <v>0</v>
      </c>
      <c r="D84" s="144" t="str">
        <v>Q0</v>
      </c>
      <c r="E84" s="143" t="str">
        <f t="shared" si="2"/>
        <v>EURIMMFRA6MQ0_Quote</v>
      </c>
      <c r="F84" s="142" t="str">
        <f>_xll.qlSimpleQuote(E84,,PriceTickValue,Permanent,Trigger,ObjectOverwrite)</f>
        <v>EURIMMFRA6MQ0_Quote#0000</v>
      </c>
      <c r="G84" s="105" t="str">
        <f>_xll.ohRangeRetrieveError(F84)</f>
        <v/>
      </c>
      <c r="H84" s="141"/>
    </row>
    <row r="85" spans="1:8" x14ac:dyDescent="0.2">
      <c r="A85" s="146"/>
      <c r="B85" s="107">
        <v>80</v>
      </c>
      <c r="C85" s="145" t="b">
        <v>0</v>
      </c>
      <c r="D85" s="144" t="str">
        <v>U0</v>
      </c>
      <c r="E85" s="143" t="str">
        <f t="shared" si="2"/>
        <v>EURIMMFRA6MU0_Quote</v>
      </c>
      <c r="F85" s="142" t="str">
        <f>_xll.qlSimpleQuote(E85,,PriceTickValue,Permanent,Trigger,ObjectOverwrite)</f>
        <v>EURIMMFRA6MU0_Quote#0000</v>
      </c>
      <c r="G85" s="105" t="str">
        <f>_xll.ohRangeRetrieveError(F85)</f>
        <v/>
      </c>
      <c r="H85" s="141"/>
    </row>
    <row r="86" spans="1:8" x14ac:dyDescent="0.2">
      <c r="A86" s="146"/>
      <c r="B86" s="107">
        <v>81</v>
      </c>
      <c r="C86" s="145" t="b">
        <v>0</v>
      </c>
      <c r="D86" s="144" t="str">
        <v>V0</v>
      </c>
      <c r="E86" s="143" t="str">
        <f t="shared" si="2"/>
        <v>EURIMMFRA6MV0_Quote</v>
      </c>
      <c r="F86" s="142" t="str">
        <f>_xll.qlSimpleQuote(E86,,PriceTickValue,Permanent,Trigger,ObjectOverwrite)</f>
        <v>EURIMMFRA6MV0_Quote#0000</v>
      </c>
      <c r="G86" s="105" t="str">
        <f>_xll.ohRangeRetrieveError(F86)</f>
        <v/>
      </c>
      <c r="H86" s="141"/>
    </row>
    <row r="87" spans="1:8" x14ac:dyDescent="0.2">
      <c r="A87" s="146"/>
      <c r="B87" s="107">
        <v>82</v>
      </c>
      <c r="C87" s="145" t="b">
        <v>0</v>
      </c>
      <c r="D87" s="144" t="str">
        <v>X0</v>
      </c>
      <c r="E87" s="143" t="str">
        <f t="shared" si="2"/>
        <v>EURIMMFRA6MX0_Quote</v>
      </c>
      <c r="F87" s="142" t="str">
        <f>_xll.qlSimpleQuote(E87,,PriceTickValue,Permanent,Trigger,ObjectOverwrite)</f>
        <v>EURIMMFRA6MX0_Quote#0000</v>
      </c>
      <c r="G87" s="105" t="str">
        <f>_xll.ohRangeRetrieveError(F87)</f>
        <v/>
      </c>
      <c r="H87" s="141"/>
    </row>
    <row r="88" spans="1:8" x14ac:dyDescent="0.2">
      <c r="A88" s="146"/>
      <c r="B88" s="107">
        <v>83</v>
      </c>
      <c r="C88" s="145" t="b">
        <v>0</v>
      </c>
      <c r="D88" s="144" t="str">
        <v>Z0</v>
      </c>
      <c r="E88" s="143" t="str">
        <f t="shared" si="2"/>
        <v>EURIMMFRA6MZ0_Quote</v>
      </c>
      <c r="F88" s="142" t="str">
        <f>_xll.qlSimpleQuote(E88,,PriceTickValue,Permanent,Trigger,ObjectOverwrite)</f>
        <v>EURIMMFRA6MZ0_Quote#0000</v>
      </c>
      <c r="G88" s="105" t="str">
        <f>_xll.ohRangeRetrieveError(F88)</f>
        <v/>
      </c>
      <c r="H88" s="141"/>
    </row>
    <row r="89" spans="1:8" x14ac:dyDescent="0.2">
      <c r="A89" s="146"/>
      <c r="B89" s="107">
        <v>84</v>
      </c>
      <c r="C89" s="145" t="b">
        <v>0</v>
      </c>
      <c r="D89" s="144" t="str">
        <v>F1</v>
      </c>
      <c r="E89" s="143" t="str">
        <f t="shared" si="2"/>
        <v>EURIMMFRA6MF1_Quote</v>
      </c>
      <c r="F89" s="142" t="str">
        <f>_xll.qlSimpleQuote(E89,,PriceTickValue,Permanent,Trigger,ObjectOverwrite)</f>
        <v>EURIMMFRA6MF1_Quote#0000</v>
      </c>
      <c r="G89" s="105" t="str">
        <f>_xll.ohRangeRetrieveError(F89)</f>
        <v/>
      </c>
      <c r="H89" s="141"/>
    </row>
    <row r="90" spans="1:8" x14ac:dyDescent="0.2">
      <c r="A90" s="146"/>
      <c r="B90" s="107">
        <v>85</v>
      </c>
      <c r="C90" s="145" t="b">
        <v>0</v>
      </c>
      <c r="D90" s="144" t="str">
        <v>G1</v>
      </c>
      <c r="E90" s="143" t="str">
        <f t="shared" si="2"/>
        <v>EURIMMFRA6MG1_Quote</v>
      </c>
      <c r="F90" s="142" t="str">
        <f>_xll.qlSimpleQuote(E90,,PriceTickValue,Permanent,Trigger,ObjectOverwrite)</f>
        <v>EURIMMFRA6MG1_Quote#0000</v>
      </c>
      <c r="G90" s="105" t="str">
        <f>_xll.ohRangeRetrieveError(F90)</f>
        <v/>
      </c>
      <c r="H90" s="141"/>
    </row>
    <row r="91" spans="1:8" x14ac:dyDescent="0.2">
      <c r="A91" s="146"/>
      <c r="B91" s="107">
        <v>86</v>
      </c>
      <c r="C91" s="145" t="b">
        <v>0</v>
      </c>
      <c r="D91" s="144" t="str">
        <v>H1</v>
      </c>
      <c r="E91" s="143" t="str">
        <f t="shared" si="2"/>
        <v>EURIMMFRA6MH1_Quote</v>
      </c>
      <c r="F91" s="142" t="str">
        <f>_xll.qlSimpleQuote(E91,,PriceTickValue,Permanent,Trigger,ObjectOverwrite)</f>
        <v>EURIMMFRA6MH1_Quote#0000</v>
      </c>
      <c r="G91" s="105" t="str">
        <f>_xll.ohRangeRetrieveError(F91)</f>
        <v/>
      </c>
      <c r="H91" s="141"/>
    </row>
    <row r="92" spans="1:8" x14ac:dyDescent="0.2">
      <c r="A92" s="146"/>
      <c r="B92" s="107">
        <v>87</v>
      </c>
      <c r="C92" s="145" t="b">
        <v>0</v>
      </c>
      <c r="D92" s="144" t="str">
        <v>J1</v>
      </c>
      <c r="E92" s="143" t="str">
        <f t="shared" si="2"/>
        <v>EURIMMFRA6MJ1_Quote</v>
      </c>
      <c r="F92" s="142" t="str">
        <f>_xll.qlSimpleQuote(E92,,PriceTickValue,Permanent,Trigger,ObjectOverwrite)</f>
        <v>EURIMMFRA6MJ1_Quote#0000</v>
      </c>
      <c r="G92" s="105" t="str">
        <f>_xll.ohRangeRetrieveError(F92)</f>
        <v/>
      </c>
      <c r="H92" s="141"/>
    </row>
    <row r="93" spans="1:8" x14ac:dyDescent="0.2">
      <c r="A93" s="146"/>
      <c r="B93" s="107">
        <v>88</v>
      </c>
      <c r="C93" s="145" t="b">
        <v>0</v>
      </c>
      <c r="D93" s="144" t="str">
        <v>K1</v>
      </c>
      <c r="E93" s="143" t="str">
        <f t="shared" si="2"/>
        <v>EURIMMFRA6MK1_Quote</v>
      </c>
      <c r="F93" s="142" t="str">
        <f>_xll.qlSimpleQuote(E93,,PriceTickValue,Permanent,Trigger,ObjectOverwrite)</f>
        <v>EURIMMFRA6MK1_Quote#0000</v>
      </c>
      <c r="G93" s="105" t="str">
        <f>_xll.ohRangeRetrieveError(F93)</f>
        <v/>
      </c>
      <c r="H93" s="141"/>
    </row>
    <row r="94" spans="1:8" x14ac:dyDescent="0.2">
      <c r="A94" s="146"/>
      <c r="B94" s="107">
        <v>89</v>
      </c>
      <c r="C94" s="145" t="b">
        <v>0</v>
      </c>
      <c r="D94" s="144" t="str">
        <v>M1</v>
      </c>
      <c r="E94" s="143" t="str">
        <f t="shared" si="2"/>
        <v>EURIMMFRA6MM1_Quote</v>
      </c>
      <c r="F94" s="142" t="str">
        <f>_xll.qlSimpleQuote(E94,,PriceTickValue,Permanent,Trigger,ObjectOverwrite)</f>
        <v>EURIMMFRA6MM1_Quote#0000</v>
      </c>
      <c r="G94" s="105" t="str">
        <f>_xll.ohRangeRetrieveError(F94)</f>
        <v/>
      </c>
      <c r="H94" s="141"/>
    </row>
    <row r="95" spans="1:8" x14ac:dyDescent="0.2">
      <c r="A95" s="146"/>
      <c r="B95" s="107">
        <v>90</v>
      </c>
      <c r="C95" s="145" t="b">
        <v>0</v>
      </c>
      <c r="D95" s="144" t="str">
        <v>N1</v>
      </c>
      <c r="E95" s="143" t="str">
        <f t="shared" si="2"/>
        <v>EURIMMFRA6MN1_Quote</v>
      </c>
      <c r="F95" s="142" t="str">
        <f>_xll.qlSimpleQuote(E95,,PriceTickValue,Permanent,Trigger,ObjectOverwrite)</f>
        <v>EURIMMFRA6MN1_Quote#0000</v>
      </c>
      <c r="G95" s="105" t="str">
        <f>_xll.ohRangeRetrieveError(F95)</f>
        <v/>
      </c>
      <c r="H95" s="141"/>
    </row>
    <row r="96" spans="1:8" x14ac:dyDescent="0.2">
      <c r="A96" s="146"/>
      <c r="B96" s="107">
        <v>91</v>
      </c>
      <c r="C96" s="145" t="b">
        <v>0</v>
      </c>
      <c r="D96" s="144" t="str">
        <v>Q1</v>
      </c>
      <c r="E96" s="143" t="str">
        <f t="shared" si="2"/>
        <v>EURIMMFRA6MQ1_Quote</v>
      </c>
      <c r="F96" s="142" t="str">
        <f>_xll.qlSimpleQuote(E96,,PriceTickValue,Permanent,Trigger,ObjectOverwrite)</f>
        <v>EURIMMFRA6MQ1_Quote#0000</v>
      </c>
      <c r="G96" s="105" t="str">
        <f>_xll.ohRangeRetrieveError(F96)</f>
        <v/>
      </c>
      <c r="H96" s="141"/>
    </row>
    <row r="97" spans="1:8" x14ac:dyDescent="0.2">
      <c r="A97" s="146"/>
      <c r="B97" s="107">
        <v>92</v>
      </c>
      <c r="C97" s="145" t="b">
        <v>0</v>
      </c>
      <c r="D97" s="144" t="str">
        <v>U1</v>
      </c>
      <c r="E97" s="143" t="str">
        <f t="shared" si="2"/>
        <v>EURIMMFRA6MU1_Quote</v>
      </c>
      <c r="F97" s="142" t="str">
        <f>_xll.qlSimpleQuote(E97,,PriceTickValue,Permanent,Trigger,ObjectOverwrite)</f>
        <v>EURIMMFRA6MU1_Quote#0000</v>
      </c>
      <c r="G97" s="105" t="str">
        <f>_xll.ohRangeRetrieveError(F97)</f>
        <v/>
      </c>
      <c r="H97" s="141"/>
    </row>
    <row r="98" spans="1:8" x14ac:dyDescent="0.2">
      <c r="A98" s="146"/>
      <c r="B98" s="107">
        <v>93</v>
      </c>
      <c r="C98" s="145" t="b">
        <v>0</v>
      </c>
      <c r="D98" s="144" t="str">
        <v>V1</v>
      </c>
      <c r="E98" s="143" t="str">
        <f t="shared" si="2"/>
        <v>EURIMMFRA6MV1_Quote</v>
      </c>
      <c r="F98" s="142" t="str">
        <f>_xll.qlSimpleQuote(E98,,PriceTickValue,Permanent,Trigger,ObjectOverwrite)</f>
        <v>EURIMMFRA6MV1_Quote#0000</v>
      </c>
      <c r="G98" s="105" t="str">
        <f>_xll.ohRangeRetrieveError(F98)</f>
        <v/>
      </c>
      <c r="H98" s="141"/>
    </row>
    <row r="99" spans="1:8" x14ac:dyDescent="0.2">
      <c r="A99" s="146"/>
      <c r="B99" s="107">
        <v>94</v>
      </c>
      <c r="C99" s="145" t="b">
        <v>0</v>
      </c>
      <c r="D99" s="144" t="str">
        <v>X1</v>
      </c>
      <c r="E99" s="143" t="str">
        <f t="shared" si="2"/>
        <v>EURIMMFRA6MX1_Quote</v>
      </c>
      <c r="F99" s="142" t="str">
        <f>_xll.qlSimpleQuote(E99,,PriceTickValue,Permanent,Trigger,ObjectOverwrite)</f>
        <v>EURIMMFRA6MX1_Quote#0000</v>
      </c>
      <c r="G99" s="105" t="str">
        <f>_xll.ohRangeRetrieveError(F99)</f>
        <v/>
      </c>
      <c r="H99" s="141"/>
    </row>
    <row r="100" spans="1:8" x14ac:dyDescent="0.2">
      <c r="A100" s="146"/>
      <c r="B100" s="107">
        <v>95</v>
      </c>
      <c r="C100" s="145" t="b">
        <v>0</v>
      </c>
      <c r="D100" s="144" t="str">
        <v>Z1</v>
      </c>
      <c r="E100" s="143" t="str">
        <f t="shared" si="2"/>
        <v>EURIMMFRA6MZ1_Quote</v>
      </c>
      <c r="F100" s="142" t="str">
        <f>_xll.qlSimpleQuote(E100,,PriceTickValue,Permanent,Trigger,ObjectOverwrite)</f>
        <v>EURIMMFRA6MZ1_Quote#0000</v>
      </c>
      <c r="G100" s="105" t="str">
        <f>_xll.ohRangeRetrieveError(F100)</f>
        <v/>
      </c>
      <c r="H100" s="141"/>
    </row>
    <row r="101" spans="1:8" x14ac:dyDescent="0.2">
      <c r="A101" s="146"/>
      <c r="B101" s="107">
        <v>96</v>
      </c>
      <c r="C101" s="145" t="b">
        <v>0</v>
      </c>
      <c r="D101" s="144" t="str">
        <v>F2</v>
      </c>
      <c r="E101" s="143" t="str">
        <f t="shared" si="2"/>
        <v>EURIMMFRA6MF2_Quote</v>
      </c>
      <c r="F101" s="142" t="str">
        <f>_xll.qlSimpleQuote(E101,,PriceTickValue,Permanent,Trigger,ObjectOverwrite)</f>
        <v>EURIMMFRA6MF2_Quote#0000</v>
      </c>
      <c r="G101" s="105" t="str">
        <f>_xll.ohRangeRetrieveError(F101)</f>
        <v/>
      </c>
      <c r="H101" s="141"/>
    </row>
    <row r="102" spans="1:8" x14ac:dyDescent="0.2">
      <c r="A102" s="146"/>
      <c r="B102" s="107">
        <v>97</v>
      </c>
      <c r="C102" s="145" t="b">
        <v>0</v>
      </c>
      <c r="D102" s="144" t="str">
        <v>G2</v>
      </c>
      <c r="E102" s="143" t="str">
        <f t="shared" ref="E102:E125" si="3">Currency&amp;$D$4&amp;$E$4&amp;$D102&amp;QuoteSuffix</f>
        <v>EURIMMFRA6MG2_Quote</v>
      </c>
      <c r="F102" s="142" t="str">
        <f>_xll.qlSimpleQuote(E102,,PriceTickValue,Permanent,Trigger,ObjectOverwrite)</f>
        <v>EURIMMFRA6MG2_Quote#0000</v>
      </c>
      <c r="G102" s="105" t="str">
        <f>_xll.ohRangeRetrieveError(F102)</f>
        <v/>
      </c>
      <c r="H102" s="141"/>
    </row>
    <row r="103" spans="1:8" x14ac:dyDescent="0.2">
      <c r="A103" s="146"/>
      <c r="B103" s="107">
        <v>98</v>
      </c>
      <c r="C103" s="145" t="b">
        <v>0</v>
      </c>
      <c r="D103" s="144" t="str">
        <v>H2</v>
      </c>
      <c r="E103" s="143" t="str">
        <f t="shared" si="3"/>
        <v>EURIMMFRA6MH2_Quote</v>
      </c>
      <c r="F103" s="142" t="str">
        <f>_xll.qlSimpleQuote(E103,,PriceTickValue,Permanent,Trigger,ObjectOverwrite)</f>
        <v>EURIMMFRA6MH2_Quote#0000</v>
      </c>
      <c r="G103" s="105" t="str">
        <f>_xll.ohRangeRetrieveError(F103)</f>
        <v/>
      </c>
      <c r="H103" s="141"/>
    </row>
    <row r="104" spans="1:8" x14ac:dyDescent="0.2">
      <c r="A104" s="146"/>
      <c r="B104" s="107">
        <v>99</v>
      </c>
      <c r="C104" s="145" t="b">
        <v>0</v>
      </c>
      <c r="D104" s="144" t="str">
        <v>J2</v>
      </c>
      <c r="E104" s="143" t="str">
        <f t="shared" si="3"/>
        <v>EURIMMFRA6MJ2_Quote</v>
      </c>
      <c r="F104" s="142" t="str">
        <f>_xll.qlSimpleQuote(E104,,PriceTickValue,Permanent,Trigger,ObjectOverwrite)</f>
        <v>EURIMMFRA6MJ2_Quote#0000</v>
      </c>
      <c r="G104" s="105" t="str">
        <f>_xll.ohRangeRetrieveError(F104)</f>
        <v/>
      </c>
      <c r="H104" s="141"/>
    </row>
    <row r="105" spans="1:8" x14ac:dyDescent="0.2">
      <c r="A105" s="146"/>
      <c r="B105" s="107">
        <v>100</v>
      </c>
      <c r="C105" s="145" t="b">
        <v>0</v>
      </c>
      <c r="D105" s="144" t="str">
        <v>K2</v>
      </c>
      <c r="E105" s="143" t="str">
        <f t="shared" si="3"/>
        <v>EURIMMFRA6MK2_Quote</v>
      </c>
      <c r="F105" s="142" t="str">
        <f>_xll.qlSimpleQuote(E105,,PriceTickValue,Permanent,Trigger,ObjectOverwrite)</f>
        <v>EURIMMFRA6MK2_Quote#0000</v>
      </c>
      <c r="G105" s="105" t="str">
        <f>_xll.ohRangeRetrieveError(F105)</f>
        <v/>
      </c>
      <c r="H105" s="141"/>
    </row>
    <row r="106" spans="1:8" x14ac:dyDescent="0.2">
      <c r="A106" s="146"/>
      <c r="B106" s="107">
        <v>101</v>
      </c>
      <c r="C106" s="145" t="b">
        <v>0</v>
      </c>
      <c r="D106" s="144" t="str">
        <v>M2</v>
      </c>
      <c r="E106" s="143" t="str">
        <f t="shared" si="3"/>
        <v>EURIMMFRA6MM2_Quote</v>
      </c>
      <c r="F106" s="142" t="str">
        <f>_xll.qlSimpleQuote(E106,,PriceTickValue,Permanent,Trigger,ObjectOverwrite)</f>
        <v>EURIMMFRA6MM2_Quote#0000</v>
      </c>
      <c r="G106" s="105" t="str">
        <f>_xll.ohRangeRetrieveError(F106)</f>
        <v/>
      </c>
      <c r="H106" s="141"/>
    </row>
    <row r="107" spans="1:8" x14ac:dyDescent="0.2">
      <c r="A107" s="146"/>
      <c r="B107" s="107">
        <v>102</v>
      </c>
      <c r="C107" s="145" t="b">
        <v>0</v>
      </c>
      <c r="D107" s="144" t="str">
        <v>N2</v>
      </c>
      <c r="E107" s="143" t="str">
        <f t="shared" si="3"/>
        <v>EURIMMFRA6MN2_Quote</v>
      </c>
      <c r="F107" s="142" t="str">
        <f>_xll.qlSimpleQuote(E107,,PriceTickValue,Permanent,Trigger,ObjectOverwrite)</f>
        <v>EURIMMFRA6MN2_Quote#0000</v>
      </c>
      <c r="G107" s="105" t="str">
        <f>_xll.ohRangeRetrieveError(F107)</f>
        <v/>
      </c>
      <c r="H107" s="141"/>
    </row>
    <row r="108" spans="1:8" x14ac:dyDescent="0.2">
      <c r="A108" s="146"/>
      <c r="B108" s="107">
        <v>103</v>
      </c>
      <c r="C108" s="145" t="b">
        <v>0</v>
      </c>
      <c r="D108" s="144" t="str">
        <v>Q2</v>
      </c>
      <c r="E108" s="143" t="str">
        <f t="shared" si="3"/>
        <v>EURIMMFRA6MQ2_Quote</v>
      </c>
      <c r="F108" s="142" t="str">
        <f>_xll.qlSimpleQuote(E108,,PriceTickValue,Permanent,Trigger,ObjectOverwrite)</f>
        <v>EURIMMFRA6MQ2_Quote#0000</v>
      </c>
      <c r="G108" s="105" t="str">
        <f>_xll.ohRangeRetrieveError(F108)</f>
        <v/>
      </c>
      <c r="H108" s="141"/>
    </row>
    <row r="109" spans="1:8" x14ac:dyDescent="0.2">
      <c r="A109" s="146"/>
      <c r="B109" s="107">
        <v>104</v>
      </c>
      <c r="C109" s="145" t="b">
        <v>0</v>
      </c>
      <c r="D109" s="144" t="str">
        <v>U2</v>
      </c>
      <c r="E109" s="143" t="str">
        <f t="shared" si="3"/>
        <v>EURIMMFRA6MU2_Quote</v>
      </c>
      <c r="F109" s="142" t="str">
        <f>_xll.qlSimpleQuote(E109,,PriceTickValue,Permanent,Trigger,ObjectOverwrite)</f>
        <v>EURIMMFRA6MU2_Quote#0000</v>
      </c>
      <c r="G109" s="105" t="str">
        <f>_xll.ohRangeRetrieveError(F109)</f>
        <v/>
      </c>
      <c r="H109" s="141"/>
    </row>
    <row r="110" spans="1:8" x14ac:dyDescent="0.2">
      <c r="A110" s="146"/>
      <c r="B110" s="107">
        <v>105</v>
      </c>
      <c r="C110" s="145" t="b">
        <v>0</v>
      </c>
      <c r="D110" s="144" t="str">
        <v>V2</v>
      </c>
      <c r="E110" s="143" t="str">
        <f t="shared" si="3"/>
        <v>EURIMMFRA6MV2_Quote</v>
      </c>
      <c r="F110" s="142" t="str">
        <f>_xll.qlSimpleQuote(E110,,PriceTickValue,Permanent,Trigger,ObjectOverwrite)</f>
        <v>EURIMMFRA6MV2_Quote#0000</v>
      </c>
      <c r="G110" s="105" t="str">
        <f>_xll.ohRangeRetrieveError(F110)</f>
        <v/>
      </c>
      <c r="H110" s="141"/>
    </row>
    <row r="111" spans="1:8" x14ac:dyDescent="0.2">
      <c r="A111" s="146"/>
      <c r="B111" s="107">
        <v>106</v>
      </c>
      <c r="C111" s="145" t="b">
        <v>0</v>
      </c>
      <c r="D111" s="144" t="str">
        <v>X2</v>
      </c>
      <c r="E111" s="143" t="str">
        <f t="shared" si="3"/>
        <v>EURIMMFRA6MX2_Quote</v>
      </c>
      <c r="F111" s="142" t="str">
        <f>_xll.qlSimpleQuote(E111,,PriceTickValue,Permanent,Trigger,ObjectOverwrite)</f>
        <v>EURIMMFRA6MX2_Quote#0000</v>
      </c>
      <c r="G111" s="105" t="str">
        <f>_xll.ohRangeRetrieveError(F111)</f>
        <v/>
      </c>
      <c r="H111" s="141"/>
    </row>
    <row r="112" spans="1:8" x14ac:dyDescent="0.2">
      <c r="A112" s="146"/>
      <c r="B112" s="107">
        <v>107</v>
      </c>
      <c r="C112" s="145" t="b">
        <v>0</v>
      </c>
      <c r="D112" s="144" t="str">
        <v>Z2</v>
      </c>
      <c r="E112" s="143" t="str">
        <f t="shared" si="3"/>
        <v>EURIMMFRA6MZ2_Quote</v>
      </c>
      <c r="F112" s="142" t="str">
        <f>_xll.qlSimpleQuote(E112,,PriceTickValue,Permanent,Trigger,ObjectOverwrite)</f>
        <v>EURIMMFRA6MZ2_Quote#0000</v>
      </c>
      <c r="G112" s="105" t="str">
        <f>_xll.ohRangeRetrieveError(F112)</f>
        <v/>
      </c>
      <c r="H112" s="141"/>
    </row>
    <row r="113" spans="1:8" x14ac:dyDescent="0.2">
      <c r="A113" s="146"/>
      <c r="B113" s="107">
        <v>108</v>
      </c>
      <c r="C113" s="145" t="b">
        <v>0</v>
      </c>
      <c r="D113" s="144" t="str">
        <v>F3</v>
      </c>
      <c r="E113" s="143" t="str">
        <f t="shared" si="3"/>
        <v>EURIMMFRA6MF3_Quote</v>
      </c>
      <c r="F113" s="142" t="str">
        <f>_xll.qlSimpleQuote(E113,,PriceTickValue,Permanent,Trigger,ObjectOverwrite)</f>
        <v>EURIMMFRA6MF3_Quote#0000</v>
      </c>
      <c r="G113" s="105" t="str">
        <f>_xll.ohRangeRetrieveError(F113)</f>
        <v/>
      </c>
      <c r="H113" s="141"/>
    </row>
    <row r="114" spans="1:8" x14ac:dyDescent="0.2">
      <c r="A114" s="146"/>
      <c r="B114" s="107">
        <v>109</v>
      </c>
      <c r="C114" s="145" t="b">
        <v>0</v>
      </c>
      <c r="D114" s="144" t="str">
        <v>G3</v>
      </c>
      <c r="E114" s="143" t="str">
        <f t="shared" si="3"/>
        <v>EURIMMFRA6MG3_Quote</v>
      </c>
      <c r="F114" s="142" t="str">
        <f>_xll.qlSimpleQuote(E114,,PriceTickValue,Permanent,Trigger,ObjectOverwrite)</f>
        <v>EURIMMFRA6MG3_Quote#0000</v>
      </c>
      <c r="G114" s="105" t="str">
        <f>_xll.ohRangeRetrieveError(F114)</f>
        <v/>
      </c>
      <c r="H114" s="141"/>
    </row>
    <row r="115" spans="1:8" x14ac:dyDescent="0.2">
      <c r="A115" s="146"/>
      <c r="B115" s="107">
        <v>110</v>
      </c>
      <c r="C115" s="145" t="b">
        <v>0</v>
      </c>
      <c r="D115" s="144" t="str">
        <v>H3</v>
      </c>
      <c r="E115" s="143" t="str">
        <f t="shared" si="3"/>
        <v>EURIMMFRA6MH3_Quote</v>
      </c>
      <c r="F115" s="142" t="str">
        <f>_xll.qlSimpleQuote(E115,,PriceTickValue,Permanent,Trigger,ObjectOverwrite)</f>
        <v>EURIMMFRA6MH3_Quote#0000</v>
      </c>
      <c r="G115" s="105" t="str">
        <f>_xll.ohRangeRetrieveError(F115)</f>
        <v/>
      </c>
      <c r="H115" s="141"/>
    </row>
    <row r="116" spans="1:8" x14ac:dyDescent="0.2">
      <c r="A116" s="146"/>
      <c r="B116" s="107">
        <v>111</v>
      </c>
      <c r="C116" s="145" t="b">
        <v>0</v>
      </c>
      <c r="D116" s="144" t="str">
        <v>J3</v>
      </c>
      <c r="E116" s="143" t="str">
        <f t="shared" si="3"/>
        <v>EURIMMFRA6MJ3_Quote</v>
      </c>
      <c r="F116" s="142" t="str">
        <f>_xll.qlSimpleQuote(E116,,PriceTickValue,Permanent,Trigger,ObjectOverwrite)</f>
        <v>EURIMMFRA6MJ3_Quote#0000</v>
      </c>
      <c r="G116" s="105" t="str">
        <f>_xll.ohRangeRetrieveError(F116)</f>
        <v/>
      </c>
      <c r="H116" s="141"/>
    </row>
    <row r="117" spans="1:8" x14ac:dyDescent="0.2">
      <c r="A117" s="146"/>
      <c r="B117" s="107">
        <v>112</v>
      </c>
      <c r="C117" s="145" t="b">
        <v>0</v>
      </c>
      <c r="D117" s="144" t="str">
        <v>K3</v>
      </c>
      <c r="E117" s="143" t="str">
        <f t="shared" si="3"/>
        <v>EURIMMFRA6MK3_Quote</v>
      </c>
      <c r="F117" s="142" t="str">
        <f>_xll.qlSimpleQuote(E117,,PriceTickValue,Permanent,Trigger,ObjectOverwrite)</f>
        <v>EURIMMFRA6MK3_Quote#0000</v>
      </c>
      <c r="G117" s="105" t="str">
        <f>_xll.ohRangeRetrieveError(F117)</f>
        <v/>
      </c>
      <c r="H117" s="141"/>
    </row>
    <row r="118" spans="1:8" x14ac:dyDescent="0.2">
      <c r="A118" s="146"/>
      <c r="B118" s="107">
        <v>113</v>
      </c>
      <c r="C118" s="145" t="b">
        <v>0</v>
      </c>
      <c r="D118" s="144" t="str">
        <v>M3</v>
      </c>
      <c r="E118" s="143" t="str">
        <f t="shared" si="3"/>
        <v>EURIMMFRA6MM3_Quote</v>
      </c>
      <c r="F118" s="142" t="str">
        <f>_xll.qlSimpleQuote(E118,,PriceTickValue,Permanent,Trigger,ObjectOverwrite)</f>
        <v>EURIMMFRA6MM3_Quote#0000</v>
      </c>
      <c r="G118" s="105" t="str">
        <f>_xll.ohRangeRetrieveError(F118)</f>
        <v/>
      </c>
      <c r="H118" s="141"/>
    </row>
    <row r="119" spans="1:8" x14ac:dyDescent="0.2">
      <c r="A119" s="146"/>
      <c r="B119" s="107">
        <v>114</v>
      </c>
      <c r="C119" s="145" t="b">
        <v>0</v>
      </c>
      <c r="D119" s="144" t="str">
        <v>N3</v>
      </c>
      <c r="E119" s="143" t="str">
        <f t="shared" si="3"/>
        <v>EURIMMFRA6MN3_Quote</v>
      </c>
      <c r="F119" s="142" t="str">
        <f>_xll.qlSimpleQuote(E119,,PriceTickValue,Permanent,Trigger,ObjectOverwrite)</f>
        <v>EURIMMFRA6MN3_Quote#0000</v>
      </c>
      <c r="G119" s="105" t="str">
        <f>_xll.ohRangeRetrieveError(F119)</f>
        <v/>
      </c>
      <c r="H119" s="141"/>
    </row>
    <row r="120" spans="1:8" x14ac:dyDescent="0.2">
      <c r="A120" s="146"/>
      <c r="B120" s="107">
        <v>115</v>
      </c>
      <c r="C120" s="145" t="b">
        <v>0</v>
      </c>
      <c r="D120" s="144" t="str">
        <v>Q3</v>
      </c>
      <c r="E120" s="143" t="str">
        <f t="shared" si="3"/>
        <v>EURIMMFRA6MQ3_Quote</v>
      </c>
      <c r="F120" s="142" t="str">
        <f>_xll.qlSimpleQuote(E120,,PriceTickValue,Permanent,Trigger,ObjectOverwrite)</f>
        <v>EURIMMFRA6MQ3_Quote#0000</v>
      </c>
      <c r="G120" s="105" t="str">
        <f>_xll.ohRangeRetrieveError(F120)</f>
        <v/>
      </c>
      <c r="H120" s="141"/>
    </row>
    <row r="121" spans="1:8" x14ac:dyDescent="0.2">
      <c r="A121" s="146"/>
      <c r="B121" s="107">
        <v>116</v>
      </c>
      <c r="C121" s="145" t="b">
        <v>0</v>
      </c>
      <c r="D121" s="144" t="str">
        <v>U3</v>
      </c>
      <c r="E121" s="143" t="str">
        <f t="shared" si="3"/>
        <v>EURIMMFRA6MU3_Quote</v>
      </c>
      <c r="F121" s="142" t="str">
        <f>_xll.qlSimpleQuote(E121,,PriceTickValue,Permanent,Trigger,ObjectOverwrite)</f>
        <v>EURIMMFRA6MU3_Quote#0000</v>
      </c>
      <c r="G121" s="105" t="str">
        <f>_xll.ohRangeRetrieveError(F121)</f>
        <v/>
      </c>
      <c r="H121" s="141"/>
    </row>
    <row r="122" spans="1:8" x14ac:dyDescent="0.2">
      <c r="A122" s="146"/>
      <c r="B122" s="107">
        <v>117</v>
      </c>
      <c r="C122" s="145" t="b">
        <v>0</v>
      </c>
      <c r="D122" s="144" t="str">
        <v>V3</v>
      </c>
      <c r="E122" s="143" t="str">
        <f t="shared" si="3"/>
        <v>EURIMMFRA6MV3_Quote</v>
      </c>
      <c r="F122" s="142" t="str">
        <f>_xll.qlSimpleQuote(E122,,PriceTickValue,Permanent,Trigger,ObjectOverwrite)</f>
        <v>EURIMMFRA6MV3_Quote#0000</v>
      </c>
      <c r="G122" s="105" t="str">
        <f>_xll.ohRangeRetrieveError(F122)</f>
        <v/>
      </c>
      <c r="H122" s="141"/>
    </row>
    <row r="123" spans="1:8" x14ac:dyDescent="0.2">
      <c r="A123" s="146"/>
      <c r="B123" s="107">
        <v>118</v>
      </c>
      <c r="C123" s="145" t="b">
        <v>0</v>
      </c>
      <c r="D123" s="144" t="str">
        <v>X3</v>
      </c>
      <c r="E123" s="143" t="str">
        <f t="shared" si="3"/>
        <v>EURIMMFRA6MX3_Quote</v>
      </c>
      <c r="F123" s="142" t="str">
        <f>_xll.qlSimpleQuote(E123,,PriceTickValue,Permanent,Trigger,ObjectOverwrite)</f>
        <v>EURIMMFRA6MX3_Quote#0000</v>
      </c>
      <c r="G123" s="105" t="str">
        <f>_xll.ohRangeRetrieveError(F123)</f>
        <v/>
      </c>
      <c r="H123" s="141"/>
    </row>
    <row r="124" spans="1:8" x14ac:dyDescent="0.2">
      <c r="A124" s="146"/>
      <c r="B124" s="107">
        <v>119</v>
      </c>
      <c r="C124" s="145" t="b">
        <v>0</v>
      </c>
      <c r="D124" s="144" t="str">
        <v>Z3</v>
      </c>
      <c r="E124" s="143" t="str">
        <f t="shared" si="3"/>
        <v>EURIMMFRA6MZ3_Quote</v>
      </c>
      <c r="F124" s="142" t="str">
        <f>_xll.qlSimpleQuote(E124,,PriceTickValue,Permanent,Trigger,ObjectOverwrite)</f>
        <v>EURIMMFRA6MZ3_Quote#0000</v>
      </c>
      <c r="G124" s="105" t="str">
        <f>_xll.ohRangeRetrieveError(F124)</f>
        <v/>
      </c>
      <c r="H124" s="141"/>
    </row>
    <row r="125" spans="1:8" x14ac:dyDescent="0.2">
      <c r="A125" s="146"/>
      <c r="B125" s="107">
        <v>120</v>
      </c>
      <c r="C125" s="145" t="b">
        <v>0</v>
      </c>
      <c r="D125" s="144" t="str">
        <v>F4</v>
      </c>
      <c r="E125" s="143" t="str">
        <f t="shared" si="3"/>
        <v>EURIMMFRA6MF4_Quote</v>
      </c>
      <c r="F125" s="142" t="str">
        <f>_xll.qlSimpleQuote(E125,,PriceTickValue,Permanent,Trigger,ObjectOverwrite)</f>
        <v>EURIMMFRA6MF4_Quote#0000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2</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6" t="s">
        <v>263</v>
      </c>
      <c r="L4" s="587"/>
      <c r="M4" s="356"/>
      <c r="N4" s="281" t="s">
        <v>239</v>
      </c>
      <c r="O4" s="354"/>
      <c r="P4" s="41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QuoteLive</f>
        <v>0</v>
      </c>
      <c r="Q5" s="361">
        <f>_xll.qlSimpleQuoteSetValue(C5,ROUND(P5,6),Trigger)</f>
        <v>0</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3"/>
      <c r="I6" s="358"/>
      <c r="J6" s="356"/>
      <c r="K6" s="357" t="s">
        <v>260</v>
      </c>
      <c r="L6" s="352">
        <v>0.03</v>
      </c>
      <c r="M6" s="356"/>
      <c r="N6" s="355">
        <v>0.03</v>
      </c>
      <c r="O6" s="354"/>
      <c r="P6" s="413">
        <v>0.03</v>
      </c>
      <c r="Q6" s="352">
        <f>_xll.qlSimpleQuoteSetValue(C6,ROUND(P6,6),Trigger)</f>
        <v>0</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5" t="s">
        <v>321</v>
      </c>
      <c r="K1" s="199"/>
      <c r="L1" s="199"/>
      <c r="M1" s="199"/>
      <c r="N1" s="199"/>
      <c r="O1" s="199"/>
      <c r="P1" s="199"/>
      <c r="Q1" s="199"/>
      <c r="R1" s="199"/>
      <c r="S1" s="199"/>
      <c r="T1" s="199"/>
      <c r="U1" s="199"/>
      <c r="V1" s="199"/>
      <c r="W1" s="199"/>
      <c r="X1" s="199"/>
      <c r="Y1" s="199"/>
      <c r="Z1" s="196"/>
    </row>
    <row r="2" spans="1:26" ht="14.25" thickBot="1" x14ac:dyDescent="0.3">
      <c r="J2" s="287"/>
      <c r="K2" s="137"/>
      <c r="L2" s="137"/>
      <c r="M2" s="137"/>
      <c r="N2" s="137"/>
      <c r="O2" s="144" t="s">
        <v>222</v>
      </c>
      <c r="P2" s="137"/>
      <c r="Q2" s="137"/>
      <c r="R2" s="137"/>
      <c r="S2" s="137"/>
      <c r="T2" s="137"/>
      <c r="U2" s="253"/>
      <c r="V2" s="253"/>
      <c r="W2" s="253"/>
      <c r="X2" s="253"/>
      <c r="Y2" s="253"/>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2</v>
      </c>
      <c r="Z3" s="217"/>
    </row>
    <row r="4" spans="1:26" ht="22.5" x14ac:dyDescent="0.25">
      <c r="A4" s="176"/>
      <c r="B4" s="186"/>
      <c r="C4" s="186"/>
      <c r="D4" s="185"/>
      <c r="E4" s="184" t="str">
        <f>Currency&amp;"_010_"&amp;"OIS.xml"</f>
        <v>EUR_010_OIS.xml</v>
      </c>
      <c r="F4" s="183">
        <f ca="1">IF(Serialize,_xll.ohObjectSave(_xll.ohPack(F5:F77),SerializationPath&amp;E4,FileOverwrite,Serialize),"---")</f>
        <v>47</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QuoteLive</f>
        <v>0.108</v>
      </c>
      <c r="Y5" s="270">
        <f>_xll.qlSimpleQuoteSetValue(F5,X5/100,Trigger)</f>
        <v>-9.1E-4</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0.106</v>
      </c>
      <c r="Y6" s="258">
        <f>_xll.qlSimpleQuoteSetValue(F6,X6/100,Trigger)</f>
        <v>-1.0399999999999999E-3</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0.106</v>
      </c>
      <c r="Y7" s="258">
        <f>_xll.qlSimpleQuoteSetValue(F7,X7/100,Trigger)</f>
        <v>-9.7999999999999975E-4</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0.10600000000000001</v>
      </c>
      <c r="Y8" s="258">
        <f>_xll.qlSimpleQuoteSetValue(F8,X8/100,Trigger)</f>
        <v>-8.9999999999999976E-4</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0.111</v>
      </c>
      <c r="Y9" s="258">
        <f>_xll.qlSimpleQuoteSetValue(F9,X9/100,Trigger)</f>
        <v>-8.1999999999999998E-4</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0.115</v>
      </c>
      <c r="Y10" s="258">
        <f>_xll.qlSimpleQuoteSetValue(F10,X10/100,Trigger)</f>
        <v>-7.5000000000000002E-4</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0.11699999999999999</v>
      </c>
      <c r="Y11" s="258">
        <f>_xll.qlSimpleQuoteSetValue(F11,X11/100,Trigger)</f>
        <v>-6.7000000000000002E-4</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0.11899999999999999</v>
      </c>
      <c r="Y12" s="258">
        <f>_xll.qlSimpleQuoteSetValue(F12,X12/100,Trigger)</f>
        <v>-6.0000000000000006E-4</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0.124</v>
      </c>
      <c r="Y13" s="258">
        <f>_xll.qlSimpleQuoteSetValue(F13,X13/100,Trigger)</f>
        <v>-5.0999999999999982E-4</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0.128</v>
      </c>
      <c r="Y14" s="258">
        <f>_xll.qlSimpleQuoteSetValue(F14,X14/100,Trigger)</f>
        <v>-4.3999999999999985E-4</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0.13300000000000001</v>
      </c>
      <c r="Y15" s="258">
        <f>_xll.qlSimpleQuoteSetValue(F15,X15/100,Trigger)</f>
        <v>-3.6000000000000008E-4</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0.14100000000000001</v>
      </c>
      <c r="Y16" s="258">
        <f>_xll.qlSimpleQuoteSetValue(F16,X16/100,Trigger)</f>
        <v>-2.4999999999999979E-4</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0.14699999999999999</v>
      </c>
      <c r="Y17" s="258">
        <f>_xll.qlSimpleQuoteSetValue(F17,X17/100,Trigger)</f>
        <v>-1.7000000000000001E-4</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0.155</v>
      </c>
      <c r="Y18" s="258">
        <f>_xll.qlSimpleQuoteSetValue(F18,X18/100,Trigger)</f>
        <v>-7.0000000000000184E-5</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0.16200000000000001</v>
      </c>
      <c r="Y19" s="258">
        <f>_xll.qlSimpleQuoteSetValue(F19,X19/100,Trigger)</f>
        <v>1.0000000000000026E-5</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0.185</v>
      </c>
      <c r="Y20" s="258">
        <f>_xll.qlSimpleQuoteSetValue(F20,X20/100,Trigger)</f>
        <v>2.3999999999999998E-4</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0.20900000000000002</v>
      </c>
      <c r="Y21" s="258">
        <f>_xll.qlSimpleQuoteSetValue(F21,X21/100,Trigger)</f>
        <v>4.3000000000000026E-4</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0.23499999999999999</v>
      </c>
      <c r="Y22" s="258">
        <f>_xll.qlSimpleQuoteSetValue(F22,X22/100,Trigger)</f>
        <v>5.7999999999999979E-4</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0.26300000000000001</v>
      </c>
      <c r="Y23" s="258">
        <f>_xll.qlSimpleQuoteSetValue(F23,X23/100,Trigger)</f>
        <v>6.7999999999999983E-4</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0.41500000000000004</v>
      </c>
      <c r="Y24" s="258">
        <f>_xll.qlSimpleQuoteSetValue(F24,X24/100,Trigger)</f>
        <v>8.3000000000000001E-4</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0.624</v>
      </c>
      <c r="Y25" s="258">
        <f>_xll.qlSimpleQuoteSetValue(F25,X25/100,Trigger)</f>
        <v>8.4999999999999919E-4</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0.84899999999999998</v>
      </c>
      <c r="Y26" s="258">
        <f>_xll.qlSimpleQuoteSetValue(F26,X26/100,Trigger)</f>
        <v>8.9999999999999889E-4</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1.0459999999999998</v>
      </c>
      <c r="Y27" s="258">
        <f>_xll.qlSimpleQuoteSetValue(F27,X27/100,Trigger)</f>
        <v>7.0999999999999883E-4</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1.2229999999999999</v>
      </c>
      <c r="Y28" s="258">
        <f>_xll.qlSimpleQuoteSetValue(F28,X28/100,Trigger)</f>
        <v>4.4999999999999901E-4</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1.381</v>
      </c>
      <c r="Y29" s="258">
        <f>_xll.qlSimpleQuoteSetValue(F29,X29/100,Trigger)</f>
        <v>1.6999999999999828E-4</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1.5289999999999999</v>
      </c>
      <c r="Y30" s="258">
        <f>_xll.qlSimpleQuoteSetValue(F30,X30/100,Trigger)</f>
        <v>-1.9999999999999185E-5</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1.6640000000000001</v>
      </c>
      <c r="Y31" s="258">
        <f>_xll.qlSimpleQuoteSetValue(F31,X31/100,Trigger)</f>
        <v>-1.5999999999999695E-4</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1.782</v>
      </c>
      <c r="Y32" s="258">
        <f>_xll.qlSimpleQuoteSetValue(F32,X32/100,Trigger)</f>
        <v>-2.8000000000000247E-4</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1.8839999999999999</v>
      </c>
      <c r="Y33" s="258">
        <f>_xll.qlSimpleQuoteSetValue(F33,X33/100,Trigger)</f>
        <v>-4.1000000000000064E-4</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2.105</v>
      </c>
      <c r="Y34" s="258">
        <f>_xll.qlSimpleQuoteSetValue(F34,X34/100,Trigger)</f>
        <v>-7.399999999999976E-4</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2.2450000000000001</v>
      </c>
      <c r="Y35" s="258">
        <f>_xll.qlSimpleQuoteSetValue(F35,X35/100,Trigger)</f>
        <v>-1.2199999999999989E-3</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2.2809999999999997</v>
      </c>
      <c r="Y36" s="258">
        <f>_xll.qlSimpleQuoteSetValue(F36,X36/100,Trigger)</f>
        <v>-1.5000000000000048E-3</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2.2889999999999997</v>
      </c>
      <c r="Y37" s="258">
        <f>_xll.qlSimpleQuoteSetValue(F37,X37/100,Trigger)</f>
        <v>-1.5900000000000011E-3</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2.3520000000000003</v>
      </c>
      <c r="Y38" s="258">
        <f>_xll.qlSimpleQuoteSetValue(F38,X38/100,Trigger)</f>
        <v>-1.4299999999999972E-3</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2.4080000000000004</v>
      </c>
      <c r="Y39" s="258">
        <f>_xll.qlSimpleQuoteSetValue(F39,X39/100,Trigger)</f>
        <v>-1.1999999999999962E-3</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2.4470000000000001</v>
      </c>
      <c r="Y40" s="250">
        <f>_xll.qlSimpleQuoteSetValue(F40,X40/100,Trigger)</f>
        <v>-1.0399999999999993E-3</v>
      </c>
      <c r="Z40" s="217"/>
    </row>
    <row r="41" spans="1:26"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row>
    <row r="42" spans="1:26" x14ac:dyDescent="0.25">
      <c r="A42" s="176"/>
      <c r="B42" s="175" t="s">
        <v>179</v>
      </c>
      <c r="C42" s="175" t="s">
        <v>178</v>
      </c>
      <c r="D42" s="174" t="str">
        <f>_xll.qlECBNextCode(_xll.qlSettingsEvaluationDate(Trigger)-365)</f>
        <v>FEB13</v>
      </c>
      <c r="E42" s="173" t="str">
        <f t="shared" ref="E42:E77" si="4">Currency&amp;$B42&amp;$C42&amp;$D42&amp;QuoteSuffix</f>
        <v>EURECBOISFEB13_Quote</v>
      </c>
      <c r="F42" s="173" t="str">
        <f>_xll.qlSimpleQuote(Currency&amp;$B42&amp;$C42&amp;$D42&amp;QuoteSuffix,,RateTickValue,Permanent,Trigger,ObjectOverwrite)</f>
        <v>EURECBOISFEB13_Quote#0000</v>
      </c>
      <c r="G42" s="172" t="str">
        <f>_xll.ohRangeRetrieveError(F42)</f>
        <v/>
      </c>
      <c r="H42" s="171"/>
    </row>
    <row r="43" spans="1:26" x14ac:dyDescent="0.25">
      <c r="A43" s="176"/>
      <c r="B43" s="175" t="s">
        <v>179</v>
      </c>
      <c r="C43" s="175" t="s">
        <v>178</v>
      </c>
      <c r="D43" s="174" t="str">
        <f>_xll.qlECBNextCode(_xll.qlECBdate(D42))</f>
        <v>MAR13</v>
      </c>
      <c r="E43" s="173" t="str">
        <f t="shared" si="4"/>
        <v>EURECBOISMAR13_Quote</v>
      </c>
      <c r="F43" s="173" t="str">
        <f>_xll.qlSimpleQuote(Currency&amp;$B43&amp;$C43&amp;$D43&amp;QuoteSuffix,,RateTickValue,Permanent,Trigger,ObjectOverwrite)</f>
        <v>EURECBOISMAR13_Quote#0000</v>
      </c>
      <c r="G43" s="172" t="str">
        <f>_xll.ohRangeRetrieveError(F43)</f>
        <v/>
      </c>
      <c r="H43" s="171"/>
    </row>
    <row r="44" spans="1:26" x14ac:dyDescent="0.25">
      <c r="A44" s="176"/>
      <c r="B44" s="175" t="s">
        <v>179</v>
      </c>
      <c r="C44" s="175" t="s">
        <v>178</v>
      </c>
      <c r="D44" s="174" t="str">
        <f>_xll.qlECBNextCode(_xll.qlECBdate(D43))</f>
        <v>APR13</v>
      </c>
      <c r="E44" s="173" t="str">
        <f t="shared" si="4"/>
        <v>EURECBOISAPR13_Quote</v>
      </c>
      <c r="F44" s="173" t="str">
        <f>_xll.qlSimpleQuote(Currency&amp;$B44&amp;$C44&amp;$D44&amp;QuoteSuffix,,RateTickValue,Permanent,Trigger,ObjectOverwrite)</f>
        <v>EURECBOISAPR13_Quote#0000</v>
      </c>
      <c r="G44" s="172" t="str">
        <f>_xll.ohRangeRetrieveError(F44)</f>
        <v/>
      </c>
      <c r="H44" s="171"/>
    </row>
    <row r="45" spans="1:26" ht="14.25" thickBot="1" x14ac:dyDescent="0.3">
      <c r="A45" s="176"/>
      <c r="B45" s="175" t="s">
        <v>179</v>
      </c>
      <c r="C45" s="175" t="s">
        <v>178</v>
      </c>
      <c r="D45" s="174" t="str">
        <f>_xll.qlECBNextCode(_xll.qlECBdate(D44))</f>
        <v>MAY13</v>
      </c>
      <c r="E45" s="173" t="str">
        <f t="shared" si="4"/>
        <v>EURECBOISMAY13_Quote</v>
      </c>
      <c r="F45" s="173" t="str">
        <f>_xll.qlSimpleQuote(Currency&amp;$B45&amp;$C45&amp;$D45&amp;QuoteSuffix,,RateTickValue,Permanent,Trigger,ObjectOverwrite)</f>
        <v>EURECBOISMAY13_Quote#0000</v>
      </c>
      <c r="G45" s="172" t="str">
        <f>_xll.ohRangeRetrieveError(F45)</f>
        <v/>
      </c>
      <c r="H45" s="171"/>
    </row>
    <row r="46" spans="1:26" x14ac:dyDescent="0.25">
      <c r="A46" s="176"/>
      <c r="B46" s="175" t="s">
        <v>179</v>
      </c>
      <c r="C46" s="175" t="s">
        <v>178</v>
      </c>
      <c r="D46" s="174" t="str">
        <f>_xll.qlECBNextCode(_xll.qlECBdate(D45))</f>
        <v>JUN13</v>
      </c>
      <c r="E46" s="173" t="str">
        <f t="shared" si="4"/>
        <v>EURECBOISJUN13_Quote</v>
      </c>
      <c r="F46" s="173" t="str">
        <f>_xll.qlSimpleQuote(Currency&amp;$B46&amp;$C46&amp;$D46&amp;QuoteSuffix,,RateTickValue,Permanent,Trigger,ObjectOverwrite)</f>
        <v>EURECBOISJUN13_Quote#0000</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JUL13</v>
      </c>
      <c r="E47" s="173" t="str">
        <f t="shared" si="4"/>
        <v>EURECBOISJUL13_Quote</v>
      </c>
      <c r="F47" s="173" t="str">
        <f>_xll.qlSimpleQuote(Currency&amp;$B47&amp;$C47&amp;$D47&amp;QuoteSuffix,,RateTickValue,Permanent,Trigger,ObjectOverwrite)</f>
        <v>EURECBOISJUL13_Quote#0000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AUG13</v>
      </c>
      <c r="E48" s="173" t="str">
        <f t="shared" si="4"/>
        <v>EURECBOISAUG13_Quote</v>
      </c>
      <c r="F48" s="173" t="str">
        <f>_xll.qlSimpleQuote(Currency&amp;$B48&amp;$C48&amp;$D48&amp;QuoteSuffix,,RateTickValue,Permanent,Trigger,ObjectOverwrite)</f>
        <v>EURECBOISAUG13_Quote#0000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row>
    <row r="49" spans="1:26" x14ac:dyDescent="0.25">
      <c r="A49" s="176"/>
      <c r="B49" s="175" t="s">
        <v>179</v>
      </c>
      <c r="C49" s="175" t="s">
        <v>178</v>
      </c>
      <c r="D49" s="174" t="str">
        <f>_xll.qlECBNextCode(_xll.qlECBdate(D48))</f>
        <v>SEP13</v>
      </c>
      <c r="E49" s="173" t="str">
        <f t="shared" si="4"/>
        <v>EURECBOISSEP13_Quote</v>
      </c>
      <c r="F49" s="173" t="str">
        <f>_xll.qlSimpleQuote(Currency&amp;$B49&amp;$C49&amp;$D49&amp;QuoteSuffix,,RateTickValue,Permanent,Trigger,ObjectOverwrite)</f>
        <v>EURECBOISSEP13_Quote#0000</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8" t="s">
        <v>237</v>
      </c>
      <c r="Y49" s="94" t="s">
        <v>236</v>
      </c>
      <c r="Z49" s="217"/>
    </row>
    <row r="50" spans="1:26" x14ac:dyDescent="0.25">
      <c r="A50" s="176"/>
      <c r="B50" s="175" t="s">
        <v>179</v>
      </c>
      <c r="C50" s="175" t="s">
        <v>178</v>
      </c>
      <c r="D50" s="174" t="str">
        <f>_xll.qlECBNextCode(_xll.qlECBdate(D49))</f>
        <v>OCT13</v>
      </c>
      <c r="E50" s="173" t="str">
        <f t="shared" si="4"/>
        <v>EURECBOISOCT13_Quote</v>
      </c>
      <c r="F50" s="173" t="str">
        <f>_xll.qlSimpleQuote(Currency&amp;$B50&amp;$C50&amp;$D50&amp;QuoteSuffix,,RateTickValue,Permanent,Trigger,ObjectOverwrite)</f>
        <v>EURECBOISOCT13_Quote#0000</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9" t="e">
        <f>_xll.qlSimpleQuoteSetValue(#REF!,$X50/100,Trigger)</f>
        <v>#VALUE!</v>
      </c>
      <c r="Z50" s="217"/>
    </row>
    <row r="51" spans="1:26" x14ac:dyDescent="0.25">
      <c r="A51" s="176"/>
      <c r="B51" s="175" t="s">
        <v>179</v>
      </c>
      <c r="C51" s="175" t="s">
        <v>178</v>
      </c>
      <c r="D51" s="174" t="str">
        <f>_xll.qlECBNextCode(_xll.qlECBdate(D50))</f>
        <v>NOV13</v>
      </c>
      <c r="E51" s="173" t="str">
        <f t="shared" si="4"/>
        <v>EURECBOISNOV13_Quote</v>
      </c>
      <c r="F51" s="173" t="str">
        <f>_xll.qlSimpleQuote(Currency&amp;$B51&amp;$C51&amp;$D51&amp;QuoteSuffix,,RateTickValue,Permanent,Trigger,ObjectOverwrite)</f>
        <v>EURECBOISNOV13_Quote#0000</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10" t="e">
        <f>_xll.qlSimpleQuoteSetValue(#REF!,$X51/100,Trigger)</f>
        <v>#VALUE!</v>
      </c>
      <c r="Z51" s="217"/>
    </row>
    <row r="52" spans="1:26" x14ac:dyDescent="0.25">
      <c r="A52" s="176"/>
      <c r="B52" s="175" t="s">
        <v>179</v>
      </c>
      <c r="C52" s="175" t="s">
        <v>178</v>
      </c>
      <c r="D52" s="174" t="str">
        <f>_xll.qlECBNextCode(_xll.qlECBdate(D51))</f>
        <v>DEC13</v>
      </c>
      <c r="E52" s="173" t="str">
        <f t="shared" si="4"/>
        <v>EURECBOISDEC13_Quote</v>
      </c>
      <c r="F52" s="173" t="str">
        <f>_xll.qlSimpleQuote(Currency&amp;$B52&amp;$C52&amp;$D52&amp;QuoteSuffix,,RateTickValue,Permanent,Trigger,ObjectOverwrite)</f>
        <v>EURECBOISDEC13_Quote#0000</v>
      </c>
      <c r="G52" s="172" t="str">
        <f>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10" t="e">
        <f>_xll.qlSimpleQuoteSetValue(#REF!,$X52/100,Trigger)</f>
        <v>#VALUE!</v>
      </c>
      <c r="Z52" s="217"/>
    </row>
    <row r="53" spans="1:26"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1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1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1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2</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QuoteLive</f>
        <v>0.13600000000000001</v>
      </c>
      <c r="Y5" s="258">
        <f>_xll.qlSimpleQuoteSetValue(F5,X5/100,Trigger)</f>
        <v>0</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f>_xll.qlSimpleQuoteSetValue(F6,X6/100,Trigger)</f>
        <v>0</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f>_xll.qlSimpleQuoteSetValue(F7,X7/100,Trigger)</f>
        <v>0</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f>_xll.qlSimpleQuoteSetValue(F8,X8/100,Trigger)</f>
        <v>0</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f>_xll.qlSimpleQuoteSetValue(F9,X9/100,Trigger)</f>
        <v>0</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f>_xll.qlSimpleQuoteSetValue(F10,X10/100,Trigger)</f>
        <v>0</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0.16899999999999998</v>
      </c>
      <c r="Y11" s="258">
        <f>_xll.qlSimpleQuoteSetValue(F11,X11/100,Trigger)</f>
        <v>-1.0000000000000026E-5</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f>_xll.qlSimpleQuoteSetValue(F12,X12/100,Trigger)</f>
        <v>0</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f>_xll.qlSimpleQuoteSetValue(F13,X13/100,Trigger)</f>
        <v>0</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f>_xll.qlSimpleQuoteSetValue(F14,X14/100,Trigger)</f>
        <v>0</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f>_xll.qlSimpleQuoteSetValue(F15,X15/100,Trigger)</f>
        <v>0</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2</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8"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QuoteLive</f>
        <v>0.36</v>
      </c>
      <c r="Y5" s="258">
        <f>_xll.qlSimpleQuoteSetValue(F5,X5/100,Trigger)</f>
        <v>0</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f>_xll.qlSimpleQuoteSetValue(F6,X6/100,Trigger)</f>
        <v>0</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f>_xll.qlSimpleQuoteSetValue(F7,X7/100,Trigger)</f>
        <v>0</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f>_xll.qlSimpleQuoteSetValue(F8,X8/100,Trigger)</f>
        <v>0</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f>_xll.qlSimpleQuoteSetValue(F9,X9/100,Trigger)</f>
        <v>0</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0.55800000000000005</v>
      </c>
      <c r="Y10" s="258">
        <f>_xll.qlSimpleQuoteSetValue(F10,X10/100,Trigger)</f>
        <v>-9.9999999999987252E-6</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f>_xll.qlSimpleQuoteSetValue(F11,X11/100,Trigger)</f>
        <v>0</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117</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QuoteLive</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0.32699999999999996</v>
      </c>
      <c r="AC6" s="258">
        <f>_xll.qlSimpleQuoteSetValue(F6,AB6/100,Trigger)</f>
        <v>2.2999999999999974E-4</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0.35899999999999999</v>
      </c>
      <c r="AC7" s="258">
        <f>_xll.qlSimpleQuoteSetValue(F7,AB7/100,Trigger)</f>
        <v>5.0000000000000001E-4</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0.39200000000000002</v>
      </c>
      <c r="AC8" s="258">
        <f>_xll.qlSimpleQuoteSetValue(F8,AB8/100,Trigger)</f>
        <v>7.0999999999999969E-4</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0.42300000000000004</v>
      </c>
      <c r="AC9" s="258">
        <f>_xll.qlSimpleQuoteSetValue(F9,AB9/100,Trigger)</f>
        <v>8.3000000000000001E-4</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0.45699999999999996</v>
      </c>
      <c r="AC10" s="258">
        <f>_xll.qlSimpleQuoteSetValue(F10,AB10/100,Trigger)</f>
        <v>9.1999999999999938E-4</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0.621</v>
      </c>
      <c r="AC11" s="258">
        <f>_xll.qlSimpleQuoteSetValue(F11,AB11/100,Trigger)</f>
        <v>9.3999999999999986E-4</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0.83799999999999997</v>
      </c>
      <c r="AC12" s="258">
        <f>_xll.qlSimpleQuoteSetValue(F12,AB12/100,Trigger)</f>
        <v>8.9000000000000017E-4</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1.0649999999999999</v>
      </c>
      <c r="AC13" s="258">
        <f>_xll.qlSimpleQuoteSetValue(F13,AB13/100,Trigger)</f>
        <v>8.4000000000000047E-4</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1.2629999999999999</v>
      </c>
      <c r="AC14" s="258">
        <f>_xll.qlSimpleQuoteSetValue(F14,AB14/100,Trigger)</f>
        <v>6.1999999999999902E-4</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1.4390000000000001</v>
      </c>
      <c r="AC15" s="258">
        <f>_xll.qlSimpleQuoteSetValue(F15,AB15/100,Trigger)</f>
        <v>3.4000000000000002E-4</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1.5950000000000002</v>
      </c>
      <c r="AC16" s="258">
        <f>_xll.qlSimpleQuoteSetValue(F16,AB16/100,Trigger)</f>
        <v>5.0000000000001432E-5</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1.74</v>
      </c>
      <c r="AC17" s="258">
        <f>_xll.qlSimpleQuoteSetValue(F17,AB17/100,Trigger)</f>
        <v>-1.5000000000000083E-4</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1.871</v>
      </c>
      <c r="AC18" s="258">
        <f>_xll.qlSimpleQuoteSetValue(F18,AB18/100,Trigger)</f>
        <v>-3.0999999999999778E-4</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1.9860000000000002</v>
      </c>
      <c r="AC19" s="258">
        <f>_xll.qlSimpleQuoteSetValue(F19,AB19/100,Trigger)</f>
        <v>-4.2999999999999636E-4</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2.0840000000000001</v>
      </c>
      <c r="AC20" s="258">
        <f>_xll.qlSimpleQuoteSetValue(F20,AB20/100,Trigger)</f>
        <v>-5.6000000000000147E-4</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2.2889999999999997</v>
      </c>
      <c r="AC23" s="258">
        <f>_xll.qlSimpleQuoteSetValue(F23,AB23/100,Trigger)</f>
        <v>-8.9000000000000537E-4</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2.4119999999999999</v>
      </c>
      <c r="AC28" s="258">
        <f>_xll.qlSimpleQuoteSetValue(F28,AB28/100,Trigger)</f>
        <v>-1.3300000000000013E-3</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2.4340000000000002</v>
      </c>
      <c r="AC33" s="258">
        <f>_xll.qlSimpleQuoteSetValue(F33,AB33/100,Trigger)</f>
        <v>-1.5999999999999973E-3</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2.431</v>
      </c>
      <c r="AC38" s="258">
        <f>_xll.qlSimpleQuoteSetValue(F38,AB38/100,Trigger)</f>
        <v>-1.6900000000000005E-3</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2.4809999999999999</v>
      </c>
      <c r="AC40" s="258">
        <f>_xll.qlSimpleQuoteSetValue(F40,AB40/100,Trigger)</f>
        <v>-1.5100000000000009E-3</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2.5300000000000002</v>
      </c>
      <c r="AC41" s="258">
        <f>_xll.qlSimpleQuoteSetValue(F41,AB41/100,Trigger)</f>
        <v>-1.2599999999999972E-3</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2.5640000000000001</v>
      </c>
      <c r="AC42" s="250">
        <f>_xll.qlSimpleQuoteSetValue(F42,AB42/100,Trigger)</f>
        <v>-1.0800000000000011E-3</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117</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8"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QuoteLive</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0.42699999999999999</v>
      </c>
      <c r="AC6" s="258">
        <f>_xll.qlSimpleQuoteSetValue(F6,AB6/100,Trigger)</f>
        <v>9.9999999999999395E-5</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0.45199999999999996</v>
      </c>
      <c r="AC7" s="258">
        <f>_xll.qlSimpleQuoteSetValue(F7,AB7/100,Trigger)</f>
        <v>4.8999999999999912E-4</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0.504</v>
      </c>
      <c r="AC8" s="258">
        <f>_xll.qlSimpleQuoteSetValue(F8,AB8/100,Trigger)</f>
        <v>6.1999999999999989E-4</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0.52900000000000003</v>
      </c>
      <c r="AC9" s="258">
        <f>_xll.qlSimpleQuoteSetValue(F9,AB9/100,Trigger)</f>
        <v>8.2000000000000042E-4</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0.57600000000000007</v>
      </c>
      <c r="AC10" s="258">
        <f>_xll.qlSimpleQuoteSetValue(F10,AB10/100,Trigger)</f>
        <v>8.4000000000000047E-4</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0.745</v>
      </c>
      <c r="AC11" s="258">
        <f>_xll.qlSimpleQuoteSetValue(F11,AB11/100,Trigger)</f>
        <v>8.5000000000000006E-4</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0.96099999999999997</v>
      </c>
      <c r="AC12" s="258">
        <f>_xll.qlSimpleQuoteSetValue(F12,AB12/100,Trigger)</f>
        <v>7.4000000000000107E-4</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1.1850000000000001</v>
      </c>
      <c r="AC13" s="258">
        <f>_xll.qlSimpleQuoteSetValue(F13,AB13/100,Trigger)</f>
        <v>6.4999999999999954E-4</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1.38</v>
      </c>
      <c r="AC14" s="258">
        <f>_xll.qlSimpleQuoteSetValue(F14,AB14/100,Trigger)</f>
        <v>4.1000000000000064E-4</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1.5529999999999999</v>
      </c>
      <c r="AC15" s="258">
        <f>_xll.qlSimpleQuoteSetValue(F15,AB15/100,Trigger)</f>
        <v>1.399999999999995E-4</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1.706</v>
      </c>
      <c r="AC16" s="258">
        <f>_xll.qlSimpleQuoteSetValue(F16,AB16/100,Trigger)</f>
        <v>-1.3000000000000164E-4</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1.8460000000000001</v>
      </c>
      <c r="AC17" s="258">
        <f>_xll.qlSimpleQuoteSetValue(F17,AB17/100,Trigger)</f>
        <v>-3.3000000000000043E-4</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1.974</v>
      </c>
      <c r="AC18" s="258">
        <f>_xll.qlSimpleQuoteSetValue(F18,AB18/100,Trigger)</f>
        <v>-4.599999999999986E-4</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2.085</v>
      </c>
      <c r="AC19" s="258">
        <f>_xll.qlSimpleQuoteSetValue(F19,AB19/100,Trigger)</f>
        <v>-5.6999999999999759E-4</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2.1800000000000002</v>
      </c>
      <c r="AC20" s="258">
        <f>_xll.qlSimpleQuoteSetValue(F20,AB20/100,Trigger)</f>
        <v>-6.7000000000000046E-4</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2.2599999999999998</v>
      </c>
      <c r="AC21" s="258">
        <f>_xll.qlSimpleQuoteSetValue(F21,AB21/100,Trigger)</f>
        <v>-7.6000000000000026E-4</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2.3250000000000002</v>
      </c>
      <c r="AC22" s="258">
        <f>_xll.qlSimpleQuoteSetValue(F22,AB22/100,Trigger)</f>
        <v>-8.4999999999999659E-4</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2.3759999999999999</v>
      </c>
      <c r="AC23" s="258">
        <f>_xll.qlSimpleQuoteSetValue(F23,AB23/100,Trigger)</f>
        <v>-9.4000000000000333E-4</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2.415</v>
      </c>
      <c r="AC24" s="258">
        <f>_xll.qlSimpleQuoteSetValue(F24,AB24/100,Trigger)</f>
        <v>-1.0299999999999962E-3</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2.444</v>
      </c>
      <c r="AC25" s="258">
        <f>_xll.qlSimpleQuoteSetValue(F25,AB25/100,Trigger)</f>
        <v>-1.1100000000000033E-3</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2.464</v>
      </c>
      <c r="AC26" s="258">
        <f>_xll.qlSimpleQuoteSetValue(F26,AB26/100,Trigger)</f>
        <v>-1.1900000000000036E-3</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2.4780000000000002</v>
      </c>
      <c r="AC27" s="258">
        <f>_xll.qlSimpleQuoteSetValue(F27,AB27/100,Trigger)</f>
        <v>-1.2699999999999968E-3</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2.4870000000000001</v>
      </c>
      <c r="AC28" s="258">
        <f>_xll.qlSimpleQuoteSetValue(F28,AB28/100,Trigger)</f>
        <v>-1.3400000000000009E-3</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2.4929999999999999</v>
      </c>
      <c r="AC29" s="258">
        <f>_xll.qlSimpleQuoteSetValue(F29,AB29/100,Trigger)</f>
        <v>-1.4200000000000011E-3</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2.4980000000000002</v>
      </c>
      <c r="AC30" s="258">
        <f>_xll.qlSimpleQuoteSetValue(F30,AB30/100,Trigger)</f>
        <v>-1.4599999999999995E-3</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2.5009999999999999</v>
      </c>
      <c r="AC31" s="258">
        <f>_xll.qlSimpleQuoteSetValue(F31,AB31/100,Trigger)</f>
        <v>-1.5100000000000044E-3</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2.5009999999999999</v>
      </c>
      <c r="AC32" s="258">
        <f>_xll.qlSimpleQuoteSetValue(F32,AB32/100,Trigger)</f>
        <v>-1.5600000000000024E-3</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2.5009999999999999</v>
      </c>
      <c r="AC33" s="258">
        <f>_xll.qlSimpleQuoteSetValue(F33,AB33/100,Trigger)</f>
        <v>-1.5900000000000046E-3</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2.5</v>
      </c>
      <c r="AC34" s="258">
        <f>_xll.qlSimpleQuoteSetValue(F34,AB34/100,Trigger)</f>
        <v>-1.6100000000000003E-3</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2.4980000000000002</v>
      </c>
      <c r="AC35" s="258">
        <f>_xll.qlSimpleQuoteSetValue(F35,AB35/100,Trigger)</f>
        <v>-1.6399999999999956E-3</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2.4950000000000001</v>
      </c>
      <c r="AC36" s="258">
        <f>_xll.qlSimpleQuoteSetValue(F36,AB36/100,Trigger)</f>
        <v>-1.6600000000000018E-3</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2.4939999999999998</v>
      </c>
      <c r="AC37" s="258">
        <f>_xll.qlSimpleQuoteSetValue(F37,AB37/100,Trigger)</f>
        <v>-1.6600000000000052E-3</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2.4929999999999999</v>
      </c>
      <c r="AC38" s="258">
        <f>_xll.qlSimpleQuoteSetValue(F38,AB38/100,Trigger)</f>
        <v>-1.6700000000000048E-3</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2.5070000000000001</v>
      </c>
      <c r="AC39" s="258">
        <f>_xll.qlSimpleQuoteSetValue(F39,AB39/100,Trigger)</f>
        <v>-1.6100000000000003E-3</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2.5350000000000001</v>
      </c>
      <c r="AC40" s="258">
        <f>_xll.qlSimpleQuoteSetValue(F40,AB40/100,Trigger)</f>
        <v>-1.4900000000000017E-3</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2.5790000000000002</v>
      </c>
      <c r="AC41" s="258">
        <f>_xll.qlSimpleQuoteSetValue(F41,AB41/100,Trigger)</f>
        <v>-1.239999999999998E-3</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2.61</v>
      </c>
      <c r="AC42" s="250">
        <f>_xll.qlSimpleQuoteSetValue(F42,AB42/100,Trigger)</f>
        <v>-1.0600000000000054E-3</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31" t="s">
        <v>319</v>
      </c>
      <c r="I1" s="530"/>
      <c r="J1" s="530"/>
      <c r="K1" s="530"/>
      <c r="L1" s="530"/>
      <c r="M1" s="530"/>
      <c r="N1" s="530"/>
      <c r="O1" s="530"/>
      <c r="P1" s="529"/>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8"/>
      <c r="I2" s="527"/>
      <c r="J2" s="512"/>
      <c r="K2" s="526"/>
      <c r="L2" s="512"/>
      <c r="M2" s="512"/>
      <c r="N2" s="512"/>
      <c r="O2" s="512"/>
      <c r="P2" s="50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15"/>
      <c r="I3" s="525"/>
      <c r="J3" s="525"/>
      <c r="K3" s="512"/>
      <c r="L3" s="512"/>
      <c r="M3" s="512"/>
      <c r="N3" s="525"/>
      <c r="O3" s="524">
        <f>_xll.ohTrigger(O5:O8)</f>
        <v>1</v>
      </c>
      <c r="P3" s="509"/>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15"/>
      <c r="I4" s="521"/>
      <c r="J4" s="523" t="s">
        <v>318</v>
      </c>
      <c r="K4" s="512"/>
      <c r="L4" s="522" t="s">
        <v>239</v>
      </c>
      <c r="M4" s="512"/>
      <c r="N4" s="521" t="s">
        <v>237</v>
      </c>
      <c r="O4" s="520" t="s">
        <v>236</v>
      </c>
      <c r="P4" s="509"/>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15"/>
      <c r="I5" s="519" t="s">
        <v>153</v>
      </c>
      <c r="J5" s="581" t="e">
        <f>[1]Calculation!G34</f>
        <v>#NUM!</v>
      </c>
      <c r="K5" s="532" t="s">
        <v>271</v>
      </c>
      <c r="L5" s="518">
        <v>1.2500240082381178E-3</v>
      </c>
      <c r="M5" s="512"/>
      <c r="N5" s="517">
        <f t="array" ref="N5:N9">QuoteStatic</f>
        <v>1.2500240082381178E-3</v>
      </c>
      <c r="O5" s="516" t="e">
        <f>_xll.qlSimpleQuoteSetValue(D5,ROUND($N5,6),EvaluationDate)</f>
        <v>#N/A</v>
      </c>
      <c r="P5" s="509"/>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15"/>
      <c r="I6" s="519" t="s">
        <v>152</v>
      </c>
      <c r="J6" s="581" t="e">
        <f>[1]Calculation!G35</f>
        <v>#NUM!</v>
      </c>
      <c r="K6" s="532" t="s">
        <v>271</v>
      </c>
      <c r="L6" s="518">
        <v>1.3300205707900835E-3</v>
      </c>
      <c r="M6" s="512"/>
      <c r="N6" s="517">
        <v>1.3300205707900835E-3</v>
      </c>
      <c r="O6" s="516" t="e">
        <f>_xll.qlSimpleQuoteSetValue(D6,ROUND($N6,6),EvaluationDate)</f>
        <v>#N/A</v>
      </c>
      <c r="P6" s="509"/>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15"/>
      <c r="I7" s="519" t="s">
        <v>151</v>
      </c>
      <c r="J7" s="581" t="e">
        <f>[1]Calculation!G36</f>
        <v>#NUM!</v>
      </c>
      <c r="K7" s="532" t="s">
        <v>271</v>
      </c>
      <c r="L7" s="518">
        <v>1.3100145596491742E-3</v>
      </c>
      <c r="M7" s="512"/>
      <c r="N7" s="517">
        <v>1.3100145596491742E-3</v>
      </c>
      <c r="O7" s="516" t="e">
        <f>_xll.qlSimpleQuoteSetValue(D7,ROUND($N7,6),EvaluationDate)</f>
        <v>#N/A</v>
      </c>
      <c r="P7" s="509"/>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15"/>
      <c r="I8" s="514" t="s">
        <v>150</v>
      </c>
      <c r="J8" s="582" t="e">
        <f>[1]Calculation!G37</f>
        <v>#NUM!</v>
      </c>
      <c r="K8" s="532" t="s">
        <v>271</v>
      </c>
      <c r="L8" s="513">
        <v>1.3100085588989415E-3</v>
      </c>
      <c r="M8" s="512"/>
      <c r="N8" s="511">
        <v>1.3100085588989415E-3</v>
      </c>
      <c r="O8" s="510" t="e">
        <f>_xll.qlSimpleQuoteSetValue(D8,ROUND($N8,6),EvaluationDate)</f>
        <v>#N/A</v>
      </c>
      <c r="P8" s="509"/>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15"/>
      <c r="I9" s="514" t="s">
        <v>149</v>
      </c>
      <c r="J9" s="582" t="e">
        <f>[1]Calculation!G38</f>
        <v>#NUM!</v>
      </c>
      <c r="K9" s="532" t="s">
        <v>271</v>
      </c>
      <c r="L9" s="513">
        <v>1.31E-3</v>
      </c>
      <c r="M9" s="512"/>
      <c r="N9" s="511">
        <v>1.31E-3</v>
      </c>
      <c r="O9" s="510" t="e">
        <f>_xll.qlSimpleQuoteSetValue(D9,ROUND($N9,6),EvaluationDate)</f>
        <v>#N/A</v>
      </c>
      <c r="P9" s="509"/>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08"/>
      <c r="I10" s="507"/>
      <c r="J10" s="507"/>
      <c r="K10" s="507"/>
      <c r="L10" s="507"/>
      <c r="M10" s="507"/>
      <c r="N10" s="507"/>
      <c r="O10" s="507"/>
      <c r="P10" s="506"/>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31" t="s">
        <v>319</v>
      </c>
      <c r="I1" s="530"/>
      <c r="J1" s="530"/>
      <c r="K1" s="530"/>
      <c r="L1" s="530"/>
      <c r="M1" s="530"/>
      <c r="N1" s="530"/>
      <c r="O1" s="530"/>
      <c r="P1" s="529"/>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8"/>
      <c r="I2" s="527"/>
      <c r="J2" s="512"/>
      <c r="K2" s="526"/>
      <c r="L2" s="512"/>
      <c r="M2" s="512"/>
      <c r="N2" s="512"/>
      <c r="O2" s="512"/>
      <c r="P2" s="50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15"/>
      <c r="I3" s="525"/>
      <c r="J3" s="525"/>
      <c r="K3" s="512"/>
      <c r="L3" s="512"/>
      <c r="M3" s="512"/>
      <c r="N3" s="525"/>
      <c r="O3" s="524">
        <f>_xll.ohTrigger(O5:O10)</f>
        <v>1</v>
      </c>
      <c r="P3" s="509"/>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15"/>
      <c r="I4" s="521"/>
      <c r="J4" s="523" t="s">
        <v>318</v>
      </c>
      <c r="K4" s="512"/>
      <c r="L4" s="522" t="s">
        <v>239</v>
      </c>
      <c r="M4" s="512"/>
      <c r="N4" s="521" t="s">
        <v>237</v>
      </c>
      <c r="O4" s="520" t="s">
        <v>236</v>
      </c>
      <c r="P4" s="509"/>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15"/>
      <c r="I5" s="519" t="s">
        <v>153</v>
      </c>
      <c r="J5" s="581" t="e">
        <f>[1]Calculation!H34</f>
        <v>#NUM!</v>
      </c>
      <c r="K5" s="532" t="s">
        <v>271</v>
      </c>
      <c r="L5" s="518">
        <v>3.444E-3</v>
      </c>
      <c r="M5" s="512"/>
      <c r="N5" s="517">
        <f t="array" ref="N5:N11">QuoteStatic</f>
        <v>3.444E-3</v>
      </c>
      <c r="O5" s="516" t="e">
        <f>_xll.qlSimpleQuoteSetValue(D5,ROUND(N5,6),EvaluationDate)</f>
        <v>#N/A</v>
      </c>
      <c r="P5" s="509"/>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15"/>
      <c r="I6" s="519" t="s">
        <v>152</v>
      </c>
      <c r="J6" s="581" t="e">
        <f>[1]Calculation!H35</f>
        <v>#NUM!</v>
      </c>
      <c r="K6" s="532" t="s">
        <v>271</v>
      </c>
      <c r="L6" s="518">
        <v>2.9459999999999998E-3</v>
      </c>
      <c r="M6" s="512"/>
      <c r="N6" s="517">
        <v>2.9459999999999998E-3</v>
      </c>
      <c r="O6" s="516" t="e">
        <f>_xll.qlSimpleQuoteSetValue(D6,ROUND(N6,6),EvaluationDate)</f>
        <v>#N/A</v>
      </c>
      <c r="P6" s="509"/>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15"/>
      <c r="I7" s="519" t="s">
        <v>151</v>
      </c>
      <c r="J7" s="581" t="e">
        <f>[1]Calculation!H36</f>
        <v>#NUM!</v>
      </c>
      <c r="K7" s="532" t="s">
        <v>271</v>
      </c>
      <c r="L7" s="518">
        <v>3.0699999999999998E-3</v>
      </c>
      <c r="M7" s="512"/>
      <c r="N7" s="517">
        <v>3.0699999999999998E-3</v>
      </c>
      <c r="O7" s="516" t="e">
        <f>_xll.qlSimpleQuoteSetValue(D7,ROUND(N7,6),EvaluationDate)</f>
        <v>#N/A</v>
      </c>
      <c r="P7" s="509"/>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15"/>
      <c r="I8" s="514" t="s">
        <v>150</v>
      </c>
      <c r="J8" s="582" t="e">
        <f>[1]Calculation!H37</f>
        <v>#NUM!</v>
      </c>
      <c r="K8" s="532" t="s">
        <v>271</v>
      </c>
      <c r="L8" s="513">
        <v>3.0240000000000002E-3</v>
      </c>
      <c r="M8" s="512"/>
      <c r="N8" s="511">
        <v>3.0240000000000002E-3</v>
      </c>
      <c r="O8" s="510" t="e">
        <f>_xll.qlSimpleQuoteSetValue(D8,ROUND(N8,6),EvaluationDate)</f>
        <v>#N/A</v>
      </c>
      <c r="P8" s="509"/>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15"/>
      <c r="I9" s="519" t="s">
        <v>149</v>
      </c>
      <c r="J9" s="581" t="e">
        <f>[1]Calculation!H38</f>
        <v>#NUM!</v>
      </c>
      <c r="K9" s="532" t="s">
        <v>271</v>
      </c>
      <c r="L9" s="518">
        <v>2.967E-3</v>
      </c>
      <c r="M9" s="512"/>
      <c r="N9" s="517">
        <v>2.967E-3</v>
      </c>
      <c r="O9" s="516" t="e">
        <f>_xll.qlSimpleQuoteSetValue(D9,ROUND(N9,6),EvaluationDate)</f>
        <v>#N/A</v>
      </c>
      <c r="P9" s="509"/>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15"/>
      <c r="I10" s="519" t="s">
        <v>148</v>
      </c>
      <c r="J10" s="581" t="e">
        <f>[1]Calculation!H39</f>
        <v>#NUM!</v>
      </c>
      <c r="K10" s="532" t="s">
        <v>271</v>
      </c>
      <c r="L10" s="518">
        <v>2.993E-3</v>
      </c>
      <c r="M10" s="512"/>
      <c r="N10" s="517">
        <v>2.993E-3</v>
      </c>
      <c r="O10" s="516" t="e">
        <f>_xll.qlSimpleQuoteSetValue(D10,ROUND(N10,6),EvaluationDate)</f>
        <v>#N/A</v>
      </c>
      <c r="P10" s="509"/>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15"/>
      <c r="I11" s="514" t="s">
        <v>147</v>
      </c>
      <c r="J11" s="582" t="e">
        <f>[1]Calculation!H40</f>
        <v>#NUM!</v>
      </c>
      <c r="K11" s="532" t="s">
        <v>271</v>
      </c>
      <c r="L11" s="513">
        <v>3.0200000000000001E-3</v>
      </c>
      <c r="M11" s="512"/>
      <c r="N11" s="511">
        <v>3.0200000000000001E-3</v>
      </c>
      <c r="O11" s="510" t="e">
        <f>_xll.qlSimpleQuoteSetValue(D11,ROUND(N11,6),EvaluationDate)</f>
        <v>#N/A</v>
      </c>
      <c r="P11" s="509"/>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34"/>
      <c r="I12" s="533"/>
      <c r="J12" s="533"/>
      <c r="K12" s="533"/>
      <c r="L12" s="533"/>
      <c r="M12" s="533"/>
      <c r="N12" s="533"/>
      <c r="O12" s="533"/>
      <c r="P12" s="506"/>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31" t="s">
        <v>319</v>
      </c>
      <c r="I1" s="530"/>
      <c r="J1" s="530"/>
      <c r="K1" s="530"/>
      <c r="L1" s="530"/>
      <c r="M1" s="530"/>
      <c r="N1" s="530"/>
      <c r="O1" s="530"/>
      <c r="P1" s="538"/>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8"/>
      <c r="I2" s="539"/>
      <c r="J2" s="512"/>
      <c r="K2" s="512"/>
      <c r="L2" s="512"/>
      <c r="M2" s="512"/>
      <c r="N2" s="512"/>
      <c r="O2" s="525"/>
      <c r="P2" s="540"/>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15"/>
      <c r="I3" s="525"/>
      <c r="J3" s="525"/>
      <c r="K3" s="512"/>
      <c r="L3" s="512"/>
      <c r="M3" s="512"/>
      <c r="N3" s="525"/>
      <c r="O3" s="524"/>
      <c r="P3" s="540"/>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28"/>
      <c r="I5" s="519" t="s">
        <v>153</v>
      </c>
      <c r="J5" s="581" t="e">
        <f>[1]Calculation!P34</f>
        <v>#NUM!</v>
      </c>
      <c r="K5" s="532" t="s">
        <v>271</v>
      </c>
      <c r="L5" s="541">
        <v>4.738E-3</v>
      </c>
      <c r="M5" s="512"/>
      <c r="N5" s="517">
        <f t="array" ref="N5:N14">QuoteStatic</f>
        <v>4.738E-3</v>
      </c>
      <c r="O5" s="516" t="e">
        <f>_xll.qlSimpleQuoteSetValue(D5,ROUND(N5,6),EvaluationDate)</f>
        <v>#N/A</v>
      </c>
      <c r="P5" s="540"/>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28"/>
      <c r="I6" s="519" t="s">
        <v>152</v>
      </c>
      <c r="J6" s="581" t="e">
        <f>[1]Calculation!P35</f>
        <v>#NUM!</v>
      </c>
      <c r="K6" s="532" t="s">
        <v>271</v>
      </c>
      <c r="L6" s="518">
        <v>4.2310000000000004E-3</v>
      </c>
      <c r="M6" s="512"/>
      <c r="N6" s="517">
        <v>4.2310000000000004E-3</v>
      </c>
      <c r="O6" s="516" t="e">
        <f>_xll.qlSimpleQuoteSetValue(D6,ROUND(N6,6),EvaluationDate)</f>
        <v>#N/A</v>
      </c>
      <c r="P6" s="540"/>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28"/>
      <c r="I7" s="519" t="s">
        <v>151</v>
      </c>
      <c r="J7" s="581" t="e">
        <f>[1]Calculation!P36</f>
        <v>#NUM!</v>
      </c>
      <c r="K7" s="532" t="s">
        <v>271</v>
      </c>
      <c r="L7" s="518">
        <v>4.3449999999999999E-3</v>
      </c>
      <c r="M7" s="512"/>
      <c r="N7" s="517">
        <v>4.3449999999999999E-3</v>
      </c>
      <c r="O7" s="516" t="e">
        <f>_xll.qlSimpleQuoteSetValue(D7,ROUND(N7,6),EvaluationDate)</f>
        <v>#N/A</v>
      </c>
      <c r="P7" s="540"/>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28"/>
      <c r="I8" s="519" t="s">
        <v>150</v>
      </c>
      <c r="J8" s="581" t="e">
        <f>[1]Calculation!P37</f>
        <v>#NUM!</v>
      </c>
      <c r="K8" s="532" t="s">
        <v>271</v>
      </c>
      <c r="L8" s="518">
        <v>4.2880000000000001E-3</v>
      </c>
      <c r="M8" s="512"/>
      <c r="N8" s="517">
        <v>4.2880000000000001E-3</v>
      </c>
      <c r="O8" s="516" t="e">
        <f>_xll.qlSimpleQuoteSetValue(D8,ROUND(N8,6),EvaluationDate)</f>
        <v>#N/A</v>
      </c>
      <c r="P8" s="540"/>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28"/>
      <c r="I9" s="519" t="s">
        <v>149</v>
      </c>
      <c r="J9" s="581" t="e">
        <f>[1]Calculation!P38</f>
        <v>#NUM!</v>
      </c>
      <c r="K9" s="532" t="s">
        <v>271</v>
      </c>
      <c r="L9" s="518">
        <v>4.2139999999999999E-3</v>
      </c>
      <c r="M9" s="512"/>
      <c r="N9" s="517">
        <v>4.2139999999999999E-3</v>
      </c>
      <c r="O9" s="516" t="e">
        <f>_xll.qlSimpleQuoteSetValue(D9,ROUND(N9,6),EvaluationDate)</f>
        <v>#N/A</v>
      </c>
      <c r="P9" s="540"/>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28"/>
      <c r="I10" s="519" t="s">
        <v>148</v>
      </c>
      <c r="J10" s="581" t="e">
        <f>[1]Calculation!P39</f>
        <v>#NUM!</v>
      </c>
      <c r="K10" s="532" t="s">
        <v>271</v>
      </c>
      <c r="L10" s="518">
        <v>4.1989999999999996E-3</v>
      </c>
      <c r="M10" s="512"/>
      <c r="N10" s="517">
        <v>4.1989999999999996E-3</v>
      </c>
      <c r="O10" s="516" t="e">
        <f>_xll.qlSimpleQuoteSetValue(D10,ROUND(N10,6),EvaluationDate)</f>
        <v>#N/A</v>
      </c>
      <c r="P10" s="540"/>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28"/>
      <c r="I11" s="519" t="s">
        <v>147</v>
      </c>
      <c r="J11" s="581" t="e">
        <f>[1]Calculation!P40</f>
        <v>#NUM!</v>
      </c>
      <c r="K11" s="532" t="s">
        <v>271</v>
      </c>
      <c r="L11" s="518">
        <v>4.1840000000000002E-3</v>
      </c>
      <c r="M11" s="512"/>
      <c r="N11" s="517">
        <v>4.1840000000000002E-3</v>
      </c>
      <c r="O11" s="516" t="e">
        <f>_xll.qlSimpleQuoteSetValue(D11,ROUND(N11,6),EvaluationDate)</f>
        <v>#N/A</v>
      </c>
      <c r="P11" s="540"/>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28"/>
      <c r="I12" s="519" t="s">
        <v>146</v>
      </c>
      <c r="J12" s="581" t="e">
        <f>[1]Calculation!P41</f>
        <v>#NUM!</v>
      </c>
      <c r="K12" s="532" t="s">
        <v>271</v>
      </c>
      <c r="L12" s="518">
        <v>4.1390000000000003E-3</v>
      </c>
      <c r="M12" s="512"/>
      <c r="N12" s="517">
        <v>4.1390000000000003E-3</v>
      </c>
      <c r="O12" s="516" t="e">
        <f>_xll.qlSimpleQuoteSetValue(D12,ROUND(N12,6),EvaluationDate)</f>
        <v>#N/A</v>
      </c>
      <c r="P12" s="540"/>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28"/>
      <c r="I13" s="519" t="s">
        <v>145</v>
      </c>
      <c r="J13" s="581" t="e">
        <f>[1]Calculation!P42</f>
        <v>#NUM!</v>
      </c>
      <c r="K13" s="532" t="s">
        <v>271</v>
      </c>
      <c r="L13" s="518">
        <v>4.1050000000000001E-3</v>
      </c>
      <c r="M13" s="512"/>
      <c r="N13" s="517">
        <v>4.1050000000000001E-3</v>
      </c>
      <c r="O13" s="516" t="e">
        <f>_xll.qlSimpleQuoteSetValue(D13,ROUND(N13,6),EvaluationDate)</f>
        <v>#N/A</v>
      </c>
      <c r="P13" s="540"/>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28"/>
      <c r="I14" s="514" t="s">
        <v>144</v>
      </c>
      <c r="J14" s="582" t="e">
        <f>[1]Calculation!P43</f>
        <v>#NUM!</v>
      </c>
      <c r="K14" s="532" t="s">
        <v>271</v>
      </c>
      <c r="L14" s="513">
        <v>4.0800000000000003E-3</v>
      </c>
      <c r="M14" s="512"/>
      <c r="N14" s="511">
        <v>4.0800000000000003E-3</v>
      </c>
      <c r="O14" s="510" t="e">
        <f>_xll.qlSimpleQuoteSetValue(D14,ROUND(N14,6),EvaluationDate)</f>
        <v>#N/A</v>
      </c>
      <c r="P14" s="540"/>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08"/>
      <c r="I15" s="507"/>
      <c r="J15" s="507"/>
      <c r="K15" s="507"/>
      <c r="L15" s="507"/>
      <c r="M15" s="507"/>
      <c r="N15" s="507"/>
      <c r="O15" s="507"/>
      <c r="P15" s="542"/>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31" t="s">
        <v>319</v>
      </c>
      <c r="I1" s="530"/>
      <c r="J1" s="530"/>
      <c r="K1" s="530"/>
      <c r="L1" s="530"/>
      <c r="M1" s="530"/>
      <c r="N1" s="530"/>
      <c r="O1" s="530"/>
      <c r="P1" s="538"/>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8"/>
      <c r="I2" s="539"/>
      <c r="J2" s="512"/>
      <c r="K2" s="512"/>
      <c r="L2" s="512"/>
      <c r="M2" s="512"/>
      <c r="N2" s="512"/>
      <c r="O2" s="525"/>
      <c r="P2" s="540"/>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15"/>
      <c r="I3" s="525"/>
      <c r="J3" s="525"/>
      <c r="K3" s="512"/>
      <c r="L3" s="512"/>
      <c r="M3" s="512"/>
      <c r="N3" s="525"/>
      <c r="O3" s="524"/>
      <c r="P3" s="540"/>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15"/>
      <c r="I4" s="521"/>
      <c r="J4" s="523" t="s">
        <v>318</v>
      </c>
      <c r="K4" s="512"/>
      <c r="L4" s="522" t="s">
        <v>239</v>
      </c>
      <c r="M4" s="512"/>
      <c r="N4" s="521" t="s">
        <v>237</v>
      </c>
      <c r="O4" s="520" t="s">
        <v>236</v>
      </c>
      <c r="P4" s="540"/>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28"/>
      <c r="I5" s="544" t="s">
        <v>153</v>
      </c>
      <c r="J5" s="581" t="e">
        <f>[1]Calculation!J34</f>
        <v>#NUM!</v>
      </c>
      <c r="K5" s="532" t="s">
        <v>271</v>
      </c>
      <c r="L5" s="518">
        <v>6.411E-3</v>
      </c>
      <c r="M5" s="512"/>
      <c r="N5" s="517">
        <f t="array" ref="N5:N20">QuoteStatic</f>
        <v>6.411E-3</v>
      </c>
      <c r="O5" s="516" t="e">
        <f>_xll.qlSimpleQuoteSetValue(D5,ROUND(N5,6),EvaluationDate)</f>
        <v>#N/A</v>
      </c>
      <c r="P5" s="540"/>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28"/>
      <c r="I6" s="544" t="s">
        <v>152</v>
      </c>
      <c r="J6" s="581" t="e">
        <f>[1]Calculation!J35</f>
        <v>#NUM!</v>
      </c>
      <c r="K6" s="532" t="s">
        <v>271</v>
      </c>
      <c r="L6" s="518">
        <v>5.9040000000000004E-3</v>
      </c>
      <c r="M6" s="512"/>
      <c r="N6" s="517">
        <v>5.9040000000000004E-3</v>
      </c>
      <c r="O6" s="516" t="e">
        <f>_xll.qlSimpleQuoteSetValue(D6,ROUND(N6,6),EvaluationDate)</f>
        <v>#N/A</v>
      </c>
      <c r="P6" s="540"/>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28"/>
      <c r="I7" s="544" t="s">
        <v>151</v>
      </c>
      <c r="J7" s="581" t="e">
        <f>[1]Calculation!J36</f>
        <v>#NUM!</v>
      </c>
      <c r="K7" s="532" t="s">
        <v>271</v>
      </c>
      <c r="L7" s="518">
        <v>6.0169999999999998E-3</v>
      </c>
      <c r="M7" s="512"/>
      <c r="N7" s="517">
        <v>6.0169999999999998E-3</v>
      </c>
      <c r="O7" s="516" t="e">
        <f>_xll.qlSimpleQuoteSetValue(D7,ROUND(N7,6),EvaluationDate)</f>
        <v>#N/A</v>
      </c>
      <c r="P7" s="540"/>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28"/>
      <c r="I8" s="544" t="s">
        <v>150</v>
      </c>
      <c r="J8" s="581" t="e">
        <f>[1]Calculation!J37</f>
        <v>#NUM!</v>
      </c>
      <c r="K8" s="532" t="s">
        <v>271</v>
      </c>
      <c r="L8" s="518">
        <v>5.9610000000000002E-3</v>
      </c>
      <c r="M8" s="512"/>
      <c r="N8" s="517">
        <v>5.9610000000000002E-3</v>
      </c>
      <c r="O8" s="516" t="e">
        <f>_xll.qlSimpleQuoteSetValue(D8,ROUND(N8,6),EvaluationDate)</f>
        <v>#N/A</v>
      </c>
      <c r="P8" s="540"/>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28"/>
      <c r="I9" s="543" t="s">
        <v>149</v>
      </c>
      <c r="J9" s="582" t="e">
        <f>[1]Calculation!J38</f>
        <v>#NUM!</v>
      </c>
      <c r="K9" s="532" t="s">
        <v>271</v>
      </c>
      <c r="L9" s="513">
        <v>5.8869999999999999E-3</v>
      </c>
      <c r="M9" s="512"/>
      <c r="N9" s="511">
        <v>5.8869999999999999E-3</v>
      </c>
      <c r="O9" s="510" t="e">
        <f>_xll.qlSimpleQuoteSetValue(D9,ROUND(N9,6),EvaluationDate)</f>
        <v>#N/A</v>
      </c>
      <c r="P9" s="540"/>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28"/>
      <c r="I10" s="544" t="s">
        <v>148</v>
      </c>
      <c r="J10" s="581" t="e">
        <f>[1]Calculation!J39</f>
        <v>#NUM!</v>
      </c>
      <c r="K10" s="532" t="s">
        <v>271</v>
      </c>
      <c r="L10" s="518">
        <v>5.8700000000000002E-3</v>
      </c>
      <c r="M10" s="512"/>
      <c r="N10" s="517">
        <v>5.8700000000000002E-3</v>
      </c>
      <c r="O10" s="516" t="e">
        <f>_xll.qlSimpleQuoteSetValue(D10,ROUND(N10,6),EvaluationDate)</f>
        <v>#N/A</v>
      </c>
      <c r="P10" s="540"/>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15"/>
      <c r="I11" s="544" t="s">
        <v>147</v>
      </c>
      <c r="J11" s="581" t="e">
        <f>[1]Calculation!J40</f>
        <v>#NUM!</v>
      </c>
      <c r="K11" s="532" t="s">
        <v>271</v>
      </c>
      <c r="L11" s="518">
        <v>5.855E-3</v>
      </c>
      <c r="M11" s="512"/>
      <c r="N11" s="517">
        <v>5.855E-3</v>
      </c>
      <c r="O11" s="516" t="e">
        <f>_xll.qlSimpleQuoteSetValue(D11,ROUND(N11,6),EvaluationDate)</f>
        <v>#N/A</v>
      </c>
      <c r="P11" s="540"/>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15"/>
      <c r="I12" s="544" t="s">
        <v>146</v>
      </c>
      <c r="J12" s="581" t="e">
        <f>[1]Calculation!J41</f>
        <v>#NUM!</v>
      </c>
      <c r="K12" s="532" t="s">
        <v>271</v>
      </c>
      <c r="L12" s="518">
        <v>5.8089999999999999E-3</v>
      </c>
      <c r="M12" s="512"/>
      <c r="N12" s="517">
        <v>5.8089999999999999E-3</v>
      </c>
      <c r="O12" s="516" t="e">
        <f>_xll.qlSimpleQuoteSetValue(D12,ROUND(N12,6),EvaluationDate)</f>
        <v>#N/A</v>
      </c>
      <c r="P12" s="540"/>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15"/>
      <c r="I13" s="544" t="s">
        <v>145</v>
      </c>
      <c r="J13" s="581" t="e">
        <f>[1]Calculation!J42</f>
        <v>#NUM!</v>
      </c>
      <c r="K13" s="532" t="s">
        <v>271</v>
      </c>
      <c r="L13" s="518">
        <v>5.7749999999999998E-3</v>
      </c>
      <c r="M13" s="512"/>
      <c r="N13" s="517">
        <v>5.7749999999999998E-3</v>
      </c>
      <c r="O13" s="516" t="e">
        <f>_xll.qlSimpleQuoteSetValue(D13,ROUND(N13,6),EvaluationDate)</f>
        <v>#N/A</v>
      </c>
      <c r="P13" s="540"/>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15"/>
      <c r="I14" s="544" t="s">
        <v>144</v>
      </c>
      <c r="J14" s="581" t="e">
        <f>[1]Calculation!J43</f>
        <v>#NUM!</v>
      </c>
      <c r="K14" s="532" t="s">
        <v>271</v>
      </c>
      <c r="L14" s="518">
        <v>5.7489999999999998E-3</v>
      </c>
      <c r="M14" s="512"/>
      <c r="N14" s="517">
        <v>5.7489999999999998E-3</v>
      </c>
      <c r="O14" s="516" t="e">
        <f>_xll.qlSimpleQuoteSetValue(D14,ROUND(N14,6),EvaluationDate)</f>
        <v>#N/A</v>
      </c>
      <c r="P14" s="540"/>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15"/>
      <c r="I15" s="544" t="s">
        <v>143</v>
      </c>
      <c r="J15" s="581" t="e">
        <f>[1]Calculation!J44</f>
        <v>#NUM!</v>
      </c>
      <c r="K15" s="532" t="s">
        <v>271</v>
      </c>
      <c r="L15" s="518">
        <v>5.7349999999999996E-3</v>
      </c>
      <c r="M15" s="512"/>
      <c r="N15" s="517">
        <v>5.7349999999999996E-3</v>
      </c>
      <c r="O15" s="516" t="e">
        <f>_xll.qlSimpleQuoteSetValue(D15,ROUND(N15,6),EvaluationDate)</f>
        <v>#N/A</v>
      </c>
      <c r="P15" s="540"/>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15"/>
      <c r="I16" s="544" t="s">
        <v>142</v>
      </c>
      <c r="J16" s="581" t="e">
        <f>[1]Calculation!J45</f>
        <v>#NUM!</v>
      </c>
      <c r="K16" s="532" t="s">
        <v>271</v>
      </c>
      <c r="L16" s="518">
        <v>5.7200000000000003E-3</v>
      </c>
      <c r="M16" s="512"/>
      <c r="N16" s="517">
        <v>5.7200000000000003E-3</v>
      </c>
      <c r="O16" s="516" t="e">
        <f>_xll.qlSimpleQuoteSetValue(D16,ROUND(N16,6),EvaluationDate)</f>
        <v>#N/A</v>
      </c>
      <c r="P16" s="540"/>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15"/>
      <c r="I17" s="544" t="s">
        <v>141</v>
      </c>
      <c r="J17" s="581" t="e">
        <f>[1]Calculation!J46</f>
        <v>#NUM!</v>
      </c>
      <c r="K17" s="532" t="s">
        <v>271</v>
      </c>
      <c r="L17" s="518">
        <v>5.705E-3</v>
      </c>
      <c r="M17" s="512"/>
      <c r="N17" s="517">
        <v>5.705E-3</v>
      </c>
      <c r="O17" s="516" t="e">
        <f>_xll.qlSimpleQuoteSetValue(D17,ROUND(N17,6),EvaluationDate)</f>
        <v>#N/A</v>
      </c>
      <c r="P17" s="540"/>
      <c r="R17" s="572" t="s">
        <v>320</v>
      </c>
      <c r="S17" s="571"/>
      <c r="T17" s="571"/>
      <c r="U17" s="571"/>
      <c r="V17" s="571"/>
      <c r="W17" s="571"/>
      <c r="X17" s="571"/>
      <c r="Y17" s="571"/>
      <c r="Z17" s="570"/>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15"/>
      <c r="I18" s="544" t="s">
        <v>140</v>
      </c>
      <c r="J18" s="581" t="e">
        <f>[1]Calculation!J47</f>
        <v>#NUM!</v>
      </c>
      <c r="K18" s="532" t="s">
        <v>271</v>
      </c>
      <c r="L18" s="518">
        <v>5.7010000000000003E-3</v>
      </c>
      <c r="M18" s="512"/>
      <c r="N18" s="517">
        <v>5.7010000000000003E-3</v>
      </c>
      <c r="O18" s="516" t="e">
        <f>_xll.qlSimpleQuoteSetValue(D18,ROUND(N18,6),EvaluationDate)</f>
        <v>#N/A</v>
      </c>
      <c r="P18" s="540"/>
      <c r="R18" s="569"/>
      <c r="S18" s="568"/>
      <c r="T18" s="551"/>
      <c r="U18" s="551"/>
      <c r="V18" s="551"/>
      <c r="W18" s="551"/>
      <c r="X18" s="551"/>
      <c r="Y18" s="551"/>
      <c r="Z18" s="567"/>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15"/>
      <c r="I19" s="544" t="s">
        <v>139</v>
      </c>
      <c r="J19" s="581" t="e">
        <f>[1]Calculation!J48</f>
        <v>#NUM!</v>
      </c>
      <c r="K19" s="532" t="s">
        <v>271</v>
      </c>
      <c r="L19" s="518">
        <v>5.6950000000000004E-3</v>
      </c>
      <c r="M19" s="512"/>
      <c r="N19" s="517">
        <v>5.6950000000000004E-3</v>
      </c>
      <c r="O19" s="516" t="e">
        <f>_xll.qlSimpleQuoteSetValue(D19,ROUND(N19,6),EvaluationDate)</f>
        <v>#N/A</v>
      </c>
      <c r="P19" s="540"/>
      <c r="R19" s="553"/>
      <c r="S19" s="551">
        <v>12</v>
      </c>
      <c r="T19" s="551"/>
      <c r="U19" s="551"/>
      <c r="V19" s="551"/>
      <c r="W19" s="551"/>
      <c r="X19" s="566"/>
      <c r="Y19" s="565"/>
      <c r="Z19" s="548"/>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15"/>
      <c r="I20" s="543" t="s">
        <v>138</v>
      </c>
      <c r="J20" s="582" t="e">
        <f>[1]Calculation!J49</f>
        <v>#NUM!</v>
      </c>
      <c r="K20" s="532" t="s">
        <v>271</v>
      </c>
      <c r="L20" s="513">
        <v>5.7000000000000002E-3</v>
      </c>
      <c r="M20" s="512"/>
      <c r="N20" s="511">
        <v>5.7000000000000002E-3</v>
      </c>
      <c r="O20" s="510" t="e">
        <f>_xll.qlSimpleQuoteSetValue(D20,ROUND(N20,6),EvaluationDate)</f>
        <v>#N/A</v>
      </c>
      <c r="P20" s="540"/>
      <c r="R20" s="553"/>
      <c r="S20" s="564"/>
      <c r="T20" s="563" t="s">
        <v>318</v>
      </c>
      <c r="U20" s="551"/>
      <c r="V20" s="562" t="s">
        <v>239</v>
      </c>
      <c r="W20" s="551"/>
      <c r="X20" s="561" t="s">
        <v>237</v>
      </c>
      <c r="Y20" s="560" t="s">
        <v>236</v>
      </c>
      <c r="Z20" s="548"/>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08"/>
      <c r="I21" s="507"/>
      <c r="J21" s="507"/>
      <c r="K21" s="507"/>
      <c r="L21" s="507"/>
      <c r="M21" s="507"/>
      <c r="N21" s="507"/>
      <c r="O21" s="507"/>
      <c r="P21" s="542"/>
      <c r="R21" s="553">
        <v>1</v>
      </c>
      <c r="S21" s="558" t="str">
        <f t="shared" ref="S21:S64" si="2">R21&amp;"x"&amp;(R21+$S$19)&amp;"F"</f>
        <v>1x13F</v>
      </c>
      <c r="T21" s="588" t="e">
        <f>[2]Calculation!N8</f>
        <v>#NUM!</v>
      </c>
      <c r="U21" s="573" t="s">
        <v>271</v>
      </c>
      <c r="V21" s="559">
        <v>5.6839999999999998E-3</v>
      </c>
      <c r="W21" s="551"/>
      <c r="X21" s="574">
        <f t="array" ref="X21:X64">QuoteStatic2</f>
        <v>5.6839999999999998E-3</v>
      </c>
      <c r="Y21" s="557" t="e">
        <f>_xll.qlSimpleQuoteSetValue(D21,ROUND(X21,6),EvaluationDate)</f>
        <v>#N/A</v>
      </c>
      <c r="Z21" s="548"/>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53">
        <v>2</v>
      </c>
      <c r="S22" s="555" t="str">
        <f t="shared" si="2"/>
        <v>2x14F</v>
      </c>
      <c r="T22" s="589" t="e">
        <f>[2]Calculation!N9</f>
        <v>#NUM!</v>
      </c>
      <c r="U22" s="551" t="s">
        <v>271</v>
      </c>
      <c r="V22" s="556">
        <v>5.6810000000000003E-3</v>
      </c>
      <c r="W22" s="551"/>
      <c r="X22" s="575">
        <v>5.6810000000000003E-3</v>
      </c>
      <c r="Y22" s="554" t="e">
        <f>_xll.qlSimpleQuoteSetValue(D22,ROUND(X22,6),EvaluationDate)</f>
        <v>#N/A</v>
      </c>
      <c r="Z22" s="548"/>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53">
        <v>3</v>
      </c>
      <c r="S23" s="555" t="str">
        <f t="shared" si="2"/>
        <v>3x15F</v>
      </c>
      <c r="T23" s="589" t="e">
        <f>[2]Calculation!N10</f>
        <v>#NUM!</v>
      </c>
      <c r="U23" s="551" t="s">
        <v>271</v>
      </c>
      <c r="V23" s="556">
        <v>5.6899999999999997E-3</v>
      </c>
      <c r="W23" s="551"/>
      <c r="X23" s="576">
        <v>5.6899999999999997E-3</v>
      </c>
      <c r="Y23" s="554" t="e">
        <f>_xll.qlSimpleQuoteSetValue(D23,ROUND(X23,6),EvaluationDate)</f>
        <v>#N/A</v>
      </c>
      <c r="Z23" s="548"/>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53">
        <v>4</v>
      </c>
      <c r="S24" s="555" t="str">
        <f t="shared" si="2"/>
        <v>4x16F</v>
      </c>
      <c r="T24" s="589" t="e">
        <f>[2]Calculation!N11</f>
        <v>#NUM!</v>
      </c>
      <c r="U24" s="551" t="s">
        <v>271</v>
      </c>
      <c r="V24" s="556">
        <v>5.7210000000000004E-3</v>
      </c>
      <c r="W24" s="551"/>
      <c r="X24" s="575">
        <v>5.7210000000000004E-3</v>
      </c>
      <c r="Y24" s="554" t="e">
        <f>_xll.qlSimpleQuoteSetValue(D24,ROUND(X24,6),EvaluationDate)</f>
        <v>#N/A</v>
      </c>
      <c r="Z24" s="548"/>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53">
        <v>5</v>
      </c>
      <c r="S25" s="555" t="str">
        <f t="shared" si="2"/>
        <v>5x17F</v>
      </c>
      <c r="T25" s="589" t="e">
        <f>[2]Calculation!N12</f>
        <v>#NUM!</v>
      </c>
      <c r="U25" s="551" t="s">
        <v>271</v>
      </c>
      <c r="V25" s="556">
        <v>5.7720000000000002E-3</v>
      </c>
      <c r="W25" s="551"/>
      <c r="X25" s="575">
        <v>5.7720000000000002E-3</v>
      </c>
      <c r="Y25" s="554" t="e">
        <f>_xll.qlSimpleQuoteSetValue(D25,ROUND(X25,6),EvaluationDate)</f>
        <v>#N/A</v>
      </c>
      <c r="Z25" s="548"/>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53">
        <v>6</v>
      </c>
      <c r="S26" s="555" t="str">
        <f t="shared" si="2"/>
        <v>6x18F</v>
      </c>
      <c r="T26" s="589" t="e">
        <f>[2]Calculation!N13</f>
        <v>#NUM!</v>
      </c>
      <c r="U26" s="551" t="s">
        <v>271</v>
      </c>
      <c r="V26" s="556">
        <v>5.8389999999999996E-3</v>
      </c>
      <c r="W26" s="551"/>
      <c r="X26" s="576">
        <v>5.8389999999999996E-3</v>
      </c>
      <c r="Y26" s="554" t="e">
        <f>_xll.qlSimpleQuoteSetValue(D26,ROUND(X26,6),EvaluationDate)</f>
        <v>#N/A</v>
      </c>
      <c r="Z26" s="548"/>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53">
        <v>7</v>
      </c>
      <c r="S27" s="555" t="str">
        <f t="shared" si="2"/>
        <v>7x19F</v>
      </c>
      <c r="T27" s="589" t="e">
        <f>[2]Calculation!N14</f>
        <v>#NUM!</v>
      </c>
      <c r="U27" s="551" t="s">
        <v>271</v>
      </c>
      <c r="V27" s="556">
        <v>5.9329999999999999E-3</v>
      </c>
      <c r="W27" s="551"/>
      <c r="X27" s="575">
        <v>5.9329999999999999E-3</v>
      </c>
      <c r="Y27" s="554" t="e">
        <f>_xll.qlSimpleQuoteSetValue(D27,ROUND(X27,6),EvaluationDate)</f>
        <v>#N/A</v>
      </c>
      <c r="Z27" s="548"/>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53">
        <v>8</v>
      </c>
      <c r="S28" s="555" t="str">
        <f t="shared" si="2"/>
        <v>8x20F</v>
      </c>
      <c r="T28" s="589" t="e">
        <f>[2]Calculation!N15</f>
        <v>#NUM!</v>
      </c>
      <c r="U28" s="551" t="s">
        <v>271</v>
      </c>
      <c r="V28" s="556">
        <v>6.0419999999999996E-3</v>
      </c>
      <c r="W28" s="551"/>
      <c r="X28" s="575">
        <v>6.0419999999999996E-3</v>
      </c>
      <c r="Y28" s="554" t="e">
        <f>_xll.qlSimpleQuoteSetValue(D28,ROUND(X28,6),EvaluationDate)</f>
        <v>#N/A</v>
      </c>
      <c r="Z28" s="548"/>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53">
        <v>9</v>
      </c>
      <c r="S29" s="555" t="str">
        <f t="shared" si="2"/>
        <v>9x21F</v>
      </c>
      <c r="T29" s="589" t="e">
        <f>[2]Calculation!N16</f>
        <v>#NUM!</v>
      </c>
      <c r="U29" s="551" t="s">
        <v>271</v>
      </c>
      <c r="V29" s="556">
        <v>6.1720000000000004E-3</v>
      </c>
      <c r="W29" s="551"/>
      <c r="X29" s="576">
        <v>6.1720000000000004E-3</v>
      </c>
      <c r="Y29" s="554" t="e">
        <f>_xll.qlSimpleQuoteSetValue(D29,ROUND(X29,6),EvaluationDate)</f>
        <v>#N/A</v>
      </c>
      <c r="Z29" s="548"/>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53">
        <v>10</v>
      </c>
      <c r="S30" s="555" t="str">
        <f t="shared" si="2"/>
        <v>10x22F</v>
      </c>
      <c r="T30" s="589" t="e">
        <f>[2]Calculation!N17</f>
        <v>#NUM!</v>
      </c>
      <c r="U30" s="551" t="s">
        <v>271</v>
      </c>
      <c r="V30" s="556">
        <v>6.326E-3</v>
      </c>
      <c r="W30" s="551"/>
      <c r="X30" s="575">
        <v>6.326E-3</v>
      </c>
      <c r="Y30" s="554" t="e">
        <f>_xll.qlSimpleQuoteSetValue(D30,ROUND(X30,6),EvaluationDate)</f>
        <v>#N/A</v>
      </c>
      <c r="Z30" s="548"/>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53">
        <v>11</v>
      </c>
      <c r="S31" s="550" t="str">
        <f t="shared" si="2"/>
        <v>11x23F</v>
      </c>
      <c r="T31" s="590" t="e">
        <f>[2]Calculation!N18</f>
        <v>#NUM!</v>
      </c>
      <c r="U31" s="551" t="s">
        <v>271</v>
      </c>
      <c r="V31" s="552">
        <v>6.4809999999999998E-3</v>
      </c>
      <c r="W31" s="551"/>
      <c r="X31" s="577">
        <v>6.4809999999999998E-3</v>
      </c>
      <c r="Y31" s="549" t="e">
        <f>_xll.qlSimpleQuoteSetValue(D31,ROUND(X31,6),EvaluationDate)</f>
        <v>#N/A</v>
      </c>
      <c r="Z31" s="548"/>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53">
        <v>13</v>
      </c>
      <c r="S32" s="558" t="str">
        <f t="shared" si="2"/>
        <v>13x25F</v>
      </c>
      <c r="T32" s="588" t="e">
        <f>[2]Calculation!N19</f>
        <v>#NUM!</v>
      </c>
      <c r="U32" s="551" t="s">
        <v>271</v>
      </c>
      <c r="V32" s="559">
        <v>6.9760000000000004E-3</v>
      </c>
      <c r="W32" s="551"/>
      <c r="X32" s="574">
        <v>6.9760000000000004E-3</v>
      </c>
      <c r="Y32" s="557" t="e">
        <f>_xll.qlSimpleQuoteSetValue(D32,ROUND(X32,6),EvaluationDate)</f>
        <v>#N/A</v>
      </c>
      <c r="Z32" s="548"/>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53">
        <v>14</v>
      </c>
      <c r="S33" s="555" t="str">
        <f t="shared" si="2"/>
        <v>14x26F</v>
      </c>
      <c r="T33" s="589" t="e">
        <f>[2]Calculation!N20</f>
        <v>#NUM!</v>
      </c>
      <c r="U33" s="551" t="s">
        <v>271</v>
      </c>
      <c r="V33" s="556">
        <v>7.2179999999999996E-3</v>
      </c>
      <c r="W33" s="551"/>
      <c r="X33" s="575">
        <v>7.2179999999999996E-3</v>
      </c>
      <c r="Y33" s="554" t="e">
        <f>_xll.qlSimpleQuoteSetValue(D33,ROUND(X33,6),EvaluationDate)</f>
        <v>#N/A</v>
      </c>
      <c r="Z33" s="548"/>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53">
        <v>15</v>
      </c>
      <c r="S34" s="555" t="str">
        <f t="shared" si="2"/>
        <v>15x27F</v>
      </c>
      <c r="T34" s="589" t="e">
        <f>[2]Calculation!N21</f>
        <v>#NUM!</v>
      </c>
      <c r="U34" s="551" t="s">
        <v>271</v>
      </c>
      <c r="V34" s="556">
        <v>7.5030000000000001E-3</v>
      </c>
      <c r="W34" s="551"/>
      <c r="X34" s="575">
        <v>7.5030000000000001E-3</v>
      </c>
      <c r="Y34" s="554" t="e">
        <f>_xll.qlSimpleQuoteSetValue(D34,ROUND(X34,6),EvaluationDate)</f>
        <v>#N/A</v>
      </c>
      <c r="Z34" s="548"/>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53">
        <v>16</v>
      </c>
      <c r="S35" s="555" t="str">
        <f t="shared" si="2"/>
        <v>16x28F</v>
      </c>
      <c r="T35" s="589" t="e">
        <f>[2]Calculation!N22</f>
        <v>#NUM!</v>
      </c>
      <c r="U35" s="551" t="s">
        <v>271</v>
      </c>
      <c r="V35" s="556">
        <v>7.8230000000000001E-3</v>
      </c>
      <c r="W35" s="551"/>
      <c r="X35" s="575">
        <v>7.8230000000000001E-3</v>
      </c>
      <c r="Y35" s="554" t="e">
        <f>_xll.qlSimpleQuoteSetValue(D35,ROUND(X35,6),EvaluationDate)</f>
        <v>#N/A</v>
      </c>
      <c r="Z35" s="548"/>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53">
        <v>17</v>
      </c>
      <c r="S36" s="555" t="str">
        <f t="shared" si="2"/>
        <v>17x29F</v>
      </c>
      <c r="T36" s="589" t="e">
        <f>[2]Calculation!N23</f>
        <v>#NUM!</v>
      </c>
      <c r="U36" s="551" t="s">
        <v>271</v>
      </c>
      <c r="V36" s="556">
        <v>8.1709999999999994E-3</v>
      </c>
      <c r="W36" s="551"/>
      <c r="X36" s="575">
        <v>8.1709999999999994E-3</v>
      </c>
      <c r="Y36" s="554" t="e">
        <f>_xll.qlSimpleQuoteSetValue(D36,ROUND(X36,6),EvaluationDate)</f>
        <v>#N/A</v>
      </c>
      <c r="Z36" s="548"/>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53">
        <v>18</v>
      </c>
      <c r="S37" s="555" t="str">
        <f t="shared" si="2"/>
        <v>18x30F</v>
      </c>
      <c r="T37" s="589" t="e">
        <f>[2]Calculation!N24</f>
        <v>#NUM!</v>
      </c>
      <c r="U37" s="551" t="s">
        <v>271</v>
      </c>
      <c r="V37" s="556">
        <v>8.5360000000000002E-3</v>
      </c>
      <c r="W37" s="551"/>
      <c r="X37" s="575">
        <v>8.5360000000000002E-3</v>
      </c>
      <c r="Y37" s="554" t="e">
        <f>_xll.qlSimpleQuoteSetValue(D37,ROUND(X37,6),EvaluationDate)</f>
        <v>#N/A</v>
      </c>
      <c r="Z37" s="548"/>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53">
        <v>19</v>
      </c>
      <c r="S38" s="555" t="str">
        <f t="shared" si="2"/>
        <v>19x31F</v>
      </c>
      <c r="T38" s="589" t="e">
        <f>[2]Calculation!N25</f>
        <v>#NUM!</v>
      </c>
      <c r="U38" s="551" t="s">
        <v>271</v>
      </c>
      <c r="V38" s="556">
        <v>8.9610000000000002E-3</v>
      </c>
      <c r="W38" s="551"/>
      <c r="X38" s="575">
        <v>8.9610000000000002E-3</v>
      </c>
      <c r="Y38" s="554" t="e">
        <f>_xll.qlSimpleQuoteSetValue(D38,ROUND(X38,6),EvaluationDate)</f>
        <v>#N/A</v>
      </c>
      <c r="Z38" s="548"/>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53">
        <v>20</v>
      </c>
      <c r="S39" s="555" t="str">
        <f t="shared" si="2"/>
        <v>20x32F</v>
      </c>
      <c r="T39" s="589" t="e">
        <f>[2]Calculation!N26</f>
        <v>#NUM!</v>
      </c>
      <c r="U39" s="551" t="s">
        <v>271</v>
      </c>
      <c r="V39" s="556">
        <v>9.3559999999999997E-3</v>
      </c>
      <c r="W39" s="551"/>
      <c r="X39" s="575">
        <v>9.3559999999999997E-3</v>
      </c>
      <c r="Y39" s="554" t="e">
        <f>_xll.qlSimpleQuoteSetValue(D39,ROUND(X39,6),EvaluationDate)</f>
        <v>#N/A</v>
      </c>
      <c r="Z39" s="548"/>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53">
        <v>21</v>
      </c>
      <c r="S40" s="555" t="str">
        <f t="shared" si="2"/>
        <v>21x33F</v>
      </c>
      <c r="T40" s="589" t="e">
        <f>[2]Calculation!N27</f>
        <v>#NUM!</v>
      </c>
      <c r="U40" s="551" t="s">
        <v>271</v>
      </c>
      <c r="V40" s="556">
        <v>9.8040000000000002E-3</v>
      </c>
      <c r="W40" s="551"/>
      <c r="X40" s="575">
        <v>9.8040000000000002E-3</v>
      </c>
      <c r="Y40" s="554" t="e">
        <f>_xll.qlSimpleQuoteSetValue(D40,ROUND(X40,6),EvaluationDate)</f>
        <v>#N/A</v>
      </c>
      <c r="Z40" s="548"/>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53">
        <v>22</v>
      </c>
      <c r="S41" s="555" t="str">
        <f t="shared" si="2"/>
        <v>22x34F</v>
      </c>
      <c r="T41" s="589" t="e">
        <f>[2]Calculation!N28</f>
        <v>#NUM!</v>
      </c>
      <c r="U41" s="551" t="s">
        <v>271</v>
      </c>
      <c r="V41" s="556">
        <v>1.0279E-2</v>
      </c>
      <c r="W41" s="551"/>
      <c r="X41" s="575">
        <v>1.0279E-2</v>
      </c>
      <c r="Y41" s="554" t="e">
        <f>_xll.qlSimpleQuoteSetValue(D41,ROUND(X41,6),EvaluationDate)</f>
        <v>#N/A</v>
      </c>
      <c r="Z41" s="548"/>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53">
        <v>23</v>
      </c>
      <c r="S42" s="550" t="str">
        <f t="shared" si="2"/>
        <v>23x35F</v>
      </c>
      <c r="T42" s="590" t="e">
        <f>[2]Calculation!N29</f>
        <v>#NUM!</v>
      </c>
      <c r="U42" s="551" t="s">
        <v>271</v>
      </c>
      <c r="V42" s="552">
        <v>1.0742E-2</v>
      </c>
      <c r="W42" s="551"/>
      <c r="X42" s="577">
        <v>1.0742E-2</v>
      </c>
      <c r="Y42" s="549" t="e">
        <f>_xll.qlSimpleQuoteSetValue(D42,ROUND(X42,6),EvaluationDate)</f>
        <v>#N/A</v>
      </c>
      <c r="Z42" s="548"/>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53">
        <v>25</v>
      </c>
      <c r="S43" s="558" t="str">
        <f t="shared" si="2"/>
        <v>25x37F</v>
      </c>
      <c r="T43" s="588" t="e">
        <f>[2]Calculation!N30</f>
        <v>#NUM!</v>
      </c>
      <c r="U43" s="551" t="s">
        <v>271</v>
      </c>
      <c r="V43" s="559">
        <v>1.1686999999999999E-2</v>
      </c>
      <c r="W43" s="551"/>
      <c r="X43" s="574">
        <v>1.1686999999999999E-2</v>
      </c>
      <c r="Y43" s="557" t="e">
        <f>_xll.qlSimpleQuoteSetValue(D43,ROUND(X43,6),EvaluationDate)</f>
        <v>#N/A</v>
      </c>
      <c r="Z43" s="548"/>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53">
        <v>26</v>
      </c>
      <c r="S44" s="555" t="str">
        <f t="shared" si="2"/>
        <v>26x38F</v>
      </c>
      <c r="T44" s="589" t="e">
        <f>[2]Calculation!N31</f>
        <v>#NUM!</v>
      </c>
      <c r="U44" s="551" t="s">
        <v>271</v>
      </c>
      <c r="V44" s="556">
        <v>1.2154E-2</v>
      </c>
      <c r="W44" s="551"/>
      <c r="X44" s="575">
        <v>1.2154E-2</v>
      </c>
      <c r="Y44" s="554" t="e">
        <f>_xll.qlSimpleQuoteSetValue(D44,ROUND(X44,6),EvaluationDate)</f>
        <v>#N/A</v>
      </c>
      <c r="Z44" s="548"/>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53">
        <v>27</v>
      </c>
      <c r="S45" s="555" t="str">
        <f t="shared" si="2"/>
        <v>27x39F</v>
      </c>
      <c r="T45" s="589" t="e">
        <f>[2]Calculation!N32</f>
        <v>#NUM!</v>
      </c>
      <c r="U45" s="551" t="s">
        <v>271</v>
      </c>
      <c r="V45" s="556">
        <v>1.2678E-2</v>
      </c>
      <c r="W45" s="551"/>
      <c r="X45" s="575">
        <v>1.2678E-2</v>
      </c>
      <c r="Y45" s="554" t="e">
        <f>_xll.qlSimpleQuoteSetValue(D45,ROUND(X45,6),EvaluationDate)</f>
        <v>#N/A</v>
      </c>
      <c r="Z45" s="548"/>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53">
        <v>28</v>
      </c>
      <c r="S46" s="555" t="str">
        <f t="shared" si="2"/>
        <v>28x40F</v>
      </c>
      <c r="T46" s="589" t="e">
        <f>[2]Calculation!N33</f>
        <v>#NUM!</v>
      </c>
      <c r="U46" s="551" t="s">
        <v>271</v>
      </c>
      <c r="V46" s="556">
        <v>1.3167999999999999E-2</v>
      </c>
      <c r="W46" s="551"/>
      <c r="X46" s="575">
        <v>1.3167999999999999E-2</v>
      </c>
      <c r="Y46" s="554" t="e">
        <f>_xll.qlSimpleQuoteSetValue(D46,ROUND(X46,6),EvaluationDate)</f>
        <v>#N/A</v>
      </c>
      <c r="Z46" s="548"/>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53">
        <v>29</v>
      </c>
      <c r="S47" s="555" t="str">
        <f t="shared" si="2"/>
        <v>29x41F</v>
      </c>
      <c r="T47" s="589" t="e">
        <f>[2]Calculation!N34</f>
        <v>#NUM!</v>
      </c>
      <c r="U47" s="551" t="s">
        <v>271</v>
      </c>
      <c r="V47" s="556">
        <v>1.3656E-2</v>
      </c>
      <c r="W47" s="551"/>
      <c r="X47" s="575">
        <v>1.3656E-2</v>
      </c>
      <c r="Y47" s="554" t="e">
        <f>_xll.qlSimpleQuoteSetValue(D47,ROUND(X47,6),EvaluationDate)</f>
        <v>#N/A</v>
      </c>
      <c r="Z47" s="548"/>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53">
        <v>30</v>
      </c>
      <c r="S48" s="555" t="str">
        <f t="shared" si="2"/>
        <v>30x42F</v>
      </c>
      <c r="T48" s="589" t="e">
        <f>[2]Calculation!N35</f>
        <v>#NUM!</v>
      </c>
      <c r="U48" s="551" t="s">
        <v>271</v>
      </c>
      <c r="V48" s="556">
        <v>1.4158E-2</v>
      </c>
      <c r="W48" s="551"/>
      <c r="X48" s="575">
        <v>1.4158E-2</v>
      </c>
      <c r="Y48" s="554" t="e">
        <f>_xll.qlSimpleQuoteSetValue(D48,ROUND(X48,6),EvaluationDate)</f>
        <v>#N/A</v>
      </c>
      <c r="Z48" s="548"/>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53">
        <v>31</v>
      </c>
      <c r="S49" s="555" t="str">
        <f t="shared" si="2"/>
        <v>31x43F</v>
      </c>
      <c r="T49" s="589" t="e">
        <f>[2]Calculation!N36</f>
        <v>#NUM!</v>
      </c>
      <c r="U49" s="551" t="s">
        <v>271</v>
      </c>
      <c r="V49" s="556">
        <v>1.464E-2</v>
      </c>
      <c r="W49" s="551"/>
      <c r="X49" s="575">
        <v>1.464E-2</v>
      </c>
      <c r="Y49" s="554" t="e">
        <f>_xll.qlSimpleQuoteSetValue(D49,ROUND(X49,6),EvaluationDate)</f>
        <v>#N/A</v>
      </c>
      <c r="Z49" s="548"/>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53">
        <v>32</v>
      </c>
      <c r="S50" s="555" t="str">
        <f t="shared" si="2"/>
        <v>32x44F</v>
      </c>
      <c r="T50" s="589" t="e">
        <f>[2]Calculation!N37</f>
        <v>#NUM!</v>
      </c>
      <c r="U50" s="551" t="s">
        <v>271</v>
      </c>
      <c r="V50" s="556">
        <v>1.5132E-2</v>
      </c>
      <c r="W50" s="551"/>
      <c r="X50" s="575">
        <v>1.5132E-2</v>
      </c>
      <c r="Y50" s="554" t="e">
        <f>_xll.qlSimpleQuoteSetValue(D50,ROUND(X50,6),EvaluationDate)</f>
        <v>#N/A</v>
      </c>
      <c r="Z50" s="548"/>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53">
        <v>33</v>
      </c>
      <c r="S51" s="555" t="str">
        <f t="shared" si="2"/>
        <v>33x45F</v>
      </c>
      <c r="T51" s="589" t="e">
        <f>[2]Calculation!N38</f>
        <v>#NUM!</v>
      </c>
      <c r="U51" s="551" t="s">
        <v>271</v>
      </c>
      <c r="V51" s="556">
        <v>1.5635E-2</v>
      </c>
      <c r="W51" s="551"/>
      <c r="X51" s="575">
        <v>1.5635E-2</v>
      </c>
      <c r="Y51" s="554" t="e">
        <f>_xll.qlSimpleQuoteSetValue(D51,ROUND(X51,6),EvaluationDate)</f>
        <v>#N/A</v>
      </c>
      <c r="Z51" s="548"/>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53">
        <v>34</v>
      </c>
      <c r="S52" s="555" t="str">
        <f t="shared" si="2"/>
        <v>34x46F</v>
      </c>
      <c r="T52" s="589" t="e">
        <f>[2]Calculation!N39</f>
        <v>#NUM!</v>
      </c>
      <c r="U52" s="551" t="s">
        <v>271</v>
      </c>
      <c r="V52" s="556">
        <v>1.6084999999999999E-2</v>
      </c>
      <c r="W52" s="551"/>
      <c r="X52" s="575">
        <v>1.6084999999999999E-2</v>
      </c>
      <c r="Y52" s="554" t="e">
        <f>_xll.qlSimpleQuoteSetValue(D52,ROUND(X52,6),EvaluationDate)</f>
        <v>#N/A</v>
      </c>
      <c r="Z52" s="548"/>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53">
        <v>35</v>
      </c>
      <c r="S53" s="550" t="str">
        <f t="shared" si="2"/>
        <v>35x47F</v>
      </c>
      <c r="T53" s="590" t="e">
        <f>[2]Calculation!N40</f>
        <v>#NUM!</v>
      </c>
      <c r="U53" s="551" t="s">
        <v>271</v>
      </c>
      <c r="V53" s="552">
        <v>1.6542999999999999E-2</v>
      </c>
      <c r="W53" s="551"/>
      <c r="X53" s="577">
        <v>1.6542999999999999E-2</v>
      </c>
      <c r="Y53" s="549" t="e">
        <f>_xll.qlSimpleQuoteSetValue(D53,ROUND(X53,6),EvaluationDate)</f>
        <v>#N/A</v>
      </c>
      <c r="Z53" s="548"/>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53">
        <v>37</v>
      </c>
      <c r="S54" s="555" t="str">
        <f t="shared" si="2"/>
        <v>37x49F</v>
      </c>
      <c r="T54" s="589" t="e">
        <f>[2]Calculation!N41</f>
        <v>#NUM!</v>
      </c>
      <c r="U54" s="551" t="s">
        <v>271</v>
      </c>
      <c r="V54" s="556">
        <v>1.7462999999999999E-2</v>
      </c>
      <c r="W54" s="551"/>
      <c r="X54" s="575">
        <v>1.7462999999999999E-2</v>
      </c>
      <c r="Y54" s="554" t="e">
        <f>_xll.qlSimpleQuoteSetValue(D54,ROUND(X54,6),EvaluationDate)</f>
        <v>#N/A</v>
      </c>
      <c r="Z54" s="548"/>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53">
        <v>38</v>
      </c>
      <c r="S55" s="555" t="str">
        <f t="shared" si="2"/>
        <v>38x50F</v>
      </c>
      <c r="T55" s="589" t="e">
        <f>[2]Calculation!N42</f>
        <v>#NUM!</v>
      </c>
      <c r="U55" s="551" t="s">
        <v>271</v>
      </c>
      <c r="V55" s="556">
        <v>1.7867000000000001E-2</v>
      </c>
      <c r="W55" s="551"/>
      <c r="X55" s="575">
        <v>1.7867000000000001E-2</v>
      </c>
      <c r="Y55" s="554" t="e">
        <f>_xll.qlSimpleQuoteSetValue(D55,ROUND(X55,6),EvaluationDate)</f>
        <v>#N/A</v>
      </c>
      <c r="Z55" s="548"/>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53">
        <v>39</v>
      </c>
      <c r="S56" s="555" t="str">
        <f t="shared" si="2"/>
        <v>39x51F</v>
      </c>
      <c r="T56" s="589" t="e">
        <f>[2]Calculation!N43</f>
        <v>#NUM!</v>
      </c>
      <c r="U56" s="551" t="s">
        <v>271</v>
      </c>
      <c r="V56" s="556">
        <v>1.8335000000000001E-2</v>
      </c>
      <c r="W56" s="551"/>
      <c r="X56" s="575">
        <v>1.8335000000000001E-2</v>
      </c>
      <c r="Y56" s="554" t="e">
        <f>_xll.qlSimpleQuoteSetValue(D56,ROUND(X56,6),EvaluationDate)</f>
        <v>#N/A</v>
      </c>
      <c r="Z56" s="548"/>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53">
        <v>40</v>
      </c>
      <c r="S57" s="555" t="str">
        <f t="shared" si="2"/>
        <v>40x52F</v>
      </c>
      <c r="T57" s="589" t="e">
        <f>[2]Calculation!N44</f>
        <v>#NUM!</v>
      </c>
      <c r="U57" s="551" t="s">
        <v>271</v>
      </c>
      <c r="V57" s="556">
        <v>1.8724999999999999E-2</v>
      </c>
      <c r="W57" s="551"/>
      <c r="X57" s="575">
        <v>1.8724999999999999E-2</v>
      </c>
      <c r="Y57" s="554" t="e">
        <f>_xll.qlSimpleQuoteSetValue(D57,ROUND(X57,6),EvaluationDate)</f>
        <v>#N/A</v>
      </c>
      <c r="Z57" s="548"/>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53">
        <v>41</v>
      </c>
      <c r="S58" s="555" t="str">
        <f t="shared" si="2"/>
        <v>41x53F</v>
      </c>
      <c r="T58" s="589" t="e">
        <f>[2]Calculation!N45</f>
        <v>#NUM!</v>
      </c>
      <c r="U58" s="551" t="s">
        <v>271</v>
      </c>
      <c r="V58" s="556">
        <v>1.915E-2</v>
      </c>
      <c r="W58" s="551"/>
      <c r="X58" s="575">
        <v>1.915E-2</v>
      </c>
      <c r="Y58" s="554" t="e">
        <f>_xll.qlSimpleQuoteSetValue(D58,ROUND(X58,6),EvaluationDate)</f>
        <v>#N/A</v>
      </c>
      <c r="Z58" s="548"/>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53">
        <v>42</v>
      </c>
      <c r="S59" s="555" t="str">
        <f t="shared" si="2"/>
        <v>42x54F</v>
      </c>
      <c r="T59" s="589" t="e">
        <f>[2]Calculation!N46</f>
        <v>#NUM!</v>
      </c>
      <c r="U59" s="551" t="s">
        <v>271</v>
      </c>
      <c r="V59" s="556">
        <v>1.9581999999999999E-2</v>
      </c>
      <c r="W59" s="551"/>
      <c r="X59" s="575">
        <v>1.9581999999999999E-2</v>
      </c>
      <c r="Y59" s="554" t="e">
        <f>_xll.qlSimpleQuoteSetValue(D59,ROUND(X59,6),EvaluationDate)</f>
        <v>#N/A</v>
      </c>
      <c r="Z59" s="548"/>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53">
        <v>43</v>
      </c>
      <c r="S60" s="555" t="str">
        <f t="shared" si="2"/>
        <v>43x55F</v>
      </c>
      <c r="T60" s="589" t="e">
        <f>[2]Calculation!N47</f>
        <v>#NUM!</v>
      </c>
      <c r="U60" s="551" t="s">
        <v>271</v>
      </c>
      <c r="V60" s="556">
        <v>1.9968E-2</v>
      </c>
      <c r="W60" s="551"/>
      <c r="X60" s="575">
        <v>1.9968E-2</v>
      </c>
      <c r="Y60" s="554" t="e">
        <f>_xll.qlSimpleQuoteSetValue(D60,ROUND(X60,6),EvaluationDate)</f>
        <v>#N/A</v>
      </c>
      <c r="Z60" s="548"/>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53">
        <v>44</v>
      </c>
      <c r="S61" s="555" t="str">
        <f t="shared" si="2"/>
        <v>44x56F</v>
      </c>
      <c r="T61" s="589" t="e">
        <f>[2]Calculation!N48</f>
        <v>#NUM!</v>
      </c>
      <c r="U61" s="551" t="s">
        <v>271</v>
      </c>
      <c r="V61" s="556">
        <v>2.0389000000000001E-2</v>
      </c>
      <c r="W61" s="551"/>
      <c r="X61" s="575">
        <v>2.0389000000000001E-2</v>
      </c>
      <c r="Y61" s="554" t="e">
        <f>_xll.qlSimpleQuoteSetValue(D61,ROUND(X61,6),EvaluationDate)</f>
        <v>#N/A</v>
      </c>
      <c r="Z61" s="548"/>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53">
        <v>45</v>
      </c>
      <c r="S62" s="555" t="str">
        <f t="shared" si="2"/>
        <v>45x57F</v>
      </c>
      <c r="T62" s="589" t="e">
        <f>[2]Calculation!N49</f>
        <v>#NUM!</v>
      </c>
      <c r="U62" s="551" t="s">
        <v>271</v>
      </c>
      <c r="V62" s="556">
        <v>2.0778999999999999E-2</v>
      </c>
      <c r="W62" s="551"/>
      <c r="X62" s="575">
        <v>2.0778999999999999E-2</v>
      </c>
      <c r="Y62" s="554" t="e">
        <f>_xll.qlSimpleQuoteSetValue(D62,ROUND(X62,6),EvaluationDate)</f>
        <v>#N/A</v>
      </c>
      <c r="Z62" s="548"/>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53">
        <v>46</v>
      </c>
      <c r="S63" s="555" t="str">
        <f t="shared" si="2"/>
        <v>46x58F</v>
      </c>
      <c r="T63" s="589" t="e">
        <f>[2]Calculation!N50</f>
        <v>#NUM!</v>
      </c>
      <c r="U63" s="551" t="s">
        <v>271</v>
      </c>
      <c r="V63" s="556">
        <v>2.1166000000000001E-2</v>
      </c>
      <c r="W63" s="551"/>
      <c r="X63" s="575">
        <v>2.1166000000000001E-2</v>
      </c>
      <c r="Y63" s="554" t="e">
        <f>_xll.qlSimpleQuoteSetValue(D63,ROUND(X63,6),EvaluationDate)</f>
        <v>#N/A</v>
      </c>
      <c r="Z63" s="548"/>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53">
        <v>47</v>
      </c>
      <c r="S64" s="550" t="str">
        <f t="shared" si="2"/>
        <v>47x59F</v>
      </c>
      <c r="T64" s="590" t="e">
        <f>[2]Calculation!N51</f>
        <v>#NUM!</v>
      </c>
      <c r="U64" s="551" t="s">
        <v>271</v>
      </c>
      <c r="V64" s="552">
        <v>2.1562999999999999E-2</v>
      </c>
      <c r="W64" s="551"/>
      <c r="X64" s="577">
        <v>2.1562999999999999E-2</v>
      </c>
      <c r="Y64" s="549" t="e">
        <f>_xll.qlSimpleQuoteSetValue(D64,ROUND(X64,6),EvaluationDate)</f>
        <v>#N/A</v>
      </c>
      <c r="Z64" s="548"/>
    </row>
    <row r="65" spans="1:26" ht="12" thickBot="1" x14ac:dyDescent="0.25">
      <c r="A65" s="48"/>
      <c r="B65" s="47"/>
      <c r="C65" s="47"/>
      <c r="D65" s="47"/>
      <c r="E65" s="47"/>
      <c r="F65" s="46"/>
      <c r="R65" s="547"/>
      <c r="S65" s="546"/>
      <c r="T65" s="546"/>
      <c r="U65" s="546"/>
      <c r="V65" s="546"/>
      <c r="W65" s="546"/>
      <c r="X65" s="546"/>
      <c r="Y65" s="546"/>
      <c r="Z65" s="545"/>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5" customWidth="1"/>
    <col min="3" max="3" width="5.7109375" style="425" bestFit="1" customWidth="1"/>
    <col min="4" max="4" width="12.5703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12"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4.85546875" style="425" bestFit="1" customWidth="1"/>
    <col min="20" max="20" width="6.1406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IB365</v>
      </c>
      <c r="E2" s="474"/>
      <c r="F2" s="473"/>
      <c r="G2" s="473"/>
      <c r="H2" s="470"/>
      <c r="I2" s="470"/>
      <c r="J2" s="472" t="str">
        <f>VLOOKUP(Currency,Traits,3,FALSE)</f>
        <v>ibor365</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63" t="s">
        <v>35</v>
      </c>
      <c r="D4" s="458" t="str">
        <f t="shared" ref="D4:D18" si="0">Currency&amp;$D$2&amp;$C4&amp;"D="</f>
        <v>EURIB365SWD=</v>
      </c>
      <c r="E4" s="462">
        <v>41479</v>
      </c>
      <c r="F4" s="461">
        <v>0.108</v>
      </c>
      <c r="G4" s="461" t="b">
        <f>IF(AND(ISNUMBER($F4),$F4&lt;&gt;0%,_xll.ohTrigger(Trigger)+1),TRUE,FALSE)</f>
        <v>1</v>
      </c>
      <c r="H4" s="460" t="e">
        <f>IF($G4,_xll.qlIndexAddFixings($J4,$E4,$F4/100,TRUE,ISERROR($K4)),NA())</f>
        <v>#NUM!</v>
      </c>
      <c r="I4" s="450"/>
      <c r="J4" s="459" t="str">
        <f t="shared" ref="J4:J18" si="1">PROPER(Currency)&amp;$J$2&amp;$C4</f>
        <v>Euribor365SW</v>
      </c>
      <c r="K4" s="458" t="e">
        <f>_xll.qlIndexFixing($J4,$E4,TRUE,$G4)</f>
        <v>#NUM!</v>
      </c>
      <c r="L4" s="458" t="e">
        <f>IF($H4,_xll.qlIndexFixing($J4,$E4,FALSE,$G4),"-")</f>
        <v>#NUM!</v>
      </c>
      <c r="M4" s="458" t="e">
        <f t="shared" ref="M4:M18" si="2">K4-L4</f>
        <v>#NUM!</v>
      </c>
      <c r="N4" s="457" t="e">
        <f>_xll.qlIndexFixing($J4,$E4,TRUE,$L4)</f>
        <v>#NUM!</v>
      </c>
      <c r="O4" s="456">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34</v>
      </c>
      <c r="D5" s="458" t="str">
        <f t="shared" si="0"/>
        <v>EURIB3652WD=</v>
      </c>
      <c r="E5" s="462">
        <v>41479</v>
      </c>
      <c r="F5" s="461">
        <v>0.115</v>
      </c>
      <c r="G5" s="461" t="b">
        <f>IF(AND(ISNUMBER($F5),$F5&lt;&gt;0%,_xll.ohTrigger(Trigger)+1),TRUE,FALSE)</f>
        <v>1</v>
      </c>
      <c r="H5" s="460" t="e">
        <f>IF($G5,_xll.qlIndexAddFixings($J5,$E5,$F5/100,TRUE,ISERROR($K5)),NA())</f>
        <v>#NUM!</v>
      </c>
      <c r="I5" s="450"/>
      <c r="J5" s="459" t="str">
        <f t="shared" si="1"/>
        <v>Euribor3652W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33</v>
      </c>
      <c r="D6" s="458" t="str">
        <f t="shared" si="0"/>
        <v>EURIB3653WD=</v>
      </c>
      <c r="E6" s="462">
        <v>41479</v>
      </c>
      <c r="F6" s="461">
        <v>0.123</v>
      </c>
      <c r="G6" s="461" t="b">
        <f>IF(AND(ISNUMBER($F6),$F6&lt;&gt;0%,_xll.ohTrigger(Trigger)+1),TRUE,FALSE)</f>
        <v>1</v>
      </c>
      <c r="H6" s="460" t="e">
        <f>IF($G6,_xll.qlIndexAddFixings($J6,$E6,$F6/100,TRUE,ISERROR($K6)),NA())</f>
        <v>#NUM!</v>
      </c>
      <c r="I6" s="450"/>
      <c r="J6" s="459" t="str">
        <f t="shared" si="1"/>
        <v>Euribor3653W</v>
      </c>
      <c r="K6" s="458" t="e">
        <f>_xll.qlIndexFixing($J6,$E6,TRUE,$G6)</f>
        <v>#NUM!</v>
      </c>
      <c r="L6" s="458" t="e">
        <f>IF($H6,_xll.qlIndexFixing($J6,$E6,FALSE,$G6),"-")</f>
        <v>#NUM!</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EURIB3651MD=</v>
      </c>
      <c r="E7" s="462">
        <v>41479</v>
      </c>
      <c r="F7" s="461">
        <v>0.13300000000000001</v>
      </c>
      <c r="G7" s="461" t="b">
        <f>IF(AND(ISNUMBER($F7),$F7&lt;&gt;0%,_xll.ohTrigger(Trigger)+1),TRUE,FALSE)</f>
        <v>1</v>
      </c>
      <c r="H7" s="460" t="e">
        <f>IF($G7,_xll.qlIndexAddFixings($J7,$E7,$F7/100,TRUE,ISERROR($K7)),NA())</f>
        <v>#NUM!</v>
      </c>
      <c r="I7" s="450"/>
      <c r="J7" s="459" t="str">
        <f t="shared" si="1"/>
        <v>Euribor3651M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EURIB3652MD=</v>
      </c>
      <c r="E8" s="462">
        <v>41479</v>
      </c>
      <c r="F8" s="461">
        <v>0.184</v>
      </c>
      <c r="G8" s="461" t="b">
        <f>IF(AND(ISNUMBER($F8),$F8&lt;&gt;0%,_xll.ohTrigger(Trigger)+1),TRUE,FALSE)</f>
        <v>1</v>
      </c>
      <c r="H8" s="460" t="e">
        <f>IF($G8,_xll.qlIndexAddFixings($J8,$E8,$F8/100,TRUE,ISERROR($K8)),NA())</f>
        <v>#NUM!</v>
      </c>
      <c r="I8" s="450"/>
      <c r="J8" s="459" t="str">
        <f t="shared" si="1"/>
        <v>Euribor3652M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EURIB3653MD=</v>
      </c>
      <c r="E9" s="462">
        <v>41479</v>
      </c>
      <c r="F9" s="461">
        <v>0.22800000000000001</v>
      </c>
      <c r="G9" s="461" t="b">
        <f>IF(AND(ISNUMBER($F9),$F9&lt;&gt;0%,_xll.ohTrigger(Trigger)+1),TRUE,FALSE)</f>
        <v>1</v>
      </c>
      <c r="H9" s="460" t="e">
        <f>IF($G9,_xll.qlIndexAddFixings($J9,$E9,$F9/100,TRUE,ISERROR($K9)),NA())</f>
        <v>#NUM!</v>
      </c>
      <c r="I9" s="450"/>
      <c r="J9" s="459" t="str">
        <f t="shared" si="1"/>
        <v>Euribor3653M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EURIB3654MD=</v>
      </c>
      <c r="E10" s="462">
        <v>41479</v>
      </c>
      <c r="F10" s="461">
        <v>0.26900000000000002</v>
      </c>
      <c r="G10" s="461" t="b">
        <f>IF(AND(ISNUMBER($F10),$F10&lt;&gt;0%,_xll.ohTrigger(Trigger)+1),TRUE,FALSE)</f>
        <v>1</v>
      </c>
      <c r="H10" s="460" t="e">
        <f>IF($G10,_xll.qlIndexAddFixings($J10,$E10,$F10/100,TRUE,ISERROR($K10)),NA())</f>
        <v>#NUM!</v>
      </c>
      <c r="I10" s="450"/>
      <c r="J10" s="459" t="str">
        <f t="shared" si="1"/>
        <v>Euribor3654M</v>
      </c>
      <c r="K10" s="458" t="e">
        <f>_xll.qlIndexFixing($J10,$E10,TRUE,$G10)</f>
        <v>#NUM!</v>
      </c>
      <c r="L10" s="458" t="e">
        <f>IF($H10,_xll.qlIndexFixing($J10,$E10,FALSE,$G10),"-")</f>
        <v>#NUM!</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EURIB3655MD=</v>
      </c>
      <c r="E11" s="462">
        <v>41479</v>
      </c>
      <c r="F11" s="461">
        <v>0.30299999999999999</v>
      </c>
      <c r="G11" s="461" t="b">
        <f>IF(AND(ISNUMBER($F11),$F11&lt;&gt;0%,_xll.ohTrigger(Trigger)+1),TRUE,FALSE)</f>
        <v>1</v>
      </c>
      <c r="H11" s="460" t="e">
        <f>IF($G11,_xll.qlIndexAddFixings($J11,$E11,$F11/100,TRUE,ISERROR($K11)),NA())</f>
        <v>#NUM!</v>
      </c>
      <c r="I11" s="450"/>
      <c r="J11" s="459" t="str">
        <f t="shared" si="1"/>
        <v>Euribor3655M</v>
      </c>
      <c r="K11" s="458" t="e">
        <f>_xll.qlIndexFixing($J11,$E11,TRUE,$G11)</f>
        <v>#NUM!</v>
      </c>
      <c r="L11" s="458" t="e">
        <f>IF($H11,_xll.qlIndexFixing($J11,$E11,FALSE,$G11),"-")</f>
        <v>#NUM!</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EURIB3656MD=</v>
      </c>
      <c r="E12" s="462">
        <v>41479</v>
      </c>
      <c r="F12" s="461">
        <v>0.34799999999999998</v>
      </c>
      <c r="G12" s="461" t="b">
        <f>IF(AND(ISNUMBER($F12),$F12&lt;&gt;0%,_xll.ohTrigger(Trigger)+1),TRUE,FALSE)</f>
        <v>1</v>
      </c>
      <c r="H12" s="460" t="e">
        <f>IF($G12,_xll.qlIndexAddFixings($J12,$E12,$F12/100,TRUE,ISERROR($K12)),NA())</f>
        <v>#NUM!</v>
      </c>
      <c r="I12" s="450"/>
      <c r="J12" s="459" t="str">
        <f t="shared" si="1"/>
        <v>Euribor3656M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EURIB3657MD=</v>
      </c>
      <c r="E13" s="462">
        <v>41479</v>
      </c>
      <c r="F13" s="461">
        <v>0.38200000000000001</v>
      </c>
      <c r="G13" s="461" t="b">
        <f>IF(AND(ISNUMBER($F13),$F13&lt;&gt;0%,_xll.ohTrigger(Trigger)+1),TRUE,FALSE)</f>
        <v>1</v>
      </c>
      <c r="H13" s="460" t="e">
        <f>IF($G13,_xll.qlIndexAddFixings($J13,$E13,$F13/100,TRUE,ISERROR($K13)),NA())</f>
        <v>#NUM!</v>
      </c>
      <c r="I13" s="450"/>
      <c r="J13" s="459" t="str">
        <f t="shared" si="1"/>
        <v>Euribor3657M</v>
      </c>
      <c r="K13" s="458" t="e">
        <f>_xll.qlIndexFixing($J13,$E13,TRUE,$G13)</f>
        <v>#NUM!</v>
      </c>
      <c r="L13" s="458" t="e">
        <f>IF($H13,_xll.qlIndexFixing($J13,$E13,FALSE,$G13),"-")</f>
        <v>#NUM!</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EURIB3658MD=</v>
      </c>
      <c r="E14" s="462">
        <v>41479</v>
      </c>
      <c r="F14" s="461">
        <v>0.41799999999999998</v>
      </c>
      <c r="G14" s="461" t="b">
        <f>IF(AND(ISNUMBER($F14),$F14&lt;&gt;0%,_xll.ohTrigger(Trigger)+1),TRUE,FALSE)</f>
        <v>1</v>
      </c>
      <c r="H14" s="460" t="e">
        <f>IF($G14,_xll.qlIndexAddFixings($J14,$E14,$F14/100,TRUE,ISERROR($K14)),NA())</f>
        <v>#NUM!</v>
      </c>
      <c r="I14" s="450"/>
      <c r="J14" s="459" t="str">
        <f t="shared" si="1"/>
        <v>Euribor3658M</v>
      </c>
      <c r="K14" s="458" t="e">
        <f>_xll.qlIndexFixing($J14,$E14,TRUE,$G14)</f>
        <v>#NUM!</v>
      </c>
      <c r="L14" s="458" t="e">
        <f>IF($H14,_xll.qlIndexFixing($J14,$E14,FALSE,$G14),"-")</f>
        <v>#NUM!</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EURIB3659MD=</v>
      </c>
      <c r="E15" s="462">
        <v>41479</v>
      </c>
      <c r="F15" s="461">
        <v>0.44800000000000001</v>
      </c>
      <c r="G15" s="461" t="b">
        <f>IF(AND(ISNUMBER($F15),$F15&lt;&gt;0%,_xll.ohTrigger(Trigger)+1),TRUE,FALSE)</f>
        <v>1</v>
      </c>
      <c r="H15" s="460" t="e">
        <f>IF($G15,_xll.qlIndexAddFixings($J15,$E15,$F15/100,TRUE,ISERROR($K15)),NA())</f>
        <v>#NUM!</v>
      </c>
      <c r="I15" s="450"/>
      <c r="J15" s="459" t="str">
        <f t="shared" si="1"/>
        <v>Euribor3659M</v>
      </c>
      <c r="K15" s="458" t="e">
        <f>_xll.qlIndexFixing($J15,$E15,TRUE,$G15)</f>
        <v>#NUM!</v>
      </c>
      <c r="L15" s="458" t="e">
        <f>IF($H15,_xll.qlIndexFixing($J15,$E15,FALSE,$G15),"-")</f>
        <v>#NUM!</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EURIB36510MD=</v>
      </c>
      <c r="E16" s="462">
        <v>41479</v>
      </c>
      <c r="F16" s="461">
        <v>0.48</v>
      </c>
      <c r="G16" s="461" t="b">
        <f>IF(AND(ISNUMBER($F16),$F16&lt;&gt;0%,_xll.ohTrigger(Trigger)+1),TRUE,FALSE)</f>
        <v>1</v>
      </c>
      <c r="H16" s="460" t="e">
        <f>IF($G16,_xll.qlIndexAddFixings($J16,$E16,$F16/100,TRUE,ISERROR($K16)),NA())</f>
        <v>#NUM!</v>
      </c>
      <c r="I16" s="450"/>
      <c r="J16" s="459" t="str">
        <f t="shared" si="1"/>
        <v>Euribor36510M</v>
      </c>
      <c r="K16" s="458" t="e">
        <f>_xll.qlIndexFixing($J16,$E16,TRUE,$G16)</f>
        <v>#NUM!</v>
      </c>
      <c r="L16" s="458" t="e">
        <f>IF($H16,_xll.qlIndexFixing($J16,$E16,FALSE,$G16),"-")</f>
        <v>#NUM!</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EURIB36511MD=</v>
      </c>
      <c r="E17" s="462">
        <v>41479</v>
      </c>
      <c r="F17" s="461">
        <v>0.51</v>
      </c>
      <c r="G17" s="461" t="b">
        <f>IF(AND(ISNUMBER($F17),$F17&lt;&gt;0%,_xll.ohTrigger(Trigger)+1),TRUE,FALSE)</f>
        <v>1</v>
      </c>
      <c r="H17" s="460" t="e">
        <f>IF($G17,_xll.qlIndexAddFixings($J17,$E17,$F17/100,TRUE,ISERROR($K17)),NA())</f>
        <v>#NUM!</v>
      </c>
      <c r="I17" s="450"/>
      <c r="J17" s="459" t="str">
        <f t="shared" si="1"/>
        <v>Euribor36511M</v>
      </c>
      <c r="K17" s="458" t="e">
        <f>_xll.qlIndexFixing($J17,$E17,TRUE,$G17)</f>
        <v>#NUM!</v>
      </c>
      <c r="L17" s="458" t="e">
        <f>IF($H17,_xll.qlIndexFixing($J17,$E17,FALSE,$G17),"-")</f>
        <v>#NUM!</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EURIB3651YD=</v>
      </c>
      <c r="E18" s="453">
        <v>41479</v>
      </c>
      <c r="F18" s="452">
        <v>0.54200000000000004</v>
      </c>
      <c r="G18" s="452" t="b">
        <f>IF(AND(ISNUMBER($F18),$F18&lt;&gt;0%,_xll.ohTrigger(Trigger)+1),TRUE,FALSE)</f>
        <v>1</v>
      </c>
      <c r="H18" s="451" t="e">
        <f>IF($G18,_xll.qlIndexAddFixings($J18,$E18,$F18/100,TRUE,ISERROR($K18)),NA())</f>
        <v>#NUM!</v>
      </c>
      <c r="I18" s="450"/>
      <c r="J18" s="449" t="str">
        <f t="shared" si="1"/>
        <v>Euribor3651Y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c r="F21" s="434"/>
    </row>
    <row r="22" spans="1:30" s="426" customFormat="1" x14ac:dyDescent="0.2">
      <c r="C22" s="432" t="s">
        <v>110</v>
      </c>
      <c r="D22" s="431" t="s">
        <v>302</v>
      </c>
      <c r="E22" s="430" t="s">
        <v>43</v>
      </c>
      <c r="J22" s="433"/>
    </row>
    <row r="23" spans="1:30" s="426" customFormat="1" x14ac:dyDescent="0.2">
      <c r="C23" s="432" t="s">
        <v>266</v>
      </c>
      <c r="D23" s="431" t="s">
        <v>207</v>
      </c>
      <c r="E23" s="430" t="s">
        <v>207</v>
      </c>
      <c r="J23" s="433"/>
    </row>
    <row r="24" spans="1:30" s="426" customFormat="1" x14ac:dyDescent="0.2">
      <c r="C24" s="432" t="s">
        <v>294</v>
      </c>
      <c r="D24" s="431" t="s">
        <v>207</v>
      </c>
      <c r="E24" s="430" t="s">
        <v>207</v>
      </c>
      <c r="J24" s="433"/>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28" t="s">
        <v>207</v>
      </c>
      <c r="E27" s="427"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5" customWidth="1"/>
    <col min="3" max="3" width="5.7109375" style="425" bestFit="1" customWidth="1"/>
    <col min="4" max="4" width="10.42578125" style="425" bestFit="1" customWidth="1"/>
    <col min="5" max="5" width="12.85546875" style="425" customWidth="1"/>
    <col min="6" max="6" width="7.42578125" style="425" customWidth="1"/>
    <col min="7" max="7" width="6" style="425" bestFit="1" customWidth="1"/>
    <col min="8" max="8" width="5.5703125" style="425" bestFit="1" customWidth="1"/>
    <col min="9" max="9" width="4.28515625" style="425" customWidth="1"/>
    <col min="10" max="10" width="9.5703125" style="425" bestFit="1"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hidden="1" customWidth="1"/>
    <col min="16" max="17" width="4.28515625" style="425" customWidth="1"/>
    <col min="18" max="18" width="4" style="425" bestFit="1" customWidth="1"/>
    <col min="19" max="19" width="3.85546875" style="425" bestFit="1" customWidth="1"/>
    <col min="20" max="20" width="4.42578125"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22.5" customHeight="1" x14ac:dyDescent="0.4">
      <c r="A2" s="426"/>
      <c r="B2" s="476"/>
      <c r="C2" s="470"/>
      <c r="D2" s="475" t="str">
        <f>VLOOKUP(Currency,Traits,2,FALSE)</f>
        <v>FSR</v>
      </c>
      <c r="E2" s="474"/>
      <c r="F2" s="473"/>
      <c r="G2" s="473"/>
      <c r="H2" s="470"/>
      <c r="I2" s="470"/>
      <c r="J2" s="472" t="str">
        <f>VLOOKUP(Currency,Traits,3,FALSE)</f>
        <v>Libor</v>
      </c>
      <c r="K2" s="470"/>
      <c r="L2" s="470"/>
      <c r="M2" s="471">
        <f>MAX(O4:O18)</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227</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112</v>
      </c>
      <c r="D4" s="480" t="str">
        <f t="shared" ref="D4:D18" si="0">Currency&amp;$C4&amp;$D$2&amp;"="</f>
        <v>EURONFSR=</v>
      </c>
      <c r="E4" s="484">
        <v>41479</v>
      </c>
      <c r="F4" s="483">
        <v>4.4999999999999998E-2</v>
      </c>
      <c r="G4" s="461" t="b">
        <f>IF(AND(ISNUMBER($F4),$F4&lt;&gt;0%,_xll.ohTrigger(Trigger)+1),TRUE,FALSE)</f>
        <v>1</v>
      </c>
      <c r="H4" s="482" t="e">
        <f>IF($G4,_xll.qlIndexAddFixings($J4,$E4,$F4/100,TRUE,ISERROR($K4)),NA())</f>
        <v>#NUM!</v>
      </c>
      <c r="I4" s="450"/>
      <c r="J4" s="481" t="str">
        <f t="shared" ref="J4:J18" si="1">PROPER(Currency)&amp;$J$2&amp;$C4</f>
        <v>EurLiborON</v>
      </c>
      <c r="K4" s="480" t="e">
        <f>_xll.qlIndexFixing($J4,$E4,TRUE,$G4)</f>
        <v>#NUM!</v>
      </c>
      <c r="L4" s="480" t="e">
        <f>IF($H4,_xll.qlIndexFixing($J4,$E4,FALSE,$G4),"-")</f>
        <v>#NUM!</v>
      </c>
      <c r="M4" s="480" t="e">
        <f t="shared" ref="M4:M18" si="2">K4-L4</f>
        <v>#NUM!</v>
      </c>
      <c r="N4" s="479" t="e">
        <f>_xll.qlIndexFixing($J4,$E4,TRUE,$L4)</f>
        <v>#NUM!</v>
      </c>
      <c r="O4" s="478">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35</v>
      </c>
      <c r="D5" s="458" t="str">
        <f t="shared" si="0"/>
        <v>EURSWFSR=</v>
      </c>
      <c r="E5" s="462">
        <v>41479</v>
      </c>
      <c r="F5" s="461">
        <v>5.5710000000000003E-2</v>
      </c>
      <c r="G5" s="461" t="b">
        <f>IF(AND(ISNUMBER($F5),$F5&lt;&gt;0%,_xll.ohTrigger(Trigger)+1),TRUE,FALSE)</f>
        <v>1</v>
      </c>
      <c r="H5" s="460" t="e">
        <f>IF($G5,_xll.qlIndexAddFixings($J5,$E5,$F5/100,TRUE,ISERROR($K5)),NA())</f>
        <v>#NUM!</v>
      </c>
      <c r="I5" s="450"/>
      <c r="J5" s="459" t="str">
        <f t="shared" si="1"/>
        <v>EurLiborSW</v>
      </c>
      <c r="K5" s="458" t="e">
        <f>_xll.qlIndexFixing($J5,$E5,TRUE,$G5)</f>
        <v>#NUM!</v>
      </c>
      <c r="L5" s="458" t="e">
        <f>IF($H5,_xll.qlIndexFixing($J5,$E5,FALSE,$G5),"-")</f>
        <v>#NUM!</v>
      </c>
      <c r="M5" s="458" t="e">
        <f t="shared" si="2"/>
        <v>#NUM!</v>
      </c>
      <c r="N5" s="457" t="e">
        <f>_xll.qlIndexFixing($J5,$E5,TRUE,$L5)</f>
        <v>#NUM!</v>
      </c>
      <c r="O5" s="456">
        <f t="shared" si="3"/>
        <v>0</v>
      </c>
      <c r="P5" s="445"/>
      <c r="Q5" s="426"/>
      <c r="R5" s="426"/>
      <c r="S5" s="426"/>
      <c r="T5" s="426"/>
      <c r="U5" s="426"/>
      <c r="V5" s="426"/>
      <c r="W5" s="426"/>
      <c r="X5" s="426"/>
      <c r="Y5" s="426"/>
      <c r="Z5" s="426"/>
      <c r="AA5" s="426"/>
      <c r="AB5" s="426"/>
      <c r="AC5" s="426"/>
      <c r="AD5" s="426"/>
    </row>
    <row r="6" spans="1:30" x14ac:dyDescent="0.2">
      <c r="A6" s="426"/>
      <c r="B6" s="455"/>
      <c r="C6" s="463" t="s">
        <v>34</v>
      </c>
      <c r="D6" s="458" t="str">
        <f t="shared" si="0"/>
        <v>EUR2WFSR=</v>
      </c>
      <c r="E6" s="462">
        <v>41428</v>
      </c>
      <c r="F6" s="461">
        <v>0</v>
      </c>
      <c r="G6" s="461" t="b">
        <f>IF(AND(ISNUMBER($F6),$F6&lt;&gt;0%,_xll.ohTrigger(Trigger)+1),TRUE,FALSE)</f>
        <v>0</v>
      </c>
      <c r="H6" s="460" t="e">
        <f>IF($G6,_xll.qlIndexAddFixings($J6,$E6,$F6/100,TRUE,ISERROR($K6)),NA())</f>
        <v>#N/A</v>
      </c>
      <c r="I6" s="450"/>
      <c r="J6" s="459" t="str">
        <f t="shared" si="1"/>
        <v>EurLibor2W</v>
      </c>
      <c r="K6" s="458" t="e">
        <f>_xll.qlIndexFixing($J6,$E6,TRUE,$G6)</f>
        <v>#NUM!</v>
      </c>
      <c r="L6" s="458" t="e">
        <f>IF($H6,_xll.qlIndexFixing($J6,$E6,FALSE,$G6),"-")</f>
        <v>#N/A</v>
      </c>
      <c r="M6" s="458" t="e">
        <f t="shared" si="2"/>
        <v>#NUM!</v>
      </c>
      <c r="N6" s="457" t="e">
        <f>_xll.qlIndexFixing($J6,$E6,TRUE,$L6)</f>
        <v>#NUM!</v>
      </c>
      <c r="O6" s="456">
        <f t="shared" si="3"/>
        <v>0</v>
      </c>
      <c r="P6" s="445"/>
      <c r="Q6" s="426"/>
      <c r="R6" s="426"/>
      <c r="S6" s="426"/>
      <c r="T6" s="426"/>
      <c r="U6" s="426"/>
      <c r="V6" s="426"/>
      <c r="W6" s="426"/>
      <c r="X6" s="426"/>
      <c r="Y6" s="426"/>
      <c r="Z6" s="426"/>
      <c r="AA6" s="426"/>
      <c r="AB6" s="426"/>
      <c r="AC6" s="426"/>
      <c r="AD6" s="426"/>
    </row>
    <row r="7" spans="1:30" x14ac:dyDescent="0.2">
      <c r="A7" s="426"/>
      <c r="B7" s="455"/>
      <c r="C7" s="463" t="s">
        <v>32</v>
      </c>
      <c r="D7" s="458" t="str">
        <f t="shared" si="0"/>
        <v>EUR1MFSR=</v>
      </c>
      <c r="E7" s="462">
        <v>41479</v>
      </c>
      <c r="F7" s="461">
        <v>8.2860000000000003E-2</v>
      </c>
      <c r="G7" s="461" t="b">
        <f>IF(AND(ISNUMBER($F7),$F7&lt;&gt;0%,_xll.ohTrigger(Trigger)+1),TRUE,FALSE)</f>
        <v>1</v>
      </c>
      <c r="H7" s="460" t="e">
        <f>IF($G7,_xll.qlIndexAddFixings($J7,$E7,$F7/100,TRUE,ISERROR($K7)),NA())</f>
        <v>#NUM!</v>
      </c>
      <c r="I7" s="450"/>
      <c r="J7" s="459" t="str">
        <f t="shared" si="1"/>
        <v>EurLibor1M</v>
      </c>
      <c r="K7" s="458" t="e">
        <f>_xll.qlIndexFixing($J7,$E7,TRUE,$G7)</f>
        <v>#NUM!</v>
      </c>
      <c r="L7" s="458" t="e">
        <f>IF($H7,_xll.qlIndexFixing($J7,$E7,FALSE,$G7),"-")</f>
        <v>#NUM!</v>
      </c>
      <c r="M7" s="458" t="e">
        <f t="shared" si="2"/>
        <v>#NUM!</v>
      </c>
      <c r="N7" s="457" t="e">
        <f>_xll.qlIndexFixing($J7,$E7,TRUE,$L7)</f>
        <v>#NUM!</v>
      </c>
      <c r="O7" s="456">
        <f t="shared" si="3"/>
        <v>0</v>
      </c>
      <c r="P7" s="445"/>
      <c r="Q7" s="426"/>
      <c r="R7" s="426"/>
      <c r="S7" s="426"/>
      <c r="T7" s="426"/>
      <c r="U7" s="426"/>
      <c r="V7" s="426"/>
      <c r="W7" s="426"/>
      <c r="X7" s="426"/>
      <c r="Y7" s="426"/>
      <c r="Z7" s="426"/>
      <c r="AA7" s="426"/>
      <c r="AB7" s="426"/>
      <c r="AC7" s="426"/>
      <c r="AD7" s="426"/>
    </row>
    <row r="8" spans="1:30" x14ac:dyDescent="0.2">
      <c r="A8" s="426"/>
      <c r="B8" s="455"/>
      <c r="C8" s="463" t="s">
        <v>31</v>
      </c>
      <c r="D8" s="458" t="str">
        <f t="shared" si="0"/>
        <v>EUR2MFSR=</v>
      </c>
      <c r="E8" s="462">
        <v>41479</v>
      </c>
      <c r="F8" s="461">
        <v>0.11286</v>
      </c>
      <c r="G8" s="461" t="b">
        <f>IF(AND(ISNUMBER($F8),$F8&lt;&gt;0%,_xll.ohTrigger(Trigger)+1),TRUE,FALSE)</f>
        <v>1</v>
      </c>
      <c r="H8" s="460" t="e">
        <f>IF($G8,_xll.qlIndexAddFixings($J8,$E8,$F8/100,TRUE,ISERROR($K8)),NA())</f>
        <v>#NUM!</v>
      </c>
      <c r="I8" s="450"/>
      <c r="J8" s="459" t="str">
        <f t="shared" si="1"/>
        <v>EurLibor2M</v>
      </c>
      <c r="K8" s="458" t="e">
        <f>_xll.qlIndexFixing($J8,$E8,TRUE,$G8)</f>
        <v>#NUM!</v>
      </c>
      <c r="L8" s="458" t="e">
        <f>IF($H8,_xll.qlIndexFixing($J8,$E8,FALSE,$G8),"-")</f>
        <v>#NUM!</v>
      </c>
      <c r="M8" s="458" t="e">
        <f t="shared" si="2"/>
        <v>#NUM!</v>
      </c>
      <c r="N8" s="457" t="e">
        <f>_xll.qlIndexFixing($J8,$E8,TRUE,$L8)</f>
        <v>#NUM!</v>
      </c>
      <c r="O8" s="456">
        <f t="shared" si="3"/>
        <v>0</v>
      </c>
      <c r="P8" s="445"/>
      <c r="Q8" s="426"/>
      <c r="R8" s="426"/>
      <c r="S8" s="426"/>
      <c r="T8" s="426"/>
      <c r="U8" s="426"/>
      <c r="V8" s="426"/>
      <c r="W8" s="426"/>
      <c r="X8" s="426"/>
      <c r="Y8" s="426"/>
      <c r="Z8" s="426"/>
      <c r="AA8" s="426"/>
      <c r="AB8" s="426"/>
      <c r="AC8" s="426"/>
      <c r="AD8" s="426"/>
    </row>
    <row r="9" spans="1:30" x14ac:dyDescent="0.2">
      <c r="A9" s="426"/>
      <c r="B9" s="455"/>
      <c r="C9" s="463" t="s">
        <v>30</v>
      </c>
      <c r="D9" s="458" t="str">
        <f t="shared" si="0"/>
        <v>EUR3MFSR=</v>
      </c>
      <c r="E9" s="462">
        <v>41479</v>
      </c>
      <c r="F9" s="461">
        <v>0.15214</v>
      </c>
      <c r="G9" s="461" t="b">
        <f>IF(AND(ISNUMBER($F9),$F9&lt;&gt;0%,_xll.ohTrigger(Trigger)+1),TRUE,FALSE)</f>
        <v>1</v>
      </c>
      <c r="H9" s="460" t="e">
        <f>IF($G9,_xll.qlIndexAddFixings($J9,$E9,$F9/100,TRUE,ISERROR($K9)),NA())</f>
        <v>#NUM!</v>
      </c>
      <c r="I9" s="450"/>
      <c r="J9" s="459" t="str">
        <f t="shared" si="1"/>
        <v>EurLibor3M</v>
      </c>
      <c r="K9" s="458" t="e">
        <f>_xll.qlIndexFixing($J9,$E9,TRUE,$G9)</f>
        <v>#NUM!</v>
      </c>
      <c r="L9" s="458" t="e">
        <f>IF($H9,_xll.qlIndexFixing($J9,$E9,FALSE,$G9),"-")</f>
        <v>#NUM!</v>
      </c>
      <c r="M9" s="458" t="e">
        <f t="shared" si="2"/>
        <v>#NUM!</v>
      </c>
      <c r="N9" s="457" t="e">
        <f>_xll.qlIndexFixing($J9,$E9,TRUE,$L9)</f>
        <v>#NUM!</v>
      </c>
      <c r="O9" s="456">
        <f t="shared" si="3"/>
        <v>0</v>
      </c>
      <c r="P9" s="445"/>
      <c r="Q9" s="426"/>
      <c r="R9" s="426"/>
      <c r="S9" s="426"/>
      <c r="T9" s="426"/>
      <c r="U9" s="426"/>
      <c r="V9" s="426"/>
      <c r="W9" s="426"/>
      <c r="X9" s="426"/>
      <c r="Y9" s="426"/>
      <c r="Z9" s="426"/>
      <c r="AA9" s="426"/>
      <c r="AB9" s="426"/>
      <c r="AC9" s="426"/>
      <c r="AD9" s="426"/>
    </row>
    <row r="10" spans="1:30" x14ac:dyDescent="0.2">
      <c r="A10" s="426"/>
      <c r="B10" s="455"/>
      <c r="C10" s="463" t="s">
        <v>29</v>
      </c>
      <c r="D10" s="458" t="str">
        <f t="shared" si="0"/>
        <v>EUR4MFSR=</v>
      </c>
      <c r="E10" s="462">
        <v>41428</v>
      </c>
      <c r="F10" s="461">
        <v>0</v>
      </c>
      <c r="G10" s="461" t="b">
        <f>IF(AND(ISNUMBER($F10),$F10&lt;&gt;0%,_xll.ohTrigger(Trigger)+1),TRUE,FALSE)</f>
        <v>0</v>
      </c>
      <c r="H10" s="460" t="e">
        <f>IF($G10,_xll.qlIndexAddFixings($J10,$E10,$F10/100,TRUE,ISERROR($K10)),NA())</f>
        <v>#N/A</v>
      </c>
      <c r="I10" s="450"/>
      <c r="J10" s="459" t="str">
        <f t="shared" si="1"/>
        <v>EurLibor4M</v>
      </c>
      <c r="K10" s="458" t="e">
        <f>_xll.qlIndexFixing($J10,$E10,TRUE,$G10)</f>
        <v>#NUM!</v>
      </c>
      <c r="L10" s="458" t="e">
        <f>IF($H10,_xll.qlIndexFixing($J10,$E10,FALSE,$G10),"-")</f>
        <v>#N/A</v>
      </c>
      <c r="M10" s="458" t="e">
        <f t="shared" si="2"/>
        <v>#NUM!</v>
      </c>
      <c r="N10" s="457" t="e">
        <f>_xll.qlIndexFixing($J10,$E10,TRUE,$L10)</f>
        <v>#NUM!</v>
      </c>
      <c r="O10" s="456">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28</v>
      </c>
      <c r="D11" s="458" t="str">
        <f t="shared" si="0"/>
        <v>EUR5MFSR=</v>
      </c>
      <c r="E11" s="462">
        <v>41428</v>
      </c>
      <c r="F11" s="461">
        <v>0</v>
      </c>
      <c r="G11" s="461" t="b">
        <f>IF(AND(ISNUMBER($F11),$F11&lt;&gt;0%,_xll.ohTrigger(Trigger)+1),TRUE,FALSE)</f>
        <v>0</v>
      </c>
      <c r="H11" s="460" t="e">
        <f>IF($G11,_xll.qlIndexAddFixings($J11,$E11,$F11/100,TRUE,ISERROR($K11)),NA())</f>
        <v>#N/A</v>
      </c>
      <c r="I11" s="450"/>
      <c r="J11" s="459" t="str">
        <f t="shared" si="1"/>
        <v>EurLibor5M</v>
      </c>
      <c r="K11" s="458" t="e">
        <f>_xll.qlIndexFixing($J11,$E11,TRUE,$G11)</f>
        <v>#NUM!</v>
      </c>
      <c r="L11" s="458" t="e">
        <f>IF($H11,_xll.qlIndexFixing($J11,$E11,FALSE,$G11),"-")</f>
        <v>#N/A</v>
      </c>
      <c r="M11" s="458" t="e">
        <f t="shared" si="2"/>
        <v>#NUM!</v>
      </c>
      <c r="N11" s="457" t="e">
        <f>_xll.qlIndexFixing($J11,$E11,TRUE,$L11)</f>
        <v>#NUM!</v>
      </c>
      <c r="O11" s="456">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27</v>
      </c>
      <c r="D12" s="458" t="str">
        <f t="shared" si="0"/>
        <v>EUR6MFSR=</v>
      </c>
      <c r="E12" s="462">
        <v>41479</v>
      </c>
      <c r="F12" s="461">
        <v>0.26357000000000003</v>
      </c>
      <c r="G12" s="461" t="b">
        <f>IF(AND(ISNUMBER($F12),$F12&lt;&gt;0%,_xll.ohTrigger(Trigger)+1),TRUE,FALSE)</f>
        <v>1</v>
      </c>
      <c r="H12" s="460" t="e">
        <f>IF($G12,_xll.qlIndexAddFixings($J12,$E12,$F12/100,TRUE,ISERROR($K12)),NA())</f>
        <v>#NUM!</v>
      </c>
      <c r="I12" s="450"/>
      <c r="J12" s="459" t="str">
        <f t="shared" si="1"/>
        <v>EurLibor6M</v>
      </c>
      <c r="K12" s="458" t="e">
        <f>_xll.qlIndexFixing($J12,$E12,TRUE,$G12)</f>
        <v>#NUM!</v>
      </c>
      <c r="L12" s="458" t="e">
        <f>IF($H12,_xll.qlIndexFixing($J12,$E12,FALSE,$G12),"-")</f>
        <v>#NUM!</v>
      </c>
      <c r="M12" s="458" t="e">
        <f t="shared" si="2"/>
        <v>#NUM!</v>
      </c>
      <c r="N12" s="457" t="e">
        <f>_xll.qlIndexFixing($J12,$E12,TRUE,$L12)</f>
        <v>#NUM!</v>
      </c>
      <c r="O12" s="456">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26</v>
      </c>
      <c r="D13" s="458" t="str">
        <f t="shared" si="0"/>
        <v>EUR7MFSR=</v>
      </c>
      <c r="E13" s="462">
        <v>41428</v>
      </c>
      <c r="F13" s="461">
        <v>0</v>
      </c>
      <c r="G13" s="461" t="b">
        <f>IF(AND(ISNUMBER($F13),$F13&lt;&gt;0%,_xll.ohTrigger(Trigger)+1),TRUE,FALSE)</f>
        <v>0</v>
      </c>
      <c r="H13" s="460" t="e">
        <f>IF($G13,_xll.qlIndexAddFixings($J13,$E13,$F13/100,TRUE,ISERROR($K13)),NA())</f>
        <v>#N/A</v>
      </c>
      <c r="I13" s="450"/>
      <c r="J13" s="459" t="str">
        <f t="shared" si="1"/>
        <v>EurLibor7M</v>
      </c>
      <c r="K13" s="458" t="e">
        <f>_xll.qlIndexFixing($J13,$E13,TRUE,$G13)</f>
        <v>#NUM!</v>
      </c>
      <c r="L13" s="458" t="e">
        <f>IF($H13,_xll.qlIndexFixing($J13,$E13,FALSE,$G13),"-")</f>
        <v>#N/A</v>
      </c>
      <c r="M13" s="458" t="e">
        <f t="shared" si="2"/>
        <v>#NUM!</v>
      </c>
      <c r="N13" s="457" t="e">
        <f>_xll.qlIndexFixing($J13,$E13,TRUE,$L13)</f>
        <v>#NUM!</v>
      </c>
      <c r="O13" s="456">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25</v>
      </c>
      <c r="D14" s="458" t="str">
        <f t="shared" si="0"/>
        <v>EUR8MFSR=</v>
      </c>
      <c r="E14" s="462">
        <v>41428</v>
      </c>
      <c r="F14" s="461">
        <v>0</v>
      </c>
      <c r="G14" s="461" t="b">
        <f>IF(AND(ISNUMBER($F14),$F14&lt;&gt;0%,_xll.ohTrigger(Trigger)+1),TRUE,FALSE)</f>
        <v>0</v>
      </c>
      <c r="H14" s="460" t="e">
        <f>IF($G14,_xll.qlIndexAddFixings($J14,$E14,$F14/100,TRUE,ISERROR($K14)),NA())</f>
        <v>#N/A</v>
      </c>
      <c r="I14" s="450"/>
      <c r="J14" s="459" t="str">
        <f t="shared" si="1"/>
        <v>EurLibor8M</v>
      </c>
      <c r="K14" s="458" t="e">
        <f>_xll.qlIndexFixing($J14,$E14,TRUE,$G14)</f>
        <v>#NUM!</v>
      </c>
      <c r="L14" s="458" t="e">
        <f>IF($H14,_xll.qlIndexFixing($J14,$E14,FALSE,$G14),"-")</f>
        <v>#N/A</v>
      </c>
      <c r="M14" s="458" t="e">
        <f t="shared" si="2"/>
        <v>#NUM!</v>
      </c>
      <c r="N14" s="457" t="e">
        <f>_xll.qlIndexFixing($J14,$E14,TRUE,$L14)</f>
        <v>#NUM!</v>
      </c>
      <c r="O14" s="456">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24</v>
      </c>
      <c r="D15" s="458" t="str">
        <f t="shared" si="0"/>
        <v>EUR9MFSR=</v>
      </c>
      <c r="E15" s="462">
        <v>41428</v>
      </c>
      <c r="F15" s="461">
        <v>0</v>
      </c>
      <c r="G15" s="461" t="b">
        <f>IF(AND(ISNUMBER($F15),$F15&lt;&gt;0%,_xll.ohTrigger(Trigger)+1),TRUE,FALSE)</f>
        <v>0</v>
      </c>
      <c r="H15" s="460" t="e">
        <f>IF($G15,_xll.qlIndexAddFixings($J15,$E15,$F15/100,TRUE,ISERROR($K15)),NA())</f>
        <v>#N/A</v>
      </c>
      <c r="I15" s="450"/>
      <c r="J15" s="459" t="str">
        <f t="shared" si="1"/>
        <v>EurLibor9M</v>
      </c>
      <c r="K15" s="458" t="e">
        <f>_xll.qlIndexFixing($J15,$E15,TRUE,$G15)</f>
        <v>#NUM!</v>
      </c>
      <c r="L15" s="458" t="e">
        <f>IF($H15,_xll.qlIndexFixing($J15,$E15,FALSE,$G15),"-")</f>
        <v>#N/A</v>
      </c>
      <c r="M15" s="458" t="e">
        <f t="shared" si="2"/>
        <v>#NUM!</v>
      </c>
      <c r="N15" s="457" t="e">
        <f>_xll.qlIndexFixing($J15,$E15,TRUE,$L15)</f>
        <v>#NUM!</v>
      </c>
      <c r="O15" s="456">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23</v>
      </c>
      <c r="D16" s="458" t="str">
        <f t="shared" si="0"/>
        <v>EUR10MFSR=</v>
      </c>
      <c r="E16" s="462">
        <v>41428</v>
      </c>
      <c r="F16" s="461">
        <v>0</v>
      </c>
      <c r="G16" s="461" t="b">
        <f>IF(AND(ISNUMBER($F16),$F16&lt;&gt;0%,_xll.ohTrigger(Trigger)+1),TRUE,FALSE)</f>
        <v>0</v>
      </c>
      <c r="H16" s="460" t="e">
        <f>IF($G16,_xll.qlIndexAddFixings($J16,$E16,$F16/100,TRUE,ISERROR($K16)),NA())</f>
        <v>#N/A</v>
      </c>
      <c r="I16" s="450"/>
      <c r="J16" s="459" t="str">
        <f t="shared" si="1"/>
        <v>EurLibor10M</v>
      </c>
      <c r="K16" s="458" t="e">
        <f>_xll.qlIndexFixing($J16,$E16,TRUE,$G16)</f>
        <v>#NUM!</v>
      </c>
      <c r="L16" s="458" t="e">
        <f>IF($H16,_xll.qlIndexFixing($J16,$E16,FALSE,$G16),"-")</f>
        <v>#N/A</v>
      </c>
      <c r="M16" s="458" t="e">
        <f t="shared" si="2"/>
        <v>#NUM!</v>
      </c>
      <c r="N16" s="457" t="e">
        <f>_xll.qlIndexFixing($J16,$E16,TRUE,$L16)</f>
        <v>#NUM!</v>
      </c>
      <c r="O16" s="456">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22</v>
      </c>
      <c r="D17" s="458" t="str">
        <f t="shared" si="0"/>
        <v>EUR11MFSR=</v>
      </c>
      <c r="E17" s="462">
        <v>41428</v>
      </c>
      <c r="F17" s="461">
        <v>0</v>
      </c>
      <c r="G17" s="461" t="b">
        <f>IF(AND(ISNUMBER($F17),$F17&lt;&gt;0%,_xll.ohTrigger(Trigger)+1),TRUE,FALSE)</f>
        <v>0</v>
      </c>
      <c r="H17" s="460" t="e">
        <f>IF($G17,_xll.qlIndexAddFixings($J17,$E17,$F17/100,TRUE,ISERROR($K17)),NA())</f>
        <v>#N/A</v>
      </c>
      <c r="I17" s="450"/>
      <c r="J17" s="459" t="str">
        <f t="shared" si="1"/>
        <v>EurLibor11M</v>
      </c>
      <c r="K17" s="458" t="e">
        <f>_xll.qlIndexFixing($J17,$E17,TRUE,$G17)</f>
        <v>#NUM!</v>
      </c>
      <c r="L17" s="458" t="e">
        <f>IF($H17,_xll.qlIndexFixing($J17,$E17,FALSE,$G17),"-")</f>
        <v>#N/A</v>
      </c>
      <c r="M17" s="458" t="e">
        <f t="shared" si="2"/>
        <v>#NUM!</v>
      </c>
      <c r="N17" s="457" t="e">
        <f>_xll.qlIndexFixing($J17,$E17,TRUE,$L17)</f>
        <v>#NUM!</v>
      </c>
      <c r="O17" s="456">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21</v>
      </c>
      <c r="D18" s="448" t="str">
        <f t="shared" si="0"/>
        <v>EUR1YFSR=</v>
      </c>
      <c r="E18" s="453">
        <v>41479</v>
      </c>
      <c r="F18" s="452">
        <v>0.47143000000000002</v>
      </c>
      <c r="G18" s="452" t="b">
        <f>IF(AND(ISNUMBER($F18),$F18&lt;&gt;0%,_xll.ohTrigger(Trigger)+1),TRUE,FALSE)</f>
        <v>1</v>
      </c>
      <c r="H18" s="451" t="e">
        <f>IF($G18,_xll.qlIndexAddFixings($J18,$E18,$F18/100,TRUE,ISERROR($K18)),NA())</f>
        <v>#NUM!</v>
      </c>
      <c r="I18" s="450"/>
      <c r="J18" s="449" t="str">
        <f t="shared" si="1"/>
        <v>EurLibor1Y</v>
      </c>
      <c r="K18" s="448" t="e">
        <f>_xll.qlIndexFixing($J18,$E18,TRUE,$G18)</f>
        <v>#NUM!</v>
      </c>
      <c r="L18" s="448" t="e">
        <f>IF($H18,_xll.qlIndexFixing($J18,$E18,FALSE,$G18),"-")</f>
        <v>#NUM!</v>
      </c>
      <c r="M18" s="448" t="e">
        <f t="shared" si="2"/>
        <v>#NUM!</v>
      </c>
      <c r="N18" s="447" t="e">
        <f>_xll.qlIndexFixing($J18,$E18,TRUE,$L18)</f>
        <v>#NUM!</v>
      </c>
      <c r="O18" s="446">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1"/>
      <c r="D19" s="441"/>
      <c r="E19" s="443"/>
      <c r="F19" s="442"/>
      <c r="G19" s="442"/>
      <c r="H19" s="441"/>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228</v>
      </c>
      <c r="E21" s="435" t="s">
        <v>113</v>
      </c>
      <c r="F21" s="434"/>
    </row>
    <row r="22" spans="1:30" s="426" customFormat="1" x14ac:dyDescent="0.2">
      <c r="C22" s="432" t="s">
        <v>110</v>
      </c>
      <c r="D22" s="431" t="s">
        <v>228</v>
      </c>
      <c r="E22" s="430" t="s">
        <v>113</v>
      </c>
      <c r="J22" s="433"/>
    </row>
    <row r="23" spans="1:30" s="426" customFormat="1" x14ac:dyDescent="0.2">
      <c r="C23" s="432" t="s">
        <v>266</v>
      </c>
      <c r="D23" s="431" t="s">
        <v>228</v>
      </c>
      <c r="E23" s="430" t="s">
        <v>113</v>
      </c>
      <c r="J23" s="433"/>
    </row>
    <row r="24" spans="1:30" s="426" customFormat="1" x14ac:dyDescent="0.2">
      <c r="C24" s="432" t="s">
        <v>294</v>
      </c>
      <c r="D24" s="431" t="s">
        <v>228</v>
      </c>
      <c r="E24" s="430" t="s">
        <v>113</v>
      </c>
      <c r="J24" s="433"/>
    </row>
    <row r="25" spans="1:30" s="426" customFormat="1" x14ac:dyDescent="0.2">
      <c r="C25" s="432" t="s">
        <v>121</v>
      </c>
      <c r="D25" s="431" t="s">
        <v>228</v>
      </c>
      <c r="E25" s="430" t="s">
        <v>113</v>
      </c>
    </row>
    <row r="26" spans="1:30" s="426" customFormat="1" x14ac:dyDescent="0.2">
      <c r="C26" s="432" t="s">
        <v>120</v>
      </c>
      <c r="D26" s="431" t="s">
        <v>228</v>
      </c>
      <c r="E26" s="430" t="s">
        <v>113</v>
      </c>
    </row>
    <row r="27" spans="1:30" s="426" customFormat="1" ht="12" thickBot="1" x14ac:dyDescent="0.25">
      <c r="C27" s="429" t="s">
        <v>118</v>
      </c>
      <c r="D27" s="428" t="s">
        <v>228</v>
      </c>
      <c r="E27" s="427" t="s">
        <v>113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5" customWidth="1"/>
    <col min="3" max="3" width="5.7109375" style="425" bestFit="1" customWidth="1"/>
    <col min="4" max="4" width="12" style="425" bestFit="1" customWidth="1"/>
    <col min="5" max="5" width="16" style="425" bestFit="1" customWidth="1"/>
    <col min="6" max="6" width="9.85546875" style="425" customWidth="1"/>
    <col min="7" max="7" width="6" style="425" bestFit="1" customWidth="1"/>
    <col min="8" max="8" width="5.5703125" style="425" bestFit="1" customWidth="1"/>
    <col min="9" max="9" width="3.5703125" style="425" customWidth="1"/>
    <col min="10" max="10" width="19.8554687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SFIXA</v>
      </c>
      <c r="E2" s="474"/>
      <c r="F2" s="473"/>
      <c r="G2" s="473"/>
      <c r="H2" s="470"/>
      <c r="I2" s="470"/>
      <c r="J2" s="472" t="str">
        <f>VLOOKUP(Currency,Traits,3,FALSE)</f>
        <v>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EURSFIXA1Y=</v>
      </c>
      <c r="E4" s="484">
        <v>41479</v>
      </c>
      <c r="F4" s="483">
        <v>0.32400000000000001</v>
      </c>
      <c r="G4" s="461" t="b">
        <f>IF(AND(ISNUMBER($F4),$F4&lt;&gt;0%,_xll.ohTrigger(Trigger)+1),TRUE,FALSE)</f>
        <v>1</v>
      </c>
      <c r="H4" s="482" t="e">
        <f>IF($G4,_xll.qlIndexAddFixings($J4,$E4,$F4/100,TRUE,ISERROR($K4)),NA())</f>
        <v>#NUM!</v>
      </c>
      <c r="I4" s="450"/>
      <c r="J4" s="481" t="str">
        <f t="shared" ref="J4:J18" si="1">PROPER(Currency)&amp;$J$2&amp;$C4</f>
        <v>EuriborSwapIsdaFixA1Y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EURSFIXA2Y=</v>
      </c>
      <c r="E5" s="462">
        <v>41479</v>
      </c>
      <c r="F5" s="461">
        <v>0.56399999999999995</v>
      </c>
      <c r="G5" s="461" t="b">
        <f>IF(AND(ISNUMBER($F5),$F5&lt;&gt;0%,_xll.ohTrigger(Trigger)+1),TRUE,FALSE)</f>
        <v>1</v>
      </c>
      <c r="H5" s="460" t="e">
        <f>IF($G5,_xll.qlIndexAddFixings($J5,$E5,$F5/100,TRUE,ISERROR($K5)),NA())</f>
        <v>#NUM!</v>
      </c>
      <c r="I5" s="450"/>
      <c r="J5" s="459" t="str">
        <f t="shared" si="1"/>
        <v>EuriborSwapIsdaFixA2Y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EURSFIXA3Y=</v>
      </c>
      <c r="E6" s="462">
        <v>41479</v>
      </c>
      <c r="F6" s="461">
        <v>0.72199999999999998</v>
      </c>
      <c r="G6" s="461" t="b">
        <f>IF(AND(ISNUMBER($F6),$F6&lt;&gt;0%,_xll.ohTrigger(Trigger)+1),TRUE,FALSE)</f>
        <v>1</v>
      </c>
      <c r="H6" s="460" t="e">
        <f>IF($G6,_xll.qlIndexAddFixings($J6,$E6,$F6/100,TRUE,ISERROR($K6)),NA())</f>
        <v>#NUM!</v>
      </c>
      <c r="I6" s="450"/>
      <c r="J6" s="459" t="str">
        <f t="shared" si="1"/>
        <v>EuriborSwapIsdaFixA3Y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EURSFIXA4Y=</v>
      </c>
      <c r="E7" s="462">
        <v>41479</v>
      </c>
      <c r="F7" s="461">
        <v>0.92500000000000004</v>
      </c>
      <c r="G7" s="461" t="b">
        <f>IF(AND(ISNUMBER($F7),$F7&lt;&gt;0%,_xll.ohTrigger(Trigger)+1),TRUE,FALSE)</f>
        <v>1</v>
      </c>
      <c r="H7" s="460" t="e">
        <f>IF($G7,_xll.qlIndexAddFixings($J7,$E7,$F7/100,TRUE,ISERROR($K7)),NA())</f>
        <v>#NUM!</v>
      </c>
      <c r="I7" s="450"/>
      <c r="J7" s="459" t="str">
        <f t="shared" si="1"/>
        <v>EuriborSwapIsdaFixA4Y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EURSFIXA5Y=</v>
      </c>
      <c r="E8" s="462">
        <v>41479</v>
      </c>
      <c r="F8" s="461">
        <v>1.139</v>
      </c>
      <c r="G8" s="461" t="b">
        <f>IF(AND(ISNUMBER($F8),$F8&lt;&gt;0%,_xll.ohTrigger(Trigger)+1),TRUE,FALSE)</f>
        <v>1</v>
      </c>
      <c r="H8" s="460" t="e">
        <f>IF($G8,_xll.qlIndexAddFixings($J8,$E8,$F8/100,TRUE,ISERROR($K8)),NA())</f>
        <v>#NUM!</v>
      </c>
      <c r="I8" s="450"/>
      <c r="J8" s="459" t="str">
        <f t="shared" si="1"/>
        <v>EuriborSwapIsdaFixA5Y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EURSFIXA6Y=</v>
      </c>
      <c r="E9" s="462">
        <v>41479</v>
      </c>
      <c r="F9" s="461">
        <v>1.329</v>
      </c>
      <c r="G9" s="461" t="b">
        <f>IF(AND(ISNUMBER($F9),$F9&lt;&gt;0%,_xll.ohTrigger(Trigger)+1),TRUE,FALSE)</f>
        <v>1</v>
      </c>
      <c r="H9" s="460" t="e">
        <f>IF($G9,_xll.qlIndexAddFixings($J9,$E9,$F9/100,TRUE,ISERROR($K9)),NA())</f>
        <v>#NUM!</v>
      </c>
      <c r="I9" s="450"/>
      <c r="J9" s="459" t="str">
        <f t="shared" si="1"/>
        <v>EuriborSwapIsdaFixA6Y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EURSFIXA7Y=</v>
      </c>
      <c r="E10" s="462">
        <v>41479</v>
      </c>
      <c r="F10" s="461">
        <v>1.4990000000000001</v>
      </c>
      <c r="G10" s="461" t="b">
        <f>IF(AND(ISNUMBER($F10),$F10&lt;&gt;0%,_xll.ohTrigger(Trigger)+1),TRUE,FALSE)</f>
        <v>1</v>
      </c>
      <c r="H10" s="460" t="e">
        <f>IF($G10,_xll.qlIndexAddFixings($J10,$E10,$F10/100,TRUE,ISERROR($K10)),NA())</f>
        <v>#NUM!</v>
      </c>
      <c r="I10" s="450"/>
      <c r="J10" s="459" t="str">
        <f t="shared" si="1"/>
        <v>EuriborSwapIsdaFixA7Y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EURSFIXA8Y=</v>
      </c>
      <c r="E11" s="462">
        <v>41479</v>
      </c>
      <c r="F11" s="461">
        <v>1.6519999999999999</v>
      </c>
      <c r="G11" s="461" t="b">
        <f>IF(AND(ISNUMBER($F11),$F11&lt;&gt;0%,_xll.ohTrigger(Trigger)+1),TRUE,FALSE)</f>
        <v>1</v>
      </c>
      <c r="H11" s="460" t="e">
        <f>IF($G11,_xll.qlIndexAddFixings($J11,$E11,$F11/100,TRUE,ISERROR($K11)),NA())</f>
        <v>#NUM!</v>
      </c>
      <c r="I11" s="450"/>
      <c r="J11" s="459" t="str">
        <f t="shared" si="1"/>
        <v>EuriborSwapIsdaFixA8Y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EURSFIXA9Y=</v>
      </c>
      <c r="E12" s="462">
        <v>41479</v>
      </c>
      <c r="F12" s="461">
        <v>1.792</v>
      </c>
      <c r="G12" s="461" t="b">
        <f>IF(AND(ISNUMBER($F12),$F12&lt;&gt;0%,_xll.ohTrigger(Trigger)+1),TRUE,FALSE)</f>
        <v>1</v>
      </c>
      <c r="H12" s="460" t="e">
        <f>IF($G12,_xll.qlIndexAddFixings($J12,$E12,$F12/100,TRUE,ISERROR($K12)),NA())</f>
        <v>#NUM!</v>
      </c>
      <c r="I12" s="450"/>
      <c r="J12" s="459" t="str">
        <f t="shared" si="1"/>
        <v>EuriborSwapIsdaFixA9Y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EURSFIXA10Y=</v>
      </c>
      <c r="E13" s="462">
        <v>41479</v>
      </c>
      <c r="F13" s="461">
        <v>1.92</v>
      </c>
      <c r="G13" s="461" t="b">
        <f>IF(AND(ISNUMBER($F13),$F13&lt;&gt;0%,_xll.ohTrigger(Trigger)+1),TRUE,FALSE)</f>
        <v>1</v>
      </c>
      <c r="H13" s="460" t="e">
        <f>IF($G13,_xll.qlIndexAddFixings($J13,$E13,$F13/100,TRUE,ISERROR($K13)),NA())</f>
        <v>#NUM!</v>
      </c>
      <c r="I13" s="450"/>
      <c r="J13" s="459" t="str">
        <f t="shared" si="1"/>
        <v>EuriborSwapIsdaFixA10Y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EURSFIXA12Y=</v>
      </c>
      <c r="E14" s="462">
        <v>41479</v>
      </c>
      <c r="F14" s="461">
        <v>2.1269999999999998</v>
      </c>
      <c r="G14" s="461" t="b">
        <f>IF(AND(ISNUMBER($F14),$F14&lt;&gt;0%,_xll.ohTrigger(Trigger)+1),TRUE,FALSE)</f>
        <v>1</v>
      </c>
      <c r="H14" s="460" t="e">
        <f>IF($G14,_xll.qlIndexAddFixings($J14,$E14,$F14/100,TRUE,ISERROR($K14)),NA())</f>
        <v>#NUM!</v>
      </c>
      <c r="I14" s="450"/>
      <c r="J14" s="459" t="str">
        <f t="shared" si="1"/>
        <v>EuriborSwapIsdaFixA12Y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EURSFIXA15Y=</v>
      </c>
      <c r="E15" s="462">
        <v>41479</v>
      </c>
      <c r="F15" s="461">
        <v>2.3279999999999998</v>
      </c>
      <c r="G15" s="461" t="b">
        <f>IF(AND(ISNUMBER($F15),$F15&lt;&gt;0%,_xll.ohTrigger(Trigger)+1),TRUE,FALSE)</f>
        <v>1</v>
      </c>
      <c r="H15" s="460" t="e">
        <f>IF($G15,_xll.qlIndexAddFixings($J15,$E15,$F15/100,TRUE,ISERROR($K15)),NA())</f>
        <v>#NUM!</v>
      </c>
      <c r="I15" s="450"/>
      <c r="J15" s="459" t="str">
        <f t="shared" si="1"/>
        <v>EuriborSwapIsdaFixA15Y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EURSFIXA20Y=</v>
      </c>
      <c r="E16" s="462">
        <v>41479</v>
      </c>
      <c r="F16" s="461">
        <v>2.4420000000000002</v>
      </c>
      <c r="G16" s="461" t="b">
        <f>IF(AND(ISNUMBER($F16),$F16&lt;&gt;0%,_xll.ohTrigger(Trigger)+1),TRUE,FALSE)</f>
        <v>1</v>
      </c>
      <c r="H16" s="460" t="e">
        <f>IF($G16,_xll.qlIndexAddFixings($J16,$E16,$F16/100,TRUE,ISERROR($K16)),NA())</f>
        <v>#NUM!</v>
      </c>
      <c r="I16" s="450"/>
      <c r="J16" s="459" t="str">
        <f t="shared" si="1"/>
        <v>EuriborSwapIsdaFixA20Y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EURSFIXA25Y=</v>
      </c>
      <c r="E17" s="462">
        <v>41479</v>
      </c>
      <c r="F17" s="461">
        <v>2.4590000000000001</v>
      </c>
      <c r="G17" s="461" t="b">
        <f>IF(AND(ISNUMBER($F17),$F17&lt;&gt;0%,_xll.ohTrigger(Trigger)+1),TRUE,FALSE)</f>
        <v>1</v>
      </c>
      <c r="H17" s="460" t="e">
        <f>IF($G17,_xll.qlIndexAddFixings($J17,$E17,$F17/100,TRUE,ISERROR($K17)),NA())</f>
        <v>#NUM!</v>
      </c>
      <c r="I17" s="450"/>
      <c r="J17" s="459" t="str">
        <f t="shared" si="1"/>
        <v>EuriborSwapIsdaFixA25Y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EURSFIXA30Y=</v>
      </c>
      <c r="E18" s="453">
        <v>41479</v>
      </c>
      <c r="F18" s="452">
        <v>2.452</v>
      </c>
      <c r="G18" s="452" t="b">
        <f>IF(AND(ISNUMBER($F18),$F18&lt;&gt;0%,_xll.ohTrigger(Trigger)+1),TRUE,FALSE)</f>
        <v>1</v>
      </c>
      <c r="H18" s="451" t="e">
        <f>IF($G18,_xll.qlIndexAddFixings($J18,$E18,$F18/100,TRUE,ISERROR($K18)),NA())</f>
        <v>#NUM!</v>
      </c>
      <c r="I18" s="450"/>
      <c r="J18" s="449" t="str">
        <f t="shared" si="1"/>
        <v>EuriborSwapIsdaFixA30Y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304</v>
      </c>
      <c r="E21" s="435" t="s">
        <v>305</v>
      </c>
    </row>
    <row r="22" spans="1:30" s="426" customFormat="1" x14ac:dyDescent="0.2">
      <c r="C22" s="432" t="s">
        <v>110</v>
      </c>
      <c r="D22" s="431" t="s">
        <v>307</v>
      </c>
      <c r="E22" s="430" t="s">
        <v>306</v>
      </c>
    </row>
    <row r="23" spans="1:30" s="426" customFormat="1" x14ac:dyDescent="0.2">
      <c r="C23" s="432" t="s">
        <v>266</v>
      </c>
      <c r="D23" s="431" t="s">
        <v>304</v>
      </c>
      <c r="E23" s="430" t="s">
        <v>303</v>
      </c>
    </row>
    <row r="24" spans="1:30" s="426" customFormat="1" x14ac:dyDescent="0.2">
      <c r="C24" s="432" t="s">
        <v>294</v>
      </c>
      <c r="D24" s="431" t="s">
        <v>304</v>
      </c>
      <c r="E24" s="430" t="s">
        <v>305</v>
      </c>
    </row>
    <row r="25" spans="1:30" s="426" customFormat="1" x14ac:dyDescent="0.2">
      <c r="C25" s="432" t="s">
        <v>121</v>
      </c>
      <c r="D25" s="431" t="s">
        <v>304</v>
      </c>
      <c r="E25" s="430" t="s">
        <v>305</v>
      </c>
    </row>
    <row r="26" spans="1:30" s="426" customFormat="1" x14ac:dyDescent="0.2">
      <c r="C26" s="432" t="s">
        <v>120</v>
      </c>
      <c r="D26" s="431" t="s">
        <v>304</v>
      </c>
      <c r="E26" s="430" t="s">
        <v>303</v>
      </c>
    </row>
    <row r="27" spans="1:30" s="426" customFormat="1" ht="12" thickBot="1" x14ac:dyDescent="0.25">
      <c r="C27" s="429" t="s">
        <v>118</v>
      </c>
      <c r="D27" s="487" t="s">
        <v>304</v>
      </c>
      <c r="E27" s="486" t="s">
        <v>303</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5" customWidth="1"/>
    <col min="3" max="3" width="5.7109375" style="425" bestFit="1" customWidth="1"/>
    <col min="4" max="4" width="12.855468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6.140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SFIXLA</v>
      </c>
      <c r="E2" s="474"/>
      <c r="F2" s="473"/>
      <c r="G2" s="473"/>
      <c r="H2" s="470"/>
      <c r="I2" s="470"/>
      <c r="J2" s="472" t="str">
        <f>VLOOKUP(Currency,Traits,3,FALSE)</f>
        <v>LiborSwapIsdaFixA</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EURSFIXLA1Y=</v>
      </c>
      <c r="E4" s="484">
        <v>41479</v>
      </c>
      <c r="F4" s="483">
        <v>0.26200000000000001</v>
      </c>
      <c r="G4" s="461" t="b">
        <f>IF(AND(ISNUMBER($F4),$F4&lt;&gt;0%,_xll.ohTrigger(Trigger)+1),TRUE,FALSE)</f>
        <v>1</v>
      </c>
      <c r="H4" s="482" t="e">
        <f>IF($G4,_xll.qlIndexAddFixings($J4,$E4,$F4/100,TRUE,ISERROR($K4)),NA())</f>
        <v>#NUM!</v>
      </c>
      <c r="I4" s="450"/>
      <c r="J4" s="481" t="str">
        <f t="shared" ref="J4:J18" si="1">PROPER(Currency)&amp;$J$2&amp;$C4</f>
        <v>EurLiborSwapIsdaFixA1Y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EURSFIXLA2Y=</v>
      </c>
      <c r="E5" s="462">
        <v>41479</v>
      </c>
      <c r="F5" s="461">
        <v>0.504</v>
      </c>
      <c r="G5" s="461" t="b">
        <f>IF(AND(ISNUMBER($F5),$F5&lt;&gt;0%,_xll.ohTrigger(Trigger)+1),TRUE,FALSE)</f>
        <v>1</v>
      </c>
      <c r="H5" s="460" t="e">
        <f>IF($G5,_xll.qlIndexAddFixings($J5,$E5,$F5/100,TRUE,ISERROR($K5)),NA())</f>
        <v>#NUM!</v>
      </c>
      <c r="I5" s="450"/>
      <c r="J5" s="459" t="str">
        <f t="shared" si="1"/>
        <v>EurLiborSwapIsdaFixA2Y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EURSFIXLA3Y=</v>
      </c>
      <c r="E6" s="462">
        <v>41479</v>
      </c>
      <c r="F6" s="461">
        <v>0.66700000000000004</v>
      </c>
      <c r="G6" s="461" t="b">
        <f>IF(AND(ISNUMBER($F6),$F6&lt;&gt;0%,_xll.ohTrigger(Trigger)+1),TRUE,FALSE)</f>
        <v>1</v>
      </c>
      <c r="H6" s="460" t="e">
        <f>IF($G6,_xll.qlIndexAddFixings($J6,$E6,$F6/100,TRUE,ISERROR($K6)),NA())</f>
        <v>#NUM!</v>
      </c>
      <c r="I6" s="450"/>
      <c r="J6" s="459" t="str">
        <f t="shared" si="1"/>
        <v>EurLiborSwapIsdaFixA3Y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EURSFIXLA4Y=</v>
      </c>
      <c r="E7" s="462">
        <v>41479</v>
      </c>
      <c r="F7" s="461">
        <v>0.873</v>
      </c>
      <c r="G7" s="461" t="b">
        <f>IF(AND(ISNUMBER($F7),$F7&lt;&gt;0%,_xll.ohTrigger(Trigger)+1),TRUE,FALSE)</f>
        <v>1</v>
      </c>
      <c r="H7" s="460" t="e">
        <f>IF($G7,_xll.qlIndexAddFixings($J7,$E7,$F7/100,TRUE,ISERROR($K7)),NA())</f>
        <v>#NUM!</v>
      </c>
      <c r="I7" s="450"/>
      <c r="J7" s="459" t="str">
        <f t="shared" si="1"/>
        <v>EurLiborSwapIsdaFixA4Y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EURSFIXLA5Y=</v>
      </c>
      <c r="E8" s="462">
        <v>41479</v>
      </c>
      <c r="F8" s="461">
        <v>1.089</v>
      </c>
      <c r="G8" s="461" t="b">
        <f>IF(AND(ISNUMBER($F8),$F8&lt;&gt;0%,_xll.ohTrigger(Trigger)+1),TRUE,FALSE)</f>
        <v>1</v>
      </c>
      <c r="H8" s="460" t="e">
        <f>IF($G8,_xll.qlIndexAddFixings($J8,$E8,$F8/100,TRUE,ISERROR($K8)),NA())</f>
        <v>#NUM!</v>
      </c>
      <c r="I8" s="450"/>
      <c r="J8" s="459" t="str">
        <f t="shared" si="1"/>
        <v>EurLiborSwapIsdaFixA5Y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EURSFIXLA6Y=</v>
      </c>
      <c r="E9" s="462">
        <v>41479</v>
      </c>
      <c r="F9" s="461">
        <v>1.282</v>
      </c>
      <c r="G9" s="461" t="b">
        <f>IF(AND(ISNUMBER($F9),$F9&lt;&gt;0%,_xll.ohTrigger(Trigger)+1),TRUE,FALSE)</f>
        <v>1</v>
      </c>
      <c r="H9" s="460" t="e">
        <f>IF($G9,_xll.qlIndexAddFixings($J9,$E9,$F9/100,TRUE,ISERROR($K9)),NA())</f>
        <v>#NUM!</v>
      </c>
      <c r="I9" s="450"/>
      <c r="J9" s="459" t="str">
        <f t="shared" si="1"/>
        <v>EurLiborSwapIsdaFixA6Y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EURSFIXLA7Y=</v>
      </c>
      <c r="E10" s="462">
        <v>41479</v>
      </c>
      <c r="F10" s="461">
        <v>1.454</v>
      </c>
      <c r="G10" s="461" t="b">
        <f>IF(AND(ISNUMBER($F10),$F10&lt;&gt;0%,_xll.ohTrigger(Trigger)+1),TRUE,FALSE)</f>
        <v>1</v>
      </c>
      <c r="H10" s="460" t="e">
        <f>IF($G10,_xll.qlIndexAddFixings($J10,$E10,$F10/100,TRUE,ISERROR($K10)),NA())</f>
        <v>#NUM!</v>
      </c>
      <c r="I10" s="450"/>
      <c r="J10" s="459" t="str">
        <f t="shared" si="1"/>
        <v>EurLiborSwapIsdaFixA7Y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EURSFIXLA8Y=</v>
      </c>
      <c r="E11" s="462">
        <v>41479</v>
      </c>
      <c r="F11" s="461">
        <v>1.609</v>
      </c>
      <c r="G11" s="461" t="b">
        <f>IF(AND(ISNUMBER($F11),$F11&lt;&gt;0%,_xll.ohTrigger(Trigger)+1),TRUE,FALSE)</f>
        <v>1</v>
      </c>
      <c r="H11" s="460" t="e">
        <f>IF($G11,_xll.qlIndexAddFixings($J11,$E11,$F11/100,TRUE,ISERROR($K11)),NA())</f>
        <v>#NUM!</v>
      </c>
      <c r="I11" s="450"/>
      <c r="J11" s="459" t="str">
        <f t="shared" si="1"/>
        <v>EurLiborSwapIsdaFixA8Y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EURSFIXLA9Y=</v>
      </c>
      <c r="E12" s="462">
        <v>41479</v>
      </c>
      <c r="F12" s="461">
        <v>1.752</v>
      </c>
      <c r="G12" s="461" t="b">
        <f>IF(AND(ISNUMBER($F12),$F12&lt;&gt;0%,_xll.ohTrigger(Trigger)+1),TRUE,FALSE)</f>
        <v>1</v>
      </c>
      <c r="H12" s="460" t="e">
        <f>IF($G12,_xll.qlIndexAddFixings($J12,$E12,$F12/100,TRUE,ISERROR($K12)),NA())</f>
        <v>#NUM!</v>
      </c>
      <c r="I12" s="450"/>
      <c r="J12" s="459" t="str">
        <f t="shared" si="1"/>
        <v>EurLiborSwapIsdaFixA9Y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EURSFIXLA10Y=</v>
      </c>
      <c r="E13" s="462">
        <v>41479</v>
      </c>
      <c r="F13" s="461">
        <v>1.88</v>
      </c>
      <c r="G13" s="461" t="b">
        <f>IF(AND(ISNUMBER($F13),$F13&lt;&gt;0%,_xll.ohTrigger(Trigger)+1),TRUE,FALSE)</f>
        <v>1</v>
      </c>
      <c r="H13" s="460" t="e">
        <f>IF($G13,_xll.qlIndexAddFixings($J13,$E13,$F13/100,TRUE,ISERROR($K13)),NA())</f>
        <v>#NUM!</v>
      </c>
      <c r="I13" s="450"/>
      <c r="J13" s="459" t="str">
        <f t="shared" si="1"/>
        <v>EurLiborSwapIsdaFixA10Y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EURSFIXLA12Y=</v>
      </c>
      <c r="E14" s="462">
        <v>41479</v>
      </c>
      <c r="F14" s="461">
        <v>2.089</v>
      </c>
      <c r="G14" s="461" t="b">
        <f>IF(AND(ISNUMBER($F14),$F14&lt;&gt;0%,_xll.ohTrigger(Trigger)+1),TRUE,FALSE)</f>
        <v>1</v>
      </c>
      <c r="H14" s="460" t="e">
        <f>IF($G14,_xll.qlIndexAddFixings($J14,$E14,$F14/100,TRUE,ISERROR($K14)),NA())</f>
        <v>#NUM!</v>
      </c>
      <c r="I14" s="450"/>
      <c r="J14" s="459" t="str">
        <f t="shared" si="1"/>
        <v>EurLiborSwapIsdaFixA12Y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EURSFIXLA15Y=</v>
      </c>
      <c r="E15" s="462">
        <v>41479</v>
      </c>
      <c r="F15" s="461">
        <v>2.294</v>
      </c>
      <c r="G15" s="461" t="b">
        <f>IF(AND(ISNUMBER($F15),$F15&lt;&gt;0%,_xll.ohTrigger(Trigger)+1),TRUE,FALSE)</f>
        <v>1</v>
      </c>
      <c r="H15" s="460" t="e">
        <f>IF($G15,_xll.qlIndexAddFixings($J15,$E15,$F15/100,TRUE,ISERROR($K15)),NA())</f>
        <v>#NUM!</v>
      </c>
      <c r="I15" s="450"/>
      <c r="J15" s="459" t="str">
        <f t="shared" si="1"/>
        <v>EurLiborSwapIsdaFixA15Y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EURSFIXLA20Y=</v>
      </c>
      <c r="E16" s="462">
        <v>41479</v>
      </c>
      <c r="F16" s="461">
        <v>2.4129999999999998</v>
      </c>
      <c r="G16" s="461" t="b">
        <f>IF(AND(ISNUMBER($F16),$F16&lt;&gt;0%,_xll.ohTrigger(Trigger)+1),TRUE,FALSE)</f>
        <v>1</v>
      </c>
      <c r="H16" s="460" t="e">
        <f>IF($G16,_xll.qlIndexAddFixings($J16,$E16,$F16/100,TRUE,ISERROR($K16)),NA())</f>
        <v>#NUM!</v>
      </c>
      <c r="I16" s="450"/>
      <c r="J16" s="459" t="str">
        <f t="shared" si="1"/>
        <v>EurLiborSwapIsdaFixA20Y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EURSFIXLA25Y=</v>
      </c>
      <c r="E17" s="462">
        <v>41479</v>
      </c>
      <c r="F17" s="461">
        <v>2.431</v>
      </c>
      <c r="G17" s="461" t="b">
        <f>IF(AND(ISNUMBER($F17),$F17&lt;&gt;0%,_xll.ohTrigger(Trigger)+1),TRUE,FALSE)</f>
        <v>1</v>
      </c>
      <c r="H17" s="460" t="e">
        <f>IF($G17,_xll.qlIndexAddFixings($J17,$E17,$F17/100,TRUE,ISERROR($K17)),NA())</f>
        <v>#NUM!</v>
      </c>
      <c r="I17" s="450"/>
      <c r="J17" s="459" t="str">
        <f t="shared" si="1"/>
        <v>EurLiborSwapIsdaFixA25Y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EURSFIXLA30Y=</v>
      </c>
      <c r="E18" s="453">
        <v>41479</v>
      </c>
      <c r="F18" s="452">
        <v>2.4260000000000002</v>
      </c>
      <c r="G18" s="452" t="b">
        <f>IF(AND(ISNUMBER($F18),$F18&lt;&gt;0%,_xll.ohTrigger(Trigger)+1),TRUE,FALSE)</f>
        <v>1</v>
      </c>
      <c r="H18" s="451" t="e">
        <f>IF($G18,_xll.qlIndexAddFixings($J18,$E18,$F18/100,TRUE,ISERROR($K18)),NA())</f>
        <v>#NUM!</v>
      </c>
      <c r="I18" s="450"/>
      <c r="J18" s="449" t="str">
        <f t="shared" si="1"/>
        <v>EurLiborSwapIsdaFixA30Y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93" t="s">
        <v>207</v>
      </c>
      <c r="E21" s="492" t="s">
        <v>207</v>
      </c>
    </row>
    <row r="22" spans="1:30" s="426" customFormat="1" x14ac:dyDescent="0.2">
      <c r="C22" s="432" t="s">
        <v>110</v>
      </c>
      <c r="D22" s="431" t="s">
        <v>312</v>
      </c>
      <c r="E22" s="430" t="s">
        <v>311</v>
      </c>
    </row>
    <row r="23" spans="1:30" s="426" customFormat="1" x14ac:dyDescent="0.2">
      <c r="C23" s="432" t="s">
        <v>266</v>
      </c>
      <c r="D23" s="431" t="s">
        <v>310</v>
      </c>
      <c r="E23" s="430" t="s">
        <v>309</v>
      </c>
    </row>
    <row r="24" spans="1:30" s="426" customFormat="1" x14ac:dyDescent="0.2">
      <c r="C24" s="432" t="s">
        <v>294</v>
      </c>
      <c r="D24" s="491" t="s">
        <v>207</v>
      </c>
      <c r="E24" s="490" t="s">
        <v>207</v>
      </c>
    </row>
    <row r="25" spans="1:30" s="426" customFormat="1" x14ac:dyDescent="0.2">
      <c r="C25" s="432" t="s">
        <v>121</v>
      </c>
      <c r="D25" s="491" t="s">
        <v>207</v>
      </c>
      <c r="E25" s="490" t="s">
        <v>207</v>
      </c>
    </row>
    <row r="26" spans="1:30" s="426" customFormat="1" x14ac:dyDescent="0.2">
      <c r="C26" s="432" t="s">
        <v>120</v>
      </c>
      <c r="D26" s="431" t="s">
        <v>310</v>
      </c>
      <c r="E26" s="430" t="s">
        <v>309</v>
      </c>
    </row>
    <row r="27" spans="1:30" s="426" customFormat="1" ht="12" thickBot="1" x14ac:dyDescent="0.25">
      <c r="C27" s="429" t="s">
        <v>118</v>
      </c>
      <c r="D27" s="487" t="s">
        <v>310</v>
      </c>
      <c r="E27" s="486" t="s">
        <v>309</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5" customWidth="1"/>
    <col min="3" max="3" width="5.7109375" style="425" bestFit="1" customWidth="1"/>
    <col min="4" max="4" width="12.7109375" style="425" bestFit="1" customWidth="1"/>
    <col min="5" max="5" width="26.42578125" style="425" bestFit="1" customWidth="1"/>
    <col min="6" max="6" width="9.85546875" style="425" customWidth="1"/>
    <col min="7" max="7" width="6" style="425" bestFit="1" customWidth="1"/>
    <col min="8" max="8" width="5.5703125" style="425" bestFit="1" customWidth="1"/>
    <col min="9" max="9" width="3.5703125" style="425" customWidth="1"/>
    <col min="10" max="10" width="19.5703125" style="425" customWidth="1"/>
    <col min="11" max="11" width="11.42578125" style="425" bestFit="1" customWidth="1"/>
    <col min="12" max="12" width="8.7109375" style="425" bestFit="1" customWidth="1"/>
    <col min="13" max="13" width="7.7109375" style="425" bestFit="1" customWidth="1"/>
    <col min="14" max="14" width="10" style="425" bestFit="1" customWidth="1"/>
    <col min="15" max="15" width="7.140625" style="425" bestFit="1" customWidth="1"/>
    <col min="16" max="17" width="3.5703125" style="425" customWidth="1"/>
    <col min="18" max="18" width="4" style="425" bestFit="1" customWidth="1"/>
    <col min="19" max="19" width="5.28515625" style="425" bestFit="1" customWidth="1"/>
    <col min="20" max="20" width="16" style="425" bestFit="1" customWidth="1"/>
    <col min="21" max="16384" width="9.140625" style="425"/>
  </cols>
  <sheetData>
    <row r="1" spans="1:30" ht="12" thickBot="1" x14ac:dyDescent="0.25">
      <c r="A1" s="426" t="s">
        <v>317</v>
      </c>
      <c r="B1" s="426"/>
      <c r="C1" s="426"/>
      <c r="D1" s="431"/>
      <c r="E1" s="439"/>
      <c r="F1" s="477"/>
      <c r="G1" s="477"/>
      <c r="H1" s="426"/>
      <c r="I1" s="431"/>
      <c r="J1" s="426"/>
      <c r="K1" s="426"/>
      <c r="L1" s="426"/>
      <c r="M1" s="426"/>
      <c r="N1" s="426"/>
      <c r="O1" s="426"/>
      <c r="P1" s="426"/>
      <c r="Q1" s="426"/>
      <c r="R1" s="426"/>
      <c r="S1" s="426"/>
      <c r="T1" s="426"/>
      <c r="U1" s="426"/>
      <c r="V1" s="426"/>
      <c r="W1" s="426"/>
      <c r="X1" s="426"/>
      <c r="Y1" s="426"/>
      <c r="Z1" s="426"/>
      <c r="AA1" s="426"/>
      <c r="AB1" s="426"/>
      <c r="AC1" s="426"/>
      <c r="AD1" s="426"/>
    </row>
    <row r="2" spans="1:30" ht="19.5" x14ac:dyDescent="0.4">
      <c r="A2" s="426"/>
      <c r="B2" s="476"/>
      <c r="C2" s="470"/>
      <c r="D2" s="475" t="str">
        <f>VLOOKUP(Currency,Traits,2,FALSE)</f>
        <v>SFIXLB</v>
      </c>
      <c r="E2" s="474"/>
      <c r="F2" s="473"/>
      <c r="G2" s="473"/>
      <c r="H2" s="470"/>
      <c r="I2" s="470"/>
      <c r="J2" s="472" t="str">
        <f>VLOOKUP(Currency,Traits,3,FALSE)</f>
        <v>LiborSwapIsdaFixB</v>
      </c>
      <c r="K2" s="470"/>
      <c r="L2" s="470"/>
      <c r="M2" s="471">
        <f>MAX(O4:O19)</f>
        <v>0</v>
      </c>
      <c r="N2" s="470"/>
      <c r="O2" s="470"/>
      <c r="P2" s="469"/>
      <c r="Q2" s="426"/>
      <c r="R2" s="426"/>
      <c r="S2" s="426"/>
      <c r="T2" s="426"/>
      <c r="U2" s="426"/>
      <c r="V2" s="426"/>
      <c r="W2" s="426"/>
      <c r="X2" s="426"/>
      <c r="Y2" s="426"/>
      <c r="Z2" s="426"/>
      <c r="AA2" s="426"/>
      <c r="AB2" s="426"/>
      <c r="AC2" s="426"/>
      <c r="AD2" s="426"/>
    </row>
    <row r="3" spans="1:30" ht="22.5" x14ac:dyDescent="0.2">
      <c r="A3" s="426"/>
      <c r="B3" s="455"/>
      <c r="C3" s="467" t="s">
        <v>39</v>
      </c>
      <c r="D3" s="466" t="e">
        <f ca="1">_xll.RData(D4:D18,E3:F3,,,,E4)</f>
        <v>#NAME?</v>
      </c>
      <c r="E3" s="466" t="s">
        <v>301</v>
      </c>
      <c r="F3" s="466" t="s">
        <v>308</v>
      </c>
      <c r="G3" s="466" t="s">
        <v>300</v>
      </c>
      <c r="H3" s="465" t="s">
        <v>299</v>
      </c>
      <c r="I3" s="468"/>
      <c r="J3" s="467" t="s">
        <v>238</v>
      </c>
      <c r="K3" s="466" t="s">
        <v>298</v>
      </c>
      <c r="L3" s="466" t="s">
        <v>297</v>
      </c>
      <c r="M3" s="466" t="s">
        <v>296</v>
      </c>
      <c r="N3" s="465" t="s">
        <v>295</v>
      </c>
      <c r="O3" s="464" t="s">
        <v>315</v>
      </c>
      <c r="P3" s="445"/>
      <c r="Q3" s="426"/>
      <c r="R3" s="426"/>
      <c r="S3" s="426"/>
      <c r="T3" s="426"/>
      <c r="U3" s="426"/>
      <c r="V3" s="426"/>
      <c r="W3" s="426"/>
      <c r="X3" s="426"/>
      <c r="Y3" s="426"/>
      <c r="Z3" s="426"/>
      <c r="AA3" s="426"/>
      <c r="AB3" s="426"/>
      <c r="AC3" s="426"/>
      <c r="AD3" s="426"/>
    </row>
    <row r="4" spans="1:30" x14ac:dyDescent="0.2">
      <c r="A4" s="426"/>
      <c r="B4" s="455"/>
      <c r="C4" s="485" t="s">
        <v>21</v>
      </c>
      <c r="D4" s="480" t="str">
        <f t="shared" ref="D4:D18" si="0">Currency&amp;$D$2&amp;$C4&amp;"="</f>
        <v>EURSFIXLB1Y=</v>
      </c>
      <c r="E4" s="484">
        <v>41479</v>
      </c>
      <c r="F4" s="483">
        <v>0.26400000000000001</v>
      </c>
      <c r="G4" s="461" t="b">
        <f>IF(AND(ISNUMBER($F4),$F4&lt;&gt;0%,_xll.ohTrigger(Trigger)+1),TRUE,FALSE)</f>
        <v>1</v>
      </c>
      <c r="H4" s="482" t="e">
        <f>IF($G4,_xll.qlIndexAddFixings($J4,$E4,$F4/100,TRUE,ISERROR($K4)),NA())</f>
        <v>#NUM!</v>
      </c>
      <c r="I4" s="450"/>
      <c r="J4" s="481" t="str">
        <f t="shared" ref="J4:J18" si="1">PROPER(Currency)&amp;$J$2&amp;$C4</f>
        <v>EurLiborSwapIsdaFixB1Y</v>
      </c>
      <c r="K4" s="480" t="e">
        <f>_xll.qlIndexFixing($J4,$E4,TRUE,$G4)</f>
        <v>#NUM!</v>
      </c>
      <c r="L4" s="480" t="e">
        <f>IF($H4,_xll.qlIndexFixing($J4,$E4,FALSE,$G4),"-")</f>
        <v>#NUM!</v>
      </c>
      <c r="M4" s="480" t="e">
        <f t="shared" ref="M4:M18" si="2">K4-L4</f>
        <v>#NUM!</v>
      </c>
      <c r="N4" s="479" t="e">
        <f>_xll.qlIndexFixing($J4,$E4,TRUE,$L4)</f>
        <v>#NUM!</v>
      </c>
      <c r="O4" s="489">
        <f t="shared" ref="O4:O18" si="3">IF(ISERROR(M4),0,ABS(M4))</f>
        <v>0</v>
      </c>
      <c r="P4" s="445"/>
      <c r="Q4" s="426"/>
      <c r="R4" s="426"/>
      <c r="S4" s="426"/>
      <c r="T4" s="426"/>
      <c r="U4" s="426"/>
      <c r="V4" s="426"/>
      <c r="W4" s="426"/>
      <c r="X4" s="426"/>
      <c r="Y4" s="426"/>
      <c r="Z4" s="426"/>
      <c r="AA4" s="426"/>
      <c r="AB4" s="426"/>
      <c r="AC4" s="426"/>
      <c r="AD4" s="426"/>
    </row>
    <row r="5" spans="1:30" x14ac:dyDescent="0.2">
      <c r="A5" s="426"/>
      <c r="B5" s="455"/>
      <c r="C5" s="463" t="s">
        <v>102</v>
      </c>
      <c r="D5" s="458" t="str">
        <f t="shared" si="0"/>
        <v>EURSFIXLB2Y=</v>
      </c>
      <c r="E5" s="462">
        <v>41479</v>
      </c>
      <c r="F5" s="461">
        <v>0.51100000000000001</v>
      </c>
      <c r="G5" s="461" t="b">
        <f>IF(AND(ISNUMBER($F5),$F5&lt;&gt;0%,_xll.ohTrigger(Trigger)+1),TRUE,FALSE)</f>
        <v>1</v>
      </c>
      <c r="H5" s="460" t="e">
        <f>IF($G5,_xll.qlIndexAddFixings($J5,$E5,$F5/100,TRUE,ISERROR($K5)),NA())</f>
        <v>#NUM!</v>
      </c>
      <c r="I5" s="450"/>
      <c r="J5" s="459" t="str">
        <f t="shared" si="1"/>
        <v>EurLiborSwapIsdaFixB2Y</v>
      </c>
      <c r="K5" s="458" t="e">
        <f>_xll.qlIndexFixing($J5,$E5,TRUE,$G5)</f>
        <v>#NUM!</v>
      </c>
      <c r="L5" s="458" t="e">
        <f>IF($H5,_xll.qlIndexFixing($J5,$E5,FALSE,$G5),"-")</f>
        <v>#NUM!</v>
      </c>
      <c r="M5" s="458" t="e">
        <f t="shared" si="2"/>
        <v>#NUM!</v>
      </c>
      <c r="N5" s="457" t="e">
        <f>_xll.qlIndexFixing($J5,$E5,TRUE,$L5)</f>
        <v>#NUM!</v>
      </c>
      <c r="O5" s="489">
        <f t="shared" si="3"/>
        <v>0</v>
      </c>
      <c r="P5" s="445"/>
      <c r="Q5" s="426"/>
      <c r="R5" s="426"/>
      <c r="S5" s="426"/>
      <c r="T5" s="426"/>
      <c r="U5" s="426"/>
      <c r="V5" s="426"/>
      <c r="W5" s="426"/>
      <c r="X5" s="426"/>
      <c r="Y5" s="426"/>
      <c r="Z5" s="426"/>
      <c r="AA5" s="426"/>
      <c r="AB5" s="426"/>
      <c r="AC5" s="426"/>
      <c r="AD5" s="426"/>
    </row>
    <row r="6" spans="1:30" x14ac:dyDescent="0.2">
      <c r="A6" s="426"/>
      <c r="B6" s="455"/>
      <c r="C6" s="463" t="s">
        <v>101</v>
      </c>
      <c r="D6" s="458" t="str">
        <f t="shared" si="0"/>
        <v>EURSFIXLB3Y=</v>
      </c>
      <c r="E6" s="462">
        <v>41479</v>
      </c>
      <c r="F6" s="461">
        <v>0.67600000000000005</v>
      </c>
      <c r="G6" s="461" t="b">
        <f>IF(AND(ISNUMBER($F6),$F6&lt;&gt;0%,_xll.ohTrigger(Trigger)+1),TRUE,FALSE)</f>
        <v>1</v>
      </c>
      <c r="H6" s="460" t="e">
        <f>IF($G6,_xll.qlIndexAddFixings($J6,$E6,$F6/100,TRUE,ISERROR($K6)),NA())</f>
        <v>#NUM!</v>
      </c>
      <c r="I6" s="450"/>
      <c r="J6" s="459" t="str">
        <f t="shared" si="1"/>
        <v>EurLiborSwapIsdaFixB3Y</v>
      </c>
      <c r="K6" s="458" t="e">
        <f>_xll.qlIndexFixing($J6,$E6,TRUE,$G6)</f>
        <v>#NUM!</v>
      </c>
      <c r="L6" s="458" t="e">
        <f>IF($H6,_xll.qlIndexFixing($J6,$E6,FALSE,$G6),"-")</f>
        <v>#NUM!</v>
      </c>
      <c r="M6" s="458" t="e">
        <f t="shared" si="2"/>
        <v>#NUM!</v>
      </c>
      <c r="N6" s="457" t="e">
        <f>_xll.qlIndexFixing($J6,$E6,TRUE,$L6)</f>
        <v>#NUM!</v>
      </c>
      <c r="O6" s="489">
        <f t="shared" si="3"/>
        <v>0</v>
      </c>
      <c r="P6" s="445"/>
      <c r="Q6" s="426"/>
      <c r="R6" s="426"/>
      <c r="S6" s="426"/>
      <c r="T6" s="426"/>
      <c r="U6" s="426"/>
      <c r="V6" s="426"/>
      <c r="W6" s="426"/>
      <c r="X6" s="426"/>
      <c r="Y6" s="426"/>
      <c r="Z6" s="426"/>
      <c r="AA6" s="426"/>
      <c r="AB6" s="426"/>
      <c r="AC6" s="426"/>
      <c r="AD6" s="426"/>
    </row>
    <row r="7" spans="1:30" x14ac:dyDescent="0.2">
      <c r="A7" s="426"/>
      <c r="B7" s="455"/>
      <c r="C7" s="463" t="s">
        <v>100</v>
      </c>
      <c r="D7" s="458" t="str">
        <f t="shared" si="0"/>
        <v>EURSFIXLB4Y=</v>
      </c>
      <c r="E7" s="462">
        <v>41479</v>
      </c>
      <c r="F7" s="461">
        <v>0.88500000000000001</v>
      </c>
      <c r="G7" s="461" t="b">
        <f>IF(AND(ISNUMBER($F7),$F7&lt;&gt;0%,_xll.ohTrigger(Trigger)+1),TRUE,FALSE)</f>
        <v>1</v>
      </c>
      <c r="H7" s="460" t="e">
        <f>IF($G7,_xll.qlIndexAddFixings($J7,$E7,$F7/100,TRUE,ISERROR($K7)),NA())</f>
        <v>#NUM!</v>
      </c>
      <c r="I7" s="450"/>
      <c r="J7" s="459" t="str">
        <f t="shared" si="1"/>
        <v>EurLiborSwapIsdaFixB4Y</v>
      </c>
      <c r="K7" s="458" t="e">
        <f>_xll.qlIndexFixing($J7,$E7,TRUE,$G7)</f>
        <v>#NUM!</v>
      </c>
      <c r="L7" s="458" t="e">
        <f>IF($H7,_xll.qlIndexFixing($J7,$E7,FALSE,$G7),"-")</f>
        <v>#NUM!</v>
      </c>
      <c r="M7" s="458" t="e">
        <f t="shared" si="2"/>
        <v>#NUM!</v>
      </c>
      <c r="N7" s="457" t="e">
        <f>_xll.qlIndexFixing($J7,$E7,TRUE,$L7)</f>
        <v>#NUM!</v>
      </c>
      <c r="O7" s="489">
        <f t="shared" si="3"/>
        <v>0</v>
      </c>
      <c r="P7" s="445"/>
      <c r="Q7" s="426"/>
      <c r="R7" s="426"/>
      <c r="S7" s="426"/>
      <c r="T7" s="426"/>
      <c r="U7" s="426"/>
      <c r="V7" s="426"/>
      <c r="W7" s="426"/>
      <c r="X7" s="426"/>
      <c r="Y7" s="426"/>
      <c r="Z7" s="426"/>
      <c r="AA7" s="426"/>
      <c r="AB7" s="426"/>
      <c r="AC7" s="426"/>
      <c r="AD7" s="426"/>
    </row>
    <row r="8" spans="1:30" x14ac:dyDescent="0.2">
      <c r="A8" s="426"/>
      <c r="B8" s="455"/>
      <c r="C8" s="463" t="s">
        <v>99</v>
      </c>
      <c r="D8" s="458" t="str">
        <f t="shared" si="0"/>
        <v>EURSFIXLB5Y=</v>
      </c>
      <c r="E8" s="462">
        <v>41479</v>
      </c>
      <c r="F8" s="461">
        <v>1.1020000000000001</v>
      </c>
      <c r="G8" s="461" t="b">
        <f>IF(AND(ISNUMBER($F8),$F8&lt;&gt;0%,_xll.ohTrigger(Trigger)+1),TRUE,FALSE)</f>
        <v>1</v>
      </c>
      <c r="H8" s="460" t="e">
        <f>IF($G8,_xll.qlIndexAddFixings($J8,$E8,$F8/100,TRUE,ISERROR($K8)),NA())</f>
        <v>#NUM!</v>
      </c>
      <c r="I8" s="450"/>
      <c r="J8" s="459" t="str">
        <f t="shared" si="1"/>
        <v>EurLiborSwapIsdaFixB5Y</v>
      </c>
      <c r="K8" s="458" t="e">
        <f>_xll.qlIndexFixing($J8,$E8,TRUE,$G8)</f>
        <v>#NUM!</v>
      </c>
      <c r="L8" s="458" t="e">
        <f>IF($H8,_xll.qlIndexFixing($J8,$E8,FALSE,$G8),"-")</f>
        <v>#NUM!</v>
      </c>
      <c r="M8" s="458" t="e">
        <f t="shared" si="2"/>
        <v>#NUM!</v>
      </c>
      <c r="N8" s="457" t="e">
        <f>_xll.qlIndexFixing($J8,$E8,TRUE,$L8)</f>
        <v>#NUM!</v>
      </c>
      <c r="O8" s="489">
        <f t="shared" si="3"/>
        <v>0</v>
      </c>
      <c r="P8" s="445"/>
      <c r="Q8" s="426"/>
      <c r="R8" s="426"/>
      <c r="S8" s="426"/>
      <c r="T8" s="426"/>
      <c r="U8" s="426"/>
      <c r="V8" s="426"/>
      <c r="W8" s="426"/>
      <c r="X8" s="426"/>
      <c r="Y8" s="426"/>
      <c r="Z8" s="426"/>
      <c r="AA8" s="426"/>
      <c r="AB8" s="426"/>
      <c r="AC8" s="426"/>
      <c r="AD8" s="426"/>
    </row>
    <row r="9" spans="1:30" x14ac:dyDescent="0.2">
      <c r="A9" s="426"/>
      <c r="B9" s="455"/>
      <c r="C9" s="463" t="s">
        <v>98</v>
      </c>
      <c r="D9" s="458" t="str">
        <f t="shared" si="0"/>
        <v>EURSFIXLB6Y=</v>
      </c>
      <c r="E9" s="462">
        <v>41479</v>
      </c>
      <c r="F9" s="461">
        <v>1.2949999999999999</v>
      </c>
      <c r="G9" s="461" t="b">
        <f>IF(AND(ISNUMBER($F9),$F9&lt;&gt;0%,_xll.ohTrigger(Trigger)+1),TRUE,FALSE)</f>
        <v>1</v>
      </c>
      <c r="H9" s="460" t="e">
        <f>IF($G9,_xll.qlIndexAddFixings($J9,$E9,$F9/100,TRUE,ISERROR($K9)),NA())</f>
        <v>#NUM!</v>
      </c>
      <c r="I9" s="450"/>
      <c r="J9" s="459" t="str">
        <f t="shared" si="1"/>
        <v>EurLiborSwapIsdaFixB6Y</v>
      </c>
      <c r="K9" s="458" t="e">
        <f>_xll.qlIndexFixing($J9,$E9,TRUE,$G9)</f>
        <v>#NUM!</v>
      </c>
      <c r="L9" s="458" t="e">
        <f>IF($H9,_xll.qlIndexFixing($J9,$E9,FALSE,$G9),"-")</f>
        <v>#NUM!</v>
      </c>
      <c r="M9" s="458" t="e">
        <f t="shared" si="2"/>
        <v>#NUM!</v>
      </c>
      <c r="N9" s="457" t="e">
        <f>_xll.qlIndexFixing($J9,$E9,TRUE,$L9)</f>
        <v>#NUM!</v>
      </c>
      <c r="O9" s="489">
        <f t="shared" si="3"/>
        <v>0</v>
      </c>
      <c r="P9" s="445"/>
      <c r="Q9" s="426"/>
      <c r="R9" s="426"/>
      <c r="S9" s="426"/>
      <c r="T9" s="426"/>
      <c r="U9" s="426"/>
      <c r="V9" s="426"/>
      <c r="W9" s="426"/>
      <c r="X9" s="426"/>
      <c r="Y9" s="426"/>
      <c r="Z9" s="426"/>
      <c r="AA9" s="426"/>
      <c r="AB9" s="426"/>
      <c r="AC9" s="426"/>
      <c r="AD9" s="426"/>
    </row>
    <row r="10" spans="1:30" x14ac:dyDescent="0.2">
      <c r="A10" s="426"/>
      <c r="B10" s="455"/>
      <c r="C10" s="463" t="s">
        <v>97</v>
      </c>
      <c r="D10" s="458" t="str">
        <f t="shared" si="0"/>
        <v>EURSFIXLB7Y=</v>
      </c>
      <c r="E10" s="462">
        <v>41479</v>
      </c>
      <c r="F10" s="461">
        <v>1.4670000000000001</v>
      </c>
      <c r="G10" s="461" t="b">
        <f>IF(AND(ISNUMBER($F10),$F10&lt;&gt;0%,_xll.ohTrigger(Trigger)+1),TRUE,FALSE)</f>
        <v>1</v>
      </c>
      <c r="H10" s="460" t="e">
        <f>IF($G10,_xll.qlIndexAddFixings($J10,$E10,$F10/100,TRUE,ISERROR($K10)),NA())</f>
        <v>#NUM!</v>
      </c>
      <c r="I10" s="450"/>
      <c r="J10" s="459" t="str">
        <f t="shared" si="1"/>
        <v>EurLiborSwapIsdaFixB7Y</v>
      </c>
      <c r="K10" s="458" t="e">
        <f>_xll.qlIndexFixing($J10,$E10,TRUE,$G10)</f>
        <v>#NUM!</v>
      </c>
      <c r="L10" s="458" t="e">
        <f>IF($H10,_xll.qlIndexFixing($J10,$E10,FALSE,$G10),"-")</f>
        <v>#NUM!</v>
      </c>
      <c r="M10" s="458" t="e">
        <f t="shared" si="2"/>
        <v>#NUM!</v>
      </c>
      <c r="N10" s="457" t="e">
        <f>_xll.qlIndexFixing($J10,$E10,TRUE,$L10)</f>
        <v>#NUM!</v>
      </c>
      <c r="O10" s="489">
        <f t="shared" si="3"/>
        <v>0</v>
      </c>
      <c r="P10" s="445"/>
      <c r="Q10" s="426"/>
      <c r="R10" s="426"/>
      <c r="S10" s="426"/>
      <c r="T10" s="426"/>
      <c r="U10" s="426"/>
      <c r="V10" s="426"/>
      <c r="W10" s="426"/>
      <c r="X10" s="426"/>
      <c r="Y10" s="426"/>
      <c r="Z10" s="426"/>
      <c r="AA10" s="426"/>
      <c r="AB10" s="426"/>
      <c r="AC10" s="426"/>
      <c r="AD10" s="426"/>
    </row>
    <row r="11" spans="1:30" x14ac:dyDescent="0.2">
      <c r="A11" s="426"/>
      <c r="B11" s="455"/>
      <c r="C11" s="463" t="s">
        <v>96</v>
      </c>
      <c r="D11" s="458" t="str">
        <f t="shared" si="0"/>
        <v>EURSFIXLB8Y=</v>
      </c>
      <c r="E11" s="462">
        <v>41479</v>
      </c>
      <c r="F11" s="461">
        <v>1.623</v>
      </c>
      <c r="G11" s="461" t="b">
        <f>IF(AND(ISNUMBER($F11),$F11&lt;&gt;0%,_xll.ohTrigger(Trigger)+1),TRUE,FALSE)</f>
        <v>1</v>
      </c>
      <c r="H11" s="460" t="e">
        <f>IF($G11,_xll.qlIndexAddFixings($J11,$E11,$F11/100,TRUE,ISERROR($K11)),NA())</f>
        <v>#NUM!</v>
      </c>
      <c r="I11" s="450"/>
      <c r="J11" s="459" t="str">
        <f t="shared" si="1"/>
        <v>EurLiborSwapIsdaFixB8Y</v>
      </c>
      <c r="K11" s="458" t="e">
        <f>_xll.qlIndexFixing($J11,$E11,TRUE,$G11)</f>
        <v>#NUM!</v>
      </c>
      <c r="L11" s="458" t="e">
        <f>IF($H11,_xll.qlIndexFixing($J11,$E11,FALSE,$G11),"-")</f>
        <v>#NUM!</v>
      </c>
      <c r="M11" s="458" t="e">
        <f t="shared" si="2"/>
        <v>#NUM!</v>
      </c>
      <c r="N11" s="457" t="e">
        <f>_xll.qlIndexFixing($J11,$E11,TRUE,$L11)</f>
        <v>#NUM!</v>
      </c>
      <c r="O11" s="489">
        <f t="shared" si="3"/>
        <v>0</v>
      </c>
      <c r="P11" s="445"/>
      <c r="Q11" s="426"/>
      <c r="R11" s="426"/>
      <c r="S11" s="426"/>
      <c r="T11" s="426"/>
      <c r="U11" s="426"/>
      <c r="V11" s="426"/>
      <c r="W11" s="426"/>
      <c r="X11" s="426"/>
      <c r="Y11" s="426"/>
      <c r="Z11" s="426"/>
      <c r="AA11" s="426"/>
      <c r="AB11" s="426"/>
      <c r="AC11" s="426"/>
      <c r="AD11" s="426"/>
    </row>
    <row r="12" spans="1:30" x14ac:dyDescent="0.2">
      <c r="A12" s="426"/>
      <c r="B12" s="455"/>
      <c r="C12" s="463" t="s">
        <v>95</v>
      </c>
      <c r="D12" s="458" t="str">
        <f t="shared" si="0"/>
        <v>EURSFIXLB9Y=</v>
      </c>
      <c r="E12" s="462">
        <v>41479</v>
      </c>
      <c r="F12" s="461">
        <v>1.7649999999999999</v>
      </c>
      <c r="G12" s="461" t="b">
        <f>IF(AND(ISNUMBER($F12),$F12&lt;&gt;0%,_xll.ohTrigger(Trigger)+1),TRUE,FALSE)</f>
        <v>1</v>
      </c>
      <c r="H12" s="460" t="e">
        <f>IF($G12,_xll.qlIndexAddFixings($J12,$E12,$F12/100,TRUE,ISERROR($K12)),NA())</f>
        <v>#NUM!</v>
      </c>
      <c r="I12" s="450"/>
      <c r="J12" s="459" t="str">
        <f t="shared" si="1"/>
        <v>EurLiborSwapIsdaFixB9Y</v>
      </c>
      <c r="K12" s="458" t="e">
        <f>_xll.qlIndexFixing($J12,$E12,TRUE,$G12)</f>
        <v>#NUM!</v>
      </c>
      <c r="L12" s="458" t="e">
        <f>IF($H12,_xll.qlIndexFixing($J12,$E12,FALSE,$G12),"-")</f>
        <v>#NUM!</v>
      </c>
      <c r="M12" s="458" t="e">
        <f t="shared" si="2"/>
        <v>#NUM!</v>
      </c>
      <c r="N12" s="457" t="e">
        <f>_xll.qlIndexFixing($J12,$E12,TRUE,$L12)</f>
        <v>#NUM!</v>
      </c>
      <c r="O12" s="489">
        <f t="shared" si="3"/>
        <v>0</v>
      </c>
      <c r="P12" s="445"/>
      <c r="Q12" s="426"/>
      <c r="R12" s="426"/>
      <c r="S12" s="426"/>
      <c r="T12" s="426"/>
      <c r="U12" s="426"/>
      <c r="V12" s="426"/>
      <c r="W12" s="426"/>
      <c r="X12" s="426"/>
      <c r="Y12" s="426"/>
      <c r="Z12" s="426"/>
      <c r="AA12" s="426"/>
      <c r="AB12" s="426"/>
      <c r="AC12" s="426"/>
      <c r="AD12" s="426"/>
    </row>
    <row r="13" spans="1:30" x14ac:dyDescent="0.2">
      <c r="A13" s="426"/>
      <c r="B13" s="455"/>
      <c r="C13" s="463" t="s">
        <v>94</v>
      </c>
      <c r="D13" s="458" t="str">
        <f t="shared" si="0"/>
        <v>EURSFIXLB10Y=</v>
      </c>
      <c r="E13" s="462">
        <v>41479</v>
      </c>
      <c r="F13" s="461">
        <v>1.893</v>
      </c>
      <c r="G13" s="461" t="b">
        <f>IF(AND(ISNUMBER($F13),$F13&lt;&gt;0%,_xll.ohTrigger(Trigger)+1),TRUE,FALSE)</f>
        <v>1</v>
      </c>
      <c r="H13" s="460" t="e">
        <f>IF($G13,_xll.qlIndexAddFixings($J13,$E13,$F13/100,TRUE,ISERROR($K13)),NA())</f>
        <v>#NUM!</v>
      </c>
      <c r="I13" s="450"/>
      <c r="J13" s="459" t="str">
        <f t="shared" si="1"/>
        <v>EurLiborSwapIsdaFixB10Y</v>
      </c>
      <c r="K13" s="458" t="e">
        <f>_xll.qlIndexFixing($J13,$E13,TRUE,$G13)</f>
        <v>#NUM!</v>
      </c>
      <c r="L13" s="458" t="e">
        <f>IF($H13,_xll.qlIndexFixing($J13,$E13,FALSE,$G13),"-")</f>
        <v>#NUM!</v>
      </c>
      <c r="M13" s="458" t="e">
        <f t="shared" si="2"/>
        <v>#NUM!</v>
      </c>
      <c r="N13" s="457" t="e">
        <f>_xll.qlIndexFixing($J13,$E13,TRUE,$L13)</f>
        <v>#NUM!</v>
      </c>
      <c r="O13" s="489">
        <f t="shared" si="3"/>
        <v>0</v>
      </c>
      <c r="P13" s="445"/>
      <c r="Q13" s="426"/>
      <c r="R13" s="426"/>
      <c r="S13" s="426"/>
      <c r="T13" s="426"/>
      <c r="U13" s="426"/>
      <c r="V13" s="426"/>
      <c r="W13" s="426"/>
      <c r="X13" s="426"/>
      <c r="Y13" s="426"/>
      <c r="Z13" s="426"/>
      <c r="AA13" s="426"/>
      <c r="AB13" s="426"/>
      <c r="AC13" s="426"/>
      <c r="AD13" s="426"/>
    </row>
    <row r="14" spans="1:30" x14ac:dyDescent="0.2">
      <c r="A14" s="426"/>
      <c r="B14" s="455"/>
      <c r="C14" s="463" t="s">
        <v>92</v>
      </c>
      <c r="D14" s="458" t="str">
        <f t="shared" si="0"/>
        <v>EURSFIXLB12Y=</v>
      </c>
      <c r="E14" s="462">
        <v>41479</v>
      </c>
      <c r="F14" s="461">
        <v>2.1</v>
      </c>
      <c r="G14" s="461" t="b">
        <f>IF(AND(ISNUMBER($F14),$F14&lt;&gt;0%,_xll.ohTrigger(Trigger)+1),TRUE,FALSE)</f>
        <v>1</v>
      </c>
      <c r="H14" s="460" t="e">
        <f>IF($G14,_xll.qlIndexAddFixings($J14,$E14,$F14/100,TRUE,ISERROR($K14)),NA())</f>
        <v>#NUM!</v>
      </c>
      <c r="I14" s="450"/>
      <c r="J14" s="459" t="str">
        <f t="shared" si="1"/>
        <v>EurLiborSwapIsdaFixB12Y</v>
      </c>
      <c r="K14" s="458" t="e">
        <f>_xll.qlIndexFixing($J14,$E14,TRUE,$G14)</f>
        <v>#NUM!</v>
      </c>
      <c r="L14" s="458" t="e">
        <f>IF($H14,_xll.qlIndexFixing($J14,$E14,FALSE,$G14),"-")</f>
        <v>#NUM!</v>
      </c>
      <c r="M14" s="458" t="e">
        <f t="shared" si="2"/>
        <v>#NUM!</v>
      </c>
      <c r="N14" s="457" t="e">
        <f>_xll.qlIndexFixing($J14,$E14,TRUE,$L14)</f>
        <v>#NUM!</v>
      </c>
      <c r="O14" s="489">
        <f t="shared" si="3"/>
        <v>0</v>
      </c>
      <c r="P14" s="445"/>
      <c r="Q14" s="426"/>
      <c r="R14" s="426"/>
      <c r="S14" s="426"/>
      <c r="T14" s="426"/>
      <c r="U14" s="426"/>
      <c r="V14" s="426"/>
      <c r="W14" s="426"/>
      <c r="X14" s="426"/>
      <c r="Y14" s="426"/>
      <c r="Z14" s="426"/>
      <c r="AA14" s="426"/>
      <c r="AB14" s="426"/>
      <c r="AC14" s="426"/>
      <c r="AD14" s="426"/>
    </row>
    <row r="15" spans="1:30" x14ac:dyDescent="0.2">
      <c r="A15" s="426"/>
      <c r="B15" s="455"/>
      <c r="C15" s="463" t="s">
        <v>89</v>
      </c>
      <c r="D15" s="458" t="str">
        <f t="shared" si="0"/>
        <v>EURSFIXLB15Y=</v>
      </c>
      <c r="E15" s="462">
        <v>41479</v>
      </c>
      <c r="F15" s="461">
        <v>2.3010000000000002</v>
      </c>
      <c r="G15" s="461" t="b">
        <f>IF(AND(ISNUMBER($F15),$F15&lt;&gt;0%,_xll.ohTrigger(Trigger)+1),TRUE,FALSE)</f>
        <v>1</v>
      </c>
      <c r="H15" s="460" t="e">
        <f>IF($G15,_xll.qlIndexAddFixings($J15,$E15,$F15/100,TRUE,ISERROR($K15)),NA())</f>
        <v>#NUM!</v>
      </c>
      <c r="I15" s="450"/>
      <c r="J15" s="459" t="str">
        <f t="shared" si="1"/>
        <v>EurLiborSwapIsdaFixB15Y</v>
      </c>
      <c r="K15" s="458" t="e">
        <f>_xll.qlIndexFixing($J15,$E15,TRUE,$G15)</f>
        <v>#NUM!</v>
      </c>
      <c r="L15" s="458" t="e">
        <f>IF($H15,_xll.qlIndexFixing($J15,$E15,FALSE,$G15),"-")</f>
        <v>#NUM!</v>
      </c>
      <c r="M15" s="458" t="e">
        <f t="shared" si="2"/>
        <v>#NUM!</v>
      </c>
      <c r="N15" s="457" t="e">
        <f>_xll.qlIndexFixing($J15,$E15,TRUE,$L15)</f>
        <v>#NUM!</v>
      </c>
      <c r="O15" s="489">
        <f t="shared" si="3"/>
        <v>0</v>
      </c>
      <c r="P15" s="445"/>
      <c r="Q15" s="426"/>
      <c r="R15" s="426"/>
      <c r="S15" s="426"/>
      <c r="T15" s="426"/>
      <c r="U15" s="426"/>
      <c r="V15" s="426"/>
      <c r="W15" s="426"/>
      <c r="X15" s="426"/>
      <c r="Y15" s="426"/>
      <c r="Z15" s="426"/>
      <c r="AA15" s="426"/>
      <c r="AB15" s="426"/>
      <c r="AC15" s="426"/>
      <c r="AD15" s="426"/>
    </row>
    <row r="16" spans="1:30" x14ac:dyDescent="0.2">
      <c r="A16" s="426"/>
      <c r="B16" s="455"/>
      <c r="C16" s="463" t="s">
        <v>84</v>
      </c>
      <c r="D16" s="458" t="str">
        <f t="shared" si="0"/>
        <v>EURSFIXLB20Y=</v>
      </c>
      <c r="E16" s="462">
        <v>41479</v>
      </c>
      <c r="F16" s="461">
        <v>2.415</v>
      </c>
      <c r="G16" s="461" t="b">
        <f>IF(AND(ISNUMBER($F16),$F16&lt;&gt;0%,_xll.ohTrigger(Trigger)+1),TRUE,FALSE)</f>
        <v>1</v>
      </c>
      <c r="H16" s="460" t="e">
        <f>IF($G16,_xll.qlIndexAddFixings($J16,$E16,$F16/100,TRUE,ISERROR($K16)),NA())</f>
        <v>#NUM!</v>
      </c>
      <c r="I16" s="450"/>
      <c r="J16" s="459" t="str">
        <f t="shared" si="1"/>
        <v>EurLiborSwapIsdaFixB20Y</v>
      </c>
      <c r="K16" s="458" t="e">
        <f>_xll.qlIndexFixing($J16,$E16,TRUE,$G16)</f>
        <v>#NUM!</v>
      </c>
      <c r="L16" s="458" t="e">
        <f>IF($H16,_xll.qlIndexFixing($J16,$E16,FALSE,$G16),"-")</f>
        <v>#NUM!</v>
      </c>
      <c r="M16" s="458" t="e">
        <f t="shared" si="2"/>
        <v>#NUM!</v>
      </c>
      <c r="N16" s="457" t="e">
        <f>_xll.qlIndexFixing($J16,$E16,TRUE,$L16)</f>
        <v>#NUM!</v>
      </c>
      <c r="O16" s="489">
        <f t="shared" si="3"/>
        <v>0</v>
      </c>
      <c r="P16" s="445"/>
      <c r="Q16" s="426"/>
      <c r="R16" s="426"/>
      <c r="S16" s="426"/>
      <c r="T16" s="426"/>
      <c r="U16" s="426"/>
      <c r="V16" s="426"/>
      <c r="W16" s="426"/>
      <c r="X16" s="426"/>
      <c r="Y16" s="426"/>
      <c r="Z16" s="426"/>
      <c r="AA16" s="426"/>
      <c r="AB16" s="426"/>
      <c r="AC16" s="426"/>
      <c r="AD16" s="426"/>
    </row>
    <row r="17" spans="1:30" x14ac:dyDescent="0.2">
      <c r="A17" s="426"/>
      <c r="B17" s="455"/>
      <c r="C17" s="463" t="s">
        <v>79</v>
      </c>
      <c r="D17" s="458" t="str">
        <f t="shared" si="0"/>
        <v>EURSFIXLB25Y=</v>
      </c>
      <c r="E17" s="462">
        <v>41479</v>
      </c>
      <c r="F17" s="461">
        <v>2.4329999999999998</v>
      </c>
      <c r="G17" s="461" t="b">
        <f>IF(AND(ISNUMBER($F17),$F17&lt;&gt;0%,_xll.ohTrigger(Trigger)+1),TRUE,FALSE)</f>
        <v>1</v>
      </c>
      <c r="H17" s="460" t="e">
        <f>IF($G17,_xll.qlIndexAddFixings($J17,$E17,$F17/100,TRUE,ISERROR($K17)),NA())</f>
        <v>#NUM!</v>
      </c>
      <c r="I17" s="450"/>
      <c r="J17" s="459" t="str">
        <f t="shared" si="1"/>
        <v>EurLiborSwapIsdaFixB25Y</v>
      </c>
      <c r="K17" s="458" t="e">
        <f>_xll.qlIndexFixing($J17,$E17,TRUE,$G17)</f>
        <v>#NUM!</v>
      </c>
      <c r="L17" s="458" t="e">
        <f>IF($H17,_xll.qlIndexFixing($J17,$E17,FALSE,$G17),"-")</f>
        <v>#NUM!</v>
      </c>
      <c r="M17" s="458" t="e">
        <f t="shared" si="2"/>
        <v>#NUM!</v>
      </c>
      <c r="N17" s="457" t="e">
        <f>_xll.qlIndexFixing($J17,$E17,TRUE,$L17)</f>
        <v>#NUM!</v>
      </c>
      <c r="O17" s="489">
        <f t="shared" si="3"/>
        <v>0</v>
      </c>
      <c r="P17" s="445"/>
      <c r="Q17" s="426"/>
      <c r="R17" s="426"/>
      <c r="S17" s="426"/>
      <c r="T17" s="426"/>
      <c r="U17" s="426"/>
      <c r="V17" s="426"/>
      <c r="W17" s="426"/>
      <c r="X17" s="426"/>
      <c r="Y17" s="426"/>
      <c r="Z17" s="426"/>
      <c r="AA17" s="426"/>
      <c r="AB17" s="426"/>
      <c r="AC17" s="426"/>
      <c r="AD17" s="426"/>
    </row>
    <row r="18" spans="1:30" x14ac:dyDescent="0.2">
      <c r="A18" s="426"/>
      <c r="B18" s="455"/>
      <c r="C18" s="454" t="s">
        <v>74</v>
      </c>
      <c r="D18" s="448" t="str">
        <f t="shared" si="0"/>
        <v>EURSFIXLB30Y=</v>
      </c>
      <c r="E18" s="453">
        <v>41479</v>
      </c>
      <c r="F18" s="452">
        <v>2.4279999999999999</v>
      </c>
      <c r="G18" s="452" t="b">
        <f>IF(AND(ISNUMBER($F18),$F18&lt;&gt;0%,_xll.ohTrigger(Trigger)+1),TRUE,FALSE)</f>
        <v>1</v>
      </c>
      <c r="H18" s="451" t="e">
        <f>IF($G18,_xll.qlIndexAddFixings($J18,$E18,$F18/100,TRUE,ISERROR($K18)),NA())</f>
        <v>#NUM!</v>
      </c>
      <c r="I18" s="450"/>
      <c r="J18" s="449" t="str">
        <f t="shared" si="1"/>
        <v>EurLiborSwapIsdaFixB30Y</v>
      </c>
      <c r="K18" s="448" t="e">
        <f>_xll.qlIndexFixing($J18,$E18,TRUE,$G18)</f>
        <v>#NUM!</v>
      </c>
      <c r="L18" s="448" t="e">
        <f>IF($H18,_xll.qlIndexFixing($J18,$E18,FALSE,$G18),"-")</f>
        <v>#NUM!</v>
      </c>
      <c r="M18" s="448" t="e">
        <f t="shared" si="2"/>
        <v>#NUM!</v>
      </c>
      <c r="N18" s="447" t="e">
        <f>_xll.qlIndexFixing($J18,$E18,TRUE,$L18)</f>
        <v>#NUM!</v>
      </c>
      <c r="O18" s="488">
        <f t="shared" si="3"/>
        <v>0</v>
      </c>
      <c r="P18" s="445"/>
      <c r="Q18" s="426"/>
      <c r="R18" s="426"/>
      <c r="S18" s="426"/>
      <c r="T18" s="426"/>
      <c r="U18" s="426"/>
      <c r="V18" s="426"/>
      <c r="W18" s="426"/>
      <c r="X18" s="426"/>
      <c r="Y18" s="426"/>
      <c r="Z18" s="426"/>
      <c r="AA18" s="426"/>
      <c r="AB18" s="426"/>
      <c r="AC18" s="426"/>
      <c r="AD18" s="426"/>
    </row>
    <row r="19" spans="1:30" ht="12" thickBot="1" x14ac:dyDescent="0.25">
      <c r="A19" s="426"/>
      <c r="B19" s="444"/>
      <c r="C19" s="442"/>
      <c r="D19" s="442"/>
      <c r="E19" s="442"/>
      <c r="F19" s="442"/>
      <c r="G19" s="442"/>
      <c r="H19" s="442"/>
      <c r="I19" s="441"/>
      <c r="J19" s="441"/>
      <c r="K19" s="441"/>
      <c r="L19" s="441"/>
      <c r="M19" s="441"/>
      <c r="N19" s="441"/>
      <c r="O19" s="441"/>
      <c r="P19" s="440"/>
      <c r="Q19" s="426"/>
      <c r="R19" s="426"/>
      <c r="S19" s="426"/>
      <c r="T19" s="426"/>
      <c r="U19" s="426"/>
      <c r="V19" s="426"/>
      <c r="W19" s="426"/>
      <c r="X19" s="426"/>
      <c r="Y19" s="426"/>
      <c r="Z19" s="426"/>
      <c r="AA19" s="426"/>
      <c r="AB19" s="426"/>
      <c r="AC19" s="426"/>
      <c r="AD19" s="426"/>
    </row>
    <row r="20" spans="1:30" ht="12" thickBot="1" x14ac:dyDescent="0.25">
      <c r="A20" s="426"/>
      <c r="B20" s="426"/>
      <c r="C20" s="426"/>
      <c r="D20" s="426"/>
      <c r="E20" s="439"/>
      <c r="F20" s="438"/>
      <c r="G20" s="438"/>
      <c r="H20" s="426"/>
      <c r="I20" s="426"/>
      <c r="J20" s="426"/>
      <c r="K20" s="426"/>
      <c r="L20" s="426"/>
      <c r="M20" s="426"/>
      <c r="N20" s="426"/>
      <c r="O20" s="426"/>
      <c r="P20" s="426"/>
      <c r="Q20" s="426"/>
      <c r="R20" s="426"/>
      <c r="S20" s="426"/>
      <c r="T20" s="426"/>
      <c r="U20" s="426"/>
      <c r="V20" s="426"/>
      <c r="W20" s="426"/>
      <c r="X20" s="426"/>
      <c r="Y20" s="426"/>
      <c r="Z20" s="426"/>
      <c r="AA20" s="426"/>
      <c r="AB20" s="426"/>
      <c r="AC20" s="426"/>
      <c r="AD20" s="426"/>
    </row>
    <row r="21" spans="1:30" s="426" customFormat="1" x14ac:dyDescent="0.2">
      <c r="C21" s="437" t="s">
        <v>124</v>
      </c>
      <c r="D21" s="436" t="s">
        <v>207</v>
      </c>
      <c r="E21" s="435" t="s">
        <v>207</v>
      </c>
    </row>
    <row r="22" spans="1:30" s="426" customFormat="1" x14ac:dyDescent="0.2">
      <c r="C22" s="432" t="s">
        <v>110</v>
      </c>
      <c r="D22" s="431" t="s">
        <v>314</v>
      </c>
      <c r="E22" s="430" t="s">
        <v>313</v>
      </c>
    </row>
    <row r="23" spans="1:30" s="426" customFormat="1" x14ac:dyDescent="0.2">
      <c r="C23" s="432" t="s">
        <v>266</v>
      </c>
      <c r="D23" s="431" t="s">
        <v>207</v>
      </c>
      <c r="E23" s="430" t="s">
        <v>207</v>
      </c>
    </row>
    <row r="24" spans="1:30" s="426" customFormat="1" x14ac:dyDescent="0.2">
      <c r="C24" s="432" t="s">
        <v>294</v>
      </c>
      <c r="D24" s="431" t="s">
        <v>207</v>
      </c>
      <c r="E24" s="430" t="s">
        <v>207</v>
      </c>
    </row>
    <row r="25" spans="1:30" s="426" customFormat="1" x14ac:dyDescent="0.2">
      <c r="C25" s="432" t="s">
        <v>121</v>
      </c>
      <c r="D25" s="431" t="s">
        <v>207</v>
      </c>
      <c r="E25" s="430" t="s">
        <v>207</v>
      </c>
    </row>
    <row r="26" spans="1:30" s="426" customFormat="1" x14ac:dyDescent="0.2">
      <c r="C26" s="432" t="s">
        <v>120</v>
      </c>
      <c r="D26" s="431" t="s">
        <v>207</v>
      </c>
      <c r="E26" s="430" t="s">
        <v>207</v>
      </c>
    </row>
    <row r="27" spans="1:30" s="426" customFormat="1" ht="12" thickBot="1" x14ac:dyDescent="0.25">
      <c r="C27" s="429" t="s">
        <v>118</v>
      </c>
      <c r="D27" s="487" t="s">
        <v>207</v>
      </c>
      <c r="E27" s="486" t="s">
        <v>207</v>
      </c>
    </row>
    <row r="28" spans="1:30" s="426" customFormat="1" x14ac:dyDescent="0.2"/>
    <row r="29" spans="1:30" s="426" customFormat="1" x14ac:dyDescent="0.2"/>
    <row r="30" spans="1:30" s="426" customFormat="1" x14ac:dyDescent="0.2"/>
    <row r="31" spans="1:30" s="426" customFormat="1" x14ac:dyDescent="0.2"/>
    <row r="32" spans="1:30" s="426" customFormat="1" x14ac:dyDescent="0.2"/>
    <row r="33" s="426" customFormat="1" x14ac:dyDescent="0.2"/>
    <row r="34" s="426" customFormat="1" x14ac:dyDescent="0.2"/>
    <row r="35" s="426" customFormat="1" x14ac:dyDescent="0.2"/>
    <row r="36" s="426" customFormat="1" x14ac:dyDescent="0.2"/>
    <row r="37" s="426" customFormat="1" x14ac:dyDescent="0.2"/>
    <row r="38" s="42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2014-02-11T14:28:04Z</dcterms:modified>
</cp:coreProperties>
</file>
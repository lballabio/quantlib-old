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firstSheet="14" activeTab="17"/>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1M (3)" sheetId="47" r:id="rId35"/>
    <sheet name="3M (4)" sheetId="48" r:id="rId36"/>
    <sheet name="6M (3)" sheetId="49" r:id="rId37"/>
    <sheet name="1Y (3)" sheetId="50" r:id="rId38"/>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Settings'!$C$11:$C$17</definedName>
    <definedName name="ContributorTable">'General Settings'!$C$11:$D$17</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Swap6M!$AF$5:$AH$9</definedName>
    <definedName name="Counter">Futures1M!$AA$4</definedName>
    <definedName name="Currency" localSheetId="1">EUR!$E$3</definedName>
    <definedName name="Currency">'General Settings'!$J$10</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Futures3M!$M$7:$M$48</definedName>
    <definedName name="FuturesCodes" localSheetId="18">'ImmFra6M '!$M$6:$M$9</definedName>
    <definedName name="FuturesDates" localSheetId="16">Futures1M!$N$6:$N$17</definedName>
    <definedName name="FuturesDates" localSheetId="17">Futures3M!$N$7:$N$48</definedName>
    <definedName name="FuturesDates" localSheetId="18">'ImmFra6M '!$N$6:$N$9</definedName>
    <definedName name="IborIndex" localSheetId="17">Futures3M!$AM$4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Settings'!$E$20</definedName>
    <definedName name="LiffeCodes" localSheetId="16">Futures1M!$AD$6:$AE$10</definedName>
    <definedName name="LiffeCodes" localSheetId="17">Futures3M!$AC$7:$AD$11</definedName>
    <definedName name="LiveDataFeed">'General Settings'!$E$23</definedName>
    <definedName name="MeanReversion" localSheetId="17">Futures3M!$AM$3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Futures3M!$U$7:$U$48</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igger">'General Settings'!$J$4</definedName>
    <definedName name="TriggerCounter">'General Settings'!$D$7</definedName>
    <definedName name="Volatility" localSheetId="17">Futures3M!$AM$2</definedName>
  </definedNames>
  <calcPr calcId="145621"/>
</workbook>
</file>

<file path=xl/calcChain.xml><?xml version="1.0" encoding="utf-8"?>
<calcChain xmlns="http://schemas.openxmlformats.org/spreadsheetml/2006/main">
  <c r="AM2" i="24" l="1"/>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M4" i="22"/>
  <c r="J4" i="21"/>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1" i="22"/>
  <c r="R10"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10" i="22"/>
  <c r="X25" i="22"/>
  <c r="X31" i="22"/>
  <c r="X23" i="22"/>
  <c r="X22" i="22"/>
  <c r="X11" i="22"/>
  <c r="X30" i="22"/>
  <c r="X21" i="22"/>
  <c r="X32" i="22"/>
  <c r="X13" i="22"/>
  <c r="X8" i="22"/>
  <c r="X9" i="22"/>
  <c r="X12" i="22"/>
  <c r="X27" i="22"/>
  <c r="X7" i="22"/>
  <c r="X6" i="22"/>
  <c r="X17" i="22"/>
  <c r="X16" i="22"/>
  <c r="X26" i="22"/>
  <c r="X24" i="22"/>
  <c r="X33" i="22"/>
  <c r="X14" i="22"/>
  <c r="X28" i="22"/>
  <c r="X19" i="22"/>
  <c r="X20" i="22"/>
  <c r="X15" i="22"/>
  <c r="X29" i="22"/>
  <c r="X18" i="22"/>
  <c r="X5" i="22"/>
  <c r="AG6" i="23" l="1"/>
  <c r="N7" i="23"/>
  <c r="U7" i="23"/>
  <c r="AG7" i="23" l="1"/>
  <c r="N8" i="23"/>
  <c r="U8" i="23"/>
  <c r="AG8" i="23" l="1"/>
  <c r="N9" i="23"/>
  <c r="U9" i="23"/>
  <c r="AG9" i="23" l="1"/>
  <c r="N10" i="23"/>
  <c r="U10" i="23"/>
  <c r="AG10" i="23" l="1"/>
  <c r="N11" i="23"/>
  <c r="N12" i="23"/>
  <c r="N13" i="23"/>
  <c r="N14" i="23"/>
  <c r="N15" i="23"/>
  <c r="N16" i="23"/>
  <c r="N17" i="23"/>
  <c r="U12" i="23"/>
  <c r="U14" i="23"/>
  <c r="U17" i="23"/>
  <c r="U13" i="23"/>
  <c r="U11" i="23"/>
  <c r="U16"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15" i="24"/>
  <c r="U28" i="24"/>
  <c r="U21" i="24"/>
  <c r="U12" i="24"/>
  <c r="U34" i="24"/>
  <c r="U30" i="24"/>
  <c r="U18" i="24"/>
  <c r="U27" i="24"/>
  <c r="U47" i="24"/>
  <c r="U14" i="24"/>
  <c r="U35" i="24"/>
  <c r="U46" i="24"/>
  <c r="U40" i="24"/>
  <c r="U20" i="24"/>
  <c r="U32" i="24"/>
  <c r="U45" i="24"/>
  <c r="U29" i="24"/>
  <c r="U22" i="24"/>
  <c r="U26" i="24"/>
  <c r="U48" i="24"/>
  <c r="U39" i="24"/>
  <c r="U31" i="24"/>
  <c r="U24" i="24"/>
  <c r="U41" i="24"/>
  <c r="U17" i="24"/>
  <c r="U25" i="24"/>
  <c r="U44" i="24"/>
  <c r="U19" i="24"/>
  <c r="U16" i="24"/>
  <c r="U37" i="24"/>
  <c r="U33" i="24"/>
  <c r="U42" i="24"/>
  <c r="U43" i="24"/>
  <c r="U23" i="24"/>
  <c r="U36" i="24"/>
  <c r="U38" i="24"/>
  <c r="U13"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8" i="25"/>
  <c r="U9" i="25"/>
  <c r="U7" i="25"/>
  <c r="U6" i="25"/>
  <c r="N6" i="25" a="1"/>
  <c r="N8" i="25" l="1"/>
  <c r="N6" i="25"/>
  <c r="N7" i="25"/>
  <c r="N9" i="25"/>
  <c r="O9" i="25"/>
  <c r="O7" i="25"/>
  <c r="O8" i="25"/>
  <c r="Z6" i="25" a="1"/>
  <c r="Z9" i="25" s="1"/>
  <c r="Z6" i="25" l="1"/>
  <c r="Z7" i="25"/>
  <c r="Z8" i="25"/>
  <c r="AD9" i="25"/>
  <c r="H5" i="26"/>
  <c r="N5" i="29"/>
  <c r="X5" i="29" s="1"/>
  <c r="N6" i="29"/>
  <c r="T5" i="29"/>
  <c r="T6"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5" i="29"/>
  <c r="Z11" i="29"/>
  <c r="Z14" i="29"/>
  <c r="Z10" i="29"/>
  <c r="Z6" i="29"/>
  <c r="Z12" i="29"/>
  <c r="Z7" i="29"/>
  <c r="Z13" i="29"/>
  <c r="Z8" i="29"/>
  <c r="Z9"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5" i="30"/>
  <c r="Z10" i="30"/>
  <c r="Z8" i="30"/>
  <c r="Z9" i="30"/>
  <c r="Z7"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2" i="31"/>
  <c r="X11"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6" i="31"/>
  <c r="X17" i="31"/>
  <c r="R16" i="31" l="1"/>
  <c r="AB16" i="31" s="1"/>
  <c r="R17" i="31"/>
  <c r="AB17" i="31" s="1"/>
  <c r="AK16" i="31"/>
  <c r="AK17" i="31"/>
  <c r="P18" i="31"/>
  <c r="Q18" i="31"/>
  <c r="R18" i="31"/>
  <c r="AB18" i="31" s="1"/>
  <c r="P19" i="31"/>
  <c r="Q19" i="31"/>
  <c r="X19" i="31"/>
  <c r="X18" i="31"/>
  <c r="R19" i="31" l="1"/>
  <c r="AB19" i="31" s="1"/>
  <c r="AK18" i="31"/>
  <c r="AK19" i="31"/>
  <c r="P20" i="31"/>
  <c r="Q20" i="31"/>
  <c r="R20" i="31"/>
  <c r="AB20" i="31" s="1"/>
  <c r="P21" i="31"/>
  <c r="Q21" i="31"/>
  <c r="X21" i="31"/>
  <c r="X20" i="31"/>
  <c r="R21" i="31" l="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2" i="31"/>
  <c r="X33"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7" i="31"/>
  <c r="X36"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1" i="31"/>
  <c r="X42"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42" i="31"/>
  <c r="AD26" i="31"/>
  <c r="AD36" i="31"/>
  <c r="AD31" i="31"/>
  <c r="AD7" i="31"/>
  <c r="AD41" i="31"/>
  <c r="AD30" i="31"/>
  <c r="AD22" i="31"/>
  <c r="AD5" i="31"/>
  <c r="AD39" i="31"/>
  <c r="AD14" i="31"/>
  <c r="AD12" i="31"/>
  <c r="AD16" i="31"/>
  <c r="AD32" i="31"/>
  <c r="AD18" i="31"/>
  <c r="AD28" i="31"/>
  <c r="AD20" i="31"/>
  <c r="AD10" i="31"/>
  <c r="AD19" i="31"/>
  <c r="AD6" i="31"/>
  <c r="AD24" i="31"/>
  <c r="AD40" i="31"/>
  <c r="AD13" i="31"/>
  <c r="AD34" i="31"/>
  <c r="AD27" i="31"/>
  <c r="AD35" i="31"/>
  <c r="AD9" i="31"/>
  <c r="AD29" i="31"/>
  <c r="AD25" i="31"/>
  <c r="AD15" i="31"/>
  <c r="AD37" i="31"/>
  <c r="AD8" i="31"/>
  <c r="AD17" i="31"/>
  <c r="AD21" i="31"/>
  <c r="AD38" i="31"/>
  <c r="AD33" i="31"/>
  <c r="AD23" i="31"/>
  <c r="AD11"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6" i="32"/>
  <c r="X15"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S5" i="32" s="1" a="1"/>
  <c r="X42" i="32"/>
  <c r="AB5" i="32" l="1" a="1"/>
  <c r="S5" i="32"/>
  <c r="S6" i="32"/>
  <c r="S7" i="32"/>
  <c r="S8" i="32"/>
  <c r="S9" i="32"/>
  <c r="S10" i="32"/>
  <c r="S11" i="32"/>
  <c r="S12" i="32"/>
  <c r="S13" i="32"/>
  <c r="S14" i="32"/>
  <c r="S15" i="32"/>
  <c r="S16" i="32"/>
  <c r="S17" i="32"/>
  <c r="S18" i="32"/>
  <c r="S19" i="32"/>
  <c r="S20" i="32"/>
  <c r="S21" i="32"/>
  <c r="S22" i="32"/>
  <c r="S23" i="32"/>
  <c r="S24" i="32"/>
  <c r="S25" i="32"/>
  <c r="S26" i="32"/>
  <c r="S27" i="32"/>
  <c r="S28" i="32"/>
  <c r="S29" i="32"/>
  <c r="S30" i="32"/>
  <c r="S31" i="32"/>
  <c r="S32" i="32"/>
  <c r="S33" i="32"/>
  <c r="S34" i="32"/>
  <c r="S35" i="32"/>
  <c r="S36" i="32"/>
  <c r="S37" i="32"/>
  <c r="S38" i="32"/>
  <c r="S39" i="32"/>
  <c r="S40" i="32"/>
  <c r="S41" i="32"/>
  <c r="S42" i="32"/>
  <c r="AJ42" i="32"/>
  <c r="S4" i="17"/>
  <c r="AB5" i="32" l="1"/>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R14" i="17"/>
  <c r="AB14" i="17" s="1"/>
  <c r="V14" i="17"/>
  <c r="W14" i="17" l="1"/>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R19" i="17"/>
  <c r="V19" i="17"/>
  <c r="W19" i="17" l="1"/>
  <c r="AB19" i="17"/>
  <c r="P20" i="17"/>
  <c r="Q20" i="17"/>
  <c r="R20" i="17"/>
  <c r="AB20" i="17" s="1"/>
  <c r="V20" i="17"/>
  <c r="W20" i="17" l="1"/>
  <c r="P21" i="17"/>
  <c r="Q21" i="17"/>
  <c r="R21" i="17"/>
  <c r="AB21" i="17" s="1"/>
  <c r="V21" i="17"/>
  <c r="W21" i="17" l="1"/>
  <c r="P22" i="17"/>
  <c r="Q22" i="17"/>
  <c r="R22" i="17"/>
  <c r="V22" i="17"/>
  <c r="W22" i="17" l="1"/>
  <c r="AB22" i="17"/>
  <c r="P23" i="17"/>
  <c r="Q23" i="17"/>
  <c r="R23" i="17"/>
  <c r="V23" i="17"/>
  <c r="W23" i="17" l="1"/>
  <c r="AB23" i="17"/>
  <c r="P24" i="17"/>
  <c r="Q24" i="17"/>
  <c r="R24" i="17"/>
  <c r="V24" i="17"/>
  <c r="W24" i="17" l="1"/>
  <c r="AB24" i="17"/>
  <c r="P25" i="17"/>
  <c r="Q25" i="17"/>
  <c r="R25" i="17"/>
  <c r="V25" i="17"/>
  <c r="W25" i="17" l="1"/>
  <c r="AB25" i="17"/>
  <c r="P26" i="17"/>
  <c r="Q26" i="17"/>
  <c r="R26" i="17"/>
  <c r="V26" i="17"/>
  <c r="W26" i="17" l="1"/>
  <c r="AB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Q19" i="19"/>
  <c r="R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R31" i="19"/>
  <c r="AB31" i="19" s="1"/>
  <c r="V31" i="19"/>
  <c r="W31" i="19" l="1"/>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1" i="28"/>
  <c r="Y54" i="28"/>
  <c r="Y55" i="28"/>
  <c r="Y52" i="28"/>
  <c r="Y50" i="28"/>
  <c r="J8" i="67" l="1"/>
  <c r="D11"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16" i="47"/>
  <c r="J23" i="47"/>
  <c r="J28" i="50"/>
  <c r="J22" i="50"/>
  <c r="J6" i="50"/>
  <c r="J13" i="48"/>
  <c r="J6" i="47"/>
  <c r="J33" i="49"/>
  <c r="J14" i="50"/>
  <c r="J24" i="48"/>
  <c r="J8" i="47"/>
  <c r="J14" i="47"/>
  <c r="J13" i="47"/>
  <c r="J9" i="48"/>
  <c r="J30" i="50"/>
  <c r="J23" i="48"/>
  <c r="J35" i="47"/>
  <c r="J29" i="50"/>
  <c r="J37" i="50"/>
  <c r="J13" i="50"/>
  <c r="J8" i="48"/>
  <c r="J25" i="49"/>
  <c r="J37" i="49"/>
  <c r="J31" i="47"/>
  <c r="J26" i="49"/>
  <c r="J29" i="49"/>
  <c r="J21" i="49"/>
  <c r="J10" i="49"/>
  <c r="J27" i="49"/>
  <c r="J13" i="49"/>
  <c r="J17" i="49"/>
  <c r="J34" i="48"/>
  <c r="J7" i="49"/>
  <c r="J12" i="50"/>
  <c r="J20" i="48"/>
  <c r="J34" i="49"/>
  <c r="J37" i="48"/>
  <c r="J14" i="48"/>
  <c r="J18" i="47"/>
  <c r="J34" i="50"/>
  <c r="J16" i="48"/>
  <c r="J39" i="50"/>
  <c r="J15" i="48"/>
  <c r="J31" i="48"/>
  <c r="J32" i="47"/>
  <c r="J7" i="50"/>
  <c r="J38" i="49"/>
  <c r="J39" i="47"/>
  <c r="J4" i="48"/>
  <c r="J15" i="50"/>
  <c r="J22" i="49"/>
  <c r="J9" i="49"/>
  <c r="J32" i="49"/>
  <c r="J22" i="48"/>
  <c r="J32" i="50"/>
  <c r="J32" i="48"/>
  <c r="J15" i="47"/>
  <c r="J18" i="50"/>
  <c r="J24" i="50"/>
  <c r="J20" i="50"/>
  <c r="J35" i="50"/>
  <c r="J19" i="49"/>
  <c r="J33" i="48"/>
  <c r="J8" i="49"/>
  <c r="J22" i="47"/>
  <c r="J28" i="47"/>
  <c r="J14" i="49"/>
  <c r="J38" i="48"/>
  <c r="J3" i="50"/>
  <c r="J25" i="47"/>
  <c r="J39" i="48"/>
  <c r="J18" i="48"/>
  <c r="J19" i="50"/>
  <c r="J6" i="48"/>
  <c r="J17" i="47"/>
  <c r="J36" i="50"/>
  <c r="J12" i="48"/>
  <c r="J18" i="49"/>
  <c r="J30" i="49"/>
  <c r="J11" i="47"/>
  <c r="J24" i="49"/>
  <c r="J8" i="50"/>
  <c r="J36" i="47"/>
  <c r="J27" i="50"/>
  <c r="J36" i="48"/>
  <c r="J12" i="47"/>
  <c r="J26" i="50"/>
  <c r="J6" i="49"/>
  <c r="J4" i="49"/>
  <c r="J30" i="48"/>
  <c r="J4" i="47"/>
  <c r="J15" i="49"/>
  <c r="J30" i="47"/>
  <c r="J10" i="48"/>
  <c r="J17" i="50"/>
  <c r="J4" i="50"/>
  <c r="J7" i="47"/>
  <c r="J21" i="47"/>
  <c r="J33" i="47"/>
  <c r="J21" i="50"/>
  <c r="J25" i="50"/>
  <c r="J31" i="49"/>
  <c r="J5" i="49"/>
  <c r="J17" i="48"/>
  <c r="J24" i="47"/>
  <c r="J20" i="49"/>
  <c r="J23" i="50"/>
  <c r="J5" i="47"/>
  <c r="J3" i="48"/>
  <c r="J21" i="48"/>
  <c r="J31" i="50"/>
  <c r="J28" i="48"/>
  <c r="J28" i="49"/>
  <c r="J10" i="47"/>
  <c r="J35" i="49"/>
  <c r="J19" i="47"/>
  <c r="J3" i="49"/>
  <c r="J23" i="49"/>
  <c r="J5" i="48"/>
  <c r="J38" i="47"/>
  <c r="J27" i="47"/>
  <c r="J16" i="49"/>
  <c r="J26" i="48"/>
  <c r="J10" i="50"/>
  <c r="J39" i="49"/>
  <c r="J7" i="48"/>
  <c r="J3" i="47"/>
  <c r="J27" i="48"/>
  <c r="J9" i="47"/>
  <c r="J29" i="47"/>
  <c r="J11" i="48"/>
  <c r="J37" i="47"/>
  <c r="J19" i="48"/>
  <c r="J36" i="49"/>
  <c r="J25" i="48"/>
  <c r="J34" i="47"/>
  <c r="J33" i="50"/>
  <c r="J38" i="50"/>
  <c r="J16" i="50"/>
  <c r="J26" i="47"/>
  <c r="J5" i="50"/>
  <c r="J9" i="50"/>
  <c r="J12" i="49"/>
  <c r="J11" i="49"/>
  <c r="J20" i="47"/>
  <c r="J29" i="48"/>
  <c r="J35" i="48"/>
  <c r="K21" i="48"/>
  <c r="K23" i="49"/>
  <c r="K23" i="50"/>
  <c r="K33" i="47"/>
  <c r="K35" i="47"/>
  <c r="K36" i="49"/>
  <c r="K25" i="49"/>
  <c r="K13" i="47"/>
  <c r="K18" i="49"/>
  <c r="K8" i="49"/>
  <c r="K20" i="50"/>
  <c r="K32" i="48"/>
  <c r="K30" i="47"/>
  <c r="K35" i="50"/>
  <c r="K31" i="47"/>
  <c r="K15" i="49"/>
  <c r="K21" i="47"/>
  <c r="K4" i="47"/>
  <c r="J2" i="47"/>
  <c r="K36" i="48"/>
  <c r="K37" i="48"/>
  <c r="J2" i="50"/>
  <c r="K35" i="48"/>
  <c r="K7" i="50"/>
  <c r="K17" i="50"/>
  <c r="K12" i="48"/>
  <c r="K33" i="49"/>
  <c r="K22" i="47"/>
  <c r="K12" i="50"/>
  <c r="K30" i="49"/>
  <c r="K24" i="47"/>
  <c r="K2" i="47"/>
  <c r="K26" i="49"/>
  <c r="K23" i="47"/>
  <c r="K11" i="49"/>
  <c r="K5" i="50"/>
  <c r="K14" i="48"/>
  <c r="K5" i="49"/>
  <c r="K22" i="49"/>
  <c r="K19" i="48"/>
  <c r="K17" i="49"/>
  <c r="K10" i="47"/>
  <c r="K18" i="48"/>
  <c r="K20" i="49"/>
  <c r="K11" i="47"/>
  <c r="K38" i="49"/>
  <c r="K21" i="49"/>
  <c r="K8" i="47"/>
  <c r="K29" i="48"/>
  <c r="K30" i="48"/>
  <c r="K27" i="47"/>
  <c r="K9" i="49"/>
  <c r="K3" i="50"/>
  <c r="K16" i="47"/>
  <c r="K3" i="49"/>
  <c r="K9" i="50"/>
  <c r="K37" i="47"/>
  <c r="K9" i="47"/>
  <c r="K20" i="48"/>
  <c r="K26" i="50"/>
  <c r="K15" i="48"/>
  <c r="K11" i="48"/>
  <c r="K16" i="50"/>
  <c r="K4" i="50"/>
  <c r="K17" i="48"/>
  <c r="K19" i="50"/>
  <c r="K35" i="49"/>
  <c r="K19" i="49"/>
  <c r="K12" i="49"/>
  <c r="K12" i="47"/>
  <c r="K31" i="49"/>
  <c r="K24" i="48"/>
  <c r="J2" i="49"/>
  <c r="K39" i="48"/>
  <c r="K37" i="50"/>
  <c r="K18" i="50"/>
  <c r="K16" i="48"/>
  <c r="K3" i="48"/>
  <c r="K30" i="50"/>
  <c r="K11" i="50"/>
  <c r="K37" i="49"/>
  <c r="K34" i="49"/>
  <c r="K32" i="47"/>
  <c r="K25" i="47"/>
  <c r="K32" i="50"/>
  <c r="K38" i="47"/>
  <c r="K27" i="50"/>
  <c r="K29" i="49"/>
  <c r="K14" i="47"/>
  <c r="K29" i="47"/>
  <c r="K16" i="49"/>
  <c r="K21" i="50"/>
  <c r="K14" i="50"/>
  <c r="K22" i="50"/>
  <c r="K3" i="47"/>
  <c r="K24" i="50"/>
  <c r="K13" i="48"/>
  <c r="K18" i="47"/>
  <c r="K2" i="50"/>
  <c r="J2" i="48"/>
  <c r="K2" i="48" s="1"/>
  <c r="K34" i="50"/>
  <c r="K8" i="50"/>
  <c r="K25" i="50"/>
  <c r="K38" i="48"/>
  <c r="K34" i="48"/>
  <c r="K25" i="48"/>
  <c r="K39" i="47"/>
  <c r="K7" i="48"/>
  <c r="K4" i="49"/>
  <c r="K6" i="50"/>
  <c r="K5" i="48"/>
  <c r="K4" i="48"/>
  <c r="K10" i="49"/>
  <c r="K31" i="48"/>
  <c r="K31" i="50"/>
  <c r="K27" i="49"/>
  <c r="K23" i="48"/>
  <c r="K6" i="49"/>
  <c r="K22" i="48"/>
  <c r="K26" i="48"/>
  <c r="K17" i="47"/>
  <c r="K28" i="47"/>
  <c r="K20" i="47"/>
  <c r="K13" i="49"/>
  <c r="K5" i="47"/>
  <c r="K9" i="48"/>
  <c r="K10" i="48"/>
  <c r="K8" i="48"/>
  <c r="K39" i="49"/>
  <c r="K13" i="50"/>
  <c r="K15" i="50"/>
  <c r="K28" i="49"/>
  <c r="K26" i="47"/>
  <c r="K38" i="50"/>
  <c r="K28" i="48"/>
  <c r="K2" i="49"/>
  <c r="K33" i="50"/>
  <c r="K32" i="49"/>
  <c r="K24" i="49"/>
  <c r="K14" i="49"/>
  <c r="K27" i="48"/>
  <c r="K19" i="47"/>
  <c r="K10" i="50"/>
  <c r="K6" i="48"/>
  <c r="K39" i="50"/>
  <c r="K36" i="50"/>
  <c r="K28" i="50"/>
  <c r="K7" i="49"/>
  <c r="K36" i="47"/>
  <c r="K7" i="47"/>
  <c r="K15" i="47"/>
  <c r="K29" i="50"/>
  <c r="K33" i="48"/>
  <c r="K6" i="47"/>
  <c r="K34" i="47"/>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16" i="42"/>
  <c r="L29" i="41"/>
  <c r="L28" i="41"/>
  <c r="L35" i="42"/>
  <c r="L13" i="42"/>
  <c r="L31" i="42"/>
  <c r="L15" i="42"/>
  <c r="L30" i="42"/>
  <c r="L9" i="41"/>
  <c r="L23" i="42"/>
  <c r="L17" i="42"/>
  <c r="L3" i="43"/>
  <c r="L16" i="41"/>
  <c r="L32" i="41"/>
  <c r="L11" i="41"/>
  <c r="L31" i="41"/>
  <c r="L14" i="42"/>
  <c r="L13" i="41"/>
  <c r="L21" i="41"/>
  <c r="L10" i="41"/>
  <c r="L20" i="41"/>
  <c r="L25" i="42"/>
  <c r="L4" i="42"/>
  <c r="L34" i="42"/>
  <c r="L32" i="42"/>
  <c r="L9" i="42"/>
  <c r="L3" i="40"/>
  <c r="L28" i="42"/>
  <c r="L6" i="41"/>
  <c r="L5" i="41"/>
  <c r="L26" i="41"/>
  <c r="L8" i="42"/>
  <c r="L7" i="42"/>
  <c r="L22" i="42"/>
  <c r="L26" i="42"/>
  <c r="L29" i="42"/>
  <c r="L10" i="42"/>
  <c r="L12" i="41"/>
  <c r="L14" i="41"/>
  <c r="L3" i="41"/>
  <c r="L27" i="41"/>
  <c r="L22" i="41"/>
  <c r="L8" i="41"/>
  <c r="L34" i="41"/>
  <c r="L24" i="41"/>
  <c r="L17" i="41"/>
  <c r="L12" i="42"/>
  <c r="L36" i="41"/>
  <c r="L21" i="42"/>
  <c r="L30" i="41"/>
  <c r="L19" i="42"/>
  <c r="L20" i="42"/>
  <c r="L5" i="42"/>
  <c r="L15" i="41"/>
  <c r="L24" i="42"/>
  <c r="L27" i="42"/>
  <c r="L33" i="41"/>
  <c r="L3" i="42"/>
  <c r="L23" i="41"/>
  <c r="L19" i="41"/>
  <c r="L18" i="41"/>
  <c r="L25" i="41"/>
  <c r="L6" i="42"/>
  <c r="L36" i="42"/>
  <c r="L4" i="41"/>
  <c r="L33" i="42"/>
  <c r="L35" i="41"/>
  <c r="L7" i="41"/>
  <c r="L18" i="42"/>
  <c r="L11" i="42"/>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2" i="43"/>
  <c r="K19" i="40"/>
  <c r="K21" i="43"/>
  <c r="K11" i="43"/>
  <c r="K8" i="43"/>
  <c r="K29" i="43"/>
  <c r="K16" i="43"/>
  <c r="K7" i="40"/>
  <c r="K8" i="40"/>
  <c r="K4" i="43"/>
  <c r="K35" i="40"/>
  <c r="K6" i="43"/>
  <c r="K31" i="40"/>
  <c r="K12" i="40"/>
  <c r="K34" i="40"/>
  <c r="K32" i="43"/>
  <c r="K13" i="40"/>
  <c r="K4" i="40"/>
  <c r="K17" i="43"/>
  <c r="K7" i="43"/>
  <c r="K28" i="40"/>
  <c r="K5" i="40"/>
  <c r="K28" i="43"/>
  <c r="K26" i="43"/>
  <c r="K25" i="43"/>
  <c r="K16" i="40"/>
  <c r="K19" i="43"/>
  <c r="K33" i="40"/>
  <c r="K18" i="43"/>
  <c r="K36" i="43"/>
  <c r="K11" i="40"/>
  <c r="K36" i="40"/>
  <c r="K32" i="40"/>
  <c r="K30" i="40"/>
  <c r="K15" i="40"/>
  <c r="K12" i="43"/>
  <c r="K14" i="43"/>
  <c r="K29" i="40"/>
  <c r="K14" i="40"/>
  <c r="K15" i="43"/>
  <c r="K20" i="40"/>
  <c r="K18" i="40"/>
  <c r="K21" i="40"/>
  <c r="K10" i="40"/>
  <c r="K22" i="40"/>
  <c r="K9" i="43"/>
  <c r="K6" i="40"/>
  <c r="K35" i="43"/>
  <c r="K26" i="40"/>
  <c r="K23" i="43"/>
  <c r="K5" i="43"/>
  <c r="K33" i="43"/>
  <c r="K23" i="40"/>
  <c r="K13" i="43"/>
  <c r="K24" i="40"/>
  <c r="K24" i="43"/>
  <c r="K9" i="40"/>
  <c r="K27" i="40"/>
  <c r="K31" i="43"/>
  <c r="K10" i="43"/>
  <c r="K25" i="40"/>
  <c r="K20" i="43"/>
  <c r="K17" i="40"/>
  <c r="K34" i="43"/>
  <c r="K27" i="43"/>
  <c r="K30" i="43"/>
  <c r="K2" i="41"/>
  <c r="K2" i="40"/>
  <c r="J2" i="42" l="1"/>
  <c r="J2" i="43"/>
  <c r="C1" i="38"/>
  <c r="L35" i="43"/>
  <c r="L29" i="40"/>
  <c r="L5" i="43"/>
  <c r="L17" i="40"/>
  <c r="L12" i="40"/>
  <c r="L23" i="43"/>
  <c r="L33" i="40"/>
  <c r="L16" i="40"/>
  <c r="L2" i="40"/>
  <c r="L14" i="43"/>
  <c r="L7" i="40"/>
  <c r="L22" i="43"/>
  <c r="L24" i="43"/>
  <c r="L26" i="40"/>
  <c r="L17" i="43"/>
  <c r="L32" i="40"/>
  <c r="L6" i="40"/>
  <c r="L23" i="40"/>
  <c r="L35" i="40"/>
  <c r="L18" i="40"/>
  <c r="L32" i="43"/>
  <c r="L4" i="40"/>
  <c r="L22" i="40"/>
  <c r="L25" i="40"/>
  <c r="L14" i="40"/>
  <c r="L21" i="43"/>
  <c r="L19" i="40"/>
  <c r="L9" i="43"/>
  <c r="L28" i="40"/>
  <c r="L6" i="43"/>
  <c r="L25" i="43"/>
  <c r="L18" i="43"/>
  <c r="K2" i="42"/>
  <c r="L31" i="43"/>
  <c r="L15" i="43"/>
  <c r="L7" i="43"/>
  <c r="L13" i="43"/>
  <c r="L10" i="43"/>
  <c r="L34" i="40"/>
  <c r="L31" i="40"/>
  <c r="L11" i="43"/>
  <c r="L30" i="40"/>
  <c r="L11" i="40"/>
  <c r="L9" i="40"/>
  <c r="L12" i="43"/>
  <c r="L8" i="40"/>
  <c r="L13" i="40"/>
  <c r="L20" i="40"/>
  <c r="L10" i="40"/>
  <c r="L34" i="43"/>
  <c r="L33" i="43"/>
  <c r="L27" i="43"/>
  <c r="L21" i="40"/>
  <c r="L28" i="43"/>
  <c r="L2" i="41"/>
  <c r="L16" i="43"/>
  <c r="L5" i="40"/>
  <c r="K2" i="43"/>
  <c r="L19" i="43"/>
  <c r="L15" i="40"/>
  <c r="L26" i="43"/>
  <c r="L24" i="40"/>
  <c r="L36" i="43"/>
  <c r="L27" i="40"/>
  <c r="L8" i="43"/>
  <c r="L30" i="43"/>
  <c r="L36" i="40"/>
  <c r="L29" i="43"/>
  <c r="L4" i="43"/>
  <c r="L20"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61" i="38"/>
  <c r="D9" i="38"/>
  <c r="D25" i="38"/>
  <c r="D15" i="38"/>
  <c r="D10" i="38"/>
  <c r="D11" i="38"/>
  <c r="D54" i="38"/>
  <c r="D19" i="38"/>
  <c r="D13" i="38"/>
  <c r="D21" i="38"/>
  <c r="D36" i="38"/>
  <c r="D28" i="38"/>
  <c r="D49" i="38"/>
  <c r="D23" i="38"/>
  <c r="D20" i="38"/>
  <c r="D52" i="38"/>
  <c r="D18" i="38"/>
  <c r="D56" i="38"/>
  <c r="D30" i="38"/>
  <c r="D22" i="38"/>
  <c r="D7" i="38"/>
  <c r="D3" i="38"/>
  <c r="D34" i="38"/>
  <c r="D42" i="38"/>
  <c r="D29" i="38"/>
  <c r="D50" i="38"/>
  <c r="D48" i="38"/>
  <c r="D60" i="38"/>
  <c r="D33" i="38"/>
  <c r="D32" i="38"/>
  <c r="D44" i="38"/>
  <c r="D12" i="38"/>
  <c r="D55" i="38"/>
  <c r="D58" i="38"/>
  <c r="D26" i="38"/>
  <c r="D63" i="38"/>
  <c r="D37" i="38"/>
  <c r="D16" i="38"/>
  <c r="D51" i="38"/>
  <c r="D4" i="38"/>
  <c r="D17" i="38"/>
  <c r="D31" i="38"/>
  <c r="D57" i="38"/>
  <c r="D38" i="38"/>
  <c r="D27" i="38"/>
  <c r="D46" i="38"/>
  <c r="D39" i="38"/>
  <c r="D47" i="38"/>
  <c r="D6" i="38"/>
  <c r="D62" i="38"/>
  <c r="D43" i="38"/>
  <c r="D14" i="38"/>
  <c r="D59" i="38"/>
  <c r="D64" i="38"/>
  <c r="D24" i="38"/>
  <c r="D40" i="38"/>
  <c r="D35" i="38"/>
  <c r="D5" i="38"/>
  <c r="D41" i="38"/>
  <c r="D53" i="38"/>
  <c r="D45" i="38"/>
  <c r="D8" i="38"/>
  <c r="L2" i="42"/>
  <c r="L2" i="43"/>
  <c r="C2" i="37" l="1"/>
  <c r="C3" i="37"/>
  <c r="C4" i="37"/>
  <c r="C5" i="37"/>
  <c r="C6" i="37"/>
  <c r="C7" i="37"/>
  <c r="C8" i="37"/>
  <c r="C9" i="37"/>
  <c r="C10" i="37"/>
  <c r="C11" i="37"/>
  <c r="C12" i="37"/>
  <c r="C13" i="37"/>
  <c r="C14" i="37"/>
  <c r="C15" i="37"/>
  <c r="C16" i="37"/>
  <c r="C1" i="36"/>
  <c r="D5" i="37"/>
  <c r="D6" i="37"/>
  <c r="E55" i="38"/>
  <c r="E21" i="38"/>
  <c r="E16" i="38"/>
  <c r="E58" i="38"/>
  <c r="D12" i="37"/>
  <c r="D13" i="37"/>
  <c r="E17" i="38"/>
  <c r="E39" i="38"/>
  <c r="D4" i="37"/>
  <c r="E15" i="38"/>
  <c r="E63" i="38"/>
  <c r="D10" i="37"/>
  <c r="E6" i="38"/>
  <c r="E46" i="38"/>
  <c r="E13" i="38"/>
  <c r="E5" i="38"/>
  <c r="E32" i="38"/>
  <c r="E37" i="38"/>
  <c r="E27" i="38"/>
  <c r="D15" i="37"/>
  <c r="E29" i="38"/>
  <c r="D16" i="37"/>
  <c r="E3" i="38"/>
  <c r="E23" i="38"/>
  <c r="E56" i="38"/>
  <c r="E64" i="38"/>
  <c r="E25" i="38"/>
  <c r="E59" i="38"/>
  <c r="E12" i="38"/>
  <c r="E35" i="38"/>
  <c r="E53" i="38"/>
  <c r="D8" i="37"/>
  <c r="E49" i="38"/>
  <c r="E20" i="38"/>
  <c r="E28" i="38"/>
  <c r="E36" i="38"/>
  <c r="E62" i="38"/>
  <c r="D11" i="37"/>
  <c r="D9" i="37"/>
  <c r="E61" i="38"/>
  <c r="E40" i="38"/>
  <c r="E57" i="38"/>
  <c r="E50" i="38"/>
  <c r="E22" i="38"/>
  <c r="E45" i="38"/>
  <c r="E14" i="38"/>
  <c r="E18" i="38"/>
  <c r="E51" i="38"/>
  <c r="D3" i="37"/>
  <c r="E7" i="38"/>
  <c r="E48" i="38"/>
  <c r="D14" i="37"/>
  <c r="E4" i="38"/>
  <c r="E43" i="38"/>
  <c r="E34" i="38"/>
  <c r="E42" i="38"/>
  <c r="E10" i="38"/>
  <c r="E24" i="38"/>
  <c r="E52" i="38"/>
  <c r="E26" i="38"/>
  <c r="E19" i="38"/>
  <c r="D7" i="37"/>
  <c r="E54" i="38"/>
  <c r="E11" i="38"/>
  <c r="E38" i="38"/>
  <c r="E60" i="38"/>
  <c r="E44" i="38"/>
  <c r="E41" i="38"/>
  <c r="E31" i="38"/>
  <c r="E47" i="38"/>
  <c r="E33" i="38"/>
  <c r="E30" i="38"/>
  <c r="E8" i="38"/>
  <c r="E9" i="38"/>
  <c r="C2" i="36" l="1"/>
  <c r="C3" i="36"/>
  <c r="C4" i="36"/>
  <c r="C5" i="36"/>
  <c r="C6" i="36"/>
  <c r="C7" i="36"/>
  <c r="C8" i="36"/>
  <c r="C9" i="36"/>
  <c r="C10" i="36"/>
  <c r="C11" i="36"/>
  <c r="C12" i="36"/>
  <c r="C13" i="36"/>
  <c r="C1" i="35"/>
  <c r="E9" i="37"/>
  <c r="E6" i="37"/>
  <c r="E13" i="37"/>
  <c r="E11" i="37"/>
  <c r="D10" i="36"/>
  <c r="E7" i="37"/>
  <c r="D12" i="36"/>
  <c r="E3" i="37"/>
  <c r="E4" i="37"/>
  <c r="D8" i="36"/>
  <c r="E12" i="37"/>
  <c r="D3" i="36"/>
  <c r="D4" i="36"/>
  <c r="E10" i="37"/>
  <c r="E16" i="37"/>
  <c r="E15" i="37"/>
  <c r="D13" i="36"/>
  <c r="E14" i="37"/>
  <c r="E8" i="37"/>
  <c r="D5" i="36"/>
  <c r="D9" i="36"/>
  <c r="E5" i="37"/>
  <c r="D11" i="36"/>
  <c r="D6" i="36"/>
  <c r="D7" i="36"/>
  <c r="C2" i="35" l="1"/>
  <c r="C3" i="35"/>
  <c r="C4" i="35"/>
  <c r="C5" i="35"/>
  <c r="C6" i="35"/>
  <c r="C7" i="35"/>
  <c r="C8" i="35"/>
  <c r="C9" i="35"/>
  <c r="C10" i="35"/>
  <c r="C11" i="35"/>
  <c r="C2" i="34"/>
  <c r="C3" i="34"/>
  <c r="C4" i="34"/>
  <c r="D9" i="35"/>
  <c r="E10" i="36"/>
  <c r="E4" i="36"/>
  <c r="D3" i="34"/>
  <c r="D10" i="35"/>
  <c r="D11" i="35"/>
  <c r="D5" i="35"/>
  <c r="E13" i="36"/>
  <c r="D6" i="35"/>
  <c r="E3" i="36"/>
  <c r="D8" i="35"/>
  <c r="E9" i="36"/>
  <c r="E12" i="36"/>
  <c r="D4" i="34"/>
  <c r="E6" i="36"/>
  <c r="D7" i="35"/>
  <c r="D3" i="35"/>
  <c r="E5" i="36"/>
  <c r="E7" i="36"/>
  <c r="E8" i="36"/>
  <c r="E11" i="36"/>
  <c r="D4" i="35"/>
  <c r="D2" i="35"/>
  <c r="D2" i="36"/>
  <c r="D2" i="38"/>
  <c r="D2" i="37"/>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9" i="35"/>
  <c r="F15" i="28"/>
  <c r="F12" i="29"/>
  <c r="F5" i="28"/>
  <c r="F6" i="29"/>
  <c r="F11" i="28"/>
  <c r="F23" i="28"/>
  <c r="F37" i="28"/>
  <c r="F17" i="28"/>
  <c r="F10" i="29"/>
  <c r="F18" i="28"/>
  <c r="F13" i="29"/>
  <c r="F6" i="28"/>
  <c r="F7" i="29"/>
  <c r="F14" i="29"/>
  <c r="F38" i="28"/>
  <c r="F8" i="30"/>
  <c r="F7" i="30"/>
  <c r="F27" i="28"/>
  <c r="F34" i="28"/>
  <c r="E7" i="35"/>
  <c r="F36" i="28"/>
  <c r="F7" i="28"/>
  <c r="F19" i="28"/>
  <c r="F20" i="28"/>
  <c r="F9" i="30"/>
  <c r="F12" i="28"/>
  <c r="D42" i="28"/>
  <c r="F10" i="28"/>
  <c r="F9" i="28"/>
  <c r="F11" i="29"/>
  <c r="E8" i="35"/>
  <c r="F39" i="28"/>
  <c r="F21" i="28"/>
  <c r="E4" i="35"/>
  <c r="F5" i="30"/>
  <c r="F8" i="29"/>
  <c r="F24" i="28"/>
  <c r="F30" i="28"/>
  <c r="F32" i="28"/>
  <c r="F13" i="28"/>
  <c r="E6" i="35"/>
  <c r="E3" i="35"/>
  <c r="F16" i="28"/>
  <c r="F11" i="30"/>
  <c r="F15" i="29"/>
  <c r="F31" i="28"/>
  <c r="E4" i="34"/>
  <c r="F40" i="28"/>
  <c r="E11" i="35"/>
  <c r="E3" i="34"/>
  <c r="F10" i="30"/>
  <c r="F9" i="29"/>
  <c r="F29" i="28"/>
  <c r="E10" i="35"/>
  <c r="F26" i="28"/>
  <c r="F6" i="30"/>
  <c r="F5" i="29"/>
  <c r="E5" i="35"/>
  <c r="F8" i="28"/>
  <c r="F14" i="28"/>
  <c r="F22" i="28"/>
  <c r="F25" i="28"/>
  <c r="F28" i="28"/>
  <c r="F35" i="28"/>
  <c r="F33" i="28"/>
  <c r="E2" i="34"/>
  <c r="E2" i="35"/>
  <c r="E2" i="38"/>
  <c r="E2" i="37"/>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14" i="28"/>
  <c r="G10" i="30"/>
  <c r="G27" i="28"/>
  <c r="F38" i="32"/>
  <c r="G11" i="29"/>
  <c r="Y8" i="28"/>
  <c r="Y29" i="28"/>
  <c r="Y36" i="28"/>
  <c r="Y35" i="28"/>
  <c r="Y30" i="28"/>
  <c r="Y27" i="28"/>
  <c r="Y28" i="28"/>
  <c r="G9" i="29"/>
  <c r="Y23" i="28"/>
  <c r="F30" i="32"/>
  <c r="G37" i="28"/>
  <c r="G35" i="28"/>
  <c r="G36" i="28"/>
  <c r="G29" i="28"/>
  <c r="G6" i="28"/>
  <c r="G38" i="28"/>
  <c r="G8" i="30"/>
  <c r="G10" i="28"/>
  <c r="G17" i="28"/>
  <c r="Y5" i="28"/>
  <c r="Y33" i="28"/>
  <c r="Y10" i="28"/>
  <c r="D43" i="28"/>
  <c r="Y25" i="28"/>
  <c r="G22" i="28"/>
  <c r="G33" i="28"/>
  <c r="F27" i="32"/>
  <c r="G19" i="28"/>
  <c r="G7" i="28"/>
  <c r="F22" i="32"/>
  <c r="Y15" i="28"/>
  <c r="G12" i="28"/>
  <c r="F35" i="32"/>
  <c r="Y13" i="28"/>
  <c r="G16" i="28"/>
  <c r="F22" i="31"/>
  <c r="G18" i="28"/>
  <c r="Y22" i="28"/>
  <c r="Y6" i="28"/>
  <c r="G8" i="29"/>
  <c r="G11" i="30"/>
  <c r="F30" i="31"/>
  <c r="G21" i="28"/>
  <c r="G9" i="30"/>
  <c r="Y12" i="28"/>
  <c r="G10" i="29"/>
  <c r="G39" i="28"/>
  <c r="Y31" i="28"/>
  <c r="G7" i="30"/>
  <c r="Y21" i="28"/>
  <c r="Y40" i="28"/>
  <c r="G23" i="28"/>
  <c r="G30" i="28"/>
  <c r="G20" i="28"/>
  <c r="F32" i="31"/>
  <c r="G9" i="28"/>
  <c r="G12" i="29"/>
  <c r="Y34" i="28"/>
  <c r="G5" i="29"/>
  <c r="G25" i="28"/>
  <c r="F38" i="31"/>
  <c r="Y32" i="28"/>
  <c r="G7" i="29"/>
  <c r="Y9" i="28"/>
  <c r="G40" i="28"/>
  <c r="G6" i="29"/>
  <c r="G24" i="28"/>
  <c r="Y24" i="28"/>
  <c r="G5" i="30"/>
  <c r="F27" i="31"/>
  <c r="G5" i="28"/>
  <c r="G8" i="28"/>
  <c r="Y17" i="28"/>
  <c r="G34" i="28"/>
  <c r="F42" i="28"/>
  <c r="F19" i="32"/>
  <c r="Y19" i="28"/>
  <c r="Y16" i="28"/>
  <c r="G32" i="28"/>
  <c r="Y7" i="28"/>
  <c r="G13" i="28"/>
  <c r="Y26" i="28"/>
  <c r="F24" i="31"/>
  <c r="G26" i="28"/>
  <c r="G14" i="28"/>
  <c r="G13" i="29"/>
  <c r="Y37" i="28"/>
  <c r="F11" i="32"/>
  <c r="F35" i="31"/>
  <c r="Y18" i="28"/>
  <c r="G6" i="30"/>
  <c r="G11" i="28"/>
  <c r="G14" i="29"/>
  <c r="F19" i="31"/>
  <c r="F16" i="31"/>
  <c r="G15" i="29"/>
  <c r="G31" i="28"/>
  <c r="Y20" i="28"/>
  <c r="Y39" i="28"/>
  <c r="Y38" i="28"/>
  <c r="G28" i="28"/>
  <c r="Y11" i="28"/>
  <c r="G15" i="28"/>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37" i="32"/>
  <c r="F8" i="32"/>
  <c r="F10" i="32"/>
  <c r="F12" i="31"/>
  <c r="F28" i="31"/>
  <c r="F41" i="32"/>
  <c r="F26" i="31"/>
  <c r="G27" i="32"/>
  <c r="F9" i="32"/>
  <c r="G22" i="31"/>
  <c r="F12" i="32"/>
  <c r="G35" i="32"/>
  <c r="F21" i="31"/>
  <c r="F28" i="32"/>
  <c r="F15" i="32"/>
  <c r="F34" i="32"/>
  <c r="F23" i="32"/>
  <c r="G19" i="32"/>
  <c r="F39" i="31"/>
  <c r="G24" i="31"/>
  <c r="F17" i="31"/>
  <c r="F36" i="31"/>
  <c r="G42" i="28"/>
  <c r="F14" i="32"/>
  <c r="F13" i="32"/>
  <c r="F6" i="31"/>
  <c r="F26" i="32"/>
  <c r="F17" i="32"/>
  <c r="F7" i="32"/>
  <c r="F14" i="31"/>
  <c r="F11" i="31"/>
  <c r="F31" i="31"/>
  <c r="G38" i="32"/>
  <c r="AC27" i="32"/>
  <c r="AC22" i="32"/>
  <c r="F23" i="31"/>
  <c r="F42" i="31"/>
  <c r="F25" i="32"/>
  <c r="AC35" i="32"/>
  <c r="F25" i="31"/>
  <c r="F33" i="31"/>
  <c r="G30" i="31"/>
  <c r="F40" i="31"/>
  <c r="F42" i="32"/>
  <c r="F32" i="32"/>
  <c r="F40" i="32"/>
  <c r="G30" i="32"/>
  <c r="D44" i="28"/>
  <c r="G11" i="32"/>
  <c r="AC30" i="32"/>
  <c r="F31" i="32"/>
  <c r="F9" i="31"/>
  <c r="F6" i="32"/>
  <c r="F15" i="31"/>
  <c r="F8" i="31"/>
  <c r="F37" i="31"/>
  <c r="AC19" i="32"/>
  <c r="F10" i="31"/>
  <c r="F43" i="28"/>
  <c r="F29" i="31"/>
  <c r="F21" i="32"/>
  <c r="G16" i="31"/>
  <c r="AC38" i="32"/>
  <c r="G32" i="31"/>
  <c r="F7" i="31"/>
  <c r="F39" i="32"/>
  <c r="G19" i="31"/>
  <c r="F18" i="31"/>
  <c r="F18" i="32"/>
  <c r="G27" i="31"/>
  <c r="F16" i="32"/>
  <c r="F20" i="31"/>
  <c r="G38" i="31"/>
  <c r="F29" i="32"/>
  <c r="F36" i="32"/>
  <c r="F41" i="31"/>
  <c r="G22" i="32"/>
  <c r="AC11" i="32"/>
  <c r="F20" i="32"/>
  <c r="G35" i="31"/>
  <c r="F13" i="31"/>
  <c r="F24" i="32"/>
  <c r="F34" i="31"/>
  <c r="F33" i="32"/>
  <c r="E44" i="28" l="1"/>
  <c r="G20" i="32"/>
  <c r="AC15" i="32"/>
  <c r="G13" i="32"/>
  <c r="G11" i="31"/>
  <c r="G33" i="32"/>
  <c r="G10" i="32"/>
  <c r="AC6" i="32"/>
  <c r="AC9" i="32"/>
  <c r="AC39" i="32"/>
  <c r="G25" i="31"/>
  <c r="G13" i="31"/>
  <c r="AC16" i="32"/>
  <c r="G31" i="31"/>
  <c r="AC10" i="32"/>
  <c r="G42" i="31"/>
  <c r="AC23" i="32"/>
  <c r="G34" i="32"/>
  <c r="AC7" i="32"/>
  <c r="G32" i="32"/>
  <c r="G41" i="32"/>
  <c r="G17" i="32"/>
  <c r="AC34" i="32"/>
  <c r="G14" i="31"/>
  <c r="G6" i="31"/>
  <c r="G12" i="32"/>
  <c r="AC28" i="32"/>
  <c r="AC21" i="32"/>
  <c r="AC24" i="32"/>
  <c r="G8" i="31"/>
  <c r="AC14" i="32"/>
  <c r="G25" i="32"/>
  <c r="G26" i="31"/>
  <c r="AC29" i="32"/>
  <c r="AC37" i="32"/>
  <c r="G7" i="31"/>
  <c r="G28" i="32"/>
  <c r="G43" i="28"/>
  <c r="G6" i="32"/>
  <c r="G16" i="32"/>
  <c r="G41" i="31"/>
  <c r="G23" i="31"/>
  <c r="G28" i="31"/>
  <c r="AC36" i="32"/>
  <c r="G42" i="32"/>
  <c r="AC40" i="32"/>
  <c r="AC33" i="32"/>
  <c r="AC18" i="32"/>
  <c r="AC42" i="32"/>
  <c r="AC32" i="32"/>
  <c r="G20" i="31"/>
  <c r="G9" i="31"/>
  <c r="G37" i="32"/>
  <c r="G33" i="31"/>
  <c r="G10" i="31"/>
  <c r="G9" i="32"/>
  <c r="G14" i="32"/>
  <c r="G39" i="32"/>
  <c r="AC31" i="32"/>
  <c r="G17" i="31"/>
  <c r="AC26" i="32"/>
  <c r="G40" i="32"/>
  <c r="G18" i="31"/>
  <c r="G23" i="32"/>
  <c r="G36" i="31"/>
  <c r="G37" i="31"/>
  <c r="G7" i="32"/>
  <c r="G18" i="32"/>
  <c r="G39" i="31"/>
  <c r="AC12" i="32"/>
  <c r="AC8" i="32"/>
  <c r="G8" i="32"/>
  <c r="AC20" i="32"/>
  <c r="AC25" i="32"/>
  <c r="G34" i="31"/>
  <c r="AC41" i="32"/>
  <c r="D45" i="28"/>
  <c r="AC17" i="32"/>
  <c r="G24" i="32"/>
  <c r="G29" i="32"/>
  <c r="G15" i="32"/>
  <c r="G40" i="31"/>
  <c r="G29" i="31"/>
  <c r="G15" i="31"/>
  <c r="G36" i="32"/>
  <c r="G31" i="32"/>
  <c r="G21" i="31"/>
  <c r="F44" i="28"/>
  <c r="G12" i="31"/>
  <c r="AC13" i="32"/>
  <c r="G21" i="32"/>
  <c r="G26" i="32"/>
  <c r="E45" i="28" l="1"/>
  <c r="F45" i="28"/>
  <c r="G44" i="28"/>
  <c r="D46" i="28"/>
  <c r="E46" i="28" l="1"/>
  <c r="D47" i="28"/>
  <c r="G45" i="28"/>
  <c r="F46" i="28"/>
  <c r="E47" i="28" l="1"/>
  <c r="D48" i="28"/>
  <c r="G46" i="28"/>
  <c r="F47" i="28"/>
  <c r="E48" i="28" l="1"/>
  <c r="F48" i="28"/>
  <c r="G47" i="28"/>
  <c r="D49" i="28"/>
  <c r="D50" i="28" s="1"/>
  <c r="D51" i="28"/>
  <c r="E50" i="28" l="1"/>
  <c r="E49" i="28"/>
  <c r="E51" i="28"/>
  <c r="D52" i="28"/>
  <c r="D53" i="28"/>
  <c r="D54" i="28"/>
  <c r="G48" i="28"/>
  <c r="F50" i="28"/>
  <c r="F51" i="28"/>
  <c r="G50" i="28"/>
  <c r="F49" i="28"/>
  <c r="E52" i="28" l="1"/>
  <c r="E53" i="28"/>
  <c r="E54" i="28"/>
  <c r="G49" i="28"/>
  <c r="F53" i="28"/>
  <c r="F54" i="28"/>
  <c r="G51" i="28"/>
  <c r="D55" i="28"/>
  <c r="D56" i="28" s="1"/>
  <c r="F52" i="28"/>
  <c r="G52" i="28" s="1"/>
  <c r="G54" i="28"/>
  <c r="E55" i="28" l="1"/>
  <c r="E56" i="28"/>
  <c r="G53" i="28"/>
  <c r="F55" i="28"/>
  <c r="D57" i="28"/>
  <c r="F56" i="28"/>
  <c r="G55" i="28"/>
  <c r="G56" i="28"/>
  <c r="E57" i="28" l="1"/>
  <c r="D58" i="28"/>
  <c r="F57" i="28"/>
  <c r="G57" i="28"/>
  <c r="E58" i="28" l="1"/>
  <c r="F58" i="28"/>
  <c r="D59" i="28"/>
  <c r="G58" i="28"/>
  <c r="E59" i="28" l="1"/>
  <c r="D60" i="28"/>
  <c r="F59" i="28"/>
  <c r="D61" i="28"/>
  <c r="G59" i="28"/>
  <c r="E60" i="28" l="1"/>
  <c r="E61" i="28"/>
  <c r="D62" i="28"/>
  <c r="F60" i="28"/>
  <c r="G60" i="28" s="1"/>
  <c r="D63" i="28"/>
  <c r="F61" i="28"/>
  <c r="G61" i="28"/>
  <c r="E62" i="28" l="1"/>
  <c r="E63" i="28"/>
  <c r="D64" i="28"/>
  <c r="F63" i="28"/>
  <c r="F62" i="28"/>
  <c r="D65" i="28"/>
  <c r="G62" i="28"/>
  <c r="G63" i="28"/>
  <c r="E64" i="28" l="1"/>
  <c r="E65" i="28"/>
  <c r="F65" i="28"/>
  <c r="D66" i="28"/>
  <c r="F64" i="28"/>
  <c r="G64" i="28"/>
  <c r="G65" i="28"/>
  <c r="E66" i="28" l="1"/>
  <c r="D67" i="28"/>
  <c r="F66" i="28"/>
  <c r="G66" i="28"/>
  <c r="E67" i="28" l="1"/>
  <c r="F67" i="28"/>
  <c r="D68" i="28"/>
  <c r="G67" i="28"/>
  <c r="E68" i="28" l="1"/>
  <c r="F68" i="28"/>
  <c r="D69" i="28"/>
  <c r="F4" i="30"/>
  <c r="G68" i="28"/>
  <c r="F4" i="29"/>
  <c r="F5" i="32"/>
  <c r="F5" i="31"/>
  <c r="E69" i="28" l="1"/>
  <c r="B4" i="26"/>
  <c r="B5" i="26"/>
  <c r="B6" i="26"/>
  <c r="E4"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21" i="21"/>
  <c r="E16" i="22"/>
  <c r="D11" i="21"/>
  <c r="D19" i="21"/>
  <c r="D5" i="25" a="1"/>
  <c r="D5" i="21"/>
  <c r="E11" i="22"/>
  <c r="E19" i="22"/>
  <c r="E14" i="22"/>
  <c r="E3" i="22"/>
  <c r="D17" i="21"/>
  <c r="D15" i="21"/>
  <c r="E9" i="22"/>
  <c r="D13" i="21"/>
  <c r="E23" i="22"/>
  <c r="D70" i="28"/>
  <c r="E30" i="22"/>
  <c r="D7" i="21"/>
  <c r="E17" i="22"/>
  <c r="E7" i="22"/>
  <c r="D14" i="21"/>
  <c r="D6" i="21"/>
  <c r="E31" i="22"/>
  <c r="E10" i="22"/>
  <c r="D12" i="21"/>
  <c r="E13" i="22"/>
  <c r="D10" i="21"/>
  <c r="D22" i="21"/>
  <c r="E35" i="22"/>
  <c r="E28" i="22"/>
  <c r="D8" i="21"/>
  <c r="E12" i="22"/>
  <c r="E33" i="22"/>
  <c r="D16" i="21"/>
  <c r="E22" i="22"/>
  <c r="E5" i="22"/>
  <c r="E25" i="22"/>
  <c r="E18" i="22"/>
  <c r="D9" i="21"/>
  <c r="E15" i="22"/>
  <c r="F69" i="28"/>
  <c r="E21" i="22"/>
  <c r="E24" i="22"/>
  <c r="D18" i="21"/>
  <c r="E26" i="22"/>
  <c r="C6" i="26"/>
  <c r="E6" i="22"/>
  <c r="E32" i="22"/>
  <c r="E34" i="22"/>
  <c r="E29" i="22"/>
  <c r="D20" i="21"/>
  <c r="E27" i="22"/>
  <c r="E20" i="22"/>
  <c r="D6" i="23" a="1"/>
  <c r="C5" i="26"/>
  <c r="E8" i="22"/>
  <c r="E4" i="22"/>
  <c r="G4" i="30"/>
  <c r="G4" i="29"/>
  <c r="G69" i="28"/>
  <c r="G5" i="31"/>
  <c r="AC5" i="32"/>
  <c r="G5" i="32"/>
  <c r="E70" i="28" l="1"/>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5" i="22"/>
  <c r="F84" i="25"/>
  <c r="F55" i="23"/>
  <c r="F109" i="23"/>
  <c r="F64" i="23"/>
  <c r="F25" i="23"/>
  <c r="F72" i="25"/>
  <c r="F21" i="23"/>
  <c r="P14" i="21"/>
  <c r="F37" i="25"/>
  <c r="F70" i="25"/>
  <c r="F52" i="23"/>
  <c r="E17" i="21"/>
  <c r="F101" i="25"/>
  <c r="F107" i="23"/>
  <c r="F74" i="23"/>
  <c r="F107" i="25"/>
  <c r="F14" i="25"/>
  <c r="F16" i="22"/>
  <c r="F64" i="25"/>
  <c r="F22" i="23"/>
  <c r="F6" i="23"/>
  <c r="F7" i="23"/>
  <c r="F81" i="23"/>
  <c r="F47" i="25"/>
  <c r="F37" i="23"/>
  <c r="F87" i="25"/>
  <c r="F100" i="25"/>
  <c r="F60" i="23"/>
  <c r="F111" i="23"/>
  <c r="F76" i="25"/>
  <c r="F14" i="23"/>
  <c r="F11" i="23"/>
  <c r="F9" i="23"/>
  <c r="F115" i="25"/>
  <c r="F68" i="25"/>
  <c r="F102" i="23"/>
  <c r="F122" i="25"/>
  <c r="E19" i="21"/>
  <c r="F7" i="25"/>
  <c r="F60" i="25"/>
  <c r="F27" i="23"/>
  <c r="F98" i="25"/>
  <c r="F110" i="25"/>
  <c r="F13" i="23"/>
  <c r="F9" i="25"/>
  <c r="F59" i="25"/>
  <c r="F119" i="23"/>
  <c r="D5" i="26"/>
  <c r="F50" i="25"/>
  <c r="F62" i="23"/>
  <c r="F34" i="25"/>
  <c r="F32" i="25"/>
  <c r="P6" i="21"/>
  <c r="F86" i="25"/>
  <c r="F39" i="23"/>
  <c r="P8" i="21"/>
  <c r="F40" i="25"/>
  <c r="E18" i="21"/>
  <c r="F47" i="23"/>
  <c r="F108" i="25"/>
  <c r="P21" i="21"/>
  <c r="F67" i="23"/>
  <c r="F61" i="25"/>
  <c r="E21" i="21"/>
  <c r="F124" i="25"/>
  <c r="F50" i="23"/>
  <c r="F29" i="25"/>
  <c r="F27" i="22"/>
  <c r="F53" i="23"/>
  <c r="F98" i="23"/>
  <c r="F77" i="25"/>
  <c r="Q5" i="26"/>
  <c r="F79" i="25"/>
  <c r="E13" i="21"/>
  <c r="F44" i="23"/>
  <c r="F120" i="23"/>
  <c r="D71" i="28"/>
  <c r="D72" i="28" s="1"/>
  <c r="F19" i="22"/>
  <c r="F54" i="25"/>
  <c r="F33" i="23"/>
  <c r="F34" i="23"/>
  <c r="F15" i="22"/>
  <c r="F106" i="23"/>
  <c r="F35" i="22"/>
  <c r="P7" i="21"/>
  <c r="F66" i="23"/>
  <c r="F99" i="23"/>
  <c r="E9" i="21"/>
  <c r="F10" i="23"/>
  <c r="F89" i="25"/>
  <c r="F79" i="23"/>
  <c r="F72" i="23"/>
  <c r="F36" i="25"/>
  <c r="F118" i="25"/>
  <c r="F68" i="23"/>
  <c r="F110" i="23"/>
  <c r="D6" i="26"/>
  <c r="F43" i="25"/>
  <c r="F57" i="23"/>
  <c r="F19" i="23"/>
  <c r="F63" i="23"/>
  <c r="F30" i="23"/>
  <c r="F113" i="23"/>
  <c r="F77" i="23"/>
  <c r="F123" i="23"/>
  <c r="F105" i="25"/>
  <c r="F78" i="23"/>
  <c r="F39" i="25"/>
  <c r="F12" i="22"/>
  <c r="F6" i="25"/>
  <c r="E8" i="21"/>
  <c r="F73" i="25"/>
  <c r="F38" i="25"/>
  <c r="F87" i="23"/>
  <c r="F31" i="22"/>
  <c r="F51" i="23"/>
  <c r="F36" i="23"/>
  <c r="F17" i="23"/>
  <c r="F88" i="23"/>
  <c r="F32" i="22"/>
  <c r="F118" i="23"/>
  <c r="F27" i="25"/>
  <c r="F116" i="25"/>
  <c r="P5" i="21"/>
  <c r="F96" i="25"/>
  <c r="E7" i="21"/>
  <c r="F17" i="22"/>
  <c r="F100" i="23"/>
  <c r="F12" i="25"/>
  <c r="F57" i="25"/>
  <c r="P9" i="21"/>
  <c r="E11" i="21"/>
  <c r="F53" i="25"/>
  <c r="F88" i="25"/>
  <c r="F108" i="23"/>
  <c r="F48" i="25"/>
  <c r="F6" i="22"/>
  <c r="F58" i="23"/>
  <c r="F24" i="23"/>
  <c r="F26" i="22"/>
  <c r="F31" i="23"/>
  <c r="F120" i="25"/>
  <c r="E14" i="21"/>
  <c r="F22" i="25"/>
  <c r="F113" i="25"/>
  <c r="F19" i="25"/>
  <c r="F15" i="23"/>
  <c r="F18" i="25"/>
  <c r="F26" i="25"/>
  <c r="F62" i="25"/>
  <c r="F23" i="23"/>
  <c r="F104" i="23"/>
  <c r="F46" i="23"/>
  <c r="F82" i="25"/>
  <c r="F16" i="25"/>
  <c r="F34" i="22"/>
  <c r="F24" i="25"/>
  <c r="F93" i="25"/>
  <c r="F96" i="23"/>
  <c r="F56" i="23"/>
  <c r="F61" i="23"/>
  <c r="F81" i="25"/>
  <c r="F85" i="25"/>
  <c r="F104" i="25"/>
  <c r="F70" i="28"/>
  <c r="F75" i="25"/>
  <c r="F59" i="23"/>
  <c r="F102" i="25"/>
  <c r="F5" i="25"/>
  <c r="F15" i="25"/>
  <c r="F26" i="23"/>
  <c r="P13" i="21"/>
  <c r="F83" i="25"/>
  <c r="F24" i="22"/>
  <c r="F12" i="23"/>
  <c r="F28" i="25"/>
  <c r="F63" i="25"/>
  <c r="F21" i="22"/>
  <c r="F29" i="22"/>
  <c r="F30" i="25"/>
  <c r="F23" i="22"/>
  <c r="F93" i="23"/>
  <c r="F56" i="25"/>
  <c r="F69" i="23"/>
  <c r="F21" i="25"/>
  <c r="F101" i="23"/>
  <c r="F13" i="25"/>
  <c r="F91" i="23"/>
  <c r="F46" i="25"/>
  <c r="F10" i="25"/>
  <c r="F33" i="25"/>
  <c r="F103" i="23"/>
  <c r="F86" i="23"/>
  <c r="Q6" i="26"/>
  <c r="F52" i="25"/>
  <c r="F18" i="22"/>
  <c r="F94" i="25"/>
  <c r="E10" i="21"/>
  <c r="F35" i="25"/>
  <c r="F3" i="22"/>
  <c r="F109" i="25"/>
  <c r="F11" i="22"/>
  <c r="F115" i="23"/>
  <c r="P19" i="21"/>
  <c r="F9" i="22"/>
  <c r="F122" i="23"/>
  <c r="F41" i="23"/>
  <c r="F97" i="23"/>
  <c r="F13" i="22"/>
  <c r="F8" i="22"/>
  <c r="F25" i="22"/>
  <c r="F112" i="23"/>
  <c r="F44" i="25"/>
  <c r="F49" i="23"/>
  <c r="E6" i="21"/>
  <c r="P17" i="21"/>
  <c r="F71" i="23"/>
  <c r="F28" i="23"/>
  <c r="P15" i="21"/>
  <c r="F90" i="23"/>
  <c r="F30" i="22"/>
  <c r="F23" i="25"/>
  <c r="F16" i="23"/>
  <c r="F65" i="25"/>
  <c r="F29" i="23"/>
  <c r="F35" i="23"/>
  <c r="F125" i="23"/>
  <c r="F8" i="23"/>
  <c r="F14" i="22"/>
  <c r="F114" i="25"/>
  <c r="F22" i="22"/>
  <c r="F70" i="23"/>
  <c r="F54" i="23"/>
  <c r="F95" i="25"/>
  <c r="F41" i="25"/>
  <c r="F92" i="25"/>
  <c r="F20" i="25"/>
  <c r="F28" i="22"/>
  <c r="F49" i="25"/>
  <c r="F95" i="23"/>
  <c r="F117" i="25"/>
  <c r="F31" i="25"/>
  <c r="P20" i="21"/>
  <c r="F45" i="25"/>
  <c r="F55" i="25"/>
  <c r="E5" i="21"/>
  <c r="F32" i="23"/>
  <c r="F121" i="23"/>
  <c r="F82" i="23"/>
  <c r="F121" i="25"/>
  <c r="F116" i="23"/>
  <c r="F94" i="23"/>
  <c r="F65" i="23"/>
  <c r="P22" i="21"/>
  <c r="F112" i="25"/>
  <c r="P16" i="21"/>
  <c r="F51" i="25"/>
  <c r="E20" i="21"/>
  <c r="F42" i="25"/>
  <c r="E16" i="21"/>
  <c r="F71" i="25"/>
  <c r="F42" i="23"/>
  <c r="F45" i="23"/>
  <c r="F83" i="23"/>
  <c r="F92" i="23"/>
  <c r="F11" i="25"/>
  <c r="F80" i="25"/>
  <c r="F105" i="23"/>
  <c r="F106" i="25"/>
  <c r="F67" i="25"/>
  <c r="F119" i="25"/>
  <c r="F8" i="25"/>
  <c r="F85" i="23"/>
  <c r="F78" i="25"/>
  <c r="F97" i="25"/>
  <c r="F69" i="25"/>
  <c r="F111" i="25"/>
  <c r="F99" i="25"/>
  <c r="F89" i="23"/>
  <c r="F74" i="25"/>
  <c r="F40" i="23"/>
  <c r="F58" i="25"/>
  <c r="E22" i="21"/>
  <c r="F20" i="22"/>
  <c r="F4" i="22"/>
  <c r="E15" i="21"/>
  <c r="F114" i="23"/>
  <c r="F90" i="25"/>
  <c r="P18" i="21"/>
  <c r="F80" i="23"/>
  <c r="F66" i="25"/>
  <c r="P11" i="21"/>
  <c r="P12" i="21"/>
  <c r="F48" i="23"/>
  <c r="F76" i="23"/>
  <c r="F123" i="25"/>
  <c r="F17" i="25"/>
  <c r="F117" i="23"/>
  <c r="F33" i="22"/>
  <c r="F73" i="23"/>
  <c r="F103" i="25"/>
  <c r="F75" i="23"/>
  <c r="F7" i="22"/>
  <c r="F25" i="25"/>
  <c r="P10" i="21"/>
  <c r="F84" i="23"/>
  <c r="F10" i="22"/>
  <c r="F91" i="25"/>
  <c r="F38" i="23"/>
  <c r="F20" i="23"/>
  <c r="F18" i="23"/>
  <c r="F124" i="23"/>
  <c r="E12" i="21"/>
  <c r="F43" i="23"/>
  <c r="D4" i="21"/>
  <c r="F5" i="23"/>
  <c r="F4" i="25"/>
  <c r="G70" i="28"/>
  <c r="E2" i="22"/>
  <c r="C4" i="26"/>
  <c r="E71" i="28" l="1"/>
  <c r="E72" i="28"/>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F71" i="28"/>
  <c r="G81" i="23"/>
  <c r="G8" i="23"/>
  <c r="G50" i="25"/>
  <c r="G71" i="25"/>
  <c r="G12" i="23"/>
  <c r="G21" i="25"/>
  <c r="G28" i="23"/>
  <c r="G42" i="23"/>
  <c r="G93" i="25"/>
  <c r="G112" i="23"/>
  <c r="G104" i="25"/>
  <c r="G123" i="23"/>
  <c r="G119" i="25"/>
  <c r="G101" i="25"/>
  <c r="G92" i="23"/>
  <c r="G46" i="23"/>
  <c r="G21" i="23"/>
  <c r="G39" i="23"/>
  <c r="G24" i="23"/>
  <c r="G41" i="23"/>
  <c r="G17" i="23"/>
  <c r="G96" i="23"/>
  <c r="G7" i="25"/>
  <c r="G93" i="23"/>
  <c r="G91" i="25"/>
  <c r="G97" i="25"/>
  <c r="G51" i="25"/>
  <c r="G16" i="23"/>
  <c r="G9" i="23"/>
  <c r="G18" i="23"/>
  <c r="G63" i="25"/>
  <c r="G65" i="23"/>
  <c r="G43" i="25"/>
  <c r="G112" i="25"/>
  <c r="G110" i="23"/>
  <c r="G115" i="25"/>
  <c r="G13" i="23"/>
  <c r="G109" i="25"/>
  <c r="G85" i="25"/>
  <c r="G111" i="25"/>
  <c r="G66" i="23"/>
  <c r="G122" i="23"/>
  <c r="G25" i="23"/>
  <c r="G22" i="25"/>
  <c r="G122" i="25"/>
  <c r="G20" i="25"/>
  <c r="G79" i="23"/>
  <c r="G57" i="25"/>
  <c r="G85" i="23"/>
  <c r="G98" i="25"/>
  <c r="G55" i="23"/>
  <c r="G88" i="23"/>
  <c r="G75" i="25"/>
  <c r="G61" i="25"/>
  <c r="G111" i="23"/>
  <c r="G46" i="25"/>
  <c r="G69" i="23"/>
  <c r="G86" i="25"/>
  <c r="G42" i="25"/>
  <c r="G28" i="25"/>
  <c r="G101" i="23"/>
  <c r="G22" i="23"/>
  <c r="G115" i="23"/>
  <c r="G102" i="25"/>
  <c r="D73" i="28"/>
  <c r="G56" i="23"/>
  <c r="G14" i="23"/>
  <c r="G69" i="25"/>
  <c r="G116" i="25"/>
  <c r="G52" i="25"/>
  <c r="G40" i="25"/>
  <c r="G82" i="25"/>
  <c r="G37" i="25"/>
  <c r="G83" i="25"/>
  <c r="G99" i="25"/>
  <c r="G35" i="25"/>
  <c r="G120" i="25"/>
  <c r="G53" i="25"/>
  <c r="G72" i="25"/>
  <c r="G80" i="23"/>
  <c r="G95" i="25"/>
  <c r="G109" i="23"/>
  <c r="G29" i="25"/>
  <c r="G49" i="25"/>
  <c r="G105" i="25"/>
  <c r="G75" i="23"/>
  <c r="G102" i="23"/>
  <c r="G82" i="23"/>
  <c r="G16" i="25"/>
  <c r="G55" i="25"/>
  <c r="G65" i="25"/>
  <c r="G56" i="25"/>
  <c r="G73" i="23"/>
  <c r="G99" i="23"/>
  <c r="G117" i="23"/>
  <c r="G100" i="23"/>
  <c r="F72" i="28"/>
  <c r="G106" i="23"/>
  <c r="G95" i="23"/>
  <c r="G25" i="25"/>
  <c r="G44" i="25"/>
  <c r="G105" i="23"/>
  <c r="G48" i="23"/>
  <c r="G118" i="23"/>
  <c r="G63" i="23"/>
  <c r="G113" i="25"/>
  <c r="G9" i="25"/>
  <c r="G76" i="25"/>
  <c r="G107" i="25"/>
  <c r="G41" i="25"/>
  <c r="G81" i="25"/>
  <c r="G121" i="25"/>
  <c r="G71" i="23"/>
  <c r="G54" i="23"/>
  <c r="G70" i="25"/>
  <c r="G113" i="23"/>
  <c r="G33" i="25"/>
  <c r="G125" i="23"/>
  <c r="G66" i="25"/>
  <c r="G108" i="23"/>
  <c r="G30" i="25"/>
  <c r="G73" i="25"/>
  <c r="G60" i="25"/>
  <c r="G15" i="23"/>
  <c r="G10" i="25"/>
  <c r="G45" i="25"/>
  <c r="G19" i="25"/>
  <c r="G7" i="23"/>
  <c r="G110" i="25"/>
  <c r="G89" i="25"/>
  <c r="G68" i="25"/>
  <c r="G36" i="25"/>
  <c r="G32" i="23"/>
  <c r="G47" i="23"/>
  <c r="G114" i="23"/>
  <c r="G72" i="23"/>
  <c r="G58" i="25"/>
  <c r="Q3" i="26"/>
  <c r="G38" i="23"/>
  <c r="G92" i="25"/>
  <c r="G53" i="23"/>
  <c r="G114" i="25"/>
  <c r="G34" i="25"/>
  <c r="G80" i="25"/>
  <c r="G103" i="25"/>
  <c r="G67" i="23"/>
  <c r="G124" i="25"/>
  <c r="G91" i="23"/>
  <c r="G77" i="25"/>
  <c r="G86" i="23"/>
  <c r="G33" i="23"/>
  <c r="G43" i="23"/>
  <c r="G76" i="23"/>
  <c r="G84" i="23"/>
  <c r="G68" i="23"/>
  <c r="G94" i="23"/>
  <c r="G47" i="25"/>
  <c r="G57" i="23"/>
  <c r="G78" i="25"/>
  <c r="G11" i="23"/>
  <c r="G39" i="25"/>
  <c r="G104" i="23"/>
  <c r="G90" i="23"/>
  <c r="G6" i="23"/>
  <c r="G87" i="23"/>
  <c r="G124" i="23"/>
  <c r="G89" i="23"/>
  <c r="G94" i="25"/>
  <c r="G120" i="23"/>
  <c r="G17" i="25"/>
  <c r="G13" i="25"/>
  <c r="G50" i="23"/>
  <c r="G6" i="25"/>
  <c r="G20" i="23"/>
  <c r="G106" i="25"/>
  <c r="G74" i="23"/>
  <c r="G61" i="23"/>
  <c r="G96" i="25"/>
  <c r="G51" i="23"/>
  <c r="G62" i="25"/>
  <c r="G103" i="23"/>
  <c r="G121" i="23"/>
  <c r="G36" i="23"/>
  <c r="G30" i="23"/>
  <c r="G58" i="23"/>
  <c r="G70" i="23"/>
  <c r="G62" i="23"/>
  <c r="G5" i="25"/>
  <c r="G64" i="23"/>
  <c r="G23" i="23"/>
  <c r="G26" i="25"/>
  <c r="G12" i="25"/>
  <c r="G10" i="23"/>
  <c r="G26" i="23"/>
  <c r="G44" i="23"/>
  <c r="G8" i="25"/>
  <c r="G34" i="23"/>
  <c r="G40" i="23"/>
  <c r="G27" i="25"/>
  <c r="G90" i="25"/>
  <c r="G31" i="25"/>
  <c r="G116" i="23"/>
  <c r="G31" i="23"/>
  <c r="G18" i="25"/>
  <c r="G78" i="23"/>
  <c r="G11" i="25"/>
  <c r="G54" i="25"/>
  <c r="G37" i="23"/>
  <c r="G52" i="23"/>
  <c r="G32" i="25"/>
  <c r="G79" i="25"/>
  <c r="G49" i="23"/>
  <c r="G15" i="25"/>
  <c r="G100" i="25"/>
  <c r="G108" i="25"/>
  <c r="G117" i="25"/>
  <c r="G19" i="23"/>
  <c r="G88" i="25"/>
  <c r="G119" i="23"/>
  <c r="G38" i="25"/>
  <c r="G24" i="25"/>
  <c r="G84" i="25"/>
  <c r="G23" i="25"/>
  <c r="G60" i="23"/>
  <c r="G14" i="25"/>
  <c r="G59" i="23"/>
  <c r="G59" i="25"/>
  <c r="G64" i="25"/>
  <c r="G83" i="23"/>
  <c r="G123" i="25"/>
  <c r="G107" i="23"/>
  <c r="G74" i="25"/>
  <c r="G48" i="25"/>
  <c r="G27" i="23"/>
  <c r="G118" i="25"/>
  <c r="G97" i="23"/>
  <c r="G67" i="25"/>
  <c r="G98" i="23"/>
  <c r="G45" i="23"/>
  <c r="G87" i="25"/>
  <c r="G35" i="23"/>
  <c r="G77" i="23"/>
  <c r="G29" i="23"/>
  <c r="E4" i="21"/>
  <c r="D4" i="26"/>
  <c r="G4" i="25"/>
  <c r="G72" i="28"/>
  <c r="G71" i="28"/>
  <c r="G5" i="23"/>
  <c r="F2" i="22"/>
  <c r="E73" i="28" l="1"/>
  <c r="E5" i="17"/>
  <c r="E5" i="19"/>
  <c r="C6" i="19"/>
  <c r="E5" i="18"/>
  <c r="E4" i="18"/>
  <c r="C7" i="18"/>
  <c r="E6" i="18"/>
  <c r="C6" i="17"/>
  <c r="F73" i="28"/>
  <c r="F6" i="18"/>
  <c r="F5" i="19"/>
  <c r="F5" i="17"/>
  <c r="F5" i="18"/>
  <c r="D74" i="28"/>
  <c r="G73" i="28"/>
  <c r="E74" i="28" l="1"/>
  <c r="C7" i="19"/>
  <c r="E6" i="19"/>
  <c r="E7" i="18"/>
  <c r="C8" i="18"/>
  <c r="E4" i="17"/>
  <c r="C7" i="17"/>
  <c r="E6" i="17"/>
  <c r="G5" i="19"/>
  <c r="G5" i="17"/>
  <c r="D75" i="28"/>
  <c r="F6" i="19"/>
  <c r="F74" i="28"/>
  <c r="G5" i="18"/>
  <c r="F7" i="18"/>
  <c r="F6" i="17"/>
  <c r="G6" i="18"/>
  <c r="G74" i="28"/>
  <c r="E75" i="28" l="1"/>
  <c r="E7" i="19"/>
  <c r="C8" i="19"/>
  <c r="E8" i="18"/>
  <c r="C9" i="18"/>
  <c r="C8" i="17"/>
  <c r="E7" i="17"/>
  <c r="F8" i="18"/>
  <c r="G6" i="19"/>
  <c r="D76" i="28"/>
  <c r="G7" i="18"/>
  <c r="F7" i="19"/>
  <c r="F7" i="17"/>
  <c r="D77" i="28"/>
  <c r="G6" i="17"/>
  <c r="F75" i="28"/>
  <c r="G75" i="28"/>
  <c r="E76" i="28" l="1"/>
  <c r="E77" i="28"/>
  <c r="E8" i="19"/>
  <c r="C9" i="19"/>
  <c r="C10" i="18"/>
  <c r="E9" i="18"/>
  <c r="E8" i="17"/>
  <c r="C9" i="17"/>
  <c r="F8" i="19"/>
  <c r="G7" i="19"/>
  <c r="G7" i="17"/>
  <c r="G8" i="18"/>
  <c r="F8" i="17"/>
  <c r="F9" i="18"/>
  <c r="F76" i="28"/>
  <c r="F77" i="28"/>
  <c r="G76" i="28"/>
  <c r="F4" i="28"/>
  <c r="G77" i="28"/>
  <c r="E4" i="19" l="1"/>
  <c r="C10" i="19"/>
  <c r="E9" i="19"/>
  <c r="E10" i="18"/>
  <c r="C11" i="18"/>
  <c r="C10" i="17"/>
  <c r="E9" i="17"/>
  <c r="F9" i="17"/>
  <c r="G8" i="17"/>
  <c r="G9" i="18"/>
  <c r="F9" i="19"/>
  <c r="G8" i="19"/>
  <c r="F10" i="18"/>
  <c r="G4" i="28"/>
  <c r="E10" i="19" l="1"/>
  <c r="C11" i="19"/>
  <c r="E11" i="18"/>
  <c r="C12" i="18"/>
  <c r="E10" i="17"/>
  <c r="C11" i="17"/>
  <c r="G9" i="19"/>
  <c r="F10" i="19"/>
  <c r="F11" i="18"/>
  <c r="F10" i="17"/>
  <c r="G10" i="18"/>
  <c r="G9" i="17"/>
  <c r="C12" i="19" l="1"/>
  <c r="E11" i="19"/>
  <c r="C13" i="18"/>
  <c r="E12" i="18"/>
  <c r="C12" i="17"/>
  <c r="E11" i="17"/>
  <c r="F11" i="19"/>
  <c r="F12" i="18"/>
  <c r="G10" i="17"/>
  <c r="G11" i="18"/>
  <c r="F11" i="17"/>
  <c r="G10" i="19"/>
  <c r="E12" i="19" l="1"/>
  <c r="C13" i="19"/>
  <c r="E13" i="18"/>
  <c r="C14" i="18"/>
  <c r="E12" i="17"/>
  <c r="C13" i="17"/>
  <c r="F13" i="18"/>
  <c r="G12" i="18"/>
  <c r="G11" i="17"/>
  <c r="F12" i="17"/>
  <c r="G11" i="19"/>
  <c r="F12" i="19"/>
  <c r="E13" i="19" l="1"/>
  <c r="C14" i="19"/>
  <c r="C15" i="18"/>
  <c r="E14" i="18"/>
  <c r="E13" i="17"/>
  <c r="C14" i="17"/>
  <c r="F13" i="17"/>
  <c r="G12" i="17"/>
  <c r="G12" i="19"/>
  <c r="F14" i="18"/>
  <c r="G13" i="18"/>
  <c r="F13" i="19"/>
  <c r="C15" i="19" l="1"/>
  <c r="E14" i="19"/>
  <c r="C16" i="18"/>
  <c r="E15" i="18"/>
  <c r="C15" i="17"/>
  <c r="E14" i="17"/>
  <c r="G13" i="19"/>
  <c r="F14" i="19"/>
  <c r="G14" i="18"/>
  <c r="G13" i="17"/>
  <c r="F15" i="18"/>
  <c r="F14" i="17"/>
  <c r="E15" i="19" l="1"/>
  <c r="C16" i="19"/>
  <c r="C17" i="18"/>
  <c r="E16" i="18"/>
  <c r="E15" i="17"/>
  <c r="C16" i="17"/>
  <c r="G15" i="18"/>
  <c r="F15" i="17"/>
  <c r="F16" i="18"/>
  <c r="G14" i="19"/>
  <c r="G14" i="17"/>
  <c r="F15" i="19"/>
  <c r="E16" i="19" l="1"/>
  <c r="C17" i="19"/>
  <c r="C18" i="18"/>
  <c r="E17" i="18"/>
  <c r="E16" i="17"/>
  <c r="C17" i="17"/>
  <c r="F17" i="18"/>
  <c r="F16" i="17"/>
  <c r="G15" i="17"/>
  <c r="F16" i="19"/>
  <c r="G16" i="18"/>
  <c r="G15" i="19"/>
  <c r="C18" i="19" l="1"/>
  <c r="E17" i="19"/>
  <c r="E18" i="18"/>
  <c r="C19" i="18"/>
  <c r="C18" i="17"/>
  <c r="E17" i="17"/>
  <c r="G16" i="17"/>
  <c r="F17" i="19"/>
  <c r="F18" i="18"/>
  <c r="G16" i="19"/>
  <c r="G17" i="18"/>
  <c r="F17" i="17"/>
  <c r="E18" i="19" l="1"/>
  <c r="C19" i="19"/>
  <c r="E19" i="18"/>
  <c r="C20" i="18"/>
  <c r="E18" i="17"/>
  <c r="C19" i="17"/>
  <c r="G17" i="17"/>
  <c r="F18" i="19"/>
  <c r="F18" i="17"/>
  <c r="F19" i="18"/>
  <c r="G17" i="19"/>
  <c r="G18" i="18"/>
  <c r="C20" i="19" l="1"/>
  <c r="E19" i="19"/>
  <c r="C21" i="18"/>
  <c r="E20" i="18"/>
  <c r="C20" i="17"/>
  <c r="E19" i="17"/>
  <c r="G18" i="17"/>
  <c r="F19" i="19"/>
  <c r="G19" i="18"/>
  <c r="G18" i="19"/>
  <c r="F20" i="18"/>
  <c r="F19" i="17"/>
  <c r="E20" i="19" l="1"/>
  <c r="C21" i="19"/>
  <c r="C22" i="18"/>
  <c r="E21" i="18"/>
  <c r="E20" i="17"/>
  <c r="C21" i="17"/>
  <c r="G19" i="17"/>
  <c r="G20" i="18"/>
  <c r="G19" i="19"/>
  <c r="F20" i="17"/>
  <c r="F20" i="19"/>
  <c r="F21" i="18"/>
  <c r="E21" i="19" l="1"/>
  <c r="C22" i="19"/>
  <c r="E22" i="18"/>
  <c r="C23" i="18"/>
  <c r="E21" i="17"/>
  <c r="C22" i="17"/>
  <c r="F21" i="17"/>
  <c r="G21" i="18"/>
  <c r="F22" i="18"/>
  <c r="G20" i="17"/>
  <c r="F21" i="19"/>
  <c r="G20" i="19"/>
  <c r="C23" i="19" l="1"/>
  <c r="E22" i="19"/>
  <c r="C24" i="18"/>
  <c r="E23" i="18"/>
  <c r="C23" i="17"/>
  <c r="E22" i="17"/>
  <c r="G22" i="18"/>
  <c r="F22" i="19"/>
  <c r="G21" i="19"/>
  <c r="F23" i="18"/>
  <c r="G21" i="17"/>
  <c r="F22" i="17"/>
  <c r="E23" i="19" l="1"/>
  <c r="C24" i="19"/>
  <c r="C25" i="18"/>
  <c r="E24" i="18"/>
  <c r="E23" i="17"/>
  <c r="C24" i="17"/>
  <c r="G22" i="19"/>
  <c r="F23" i="17"/>
  <c r="F24" i="18"/>
  <c r="G23" i="18"/>
  <c r="G22" i="17"/>
  <c r="F23" i="19"/>
  <c r="E24" i="19" l="1"/>
  <c r="C25" i="19"/>
  <c r="C26" i="18"/>
  <c r="E25" i="18"/>
  <c r="E24" i="17"/>
  <c r="C25" i="17"/>
  <c r="G23" i="19"/>
  <c r="G24" i="18"/>
  <c r="F24" i="17"/>
  <c r="G23" i="17"/>
  <c r="F25" i="18"/>
  <c r="F24" i="19"/>
  <c r="C26" i="19" l="1"/>
  <c r="E25" i="19"/>
  <c r="E26" i="18"/>
  <c r="C27" i="18"/>
  <c r="C26" i="17"/>
  <c r="E25" i="17"/>
  <c r="F26" i="18"/>
  <c r="G25" i="18"/>
  <c r="F25" i="19"/>
  <c r="G24" i="17"/>
  <c r="F25" i="17"/>
  <c r="G24" i="19"/>
  <c r="E26" i="19" l="1"/>
  <c r="C27" i="19"/>
  <c r="E27" i="18"/>
  <c r="C28" i="18"/>
  <c r="E26" i="17"/>
  <c r="C27" i="17"/>
  <c r="F26" i="17"/>
  <c r="G25" i="19"/>
  <c r="F27" i="18"/>
  <c r="G26" i="18"/>
  <c r="F26" i="19"/>
  <c r="G25" i="17"/>
  <c r="C28" i="19" l="1"/>
  <c r="E27" i="19"/>
  <c r="C29" i="18"/>
  <c r="E28" i="18"/>
  <c r="C28" i="17"/>
  <c r="E27" i="17"/>
  <c r="G26" i="19"/>
  <c r="F28" i="18"/>
  <c r="F27" i="19"/>
  <c r="G26" i="17"/>
  <c r="F27" i="17"/>
  <c r="G27" i="18"/>
  <c r="E28" i="19" l="1"/>
  <c r="C29" i="19"/>
  <c r="C30" i="18"/>
  <c r="E29" i="18"/>
  <c r="E28" i="17"/>
  <c r="C29" i="17"/>
  <c r="F29" i="18"/>
  <c r="G28" i="18"/>
  <c r="G27" i="17"/>
  <c r="F28" i="19"/>
  <c r="G27" i="19"/>
  <c r="F28" i="17"/>
  <c r="E29" i="19" l="1"/>
  <c r="C30" i="19"/>
  <c r="E30" i="18"/>
  <c r="C31" i="18"/>
  <c r="E29" i="17"/>
  <c r="C30" i="17"/>
  <c r="G29" i="18"/>
  <c r="F29" i="19"/>
  <c r="G28" i="19"/>
  <c r="G28" i="17"/>
  <c r="F29" i="17"/>
  <c r="F30" i="18"/>
  <c r="C31" i="19" l="1"/>
  <c r="E30" i="19"/>
  <c r="E31" i="18"/>
  <c r="C32" i="18"/>
  <c r="C31" i="17"/>
  <c r="E30" i="17"/>
  <c r="F30" i="17"/>
  <c r="F31" i="18"/>
  <c r="G30" i="18"/>
  <c r="G29" i="19"/>
  <c r="G29" i="17"/>
  <c r="F30" i="19"/>
  <c r="E31" i="19" l="1"/>
  <c r="C32" i="19"/>
  <c r="C33" i="18"/>
  <c r="E32" i="18"/>
  <c r="C32" i="17"/>
  <c r="E31" i="17"/>
  <c r="F31" i="19"/>
  <c r="G30" i="19"/>
  <c r="G31" i="18"/>
  <c r="F32" i="18"/>
  <c r="G30" i="17"/>
  <c r="F31" i="17"/>
  <c r="E32" i="19" l="1"/>
  <c r="C33" i="19"/>
  <c r="C34" i="18"/>
  <c r="E33" i="18"/>
  <c r="E32" i="17"/>
  <c r="C33" i="17"/>
  <c r="F33" i="18"/>
  <c r="G31" i="17"/>
  <c r="F32" i="17"/>
  <c r="G32" i="18"/>
  <c r="G31" i="19"/>
  <c r="F32" i="19"/>
  <c r="C34" i="19" l="1"/>
  <c r="E33" i="19"/>
  <c r="E34" i="18"/>
  <c r="C35" i="18"/>
  <c r="C34" i="17"/>
  <c r="E33" i="17"/>
  <c r="F34" i="18"/>
  <c r="G32" i="19"/>
  <c r="G33" i="18"/>
  <c r="F33" i="17"/>
  <c r="G32" i="17"/>
  <c r="F33" i="19"/>
  <c r="E34" i="19" l="1"/>
  <c r="C35" i="19"/>
  <c r="E35" i="18"/>
  <c r="C36" i="18"/>
  <c r="E34" i="17"/>
  <c r="C35" i="17"/>
  <c r="G33" i="19"/>
  <c r="F34" i="17"/>
  <c r="F34" i="19"/>
  <c r="G33" i="17"/>
  <c r="G34" i="18"/>
  <c r="F35" i="18"/>
  <c r="C36" i="19" l="1"/>
  <c r="E35" i="19"/>
  <c r="C37" i="18"/>
  <c r="E36" i="18"/>
  <c r="C36" i="17"/>
  <c r="E35" i="17"/>
  <c r="F36" i="18"/>
  <c r="F35" i="17"/>
  <c r="G34" i="17"/>
  <c r="F35" i="19"/>
  <c r="G34" i="19"/>
  <c r="G35" i="18"/>
  <c r="E36" i="19" l="1"/>
  <c r="C37" i="19"/>
  <c r="E37" i="18"/>
  <c r="C38" i="18"/>
  <c r="E36" i="17"/>
  <c r="C37" i="17"/>
  <c r="F36" i="17"/>
  <c r="G35" i="17"/>
  <c r="G35" i="19"/>
  <c r="F36" i="19"/>
  <c r="F37" i="18"/>
  <c r="G36" i="18"/>
  <c r="E37" i="19" l="1"/>
  <c r="C38" i="19"/>
  <c r="E38" i="18"/>
  <c r="C39" i="18"/>
  <c r="E37" i="17"/>
  <c r="C38" i="17"/>
  <c r="G36" i="19"/>
  <c r="G37" i="18"/>
  <c r="F37" i="17"/>
  <c r="F37" i="19"/>
  <c r="G36" i="17"/>
  <c r="F38" i="18"/>
  <c r="C39" i="19" l="1"/>
  <c r="E38" i="19"/>
  <c r="E39" i="18"/>
  <c r="C40" i="18"/>
  <c r="C39" i="17"/>
  <c r="E38" i="17"/>
  <c r="G37" i="17"/>
  <c r="F38" i="19"/>
  <c r="G38" i="18"/>
  <c r="F38" i="17"/>
  <c r="G37" i="19"/>
  <c r="F39" i="18"/>
  <c r="E39" i="19" l="1"/>
  <c r="C40" i="19"/>
  <c r="E40" i="18"/>
  <c r="C41" i="18"/>
  <c r="C40" i="17"/>
  <c r="E39" i="17"/>
  <c r="F39" i="17"/>
  <c r="G38" i="19"/>
  <c r="G38" i="17"/>
  <c r="F39" i="19"/>
  <c r="G39" i="18"/>
  <c r="F40" i="18"/>
  <c r="C41" i="19" l="1"/>
  <c r="E40" i="19"/>
  <c r="E41" i="18"/>
  <c r="C42" i="18"/>
  <c r="E42" i="18" s="1"/>
  <c r="E40" i="17"/>
  <c r="C41" i="17"/>
  <c r="F42" i="18"/>
  <c r="G39" i="17"/>
  <c r="F40" i="17"/>
  <c r="G40" i="18"/>
  <c r="F40" i="19"/>
  <c r="G39" i="19"/>
  <c r="F41" i="18"/>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22" i="15"/>
  <c r="G45" i="13"/>
  <c r="G17" i="13"/>
  <c r="F18" i="12"/>
  <c r="G38" i="15"/>
  <c r="G46" i="15"/>
  <c r="G45" i="15"/>
  <c r="G47" i="14"/>
  <c r="G39" i="15"/>
  <c r="G20" i="13"/>
  <c r="G52" i="15"/>
  <c r="G18" i="15"/>
  <c r="G43" i="14"/>
  <c r="G7" i="14"/>
  <c r="F42" i="17"/>
  <c r="G23" i="14"/>
  <c r="G25" i="15"/>
  <c r="G53" i="14"/>
  <c r="G10" i="13"/>
  <c r="G65" i="15"/>
  <c r="F12" i="12"/>
  <c r="G19" i="14"/>
  <c r="G48" i="13"/>
  <c r="F19" i="12"/>
  <c r="G33" i="15"/>
  <c r="G23" i="13"/>
  <c r="G27" i="13"/>
  <c r="G41" i="13"/>
  <c r="G40" i="19"/>
  <c r="G44" i="14"/>
  <c r="G34" i="15"/>
  <c r="G57" i="13"/>
  <c r="G34" i="13"/>
  <c r="G28" i="15"/>
  <c r="F7" i="12"/>
  <c r="G28" i="14"/>
  <c r="G13" i="15"/>
  <c r="G32" i="13"/>
  <c r="G60" i="13"/>
  <c r="G29" i="15"/>
  <c r="G58" i="13"/>
  <c r="G20" i="15"/>
  <c r="G26" i="13"/>
  <c r="G61" i="13"/>
  <c r="G40" i="14"/>
  <c r="G51" i="14"/>
  <c r="G48" i="14"/>
  <c r="F41" i="17"/>
  <c r="G38" i="14"/>
  <c r="F6" i="12"/>
  <c r="G31" i="15"/>
  <c r="G56" i="14"/>
  <c r="G33" i="14"/>
  <c r="G35" i="14"/>
  <c r="G9" i="15"/>
  <c r="G63" i="14"/>
  <c r="G40" i="17"/>
  <c r="G63" i="15"/>
  <c r="G57" i="15"/>
  <c r="G17" i="15"/>
  <c r="G52" i="14"/>
  <c r="G7" i="13"/>
  <c r="G12" i="14"/>
  <c r="G60" i="14"/>
  <c r="G59" i="13"/>
  <c r="G24" i="13"/>
  <c r="G58" i="15"/>
  <c r="G55" i="14"/>
  <c r="F17" i="12"/>
  <c r="G49" i="15"/>
  <c r="G35" i="15"/>
  <c r="G62" i="13"/>
  <c r="G45" i="14"/>
  <c r="G55" i="13"/>
  <c r="G51" i="13"/>
  <c r="G11" i="13"/>
  <c r="G54" i="13"/>
  <c r="G64" i="14"/>
  <c r="G58" i="14"/>
  <c r="G16" i="15"/>
  <c r="G25" i="13"/>
  <c r="G61" i="14"/>
  <c r="G66" i="13"/>
  <c r="G36" i="14"/>
  <c r="G64" i="13"/>
  <c r="G9" i="13"/>
  <c r="G66" i="14"/>
  <c r="G41" i="14"/>
  <c r="G64" i="15"/>
  <c r="F41" i="19"/>
  <c r="G8" i="15"/>
  <c r="G22" i="14"/>
  <c r="G21" i="15"/>
  <c r="G57" i="14"/>
  <c r="G43" i="13"/>
  <c r="G15" i="13"/>
  <c r="G59" i="15"/>
  <c r="G15" i="14"/>
  <c r="G43" i="15"/>
  <c r="G21" i="14"/>
  <c r="G25" i="14"/>
  <c r="G29" i="13"/>
  <c r="F42" i="19"/>
  <c r="G32" i="15"/>
  <c r="F8" i="12"/>
  <c r="G61" i="15"/>
  <c r="G18" i="13"/>
  <c r="G12" i="13"/>
  <c r="G38" i="13"/>
  <c r="F15" i="12"/>
  <c r="G37" i="14"/>
  <c r="G22" i="13"/>
  <c r="G20" i="14"/>
  <c r="G36" i="15"/>
  <c r="G47" i="13"/>
  <c r="G30" i="13"/>
  <c r="G51" i="15"/>
  <c r="G28" i="13"/>
  <c r="G35" i="13"/>
  <c r="G49" i="14"/>
  <c r="G32" i="14"/>
  <c r="G62" i="15"/>
  <c r="G15" i="15"/>
  <c r="G18" i="14"/>
  <c r="F10" i="12"/>
  <c r="G37" i="13"/>
  <c r="G23" i="15"/>
  <c r="G7" i="15"/>
  <c r="G29" i="14"/>
  <c r="G48" i="15"/>
  <c r="G46" i="14"/>
  <c r="G9" i="14"/>
  <c r="F20" i="12"/>
  <c r="G40" i="13"/>
  <c r="G26" i="14"/>
  <c r="G26" i="15"/>
  <c r="G42" i="13"/>
  <c r="G39" i="13"/>
  <c r="G17" i="14"/>
  <c r="G63" i="13"/>
  <c r="G37" i="15"/>
  <c r="G30" i="14"/>
  <c r="F13" i="12"/>
  <c r="G27" i="14"/>
  <c r="G42" i="18"/>
  <c r="G10" i="14"/>
  <c r="G55" i="15"/>
  <c r="G53" i="13"/>
  <c r="G14" i="13"/>
  <c r="G54" i="14"/>
  <c r="G8" i="14"/>
  <c r="G41" i="15"/>
  <c r="G46" i="13"/>
  <c r="G30" i="15"/>
  <c r="G44" i="15"/>
  <c r="G14" i="14"/>
  <c r="G13" i="14"/>
  <c r="G50" i="15"/>
  <c r="G11" i="14"/>
  <c r="G60" i="15"/>
  <c r="G42" i="14"/>
  <c r="F14" i="12"/>
  <c r="G42" i="15"/>
  <c r="G62" i="14"/>
  <c r="G65" i="13"/>
  <c r="G52" i="13"/>
  <c r="G13" i="13"/>
  <c r="G16" i="14"/>
  <c r="G21" i="13"/>
  <c r="G49" i="13"/>
  <c r="F16" i="12"/>
  <c r="G14" i="15"/>
  <c r="G53" i="15"/>
  <c r="G56" i="15"/>
  <c r="G36" i="13"/>
  <c r="G12" i="15"/>
  <c r="F9" i="12"/>
  <c r="G24" i="15"/>
  <c r="G50" i="13"/>
  <c r="G66" i="15"/>
  <c r="G47" i="15"/>
  <c r="G19" i="13"/>
  <c r="G34" i="14"/>
  <c r="G50" i="14"/>
  <c r="G39" i="14"/>
  <c r="G24" i="14"/>
  <c r="G31" i="13"/>
  <c r="G8" i="13"/>
  <c r="G54" i="15"/>
  <c r="G33" i="13"/>
  <c r="G31" i="14"/>
  <c r="F11" i="12"/>
  <c r="G41" i="18"/>
  <c r="G11" i="15"/>
  <c r="G56" i="13"/>
  <c r="G27" i="15"/>
  <c r="G16" i="13"/>
  <c r="G40" i="15"/>
  <c r="G44" i="13"/>
  <c r="G59" i="14"/>
  <c r="G10" i="15"/>
  <c r="G65" i="14"/>
  <c r="G19" i="15"/>
  <c r="H65" i="15"/>
  <c r="F4" i="17"/>
  <c r="G6" i="14"/>
  <c r="G4" i="18"/>
  <c r="F4" i="19"/>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G24" i="10"/>
  <c r="G28" i="8"/>
  <c r="G23" i="9"/>
  <c r="G47" i="8"/>
  <c r="G46" i="10"/>
  <c r="G65" i="10"/>
  <c r="G60" i="9"/>
  <c r="G45" i="8"/>
  <c r="G38" i="9"/>
  <c r="G52" i="8"/>
  <c r="F11" i="7"/>
  <c r="G29" i="10"/>
  <c r="G61" i="8"/>
  <c r="G58" i="10"/>
  <c r="G36" i="10"/>
  <c r="G33" i="9"/>
  <c r="G59" i="10"/>
  <c r="G33" i="8"/>
  <c r="G14" i="9"/>
  <c r="G41" i="19"/>
  <c r="F17" i="7"/>
  <c r="G7" i="10"/>
  <c r="G15" i="9"/>
  <c r="G21" i="8"/>
  <c r="G49" i="8"/>
  <c r="G59" i="9"/>
  <c r="G54" i="9"/>
  <c r="G31" i="10"/>
  <c r="G24" i="9"/>
  <c r="G54" i="10"/>
  <c r="G17" i="9"/>
  <c r="G19" i="8"/>
  <c r="G32" i="10"/>
  <c r="G39" i="10"/>
  <c r="G53" i="8"/>
  <c r="G9" i="8"/>
  <c r="G24" i="8"/>
  <c r="G43" i="8"/>
  <c r="G23" i="10"/>
  <c r="G40" i="8"/>
  <c r="G45" i="9"/>
  <c r="G48" i="8"/>
  <c r="G14" i="10"/>
  <c r="G13" i="10"/>
  <c r="G27" i="8"/>
  <c r="G29" i="9"/>
  <c r="G50" i="10"/>
  <c r="G15" i="8"/>
  <c r="G7" i="8"/>
  <c r="F18" i="7"/>
  <c r="G25" i="8"/>
  <c r="G9" i="9"/>
  <c r="F15" i="7"/>
  <c r="G12" i="10"/>
  <c r="G45" i="10"/>
  <c r="G36" i="9"/>
  <c r="G35" i="9"/>
  <c r="G41" i="8"/>
  <c r="G11" i="9"/>
  <c r="G38" i="8"/>
  <c r="G14" i="8"/>
  <c r="G39" i="8"/>
  <c r="G8" i="9"/>
  <c r="F8" i="7"/>
  <c r="G23" i="8"/>
  <c r="G21" i="9"/>
  <c r="G48" i="10"/>
  <c r="G11" i="8"/>
  <c r="F12" i="7"/>
  <c r="G25" i="9"/>
  <c r="G64" i="9"/>
  <c r="G53" i="9"/>
  <c r="G7" i="9"/>
  <c r="G8" i="10"/>
  <c r="G15" i="10"/>
  <c r="G49" i="10"/>
  <c r="G59" i="8"/>
  <c r="G62" i="10"/>
  <c r="G41" i="9"/>
  <c r="G42" i="19"/>
  <c r="G57" i="9"/>
  <c r="G63" i="10"/>
  <c r="G41" i="17"/>
  <c r="G20" i="9"/>
  <c r="G56" i="9"/>
  <c r="G58" i="8"/>
  <c r="G64" i="8"/>
  <c r="G37" i="9"/>
  <c r="G36" i="8"/>
  <c r="G50" i="8"/>
  <c r="G13" i="8"/>
  <c r="G20" i="8"/>
  <c r="G51" i="8"/>
  <c r="G42" i="10"/>
  <c r="G38" i="10"/>
  <c r="G18" i="10"/>
  <c r="G44" i="10"/>
  <c r="G34" i="10"/>
  <c r="G22" i="9"/>
  <c r="G46" i="8"/>
  <c r="F16" i="7"/>
  <c r="G33" i="10"/>
  <c r="G29" i="8"/>
  <c r="F10" i="7"/>
  <c r="G37" i="8"/>
  <c r="G30" i="9"/>
  <c r="G65" i="9"/>
  <c r="G53" i="10"/>
  <c r="G51" i="9"/>
  <c r="G54" i="8"/>
  <c r="G65" i="8"/>
  <c r="G13" i="9"/>
  <c r="F6" i="6"/>
  <c r="G32" i="9"/>
  <c r="G46" i="9"/>
  <c r="G47" i="9"/>
  <c r="G56" i="8"/>
  <c r="G10" i="8"/>
  <c r="G55" i="8"/>
  <c r="G20" i="10"/>
  <c r="G48" i="9"/>
  <c r="G30" i="10"/>
  <c r="G42" i="9"/>
  <c r="G27" i="10"/>
  <c r="G18" i="9"/>
  <c r="G44" i="9"/>
  <c r="G43" i="9"/>
  <c r="G41" i="10"/>
  <c r="G61" i="9"/>
  <c r="G62" i="8"/>
  <c r="G17" i="8"/>
  <c r="G10" i="10"/>
  <c r="G47" i="10"/>
  <c r="G34" i="9"/>
  <c r="G11" i="10"/>
  <c r="F6" i="7"/>
  <c r="F7" i="7"/>
  <c r="G61" i="10"/>
  <c r="G66" i="8"/>
  <c r="G30" i="8"/>
  <c r="G55" i="9"/>
  <c r="G42" i="8"/>
  <c r="G50" i="9"/>
  <c r="G39" i="9"/>
  <c r="F13" i="7"/>
  <c r="G52" i="9"/>
  <c r="G19" i="9"/>
  <c r="G35" i="10"/>
  <c r="G22" i="10"/>
  <c r="G16" i="10"/>
  <c r="G18" i="8"/>
  <c r="G21" i="10"/>
  <c r="G19" i="10"/>
  <c r="F19" i="7"/>
  <c r="G43" i="10"/>
  <c r="G12" i="9"/>
  <c r="G44" i="8"/>
  <c r="G55" i="10"/>
  <c r="G27" i="9"/>
  <c r="G51" i="10"/>
  <c r="G16" i="9"/>
  <c r="F20" i="7"/>
  <c r="G17" i="10"/>
  <c r="G57" i="10"/>
  <c r="G40" i="10"/>
  <c r="G28" i="9"/>
  <c r="G62" i="9"/>
  <c r="G52" i="10"/>
  <c r="G34" i="8"/>
  <c r="G12" i="8"/>
  <c r="G26" i="8"/>
  <c r="G28" i="10"/>
  <c r="G60" i="10"/>
  <c r="G8" i="8"/>
  <c r="G66" i="9"/>
  <c r="G49" i="9"/>
  <c r="G16" i="8"/>
  <c r="G26" i="10"/>
  <c r="G25" i="10"/>
  <c r="G66" i="10"/>
  <c r="G40" i="9"/>
  <c r="G63" i="9"/>
  <c r="G9" i="10"/>
  <c r="G22" i="8"/>
  <c r="G56" i="10"/>
  <c r="G42" i="17"/>
  <c r="G26" i="9"/>
  <c r="G32" i="8"/>
  <c r="G31" i="8"/>
  <c r="G37" i="10"/>
  <c r="F9" i="7"/>
  <c r="G60" i="8"/>
  <c r="G63" i="8"/>
  <c r="G57" i="8"/>
  <c r="G64" i="10"/>
  <c r="G10" i="9"/>
  <c r="G58" i="9"/>
  <c r="F14" i="7"/>
  <c r="G35" i="8"/>
  <c r="G31" i="9"/>
  <c r="H15" i="13"/>
  <c r="G13" i="12"/>
  <c r="H37" i="13"/>
  <c r="H49" i="13"/>
  <c r="H34" i="14"/>
  <c r="H32" i="14"/>
  <c r="H37" i="15"/>
  <c r="H56" i="13"/>
  <c r="H28" i="13"/>
  <c r="H64" i="13"/>
  <c r="H61" i="14"/>
  <c r="H26" i="13"/>
  <c r="H59" i="13"/>
  <c r="H51" i="13"/>
  <c r="H62" i="15"/>
  <c r="H26" i="14"/>
  <c r="H41" i="13"/>
  <c r="H21" i="13"/>
  <c r="H36" i="14"/>
  <c r="H14" i="13"/>
  <c r="H41" i="14"/>
  <c r="H60" i="13"/>
  <c r="H63" i="13"/>
  <c r="H12" i="14"/>
  <c r="F5" i="7"/>
  <c r="H9" i="13"/>
  <c r="H43" i="13"/>
  <c r="H59" i="15"/>
  <c r="H11" i="13"/>
  <c r="H40" i="13"/>
  <c r="H43" i="14"/>
  <c r="H39" i="15"/>
  <c r="G18" i="12"/>
  <c r="G4" i="19"/>
  <c r="H61" i="13"/>
  <c r="H62" i="14"/>
  <c r="H63" i="14"/>
  <c r="H15" i="15"/>
  <c r="H46" i="15"/>
  <c r="H20" i="13"/>
  <c r="F5" i="12"/>
  <c r="H57" i="14"/>
  <c r="H33" i="13"/>
  <c r="H47" i="15"/>
  <c r="H7" i="14"/>
  <c r="H48" i="15"/>
  <c r="H16" i="13"/>
  <c r="G15" i="12"/>
  <c r="H34" i="13"/>
  <c r="H38" i="14"/>
  <c r="H8" i="14"/>
  <c r="H35" i="14"/>
  <c r="H48" i="13"/>
  <c r="H8" i="15"/>
  <c r="H59" i="14"/>
  <c r="H41" i="15"/>
  <c r="H55" i="13"/>
  <c r="H14" i="14"/>
  <c r="H45" i="14"/>
  <c r="H44" i="14"/>
  <c r="H12" i="15"/>
  <c r="H18" i="14"/>
  <c r="H55" i="14"/>
  <c r="H32" i="15"/>
  <c r="H64" i="15"/>
  <c r="G11" i="12"/>
  <c r="H46" i="14"/>
  <c r="H54" i="14"/>
  <c r="H60" i="14"/>
  <c r="H17" i="13"/>
  <c r="H20" i="15"/>
  <c r="H31" i="13"/>
  <c r="H24" i="13"/>
  <c r="H22" i="13"/>
  <c r="G4" i="17"/>
  <c r="H31" i="15"/>
  <c r="H43" i="15"/>
  <c r="H17" i="15"/>
  <c r="H33" i="14"/>
  <c r="H64" i="14"/>
  <c r="H45" i="15"/>
  <c r="H14" i="15"/>
  <c r="H13" i="15"/>
  <c r="H26" i="15"/>
  <c r="H12" i="13"/>
  <c r="H27" i="15"/>
  <c r="G6" i="12"/>
  <c r="H28" i="14"/>
  <c r="H36" i="15"/>
  <c r="H38" i="13"/>
  <c r="H31" i="14"/>
  <c r="H33" i="15"/>
  <c r="H23" i="13"/>
  <c r="H29" i="14"/>
  <c r="H22" i="14"/>
  <c r="H53" i="14"/>
  <c r="H37" i="14"/>
  <c r="H58" i="14"/>
  <c r="H42" i="15"/>
  <c r="H19" i="14"/>
  <c r="H11" i="15"/>
  <c r="H35" i="15"/>
  <c r="H55" i="15"/>
  <c r="H65" i="13"/>
  <c r="H24" i="14"/>
  <c r="G14" i="12"/>
  <c r="H18" i="13"/>
  <c r="H50" i="13"/>
  <c r="H21" i="15"/>
  <c r="H24" i="15"/>
  <c r="G8" i="12"/>
  <c r="H47" i="14"/>
  <c r="G9" i="12"/>
  <c r="H52" i="15"/>
  <c r="H52" i="14"/>
  <c r="H57" i="13"/>
  <c r="H57" i="15"/>
  <c r="H35" i="13"/>
  <c r="H17" i="14"/>
  <c r="G10" i="12"/>
  <c r="H53" i="15"/>
  <c r="H10" i="13"/>
  <c r="H58" i="13"/>
  <c r="G12" i="12"/>
  <c r="H46" i="13"/>
  <c r="H44" i="15"/>
  <c r="H60" i="15"/>
  <c r="H8" i="13"/>
  <c r="H27" i="13"/>
  <c r="H50" i="15"/>
  <c r="H23" i="15"/>
  <c r="H66" i="13"/>
  <c r="H19" i="15"/>
  <c r="H50" i="14"/>
  <c r="H48" i="14"/>
  <c r="H25" i="13"/>
  <c r="H30" i="13"/>
  <c r="G17" i="12"/>
  <c r="H15" i="14"/>
  <c r="H30" i="14"/>
  <c r="H56" i="14"/>
  <c r="H20" i="14"/>
  <c r="H39" i="13"/>
  <c r="H6" i="14"/>
  <c r="H38" i="15"/>
  <c r="H40" i="14"/>
  <c r="H7" i="13"/>
  <c r="H28" i="15"/>
  <c r="G19" i="12"/>
  <c r="H25" i="15"/>
  <c r="H61" i="15"/>
  <c r="H13" i="13"/>
  <c r="H66" i="14"/>
  <c r="G6" i="13"/>
  <c r="H39" i="14"/>
  <c r="H49" i="15"/>
  <c r="H10" i="15"/>
  <c r="H65" i="14"/>
  <c r="G20" i="12"/>
  <c r="H56" i="15"/>
  <c r="H54" i="15"/>
  <c r="H45" i="13"/>
  <c r="H29" i="15"/>
  <c r="H62" i="13"/>
  <c r="H7" i="15"/>
  <c r="H10" i="14"/>
  <c r="H40" i="15"/>
  <c r="H52" i="13"/>
  <c r="H9" i="15"/>
  <c r="G7" i="12"/>
  <c r="H42" i="13"/>
  <c r="H9" i="14"/>
  <c r="H13" i="14"/>
  <c r="H16" i="15"/>
  <c r="H18" i="15"/>
  <c r="G6" i="15"/>
  <c r="H25" i="14"/>
  <c r="H30" i="15"/>
  <c r="H16" i="14"/>
  <c r="H21" i="14"/>
  <c r="H19" i="13"/>
  <c r="H47" i="13"/>
  <c r="H51" i="14"/>
  <c r="H36" i="13"/>
  <c r="H11" i="14"/>
  <c r="H66" i="15"/>
  <c r="H53" i="13"/>
  <c r="H27" i="14"/>
  <c r="H49" i="14"/>
  <c r="G16" i="12"/>
  <c r="H22" i="15"/>
  <c r="H32" i="13"/>
  <c r="H54" i="13"/>
  <c r="H29" i="13"/>
  <c r="H51" i="15"/>
  <c r="H58" i="15"/>
  <c r="H23" i="14"/>
  <c r="H42" i="14"/>
  <c r="H34" i="15"/>
  <c r="H44" i="13"/>
  <c r="H63" i="15"/>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X5" i="19" a="1"/>
  <c r="E9" i="4"/>
  <c r="E25" i="4"/>
  <c r="E26" i="4"/>
  <c r="Y48" i="28"/>
  <c r="E34" i="4"/>
  <c r="E10" i="4"/>
  <c r="E6" i="4"/>
  <c r="E31" i="4"/>
  <c r="E36" i="4"/>
  <c r="E21" i="4"/>
  <c r="E8" i="4"/>
  <c r="E18" i="4"/>
  <c r="E22" i="4"/>
  <c r="F22" i="4" s="1"/>
  <c r="Y3" i="28"/>
  <c r="E16" i="4"/>
  <c r="E32" i="4"/>
  <c r="E11" i="4"/>
  <c r="E19" i="4"/>
  <c r="E13" i="4"/>
  <c r="F13" i="6" s="1"/>
  <c r="F9" i="6"/>
  <c r="E17" i="4"/>
  <c r="F17" i="4" s="1"/>
  <c r="E12" i="4"/>
  <c r="F12" i="4" s="1"/>
  <c r="E14" i="4"/>
  <c r="F14" i="4"/>
  <c r="E7" i="4"/>
  <c r="F9" i="4"/>
  <c r="G9" i="6"/>
  <c r="E33" i="4"/>
  <c r="F10" i="4"/>
  <c r="F13" i="4"/>
  <c r="E20" i="4"/>
  <c r="E15" i="4"/>
  <c r="F7" i="6"/>
  <c r="E30" i="4"/>
  <c r="E35" i="4"/>
  <c r="E29" i="4"/>
  <c r="E37" i="4"/>
  <c r="E38" i="4"/>
  <c r="H9" i="10"/>
  <c r="H49" i="8"/>
  <c r="H31" i="8"/>
  <c r="G9" i="7"/>
  <c r="H40" i="8"/>
  <c r="H19" i="10"/>
  <c r="H33" i="8"/>
  <c r="H24" i="9"/>
  <c r="H62" i="10"/>
  <c r="H34" i="9"/>
  <c r="H62" i="8"/>
  <c r="H10" i="10"/>
  <c r="H39" i="9"/>
  <c r="G19" i="7"/>
  <c r="H26" i="9"/>
  <c r="H44" i="8"/>
  <c r="H14" i="8"/>
  <c r="H48" i="8"/>
  <c r="H35" i="8"/>
  <c r="G11" i="7"/>
  <c r="H37" i="8"/>
  <c r="H54" i="9"/>
  <c r="H46" i="10"/>
  <c r="H24" i="8"/>
  <c r="G17" i="7"/>
  <c r="H18" i="9"/>
  <c r="H25" i="8"/>
  <c r="H55" i="9"/>
  <c r="H10" i="8"/>
  <c r="H51" i="10"/>
  <c r="H28" i="9"/>
  <c r="H30" i="9"/>
  <c r="H22" i="8"/>
  <c r="H36" i="8"/>
  <c r="H58" i="9"/>
  <c r="H11" i="10"/>
  <c r="H22" i="9"/>
  <c r="H39" i="10"/>
  <c r="H19" i="8"/>
  <c r="H38" i="8"/>
  <c r="H58" i="10"/>
  <c r="H9" i="8"/>
  <c r="H57" i="8"/>
  <c r="H36" i="9"/>
  <c r="H60" i="8"/>
  <c r="G5" i="7"/>
  <c r="H45" i="10"/>
  <c r="H6" i="13"/>
  <c r="H58" i="8"/>
  <c r="H29" i="8"/>
  <c r="H14" i="10"/>
  <c r="H33" i="10"/>
  <c r="H34" i="10"/>
  <c r="H49" i="10"/>
  <c r="H39" i="8"/>
  <c r="H13" i="8"/>
  <c r="H32" i="10"/>
  <c r="H41" i="9"/>
  <c r="H66" i="8"/>
  <c r="G15" i="7"/>
  <c r="H32" i="8"/>
  <c r="H38" i="9"/>
  <c r="G6" i="9"/>
  <c r="H16" i="9"/>
  <c r="H20" i="10"/>
  <c r="H15" i="8"/>
  <c r="H64" i="9"/>
  <c r="H46" i="9"/>
  <c r="H10" i="9"/>
  <c r="H52" i="8"/>
  <c r="H37" i="10"/>
  <c r="H35" i="9"/>
  <c r="H32" i="9"/>
  <c r="H18" i="8"/>
  <c r="H49" i="9"/>
  <c r="H62" i="9"/>
  <c r="H37" i="9"/>
  <c r="H21" i="10"/>
  <c r="H23" i="10"/>
  <c r="H23" i="8"/>
  <c r="H7" i="10"/>
  <c r="H36" i="10"/>
  <c r="H13" i="10"/>
  <c r="H59" i="9"/>
  <c r="H64" i="8"/>
  <c r="H8" i="8"/>
  <c r="H21" i="9"/>
  <c r="H31" i="9"/>
  <c r="H61" i="9"/>
  <c r="H60" i="9"/>
  <c r="H40" i="10"/>
  <c r="H47" i="9"/>
  <c r="H16" i="10"/>
  <c r="H7" i="8"/>
  <c r="H47" i="10"/>
  <c r="H50" i="8"/>
  <c r="H29" i="9"/>
  <c r="H56" i="8"/>
  <c r="H15" i="10"/>
  <c r="H57" i="9"/>
  <c r="H6" i="15"/>
  <c r="H50" i="10"/>
  <c r="H59" i="8"/>
  <c r="H65" i="10"/>
  <c r="H25" i="9"/>
  <c r="H20" i="8"/>
  <c r="H35" i="10"/>
  <c r="H17" i="8"/>
  <c r="H27" i="9"/>
  <c r="E24" i="4"/>
  <c r="H33" i="9"/>
  <c r="H43" i="8"/>
  <c r="G16" i="7"/>
  <c r="H19" i="9"/>
  <c r="H53" i="9"/>
  <c r="H12" i="9"/>
  <c r="H53" i="8"/>
  <c r="H40" i="9"/>
  <c r="H30" i="10"/>
  <c r="H63" i="10"/>
  <c r="H8" i="9"/>
  <c r="H12" i="8"/>
  <c r="H44" i="9"/>
  <c r="H61" i="8"/>
  <c r="H24" i="10"/>
  <c r="H52" i="9"/>
  <c r="H59" i="10"/>
  <c r="H56" i="9"/>
  <c r="H20" i="9"/>
  <c r="H29" i="10"/>
  <c r="H25" i="10"/>
  <c r="H7" i="9"/>
  <c r="H15" i="9"/>
  <c r="G12" i="7"/>
  <c r="E28" i="4"/>
  <c r="H47" i="8"/>
  <c r="H48" i="9"/>
  <c r="H28" i="10"/>
  <c r="H22" i="10"/>
  <c r="H66" i="10"/>
  <c r="G14" i="7"/>
  <c r="H55" i="8"/>
  <c r="H46" i="8"/>
  <c r="H8" i="10"/>
  <c r="H38" i="10"/>
  <c r="H56" i="10"/>
  <c r="H23" i="9"/>
  <c r="H63" i="8"/>
  <c r="H21" i="8"/>
  <c r="H18" i="10"/>
  <c r="G6" i="8"/>
  <c r="H45" i="8"/>
  <c r="H31" i="10"/>
  <c r="H55" i="10"/>
  <c r="H51" i="9"/>
  <c r="H27" i="10"/>
  <c r="G20" i="7"/>
  <c r="H41" i="10"/>
  <c r="H45" i="9"/>
  <c r="H54" i="8"/>
  <c r="H17" i="10"/>
  <c r="H26" i="10"/>
  <c r="H26" i="8"/>
  <c r="H61" i="10"/>
  <c r="H16" i="8"/>
  <c r="H30" i="8"/>
  <c r="H27" i="8"/>
  <c r="G10" i="7"/>
  <c r="H11" i="8"/>
  <c r="G8" i="7"/>
  <c r="H43" i="9"/>
  <c r="H13" i="9"/>
  <c r="H66" i="9"/>
  <c r="H42" i="9"/>
  <c r="H65" i="9"/>
  <c r="G13" i="7"/>
  <c r="G18" i="7"/>
  <c r="H53" i="10"/>
  <c r="G5" i="12"/>
  <c r="H41" i="8"/>
  <c r="H14" i="9"/>
  <c r="H28" i="8"/>
  <c r="H50" i="9"/>
  <c r="H9" i="9"/>
  <c r="H43" i="10"/>
  <c r="H63" i="9"/>
  <c r="H60" i="10"/>
  <c r="H54" i="10"/>
  <c r="H48" i="10"/>
  <c r="H12" i="10"/>
  <c r="H64" i="10"/>
  <c r="H52" i="10"/>
  <c r="H44" i="10"/>
  <c r="G7" i="7"/>
  <c r="H17" i="9"/>
  <c r="H42" i="8"/>
  <c r="H34" i="8"/>
  <c r="H57" i="10"/>
  <c r="H11" i="9"/>
  <c r="H51" i="8"/>
  <c r="G6" i="10"/>
  <c r="H65" i="8"/>
  <c r="G6" i="7"/>
  <c r="H42" i="10"/>
  <c r="H6" i="6"/>
  <c r="E5" i="4"/>
  <c r="H13" i="6"/>
  <c r="G13" i="6"/>
  <c r="G7" i="6"/>
  <c r="H7" i="6"/>
  <c r="X6" i="19" l="1"/>
  <c r="X5" i="19"/>
  <c r="X7" i="19"/>
  <c r="X8" i="19"/>
  <c r="X9" i="19"/>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s="1"/>
  <c r="X40" i="19" s="1"/>
  <c r="X41" i="19" s="1"/>
  <c r="X42" i="19" s="1"/>
  <c r="F14" i="6"/>
  <c r="F26" i="4"/>
  <c r="F21" i="6"/>
  <c r="H9" i="6"/>
  <c r="F25" i="4"/>
  <c r="F38" i="4"/>
  <c r="F36" i="4"/>
  <c r="F8" i="4"/>
  <c r="F18" i="4"/>
  <c r="F11" i="6"/>
  <c r="I7" i="6"/>
  <c r="F32" i="4"/>
  <c r="F10" i="6"/>
  <c r="F30" i="4"/>
  <c r="F20" i="4"/>
  <c r="F16" i="4"/>
  <c r="F21" i="4"/>
  <c r="F18" i="6"/>
  <c r="F7" i="4"/>
  <c r="F35" i="4"/>
  <c r="I9" i="6"/>
  <c r="F19" i="6"/>
  <c r="F37" i="4"/>
  <c r="F15" i="6"/>
  <c r="F22" i="6"/>
  <c r="H22" i="6" s="1"/>
  <c r="G22" i="6"/>
  <c r="F31" i="4"/>
  <c r="I13" i="6"/>
  <c r="F12" i="6"/>
  <c r="F8" i="6"/>
  <c r="F34" i="4"/>
  <c r="G11" i="6"/>
  <c r="F20" i="6"/>
  <c r="F16" i="6"/>
  <c r="H16" i="6" s="1"/>
  <c r="F6" i="4"/>
  <c r="F15" i="4"/>
  <c r="G16" i="6"/>
  <c r="G10" i="6"/>
  <c r="H11" i="6"/>
  <c r="F17" i="6"/>
  <c r="G17" i="6" s="1"/>
  <c r="F29" i="4"/>
  <c r="F11" i="4"/>
  <c r="H17" i="6"/>
  <c r="G15" i="6"/>
  <c r="F33" i="4"/>
  <c r="F19" i="4"/>
  <c r="H6" i="9"/>
  <c r="F24" i="4"/>
  <c r="F5" i="4"/>
  <c r="H6" i="8"/>
  <c r="H6" i="10"/>
  <c r="F28" i="4"/>
  <c r="H14" i="6"/>
  <c r="G14" i="6"/>
  <c r="I14" i="6" s="1"/>
  <c r="H19" i="6"/>
  <c r="G19" i="6"/>
  <c r="H8" i="6"/>
  <c r="H20" i="6"/>
  <c r="G20" i="6"/>
  <c r="Y38" i="19" l="1"/>
  <c r="AC5" i="19" a="1"/>
  <c r="AC42" i="19" s="1"/>
  <c r="S3" i="18"/>
  <c r="X5" i="18" a="1"/>
  <c r="I20" i="6"/>
  <c r="H18" i="6"/>
  <c r="AD42" i="19"/>
  <c r="I19" i="6"/>
  <c r="I16" i="6"/>
  <c r="G8" i="6"/>
  <c r="I22" i="6"/>
  <c r="I17" i="6"/>
  <c r="H15" i="6"/>
  <c r="H10" i="6"/>
  <c r="G21" i="6"/>
  <c r="H21" i="6"/>
  <c r="I10" i="6"/>
  <c r="G12" i="6"/>
  <c r="I15" i="6"/>
  <c r="I12" i="6"/>
  <c r="H12" i="6"/>
  <c r="I11" i="6"/>
  <c r="G18" i="6"/>
  <c r="I18" i="6" s="1"/>
  <c r="F5" i="6"/>
  <c r="AC20" i="19" l="1"/>
  <c r="AC28" i="19"/>
  <c r="AC5" i="19"/>
  <c r="AC22" i="19"/>
  <c r="AC14" i="19"/>
  <c r="AC21" i="19"/>
  <c r="AC38" i="19"/>
  <c r="AC37" i="19"/>
  <c r="AC36" i="19"/>
  <c r="AC13" i="19"/>
  <c r="AC30" i="19"/>
  <c r="AC12" i="19"/>
  <c r="AC29" i="19"/>
  <c r="AC6" i="19"/>
  <c r="AC35" i="19"/>
  <c r="AC27" i="19"/>
  <c r="AC19" i="19"/>
  <c r="AC11" i="19"/>
  <c r="AC34" i="19"/>
  <c r="AC26" i="19"/>
  <c r="AC18" i="19"/>
  <c r="AC10" i="19"/>
  <c r="AC41" i="19"/>
  <c r="AC33" i="19"/>
  <c r="AC25" i="19"/>
  <c r="AC17" i="19"/>
  <c r="AC9" i="19"/>
  <c r="AC40" i="19"/>
  <c r="AC32" i="19"/>
  <c r="AC24" i="19"/>
  <c r="AC16" i="19"/>
  <c r="AC8" i="19"/>
  <c r="AC39" i="19"/>
  <c r="AC31" i="19"/>
  <c r="AC23" i="19"/>
  <c r="AC15" i="19"/>
  <c r="AC7" i="19"/>
  <c r="X5" i="18"/>
  <c r="X6" i="18"/>
  <c r="X7" i="18"/>
  <c r="X8" i="18"/>
  <c r="I8" i="6"/>
  <c r="AD12" i="19"/>
  <c r="AD7" i="19"/>
  <c r="AD22" i="19"/>
  <c r="AD36" i="19"/>
  <c r="AD9" i="19"/>
  <c r="AD15" i="19"/>
  <c r="AD24" i="19"/>
  <c r="AD25" i="19"/>
  <c r="AD16" i="19"/>
  <c r="AD26" i="19"/>
  <c r="AD31" i="19"/>
  <c r="AD11" i="19"/>
  <c r="AD38" i="19"/>
  <c r="AD10" i="19"/>
  <c r="AD21" i="19"/>
  <c r="I21" i="6"/>
  <c r="AD19" i="19"/>
  <c r="AD39" i="19"/>
  <c r="AD23" i="19"/>
  <c r="AD28" i="19"/>
  <c r="AD5" i="19"/>
  <c r="AD18" i="19"/>
  <c r="AD41" i="19"/>
  <c r="AD32" i="19"/>
  <c r="AD37" i="19"/>
  <c r="AD35" i="19"/>
  <c r="AD17" i="19"/>
  <c r="AD6" i="19"/>
  <c r="AD20" i="19"/>
  <c r="AD8" i="19"/>
  <c r="AD34" i="19"/>
  <c r="AD13" i="19"/>
  <c r="AD30" i="19"/>
  <c r="AD33" i="19"/>
  <c r="AD29" i="19"/>
  <c r="AD14" i="19"/>
  <c r="AD27" i="19"/>
  <c r="AD40" i="19"/>
  <c r="H5" i="6"/>
  <c r="X9" i="18" l="1"/>
  <c r="X10" i="18"/>
  <c r="AD3" i="19"/>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K38" i="18" s="1"/>
  <c r="AC30" i="18"/>
  <c r="AK30" i="18" s="1"/>
  <c r="AC22" i="18"/>
  <c r="AC14" i="18"/>
  <c r="AK14" i="18" s="1"/>
  <c r="AC37" i="18"/>
  <c r="AK37" i="18" s="1"/>
  <c r="AC29" i="18"/>
  <c r="AK29" i="18" s="1"/>
  <c r="AC21" i="18"/>
  <c r="AK21" i="18" s="1"/>
  <c r="AC13" i="18"/>
  <c r="AK13" i="18" s="1"/>
  <c r="AC5" i="18"/>
  <c r="AK5" i="18" s="1"/>
  <c r="AC36" i="18"/>
  <c r="AK36" i="18" s="1"/>
  <c r="AC28" i="18"/>
  <c r="AK28" i="18" s="1"/>
  <c r="AC20" i="18"/>
  <c r="AK20" i="18" s="1"/>
  <c r="AC12" i="18"/>
  <c r="AC35" i="18"/>
  <c r="AK35" i="18" s="1"/>
  <c r="AC27" i="18"/>
  <c r="AC19" i="18"/>
  <c r="AK19" i="18" s="1"/>
  <c r="AC11" i="18"/>
  <c r="AK11" i="18" s="1"/>
  <c r="AC42" i="18"/>
  <c r="AC34" i="18"/>
  <c r="AK34" i="18" s="1"/>
  <c r="AC26" i="18"/>
  <c r="AK26" i="18" s="1"/>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12" i="18"/>
  <c r="AK7" i="18"/>
  <c r="S3" i="17"/>
  <c r="AD23" i="18"/>
  <c r="AD20" i="18"/>
  <c r="AD14" i="18"/>
  <c r="AD28" i="18"/>
  <c r="AD33" i="18"/>
  <c r="AD38" i="18"/>
  <c r="AD10" i="18"/>
  <c r="AD41" i="18"/>
  <c r="AD19" i="18"/>
  <c r="AD27" i="18"/>
  <c r="AD15" i="18"/>
  <c r="AD37" i="18"/>
  <c r="AD22" i="18"/>
  <c r="AD39" i="18"/>
  <c r="AD34" i="18"/>
  <c r="AD31" i="18"/>
  <c r="AD5" i="18"/>
  <c r="AD16" i="18"/>
  <c r="AD18" i="18"/>
  <c r="AD6" i="18"/>
  <c r="AD25" i="18"/>
  <c r="AD42" i="18"/>
  <c r="AD36" i="18"/>
  <c r="AD30" i="18"/>
  <c r="AD13" i="18"/>
  <c r="AD40" i="18"/>
  <c r="AD9" i="18"/>
  <c r="AD24" i="18"/>
  <c r="AD11" i="18"/>
  <c r="AD29" i="18"/>
  <c r="AD12" i="18"/>
  <c r="AD8" i="18"/>
  <c r="AD26" i="18"/>
  <c r="AD35" i="18"/>
  <c r="AD21" i="18"/>
  <c r="AD32" i="18"/>
  <c r="AD17"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D3" i="31"/>
  <c r="AD42" i="17"/>
  <c r="M6" i="25" a="1"/>
  <c r="Z3" i="30"/>
  <c r="Z3" i="29"/>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33" i="17"/>
  <c r="AD31" i="17"/>
  <c r="AD34" i="17"/>
  <c r="AD38" i="17"/>
  <c r="AD40" i="17"/>
  <c r="AD41" i="17"/>
  <c r="AD5" i="17"/>
  <c r="AD6" i="17"/>
  <c r="AD14" i="17"/>
  <c r="AD12" i="17"/>
  <c r="AD32" i="17"/>
  <c r="AD11" i="17"/>
  <c r="AD15" i="17"/>
  <c r="AD39" i="17"/>
  <c r="AD22" i="17"/>
  <c r="AD28" i="17"/>
  <c r="AD26" i="17"/>
  <c r="AD30" i="17"/>
  <c r="AD20" i="17"/>
  <c r="AD17" i="17"/>
  <c r="AD37" i="17"/>
  <c r="AD35" i="17"/>
  <c r="AD24" i="17"/>
  <c r="AD21" i="17"/>
  <c r="AD29" i="17"/>
  <c r="AD18" i="17"/>
  <c r="AD13" i="17"/>
  <c r="AD7" i="17"/>
  <c r="AD25" i="17"/>
  <c r="AD8" i="17"/>
  <c r="AD10" i="17"/>
  <c r="AD16" i="17"/>
  <c r="AD9" i="17"/>
  <c r="AD27" i="17"/>
  <c r="AD19" i="17"/>
  <c r="AD23" i="17"/>
  <c r="AD36" i="17"/>
  <c r="M9" i="25" l="1"/>
  <c r="Y6" i="25" s="1" a="1"/>
  <c r="AD3" i="17"/>
  <c r="Y9" i="25" l="1"/>
  <c r="Y6" i="25"/>
  <c r="Y7" i="25"/>
  <c r="Y8" i="25"/>
  <c r="AA7" i="25"/>
  <c r="M7" i="24" a="1"/>
  <c r="AA9" i="25"/>
  <c r="AA8" i="25"/>
  <c r="AA6"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0" i="23"/>
  <c r="AA16" i="23"/>
  <c r="AA6" i="23"/>
  <c r="AA11" i="23"/>
  <c r="AA15" i="23"/>
  <c r="D7" i="24" a="1"/>
  <c r="AA12" i="23"/>
  <c r="AA7" i="23"/>
  <c r="AA13" i="23"/>
  <c r="AA9" i="23"/>
  <c r="X3" i="22"/>
  <c r="AA8" i="23"/>
  <c r="AA17" i="23"/>
  <c r="AA14"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31" i="24"/>
  <c r="F16" i="24"/>
  <c r="AA4" i="23"/>
  <c r="F20" i="24"/>
  <c r="F42" i="24"/>
  <c r="F19" i="24"/>
  <c r="F21" i="24"/>
  <c r="F45" i="24"/>
  <c r="F47" i="24"/>
  <c r="G47" i="24" s="1"/>
  <c r="F41" i="24"/>
  <c r="F17" i="24"/>
  <c r="G42" i="24"/>
  <c r="Z19" i="24"/>
  <c r="F29" i="24"/>
  <c r="F48" i="24"/>
  <c r="G41" i="24"/>
  <c r="Z29" i="24"/>
  <c r="F12" i="24"/>
  <c r="G19" i="24"/>
  <c r="F36" i="24"/>
  <c r="Z36" i="24" s="1"/>
  <c r="F38" i="24"/>
  <c r="F34" i="24"/>
  <c r="Z34" i="24" s="1"/>
  <c r="F28" i="24"/>
  <c r="Z28" i="24" s="1"/>
  <c r="F40" i="24"/>
  <c r="G40" i="24" s="1"/>
  <c r="F35" i="24"/>
  <c r="F37" i="24"/>
  <c r="G29" i="24"/>
  <c r="Z31" i="24"/>
  <c r="F32" i="24"/>
  <c r="Z41" i="24"/>
  <c r="G17" i="24"/>
  <c r="G34" i="24"/>
  <c r="F26" i="24"/>
  <c r="G21" i="24"/>
  <c r="G26" i="24"/>
  <c r="G35" i="24"/>
  <c r="Z17" i="24"/>
  <c r="F30" i="24"/>
  <c r="Z30" i="24" s="1"/>
  <c r="F15" i="24"/>
  <c r="F27" i="24"/>
  <c r="G16" i="24"/>
  <c r="F9" i="24"/>
  <c r="Z45" i="24"/>
  <c r="G28" i="24"/>
  <c r="Z20" i="24"/>
  <c r="G38" i="24"/>
  <c r="G48" i="24"/>
  <c r="Z48" i="24"/>
  <c r="Z35" i="24"/>
  <c r="Z47" i="24"/>
  <c r="G27" i="24"/>
  <c r="Z16" i="24"/>
  <c r="F23" i="24"/>
  <c r="F7" i="24"/>
  <c r="F25" i="24"/>
  <c r="F11" i="24"/>
  <c r="F44" i="24"/>
  <c r="F10" i="24"/>
  <c r="Z37" i="24"/>
  <c r="Z27" i="24"/>
  <c r="Z10" i="24"/>
  <c r="G30" i="24"/>
  <c r="F39" i="24"/>
  <c r="Z39" i="24" s="1"/>
  <c r="Z40" i="24"/>
  <c r="G39" i="24"/>
  <c r="Z42" i="24"/>
  <c r="G31" i="24"/>
  <c r="F24" i="24"/>
  <c r="G24" i="24" s="1"/>
  <c r="F14" i="24"/>
  <c r="F43" i="24"/>
  <c r="F13" i="24"/>
  <c r="Z24" i="24"/>
  <c r="F22" i="24"/>
  <c r="F18" i="24"/>
  <c r="G36" i="24"/>
  <c r="G45" i="24"/>
  <c r="F33" i="24"/>
  <c r="F8" i="24"/>
  <c r="F46" i="24"/>
  <c r="F6" i="24"/>
  <c r="G6" i="24"/>
  <c r="Z12" i="24"/>
  <c r="Z32" i="24"/>
  <c r="G32" i="24"/>
  <c r="Z15" i="24"/>
  <c r="G15" i="24"/>
  <c r="G9" i="24"/>
  <c r="Z9" i="24"/>
  <c r="Z23" i="24"/>
  <c r="G23" i="24"/>
  <c r="G7" i="24"/>
  <c r="Z7" i="24"/>
  <c r="G25" i="24"/>
  <c r="G11" i="24"/>
  <c r="Z44" i="24"/>
  <c r="G14" i="24"/>
  <c r="G43" i="24"/>
  <c r="Z13" i="24"/>
  <c r="G13" i="24"/>
  <c r="G22" i="24"/>
  <c r="Z22" i="24"/>
  <c r="Z18" i="24"/>
  <c r="G18" i="24"/>
  <c r="Z33" i="24"/>
  <c r="G8" i="24"/>
  <c r="Z8" i="24"/>
  <c r="Z46" i="24"/>
  <c r="G46" i="24"/>
  <c r="Z26" i="24"/>
  <c r="Z14" i="24"/>
  <c r="G33" i="24"/>
  <c r="G37" i="24"/>
  <c r="Z38" i="24"/>
  <c r="G44" i="24"/>
  <c r="Z43" i="24"/>
  <c r="G12" i="24"/>
  <c r="G20" i="24"/>
  <c r="G10" i="24"/>
  <c r="Z21" i="24"/>
  <c r="Z11" i="24"/>
  <c r="Z25" i="24"/>
  <c r="Z5" i="24" s="1"/>
  <c r="D7" i="67" s="1"/>
  <c r="AK7" i="24" a="1"/>
  <c r="AK7" i="24"/>
  <c r="AK26" i="24"/>
  <c r="AK8" i="24"/>
  <c r="AK25" i="24"/>
  <c r="AK28" i="24"/>
  <c r="AK37" i="24"/>
  <c r="AK42" i="24"/>
  <c r="AK16" i="24"/>
  <c r="AK41" i="24"/>
  <c r="AK44" i="24"/>
  <c r="AK45" i="24"/>
  <c r="AK23" i="24"/>
  <c r="AK19" i="24"/>
  <c r="AK24" i="24"/>
  <c r="AK18" i="24"/>
  <c r="AK14" i="24"/>
  <c r="AL8" i="24"/>
  <c r="AK36" i="24"/>
  <c r="AK27" i="24"/>
  <c r="AK15" i="24"/>
  <c r="AK31" i="24"/>
  <c r="AK32" i="24"/>
  <c r="AK34" i="24"/>
  <c r="AK30" i="24"/>
  <c r="AM8" i="24"/>
  <c r="AK47" i="24"/>
  <c r="AK48" i="24"/>
  <c r="AK13" i="24"/>
  <c r="AK33" i="24"/>
  <c r="AK9" i="24"/>
  <c r="AK43" i="24"/>
  <c r="AK21" i="24"/>
  <c r="AK10" i="24"/>
  <c r="AK38" i="24"/>
  <c r="AK17" i="24"/>
  <c r="AK12" i="24"/>
  <c r="AK29" i="24"/>
  <c r="AK35" i="24"/>
  <c r="AK39" i="24"/>
  <c r="AK20" i="24"/>
  <c r="AK40" i="24"/>
  <c r="AK11" i="24"/>
  <c r="AK46" i="24"/>
  <c r="AK22" i="24"/>
  <c r="AM7" i="24"/>
  <c r="AM10" i="24"/>
  <c r="AL10" i="24"/>
  <c r="AL7" i="24"/>
  <c r="AM11" i="24"/>
  <c r="AL9" i="24"/>
  <c r="AM9" i="24"/>
  <c r="AL11" i="24"/>
  <c r="AL12" i="24"/>
  <c r="AM12" i="24"/>
  <c r="AL13" i="24"/>
  <c r="AM15" i="24"/>
  <c r="AM17" i="24"/>
  <c r="AM19" i="24"/>
  <c r="AL20" i="24"/>
  <c r="AM13" i="24"/>
  <c r="AL15" i="24"/>
  <c r="AL17" i="24"/>
  <c r="AL19" i="24"/>
  <c r="AL14" i="24"/>
  <c r="AL16" i="24"/>
  <c r="AM18" i="24"/>
  <c r="AM14" i="24"/>
  <c r="AM16" i="24"/>
  <c r="AL18" i="24"/>
  <c r="AN8" i="24"/>
  <c r="AO8" i="24"/>
  <c r="AN10" i="24"/>
  <c r="AN9" i="24"/>
  <c r="AO10" i="24"/>
  <c r="AN11" i="24"/>
  <c r="AN7" i="24"/>
  <c r="AO7" i="24"/>
  <c r="AO9" i="24"/>
  <c r="AO11" i="24"/>
  <c r="AN14" i="24"/>
  <c r="AN16" i="24"/>
  <c r="AN18" i="24"/>
  <c r="AN15" i="24"/>
  <c r="AN19" i="24"/>
  <c r="AO14" i="24"/>
  <c r="AO16" i="24"/>
  <c r="AO18" i="24"/>
  <c r="AN13" i="24"/>
  <c r="AO15" i="24"/>
  <c r="AN12" i="24"/>
  <c r="AO12" i="24"/>
  <c r="AN17" i="24"/>
  <c r="AO13" i="24"/>
  <c r="AO17" i="24"/>
  <c r="AO19" i="24"/>
  <c r="AM20" i="24"/>
  <c r="AL23" i="24"/>
  <c r="AM28" i="24"/>
  <c r="AL31" i="24"/>
  <c r="AM36" i="24"/>
  <c r="AL39" i="24"/>
  <c r="AM44" i="24"/>
  <c r="AL47" i="24"/>
  <c r="AM47" i="24"/>
  <c r="AM29" i="24"/>
  <c r="AL48" i="24"/>
  <c r="AM24" i="24"/>
  <c r="AM32" i="24"/>
  <c r="AL38" i="24"/>
  <c r="AL46" i="24"/>
  <c r="AL41" i="24"/>
  <c r="AL21" i="24"/>
  <c r="AM23" i="24"/>
  <c r="AL26" i="24"/>
  <c r="AM31" i="24"/>
  <c r="AL34" i="24"/>
  <c r="AM39" i="24"/>
  <c r="AL42" i="24"/>
  <c r="AL32" i="24"/>
  <c r="AL40" i="24"/>
  <c r="AM45" i="24"/>
  <c r="AL35" i="24"/>
  <c r="AM40" i="24"/>
  <c r="AM27" i="24"/>
  <c r="AM35" i="24"/>
  <c r="AM21" i="24"/>
  <c r="AM26" i="24"/>
  <c r="AL29" i="24"/>
  <c r="AM34" i="24"/>
  <c r="AL37" i="24"/>
  <c r="AM42" i="24"/>
  <c r="AL45" i="24"/>
  <c r="AL24" i="24"/>
  <c r="AM37" i="24"/>
  <c r="AL27" i="24"/>
  <c r="AL43" i="24"/>
  <c r="AM48" i="24"/>
  <c r="AL22" i="24"/>
  <c r="AM30" i="24"/>
  <c r="AM43" i="24"/>
  <c r="AM22" i="24"/>
  <c r="AL25" i="24"/>
  <c r="AL30" i="24"/>
  <c r="AL33" i="24"/>
  <c r="AM38" i="24"/>
  <c r="AM41" i="24"/>
  <c r="AM46" i="24"/>
  <c r="AM25" i="24"/>
  <c r="AL28" i="24"/>
  <c r="AM33" i="24"/>
  <c r="AL36" i="24"/>
  <c r="AL44" i="24"/>
  <c r="AN25" i="24"/>
  <c r="AN33" i="24"/>
  <c r="AN41" i="24"/>
  <c r="AN47" i="24"/>
  <c r="AN34" i="24"/>
  <c r="AN37" i="24"/>
  <c r="AN24" i="24"/>
  <c r="AN28" i="24"/>
  <c r="AN36" i="24"/>
  <c r="AN44" i="24"/>
  <c r="AN20" i="24"/>
  <c r="AN21" i="24"/>
  <c r="AN45" i="24"/>
  <c r="AN40" i="24"/>
  <c r="AN46" i="24"/>
  <c r="AN23" i="24"/>
  <c r="AN31" i="24"/>
  <c r="AN39" i="24"/>
  <c r="AN26" i="24"/>
  <c r="AN42" i="24"/>
  <c r="AN29" i="24"/>
  <c r="AN32" i="24"/>
  <c r="AN48" i="24"/>
  <c r="AN27" i="24"/>
  <c r="AN35" i="24"/>
  <c r="AN43" i="24"/>
  <c r="AN22" i="24"/>
  <c r="AN30" i="24"/>
  <c r="AN38" i="24"/>
  <c r="AO38" i="24"/>
  <c r="AO30" i="24"/>
  <c r="AO20" i="24"/>
  <c r="AO23" i="24"/>
  <c r="AO25" i="24"/>
  <c r="AO27" i="24"/>
  <c r="AO29" i="24"/>
  <c r="AO31" i="24"/>
  <c r="AO33" i="24"/>
  <c r="AO35" i="24"/>
  <c r="AO37" i="24"/>
  <c r="AO39" i="24"/>
  <c r="AO41" i="24"/>
  <c r="AO45" i="24"/>
  <c r="AO47" i="24"/>
  <c r="AO34" i="24"/>
  <c r="AO42" i="24"/>
  <c r="AO21" i="24"/>
  <c r="AO43" i="24"/>
  <c r="AO32" i="24"/>
  <c r="AO40" i="24"/>
  <c r="AO46" i="24"/>
  <c r="AO48" i="24"/>
  <c r="AO22" i="24"/>
  <c r="AO24" i="24"/>
  <c r="AO26" i="24"/>
  <c r="AO28" i="24"/>
  <c r="AO36" i="24"/>
  <c r="AO44" i="24"/>
  <c r="AN6" i="24"/>
  <c r="AO6" i="24"/>
</calcChain>
</file>

<file path=xl/sharedStrings.xml><?xml version="1.0" encoding="utf-8"?>
<sst xmlns="http://schemas.openxmlformats.org/spreadsheetml/2006/main" count="3894" uniqueCount="311">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</sst>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28"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cellStyleXfs>
  <cellXfs count="456">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1" fontId="25" fillId="3" borderId="15" xfId="1" applyNumberFormat="1" applyFont="1" applyFill="1" applyBorder="1" applyAlignment="1">
      <alignment horizontal="center"/>
    </xf>
    <xf numFmtId="0" fontId="25" fillId="2" borderId="14" xfId="1" applyFont="1" applyFill="1" applyBorder="1"/>
    <xf numFmtId="1" fontId="25" fillId="3" borderId="22" xfId="1" applyNumberFormat="1" applyFont="1" applyFill="1" applyBorder="1" applyAlignment="1">
      <alignment horizontal="center"/>
    </xf>
    <xf numFmtId="0" fontId="25" fillId="2" borderId="27" xfId="1" applyFont="1" applyFill="1" applyBorder="1"/>
    <xf numFmtId="0" fontId="25" fillId="3" borderId="22" xfId="1" quotePrefix="1" applyNumberFormat="1" applyFont="1" applyFill="1" applyBorder="1" applyAlignment="1">
      <alignment horizontal="center"/>
    </xf>
    <xf numFmtId="177" fontId="25" fillId="3" borderId="22" xfId="1" applyNumberFormat="1" applyFont="1" applyFill="1" applyBorder="1" applyAlignment="1">
      <alignment horizontal="center"/>
    </xf>
    <xf numFmtId="0" fontId="25" fillId="3" borderId="17" xfId="1" applyFont="1" applyFill="1" applyBorder="1" applyAlignment="1">
      <alignment horizontal="center"/>
    </xf>
    <xf numFmtId="0" fontId="25" fillId="2" borderId="26" xfId="1" applyFont="1" applyFill="1" applyBorder="1"/>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cellXfs>
  <cellStyles count="10">
    <cellStyle name="Migliaia (0)_AZIONI" xfId="5"/>
    <cellStyle name="Migliaia_AZIONI" xfId="6"/>
    <cellStyle name="Normal" xfId="0" builtinId="0"/>
    <cellStyle name="Normal 2" xfId="1"/>
    <cellStyle name="Normal_SwaptionATMVols" xfId="2"/>
    <cellStyle name="Normale_AZIONI" xfId="7"/>
    <cellStyle name="Percent 2" xfId="4"/>
    <cellStyle name="result" xfId="3"/>
    <cellStyle name="Valuta (0)_AZIONI" xfId="8"/>
    <cellStyle name="Valuta_AZIONI" xfId="9"/>
  </cellStyles>
  <dxfs count="1">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57150</xdr:rowOff>
        </xdr:from>
        <xdr:to>
          <xdr:col>3</xdr:col>
          <xdr:colOff>390525</xdr:colOff>
          <xdr:row>20</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0"/>
  <sheetViews>
    <sheetView workbookViewId="0"/>
  </sheetViews>
  <sheetFormatPr defaultRowHeight="12.75" x14ac:dyDescent="0.2"/>
  <cols>
    <col min="1" max="2" width="2.7109375" style="432" customWidth="1"/>
    <col min="3" max="3" width="14.85546875" style="432" bestFit="1" customWidth="1"/>
    <col min="4" max="4" width="21.42578125" style="432" bestFit="1" customWidth="1"/>
    <col min="5" max="5" width="20.7109375" style="432" bestFit="1" customWidth="1"/>
    <col min="6" max="8" width="2.7109375" style="432" customWidth="1"/>
    <col min="9" max="9" width="12.140625" style="432" bestFit="1" customWidth="1"/>
    <col min="10" max="10" width="53.7109375" style="432" bestFit="1" customWidth="1"/>
    <col min="11" max="11" width="2.7109375" style="432" customWidth="1"/>
    <col min="12" max="16384" width="9.140625" style="432"/>
  </cols>
  <sheetData>
    <row r="1" spans="1:11" ht="13.5" thickBot="1" x14ac:dyDescent="0.25">
      <c r="A1" s="432" t="s">
        <v>310</v>
      </c>
      <c r="B1" s="432" t="str">
        <f>_xll.qlxlVersion(TRUE,Trigger)</f>
        <v>QuantLibXL 1.3.0 - MS VC++ 9.0 - Multithreaded Static Runtime library - Release Configuration - Dec  5 2013 11:03:51</v>
      </c>
    </row>
    <row r="2" spans="1:11" ht="15.75" x14ac:dyDescent="0.25">
      <c r="B2" s="440" t="s">
        <v>309</v>
      </c>
      <c r="C2" s="441"/>
      <c r="D2" s="441"/>
      <c r="E2" s="441"/>
      <c r="F2" s="442"/>
      <c r="H2" s="440" t="s">
        <v>32</v>
      </c>
      <c r="I2" s="441"/>
      <c r="J2" s="441"/>
      <c r="K2" s="442"/>
    </row>
    <row r="3" spans="1:11" x14ac:dyDescent="0.2">
      <c r="B3" s="409"/>
      <c r="C3" s="431"/>
      <c r="D3" s="431"/>
      <c r="E3" s="431"/>
      <c r="F3" s="430"/>
      <c r="H3" s="9"/>
      <c r="I3" s="13"/>
      <c r="J3" s="13"/>
      <c r="K3" s="5"/>
    </row>
    <row r="4" spans="1:11" x14ac:dyDescent="0.2">
      <c r="B4" s="409"/>
      <c r="C4" s="429" t="s">
        <v>25</v>
      </c>
      <c r="D4" s="428" t="s">
        <v>123</v>
      </c>
      <c r="E4" s="419"/>
      <c r="F4" s="411"/>
      <c r="H4" s="9"/>
      <c r="I4" s="16" t="s">
        <v>31</v>
      </c>
      <c r="J4" s="15">
        <v>41627.685185185182</v>
      </c>
      <c r="K4" s="14"/>
    </row>
    <row r="5" spans="1:11" x14ac:dyDescent="0.2">
      <c r="B5" s="409"/>
      <c r="C5" s="425" t="s">
        <v>31</v>
      </c>
      <c r="D5" s="427">
        <v>41479.711631944447</v>
      </c>
      <c r="E5" s="419"/>
      <c r="F5" s="411"/>
      <c r="H5" s="9"/>
      <c r="I5" s="16" t="s">
        <v>30</v>
      </c>
      <c r="J5" s="15" t="b">
        <v>1</v>
      </c>
      <c r="K5" s="14"/>
    </row>
    <row r="6" spans="1:11" x14ac:dyDescent="0.2">
      <c r="B6" s="409"/>
      <c r="C6" s="425" t="s">
        <v>308</v>
      </c>
      <c r="D6" s="426" t="s">
        <v>307</v>
      </c>
      <c r="E6" s="419"/>
      <c r="F6" s="411"/>
      <c r="H6" s="9"/>
      <c r="I6" s="16" t="s">
        <v>29</v>
      </c>
      <c r="J6" s="15" t="b">
        <v>0</v>
      </c>
      <c r="K6" s="14"/>
    </row>
    <row r="7" spans="1:11" x14ac:dyDescent="0.2">
      <c r="B7" s="409"/>
      <c r="C7" s="425" t="s">
        <v>306</v>
      </c>
      <c r="D7" s="424">
        <f ca="1">_xll.ohTrigger(Deposits!P3,FRA!X3,Futures3M!Z5,FuturesHWConvAdj!Q3,Swaps1M!Z3,Swap3M!AD3,SwapsIMMDated!Z3,Swap6M!AC3,BasisSwap1MxM!AD3,BasisSwap3M6M!AD3,BasisSwapxM12M!AD3,OIS!Y3)</f>
        <v>11</v>
      </c>
      <c r="E7" s="419"/>
      <c r="F7" s="411"/>
      <c r="H7" s="9"/>
      <c r="I7" s="16" t="s">
        <v>28</v>
      </c>
      <c r="J7" s="15" t="b">
        <v>1</v>
      </c>
      <c r="K7" s="14"/>
    </row>
    <row r="8" spans="1:11" x14ac:dyDescent="0.2">
      <c r="B8" s="409"/>
      <c r="C8" s="423" t="s">
        <v>305</v>
      </c>
      <c r="D8" s="422" t="s">
        <v>304</v>
      </c>
      <c r="E8" s="419"/>
      <c r="F8" s="411"/>
      <c r="H8" s="9"/>
      <c r="I8" s="16" t="s">
        <v>27</v>
      </c>
      <c r="J8" s="24" t="str">
        <f ca="1">SUBSTITUTE(LEFT(CELL("filename",A1),FIND("[",CELL("filename",A1),1)-1),"\XLS\","\XML\")</f>
        <v>C:\Users\erik\Documents\repos\quantlib_nando\QuantLibXL\Data2\XML\</v>
      </c>
      <c r="K8" s="14"/>
    </row>
    <row r="9" spans="1:11" x14ac:dyDescent="0.2">
      <c r="B9" s="409"/>
      <c r="C9" s="419"/>
      <c r="D9" s="326"/>
      <c r="E9" s="419"/>
      <c r="F9" s="411"/>
      <c r="H9" s="9"/>
      <c r="I9" s="16" t="s">
        <v>26</v>
      </c>
      <c r="J9" s="23" t="b">
        <v>1</v>
      </c>
      <c r="K9" s="14"/>
    </row>
    <row r="10" spans="1:11" x14ac:dyDescent="0.2">
      <c r="B10" s="409"/>
      <c r="C10" s="421" t="s">
        <v>248</v>
      </c>
      <c r="D10" s="420" t="s">
        <v>303</v>
      </c>
      <c r="E10" s="419"/>
      <c r="F10" s="411"/>
      <c r="H10" s="9"/>
      <c r="I10" s="16" t="s">
        <v>25</v>
      </c>
      <c r="J10" s="40" t="s">
        <v>123</v>
      </c>
      <c r="K10" s="14"/>
    </row>
    <row r="11" spans="1:11" ht="13.5" thickBot="1" x14ac:dyDescent="0.25">
      <c r="B11" s="409"/>
      <c r="C11" s="418" t="s">
        <v>238</v>
      </c>
      <c r="D11" s="417" t="str">
        <f>""</f>
        <v/>
      </c>
      <c r="E11" s="419"/>
      <c r="F11" s="411"/>
      <c r="H11" s="4"/>
      <c r="I11" s="3"/>
      <c r="J11" s="3"/>
      <c r="K11" s="2"/>
    </row>
    <row r="12" spans="1:11" ht="13.5" thickBot="1" x14ac:dyDescent="0.25">
      <c r="B12" s="409"/>
      <c r="C12" s="418" t="s">
        <v>237</v>
      </c>
      <c r="D12" s="417" t="s">
        <v>236</v>
      </c>
      <c r="E12" s="414"/>
      <c r="F12" s="411"/>
    </row>
    <row r="13" spans="1:11" ht="15.75" x14ac:dyDescent="0.25">
      <c r="B13" s="409"/>
      <c r="C13" s="418" t="s">
        <v>235</v>
      </c>
      <c r="D13" s="417" t="s">
        <v>235</v>
      </c>
      <c r="E13" s="414"/>
      <c r="F13" s="411"/>
      <c r="H13" s="440" t="s">
        <v>149</v>
      </c>
      <c r="I13" s="441"/>
      <c r="J13" s="441"/>
      <c r="K13" s="442"/>
    </row>
    <row r="14" spans="1:11" x14ac:dyDescent="0.2">
      <c r="B14" s="409"/>
      <c r="C14" s="418" t="s">
        <v>234</v>
      </c>
      <c r="D14" s="417" t="s">
        <v>233</v>
      </c>
      <c r="E14" s="414"/>
      <c r="F14" s="411"/>
      <c r="H14" s="9"/>
      <c r="I14" s="13"/>
      <c r="J14" s="13"/>
      <c r="K14" s="5"/>
    </row>
    <row r="15" spans="1:11" x14ac:dyDescent="0.2">
      <c r="B15" s="409"/>
      <c r="C15" s="418" t="s">
        <v>232</v>
      </c>
      <c r="D15" s="417" t="s">
        <v>231</v>
      </c>
      <c r="E15" s="414"/>
      <c r="F15" s="411"/>
      <c r="H15" s="9"/>
      <c r="I15" s="16" t="s">
        <v>148</v>
      </c>
      <c r="J15" s="23" t="s">
        <v>147</v>
      </c>
      <c r="K15" s="14"/>
    </row>
    <row r="16" spans="1:11" x14ac:dyDescent="0.2">
      <c r="B16" s="409"/>
      <c r="C16" s="418" t="s">
        <v>230</v>
      </c>
      <c r="D16" s="417" t="s">
        <v>229</v>
      </c>
      <c r="E16" s="414"/>
      <c r="F16" s="411"/>
      <c r="H16" s="9"/>
      <c r="I16" s="16" t="s">
        <v>146</v>
      </c>
      <c r="J16" s="106">
        <v>1E-4</v>
      </c>
      <c r="K16" s="14"/>
    </row>
    <row r="17" spans="2:11" x14ac:dyDescent="0.2">
      <c r="B17" s="409"/>
      <c r="C17" s="416" t="s">
        <v>228</v>
      </c>
      <c r="D17" s="415" t="s">
        <v>226</v>
      </c>
      <c r="E17" s="414"/>
      <c r="F17" s="411"/>
      <c r="H17" s="9"/>
      <c r="I17" s="16" t="s">
        <v>145</v>
      </c>
      <c r="J17" s="105">
        <v>-0.01</v>
      </c>
      <c r="K17" s="14"/>
    </row>
    <row r="18" spans="2:11" x14ac:dyDescent="0.2">
      <c r="B18" s="409"/>
      <c r="C18" s="408"/>
      <c r="D18" s="408"/>
      <c r="E18" s="408"/>
      <c r="F18" s="411"/>
      <c r="H18" s="9"/>
      <c r="I18" s="16" t="s">
        <v>54</v>
      </c>
      <c r="J18" s="15" t="s">
        <v>53</v>
      </c>
      <c r="K18" s="14"/>
    </row>
    <row r="19" spans="2:11" x14ac:dyDescent="0.2">
      <c r="B19" s="409"/>
      <c r="C19" s="408"/>
      <c r="D19" s="408"/>
      <c r="E19" s="408"/>
      <c r="F19" s="411"/>
      <c r="H19" s="9"/>
      <c r="I19" s="16" t="s">
        <v>119</v>
      </c>
      <c r="J19" s="15" t="s">
        <v>118</v>
      </c>
      <c r="K19" s="14"/>
    </row>
    <row r="20" spans="2:11" ht="13.5" thickBot="1" x14ac:dyDescent="0.25">
      <c r="B20" s="409"/>
      <c r="C20" s="408"/>
      <c r="D20" s="407" t="s">
        <v>302</v>
      </c>
      <c r="E20" s="413">
        <v>41479.71230324074</v>
      </c>
      <c r="F20" s="53"/>
      <c r="H20" s="4"/>
      <c r="I20" s="3"/>
      <c r="J20" s="3"/>
      <c r="K20" s="2"/>
    </row>
    <row r="21" spans="2:11" x14ac:dyDescent="0.2">
      <c r="B21" s="409"/>
      <c r="C21" s="408"/>
      <c r="D21" s="412"/>
      <c r="E21" s="410"/>
      <c r="F21" s="411"/>
    </row>
    <row r="22" spans="2:11" x14ac:dyDescent="0.2">
      <c r="B22" s="409"/>
      <c r="C22" s="408"/>
      <c r="D22" s="407"/>
      <c r="E22" s="410"/>
      <c r="F22" s="53"/>
    </row>
    <row r="23" spans="2:11" x14ac:dyDescent="0.2">
      <c r="B23" s="409"/>
      <c r="C23" s="408"/>
      <c r="D23" s="407" t="s">
        <v>301</v>
      </c>
      <c r="E23" s="406" t="b">
        <v>1</v>
      </c>
      <c r="F23" s="53"/>
    </row>
    <row r="24" spans="2:11" ht="11.25" customHeight="1" thickBot="1" x14ac:dyDescent="0.25">
      <c r="B24" s="405"/>
      <c r="C24" s="51"/>
      <c r="D24" s="51"/>
      <c r="E24" s="51"/>
      <c r="F24" s="50"/>
    </row>
    <row r="25" spans="2:11" x14ac:dyDescent="0.2">
      <c r="C25" s="433"/>
      <c r="D25" s="433"/>
      <c r="E25" s="433"/>
      <c r="F25" s="433"/>
    </row>
    <row r="26" spans="2:11" x14ac:dyDescent="0.2">
      <c r="C26" s="433"/>
      <c r="D26" s="433"/>
      <c r="E26" s="433"/>
      <c r="F26" s="433"/>
    </row>
    <row r="27" spans="2:11" x14ac:dyDescent="0.2">
      <c r="C27" s="433"/>
      <c r="D27" s="433"/>
      <c r="E27" s="433"/>
      <c r="F27" s="433"/>
    </row>
    <row r="28" spans="2:11" x14ac:dyDescent="0.2">
      <c r="C28" s="433"/>
      <c r="D28" s="433"/>
      <c r="E28" s="433"/>
      <c r="F28" s="433"/>
    </row>
    <row r="29" spans="2:11" x14ac:dyDescent="0.2">
      <c r="C29" s="433"/>
      <c r="D29" s="433"/>
      <c r="E29" s="433"/>
      <c r="F29" s="433"/>
    </row>
    <row r="30" spans="2:11" x14ac:dyDescent="0.2">
      <c r="C30" s="433"/>
      <c r="D30" s="433"/>
      <c r="E30" s="433"/>
      <c r="F30" s="433"/>
    </row>
  </sheetData>
  <mergeCells count="3">
    <mergeCell ref="H13:K13"/>
    <mergeCell ref="B2:F2"/>
    <mergeCell ref="H2:K2"/>
  </mergeCells>
  <conditionalFormatting sqref="E23">
    <cfRule type="cellIs" dxfId="0" priority="1" stopIfTrue="1" operator="equal">
      <formula>TRUE</formula>
    </cfRule>
  </conditionalFormatting>
  <dataValidations count="3">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18</xdr:row>
                <xdr:rowOff>57150</xdr:rowOff>
              </from>
              <to>
                <xdr:col>3</xdr:col>
                <xdr:colOff>390525</xdr:colOff>
                <xdr:row>20</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20</xdr:row>
                <xdr:rowOff>123825</xdr:rowOff>
              </from>
              <to>
                <xdr:col>3</xdr:col>
                <xdr:colOff>390525</xdr:colOff>
                <xdr:row>22</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election activeCell="E6" sqref="E6"/>
    </sheetView>
  </sheetViews>
  <sheetFormatPr defaultRowHeight="12.75" x14ac:dyDescent="0.2"/>
  <cols>
    <col min="1" max="2" width="2.7109375" style="1" customWidth="1"/>
    <col min="3" max="3" width="13.7109375" style="1" bestFit="1" customWidth="1"/>
    <col min="4" max="4" width="30" style="1" bestFit="1" customWidth="1"/>
    <col min="5" max="5" width="21.7109375" style="1" bestFit="1" customWidth="1"/>
    <col min="6" max="6" width="51.5703125" style="1" bestFit="1" customWidth="1"/>
    <col min="7" max="7" width="2.710937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EurYC#0000</v>
      </c>
      <c r="F6" s="6" t="str">
        <f>_xll.ohRangeRetrieveError(E6)</f>
        <v/>
      </c>
      <c r="G6" s="5"/>
    </row>
    <row r="7" spans="1:7" x14ac:dyDescent="0.2">
      <c r="B7" s="9"/>
      <c r="C7" s="8" t="s">
        <v>22</v>
      </c>
      <c r="D7" s="8" t="str">
        <f t="shared" si="0"/>
        <v>EurYCSTD</v>
      </c>
      <c r="E7" s="7" t="str">
        <f>_xll.qlRelinkableHandleYieldTermStructure(D7,,Permanent,Trigger,ObjectOverwrite)</f>
        <v>EurYCSTD#0000</v>
      </c>
      <c r="F7" s="6" t="str">
        <f>_xll.ohRangeRetrieveError(E7)</f>
        <v/>
      </c>
      <c r="G7" s="5"/>
    </row>
    <row r="8" spans="1:7" x14ac:dyDescent="0.2">
      <c r="B8" s="9"/>
      <c r="C8" s="8" t="s">
        <v>21</v>
      </c>
      <c r="D8" s="8" t="str">
        <f t="shared" si="0"/>
        <v>EuriborYCON</v>
      </c>
      <c r="E8" s="7" t="str">
        <f>_xll.qlRelinkableHandleYieldTermStructure(D8,,Permanent,Trigger,ObjectOverwrite)</f>
        <v>EuriborYCON#0000</v>
      </c>
      <c r="F8" s="6" t="str">
        <f>_xll.ohRangeRetrieveError(E8)</f>
        <v/>
      </c>
      <c r="G8" s="5"/>
    </row>
    <row r="9" spans="1:7" x14ac:dyDescent="0.2">
      <c r="B9" s="9"/>
      <c r="C9" s="8" t="s">
        <v>20</v>
      </c>
      <c r="D9" s="8" t="str">
        <f t="shared" si="0"/>
        <v>EuriborYC1M</v>
      </c>
      <c r="E9" s="7" t="str">
        <f>_xll.qlRelinkableHandleYieldTermStructure(D9,,Permanent,Trigger,ObjectOverwrite)</f>
        <v>EuriborYC1M#0000</v>
      </c>
      <c r="F9" s="6" t="str">
        <f>_xll.ohRangeRetrieveError(E9)</f>
        <v/>
      </c>
      <c r="G9" s="5"/>
    </row>
    <row r="10" spans="1:7" x14ac:dyDescent="0.2">
      <c r="B10" s="9"/>
      <c r="C10" s="8" t="s">
        <v>19</v>
      </c>
      <c r="D10" s="8" t="str">
        <f t="shared" si="0"/>
        <v>EuriborYC3M</v>
      </c>
      <c r="E10" s="7" t="str">
        <f>_xll.qlRelinkableHandleYieldTermStructure(D10,,Permanent,Trigger,ObjectOverwrite)</f>
        <v>EuriborYC3M#0000</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EuriborYC6M#0000</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EuriborYC1Y#0000</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EuriborYCON-Mx#0000</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EuriborYC1M-Mx#0000</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EuriborYC3M-Mx#0000</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EuriborYC6M-Mx#0000</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EuriborYC1Y-Mx#0000</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EurLiborYCON#0000</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EurLiborYC1M#0000</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EurLiborYC3M#0000</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EurLiborYC6M#0000</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EurLiborYC1Y#0000</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EurSwaptionATMVol#0000</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EurSwaptionVol#0000</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Eur3MFutOptionVol#0000</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Eur1MCapletVol#0000</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Eur3MCapletVol#0000</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Eur6MCapletVol#0000</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Eur1YCapletVol#0000</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Eur3MFutOptionVolEx#0000</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Eur1MCapletVolEx#0000</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Eur3MCapletVolEx#0000</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Eur6MCapletVolEx#0000</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Eur1YCapletVolEx#0000</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2" width="2.7109375" style="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0" width="2.7109375" style="1" customWidth="1"/>
    <col min="11"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t="e">
        <f ca="1">IF(Serialize,_xll.ohObjectSave(F6:G22,SerializationPath&amp;FileName,FileOverwrite,,Serialize),"---")</f>
        <v>#NUM!</v>
      </c>
      <c r="G5" s="34"/>
      <c r="H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I5" s="33"/>
      <c r="J5" s="31"/>
    </row>
    <row r="6" spans="1:10" s="25" customFormat="1" x14ac:dyDescent="0.2">
      <c r="B6" s="30"/>
      <c r="C6" s="29" t="s">
        <v>50</v>
      </c>
      <c r="D6" s="28" t="s">
        <v>23</v>
      </c>
      <c r="E6" s="32"/>
      <c r="F6" s="26" t="e">
        <f>_xll.qlEonia(C6,Currency&amp;$D6,Permanent,Trigger,ObjectOverwrite)</f>
        <v>#NUM!</v>
      </c>
      <c r="G6" s="26"/>
      <c r="H6" s="7" t="str">
        <f ca="1">_xll.ohRangeRetrieveError(F6)</f>
        <v>qlEonia - ObjectHandler error: attempt to retrieve object with unknown ID 'EURYC'</v>
      </c>
      <c r="I6" s="7" t="str">
        <f>_xll.ohRangeRetrieveError(G6)</f>
        <v/>
      </c>
      <c r="J6" s="31"/>
    </row>
    <row r="7" spans="1:10" s="25" customFormat="1" x14ac:dyDescent="0.2">
      <c r="B7" s="30"/>
      <c r="C7" s="29" t="s">
        <v>49</v>
      </c>
      <c r="D7" s="28" t="s">
        <v>21</v>
      </c>
      <c r="E7" s="32" t="s">
        <v>49</v>
      </c>
      <c r="F7" s="26" t="str">
        <f>_xll.qlEonia(C7,EUR!E8,Permanent,Trigger,ObjectOverwrite)</f>
        <v>Eonia#0000</v>
      </c>
      <c r="G7" s="26" t="str">
        <f>_xll.qlLastFixingQuote(E7&amp;"LastFixing_Quote",F7,Permanent,Trigger,ObjectOverwrite)</f>
        <v>EoniaLastFixing_Quote#0000</v>
      </c>
      <c r="H7" s="7" t="str">
        <f>_xll.ohRangeRetrieveError(F7)</f>
        <v/>
      </c>
      <c r="I7" s="7" t="str">
        <f>_xll.ohRangeRetrieveError(G7)</f>
        <v/>
      </c>
      <c r="J7" s="31"/>
    </row>
    <row r="8" spans="1:10" s="25" customFormat="1" x14ac:dyDescent="0.2">
      <c r="B8" s="30"/>
      <c r="C8" s="29" t="s">
        <v>48</v>
      </c>
      <c r="D8" s="28" t="s">
        <v>21</v>
      </c>
      <c r="E8" s="27" t="str">
        <f t="shared" ref="E8:E22" si="0">PROPER(Currency)&amp;FamilyName&amp;$C8</f>
        <v>EuriborSW</v>
      </c>
      <c r="F8" s="26" t="str">
        <f>_xll.qlEuribor(E8,C8,EUR!E8,Permanent,Trigger,ObjectOverwrite)</f>
        <v>EuriborSW#0000</v>
      </c>
      <c r="G8" s="26" t="str">
        <f>_xll.qlLastFixingQuote(E8&amp;"LastFixing_Quote",F8,Permanent,Trigger,ObjectOverwrite)</f>
        <v>EuriborSWLastFixing_Quote#0000</v>
      </c>
      <c r="H8" s="7" t="str">
        <f>_xll.ohRangeRetrieveError(F8)</f>
        <v/>
      </c>
      <c r="I8" s="7" t="str">
        <f>_xll.ohRangeRetrieveError(G8)</f>
        <v/>
      </c>
      <c r="J8" s="5"/>
    </row>
    <row r="9" spans="1:10" s="25" customFormat="1" x14ac:dyDescent="0.2">
      <c r="B9" s="30"/>
      <c r="C9" s="29" t="s">
        <v>47</v>
      </c>
      <c r="D9" s="28" t="s">
        <v>21</v>
      </c>
      <c r="E9" s="27" t="str">
        <f t="shared" si="0"/>
        <v>Euribor2W</v>
      </c>
      <c r="F9" s="26" t="str">
        <f>_xll.qlEuribor(E9,C9,EUR!E9,Permanent,Trigger,ObjectOverwrite)</f>
        <v>Euribor2W#0000</v>
      </c>
      <c r="G9" s="26" t="str">
        <f>_xll.qlLastFixingQuote(E9&amp;"LastFixing_Quote",F9,Permanent,Trigger,ObjectOverwrite)</f>
        <v>Euribor2WLastFixing_Quote#0000</v>
      </c>
      <c r="H9" s="7" t="str">
        <f>_xll.ohRangeRetrieveError(F9)</f>
        <v/>
      </c>
      <c r="I9" s="7" t="str">
        <f>_xll.ohRangeRetrieveError(G9)</f>
        <v/>
      </c>
      <c r="J9" s="5"/>
    </row>
    <row r="10" spans="1:10" s="25" customFormat="1" x14ac:dyDescent="0.2">
      <c r="B10" s="30"/>
      <c r="C10" s="29" t="s">
        <v>46</v>
      </c>
      <c r="D10" s="28" t="s">
        <v>20</v>
      </c>
      <c r="E10" s="27" t="str">
        <f t="shared" si="0"/>
        <v>Euribor3W</v>
      </c>
      <c r="F10" s="26" t="str">
        <f>_xll.qlEuribor(E10,C10,EUR!E10,Permanent,Trigger,ObjectOverwrite)</f>
        <v>Euribor3W#0000</v>
      </c>
      <c r="G10" s="26" t="str">
        <f>_xll.qlLastFixingQuote(E10&amp;"LastFixing_Quote",F10,Permanent,Trigger,ObjectOverwrite)</f>
        <v>Euribor3WLastFixing_Quote#0000</v>
      </c>
      <c r="H10" s="7" t="str">
        <f>_xll.ohRangeRetrieveError(F10)</f>
        <v/>
      </c>
      <c r="I10" s="7" t="str">
        <f>_xll.ohRangeRetrieveError(G10)</f>
        <v/>
      </c>
      <c r="J10" s="5"/>
    </row>
    <row r="11" spans="1:10" s="25" customFormat="1" x14ac:dyDescent="0.2">
      <c r="B11" s="30"/>
      <c r="C11" s="29" t="s">
        <v>45</v>
      </c>
      <c r="D11" s="28" t="s">
        <v>20</v>
      </c>
      <c r="E11" s="27" t="str">
        <f t="shared" si="0"/>
        <v>Euribor1M</v>
      </c>
      <c r="F11" s="26" t="str">
        <f>_xll.qlEuribor(E11,C11,EUR!E11,Permanent,Trigger,ObjectOverwrite)</f>
        <v>Euribor1M#0000</v>
      </c>
      <c r="G11" s="26" t="str">
        <f>_xll.qlLastFixingQuote(E11&amp;"LastFixing_Quote",F11,Permanent,Trigger,ObjectOverwrite)</f>
        <v>Euribor1MLastFixing_Quote#0000</v>
      </c>
      <c r="H11" s="7" t="str">
        <f>_xll.ohRangeRetrieveError(F11)</f>
        <v/>
      </c>
      <c r="I11" s="7" t="str">
        <f>_xll.ohRangeRetrieveError(G11)</f>
        <v/>
      </c>
      <c r="J11" s="5"/>
    </row>
    <row r="12" spans="1:10" s="25" customFormat="1" x14ac:dyDescent="0.2">
      <c r="B12" s="30"/>
      <c r="C12" s="29" t="s">
        <v>44</v>
      </c>
      <c r="D12" s="28" t="s">
        <v>19</v>
      </c>
      <c r="E12" s="27" t="str">
        <f t="shared" si="0"/>
        <v>Euribor2M</v>
      </c>
      <c r="F12" s="26" t="str">
        <f>_xll.qlEuribor(E12,C12,EUR!E12,Permanent,Trigger,ObjectOverwrite)</f>
        <v>Euribor2M#0000</v>
      </c>
      <c r="G12" s="26" t="str">
        <f>_xll.qlLastFixingQuote(E12&amp;"LastFixing_Quote",F12,Permanent,Trigger,ObjectOverwrite)</f>
        <v>Euribor2MLastFixing_Quote#0000</v>
      </c>
      <c r="H12" s="7" t="str">
        <f>_xll.ohRangeRetrieveError(F12)</f>
        <v/>
      </c>
      <c r="I12" s="7" t="str">
        <f>_xll.ohRangeRetrieveError(G12)</f>
        <v/>
      </c>
      <c r="J12" s="5"/>
    </row>
    <row r="13" spans="1:10" s="25" customFormat="1" x14ac:dyDescent="0.2">
      <c r="B13" s="30"/>
      <c r="C13" s="29" t="s">
        <v>43</v>
      </c>
      <c r="D13" s="28" t="s">
        <v>19</v>
      </c>
      <c r="E13" s="27" t="str">
        <f t="shared" si="0"/>
        <v>Euribor3M</v>
      </c>
      <c r="F13" s="26" t="str">
        <f>_xll.qlEuribor(E13,C13,EUR!E13,Permanent,Trigger,ObjectOverwrite)</f>
        <v>Euribor3M#0000</v>
      </c>
      <c r="G13" s="26" t="str">
        <f>_xll.qlLastFixingQuote(E13&amp;"LastFixing_Quote",F13,Permanent,Trigger,ObjectOverwrite)</f>
        <v>Euribor3MLastFixing_Quote#0000</v>
      </c>
      <c r="H13" s="7" t="str">
        <f>_xll.ohRangeRetrieveError(F13)</f>
        <v/>
      </c>
      <c r="I13" s="7" t="str">
        <f>_xll.ohRangeRetrieveError(G13)</f>
        <v/>
      </c>
      <c r="J13" s="5"/>
    </row>
    <row r="14" spans="1:10" s="25" customFormat="1" x14ac:dyDescent="0.2">
      <c r="B14" s="30"/>
      <c r="C14" s="29" t="s">
        <v>42</v>
      </c>
      <c r="D14" s="28" t="s">
        <v>19</v>
      </c>
      <c r="E14" s="27" t="str">
        <f t="shared" si="0"/>
        <v>Euribor4M</v>
      </c>
      <c r="F14" s="26" t="str">
        <f>_xll.qlEuribor(E14,C14,EUR!E14,Permanent,Trigger,ObjectOverwrite)</f>
        <v>Euribor4M#0000</v>
      </c>
      <c r="G14" s="26" t="str">
        <f>_xll.qlLastFixingQuote(E14&amp;"LastFixing_Quote",F14,Permanent,Trigger,ObjectOverwrite)</f>
        <v>Euribor4MLastFixing_Quote#0000</v>
      </c>
      <c r="H14" s="7" t="str">
        <f>_xll.ohRangeRetrieveError(F14)</f>
        <v/>
      </c>
      <c r="I14" s="7" t="str">
        <f>_xll.ohRangeRetrieveError(G14)</f>
        <v/>
      </c>
      <c r="J14" s="5"/>
    </row>
    <row r="15" spans="1:10" s="25" customFormat="1" x14ac:dyDescent="0.2">
      <c r="B15" s="30"/>
      <c r="C15" s="29" t="s">
        <v>41</v>
      </c>
      <c r="D15" s="28" t="s">
        <v>18</v>
      </c>
      <c r="E15" s="27" t="str">
        <f t="shared" si="0"/>
        <v>Euribor5M</v>
      </c>
      <c r="F15" s="26" t="str">
        <f>_xll.qlEuribor(E15,C15,EUR!E15,Permanent,Trigger,ObjectOverwrite)</f>
        <v>Euribor5M#0000</v>
      </c>
      <c r="G15" s="26" t="str">
        <f>_xll.qlLastFixingQuote(E15&amp;"LastFixing_Quote",F15,Permanent,Trigger,ObjectOverwrite)</f>
        <v>Euribor5MLastFixing_Quote#0000</v>
      </c>
      <c r="H15" s="7" t="str">
        <f>_xll.ohRangeRetrieveError(F15)</f>
        <v/>
      </c>
      <c r="I15" s="7" t="str">
        <f>_xll.ohRangeRetrieveError(G15)</f>
        <v/>
      </c>
      <c r="J15" s="5"/>
    </row>
    <row r="16" spans="1:10" s="25" customFormat="1" x14ac:dyDescent="0.2">
      <c r="B16" s="30"/>
      <c r="C16" s="29" t="s">
        <v>40</v>
      </c>
      <c r="D16" s="28" t="s">
        <v>18</v>
      </c>
      <c r="E16" s="27" t="str">
        <f t="shared" si="0"/>
        <v>Euribor6M</v>
      </c>
      <c r="F16" s="26" t="str">
        <f>_xll.qlEuribor(E16,C16,EUR!E16,Permanent,Trigger,ObjectOverwrite)</f>
        <v>Euribor6M#0000</v>
      </c>
      <c r="G16" s="26" t="str">
        <f>_xll.qlLastFixingQuote(E16&amp;"LastFixing_Quote",F16,Permanent,Trigger,ObjectOverwrite)</f>
        <v>Euribor6MLastFixing_Quote#0000</v>
      </c>
      <c r="H16" s="7" t="str">
        <f>_xll.ohRangeRetrieveError(F16)</f>
        <v/>
      </c>
      <c r="I16" s="7" t="str">
        <f>_xll.ohRangeRetrieveError(G16)</f>
        <v/>
      </c>
      <c r="J16" s="5"/>
    </row>
    <row r="17" spans="2:10" s="25" customFormat="1" x14ac:dyDescent="0.2">
      <c r="B17" s="30"/>
      <c r="C17" s="29" t="s">
        <v>39</v>
      </c>
      <c r="D17" s="28" t="s">
        <v>18</v>
      </c>
      <c r="E17" s="27" t="str">
        <f t="shared" si="0"/>
        <v>Euribor7M</v>
      </c>
      <c r="F17" s="26" t="str">
        <f>_xll.qlEuribor(E17,C17,EUR!E17,Permanent,Trigger,ObjectOverwrite)</f>
        <v>Euribor7M#0000</v>
      </c>
      <c r="G17" s="26" t="str">
        <f>_xll.qlLastFixingQuote(E17&amp;"LastFixing_Quote",F17,Permanent,Trigger,ObjectOverwrite)</f>
        <v>Euribor7MLastFixing_Quote#0000</v>
      </c>
      <c r="H17" s="7" t="str">
        <f>_xll.ohRangeRetrieveError(F17)</f>
        <v/>
      </c>
      <c r="I17" s="7" t="str">
        <f>_xll.ohRangeRetrieveError(G17)</f>
        <v/>
      </c>
      <c r="J17" s="5"/>
    </row>
    <row r="18" spans="2:10" s="25" customFormat="1" x14ac:dyDescent="0.2">
      <c r="B18" s="30"/>
      <c r="C18" s="29" t="s">
        <v>38</v>
      </c>
      <c r="D18" s="28" t="s">
        <v>18</v>
      </c>
      <c r="E18" s="27" t="str">
        <f t="shared" si="0"/>
        <v>Euribor8M</v>
      </c>
      <c r="F18" s="26" t="str">
        <f>_xll.qlEuribor(E18,C18,EUR!E18,Permanent,Trigger,ObjectOverwrite)</f>
        <v>Euribor8M#0000</v>
      </c>
      <c r="G18" s="26" t="str">
        <f>_xll.qlLastFixingQuote(E18&amp;"LastFixing_Quote",F18,Permanent,Trigger,ObjectOverwrite)</f>
        <v>Euribor8MLastFixing_Quote#0000</v>
      </c>
      <c r="H18" s="7" t="str">
        <f>_xll.ohRangeRetrieveError(F18)</f>
        <v/>
      </c>
      <c r="I18" s="7" t="str">
        <f>_xll.ohRangeRetrieveError(G18)</f>
        <v/>
      </c>
      <c r="J18" s="5"/>
    </row>
    <row r="19" spans="2:10" s="25" customFormat="1" x14ac:dyDescent="0.2">
      <c r="B19" s="30"/>
      <c r="C19" s="29" t="s">
        <v>37</v>
      </c>
      <c r="D19" s="28" t="s">
        <v>17</v>
      </c>
      <c r="E19" s="27" t="str">
        <f t="shared" si="0"/>
        <v>Euribor9M</v>
      </c>
      <c r="F19" s="26" t="str">
        <f>_xll.qlEuribor(E19,C19,EUR!E19,Permanent,Trigger,ObjectOverwrite)</f>
        <v>Euribor9M#0000</v>
      </c>
      <c r="G19" s="26" t="str">
        <f>_xll.qlLastFixingQuote(E19&amp;"LastFixing_Quote",F19,Permanent,Trigger,ObjectOverwrite)</f>
        <v>Euribor9MLastFixing_Quote#0000</v>
      </c>
      <c r="H19" s="7" t="str">
        <f>_xll.ohRangeRetrieveError(F19)</f>
        <v/>
      </c>
      <c r="I19" s="7" t="str">
        <f>_xll.ohRangeRetrieveError(G19)</f>
        <v/>
      </c>
      <c r="J19" s="5"/>
    </row>
    <row r="20" spans="2:10" s="25" customFormat="1" x14ac:dyDescent="0.2">
      <c r="B20" s="30"/>
      <c r="C20" s="29" t="s">
        <v>36</v>
      </c>
      <c r="D20" s="28" t="s">
        <v>17</v>
      </c>
      <c r="E20" s="27" t="str">
        <f t="shared" si="0"/>
        <v>Euribor10M</v>
      </c>
      <c r="F20" s="26" t="str">
        <f>_xll.qlEuribor(E20,C20,EUR!E20,Permanent,Trigger,ObjectOverwrite)</f>
        <v>Euribor10M#0000</v>
      </c>
      <c r="G20" s="26" t="str">
        <f>_xll.qlLastFixingQuote(E20&amp;"LastFixing_Quote",F20,Permanent,Trigger,ObjectOverwrite)</f>
        <v>Euribor10MLastFixing_Quote#0000</v>
      </c>
      <c r="H20" s="7" t="str">
        <f>_xll.ohRangeRetrieveError(F20)</f>
        <v/>
      </c>
      <c r="I20" s="7" t="str">
        <f>_xll.ohRangeRetrieveError(G20)</f>
        <v/>
      </c>
      <c r="J20" s="5"/>
    </row>
    <row r="21" spans="2:10" s="25" customFormat="1" x14ac:dyDescent="0.2">
      <c r="B21" s="30"/>
      <c r="C21" s="29" t="s">
        <v>35</v>
      </c>
      <c r="D21" s="28" t="s">
        <v>17</v>
      </c>
      <c r="E21" s="27" t="str">
        <f t="shared" si="0"/>
        <v>Euribor11M</v>
      </c>
      <c r="F21" s="26" t="str">
        <f>_xll.qlEuribor(E21,C21,EUR!E21,Permanent,Trigger,ObjectOverwrite)</f>
        <v>Euribor11M#0000</v>
      </c>
      <c r="G21" s="26" t="str">
        <f>_xll.qlLastFixingQuote(E21&amp;"LastFixing_Quote",F21,Permanent,Trigger,ObjectOverwrite)</f>
        <v>Euribor11MLastFixing_Quote#0000</v>
      </c>
      <c r="H21" s="7" t="str">
        <f>_xll.ohRangeRetrieveError(F21)</f>
        <v/>
      </c>
      <c r="I21" s="7" t="str">
        <f>_xll.ohRangeRetrieveError(G21)</f>
        <v/>
      </c>
      <c r="J21" s="5"/>
    </row>
    <row r="22" spans="2:10" s="25" customFormat="1" x14ac:dyDescent="0.2">
      <c r="B22" s="30"/>
      <c r="C22" s="29" t="s">
        <v>34</v>
      </c>
      <c r="D22" s="28" t="s">
        <v>17</v>
      </c>
      <c r="E22" s="27" t="str">
        <f t="shared" si="0"/>
        <v>Euribor1Y</v>
      </c>
      <c r="F22" s="26" t="str">
        <f>_xll.qlEuribor(E22,C22,EUR!E22,Permanent,Trigger,ObjectOverwrite)</f>
        <v>Euribor1Y#0000</v>
      </c>
      <c r="G22" s="26" t="str">
        <f>_xll.qlLastFixingQuote(E22&amp;"LastFixing_Quote",F22,Permanent,Trigger,ObjectOverwrite)</f>
        <v>Euribor1YLastFixing_Quote#0000</v>
      </c>
      <c r="H22" s="7" t="str">
        <f>_xll.ohRangeRetrieveError(F22)</f>
        <v/>
      </c>
      <c r="I22" s="7" t="str">
        <f>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election activeCell="F6" sqref="F6"/>
    </sheetView>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31"/>
    </row>
    <row r="6" spans="1:8" s="25" customFormat="1" x14ac:dyDescent="0.2">
      <c r="B6" s="30"/>
      <c r="C6" s="48" t="s">
        <v>48</v>
      </c>
      <c r="D6" s="47" t="s">
        <v>21</v>
      </c>
      <c r="E6" s="46" t="str">
        <f t="shared" ref="E6:E20" si="0">PROPER(Currency)&amp;FamilyName&amp;$C6</f>
        <v>Euribor365SW</v>
      </c>
      <c r="F6" s="26" t="e">
        <f>_xll.qlEuribor365($E6,$C6,Currency&amp;$D6,Permanent,Trigger,ObjectOverwrite)</f>
        <v>#NUM!</v>
      </c>
      <c r="G6" s="7" t="str">
        <f ca="1">_xll.ohRangeRetrieveError(F6)</f>
        <v>qlEuribor365 - ObjectHandler error: attempt to retrieve object with unknown ID 'EURiborYCON'</v>
      </c>
      <c r="H6" s="5"/>
    </row>
    <row r="7" spans="1:8" s="25" customFormat="1" x14ac:dyDescent="0.2">
      <c r="B7" s="30"/>
      <c r="C7" s="48" t="s">
        <v>47</v>
      </c>
      <c r="D7" s="47" t="s">
        <v>21</v>
      </c>
      <c r="E7" s="46" t="str">
        <f t="shared" si="0"/>
        <v>Euribor3652W</v>
      </c>
      <c r="F7" s="26" t="e">
        <f>_xll.qlEuribor365($E7,$C7,Currency&amp;$D7,Permanent,Trigger,ObjectOverwrite)</f>
        <v>#NUM!</v>
      </c>
      <c r="G7" s="7" t="str">
        <f ca="1">_xll.ohRangeRetrieveError(F7)</f>
        <v>qlEuribor365 - ObjectHandler error: attempt to retrieve object with unknown ID 'EURiborYCON'</v>
      </c>
      <c r="H7" s="5"/>
    </row>
    <row r="8" spans="1:8" s="25" customFormat="1" x14ac:dyDescent="0.2">
      <c r="B8" s="30"/>
      <c r="C8" s="48" t="s">
        <v>46</v>
      </c>
      <c r="D8" s="47" t="s">
        <v>20</v>
      </c>
      <c r="E8" s="46" t="str">
        <f t="shared" si="0"/>
        <v>Euribor3653W</v>
      </c>
      <c r="F8" s="26" t="e">
        <f>_xll.qlEuribor365($E8,$C8,Currency&amp;$D8,Permanent,Trigger,ObjectOverwrite)</f>
        <v>#NUM!</v>
      </c>
      <c r="G8" s="7" t="str">
        <f ca="1">_xll.ohRangeRetrieveError(F8)</f>
        <v>qlEuribor365 - ObjectHandler error: attempt to retrieve object with unknown ID 'EURiborYC1M'</v>
      </c>
      <c r="H8" s="5"/>
    </row>
    <row r="9" spans="1:8" s="25" customFormat="1" x14ac:dyDescent="0.2">
      <c r="B9" s="30"/>
      <c r="C9" s="48" t="s">
        <v>45</v>
      </c>
      <c r="D9" s="47" t="s">
        <v>20</v>
      </c>
      <c r="E9" s="46" t="str">
        <f t="shared" si="0"/>
        <v>Euribor3651M</v>
      </c>
      <c r="F9" s="26" t="e">
        <f>_xll.qlEuribor365($E9,$C9,Currency&amp;$D9,Permanent,Trigger,ObjectOverwrite)</f>
        <v>#NUM!</v>
      </c>
      <c r="G9" s="7" t="str">
        <f ca="1">_xll.ohRangeRetrieveError(F9)</f>
        <v>qlEuribor365 - ObjectHandler error: attempt to retrieve object with unknown ID 'EURiborYC1M'</v>
      </c>
      <c r="H9" s="5"/>
    </row>
    <row r="10" spans="1:8" s="25" customFormat="1" x14ac:dyDescent="0.2">
      <c r="B10" s="30"/>
      <c r="C10" s="48" t="s">
        <v>44</v>
      </c>
      <c r="D10" s="47" t="s">
        <v>19</v>
      </c>
      <c r="E10" s="46" t="str">
        <f t="shared" si="0"/>
        <v>Euribor3652M</v>
      </c>
      <c r="F10" s="26" t="e">
        <f>_xll.qlEuribor365($E10,$C10,Currency&amp;$D10,Permanent,Trigger,ObjectOverwrite)</f>
        <v>#NUM!</v>
      </c>
      <c r="G10" s="7" t="str">
        <f ca="1">_xll.ohRangeRetrieveError(F10)</f>
        <v>qlEuribor365 - ObjectHandler error: attempt to retrieve object with unknown ID 'EURiborYC3M'</v>
      </c>
      <c r="H10" s="5"/>
    </row>
    <row r="11" spans="1:8" s="25" customFormat="1" x14ac:dyDescent="0.2">
      <c r="B11" s="30"/>
      <c r="C11" s="48" t="s">
        <v>43</v>
      </c>
      <c r="D11" s="47" t="s">
        <v>19</v>
      </c>
      <c r="E11" s="46" t="str">
        <f t="shared" si="0"/>
        <v>Euribor3653M</v>
      </c>
      <c r="F11" s="26" t="e">
        <f>_xll.qlEuribor365($E11,$C11,Currency&amp;$D11,Permanent,Trigger,ObjectOverwrite)</f>
        <v>#NUM!</v>
      </c>
      <c r="G11" s="7" t="str">
        <f ca="1">_xll.ohRangeRetrieveError(F11)</f>
        <v>qlEuribor365 - ObjectHandler error: attempt to retrieve object with unknown ID 'EURiborYC3M'</v>
      </c>
      <c r="H11" s="5"/>
    </row>
    <row r="12" spans="1:8" s="25" customFormat="1" x14ac:dyDescent="0.2">
      <c r="B12" s="30"/>
      <c r="C12" s="48" t="s">
        <v>42</v>
      </c>
      <c r="D12" s="47" t="s">
        <v>19</v>
      </c>
      <c r="E12" s="46" t="str">
        <f t="shared" si="0"/>
        <v>Euribor3654M</v>
      </c>
      <c r="F12" s="26" t="e">
        <f>_xll.qlEuribor365($E12,$C12,Currency&amp;$D12,Permanent,Trigger,ObjectOverwrite)</f>
        <v>#NUM!</v>
      </c>
      <c r="G12" s="7" t="str">
        <f ca="1">_xll.ohRangeRetrieveError(F12)</f>
        <v>qlEuribor365 - ObjectHandler error: attempt to retrieve object with unknown ID 'EURiborYC3M'</v>
      </c>
      <c r="H12" s="5"/>
    </row>
    <row r="13" spans="1:8" s="25" customFormat="1" x14ac:dyDescent="0.2">
      <c r="B13" s="30"/>
      <c r="C13" s="48" t="s">
        <v>41</v>
      </c>
      <c r="D13" s="47" t="s">
        <v>18</v>
      </c>
      <c r="E13" s="46" t="str">
        <f t="shared" si="0"/>
        <v>Euribor3655M</v>
      </c>
      <c r="F13" s="26" t="e">
        <f>_xll.qlEuribor365($E13,$C13,Currency&amp;$D13,Permanent,Trigger,ObjectOverwrite)</f>
        <v>#NUM!</v>
      </c>
      <c r="G13" s="7" t="str">
        <f ca="1">_xll.ohRangeRetrieveError(F13)</f>
        <v>qlEuribor365 - ObjectHandler error: attempt to retrieve object with unknown ID 'EURiborYC6M'</v>
      </c>
      <c r="H13" s="5"/>
    </row>
    <row r="14" spans="1:8" s="25" customFormat="1" x14ac:dyDescent="0.2">
      <c r="B14" s="30"/>
      <c r="C14" s="48" t="s">
        <v>40</v>
      </c>
      <c r="D14" s="47" t="s">
        <v>18</v>
      </c>
      <c r="E14" s="46" t="str">
        <f t="shared" si="0"/>
        <v>Euribor3656M</v>
      </c>
      <c r="F14" s="26" t="e">
        <f>_xll.qlEuribor365($E14,$C14,Currency&amp;$D14,Permanent,Trigger,ObjectOverwrite)</f>
        <v>#NUM!</v>
      </c>
      <c r="G14" s="7" t="str">
        <f ca="1">_xll.ohRangeRetrieveError(F14)</f>
        <v>qlEuribor365 - ObjectHandler error: attempt to retrieve object with unknown ID 'EURiborYC6M'</v>
      </c>
      <c r="H14" s="5"/>
    </row>
    <row r="15" spans="1:8" s="25" customFormat="1" x14ac:dyDescent="0.2">
      <c r="B15" s="30"/>
      <c r="C15" s="48" t="s">
        <v>39</v>
      </c>
      <c r="D15" s="47" t="s">
        <v>18</v>
      </c>
      <c r="E15" s="46" t="str">
        <f t="shared" si="0"/>
        <v>Euribor3657M</v>
      </c>
      <c r="F15" s="26" t="e">
        <f>_xll.qlEuribor365($E15,$C15,Currency&amp;$D15,Permanent,Trigger,ObjectOverwrite)</f>
        <v>#NUM!</v>
      </c>
      <c r="G15" s="7" t="str">
        <f ca="1">_xll.ohRangeRetrieveError(F15)</f>
        <v>qlEuribor365 - ObjectHandler error: attempt to retrieve object with unknown ID 'EURiborYC6M'</v>
      </c>
      <c r="H15" s="5"/>
    </row>
    <row r="16" spans="1:8" s="25" customFormat="1" x14ac:dyDescent="0.2">
      <c r="B16" s="30"/>
      <c r="C16" s="48" t="s">
        <v>38</v>
      </c>
      <c r="D16" s="47" t="s">
        <v>18</v>
      </c>
      <c r="E16" s="46" t="str">
        <f t="shared" si="0"/>
        <v>Euribor3658M</v>
      </c>
      <c r="F16" s="26" t="e">
        <f>_xll.qlEuribor365($E16,$C16,Currency&amp;$D16,Permanent,Trigger,ObjectOverwrite)</f>
        <v>#NUM!</v>
      </c>
      <c r="G16" s="7" t="str">
        <f ca="1">_xll.ohRangeRetrieveError(F16)</f>
        <v>qlEuribor365 - ObjectHandler error: attempt to retrieve object with unknown ID 'EURiborYC6M'</v>
      </c>
      <c r="H16" s="5"/>
    </row>
    <row r="17" spans="2:8" s="25" customFormat="1" x14ac:dyDescent="0.2">
      <c r="B17" s="30"/>
      <c r="C17" s="48" t="s">
        <v>37</v>
      </c>
      <c r="D17" s="47" t="s">
        <v>17</v>
      </c>
      <c r="E17" s="46" t="str">
        <f t="shared" si="0"/>
        <v>Euribor3659M</v>
      </c>
      <c r="F17" s="26" t="e">
        <f>_xll.qlEuribor365($E17,$C17,Currency&amp;$D17,Permanent,Trigger,ObjectOverwrite)</f>
        <v>#NUM!</v>
      </c>
      <c r="G17" s="7" t="str">
        <f ca="1">_xll.ohRangeRetrieveError(F17)</f>
        <v>qlEuribor365 - ObjectHandler error: attempt to retrieve object with unknown ID 'EURiborYC1Y'</v>
      </c>
      <c r="H17" s="5"/>
    </row>
    <row r="18" spans="2:8" s="25" customFormat="1" x14ac:dyDescent="0.2">
      <c r="B18" s="30"/>
      <c r="C18" s="48" t="s">
        <v>36</v>
      </c>
      <c r="D18" s="47" t="s">
        <v>17</v>
      </c>
      <c r="E18" s="46" t="str">
        <f t="shared" si="0"/>
        <v>Euribor36510M</v>
      </c>
      <c r="F18" s="26" t="e">
        <f>_xll.qlEuribor365($E18,$C18,Currency&amp;$D18,Permanent,Trigger,ObjectOverwrite)</f>
        <v>#NUM!</v>
      </c>
      <c r="G18" s="7" t="str">
        <f ca="1">_xll.ohRangeRetrieveError(F18)</f>
        <v>qlEuribor365 - ObjectHandler error: attempt to retrieve object with unknown ID 'EURiborYC1Y'</v>
      </c>
      <c r="H18" s="5"/>
    </row>
    <row r="19" spans="2:8" s="25" customFormat="1" x14ac:dyDescent="0.2">
      <c r="B19" s="30"/>
      <c r="C19" s="48" t="s">
        <v>35</v>
      </c>
      <c r="D19" s="47" t="s">
        <v>17</v>
      </c>
      <c r="E19" s="46" t="str">
        <f t="shared" si="0"/>
        <v>Euribor36511M</v>
      </c>
      <c r="F19" s="26" t="e">
        <f>_xll.qlEuribor365($E19,$C19,Currency&amp;$D19,Permanent,Trigger,ObjectOverwrite)</f>
        <v>#NUM!</v>
      </c>
      <c r="G19" s="7" t="str">
        <f ca="1">_xll.ohRangeRetrieveError(F19)</f>
        <v>qlEuribor365 - ObjectHandler error: attempt to retrieve object with unknown ID 'EURiborYC1Y'</v>
      </c>
      <c r="H19" s="5"/>
    </row>
    <row r="20" spans="2:8" s="25" customFormat="1" x14ac:dyDescent="0.2">
      <c r="B20" s="30"/>
      <c r="C20" s="48" t="s">
        <v>34</v>
      </c>
      <c r="D20" s="47" t="s">
        <v>17</v>
      </c>
      <c r="E20" s="46" t="str">
        <f t="shared" si="0"/>
        <v>Euribor3651Y</v>
      </c>
      <c r="F20" s="26" t="e">
        <f>_xll.qlEuribor365($E20,$C20,Currency&amp;$D20,Permanent,Trigger,ObjectOverwrite)</f>
        <v>#NUM!</v>
      </c>
      <c r="G20" s="7" t="str">
        <f ca="1">_xll.ohRangeRetrieveError(F20)</f>
        <v>qlEuribor365 - ObjectHandler error: attempt to retrieve object with unknown ID 'EURiborYC1Y'</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EuriborSwapIsdaFixA1Y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EuriborSwapIsdaFixA2Y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EuriborSwapIsdaFixA3Y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EuriborSwapIsdaFixA4Y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EuriborSwapIsdaFixA5Y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EuriborSwapIsdaFixA6Y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EuriborSwapIsdaFixA7Y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EuriborSwapIsdaFixA8Y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EuriborSwapIsdaFixA9Y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EuriborSwapIsdaFixA10Y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EuriborSwapIsdaFixA11Y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EuriborSwapIsdaFixA12Y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EuriborSwapIsdaFixA13Y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EuriborSwapIsdaFixA14Y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EuriborSwapIsdaFixA15Y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EuriborSwapIsdaFixA16Y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EuriborSwapIsdaFixA17Y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EuriborSwapIsdaFixA18Y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EuriborSwapIsdaFixA19Y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EuriborSwapIsdaFixA20Y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EuriborSwapIsdaFixA21Y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EuriborSwapIsdaFixA22Y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EuriborSwapIsdaFixA23Y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EuriborSwapIsdaFixA24Y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EuriborSwapIsdaFixA25Y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EuriborSwapIsdaFixA26Y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EuriborSwapIsdaFixA27Y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EuriborSwapIsdaFixA28Y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EuriborSwapIsdaFixA29Y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EuriborSwapIsdaFixA30Y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EuriborSwapIsdaFixA31Y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EuriborSwapIsdaFixA32Y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EuriborSwapIsdaFixA33Y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EuriborSwapIsdaFixA34Y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EuriborSwapIsdaFixA35Y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EuriborSwapIsdaFixA36Y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EuriborSwapIsdaFixA37Y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EuriborSwapIsdaFixA38Y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EuriborSwapIsdaFixA39Y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EuriborSwapIsdaFixA40Y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EuriborSwapIsdaFixA41Y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EuriborSwapIsdaFixA42Y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EuriborSwapIsdaFixA43Y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EuriborSwapIsdaFixA44Y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EuriborSwapIsdaFixA45Y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EuriborSwapIsdaFixA46Y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EuriborSwapIsdaFixA47Y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EuriborSwapIsdaFixA48Y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EuriborSwapIsdaFixA49Y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EuriborSwapIsdaFixA50Y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EuriborSwapIsdaFixA51Y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EuriborSwapIsdaFixA52Y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EuriborSwapIsdaFixA53Y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EuriborSwapIsdaFixA54Y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EuriborSwapIsdaFixA55Y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EuriborSwapIsdaFixA56Y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EuriborSwapIsdaFixA57Y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EuriborSwapIsdaFixA58Y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EuriborSwapIsdaFixA59Y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EuriborSwapIsdaFixA60Y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EuriborSwapIsdaFixB1Y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EuriborSwapIsdaFixB2Y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EuriborSwapIsdaFixB3Y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EuriborSwapIsdaFixB4Y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EuriborSwapIsdaFixB5Y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EuriborSwapIsdaFixB6Y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EuriborSwapIsdaFixB7Y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EuriborSwapIsdaFixB8Y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EuriborSwapIsdaFixB9Y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EuriborSwapIsdaFixB10Y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EuriborSwapIsdaFixB11Y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EuriborSwapIsdaFixB12Y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EuriborSwapIsdaFixB13Y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EuriborSwapIsdaFixB14Y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EuriborSwapIsdaFixB15Y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EuriborSwapIsdaFixB16Y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EuriborSwapIsdaFixB17Y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EuriborSwapIsdaFixB18Y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EuriborSwapIsdaFixB19Y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EuriborSwapIsdaFixB20Y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EuriborSwapIsdaFixB21Y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EuriborSwapIsdaFixB22Y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EuriborSwapIsdaFixB23Y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EuriborSwapIsdaFixB24Y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EuriborSwapIsdaFixB25Y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EuriborSwapIsdaFixB26Y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EuriborSwapIsdaFixB27Y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EuriborSwapIsdaFixB28Y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EuriborSwapIsdaFixB29Y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EuriborSwapIsdaFixB30Y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EuriborSwapIsdaFixB31Y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EuriborSwapIsdaFixB32Y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EuriborSwapIsdaFixB33Y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EuriborSwapIsdaFixB34Y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EuriborSwapIsdaFixB35Y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EuriborSwapIsdaFixB36Y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EuriborSwapIsdaFixB37Y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EuriborSwapIsdaFixB38Y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EuriborSwapIsdaFixB39Y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EuriborSwapIsdaFixB40Y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EuriborSwapIsdaFixB41Y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EuriborSwapIsdaFixB42Y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EuriborSwapIsdaFixB43Y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EuriborSwapIsdaFixB44Y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EuriborSwapIsdaFixB45Y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EuriborSwapIsdaFixB46Y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EuriborSwapIsdaFixB47Y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EuriborSwapIsdaFixB48Y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EuriborSwapIsdaFixB49Y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EuriborSwapIsdaFixB50Y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EuriborSwapIsdaFixB51Y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EuriborSwapIsdaFixB52Y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EuriborSwapIsdaFixB53Y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EuriborSwapIsdaFixB54Y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EuriborSwapIsdaFixB55Y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EuriborSwapIsdaFixB56Y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EuriborSwapIsdaFixB57Y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EuriborSwapIsdaFixB58Y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EuriborSwapIsdaFixB59Y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EuriborSwapIsdaFixB60Y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EuriborSwapIfrFix1Y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EuriborSwapIfrFix2Y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EuriborSwapIfrFix3Y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EuriborSwapIfrFix4Y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EuriborSwapIfrFix5Y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EuriborSwapIfrFix6Y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EuriborSwapIfrFix7Y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EuriborSwapIfrFix8Y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EuriborSwapIfrFix9Y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EuriborSwapIfrFix10Y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EuriborSwapIfrFix11Y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EuriborSwapIfrFix12Y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EuriborSwapIfrFix13Y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EuriborSwapIfrFix14Y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EuriborSwapIfrFix15Y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EuriborSwapIfrFix16Y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EuriborSwapIfrFix17Y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EuriborSwapIfrFix18Y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EuriborSwapIfrFix19Y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EuriborSwapIfrFix20Y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EuriborSwapIfrFix21Y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EuriborSwapIfrFix22Y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EuriborSwapIfrFix23Y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EuriborSwapIfrFix24Y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EuriborSwapIfrFix25Y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EuriborSwapIfrFix26Y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EuriborSwapIfrFix27Y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EuriborSwapIfrFix28Y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EuriborSwapIfrFix29Y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EuriborSwapIfrFix30Y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EuriborSwapIfrFix31Y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EuriborSwapIfrFix32Y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EuriborSwapIfrFix33Y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EuriborSwapIfrFix34Y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EuriborSwapIfrFix35Y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EuriborSwapIfrFix36Y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EuriborSwapIfrFix37Y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EuriborSwapIfrFix38Y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EuriborSwapIfrFix39Y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EuriborSwapIfrFix40Y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EuriborSwapIfrFix41Y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EuriborSwapIfrFix42Y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EuriborSwapIfrFix43Y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EuriborSwapIfrFix44Y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EuriborSwapIfrFix45Y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EuriborSwapIfrFix46Y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EuriborSwapIfrFix47Y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EuriborSwapIfrFix48Y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EuriborSwapIfrFix49Y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EuriborSwapIfrFix50Y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EuriborSwapIfrFix51Y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EuriborSwapIfrFix52Y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EuriborSwapIfrFix53Y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EuriborSwapIfrFix54Y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EuriborSwapIfrFix55Y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EuriborSwapIfrFix56Y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EuriborSwapIfrFix57Y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EuriborSwapIfrFix58Y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EuriborSwapIfrFix59Y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EuriborSwapIfrFix60Y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31"/>
    </row>
    <row r="6" spans="1:8" s="25" customFormat="1" x14ac:dyDescent="0.2">
      <c r="B6" s="30"/>
      <c r="C6" s="48" t="s">
        <v>125</v>
      </c>
      <c r="D6" s="47" t="s">
        <v>21</v>
      </c>
      <c r="E6" s="46" t="str">
        <f t="shared" ref="E6:E20" si="0">PROPER(Currency)&amp;FamilyName&amp;$C6</f>
        <v>EurLiborON</v>
      </c>
      <c r="F6" s="26" t="e">
        <f>_xll.qlLibor($E6,Currency,$C6,Currency&amp;$D6,Permanent,Trigger,ObjectOverwrite)</f>
        <v>#NUM!</v>
      </c>
      <c r="G6" s="7" t="str">
        <f ca="1">_xll.ohRangeRetrieveError(F6)</f>
        <v>qlLibor - ObjectHandler error: attempt to retrieve object with unknown ID 'EURiborYCON'</v>
      </c>
      <c r="H6" s="5"/>
    </row>
    <row r="7" spans="1:8" s="25" customFormat="1" x14ac:dyDescent="0.2">
      <c r="B7" s="30"/>
      <c r="C7" s="48" t="s">
        <v>48</v>
      </c>
      <c r="D7" s="47" t="s">
        <v>21</v>
      </c>
      <c r="E7" s="46" t="str">
        <f t="shared" si="0"/>
        <v>EurLiborSW</v>
      </c>
      <c r="F7" s="26" t="e">
        <f>_xll.qlLibor($E7,Currency,$C7,Currency&amp;$D7,Permanent,Trigger,ObjectOverwrite)</f>
        <v>#NUM!</v>
      </c>
      <c r="G7" s="7" t="str">
        <f ca="1">_xll.ohRangeRetrieveError(F7)</f>
        <v>qlLibor - ObjectHandler error: attempt to retrieve object with unknown ID 'EURiborYCON'</v>
      </c>
      <c r="H7" s="5"/>
    </row>
    <row r="8" spans="1:8" s="25" customFormat="1" x14ac:dyDescent="0.2">
      <c r="B8" s="30"/>
      <c r="C8" s="48" t="s">
        <v>47</v>
      </c>
      <c r="D8" s="47" t="s">
        <v>21</v>
      </c>
      <c r="E8" s="46" t="str">
        <f t="shared" si="0"/>
        <v>EurLibor2W</v>
      </c>
      <c r="F8" s="26" t="e">
        <f>_xll.qlLibor($E8,Currency,$C8,Currency&amp;$D8,Permanent,Trigger,ObjectOverwrite)</f>
        <v>#NUM!</v>
      </c>
      <c r="G8" s="7" t="str">
        <f ca="1">_xll.ohRangeRetrieveError(F8)</f>
        <v>qlLibor - ObjectHandler error: attempt to retrieve object with unknown ID 'EURiborYCON'</v>
      </c>
      <c r="H8" s="5"/>
    </row>
    <row r="9" spans="1:8" s="25" customFormat="1" x14ac:dyDescent="0.2">
      <c r="B9" s="30"/>
      <c r="C9" s="48" t="s">
        <v>45</v>
      </c>
      <c r="D9" s="47" t="s">
        <v>20</v>
      </c>
      <c r="E9" s="46" t="str">
        <f t="shared" si="0"/>
        <v>EurLibor1M</v>
      </c>
      <c r="F9" s="26" t="e">
        <f>_xll.qlLibor($E9,Currency,$C9,Currency&amp;$D9,Permanent,Trigger,ObjectOverwrite)</f>
        <v>#NUM!</v>
      </c>
      <c r="G9" s="7" t="str">
        <f ca="1">_xll.ohRangeRetrieveError(F9)</f>
        <v>qlLibor - ObjectHandler error: attempt to retrieve object with unknown ID 'EURiborYC1M'</v>
      </c>
      <c r="H9" s="5"/>
    </row>
    <row r="10" spans="1:8" s="25" customFormat="1" x14ac:dyDescent="0.2">
      <c r="B10" s="30"/>
      <c r="C10" s="48" t="s">
        <v>44</v>
      </c>
      <c r="D10" s="47" t="s">
        <v>19</v>
      </c>
      <c r="E10" s="46" t="str">
        <f t="shared" si="0"/>
        <v>EurLibor2M</v>
      </c>
      <c r="F10" s="26" t="e">
        <f>_xll.qlLibor($E10,Currency,$C10,Currency&amp;$D10,Permanent,Trigger,ObjectOverwrite)</f>
        <v>#NUM!</v>
      </c>
      <c r="G10" s="7" t="str">
        <f ca="1">_xll.ohRangeRetrieveError(F10)</f>
        <v>qlLibor - ObjectHandler error: attempt to retrieve object with unknown ID 'EURiborYC3M'</v>
      </c>
      <c r="H10" s="5"/>
    </row>
    <row r="11" spans="1:8" s="25" customFormat="1" x14ac:dyDescent="0.2">
      <c r="B11" s="30"/>
      <c r="C11" s="48" t="s">
        <v>43</v>
      </c>
      <c r="D11" s="47" t="s">
        <v>19</v>
      </c>
      <c r="E11" s="46" t="str">
        <f t="shared" si="0"/>
        <v>EurLibor3M</v>
      </c>
      <c r="F11" s="26" t="e">
        <f>_xll.qlLibor($E11,Currency,$C11,Currency&amp;$D11,Permanent,Trigger,ObjectOverwrite)</f>
        <v>#NUM!</v>
      </c>
      <c r="G11" s="7" t="str">
        <f ca="1">_xll.ohRangeRetrieveError(F11)</f>
        <v>qlLibor - ObjectHandler error: attempt to retrieve object with unknown ID 'EURiborYC3M'</v>
      </c>
      <c r="H11" s="5"/>
    </row>
    <row r="12" spans="1:8" s="25" customFormat="1" x14ac:dyDescent="0.2">
      <c r="B12" s="30"/>
      <c r="C12" s="48" t="s">
        <v>42</v>
      </c>
      <c r="D12" s="47" t="s">
        <v>19</v>
      </c>
      <c r="E12" s="46" t="str">
        <f t="shared" si="0"/>
        <v>EurLibor4M</v>
      </c>
      <c r="F12" s="26" t="e">
        <f>_xll.qlLibor($E12,Currency,$C12,Currency&amp;$D12,Permanent,Trigger,ObjectOverwrite)</f>
        <v>#NUM!</v>
      </c>
      <c r="G12" s="7" t="str">
        <f ca="1">_xll.ohRangeRetrieveError(F12)</f>
        <v>qlLibor - ObjectHandler error: attempt to retrieve object with unknown ID 'EURiborYC3M'</v>
      </c>
      <c r="H12" s="5"/>
    </row>
    <row r="13" spans="1:8" s="25" customFormat="1" x14ac:dyDescent="0.2">
      <c r="B13" s="30"/>
      <c r="C13" s="48" t="s">
        <v>41</v>
      </c>
      <c r="D13" s="47" t="s">
        <v>18</v>
      </c>
      <c r="E13" s="46" t="str">
        <f t="shared" si="0"/>
        <v>EurLibor5M</v>
      </c>
      <c r="F13" s="26" t="e">
        <f>_xll.qlLibor($E13,Currency,$C13,Currency&amp;$D13,Permanent,Trigger,ObjectOverwrite)</f>
        <v>#NUM!</v>
      </c>
      <c r="G13" s="7" t="str">
        <f ca="1">_xll.ohRangeRetrieveError(F13)</f>
        <v>qlLibor - ObjectHandler error: attempt to retrieve object with unknown ID 'EURiborYC6M'</v>
      </c>
      <c r="H13" s="5"/>
    </row>
    <row r="14" spans="1:8" s="25" customFormat="1" x14ac:dyDescent="0.2">
      <c r="B14" s="30"/>
      <c r="C14" s="48" t="s">
        <v>40</v>
      </c>
      <c r="D14" s="47" t="s">
        <v>18</v>
      </c>
      <c r="E14" s="46" t="str">
        <f t="shared" si="0"/>
        <v>EurLibor6M</v>
      </c>
      <c r="F14" s="26" t="e">
        <f>_xll.qlLibor($E14,Currency,$C14,Currency&amp;$D14,Permanent,Trigger,ObjectOverwrite)</f>
        <v>#NUM!</v>
      </c>
      <c r="G14" s="7" t="str">
        <f ca="1">_xll.ohRangeRetrieveError(F14)</f>
        <v>qlLibor - ObjectHandler error: attempt to retrieve object with unknown ID 'EURiborYC6M'</v>
      </c>
      <c r="H14" s="5"/>
    </row>
    <row r="15" spans="1:8" s="25" customFormat="1" x14ac:dyDescent="0.2">
      <c r="B15" s="30"/>
      <c r="C15" s="48" t="s">
        <v>39</v>
      </c>
      <c r="D15" s="47" t="s">
        <v>18</v>
      </c>
      <c r="E15" s="46" t="str">
        <f t="shared" si="0"/>
        <v>EurLibor7M</v>
      </c>
      <c r="F15" s="26" t="e">
        <f>_xll.qlLibor($E15,Currency,$C15,Currency&amp;$D15,Permanent,Trigger,ObjectOverwrite)</f>
        <v>#NUM!</v>
      </c>
      <c r="G15" s="7" t="str">
        <f ca="1">_xll.ohRangeRetrieveError(F15)</f>
        <v>qlLibor - ObjectHandler error: attempt to retrieve object with unknown ID 'EURiborYC6M'</v>
      </c>
      <c r="H15" s="5"/>
    </row>
    <row r="16" spans="1:8" s="25" customFormat="1" x14ac:dyDescent="0.2">
      <c r="B16" s="30"/>
      <c r="C16" s="48" t="s">
        <v>38</v>
      </c>
      <c r="D16" s="47" t="s">
        <v>18</v>
      </c>
      <c r="E16" s="46" t="str">
        <f t="shared" si="0"/>
        <v>EurLibor8M</v>
      </c>
      <c r="F16" s="26" t="e">
        <f>_xll.qlLibor($E16,Currency,$C16,Currency&amp;$D16,Permanent,Trigger,ObjectOverwrite)</f>
        <v>#NUM!</v>
      </c>
      <c r="G16" s="7" t="str">
        <f ca="1">_xll.ohRangeRetrieveError(F16)</f>
        <v>qlLibor - ObjectHandler error: attempt to retrieve object with unknown ID 'EURiborYC6M'</v>
      </c>
      <c r="H16" s="5"/>
    </row>
    <row r="17" spans="2:8" s="25" customFormat="1" x14ac:dyDescent="0.2">
      <c r="B17" s="30"/>
      <c r="C17" s="48" t="s">
        <v>37</v>
      </c>
      <c r="D17" s="47" t="s">
        <v>17</v>
      </c>
      <c r="E17" s="46" t="str">
        <f t="shared" si="0"/>
        <v>EurLibor9M</v>
      </c>
      <c r="F17" s="26" t="e">
        <f>_xll.qlLibor($E17,Currency,$C17,Currency&amp;$D17,Permanent,Trigger,ObjectOverwrite)</f>
        <v>#NUM!</v>
      </c>
      <c r="G17" s="7" t="str">
        <f ca="1">_xll.ohRangeRetrieveError(F17)</f>
        <v>qlLibor - ObjectHandler error: attempt to retrieve object with unknown ID 'EURiborYC1Y'</v>
      </c>
      <c r="H17" s="5"/>
    </row>
    <row r="18" spans="2:8" s="25" customFormat="1" x14ac:dyDescent="0.2">
      <c r="B18" s="30"/>
      <c r="C18" s="48" t="s">
        <v>36</v>
      </c>
      <c r="D18" s="47" t="s">
        <v>17</v>
      </c>
      <c r="E18" s="46" t="str">
        <f t="shared" si="0"/>
        <v>EurLibor10M</v>
      </c>
      <c r="F18" s="26" t="e">
        <f>_xll.qlLibor($E18,Currency,$C18,Currency&amp;$D18,Permanent,Trigger,ObjectOverwrite)</f>
        <v>#NUM!</v>
      </c>
      <c r="G18" s="7" t="str">
        <f ca="1">_xll.ohRangeRetrieveError(F18)</f>
        <v>qlLibor - ObjectHandler error: attempt to retrieve object with unknown ID 'EURiborYC1Y'</v>
      </c>
      <c r="H18" s="5"/>
    </row>
    <row r="19" spans="2:8" s="25" customFormat="1" x14ac:dyDescent="0.2">
      <c r="B19" s="30"/>
      <c r="C19" s="48" t="s">
        <v>35</v>
      </c>
      <c r="D19" s="47" t="s">
        <v>17</v>
      </c>
      <c r="E19" s="46" t="str">
        <f t="shared" si="0"/>
        <v>EurLibor11M</v>
      </c>
      <c r="F19" s="26" t="e">
        <f>_xll.qlLibor($E19,Currency,$C19,Currency&amp;$D19,Permanent,Trigger,ObjectOverwrite)</f>
        <v>#NUM!</v>
      </c>
      <c r="G19" s="7" t="str">
        <f ca="1">_xll.ohRangeRetrieveError(F19)</f>
        <v>qlLibor - ObjectHandler error: attempt to retrieve object with unknown ID 'EURiborYC1Y'</v>
      </c>
      <c r="H19" s="5"/>
    </row>
    <row r="20" spans="2:8" s="25" customFormat="1" x14ac:dyDescent="0.2">
      <c r="B20" s="30"/>
      <c r="C20" s="48" t="s">
        <v>34</v>
      </c>
      <c r="D20" s="47" t="s">
        <v>17</v>
      </c>
      <c r="E20" s="46" t="str">
        <f t="shared" si="0"/>
        <v>EurLibor1Y</v>
      </c>
      <c r="F20" s="26" t="e">
        <f>_xll.qlLibor($E20,Currency,$C20,Currency&amp;$D20,Permanent,Trigger,ObjectOverwrite)</f>
        <v>#NUM!</v>
      </c>
      <c r="G20" s="7" t="str">
        <f ca="1">_xll.ohRangeRetrieveError(F20)</f>
        <v>qlLibor - ObjectHandler error: attempt to retrieve object with unknown ID 'EURiborYC1Y'</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EurLiborSwapIsdaFixA1Y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EurLiborSwapIsdaFixA2Y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EurLiborSwapIsdaFixA3Y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EurLiborSwapIsdaFixA4Y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EurLiborSwapIsdaFixA5Y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EurLiborSwapIsdaFixA6Y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EurLiborSwapIsdaFixA7Y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EurLiborSwapIsdaFixA8Y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EurLiborSwapIsdaFixA9Y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EurLiborSwapIsdaFixA10Y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EurLiborSwapIsdaFixA11Y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EurLiborSwapIsdaFixA12Y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EurLiborSwapIsdaFixA13Y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EurLiborSwapIsdaFixA14Y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EurLiborSwapIsdaFixA15Y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EurLiborSwapIsdaFixA16Y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EurLiborSwapIsdaFixA17Y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EurLiborSwapIsdaFixA18Y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EurLiborSwapIsdaFixA19Y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EurLiborSwapIsdaFixA20Y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EurLiborSwapIsdaFixA21Y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EurLiborSwapIsdaFixA22Y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EurLiborSwapIsdaFixA23Y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EurLiborSwapIsdaFixA24Y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EurLiborSwapIsdaFixA25Y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EurLiborSwapIsdaFixA26Y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EurLiborSwapIsdaFixA27Y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EurLiborSwapIsdaFixA28Y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EurLiborSwapIsdaFixA29Y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EurLiborSwapIsdaFixA30Y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EurLiborSwapIsdaFixA31Y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EurLiborSwapIsdaFixA32Y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EurLiborSwapIsdaFixA33Y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EurLiborSwapIsdaFixA34Y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EurLiborSwapIsdaFixA35Y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EurLiborSwapIsdaFixA36Y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EurLiborSwapIsdaFixA37Y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EurLiborSwapIsdaFixA38Y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EurLiborSwapIsdaFixA39Y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EurLiborSwapIsdaFixA40Y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EurLiborSwapIsdaFixA41Y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EurLiborSwapIsdaFixA42Y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EurLiborSwapIsdaFixA43Y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EurLiborSwapIsdaFixA44Y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EurLiborSwapIsdaFixA45Y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EurLiborSwapIsdaFixA46Y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EurLiborSwapIsdaFixA47Y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EurLiborSwapIsdaFixA48Y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EurLiborSwapIsdaFixA49Y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EurLiborSwapIsdaFixA50Y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EurLiborSwapIsdaFixA51Y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EurLiborSwapIsdaFixA52Y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EurLiborSwapIsdaFixA53Y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EurLiborSwapIsdaFixA54Y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EurLiborSwapIsdaFixA55Y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EurLiborSwapIsdaFixA56Y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EurLiborSwapIsdaFixA57Y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EurLiborSwapIsdaFixA58Y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EurLiborSwapIsdaFixA59Y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EurLiborSwapIsdaFixA60Y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EurLiborSwapIsdaFixB1Y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EurLiborSwapIsdaFixB2Y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EurLiborSwapIsdaFixB3Y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EurLiborSwapIsdaFixB4Y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EurLiborSwapIsdaFixB5Y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EurLiborSwapIsdaFixB6Y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EurLiborSwapIsdaFixB7Y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EurLiborSwapIsdaFixB8Y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EurLiborSwapIsdaFixB9Y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EurLiborSwapIsdaFixB10Y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EurLiborSwapIsdaFixB11Y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EurLiborSwapIsdaFixB12Y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EurLiborSwapIsdaFixB13Y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EurLiborSwapIsdaFixB14Y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EurLiborSwapIsdaFixB15Y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EurLiborSwapIsdaFixB16Y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EurLiborSwapIsdaFixB17Y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EurLiborSwapIsdaFixB18Y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EurLiborSwapIsdaFixB19Y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EurLiborSwapIsdaFixB20Y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EurLiborSwapIsdaFixB21Y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EurLiborSwapIsdaFixB22Y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EurLiborSwapIsdaFixB23Y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EurLiborSwapIsdaFixB24Y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EurLiborSwapIsdaFixB25Y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EurLiborSwapIsdaFixB26Y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EurLiborSwapIsdaFixB27Y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EurLiborSwapIsdaFixB28Y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EurLiborSwapIsdaFixB29Y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EurLiborSwapIsdaFixB30Y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EurLiborSwapIsdaFixB31Y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EurLiborSwapIsdaFixB32Y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EurLiborSwapIsdaFixB33Y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EurLiborSwapIsdaFixB34Y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EurLiborSwapIsdaFixB35Y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EurLiborSwapIsdaFixB36Y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EurLiborSwapIsdaFixB37Y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EurLiborSwapIsdaFixB38Y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EurLiborSwapIsdaFixB39Y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EurLiborSwapIsdaFixB40Y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EurLiborSwapIsdaFixB41Y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EurLiborSwapIsdaFixB42Y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EurLiborSwapIsdaFixB43Y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EurLiborSwapIsdaFixB44Y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EurLiborSwapIsdaFixB45Y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EurLiborSwapIsdaFixB46Y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EurLiborSwapIsdaFixB47Y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EurLiborSwapIsdaFixB48Y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EurLiborSwapIsdaFixB49Y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EurLiborSwapIsdaFixB50Y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EurLiborSwapIsdaFixB51Y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EurLiborSwapIsdaFixB52Y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EurLiborSwapIsdaFixB53Y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EurLiborSwapIsdaFixB54Y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EurLiborSwapIsdaFixB55Y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EurLiborSwapIsdaFixB56Y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EurLiborSwapIsdaFixB57Y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EurLiborSwapIsdaFixB58Y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EurLiborSwapIsdaFixB59Y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EurLiborSwapIsdaFixB60Y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EurLiborSwapIfrFix1Y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EurLiborSwapIfrFix2Y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EurLiborSwapIfrFix3Y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EurLiborSwapIfrFix4Y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EurLiborSwapIfrFix5Y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EurLiborSwapIfrFix6Y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EurLiborSwapIfrFix7Y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EurLiborSwapIfrFix8Y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EurLiborSwapIfrFix9Y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EurLiborSwapIfrFix10Y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EurLiborSwapIfrFix11Y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EurLiborSwapIfrFix12Y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EurLiborSwapIfrFix13Y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EurLiborSwapIfrFix14Y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EurLiborSwapIfrFix15Y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EurLiborSwapIfrFix16Y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EurLiborSwapIfrFix17Y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EurLiborSwapIfrFix18Y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EurLiborSwapIfrFix19Y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EurLiborSwapIfrFix20Y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EurLiborSwapIfrFix21Y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EurLiborSwapIfrFix22Y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EurLiborSwapIfrFix23Y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EurLiborSwapIfrFix24Y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EurLiborSwapIfrFix25Y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EurLiborSwapIfrFix26Y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EurLiborSwapIfrFix27Y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EurLiborSwapIfrFix28Y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EurLiborSwapIfrFix29Y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EurLiborSwapIfrFix30Y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EurLiborSwapIfrFix31Y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EurLiborSwapIfrFix32Y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EurLiborSwapIfrFix33Y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EurLiborSwapIfrFix34Y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EurLiborSwapIfrFix35Y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EurLiborSwapIfrFix36Y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EurLiborSwapIfrFix37Y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EurLiborSwapIfrFix38Y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EurLiborSwapIfrFix39Y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EurLiborSwapIfrFix40Y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EurLiborSwapIfrFix41Y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EurLiborSwapIfrFix42Y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EurLiborSwapIfrFix43Y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EurLiborSwapIfrFix44Y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EurLiborSwapIfrFix45Y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EurLiborSwapIfrFix46Y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EurLiborSwapIfrFix47Y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EurLiborSwapIfrFix48Y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EurLiborSwapIfrFix49Y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EurLiborSwapIfrFix50Y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EurLiborSwapIfrFix51Y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EurLiborSwapIfrFix52Y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EurLiborSwapIfrFix53Y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EurLiborSwapIfrFix54Y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EurLiborSwapIfrFix55Y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EurLiborSwapIfrFix56Y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EurLiborSwapIfrFix57Y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EurLiborSwapIfrFix58Y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EurLiborSwapIfrFix59Y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EurLiborSwapIfrFix60Y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9" width="2.7109375" style="72" customWidth="1"/>
    <col min="10" max="12" width="3.5703125" style="72" customWidth="1"/>
    <col min="13" max="13" width="2.7109375" style="72" customWidth="1"/>
    <col min="14" max="14" width="4.5703125" style="72" customWidth="1"/>
    <col min="15" max="24" width="9.140625" style="72"/>
    <col min="25" max="25" width="2.7109375" style="72" customWidth="1"/>
    <col min="26" max="26" width="9.140625" style="72"/>
    <col min="27" max="27" width="2.7109375" style="72" customWidth="1"/>
    <col min="28" max="30" width="9.140625" style="72"/>
    <col min="31" max="32" width="2.7109375" style="72" customWidth="1"/>
    <col min="33" max="16384" width="9.140625" style="72"/>
  </cols>
  <sheetData>
    <row r="1" spans="1:35" x14ac:dyDescent="0.2">
      <c r="N1" s="327"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3"/>
      <c r="O2" s="257"/>
      <c r="P2" s="257"/>
      <c r="Q2" s="257"/>
      <c r="R2" s="257"/>
      <c r="S2" s="148" t="s">
        <v>235</v>
      </c>
      <c r="T2" s="257"/>
      <c r="U2" s="257"/>
      <c r="V2" s="257"/>
      <c r="W2" s="257"/>
      <c r="X2" s="141"/>
      <c r="Y2" s="257"/>
      <c r="Z2" s="257"/>
      <c r="AA2" s="257"/>
      <c r="AB2" s="398" t="s">
        <v>254</v>
      </c>
      <c r="AC2" s="148" t="s">
        <v>147</v>
      </c>
      <c r="AD2" s="141"/>
      <c r="AE2" s="53"/>
      <c r="AF2" s="21"/>
      <c r="AG2" s="21"/>
      <c r="AH2" s="21"/>
      <c r="AI2" s="21"/>
    </row>
    <row r="3" spans="1:35" x14ac:dyDescent="0.2">
      <c r="A3" s="107" t="s">
        <v>150</v>
      </c>
      <c r="B3" s="102"/>
      <c r="C3" s="102"/>
      <c r="D3" s="102"/>
      <c r="E3" s="100"/>
      <c r="F3" s="101"/>
      <c r="G3" s="100"/>
      <c r="H3" s="99"/>
      <c r="N3" s="126"/>
      <c r="O3" s="257"/>
      <c r="P3" s="141"/>
      <c r="Q3" s="141"/>
      <c r="R3" s="141"/>
      <c r="S3" s="141" t="str">
        <f>_xll.qlInterpolation(,InterpolationType,_xll.ohFilter(N5:N42,W5:W42),_xll.ohFilter(V5:V42,W5:W42))</f>
        <v>obj_005d9#0004</v>
      </c>
      <c r="T3" s="141"/>
      <c r="U3" s="141"/>
      <c r="V3" s="141"/>
      <c r="W3" s="141"/>
      <c r="X3" s="141"/>
      <c r="Y3" s="257"/>
      <c r="Z3" s="257"/>
      <c r="AA3" s="257"/>
      <c r="AB3" s="141"/>
      <c r="AC3" s="141"/>
      <c r="AD3" s="288">
        <f>_xll.ohTrigger(AD5:AD42)</f>
        <v>0</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83"/>
      <c r="P4" s="198"/>
      <c r="Q4" s="198"/>
      <c r="R4" s="198"/>
      <c r="S4" s="287" t="e">
        <f ca="1">_xll.RData(S5:S42,T4:U4,,ReutersRtMode,,T5)</f>
        <v>#NAME?</v>
      </c>
      <c r="T4" s="324" t="s">
        <v>258</v>
      </c>
      <c r="U4" s="324" t="s">
        <v>225</v>
      </c>
      <c r="V4" s="324" t="s">
        <v>285</v>
      </c>
      <c r="W4" s="324"/>
      <c r="X4" s="283" t="s">
        <v>284</v>
      </c>
      <c r="Y4" s="257"/>
      <c r="Z4" s="285" t="s">
        <v>252</v>
      </c>
      <c r="AA4" s="257"/>
      <c r="AB4" s="284" t="s">
        <v>251</v>
      </c>
      <c r="AC4" s="382"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EUR1E6E6M_Quote#0000</v>
      </c>
      <c r="G5" s="79" t="str">
        <f>_xll.ohRangeRetrieveError(F5)</f>
        <v/>
      </c>
      <c r="H5" s="78"/>
      <c r="I5" s="72"/>
      <c r="J5" s="72"/>
      <c r="K5" s="72"/>
      <c r="L5" s="72"/>
      <c r="N5" s="397">
        <v>0.5</v>
      </c>
      <c r="O5" s="310" t="s">
        <v>40</v>
      </c>
      <c r="P5" s="309" t="str">
        <f t="array" ref="P5:P42">VLOOKUP(Currency,Conventions,2)</f>
        <v>1E</v>
      </c>
      <c r="Q5" s="309" t="str">
        <f t="array" ref="Q5:Q42">VLOOKUP(Currency,Conventions,3)</f>
        <v>6E</v>
      </c>
      <c r="R5" s="307" t="str">
        <f t="shared" ref="R5:R42" si="1">Currency&amp;$P5&amp;$Q5&amp;$O5</f>
        <v>EUR1E6E6M</v>
      </c>
      <c r="S5" s="267" t="str">
        <f t="array" ref="S5:S42">Instruments&amp;"="&amp;VLOOKUP(Contributor,ContributorTable,2,FALSE)</f>
        <v>EUR1E6E6M=ICAP</v>
      </c>
      <c r="T5" s="396" t="s">
        <v>259</v>
      </c>
      <c r="U5" s="396" t="s">
        <v>259</v>
      </c>
      <c r="V5" s="396" t="e">
        <f>_xll.qlMidEquivalent(T5,U5)</f>
        <v>#NUM!</v>
      </c>
      <c r="W5" s="263" t="b">
        <f t="shared" ref="W5:W42" si="2">IF(ISNUMBER(V5),TRUE,FALSE)</f>
        <v>0</v>
      </c>
      <c r="X5" s="395" t="e">
        <f t="array" ref="X5:X42">_xll.qlInterpolationInterpolate(S3,N5:N42)</f>
        <v>#NUM!</v>
      </c>
      <c r="Y5" s="257"/>
      <c r="Z5" s="394" t="e">
        <v>#NUM!</v>
      </c>
      <c r="AA5" s="257"/>
      <c r="AB5" s="264" t="str">
        <f t="shared" ref="AB5:AB42" si="3">$R5&amp;$AC$2</f>
        <v>EUR1E6E6M_Quote</v>
      </c>
      <c r="AC5" s="393" t="e">
        <f t="array" ref="AC5:AC42">QuoteLive</f>
        <v>#NUM!</v>
      </c>
      <c r="AD5" s="262"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EUR1E6E1Y_Quote#0000</v>
      </c>
      <c r="G6" s="79" t="str">
        <f>_xll.ohRangeRetrieveError(F6)</f>
        <v/>
      </c>
      <c r="H6" s="78"/>
      <c r="I6" s="72"/>
      <c r="J6" s="72"/>
      <c r="K6" s="72"/>
      <c r="L6" s="72"/>
      <c r="N6" s="397">
        <v>1</v>
      </c>
      <c r="O6" s="310" t="s">
        <v>34</v>
      </c>
      <c r="P6" s="309" t="str">
        <v>1E</v>
      </c>
      <c r="Q6" s="309" t="str">
        <v>6E</v>
      </c>
      <c r="R6" s="307" t="str">
        <f t="shared" si="1"/>
        <v>EUR1E6E1Y</v>
      </c>
      <c r="S6" s="267" t="str">
        <v>EUR1E6E1Y=ICAP</v>
      </c>
      <c r="T6" s="396">
        <v>22</v>
      </c>
      <c r="U6" s="396">
        <v>0</v>
      </c>
      <c r="V6" s="396">
        <f>_xll.qlMidEquivalent(T6,U6)</f>
        <v>22</v>
      </c>
      <c r="W6" s="263" t="b">
        <f t="shared" si="2"/>
        <v>1</v>
      </c>
      <c r="X6" s="395">
        <v>22</v>
      </c>
      <c r="Y6" s="257"/>
      <c r="Z6" s="394">
        <v>22</v>
      </c>
      <c r="AA6" s="257"/>
      <c r="AB6" s="264" t="str">
        <f t="shared" si="3"/>
        <v>EUR1E6E1Y_Quote</v>
      </c>
      <c r="AC6" s="393">
        <v>22</v>
      </c>
      <c r="AD6" s="262"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EUR1E6E15M_Quote#0000</v>
      </c>
      <c r="G7" s="79" t="str">
        <f>_xll.ohRangeRetrieveError(F7)</f>
        <v/>
      </c>
      <c r="H7" s="78"/>
      <c r="N7" s="397">
        <v>1.25</v>
      </c>
      <c r="O7" s="310" t="s">
        <v>140</v>
      </c>
      <c r="P7" s="309" t="str">
        <v>1E</v>
      </c>
      <c r="Q7" s="309" t="str">
        <v>6E</v>
      </c>
      <c r="R7" s="307" t="str">
        <f t="shared" si="1"/>
        <v>EUR1E6E15M</v>
      </c>
      <c r="S7" s="267" t="str">
        <v>EUR1E6E15M=ICAP</v>
      </c>
      <c r="T7" s="396" t="s">
        <v>259</v>
      </c>
      <c r="U7" s="396" t="s">
        <v>259</v>
      </c>
      <c r="V7" s="396" t="e">
        <f>_xll.qlMidEquivalent(T7,U7)</f>
        <v>#NUM!</v>
      </c>
      <c r="W7" s="263" t="b">
        <f t="shared" si="2"/>
        <v>0</v>
      </c>
      <c r="X7" s="395">
        <v>22.978821515415554</v>
      </c>
      <c r="Y7" s="257"/>
      <c r="Z7" s="394">
        <v>22.978630018969486</v>
      </c>
      <c r="AA7" s="257"/>
      <c r="AB7" s="264" t="str">
        <f t="shared" si="3"/>
        <v>EUR1E6E15M_Quote</v>
      </c>
      <c r="AC7" s="393">
        <v>22.978821515415554</v>
      </c>
      <c r="AD7" s="262"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EUR1E6E18M_Quote#0000</v>
      </c>
      <c r="G8" s="79" t="str">
        <f>_xll.ohRangeRetrieveError(F8)</f>
        <v/>
      </c>
      <c r="H8" s="78"/>
      <c r="I8" s="20"/>
      <c r="J8" s="20"/>
      <c r="K8" s="20"/>
      <c r="L8" s="20"/>
      <c r="N8" s="397">
        <v>1.5</v>
      </c>
      <c r="O8" s="310" t="s">
        <v>139</v>
      </c>
      <c r="P8" s="309" t="str">
        <v>1E</v>
      </c>
      <c r="Q8" s="309" t="str">
        <v>6E</v>
      </c>
      <c r="R8" s="307" t="str">
        <f t="shared" si="1"/>
        <v>EUR1E6E18M</v>
      </c>
      <c r="S8" s="267" t="str">
        <v>EUR1E6E18M=ICAP</v>
      </c>
      <c r="T8" s="396" t="s">
        <v>259</v>
      </c>
      <c r="U8" s="396" t="s">
        <v>259</v>
      </c>
      <c r="V8" s="396" t="e">
        <f>_xll.qlMidEquivalent(T8,U8)</f>
        <v>#NUM!</v>
      </c>
      <c r="W8" s="263" t="b">
        <f t="shared" si="2"/>
        <v>0</v>
      </c>
      <c r="X8" s="395">
        <v>23.906114424664885</v>
      </c>
      <c r="Y8" s="257"/>
      <c r="Z8" s="394">
        <v>23.905808030351182</v>
      </c>
      <c r="AA8" s="257"/>
      <c r="AB8" s="264" t="str">
        <f t="shared" si="3"/>
        <v>EUR1E6E18M_Quote</v>
      </c>
      <c r="AC8" s="393">
        <v>23.906114424664885</v>
      </c>
      <c r="AD8" s="262"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EUR1E6E21M_Quote#0000</v>
      </c>
      <c r="G9" s="79" t="str">
        <f>_xll.ohRangeRetrieveError(F9)</f>
        <v/>
      </c>
      <c r="H9" s="78"/>
      <c r="I9" s="20"/>
      <c r="J9" s="20"/>
      <c r="K9" s="20"/>
      <c r="L9" s="20"/>
      <c r="N9" s="397">
        <v>1.75</v>
      </c>
      <c r="O9" s="310" t="s">
        <v>138</v>
      </c>
      <c r="P9" s="309" t="str">
        <v>1E</v>
      </c>
      <c r="Q9" s="309" t="str">
        <v>6E</v>
      </c>
      <c r="R9" s="307" t="str">
        <f t="shared" si="1"/>
        <v>EUR1E6E21M</v>
      </c>
      <c r="S9" s="267" t="str">
        <v>EUR1E6E21M=ICAP</v>
      </c>
      <c r="T9" s="396" t="s">
        <v>259</v>
      </c>
      <c r="U9" s="396" t="s">
        <v>259</v>
      </c>
      <c r="V9" s="396" t="e">
        <f>_xll.qlMidEquivalent(T9,U9)</f>
        <v>#NUM!</v>
      </c>
      <c r="W9" s="263" t="b">
        <f t="shared" si="2"/>
        <v>0</v>
      </c>
      <c r="X9" s="395">
        <v>24.730350121581775</v>
      </c>
      <c r="Y9" s="257"/>
      <c r="Z9" s="394">
        <v>24.730082026557284</v>
      </c>
      <c r="AA9" s="257"/>
      <c r="AB9" s="264" t="str">
        <f t="shared" si="3"/>
        <v>EUR1E6E21M_Quote</v>
      </c>
      <c r="AC9" s="393">
        <v>24.730350121581775</v>
      </c>
      <c r="AD9" s="262"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EUR1E6E2Y_Quote#0000</v>
      </c>
      <c r="G10" s="79" t="str">
        <f>_xll.ohRangeRetrieveError(F10)</f>
        <v/>
      </c>
      <c r="H10" s="78"/>
      <c r="J10" s="93" t="s">
        <v>137</v>
      </c>
      <c r="K10" s="92" t="s">
        <v>129</v>
      </c>
      <c r="L10" s="91" t="s">
        <v>132</v>
      </c>
      <c r="N10" s="126">
        <v>2</v>
      </c>
      <c r="O10" s="310" t="s">
        <v>115</v>
      </c>
      <c r="P10" s="309" t="str">
        <v>1E</v>
      </c>
      <c r="Q10" s="309" t="str">
        <v>6E</v>
      </c>
      <c r="R10" s="307" t="str">
        <f t="shared" si="1"/>
        <v>EUR1E6E2Y</v>
      </c>
      <c r="S10" s="267" t="str">
        <v>EUR1E6E2Y=ICAP</v>
      </c>
      <c r="T10" s="396">
        <v>25.4</v>
      </c>
      <c r="U10" s="396">
        <v>0</v>
      </c>
      <c r="V10" s="396">
        <f>_xll.qlMidEquivalent(T10,U10)</f>
        <v>25.4</v>
      </c>
      <c r="W10" s="263" t="b">
        <f t="shared" si="2"/>
        <v>1</v>
      </c>
      <c r="X10" s="395">
        <v>25.4</v>
      </c>
      <c r="Y10" s="257"/>
      <c r="Z10" s="394">
        <v>25.4</v>
      </c>
      <c r="AA10" s="257"/>
      <c r="AB10" s="264" t="str">
        <f t="shared" si="3"/>
        <v>EUR1E6E2Y_Quote</v>
      </c>
      <c r="AC10" s="393">
        <v>25.4</v>
      </c>
      <c r="AD10" s="262"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EUR1E6E3Y_Quote#0000</v>
      </c>
      <c r="G11" s="79" t="str">
        <f>_xll.ohRangeRetrieveError(F11)</f>
        <v/>
      </c>
      <c r="H11" s="78"/>
      <c r="J11" s="90" t="s">
        <v>123</v>
      </c>
      <c r="K11" s="89" t="s">
        <v>136</v>
      </c>
      <c r="L11" s="88" t="s">
        <v>135</v>
      </c>
      <c r="N11" s="126">
        <v>3</v>
      </c>
      <c r="O11" s="310" t="s">
        <v>114</v>
      </c>
      <c r="P11" s="309" t="str">
        <v>1E</v>
      </c>
      <c r="Q11" s="309" t="str">
        <v>6E</v>
      </c>
      <c r="R11" s="307" t="str">
        <f t="shared" si="1"/>
        <v>EUR1E6E3Y</v>
      </c>
      <c r="S11" s="267" t="str">
        <v>EUR1E6E3Y=ICAP</v>
      </c>
      <c r="T11" s="396">
        <v>26.5</v>
      </c>
      <c r="U11" s="396">
        <v>0</v>
      </c>
      <c r="V11" s="396">
        <f>_xll.qlMidEquivalent(T11,U11)</f>
        <v>26.5</v>
      </c>
      <c r="W11" s="263" t="b">
        <f t="shared" si="2"/>
        <v>1</v>
      </c>
      <c r="X11" s="395">
        <v>26.5</v>
      </c>
      <c r="Y11" s="257"/>
      <c r="Z11" s="394">
        <v>26.5</v>
      </c>
      <c r="AA11" s="257"/>
      <c r="AB11" s="264" t="str">
        <f t="shared" si="3"/>
        <v>EUR1E6E3Y_Quote</v>
      </c>
      <c r="AC11" s="393">
        <v>26.5</v>
      </c>
      <c r="AD11" s="262"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EUR1E6E4Y_Quote#0000</v>
      </c>
      <c r="G12" s="79" t="str">
        <f>_xll.ohRangeRetrieveError(F12)</f>
        <v/>
      </c>
      <c r="H12" s="78"/>
      <c r="J12" s="90" t="s">
        <v>134</v>
      </c>
      <c r="K12" s="89" t="s">
        <v>129</v>
      </c>
      <c r="L12" s="88" t="s">
        <v>132</v>
      </c>
      <c r="N12" s="126">
        <v>4</v>
      </c>
      <c r="O12" s="310" t="s">
        <v>113</v>
      </c>
      <c r="P12" s="309" t="str">
        <v>1E</v>
      </c>
      <c r="Q12" s="309" t="str">
        <v>6E</v>
      </c>
      <c r="R12" s="307" t="str">
        <f t="shared" si="1"/>
        <v>EUR1E6E4Y</v>
      </c>
      <c r="S12" s="267" t="str">
        <v>EUR1E6E4Y=ICAP</v>
      </c>
      <c r="T12" s="396">
        <v>26.6</v>
      </c>
      <c r="U12" s="396">
        <v>0</v>
      </c>
      <c r="V12" s="396">
        <f>_xll.qlMidEquivalent(T12,U12)</f>
        <v>26.6</v>
      </c>
      <c r="W12" s="263" t="b">
        <f t="shared" si="2"/>
        <v>1</v>
      </c>
      <c r="X12" s="395">
        <v>26.6</v>
      </c>
      <c r="Y12" s="257"/>
      <c r="Z12" s="394">
        <v>26.6</v>
      </c>
      <c r="AA12" s="257"/>
      <c r="AB12" s="264" t="str">
        <f t="shared" si="3"/>
        <v>EUR1E6E4Y_Quote</v>
      </c>
      <c r="AC12" s="393">
        <v>26.6</v>
      </c>
      <c r="AD12" s="262"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EUR1E6E5Y_Quote#0000</v>
      </c>
      <c r="G13" s="79" t="str">
        <f>_xll.ohRangeRetrieveError(F13)</f>
        <v/>
      </c>
      <c r="H13" s="78"/>
      <c r="J13" s="90" t="s">
        <v>133</v>
      </c>
      <c r="K13" s="89" t="s">
        <v>129</v>
      </c>
      <c r="L13" s="88" t="s">
        <v>132</v>
      </c>
      <c r="N13" s="126">
        <v>5</v>
      </c>
      <c r="O13" s="310" t="s">
        <v>112</v>
      </c>
      <c r="P13" s="309" t="str">
        <v>1E</v>
      </c>
      <c r="Q13" s="309" t="str">
        <v>6E</v>
      </c>
      <c r="R13" s="307" t="str">
        <f t="shared" si="1"/>
        <v>EUR1E6E5Y</v>
      </c>
      <c r="S13" s="267" t="str">
        <v>EUR1E6E5Y=ICAP</v>
      </c>
      <c r="T13" s="396">
        <v>26.4</v>
      </c>
      <c r="U13" s="396">
        <v>0</v>
      </c>
      <c r="V13" s="396">
        <f>_xll.qlMidEquivalent(T13,U13)</f>
        <v>26.4</v>
      </c>
      <c r="W13" s="263" t="b">
        <f t="shared" si="2"/>
        <v>1</v>
      </c>
      <c r="X13" s="395">
        <v>26.4</v>
      </c>
      <c r="Y13" s="257"/>
      <c r="Z13" s="394">
        <v>26.4</v>
      </c>
      <c r="AA13" s="257"/>
      <c r="AB13" s="264" t="str">
        <f t="shared" si="3"/>
        <v>EUR1E6E5Y_Quote</v>
      </c>
      <c r="AC13" s="393">
        <v>26.4</v>
      </c>
      <c r="AD13" s="262"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EUR1E6E6Y_Quote#0000</v>
      </c>
      <c r="G14" s="79" t="str">
        <f>_xll.ohRangeRetrieveError(F14)</f>
        <v/>
      </c>
      <c r="H14" s="78"/>
      <c r="J14" s="87" t="s">
        <v>131</v>
      </c>
      <c r="K14" s="86" t="s">
        <v>130</v>
      </c>
      <c r="L14" s="85" t="s">
        <v>129</v>
      </c>
      <c r="N14" s="126">
        <v>6</v>
      </c>
      <c r="O14" s="310" t="s">
        <v>111</v>
      </c>
      <c r="P14" s="309" t="str">
        <v>1E</v>
      </c>
      <c r="Q14" s="309" t="str">
        <v>6E</v>
      </c>
      <c r="R14" s="307" t="str">
        <f t="shared" si="1"/>
        <v>EUR1E6E6Y</v>
      </c>
      <c r="S14" s="267" t="str">
        <v>EUR1E6E6Y=ICAP</v>
      </c>
      <c r="T14" s="396">
        <v>26</v>
      </c>
      <c r="U14" s="396">
        <v>0</v>
      </c>
      <c r="V14" s="396">
        <f>_xll.qlMidEquivalent(T14,U14)</f>
        <v>26</v>
      </c>
      <c r="W14" s="263" t="b">
        <f t="shared" si="2"/>
        <v>1</v>
      </c>
      <c r="X14" s="395">
        <v>26</v>
      </c>
      <c r="Y14" s="257"/>
      <c r="Z14" s="394">
        <v>25.9</v>
      </c>
      <c r="AA14" s="257"/>
      <c r="AB14" s="264" t="str">
        <f t="shared" si="3"/>
        <v>EUR1E6E6Y_Quote</v>
      </c>
      <c r="AC14" s="393">
        <v>26</v>
      </c>
      <c r="AD14" s="262"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EUR1E6E7Y_Quote#0000</v>
      </c>
      <c r="G15" s="79" t="str">
        <f>_xll.ohRangeRetrieveError(F15)</f>
        <v/>
      </c>
      <c r="H15" s="78"/>
      <c r="N15" s="126">
        <v>7</v>
      </c>
      <c r="O15" s="310" t="s">
        <v>110</v>
      </c>
      <c r="P15" s="309" t="str">
        <v>1E</v>
      </c>
      <c r="Q15" s="309" t="str">
        <v>6E</v>
      </c>
      <c r="R15" s="307" t="str">
        <f t="shared" si="1"/>
        <v>EUR1E6E7Y</v>
      </c>
      <c r="S15" s="267" t="str">
        <v>EUR1E6E7Y=ICAP</v>
      </c>
      <c r="T15" s="396">
        <v>25.3</v>
      </c>
      <c r="U15" s="396">
        <v>0</v>
      </c>
      <c r="V15" s="396">
        <f>_xll.qlMidEquivalent(T15,U15)</f>
        <v>25.3</v>
      </c>
      <c r="W15" s="263" t="b">
        <f t="shared" si="2"/>
        <v>1</v>
      </c>
      <c r="X15" s="395">
        <v>25.3</v>
      </c>
      <c r="Y15" s="257"/>
      <c r="Z15" s="394">
        <v>25.3</v>
      </c>
      <c r="AA15" s="257"/>
      <c r="AB15" s="264" t="str">
        <f t="shared" si="3"/>
        <v>EUR1E6E7Y_Quote</v>
      </c>
      <c r="AC15" s="393">
        <v>25.3</v>
      </c>
      <c r="AD15" s="262"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EUR1E6E8Y_Quote#0000</v>
      </c>
      <c r="G16" s="79" t="str">
        <f>_xll.ohRangeRetrieveError(F16)</f>
        <v/>
      </c>
      <c r="H16" s="78"/>
      <c r="N16" s="126">
        <v>8</v>
      </c>
      <c r="O16" s="310" t="s">
        <v>109</v>
      </c>
      <c r="P16" s="309" t="str">
        <v>1E</v>
      </c>
      <c r="Q16" s="309" t="str">
        <v>6E</v>
      </c>
      <c r="R16" s="307" t="str">
        <f t="shared" si="1"/>
        <v>EUR1E6E8Y</v>
      </c>
      <c r="S16" s="267" t="str">
        <v>EUR1E6E8Y=ICAP</v>
      </c>
      <c r="T16" s="396">
        <v>24.6</v>
      </c>
      <c r="U16" s="396">
        <v>0</v>
      </c>
      <c r="V16" s="396">
        <f>_xll.qlMidEquivalent(T16,U16)</f>
        <v>24.6</v>
      </c>
      <c r="W16" s="263" t="b">
        <f t="shared" si="2"/>
        <v>1</v>
      </c>
      <c r="X16" s="395">
        <v>24.6</v>
      </c>
      <c r="Y16" s="257"/>
      <c r="Z16" s="394">
        <v>24.6</v>
      </c>
      <c r="AA16" s="257"/>
      <c r="AB16" s="264" t="str">
        <f t="shared" si="3"/>
        <v>EUR1E6E8Y_Quote</v>
      </c>
      <c r="AC16" s="393">
        <v>24.6</v>
      </c>
      <c r="AD16" s="262"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EUR1E6E9Y_Quote#0000</v>
      </c>
      <c r="G17" s="79" t="str">
        <f>_xll.ohRangeRetrieveError(F17)</f>
        <v/>
      </c>
      <c r="H17" s="78"/>
      <c r="N17" s="126">
        <v>9</v>
      </c>
      <c r="O17" s="310" t="s">
        <v>108</v>
      </c>
      <c r="P17" s="309" t="str">
        <v>1E</v>
      </c>
      <c r="Q17" s="309" t="str">
        <v>6E</v>
      </c>
      <c r="R17" s="307" t="str">
        <f t="shared" si="1"/>
        <v>EUR1E6E9Y</v>
      </c>
      <c r="S17" s="267" t="str">
        <v>EUR1E6E9Y=ICAP</v>
      </c>
      <c r="T17" s="396">
        <v>23.9</v>
      </c>
      <c r="U17" s="396">
        <v>0</v>
      </c>
      <c r="V17" s="396">
        <f>_xll.qlMidEquivalent(T17,U17)</f>
        <v>23.9</v>
      </c>
      <c r="W17" s="263" t="b">
        <f t="shared" si="2"/>
        <v>1</v>
      </c>
      <c r="X17" s="395">
        <v>23.9</v>
      </c>
      <c r="Y17" s="257"/>
      <c r="Z17" s="394">
        <v>23.8</v>
      </c>
      <c r="AA17" s="257"/>
      <c r="AB17" s="264" t="str">
        <f t="shared" si="3"/>
        <v>EUR1E6E9Y_Quote</v>
      </c>
      <c r="AC17" s="393">
        <v>23.9</v>
      </c>
      <c r="AD17" s="262"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EUR1E6E10Y_Quote#0000</v>
      </c>
      <c r="G18" s="79" t="str">
        <f>_xll.ohRangeRetrieveError(F18)</f>
        <v/>
      </c>
      <c r="H18" s="78"/>
      <c r="N18" s="126">
        <v>10</v>
      </c>
      <c r="O18" s="310" t="s">
        <v>107</v>
      </c>
      <c r="P18" s="309" t="str">
        <v>1E</v>
      </c>
      <c r="Q18" s="309" t="str">
        <v>6E</v>
      </c>
      <c r="R18" s="307" t="str">
        <f t="shared" si="1"/>
        <v>EUR1E6E10Y</v>
      </c>
      <c r="S18" s="267" t="str">
        <v>EUR1E6E10Y=ICAP</v>
      </c>
      <c r="T18" s="396">
        <v>23.1</v>
      </c>
      <c r="U18" s="396">
        <v>0</v>
      </c>
      <c r="V18" s="396">
        <f>_xll.qlMidEquivalent(T18,U18)</f>
        <v>23.1</v>
      </c>
      <c r="W18" s="263" t="b">
        <f t="shared" si="2"/>
        <v>1</v>
      </c>
      <c r="X18" s="395">
        <v>23.1</v>
      </c>
      <c r="Y18" s="257"/>
      <c r="Z18" s="394">
        <v>23</v>
      </c>
      <c r="AA18" s="257"/>
      <c r="AB18" s="264" t="str">
        <f t="shared" si="3"/>
        <v>EUR1E6E10Y_Quote</v>
      </c>
      <c r="AC18" s="393">
        <v>23.1</v>
      </c>
      <c r="AD18" s="262"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EUR1E6E11Y_Quote#0000</v>
      </c>
      <c r="G19" s="79" t="str">
        <f>_xll.ohRangeRetrieveError(F19)</f>
        <v/>
      </c>
      <c r="H19" s="78"/>
      <c r="N19" s="126">
        <v>11</v>
      </c>
      <c r="O19" s="310" t="s">
        <v>106</v>
      </c>
      <c r="P19" s="309" t="str">
        <v>1E</v>
      </c>
      <c r="Q19" s="309" t="str">
        <v>6E</v>
      </c>
      <c r="R19" s="307" t="str">
        <f t="shared" si="1"/>
        <v>EUR1E6E11Y</v>
      </c>
      <c r="S19" s="267" t="str">
        <v>EUR1E6E11Y=ICAP</v>
      </c>
      <c r="T19" s="396">
        <v>22.3</v>
      </c>
      <c r="U19" s="396">
        <v>0</v>
      </c>
      <c r="V19" s="396">
        <f>_xll.qlMidEquivalent(T19,U19)</f>
        <v>22.3</v>
      </c>
      <c r="W19" s="263" t="b">
        <f t="shared" si="2"/>
        <v>1</v>
      </c>
      <c r="X19" s="395">
        <v>22.3</v>
      </c>
      <c r="Y19" s="257"/>
      <c r="Z19" s="394">
        <v>22.3</v>
      </c>
      <c r="AA19" s="257"/>
      <c r="AB19" s="264" t="str">
        <f t="shared" si="3"/>
        <v>EUR1E6E11Y_Quote</v>
      </c>
      <c r="AC19" s="393">
        <v>22.3</v>
      </c>
      <c r="AD19" s="262"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EUR1E6E12Y_Quote#0000</v>
      </c>
      <c r="G20" s="79" t="str">
        <f>_xll.ohRangeRetrieveError(F20)</f>
        <v/>
      </c>
      <c r="H20" s="78"/>
      <c r="N20" s="126">
        <v>12</v>
      </c>
      <c r="O20" s="310" t="s">
        <v>105</v>
      </c>
      <c r="P20" s="309" t="str">
        <v>1E</v>
      </c>
      <c r="Q20" s="309" t="str">
        <v>6E</v>
      </c>
      <c r="R20" s="307" t="str">
        <f t="shared" si="1"/>
        <v>EUR1E6E12Y</v>
      </c>
      <c r="S20" s="267" t="str">
        <v>EUR1E6E12Y=ICAP</v>
      </c>
      <c r="T20" s="396">
        <v>21.5</v>
      </c>
      <c r="U20" s="396">
        <v>0</v>
      </c>
      <c r="V20" s="396">
        <f>_xll.qlMidEquivalent(T20,U20)</f>
        <v>21.5</v>
      </c>
      <c r="W20" s="263" t="b">
        <f t="shared" si="2"/>
        <v>1</v>
      </c>
      <c r="X20" s="395">
        <v>21.5</v>
      </c>
      <c r="Y20" s="257"/>
      <c r="Z20" s="394">
        <v>21.5</v>
      </c>
      <c r="AA20" s="257"/>
      <c r="AB20" s="264" t="str">
        <f t="shared" si="3"/>
        <v>EUR1E6E12Y_Quote</v>
      </c>
      <c r="AC20" s="393">
        <v>21.5</v>
      </c>
      <c r="AD20" s="262"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EUR1E6E13Y_Quote#0000</v>
      </c>
      <c r="G21" s="79" t="str">
        <f>_xll.ohRangeRetrieveError(F21)</f>
        <v/>
      </c>
      <c r="H21" s="78"/>
      <c r="N21" s="126">
        <v>13</v>
      </c>
      <c r="O21" s="310" t="s">
        <v>104</v>
      </c>
      <c r="P21" s="309" t="str">
        <v>1E</v>
      </c>
      <c r="Q21" s="309" t="str">
        <v>6E</v>
      </c>
      <c r="R21" s="307" t="str">
        <f t="shared" si="1"/>
        <v>EUR1E6E13Y</v>
      </c>
      <c r="S21" s="267" t="str">
        <v>EUR1E6E13Y=ICAP</v>
      </c>
      <c r="T21" s="396" t="s">
        <v>259</v>
      </c>
      <c r="U21" s="396" t="s">
        <v>259</v>
      </c>
      <c r="V21" s="396" t="e">
        <f>_xll.qlMidEquivalent(T21,U21)</f>
        <v>#NUM!</v>
      </c>
      <c r="W21" s="263" t="b">
        <f t="shared" si="2"/>
        <v>0</v>
      </c>
      <c r="X21" s="395">
        <v>20.767158961360217</v>
      </c>
      <c r="Y21" s="257"/>
      <c r="Z21" s="394">
        <v>20.754886144272987</v>
      </c>
      <c r="AA21" s="257"/>
      <c r="AB21" s="264" t="str">
        <f t="shared" si="3"/>
        <v>EUR1E6E13Y_Quote</v>
      </c>
      <c r="AC21" s="393">
        <v>20.767158961360217</v>
      </c>
      <c r="AD21" s="262"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EUR1E6E14Y_Quote#0000</v>
      </c>
      <c r="G22" s="79" t="str">
        <f>_xll.ohRangeRetrieveError(F22)</f>
        <v/>
      </c>
      <c r="H22" s="78"/>
      <c r="N22" s="126">
        <v>14</v>
      </c>
      <c r="O22" s="310" t="s">
        <v>103</v>
      </c>
      <c r="P22" s="309" t="str">
        <v>1E</v>
      </c>
      <c r="Q22" s="309" t="str">
        <v>6E</v>
      </c>
      <c r="R22" s="307" t="str">
        <f t="shared" si="1"/>
        <v>EUR1E6E14Y</v>
      </c>
      <c r="S22" s="267" t="str">
        <v>EUR1E6E14Y=ICAP</v>
      </c>
      <c r="T22" s="396" t="s">
        <v>259</v>
      </c>
      <c r="U22" s="396" t="s">
        <v>259</v>
      </c>
      <c r="V22" s="396" t="e">
        <f>_xll.qlMidEquivalent(T22,U22)</f>
        <v>#NUM!</v>
      </c>
      <c r="W22" s="263" t="b">
        <f t="shared" si="2"/>
        <v>0</v>
      </c>
      <c r="X22" s="395">
        <v>20.106819379057171</v>
      </c>
      <c r="Y22" s="257"/>
      <c r="Z22" s="394">
        <v>20.098240125294787</v>
      </c>
      <c r="AA22" s="257"/>
      <c r="AB22" s="264" t="str">
        <f t="shared" si="3"/>
        <v>EUR1E6E14Y_Quote</v>
      </c>
      <c r="AC22" s="393">
        <v>20.106819379057171</v>
      </c>
      <c r="AD22" s="262"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EUR1E6E15Y_Quote#0000</v>
      </c>
      <c r="G23" s="79" t="str">
        <f>_xll.ohRangeRetrieveError(F23)</f>
        <v/>
      </c>
      <c r="H23" s="78"/>
      <c r="N23" s="126">
        <v>15</v>
      </c>
      <c r="O23" s="310" t="s">
        <v>102</v>
      </c>
      <c r="P23" s="309" t="str">
        <v>1E</v>
      </c>
      <c r="Q23" s="309" t="str">
        <v>6E</v>
      </c>
      <c r="R23" s="307" t="str">
        <f t="shared" si="1"/>
        <v>EUR1E6E15Y</v>
      </c>
      <c r="S23" s="267" t="str">
        <v>EUR1E6E15Y=ICAP</v>
      </c>
      <c r="T23" s="396">
        <v>19.5</v>
      </c>
      <c r="U23" s="396">
        <v>0</v>
      </c>
      <c r="V23" s="396">
        <f>_xll.qlMidEquivalent(T23,U23)</f>
        <v>19.5</v>
      </c>
      <c r="W23" s="263" t="b">
        <f t="shared" si="2"/>
        <v>1</v>
      </c>
      <c r="X23" s="395">
        <v>19.5</v>
      </c>
      <c r="Y23" s="257"/>
      <c r="Z23" s="394">
        <v>19.5</v>
      </c>
      <c r="AA23" s="257"/>
      <c r="AB23" s="264" t="str">
        <f t="shared" si="3"/>
        <v>EUR1E6E15Y_Quote</v>
      </c>
      <c r="AC23" s="393">
        <v>19.5</v>
      </c>
      <c r="AD23" s="262"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EUR1E6E16Y_Quote#0000</v>
      </c>
      <c r="G24" s="79" t="str">
        <f>_xll.ohRangeRetrieveError(F24)</f>
        <v/>
      </c>
      <c r="H24" s="78"/>
      <c r="N24" s="126">
        <v>16</v>
      </c>
      <c r="O24" s="310" t="s">
        <v>101</v>
      </c>
      <c r="P24" s="309" t="str">
        <v>1E</v>
      </c>
      <c r="Q24" s="309" t="str">
        <v>6E</v>
      </c>
      <c r="R24" s="307" t="str">
        <f t="shared" si="1"/>
        <v>EUR1E6E16Y</v>
      </c>
      <c r="S24" s="267" t="str">
        <v>EUR1E6E16Y=ICAP</v>
      </c>
      <c r="T24" s="396" t="s">
        <v>259</v>
      </c>
      <c r="U24" s="396" t="s">
        <v>259</v>
      </c>
      <c r="V24" s="396" t="e">
        <f>_xll.qlMidEquivalent(T24,U24)</f>
        <v>#NUM!</v>
      </c>
      <c r="W24" s="263" t="b">
        <f t="shared" si="2"/>
        <v>0</v>
      </c>
      <c r="X24" s="395">
        <v>18.930884672736056</v>
      </c>
      <c r="Y24" s="257"/>
      <c r="Z24" s="394">
        <v>18.935442067151328</v>
      </c>
      <c r="AA24" s="257"/>
      <c r="AB24" s="264" t="str">
        <f t="shared" si="3"/>
        <v>EUR1E6E16Y_Quote</v>
      </c>
      <c r="AC24" s="393">
        <v>18.930884672736056</v>
      </c>
      <c r="AD24" s="262"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EUR1E6E17Y_Quote#0000</v>
      </c>
      <c r="G25" s="79" t="str">
        <f>_xll.ohRangeRetrieveError(F25)</f>
        <v/>
      </c>
      <c r="H25" s="78"/>
      <c r="N25" s="126">
        <v>17</v>
      </c>
      <c r="O25" s="310" t="s">
        <v>100</v>
      </c>
      <c r="P25" s="309" t="str">
        <v>1E</v>
      </c>
      <c r="Q25" s="309" t="str">
        <v>6E</v>
      </c>
      <c r="R25" s="307" t="str">
        <f t="shared" si="1"/>
        <v>EUR1E6E17Y</v>
      </c>
      <c r="S25" s="267" t="str">
        <v>EUR1E6E17Y=ICAP</v>
      </c>
      <c r="T25" s="396" t="s">
        <v>259</v>
      </c>
      <c r="U25" s="396" t="s">
        <v>259</v>
      </c>
      <c r="V25" s="396" t="e">
        <f>_xll.qlMidEquivalent(T25,U25)</f>
        <v>#NUM!</v>
      </c>
      <c r="W25" s="263" t="b">
        <f t="shared" si="2"/>
        <v>0</v>
      </c>
      <c r="X25" s="395">
        <v>18.396317652365603</v>
      </c>
      <c r="Y25" s="257"/>
      <c r="Z25" s="394">
        <v>18.401195592823832</v>
      </c>
      <c r="AA25" s="257"/>
      <c r="AB25" s="264" t="str">
        <f t="shared" si="3"/>
        <v>EUR1E6E17Y_Quote</v>
      </c>
      <c r="AC25" s="393">
        <v>18.396317652365603</v>
      </c>
      <c r="AD25" s="262"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EUR1E6E18Y_Quote#0000</v>
      </c>
      <c r="G26" s="79" t="str">
        <f>_xll.ohRangeRetrieveError(F26)</f>
        <v/>
      </c>
      <c r="H26" s="78"/>
      <c r="N26" s="126">
        <v>18</v>
      </c>
      <c r="O26" s="310" t="s">
        <v>99</v>
      </c>
      <c r="P26" s="309" t="str">
        <v>1E</v>
      </c>
      <c r="Q26" s="309" t="str">
        <v>6E</v>
      </c>
      <c r="R26" s="307" t="str">
        <f t="shared" si="1"/>
        <v>EUR1E6E18Y</v>
      </c>
      <c r="S26" s="267" t="str">
        <v>EUR1E6E18Y=ICAP</v>
      </c>
      <c r="T26" s="396" t="s">
        <v>259</v>
      </c>
      <c r="U26" s="396" t="s">
        <v>259</v>
      </c>
      <c r="V26" s="396" t="e">
        <f>_xll.qlMidEquivalent(T26,U26)</f>
        <v>#NUM!</v>
      </c>
      <c r="W26" s="263" t="b">
        <f t="shared" si="2"/>
        <v>0</v>
      </c>
      <c r="X26" s="395">
        <v>17.896308295627119</v>
      </c>
      <c r="Y26" s="257"/>
      <c r="Z26" s="394">
        <v>17.899228084920672</v>
      </c>
      <c r="AA26" s="257"/>
      <c r="AB26" s="264" t="str">
        <f t="shared" si="3"/>
        <v>EUR1E6E18Y_Quote</v>
      </c>
      <c r="AC26" s="393">
        <v>17.896308295627119</v>
      </c>
      <c r="AD26" s="262"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EUR1E6E19Y_Quote#0000</v>
      </c>
      <c r="G27" s="79" t="str">
        <f>_xll.ohRangeRetrieveError(F27)</f>
        <v/>
      </c>
      <c r="H27" s="78"/>
      <c r="N27" s="126">
        <v>19</v>
      </c>
      <c r="O27" s="310" t="s">
        <v>98</v>
      </c>
      <c r="P27" s="309" t="str">
        <v>1E</v>
      </c>
      <c r="Q27" s="309" t="str">
        <v>6E</v>
      </c>
      <c r="R27" s="307" t="str">
        <f t="shared" si="1"/>
        <v>EUR1E6E19Y</v>
      </c>
      <c r="S27" s="267" t="str">
        <v>EUR1E6E19Y=ICAP</v>
      </c>
      <c r="T27" s="396" t="s">
        <v>259</v>
      </c>
      <c r="U27" s="396" t="s">
        <v>259</v>
      </c>
      <c r="V27" s="396" t="e">
        <f>_xll.qlMidEquivalent(T27,U27)</f>
        <v>#NUM!</v>
      </c>
      <c r="W27" s="263" t="b">
        <f t="shared" si="2"/>
        <v>0</v>
      </c>
      <c r="X27" s="395">
        <v>17.430865959259091</v>
      </c>
      <c r="Y27" s="257"/>
      <c r="Z27" s="394">
        <v>17.431507051345008</v>
      </c>
      <c r="AA27" s="257"/>
      <c r="AB27" s="264" t="str">
        <f t="shared" si="3"/>
        <v>EUR1E6E19Y_Quote</v>
      </c>
      <c r="AC27" s="393">
        <v>17.430865959259091</v>
      </c>
      <c r="AD27" s="262"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EUR1E6E20Y_Quote#0000</v>
      </c>
      <c r="G28" s="79" t="str">
        <f>_xll.ohRangeRetrieveError(F28)</f>
        <v/>
      </c>
      <c r="H28" s="78"/>
      <c r="N28" s="126">
        <v>20</v>
      </c>
      <c r="O28" s="310" t="s">
        <v>97</v>
      </c>
      <c r="P28" s="309" t="str">
        <v>1E</v>
      </c>
      <c r="Q28" s="309" t="str">
        <v>6E</v>
      </c>
      <c r="R28" s="307" t="str">
        <f t="shared" si="1"/>
        <v>EUR1E6E20Y</v>
      </c>
      <c r="S28" s="267" t="str">
        <v>EUR1E6E20Y=ICAP</v>
      </c>
      <c r="T28" s="396">
        <v>17</v>
      </c>
      <c r="U28" s="396">
        <v>0</v>
      </c>
      <c r="V28" s="396">
        <f>_xll.qlMidEquivalent(T28,U28)</f>
        <v>17</v>
      </c>
      <c r="W28" s="263" t="b">
        <f t="shared" si="2"/>
        <v>1</v>
      </c>
      <c r="X28" s="395">
        <v>17</v>
      </c>
      <c r="Y28" s="257"/>
      <c r="Z28" s="394">
        <v>17</v>
      </c>
      <c r="AA28" s="257"/>
      <c r="AB28" s="264" t="str">
        <f t="shared" si="3"/>
        <v>EUR1E6E20Y_Quote</v>
      </c>
      <c r="AC28" s="393">
        <v>17</v>
      </c>
      <c r="AD28" s="262"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EUR1E6E21Y_Quote#0000</v>
      </c>
      <c r="G29" s="79" t="str">
        <f>_xll.ohRangeRetrieveError(F29)</f>
        <v/>
      </c>
      <c r="H29" s="78"/>
      <c r="N29" s="126">
        <v>21</v>
      </c>
      <c r="O29" s="310" t="s">
        <v>96</v>
      </c>
      <c r="P29" s="309" t="str">
        <v>1E</v>
      </c>
      <c r="Q29" s="309" t="str">
        <v>6E</v>
      </c>
      <c r="R29" s="307" t="str">
        <f t="shared" si="1"/>
        <v>EUR1E6E21Y</v>
      </c>
      <c r="S29" s="267" t="str">
        <v>EUR1E6E21Y=ICAP</v>
      </c>
      <c r="T29" s="396" t="s">
        <v>259</v>
      </c>
      <c r="U29" s="396" t="s">
        <v>259</v>
      </c>
      <c r="V29" s="396" t="e">
        <f>_xll.qlMidEquivalent(T29,U29)</f>
        <v>#NUM!</v>
      </c>
      <c r="W29" s="263" t="b">
        <f t="shared" si="2"/>
        <v>0</v>
      </c>
      <c r="X29" s="395">
        <v>16.603202627818849</v>
      </c>
      <c r="Y29" s="257"/>
      <c r="Z29" s="394">
        <v>16.60543814076204</v>
      </c>
      <c r="AA29" s="257"/>
      <c r="AB29" s="264" t="str">
        <f t="shared" si="3"/>
        <v>EUR1E6E21Y_Quote</v>
      </c>
      <c r="AC29" s="393">
        <v>16.603202627818849</v>
      </c>
      <c r="AD29" s="262"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EUR1E6E22Y_Quote#0000</v>
      </c>
      <c r="G30" s="79" t="str">
        <f>_xll.ohRangeRetrieveError(F30)</f>
        <v/>
      </c>
      <c r="H30" s="78"/>
      <c r="N30" s="126">
        <v>22</v>
      </c>
      <c r="O30" s="310" t="s">
        <v>95</v>
      </c>
      <c r="P30" s="309" t="str">
        <v>1E</v>
      </c>
      <c r="Q30" s="309" t="str">
        <v>6E</v>
      </c>
      <c r="R30" s="307" t="str">
        <f t="shared" si="1"/>
        <v>EUR1E6E22Y</v>
      </c>
      <c r="S30" s="267" t="str">
        <v>EUR1E6E22Y=ICAP</v>
      </c>
      <c r="T30" s="396" t="s">
        <v>259</v>
      </c>
      <c r="U30" s="396" t="s">
        <v>259</v>
      </c>
      <c r="V30" s="396" t="e">
        <f>_xll.qlMidEquivalent(T30,U30)</f>
        <v>#NUM!</v>
      </c>
      <c r="W30" s="263" t="b">
        <f t="shared" si="2"/>
        <v>0</v>
      </c>
      <c r="X30" s="395">
        <v>16.237897465606693</v>
      </c>
      <c r="Y30" s="257"/>
      <c r="Z30" s="394">
        <v>16.243607491400475</v>
      </c>
      <c r="AA30" s="257"/>
      <c r="AB30" s="264" t="str">
        <f t="shared" si="3"/>
        <v>EUR1E6E22Y_Quote</v>
      </c>
      <c r="AC30" s="393">
        <v>16.237897465606693</v>
      </c>
      <c r="AD30" s="262"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EUR1E6E23Y_Quote#0000</v>
      </c>
      <c r="G31" s="79" t="str">
        <f>_xll.ohRangeRetrieveError(F31)</f>
        <v/>
      </c>
      <c r="H31" s="78"/>
      <c r="N31" s="126">
        <v>23</v>
      </c>
      <c r="O31" s="310" t="s">
        <v>94</v>
      </c>
      <c r="P31" s="309" t="str">
        <v>1E</v>
      </c>
      <c r="Q31" s="309" t="str">
        <v>6E</v>
      </c>
      <c r="R31" s="307" t="str">
        <f t="shared" si="1"/>
        <v>EUR1E6E23Y</v>
      </c>
      <c r="S31" s="267" t="str">
        <v>EUR1E6E23Y=ICAP</v>
      </c>
      <c r="T31" s="396" t="s">
        <v>259</v>
      </c>
      <c r="U31" s="396" t="s">
        <v>259</v>
      </c>
      <c r="V31" s="396" t="e">
        <f>_xll.qlMidEquivalent(T31,U31)</f>
        <v>#NUM!</v>
      </c>
      <c r="W31" s="263" t="b">
        <f t="shared" si="2"/>
        <v>0</v>
      </c>
      <c r="X31" s="395">
        <v>15.900990989485116</v>
      </c>
      <c r="Y31" s="257"/>
      <c r="Z31" s="394">
        <v>15.909057771657892</v>
      </c>
      <c r="AA31" s="257"/>
      <c r="AB31" s="264" t="str">
        <f t="shared" si="3"/>
        <v>EUR1E6E23Y_Quote</v>
      </c>
      <c r="AC31" s="393">
        <v>15.900990989485116</v>
      </c>
      <c r="AD31" s="262"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EUR1E6E24Y_Quote#0000</v>
      </c>
      <c r="G32" s="79" t="str">
        <f>_xll.ohRangeRetrieveError(F32)</f>
        <v/>
      </c>
      <c r="H32" s="78"/>
      <c r="N32" s="126">
        <v>24</v>
      </c>
      <c r="O32" s="310" t="s">
        <v>93</v>
      </c>
      <c r="P32" s="309" t="str">
        <v>1E</v>
      </c>
      <c r="Q32" s="309" t="str">
        <v>6E</v>
      </c>
      <c r="R32" s="307" t="str">
        <f t="shared" si="1"/>
        <v>EUR1E6E24Y</v>
      </c>
      <c r="S32" s="267" t="str">
        <v>EUR1E6E24Y=ICAP</v>
      </c>
      <c r="T32" s="396" t="s">
        <v>259</v>
      </c>
      <c r="U32" s="396" t="s">
        <v>259</v>
      </c>
      <c r="V32" s="396" t="e">
        <f>_xll.qlMidEquivalent(T32,U32)</f>
        <v>#NUM!</v>
      </c>
      <c r="W32" s="263" t="b">
        <f t="shared" si="2"/>
        <v>0</v>
      </c>
      <c r="X32" s="395">
        <v>15.589389675575694</v>
      </c>
      <c r="Y32" s="257"/>
      <c r="Z32" s="394">
        <v>15.596338701276871</v>
      </c>
      <c r="AA32" s="257"/>
      <c r="AB32" s="264" t="str">
        <f t="shared" si="3"/>
        <v>EUR1E6E24Y_Quote</v>
      </c>
      <c r="AC32" s="393">
        <v>15.589389675575694</v>
      </c>
      <c r="AD32" s="262"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EUR1E6E25Y_Quote#0000</v>
      </c>
      <c r="G33" s="79" t="str">
        <f>_xll.ohRangeRetrieveError(F33)</f>
        <v/>
      </c>
      <c r="H33" s="78"/>
      <c r="N33" s="126">
        <v>25</v>
      </c>
      <c r="O33" s="310" t="s">
        <v>92</v>
      </c>
      <c r="P33" s="309" t="str">
        <v>1E</v>
      </c>
      <c r="Q33" s="309" t="str">
        <v>6E</v>
      </c>
      <c r="R33" s="307" t="str">
        <f t="shared" si="1"/>
        <v>EUR1E6E25Y</v>
      </c>
      <c r="S33" s="267" t="str">
        <v>EUR1E6E25Y=ICAP</v>
      </c>
      <c r="T33" s="396">
        <v>15.3</v>
      </c>
      <c r="U33" s="396">
        <v>0</v>
      </c>
      <c r="V33" s="396">
        <f>_xll.qlMidEquivalent(T33,U33)</f>
        <v>15.3</v>
      </c>
      <c r="W33" s="263" t="b">
        <f t="shared" si="2"/>
        <v>1</v>
      </c>
      <c r="X33" s="395">
        <v>15.3</v>
      </c>
      <c r="Y33" s="257"/>
      <c r="Z33" s="394">
        <v>15.3</v>
      </c>
      <c r="AA33" s="257"/>
      <c r="AB33" s="264" t="str">
        <f t="shared" si="3"/>
        <v>EUR1E6E25Y_Quote</v>
      </c>
      <c r="AC33" s="393">
        <v>15.3</v>
      </c>
      <c r="AD33" s="262"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EUR1E6E26Y_Quote#0000</v>
      </c>
      <c r="G34" s="79" t="str">
        <f>_xll.ohRangeRetrieveError(F34)</f>
        <v/>
      </c>
      <c r="H34" s="78"/>
      <c r="N34" s="126">
        <v>26</v>
      </c>
      <c r="O34" s="310" t="s">
        <v>91</v>
      </c>
      <c r="P34" s="309" t="str">
        <v>1E</v>
      </c>
      <c r="Q34" s="309" t="str">
        <v>6E</v>
      </c>
      <c r="R34" s="307" t="str">
        <f t="shared" si="1"/>
        <v>EUR1E6E26Y</v>
      </c>
      <c r="S34" s="267" t="str">
        <v>EUR1E6E26Y=ICAP</v>
      </c>
      <c r="T34" s="396" t="s">
        <v>259</v>
      </c>
      <c r="U34" s="396" t="s">
        <v>259</v>
      </c>
      <c r="V34" s="396" t="e">
        <f>_xll.qlMidEquivalent(T34,U34)</f>
        <v>#NUM!</v>
      </c>
      <c r="W34" s="263" t="b">
        <f t="shared" si="2"/>
        <v>0</v>
      </c>
      <c r="X34" s="395">
        <v>15.029904815988555</v>
      </c>
      <c r="Y34" s="257"/>
      <c r="Z34" s="394">
        <v>15.015605369800516</v>
      </c>
      <c r="AA34" s="257"/>
      <c r="AB34" s="264" t="str">
        <f t="shared" si="3"/>
        <v>EUR1E6E26Y_Quote</v>
      </c>
      <c r="AC34" s="393">
        <v>15.029904815988555</v>
      </c>
      <c r="AD34" s="262"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EUR1E6E27Y_Quote#0000</v>
      </c>
      <c r="G35" s="79" t="str">
        <f>_xll.ohRangeRetrieveError(F35)</f>
        <v/>
      </c>
      <c r="H35" s="78"/>
      <c r="N35" s="126">
        <v>27</v>
      </c>
      <c r="O35" s="310" t="s">
        <v>90</v>
      </c>
      <c r="P35" s="309" t="str">
        <v>1E</v>
      </c>
      <c r="Q35" s="309" t="str">
        <v>6E</v>
      </c>
      <c r="R35" s="307" t="str">
        <f t="shared" si="1"/>
        <v>EUR1E6E27Y</v>
      </c>
      <c r="S35" s="267" t="str">
        <v>EUR1E6E27Y=ICAP</v>
      </c>
      <c r="T35" s="396" t="s">
        <v>259</v>
      </c>
      <c r="U35" s="396" t="s">
        <v>259</v>
      </c>
      <c r="V35" s="396" t="e">
        <f>_xll.qlMidEquivalent(T35,U35)</f>
        <v>#NUM!</v>
      </c>
      <c r="W35" s="263" t="b">
        <f t="shared" si="2"/>
        <v>0</v>
      </c>
      <c r="X35" s="395">
        <v>14.776892485207624</v>
      </c>
      <c r="Y35" s="257"/>
      <c r="Z35" s="394">
        <v>14.742774441574269</v>
      </c>
      <c r="AA35" s="257"/>
      <c r="AB35" s="264" t="str">
        <f t="shared" si="3"/>
        <v>EUR1E6E27Y_Quote</v>
      </c>
      <c r="AC35" s="393">
        <v>14.776892485207624</v>
      </c>
      <c r="AD35" s="262"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EUR1E6E28Y_Quote#0000</v>
      </c>
      <c r="G36" s="79" t="str">
        <f>_xll.ohRangeRetrieveError(F36)</f>
        <v/>
      </c>
      <c r="H36" s="78"/>
      <c r="N36" s="126">
        <v>28</v>
      </c>
      <c r="O36" s="310" t="s">
        <v>89</v>
      </c>
      <c r="P36" s="309" t="str">
        <v>1E</v>
      </c>
      <c r="Q36" s="309" t="str">
        <v>6E</v>
      </c>
      <c r="R36" s="307" t="str">
        <f t="shared" si="1"/>
        <v>EUR1E6E28Y</v>
      </c>
      <c r="S36" s="267" t="str">
        <v>EUR1E6E28Y=ICAP</v>
      </c>
      <c r="T36" s="396" t="s">
        <v>259</v>
      </c>
      <c r="U36" s="396" t="s">
        <v>259</v>
      </c>
      <c r="V36" s="396" t="e">
        <f>_xll.qlMidEquivalent(T36,U36)</f>
        <v>#NUM!</v>
      </c>
      <c r="W36" s="263" t="b">
        <f t="shared" si="2"/>
        <v>0</v>
      </c>
      <c r="X36" s="395">
        <v>14.538927746432416</v>
      </c>
      <c r="Y36" s="257"/>
      <c r="Z36" s="394">
        <v>14.482140828447765</v>
      </c>
      <c r="AA36" s="257"/>
      <c r="AB36" s="264" t="str">
        <f t="shared" si="3"/>
        <v>EUR1E6E28Y_Quote</v>
      </c>
      <c r="AC36" s="393">
        <v>14.538927746432416</v>
      </c>
      <c r="AD36" s="262"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EUR1E6E29Y_Quote#0000</v>
      </c>
      <c r="G37" s="79" t="str">
        <f>_xll.ohRangeRetrieveError(F37)</f>
        <v/>
      </c>
      <c r="H37" s="78"/>
      <c r="N37" s="126">
        <v>29</v>
      </c>
      <c r="O37" s="310" t="s">
        <v>88</v>
      </c>
      <c r="P37" s="309" t="str">
        <v>1E</v>
      </c>
      <c r="Q37" s="309" t="str">
        <v>6E</v>
      </c>
      <c r="R37" s="307" t="str">
        <f t="shared" si="1"/>
        <v>EUR1E6E29Y</v>
      </c>
      <c r="S37" s="267" t="str">
        <v>EUR1E6E29Y=ICAP</v>
      </c>
      <c r="T37" s="396" t="s">
        <v>259</v>
      </c>
      <c r="U37" s="396" t="s">
        <v>259</v>
      </c>
      <c r="V37" s="396" t="e">
        <f>_xll.qlMidEquivalent(T37,U37)</f>
        <v>#NUM!</v>
      </c>
      <c r="W37" s="263" t="b">
        <f t="shared" si="2"/>
        <v>0</v>
      </c>
      <c r="X37" s="395">
        <v>14.313975338438139</v>
      </c>
      <c r="Y37" s="257"/>
      <c r="Z37" s="394">
        <v>14.234338143547507</v>
      </c>
      <c r="AA37" s="257"/>
      <c r="AB37" s="264" t="str">
        <f t="shared" si="3"/>
        <v>EUR1E6E29Y_Quote</v>
      </c>
      <c r="AC37" s="393">
        <v>14.313975338438139</v>
      </c>
      <c r="AD37" s="262"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EUR1E6E30Y_Quote#0000</v>
      </c>
      <c r="G38" s="79" t="str">
        <f>_xll.ohRangeRetrieveError(F38)</f>
        <v/>
      </c>
      <c r="H38" s="78"/>
      <c r="N38" s="126">
        <v>30</v>
      </c>
      <c r="O38" s="310" t="s">
        <v>87</v>
      </c>
      <c r="P38" s="309" t="str">
        <v>1E</v>
      </c>
      <c r="Q38" s="309" t="str">
        <v>6E</v>
      </c>
      <c r="R38" s="307" t="str">
        <f t="shared" si="1"/>
        <v>EUR1E6E30Y</v>
      </c>
      <c r="S38" s="267" t="str">
        <v>EUR1E6E30Y=ICAP</v>
      </c>
      <c r="T38" s="396">
        <v>14.1</v>
      </c>
      <c r="U38" s="396">
        <v>0</v>
      </c>
      <c r="V38" s="396">
        <f>_xll.qlMidEquivalent(T38,U38)</f>
        <v>14.1</v>
      </c>
      <c r="W38" s="263" t="b">
        <f t="shared" si="2"/>
        <v>1</v>
      </c>
      <c r="X38" s="395">
        <v>14.1</v>
      </c>
      <c r="Y38" s="257"/>
      <c r="Z38" s="394">
        <v>14</v>
      </c>
      <c r="AA38" s="257"/>
      <c r="AB38" s="264" t="str">
        <f t="shared" si="3"/>
        <v>EUR1E6E30Y_Quote</v>
      </c>
      <c r="AC38" s="393">
        <v>14.1</v>
      </c>
      <c r="AD38" s="262"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EUR1E6E35Y_Quote#0000</v>
      </c>
      <c r="G39" s="79" t="str">
        <f>_xll.ohRangeRetrieveError(F39)</f>
        <v/>
      </c>
      <c r="H39" s="78"/>
      <c r="N39" s="126">
        <v>35</v>
      </c>
      <c r="O39" s="310" t="s">
        <v>82</v>
      </c>
      <c r="P39" s="309" t="str">
        <v>1E</v>
      </c>
      <c r="Q39" s="309" t="str">
        <v>6E</v>
      </c>
      <c r="R39" s="307" t="str">
        <f t="shared" si="1"/>
        <v>EUR1E6E35Y</v>
      </c>
      <c r="S39" s="267" t="str">
        <v>EUR1E6E35Y=ICAP</v>
      </c>
      <c r="T39" s="396" t="s">
        <v>259</v>
      </c>
      <c r="U39" s="396" t="s">
        <v>259</v>
      </c>
      <c r="V39" s="396" t="e">
        <f>_xll.qlMidEquivalent(T39,U39)</f>
        <v>#NUM!</v>
      </c>
      <c r="W39" s="263" t="b">
        <f t="shared" si="2"/>
        <v>0</v>
      </c>
      <c r="X39" s="395">
        <v>13.159016711814663</v>
      </c>
      <c r="Y39" s="257"/>
      <c r="Z39" s="394">
        <v>13.022883458636743</v>
      </c>
      <c r="AA39" s="257"/>
      <c r="AB39" s="264" t="str">
        <f t="shared" si="3"/>
        <v>EUR1E6E35Y_Quote</v>
      </c>
      <c r="AC39" s="393">
        <v>13.159016711814663</v>
      </c>
      <c r="AD39" s="262"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EUR1E6E40Y_Quote#0000</v>
      </c>
      <c r="G40" s="79" t="str">
        <f>_xll.ohRangeRetrieveError(F40)</f>
        <v/>
      </c>
      <c r="H40" s="78"/>
      <c r="N40" s="126">
        <v>40</v>
      </c>
      <c r="O40" s="310" t="s">
        <v>77</v>
      </c>
      <c r="P40" s="309" t="str">
        <v>1E</v>
      </c>
      <c r="Q40" s="309" t="str">
        <v>6E</v>
      </c>
      <c r="R40" s="307" t="str">
        <f t="shared" si="1"/>
        <v>EUR1E6E40Y</v>
      </c>
      <c r="S40" s="267" t="str">
        <v>EUR1E6E40Y=ICAP</v>
      </c>
      <c r="T40" s="396">
        <v>12.4</v>
      </c>
      <c r="U40" s="396">
        <v>0</v>
      </c>
      <c r="V40" s="396">
        <f>_xll.qlMidEquivalent(T40,U40)</f>
        <v>12.4</v>
      </c>
      <c r="W40" s="263" t="b">
        <f t="shared" si="2"/>
        <v>1</v>
      </c>
      <c r="X40" s="395">
        <v>12.4</v>
      </c>
      <c r="Y40" s="257"/>
      <c r="Z40" s="394">
        <v>12.3</v>
      </c>
      <c r="AA40" s="257"/>
      <c r="AB40" s="264" t="str">
        <f t="shared" si="3"/>
        <v>EUR1E6E40Y_Quote</v>
      </c>
      <c r="AC40" s="393">
        <v>12.4</v>
      </c>
      <c r="AD40" s="262"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EUR1E6E50Y_Quote#0000</v>
      </c>
      <c r="G41" s="79" t="str">
        <f>_xll.ohRangeRetrieveError(F41)</f>
        <v/>
      </c>
      <c r="H41" s="78"/>
      <c r="N41" s="126">
        <v>50</v>
      </c>
      <c r="O41" s="310" t="s">
        <v>67</v>
      </c>
      <c r="P41" s="309" t="str">
        <v>1E</v>
      </c>
      <c r="Q41" s="309" t="str">
        <v>6E</v>
      </c>
      <c r="R41" s="307" t="str">
        <f t="shared" si="1"/>
        <v>EUR1E6E50Y</v>
      </c>
      <c r="S41" s="267" t="str">
        <v>EUR1E6E50Y=ICAP</v>
      </c>
      <c r="T41" s="396">
        <v>11.3</v>
      </c>
      <c r="U41" s="396">
        <v>0</v>
      </c>
      <c r="V41" s="396">
        <f>_xll.qlMidEquivalent(T41,U41)</f>
        <v>11.3</v>
      </c>
      <c r="W41" s="263" t="b">
        <f t="shared" si="2"/>
        <v>1</v>
      </c>
      <c r="X41" s="395">
        <v>11.3</v>
      </c>
      <c r="Y41" s="257"/>
      <c r="Z41" s="394">
        <v>11.3</v>
      </c>
      <c r="AA41" s="257"/>
      <c r="AB41" s="264" t="str">
        <f t="shared" si="3"/>
        <v>EUR1E6E50Y_Quote</v>
      </c>
      <c r="AC41" s="393">
        <v>11.3</v>
      </c>
      <c r="AD41" s="262"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EUR1E6E60Y_Quote#0000</v>
      </c>
      <c r="G42" s="79" t="str">
        <f>_xll.ohRangeRetrieveError(F42)</f>
        <v/>
      </c>
      <c r="H42" s="78"/>
      <c r="N42" s="126">
        <v>60</v>
      </c>
      <c r="O42" s="310" t="s">
        <v>57</v>
      </c>
      <c r="P42" s="309" t="str">
        <v>1E</v>
      </c>
      <c r="Q42" s="309" t="str">
        <v>6E</v>
      </c>
      <c r="R42" s="307" t="str">
        <f t="shared" si="1"/>
        <v>EUR1E6E60Y</v>
      </c>
      <c r="S42" s="267" t="str">
        <v>EUR1E6E60Y=ICAP</v>
      </c>
      <c r="T42" s="396">
        <v>10.6</v>
      </c>
      <c r="U42" s="396">
        <v>0</v>
      </c>
      <c r="V42" s="396">
        <f>_xll.qlMidEquivalent(T42,U42)</f>
        <v>10.6</v>
      </c>
      <c r="W42" s="263" t="b">
        <f t="shared" si="2"/>
        <v>1</v>
      </c>
      <c r="X42" s="395">
        <v>10.6</v>
      </c>
      <c r="Y42" s="257"/>
      <c r="Z42" s="394">
        <v>10.6</v>
      </c>
      <c r="AA42" s="257"/>
      <c r="AB42" s="264" t="str">
        <f t="shared" si="3"/>
        <v>EUR1E6E60Y_Quote</v>
      </c>
      <c r="AC42" s="393">
        <v>10.6</v>
      </c>
      <c r="AD42" s="262"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5"/>
      <c r="P43" s="295"/>
      <c r="Q43" s="295"/>
      <c r="R43" s="295"/>
      <c r="S43" s="295"/>
      <c r="T43" s="295"/>
      <c r="U43" s="295"/>
      <c r="V43" s="295"/>
      <c r="W43" s="295"/>
      <c r="X43" s="295"/>
      <c r="Y43" s="51"/>
      <c r="Z43" s="295"/>
      <c r="AA43" s="51"/>
      <c r="AB43" s="295"/>
      <c r="AC43" s="295"/>
      <c r="AD43" s="295"/>
      <c r="AE43" s="379"/>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27"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3"/>
      <c r="O2" s="141"/>
      <c r="P2" s="257"/>
      <c r="Q2" s="257"/>
      <c r="R2" s="257"/>
      <c r="S2" s="148" t="s">
        <v>235</v>
      </c>
      <c r="T2" s="257"/>
      <c r="U2" s="257"/>
      <c r="V2" s="257"/>
      <c r="W2" s="257"/>
      <c r="X2" s="141"/>
      <c r="Y2" s="257"/>
      <c r="Z2" s="257"/>
      <c r="AA2" s="257"/>
      <c r="AB2" s="398" t="s">
        <v>254</v>
      </c>
      <c r="AC2" s="148" t="s">
        <v>147</v>
      </c>
      <c r="AD2" s="141"/>
      <c r="AE2" s="53"/>
      <c r="AF2" s="21"/>
      <c r="AG2" s="21"/>
      <c r="AH2" s="21"/>
      <c r="AI2" s="21"/>
      <c r="AJ2" s="21"/>
      <c r="AK2" s="21"/>
    </row>
    <row r="3" spans="1:37" x14ac:dyDescent="0.2">
      <c r="A3" s="107" t="s">
        <v>150</v>
      </c>
      <c r="B3" s="102"/>
      <c r="C3" s="102"/>
      <c r="D3" s="102"/>
      <c r="E3" s="103"/>
      <c r="F3" s="104"/>
      <c r="G3" s="103"/>
      <c r="H3" s="99"/>
      <c r="N3" s="126"/>
      <c r="O3" s="257"/>
      <c r="P3" s="141"/>
      <c r="Q3" s="141"/>
      <c r="R3" s="141"/>
      <c r="S3" s="141" t="str">
        <f>_xll.qlInterpolation(,InterpolationType,_xll.ohFilter(N5:N42,W5:W42),_xll.ohFilter(V5:V42,W5:W42))</f>
        <v>obj_005d8#0004</v>
      </c>
      <c r="T3" s="141"/>
      <c r="U3" s="141"/>
      <c r="V3" s="141"/>
      <c r="W3" s="141"/>
      <c r="X3" s="141"/>
      <c r="Y3" s="257"/>
      <c r="Z3" s="257"/>
      <c r="AA3" s="257"/>
      <c r="AB3" s="141"/>
      <c r="AC3" s="141"/>
      <c r="AD3" s="288">
        <f>_xll.ohTrigger(AD5:AD42)</f>
        <v>0</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83"/>
      <c r="P4" s="198"/>
      <c r="Q4" s="198"/>
      <c r="R4" s="198"/>
      <c r="S4" s="287" t="e">
        <f ca="1">_xll.RData(S5:S42,T4:U4,,ReutersRtMode,,T5)</f>
        <v>#NAME?</v>
      </c>
      <c r="T4" s="324" t="s">
        <v>258</v>
      </c>
      <c r="U4" s="324" t="s">
        <v>225</v>
      </c>
      <c r="V4" s="324" t="s">
        <v>285</v>
      </c>
      <c r="W4" s="324"/>
      <c r="X4" s="283" t="s">
        <v>284</v>
      </c>
      <c r="Y4" s="257"/>
      <c r="Z4" s="285" t="s">
        <v>252</v>
      </c>
      <c r="AA4" s="257"/>
      <c r="AB4" s="284" t="s">
        <v>251</v>
      </c>
      <c r="AC4" s="382" t="s">
        <v>250</v>
      </c>
      <c r="AD4" s="98" t="s">
        <v>249</v>
      </c>
      <c r="AE4" s="221"/>
      <c r="AF4" s="21"/>
      <c r="AG4" s="21"/>
      <c r="AH4" s="21"/>
      <c r="AI4" s="21"/>
      <c r="AJ4" s="21"/>
      <c r="AK4" s="321"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EUR3E6E6M_Quote#0000</v>
      </c>
      <c r="G5" s="79" t="str">
        <f>_xll.ohRangeRetrieveError(F5)</f>
        <v/>
      </c>
      <c r="H5" s="78"/>
      <c r="N5" s="397">
        <v>0.5</v>
      </c>
      <c r="O5" s="310" t="s">
        <v>40</v>
      </c>
      <c r="P5" s="309" t="str">
        <f t="array" ref="P5:P42">VLOOKUP(Currency,Conventions,2)</f>
        <v>3E</v>
      </c>
      <c r="Q5" s="309" t="str">
        <f t="array" ref="Q5:Q42">VLOOKUP(Currency,Conventions,3)</f>
        <v>6E</v>
      </c>
      <c r="R5" s="307" t="str">
        <f t="shared" ref="R5:R42" si="1">Currency&amp;$P5&amp;$Q5&amp;$O5</f>
        <v>EUR3E6E6M</v>
      </c>
      <c r="S5" s="267" t="str">
        <f t="array" ref="S5:S42">Instruments&amp;"="&amp;VLOOKUP(Contributor,ContributorTable,2,FALSE)</f>
        <v>EUR3E6E6M=ICAP</v>
      </c>
      <c r="T5" s="396" t="s">
        <v>259</v>
      </c>
      <c r="U5" s="396" t="s">
        <v>259</v>
      </c>
      <c r="V5" s="396" t="e">
        <f>_xll.qlMidEquivalent(T5,U5)</f>
        <v>#NUM!</v>
      </c>
      <c r="W5" s="263" t="b">
        <f t="shared" ref="W5:W42" si="2">IF(ISNUMBER(V5),TRUE,FALSE)</f>
        <v>0</v>
      </c>
      <c r="X5" s="401" t="e">
        <f t="array" ref="X5:X41">_xll.qlInterpolationInterpolate(S3,N5:N42)</f>
        <v>#NUM!</v>
      </c>
      <c r="Y5" s="257"/>
      <c r="Z5" s="394" t="e">
        <v>#NUM!</v>
      </c>
      <c r="AA5" s="257"/>
      <c r="AB5" s="264" t="str">
        <f t="shared" ref="AB5:AB42" si="3">$R5&amp;$AC$2</f>
        <v>EUR3E6E6M_Quote</v>
      </c>
      <c r="AC5" s="393" t="e">
        <f t="array" ref="AC5:AC42">QuoteLive</f>
        <v>#NUM!</v>
      </c>
      <c r="AD5" s="262" t="e">
        <f>_xll.qlSimpleQuoteSetValue($AB5,ROUND($AC5/10000,6),Trigger)</f>
        <v>#NUM!</v>
      </c>
      <c r="AE5" s="221"/>
      <c r="AF5" s="21"/>
      <c r="AG5" s="93" t="s">
        <v>137</v>
      </c>
      <c r="AH5" s="92" t="s">
        <v>130</v>
      </c>
      <c r="AI5" s="91" t="s">
        <v>132</v>
      </c>
      <c r="AJ5" s="21" t="str">
        <f t="shared" ref="AJ5:AJ42" si="4">O5</f>
        <v>6M</v>
      </c>
      <c r="AK5" s="392" t="e">
        <f>((Swap6M!AB5-Swap3M!AC5)*100-AC5)/10000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EUR3E6E1Y_Quote#0000</v>
      </c>
      <c r="G6" s="79" t="str">
        <f>_xll.ohRangeRetrieveError(F6)</f>
        <v/>
      </c>
      <c r="H6" s="78"/>
      <c r="N6" s="397">
        <v>1</v>
      </c>
      <c r="O6" s="310" t="s">
        <v>34</v>
      </c>
      <c r="P6" s="309" t="str">
        <v>3E</v>
      </c>
      <c r="Q6" s="309" t="str">
        <v>6E</v>
      </c>
      <c r="R6" s="307" t="str">
        <f t="shared" si="1"/>
        <v>EUR3E6E1Y</v>
      </c>
      <c r="S6" s="267" t="str">
        <v>EUR3E6E1Y=ICAP</v>
      </c>
      <c r="T6" s="396">
        <v>9.5</v>
      </c>
      <c r="U6" s="396">
        <v>10.5</v>
      </c>
      <c r="V6" s="396">
        <f>_xll.qlMidEquivalent(T6,U6)</f>
        <v>10</v>
      </c>
      <c r="W6" s="263" t="b">
        <f t="shared" si="2"/>
        <v>1</v>
      </c>
      <c r="X6" s="401">
        <v>10</v>
      </c>
      <c r="Y6" s="257"/>
      <c r="Z6" s="394">
        <v>10</v>
      </c>
      <c r="AA6" s="257"/>
      <c r="AB6" s="264" t="str">
        <f t="shared" si="3"/>
        <v>EUR3E6E1Y_Quote</v>
      </c>
      <c r="AC6" s="393">
        <v>10</v>
      </c>
      <c r="AD6" s="262" t="e">
        <f>_xll.qlSimpleQuoteSetValue($AB6,ROUND($AC6/10000,6),Trigger)</f>
        <v>#N/A</v>
      </c>
      <c r="AE6" s="221"/>
      <c r="AF6" s="21"/>
      <c r="AG6" s="90" t="s">
        <v>123</v>
      </c>
      <c r="AH6" s="89" t="s">
        <v>142</v>
      </c>
      <c r="AI6" s="88" t="s">
        <v>135</v>
      </c>
      <c r="AJ6" s="21" t="str">
        <f t="shared" si="4"/>
        <v>1Y</v>
      </c>
      <c r="AK6" s="392">
        <f>((Swap6M!AB6-Swap3M!AC6)*100-AC6)/10000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EUR3E6E15M_Quote#0000</v>
      </c>
      <c r="G7" s="79" t="str">
        <f>_xll.ohRangeRetrieveError(F7)</f>
        <v/>
      </c>
      <c r="H7" s="78"/>
      <c r="N7" s="397">
        <v>1.25</v>
      </c>
      <c r="O7" s="310" t="s">
        <v>140</v>
      </c>
      <c r="P7" s="309" t="str">
        <v>3E</v>
      </c>
      <c r="Q7" s="309" t="str">
        <v>6E</v>
      </c>
      <c r="R7" s="307" t="str">
        <f t="shared" si="1"/>
        <v>EUR3E6E15M</v>
      </c>
      <c r="S7" s="267" t="str">
        <v>EUR3E6E15M=ICAP</v>
      </c>
      <c r="T7" s="396" t="s">
        <v>259</v>
      </c>
      <c r="U7" s="396" t="s">
        <v>259</v>
      </c>
      <c r="V7" s="396" t="e">
        <f>_xll.qlMidEquivalent(T7,U7)</f>
        <v>#NUM!</v>
      </c>
      <c r="W7" s="263" t="b">
        <f t="shared" si="2"/>
        <v>0</v>
      </c>
      <c r="X7" s="401">
        <v>10.707205499281535</v>
      </c>
      <c r="Y7" s="257"/>
      <c r="Z7" s="394">
        <v>10.707205499281535</v>
      </c>
      <c r="AA7" s="257"/>
      <c r="AB7" s="264" t="str">
        <f t="shared" si="3"/>
        <v>EUR3E6E15M_Quote</v>
      </c>
      <c r="AC7" s="393">
        <v>10.707205499281535</v>
      </c>
      <c r="AD7" s="262" t="e">
        <f>_xll.qlSimpleQuoteSetValue($AB7,ROUND($AC7/10000,6),Trigger)</f>
        <v>#N/A</v>
      </c>
      <c r="AE7" s="221"/>
      <c r="AF7" s="21"/>
      <c r="AG7" s="90" t="s">
        <v>134</v>
      </c>
      <c r="AH7" s="89" t="s">
        <v>130</v>
      </c>
      <c r="AI7" s="88" t="s">
        <v>132</v>
      </c>
      <c r="AJ7" s="21" t="str">
        <f t="shared" si="4"/>
        <v>15M</v>
      </c>
      <c r="AK7" s="392">
        <f>((Swap6M!AB7-Swap3M!AC7)*100-AC7)/10000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EUR3E6E18M_Quote#0000</v>
      </c>
      <c r="G8" s="79" t="str">
        <f>_xll.ohRangeRetrieveError(F8)</f>
        <v/>
      </c>
      <c r="H8" s="78"/>
      <c r="N8" s="397">
        <v>1.5</v>
      </c>
      <c r="O8" s="310" t="s">
        <v>139</v>
      </c>
      <c r="P8" s="309" t="str">
        <v>3E</v>
      </c>
      <c r="Q8" s="309" t="str">
        <v>6E</v>
      </c>
      <c r="R8" s="307" t="str">
        <f t="shared" si="1"/>
        <v>EUR3E6E18M</v>
      </c>
      <c r="S8" s="267" t="str">
        <v>EUR3E6E18M=ICAP</v>
      </c>
      <c r="T8" s="396">
        <v>10.8</v>
      </c>
      <c r="U8" s="396">
        <v>11.8</v>
      </c>
      <c r="V8" s="396">
        <f>_xll.qlMidEquivalent(T8,U8)</f>
        <v>11.3</v>
      </c>
      <c r="W8" s="263" t="b">
        <f t="shared" si="2"/>
        <v>1</v>
      </c>
      <c r="X8" s="401">
        <v>11.3</v>
      </c>
      <c r="Y8" s="257"/>
      <c r="Z8" s="394">
        <v>11.3</v>
      </c>
      <c r="AA8" s="257"/>
      <c r="AB8" s="264" t="str">
        <f t="shared" si="3"/>
        <v>EUR3E6E18M_Quote</v>
      </c>
      <c r="AC8" s="393">
        <v>11.3</v>
      </c>
      <c r="AD8" s="262" t="e">
        <f>_xll.qlSimpleQuoteSetValue($AB8,ROUND($AC8/10000,6),Trigger)</f>
        <v>#N/A</v>
      </c>
      <c r="AE8" s="221"/>
      <c r="AF8" s="21"/>
      <c r="AG8" s="90" t="s">
        <v>133</v>
      </c>
      <c r="AH8" s="89" t="s">
        <v>130</v>
      </c>
      <c r="AI8" s="88" t="s">
        <v>132</v>
      </c>
      <c r="AJ8" s="21" t="str">
        <f t="shared" si="4"/>
        <v>18M</v>
      </c>
      <c r="AK8" s="392">
        <f>((Swap6M!AB8-Swap3M!AC8)*100-AC8)/10000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EUR3E6E21M_Quote#0000</v>
      </c>
      <c r="G9" s="79" t="str">
        <f>_xll.ohRangeRetrieveError(F9)</f>
        <v/>
      </c>
      <c r="H9" s="78"/>
      <c r="N9" s="397">
        <v>1.75</v>
      </c>
      <c r="O9" s="310" t="s">
        <v>138</v>
      </c>
      <c r="P9" s="309" t="str">
        <v>3E</v>
      </c>
      <c r="Q9" s="309" t="str">
        <v>6E</v>
      </c>
      <c r="R9" s="307" t="str">
        <f t="shared" si="1"/>
        <v>EUR3E6E21M</v>
      </c>
      <c r="S9" s="267" t="str">
        <v>EUR3E6E21M=ICAP</v>
      </c>
      <c r="T9" s="396" t="s">
        <v>259</v>
      </c>
      <c r="U9" s="396" t="s">
        <v>259</v>
      </c>
      <c r="V9" s="396" t="e">
        <f>_xll.qlMidEquivalent(T9,U9)</f>
        <v>#NUM!</v>
      </c>
      <c r="W9" s="263" t="b">
        <f t="shared" si="2"/>
        <v>0</v>
      </c>
      <c r="X9" s="401">
        <v>11.697133502155394</v>
      </c>
      <c r="Y9" s="257"/>
      <c r="Z9" s="394">
        <v>11.697133502155394</v>
      </c>
      <c r="AA9" s="257"/>
      <c r="AB9" s="264" t="str">
        <f t="shared" si="3"/>
        <v>EUR3E6E21M_Quote</v>
      </c>
      <c r="AC9" s="393">
        <v>11.697133502155394</v>
      </c>
      <c r="AD9" s="262" t="e">
        <f>_xll.qlSimpleQuoteSetValue($AB9,ROUND($AC9/10000,6),Trigger)</f>
        <v>#N/A</v>
      </c>
      <c r="AE9" s="221"/>
      <c r="AF9" s="21"/>
      <c r="AG9" s="87" t="s">
        <v>131</v>
      </c>
      <c r="AH9" s="86" t="s">
        <v>132</v>
      </c>
      <c r="AI9" s="85" t="s">
        <v>130</v>
      </c>
      <c r="AJ9" s="21" t="str">
        <f t="shared" si="4"/>
        <v>21M</v>
      </c>
      <c r="AK9" s="392">
        <f>((Swap6M!AB9-Swap3M!AC9)*100-AC9)/10000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EUR3E6E2Y_Quote#0000</v>
      </c>
      <c r="G10" s="79" t="str">
        <f>_xll.ohRangeRetrieveError(F10)</f>
        <v/>
      </c>
      <c r="H10" s="78"/>
      <c r="J10" s="93" t="s">
        <v>137</v>
      </c>
      <c r="K10" s="92" t="s">
        <v>130</v>
      </c>
      <c r="L10" s="91" t="s">
        <v>132</v>
      </c>
      <c r="N10" s="126">
        <v>2</v>
      </c>
      <c r="O10" s="310" t="s">
        <v>115</v>
      </c>
      <c r="P10" s="309" t="str">
        <v>3E</v>
      </c>
      <c r="Q10" s="309" t="str">
        <v>6E</v>
      </c>
      <c r="R10" s="307" t="str">
        <f t="shared" si="1"/>
        <v>EUR3E6E2Y</v>
      </c>
      <c r="S10" s="267" t="str">
        <v>EUR3E6E2Y=ICAP</v>
      </c>
      <c r="T10" s="396">
        <v>11.45</v>
      </c>
      <c r="U10" s="396">
        <v>12.45</v>
      </c>
      <c r="V10" s="396">
        <f>_xll.qlMidEquivalent(T10,U10)</f>
        <v>11.95</v>
      </c>
      <c r="W10" s="263" t="b">
        <f t="shared" si="2"/>
        <v>1</v>
      </c>
      <c r="X10" s="401">
        <v>11.95</v>
      </c>
      <c r="Y10" s="257"/>
      <c r="Z10" s="394">
        <v>11.95</v>
      </c>
      <c r="AA10" s="257"/>
      <c r="AB10" s="264" t="str">
        <f t="shared" si="3"/>
        <v>EUR3E6E2Y_Quote</v>
      </c>
      <c r="AC10" s="393">
        <v>11.95</v>
      </c>
      <c r="AD10" s="262" t="e">
        <f>_xll.qlSimpleQuoteSetValue($AB10,ROUND($AC10/10000,6),Trigger)</f>
        <v>#N/A</v>
      </c>
      <c r="AE10" s="221"/>
      <c r="AF10" s="21"/>
      <c r="AG10" s="21"/>
      <c r="AH10" s="21"/>
      <c r="AI10" s="21"/>
      <c r="AJ10" s="21" t="str">
        <f t="shared" si="4"/>
        <v>2Y</v>
      </c>
      <c r="AK10" s="392">
        <f>((Swap6M!AB10-Swap3M!AC10)*100-AC10)/10000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EUR3E6E3Y_Quote#0000</v>
      </c>
      <c r="G11" s="79" t="str">
        <f>_xll.ohRangeRetrieveError(F11)</f>
        <v/>
      </c>
      <c r="H11" s="78"/>
      <c r="J11" s="90" t="s">
        <v>123</v>
      </c>
      <c r="K11" s="89" t="s">
        <v>142</v>
      </c>
      <c r="L11" s="88" t="s">
        <v>135</v>
      </c>
      <c r="N11" s="126">
        <v>3</v>
      </c>
      <c r="O11" s="310" t="s">
        <v>114</v>
      </c>
      <c r="P11" s="309" t="str">
        <v>3E</v>
      </c>
      <c r="Q11" s="309" t="str">
        <v>6E</v>
      </c>
      <c r="R11" s="307" t="str">
        <f t="shared" si="1"/>
        <v>EUR3E6E3Y</v>
      </c>
      <c r="S11" s="267" t="str">
        <v>EUR3E6E3Y=ICAP</v>
      </c>
      <c r="T11" s="396">
        <v>11.9</v>
      </c>
      <c r="U11" s="396">
        <v>12.9</v>
      </c>
      <c r="V11" s="396">
        <f>_xll.qlMidEquivalent(T11,U11)</f>
        <v>12.4</v>
      </c>
      <c r="W11" s="263" t="b">
        <f t="shared" si="2"/>
        <v>1</v>
      </c>
      <c r="X11" s="401">
        <v>12.4</v>
      </c>
      <c r="Y11" s="257"/>
      <c r="Z11" s="394">
        <v>12.4</v>
      </c>
      <c r="AA11" s="257"/>
      <c r="AB11" s="264" t="str">
        <f t="shared" si="3"/>
        <v>EUR3E6E3Y_Quote</v>
      </c>
      <c r="AC11" s="393">
        <v>12.4</v>
      </c>
      <c r="AD11" s="262" t="e">
        <f>_xll.qlSimpleQuoteSetValue($AB11,ROUND($AC11/10000,6),Trigger)</f>
        <v>#N/A</v>
      </c>
      <c r="AE11" s="221"/>
      <c r="AF11" s="21"/>
      <c r="AG11" s="21"/>
      <c r="AH11" s="21"/>
      <c r="AI11" s="21"/>
      <c r="AJ11" s="21" t="str">
        <f t="shared" si="4"/>
        <v>3Y</v>
      </c>
      <c r="AK11" s="392">
        <f>((Swap6M!AB11-Swap3M!AC11)*100-AC11)/10000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EUR3E6E4Y_Quote#0000</v>
      </c>
      <c r="G12" s="79" t="str">
        <f>_xll.ohRangeRetrieveError(F12)</f>
        <v/>
      </c>
      <c r="H12" s="78"/>
      <c r="J12" s="90" t="s">
        <v>134</v>
      </c>
      <c r="K12" s="89" t="s">
        <v>130</v>
      </c>
      <c r="L12" s="88" t="s">
        <v>132</v>
      </c>
      <c r="N12" s="126">
        <v>4</v>
      </c>
      <c r="O12" s="310" t="s">
        <v>113</v>
      </c>
      <c r="P12" s="309" t="str">
        <v>3E</v>
      </c>
      <c r="Q12" s="309" t="str">
        <v>6E</v>
      </c>
      <c r="R12" s="307" t="str">
        <f t="shared" si="1"/>
        <v>EUR3E6E4Y</v>
      </c>
      <c r="S12" s="267" t="str">
        <v>EUR3E6E4Y=ICAP</v>
      </c>
      <c r="T12" s="396">
        <v>11.85</v>
      </c>
      <c r="U12" s="396">
        <v>12.85</v>
      </c>
      <c r="V12" s="396">
        <f>_xll.qlMidEquivalent(T12,U12)</f>
        <v>12.35</v>
      </c>
      <c r="W12" s="263" t="b">
        <f t="shared" si="2"/>
        <v>1</v>
      </c>
      <c r="X12" s="401">
        <v>12.35</v>
      </c>
      <c r="Y12" s="257"/>
      <c r="Z12" s="394">
        <v>12.35</v>
      </c>
      <c r="AA12" s="257"/>
      <c r="AB12" s="264" t="str">
        <f t="shared" si="3"/>
        <v>EUR3E6E4Y_Quote</v>
      </c>
      <c r="AC12" s="393">
        <v>12.35</v>
      </c>
      <c r="AD12" s="262" t="e">
        <f>_xll.qlSimpleQuoteSetValue($AB12,ROUND($AC12/10000,6),Trigger)</f>
        <v>#N/A</v>
      </c>
      <c r="AE12" s="221"/>
      <c r="AF12" s="21"/>
      <c r="AG12" s="21"/>
      <c r="AH12" s="21"/>
      <c r="AI12" s="21"/>
      <c r="AJ12" s="21" t="str">
        <f t="shared" si="4"/>
        <v>4Y</v>
      </c>
      <c r="AK12" s="392">
        <f>((Swap6M!AB12-Swap3M!AC12)*100-AC12)/10000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EUR3E6E5Y_Quote#0000</v>
      </c>
      <c r="G13" s="79" t="str">
        <f>_xll.ohRangeRetrieveError(F13)</f>
        <v/>
      </c>
      <c r="H13" s="78"/>
      <c r="J13" s="90" t="s">
        <v>133</v>
      </c>
      <c r="K13" s="89" t="s">
        <v>130</v>
      </c>
      <c r="L13" s="88" t="s">
        <v>132</v>
      </c>
      <c r="N13" s="126">
        <v>5</v>
      </c>
      <c r="O13" s="310" t="s">
        <v>112</v>
      </c>
      <c r="P13" s="309" t="str">
        <v>3E</v>
      </c>
      <c r="Q13" s="309" t="str">
        <v>6E</v>
      </c>
      <c r="R13" s="307" t="str">
        <f t="shared" si="1"/>
        <v>EUR3E6E5Y</v>
      </c>
      <c r="S13" s="267" t="str">
        <v>EUR3E6E5Y=ICAP</v>
      </c>
      <c r="T13" s="396">
        <v>11.5</v>
      </c>
      <c r="U13" s="396">
        <v>12.5</v>
      </c>
      <c r="V13" s="396">
        <f>_xll.qlMidEquivalent(T13,U13)</f>
        <v>12</v>
      </c>
      <c r="W13" s="263" t="b">
        <f t="shared" si="2"/>
        <v>1</v>
      </c>
      <c r="X13" s="401">
        <v>12</v>
      </c>
      <c r="Y13" s="257"/>
      <c r="Z13" s="394">
        <v>12</v>
      </c>
      <c r="AA13" s="257"/>
      <c r="AB13" s="264" t="str">
        <f t="shared" si="3"/>
        <v>EUR3E6E5Y_Quote</v>
      </c>
      <c r="AC13" s="393">
        <v>12</v>
      </c>
      <c r="AD13" s="262" t="e">
        <f>_xll.qlSimpleQuoteSetValue($AB13,ROUND($AC13/10000,6),Trigger)</f>
        <v>#N/A</v>
      </c>
      <c r="AE13" s="221"/>
      <c r="AF13" s="21"/>
      <c r="AG13" s="21"/>
      <c r="AH13" s="21"/>
      <c r="AI13" s="21"/>
      <c r="AJ13" s="21" t="str">
        <f t="shared" si="4"/>
        <v>5Y</v>
      </c>
      <c r="AK13" s="392">
        <f>((Swap6M!AB13-Swap3M!AC13)*100-AC13)/10000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EUR3E6E6Y_Quote#0000</v>
      </c>
      <c r="G14" s="79" t="str">
        <f>_xll.ohRangeRetrieveError(F14)</f>
        <v/>
      </c>
      <c r="H14" s="78"/>
      <c r="J14" s="87" t="s">
        <v>131</v>
      </c>
      <c r="K14" s="86" t="s">
        <v>132</v>
      </c>
      <c r="L14" s="85" t="s">
        <v>130</v>
      </c>
      <c r="N14" s="126">
        <v>6</v>
      </c>
      <c r="O14" s="310" t="s">
        <v>111</v>
      </c>
      <c r="P14" s="309" t="str">
        <v>3E</v>
      </c>
      <c r="Q14" s="309" t="str">
        <v>6E</v>
      </c>
      <c r="R14" s="307" t="str">
        <f t="shared" si="1"/>
        <v>EUR3E6E6Y</v>
      </c>
      <c r="S14" s="267" t="str">
        <v>EUR3E6E6Y=ICAP</v>
      </c>
      <c r="T14" s="396">
        <v>11.25</v>
      </c>
      <c r="U14" s="396">
        <v>12.25</v>
      </c>
      <c r="V14" s="396">
        <f>_xll.qlMidEquivalent(T14,U14)</f>
        <v>11.75</v>
      </c>
      <c r="W14" s="263" t="b">
        <f t="shared" si="2"/>
        <v>1</v>
      </c>
      <c r="X14" s="401">
        <v>11.75</v>
      </c>
      <c r="Y14" s="257"/>
      <c r="Z14" s="394">
        <v>11.75</v>
      </c>
      <c r="AA14" s="257"/>
      <c r="AB14" s="264" t="str">
        <f t="shared" si="3"/>
        <v>EUR3E6E6Y_Quote</v>
      </c>
      <c r="AC14" s="393">
        <v>11.75</v>
      </c>
      <c r="AD14" s="262" t="e">
        <f>_xll.qlSimpleQuoteSetValue($AB14,ROUND($AC14/10000,6),Trigger)</f>
        <v>#N/A</v>
      </c>
      <c r="AE14" s="221"/>
      <c r="AF14" s="21"/>
      <c r="AG14" s="21"/>
      <c r="AH14" s="21"/>
      <c r="AI14" s="21"/>
      <c r="AJ14" s="21" t="str">
        <f t="shared" si="4"/>
        <v>6Y</v>
      </c>
      <c r="AK14" s="392">
        <f>((Swap6M!AB14-Swap3M!AC14)*100-AC14)/10000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EUR3E6E7Y_Quote#0000</v>
      </c>
      <c r="G15" s="79" t="str">
        <f>_xll.ohRangeRetrieveError(F15)</f>
        <v/>
      </c>
      <c r="H15" s="78"/>
      <c r="N15" s="126">
        <v>7</v>
      </c>
      <c r="O15" s="310" t="s">
        <v>110</v>
      </c>
      <c r="P15" s="309" t="str">
        <v>3E</v>
      </c>
      <c r="Q15" s="309" t="str">
        <v>6E</v>
      </c>
      <c r="R15" s="307" t="str">
        <f t="shared" si="1"/>
        <v>EUR3E6E7Y</v>
      </c>
      <c r="S15" s="267" t="str">
        <v>EUR3E6E7Y=ICAP</v>
      </c>
      <c r="T15" s="396">
        <v>10.9</v>
      </c>
      <c r="U15" s="396">
        <v>11.9</v>
      </c>
      <c r="V15" s="396">
        <f>_xll.qlMidEquivalent(T15,U15)</f>
        <v>11.4</v>
      </c>
      <c r="W15" s="263" t="b">
        <f t="shared" si="2"/>
        <v>1</v>
      </c>
      <c r="X15" s="401">
        <v>11.4</v>
      </c>
      <c r="Y15" s="257"/>
      <c r="Z15" s="394">
        <v>11.4</v>
      </c>
      <c r="AA15" s="257"/>
      <c r="AB15" s="264" t="str">
        <f t="shared" si="3"/>
        <v>EUR3E6E7Y_Quote</v>
      </c>
      <c r="AC15" s="393">
        <v>11.4</v>
      </c>
      <c r="AD15" s="262" t="e">
        <f>_xll.qlSimpleQuoteSetValue($AB15,ROUND($AC15/10000,6),Trigger)</f>
        <v>#N/A</v>
      </c>
      <c r="AE15" s="221"/>
      <c r="AF15" s="21"/>
      <c r="AG15" s="21"/>
      <c r="AH15" s="21"/>
      <c r="AI15" s="21"/>
      <c r="AJ15" s="21" t="str">
        <f t="shared" si="4"/>
        <v>7Y</v>
      </c>
      <c r="AK15" s="392">
        <f>((Swap6M!AB15-Swap3M!AC15)*100-AC15)/10000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EUR3E6E8Y_Quote#0000</v>
      </c>
      <c r="G16" s="79" t="str">
        <f>_xll.ohRangeRetrieveError(F16)</f>
        <v/>
      </c>
      <c r="H16" s="78"/>
      <c r="N16" s="126">
        <v>8</v>
      </c>
      <c r="O16" s="310" t="s">
        <v>109</v>
      </c>
      <c r="P16" s="309" t="str">
        <v>3E</v>
      </c>
      <c r="Q16" s="309" t="str">
        <v>6E</v>
      </c>
      <c r="R16" s="307" t="str">
        <f t="shared" si="1"/>
        <v>EUR3E6E8Y</v>
      </c>
      <c r="S16" s="267" t="str">
        <v>EUR3E6E8Y=ICAP</v>
      </c>
      <c r="T16" s="396">
        <v>10.6</v>
      </c>
      <c r="U16" s="396">
        <v>11.6</v>
      </c>
      <c r="V16" s="396">
        <f>_xll.qlMidEquivalent(T16,U16)</f>
        <v>11.1</v>
      </c>
      <c r="W16" s="263" t="b">
        <f t="shared" si="2"/>
        <v>1</v>
      </c>
      <c r="X16" s="401">
        <v>11.1</v>
      </c>
      <c r="Y16" s="257"/>
      <c r="Z16" s="394">
        <v>11.1</v>
      </c>
      <c r="AA16" s="257"/>
      <c r="AB16" s="264" t="str">
        <f t="shared" si="3"/>
        <v>EUR3E6E8Y_Quote</v>
      </c>
      <c r="AC16" s="393">
        <v>11.1</v>
      </c>
      <c r="AD16" s="262" t="e">
        <f>_xll.qlSimpleQuoteSetValue($AB16,ROUND($AC16/10000,6),Trigger)</f>
        <v>#N/A</v>
      </c>
      <c r="AE16" s="221"/>
      <c r="AF16" s="21"/>
      <c r="AG16" s="21"/>
      <c r="AH16" s="21"/>
      <c r="AI16" s="21"/>
      <c r="AJ16" s="21" t="str">
        <f t="shared" si="4"/>
        <v>8Y</v>
      </c>
      <c r="AK16" s="392">
        <f>((Swap6M!AB16-Swap3M!AC16)*100-AC16)/10000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EUR3E6E9Y_Quote#0000</v>
      </c>
      <c r="G17" s="79" t="str">
        <f>_xll.ohRangeRetrieveError(F17)</f>
        <v/>
      </c>
      <c r="H17" s="78"/>
      <c r="N17" s="126">
        <v>9</v>
      </c>
      <c r="O17" s="310" t="s">
        <v>108</v>
      </c>
      <c r="P17" s="309" t="str">
        <v>3E</v>
      </c>
      <c r="Q17" s="309" t="str">
        <v>6E</v>
      </c>
      <c r="R17" s="307" t="str">
        <f t="shared" si="1"/>
        <v>EUR3E6E9Y</v>
      </c>
      <c r="S17" s="267" t="str">
        <v>EUR3E6E9Y=ICAP</v>
      </c>
      <c r="T17" s="396">
        <v>10.15</v>
      </c>
      <c r="U17" s="396">
        <v>11.15</v>
      </c>
      <c r="V17" s="396">
        <f>_xll.qlMidEquivalent(T17,U17)</f>
        <v>10.65</v>
      </c>
      <c r="W17" s="263" t="b">
        <f t="shared" si="2"/>
        <v>1</v>
      </c>
      <c r="X17" s="401">
        <v>10.65</v>
      </c>
      <c r="Y17" s="257"/>
      <c r="Z17" s="394">
        <v>10.65</v>
      </c>
      <c r="AA17" s="257"/>
      <c r="AB17" s="264" t="str">
        <f t="shared" si="3"/>
        <v>EUR3E6E9Y_Quote</v>
      </c>
      <c r="AC17" s="393">
        <v>10.65</v>
      </c>
      <c r="AD17" s="262" t="e">
        <f>_xll.qlSimpleQuoteSetValue($AB17,ROUND($AC17/10000,6),Trigger)</f>
        <v>#N/A</v>
      </c>
      <c r="AE17" s="221"/>
      <c r="AF17" s="21"/>
      <c r="AG17" s="21"/>
      <c r="AH17" s="21"/>
      <c r="AI17" s="21"/>
      <c r="AJ17" s="21" t="str">
        <f t="shared" si="4"/>
        <v>9Y</v>
      </c>
      <c r="AK17" s="392">
        <f>((Swap6M!AB17-Swap3M!AC17)*100-AC17)/10000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EUR3E6E10Y_Quote#0000</v>
      </c>
      <c r="G18" s="79" t="str">
        <f>_xll.ohRangeRetrieveError(F18)</f>
        <v/>
      </c>
      <c r="H18" s="78"/>
      <c r="N18" s="126">
        <v>10</v>
      </c>
      <c r="O18" s="310" t="s">
        <v>107</v>
      </c>
      <c r="P18" s="309" t="str">
        <v>3E</v>
      </c>
      <c r="Q18" s="309" t="str">
        <v>6E</v>
      </c>
      <c r="R18" s="307" t="str">
        <f t="shared" si="1"/>
        <v>EUR3E6E10Y</v>
      </c>
      <c r="S18" s="267" t="str">
        <v>EUR3E6E10Y=ICAP</v>
      </c>
      <c r="T18" s="396">
        <v>9.6999999999999993</v>
      </c>
      <c r="U18" s="396">
        <v>10.7</v>
      </c>
      <c r="V18" s="396">
        <f>_xll.qlMidEquivalent(T18,U18)</f>
        <v>10.199999999999999</v>
      </c>
      <c r="W18" s="263" t="b">
        <f t="shared" si="2"/>
        <v>1</v>
      </c>
      <c r="X18" s="401">
        <v>10.199999999999999</v>
      </c>
      <c r="Y18" s="257"/>
      <c r="Z18" s="394">
        <v>10.199999999999999</v>
      </c>
      <c r="AA18" s="257"/>
      <c r="AB18" s="264" t="str">
        <f t="shared" si="3"/>
        <v>EUR3E6E10Y_Quote</v>
      </c>
      <c r="AC18" s="393">
        <v>10.199999999999999</v>
      </c>
      <c r="AD18" s="262" t="e">
        <f>_xll.qlSimpleQuoteSetValue($AB18,ROUND($AC18/10000,6),Trigger)</f>
        <v>#N/A</v>
      </c>
      <c r="AE18" s="221"/>
      <c r="AF18" s="21"/>
      <c r="AG18" s="21"/>
      <c r="AH18" s="21"/>
      <c r="AI18" s="21"/>
      <c r="AJ18" s="21" t="str">
        <f t="shared" si="4"/>
        <v>10Y</v>
      </c>
      <c r="AK18" s="392">
        <f>((Swap6M!AB18-Swap3M!AC18)*100-AC18)/10000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EUR3E6E11Y_Quote#0000</v>
      </c>
      <c r="G19" s="79" t="str">
        <f>_xll.ohRangeRetrieveError(F19)</f>
        <v/>
      </c>
      <c r="H19" s="78"/>
      <c r="N19" s="126">
        <v>11</v>
      </c>
      <c r="O19" s="310" t="s">
        <v>106</v>
      </c>
      <c r="P19" s="309" t="str">
        <v>3E</v>
      </c>
      <c r="Q19" s="309" t="str">
        <v>6E</v>
      </c>
      <c r="R19" s="307" t="str">
        <f t="shared" si="1"/>
        <v>EUR3E6E11Y</v>
      </c>
      <c r="S19" s="267" t="str">
        <v>EUR3E6E11Y=ICAP</v>
      </c>
      <c r="T19" s="396">
        <v>9.35</v>
      </c>
      <c r="U19" s="396">
        <v>10.35</v>
      </c>
      <c r="V19" s="396">
        <f>_xll.qlMidEquivalent(T19,U19)</f>
        <v>9.85</v>
      </c>
      <c r="W19" s="263" t="b">
        <f t="shared" si="2"/>
        <v>1</v>
      </c>
      <c r="X19" s="401">
        <v>9.85</v>
      </c>
      <c r="Y19" s="257"/>
      <c r="Z19" s="394">
        <v>9.85</v>
      </c>
      <c r="AA19" s="257"/>
      <c r="AB19" s="264" t="str">
        <f t="shared" si="3"/>
        <v>EUR3E6E11Y_Quote</v>
      </c>
      <c r="AC19" s="393">
        <v>9.85</v>
      </c>
      <c r="AD19" s="262" t="e">
        <f>_xll.qlSimpleQuoteSetValue($AB19,ROUND($AC19/10000,6),Trigger)</f>
        <v>#N/A</v>
      </c>
      <c r="AE19" s="221"/>
      <c r="AF19" s="21"/>
      <c r="AG19" s="21"/>
      <c r="AH19" s="21"/>
      <c r="AI19" s="21"/>
      <c r="AJ19" s="21" t="str">
        <f t="shared" si="4"/>
        <v>11Y</v>
      </c>
      <c r="AK19" s="392">
        <f>((Swap6M!AB19-Swap3M!AC19)*100-AC19)/10000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EUR3E6E12Y_Quote#0000</v>
      </c>
      <c r="G20" s="79" t="str">
        <f>_xll.ohRangeRetrieveError(F20)</f>
        <v/>
      </c>
      <c r="H20" s="78"/>
      <c r="N20" s="126">
        <v>12</v>
      </c>
      <c r="O20" s="310" t="s">
        <v>105</v>
      </c>
      <c r="P20" s="309" t="str">
        <v>3E</v>
      </c>
      <c r="Q20" s="309" t="str">
        <v>6E</v>
      </c>
      <c r="R20" s="307" t="str">
        <f t="shared" si="1"/>
        <v>EUR3E6E12Y</v>
      </c>
      <c r="S20" s="267" t="str">
        <v>EUR3E6E12Y=ICAP</v>
      </c>
      <c r="T20" s="396">
        <v>9.0500000000000007</v>
      </c>
      <c r="U20" s="396">
        <v>10.050000000000001</v>
      </c>
      <c r="V20" s="396">
        <f>_xll.qlMidEquivalent(T20,U20)</f>
        <v>9.5500000000000007</v>
      </c>
      <c r="W20" s="263" t="b">
        <f t="shared" si="2"/>
        <v>1</v>
      </c>
      <c r="X20" s="401">
        <v>9.5500000000000007</v>
      </c>
      <c r="Y20" s="257"/>
      <c r="Z20" s="394">
        <v>9.5500000000000007</v>
      </c>
      <c r="AA20" s="257"/>
      <c r="AB20" s="264" t="str">
        <f t="shared" si="3"/>
        <v>EUR3E6E12Y_Quote</v>
      </c>
      <c r="AC20" s="393">
        <v>9.5500000000000007</v>
      </c>
      <c r="AD20" s="262" t="e">
        <f>_xll.qlSimpleQuoteSetValue($AB20,ROUND($AC20/10000,6),Trigger)</f>
        <v>#N/A</v>
      </c>
      <c r="AE20" s="221"/>
      <c r="AF20" s="21"/>
      <c r="AG20" s="21"/>
      <c r="AH20" s="21"/>
      <c r="AI20" s="21"/>
      <c r="AJ20" s="21" t="str">
        <f t="shared" si="4"/>
        <v>12Y</v>
      </c>
      <c r="AK20" s="392">
        <f>((Swap6M!AB20-Swap3M!AC20)*100-AC20)/10000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EUR3E6E13Y_Quote#0000</v>
      </c>
      <c r="G21" s="79" t="str">
        <f>_xll.ohRangeRetrieveError(F21)</f>
        <v/>
      </c>
      <c r="H21" s="78"/>
      <c r="N21" s="126">
        <v>13</v>
      </c>
      <c r="O21" s="310" t="s">
        <v>104</v>
      </c>
      <c r="P21" s="309" t="str">
        <v>3E</v>
      </c>
      <c r="Q21" s="309" t="str">
        <v>6E</v>
      </c>
      <c r="R21" s="307" t="str">
        <f t="shared" si="1"/>
        <v>EUR3E6E13Y</v>
      </c>
      <c r="S21" s="267" t="str">
        <v>EUR3E6E13Y=ICAP</v>
      </c>
      <c r="T21" s="396" t="s">
        <v>259</v>
      </c>
      <c r="U21" s="396" t="s">
        <v>259</v>
      </c>
      <c r="V21" s="396" t="e">
        <f>_xll.qlMidEquivalent(T21,U21)</f>
        <v>#NUM!</v>
      </c>
      <c r="W21" s="263" t="b">
        <f t="shared" si="2"/>
        <v>0</v>
      </c>
      <c r="X21" s="401">
        <v>9.2370385241899786</v>
      </c>
      <c r="Y21" s="257"/>
      <c r="Z21" s="394">
        <v>9.2370385241899786</v>
      </c>
      <c r="AA21" s="257"/>
      <c r="AB21" s="264" t="str">
        <f t="shared" si="3"/>
        <v>EUR3E6E13Y_Quote</v>
      </c>
      <c r="AC21" s="393">
        <v>9.2370385241899786</v>
      </c>
      <c r="AD21" s="262" t="e">
        <f>_xll.qlSimpleQuoteSetValue($AB21,ROUND($AC21/10000,6),Trigger)</f>
        <v>#N/A</v>
      </c>
      <c r="AE21" s="221"/>
      <c r="AF21" s="21"/>
      <c r="AG21" s="21"/>
      <c r="AH21" s="21"/>
      <c r="AI21" s="21"/>
      <c r="AJ21" s="21" t="str">
        <f t="shared" si="4"/>
        <v>13Y</v>
      </c>
      <c r="AK21" s="392" t="e">
        <f>((Swap6M!AB21-Swap3M!AC21)*100-AC21)/10000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EUR3E6E14Y_Quote#0000</v>
      </c>
      <c r="G22" s="79" t="str">
        <f>_xll.ohRangeRetrieveError(F22)</f>
        <v/>
      </c>
      <c r="H22" s="78"/>
      <c r="N22" s="126">
        <v>14</v>
      </c>
      <c r="O22" s="310" t="s">
        <v>103</v>
      </c>
      <c r="P22" s="309" t="str">
        <v>3E</v>
      </c>
      <c r="Q22" s="309" t="str">
        <v>6E</v>
      </c>
      <c r="R22" s="307" t="str">
        <f t="shared" si="1"/>
        <v>EUR3E6E14Y</v>
      </c>
      <c r="S22" s="267" t="str">
        <v>EUR3E6E14Y=ICAP</v>
      </c>
      <c r="T22" s="396" t="s">
        <v>259</v>
      </c>
      <c r="U22" s="396" t="s">
        <v>259</v>
      </c>
      <c r="V22" s="396" t="e">
        <f>_xll.qlMidEquivalent(T22,U22)</f>
        <v>#NUM!</v>
      </c>
      <c r="W22" s="263" t="b">
        <f t="shared" si="2"/>
        <v>0</v>
      </c>
      <c r="X22" s="401">
        <v>8.9139108863230252</v>
      </c>
      <c r="Y22" s="257"/>
      <c r="Z22" s="394">
        <v>8.9139108863230252</v>
      </c>
      <c r="AA22" s="257"/>
      <c r="AB22" s="264" t="str">
        <f t="shared" si="3"/>
        <v>EUR3E6E14Y_Quote</v>
      </c>
      <c r="AC22" s="393">
        <v>8.9139108863230252</v>
      </c>
      <c r="AD22" s="262" t="e">
        <f>_xll.qlSimpleQuoteSetValue($AB22,ROUND($AC22/10000,6),Trigger)</f>
        <v>#N/A</v>
      </c>
      <c r="AE22" s="221"/>
      <c r="AF22" s="21"/>
      <c r="AG22" s="21"/>
      <c r="AH22" s="21"/>
      <c r="AI22" s="21"/>
      <c r="AJ22" s="21" t="str">
        <f t="shared" si="4"/>
        <v>14Y</v>
      </c>
      <c r="AK22" s="392" t="e">
        <f>((Swap6M!AB22-Swap3M!AC22)*100-AC22)/10000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EUR3E6E15Y_Quote#0000</v>
      </c>
      <c r="G23" s="79" t="str">
        <f>_xll.ohRangeRetrieveError(F23)</f>
        <v/>
      </c>
      <c r="H23" s="78"/>
      <c r="N23" s="126">
        <v>15</v>
      </c>
      <c r="O23" s="310" t="s">
        <v>102</v>
      </c>
      <c r="P23" s="309" t="str">
        <v>3E</v>
      </c>
      <c r="Q23" s="309" t="str">
        <v>6E</v>
      </c>
      <c r="R23" s="307" t="str">
        <f t="shared" si="1"/>
        <v>EUR3E6E15Y</v>
      </c>
      <c r="S23" s="267" t="str">
        <v>EUR3E6E15Y=ICAP</v>
      </c>
      <c r="T23" s="396">
        <v>8.1</v>
      </c>
      <c r="U23" s="396">
        <v>9.1</v>
      </c>
      <c r="V23" s="396">
        <f>_xll.qlMidEquivalent(T23,U23)</f>
        <v>8.6</v>
      </c>
      <c r="W23" s="263" t="b">
        <f t="shared" si="2"/>
        <v>1</v>
      </c>
      <c r="X23" s="401">
        <v>8.6</v>
      </c>
      <c r="Y23" s="257"/>
      <c r="Z23" s="394">
        <v>8.6</v>
      </c>
      <c r="AA23" s="257"/>
      <c r="AB23" s="264" t="str">
        <f t="shared" si="3"/>
        <v>EUR3E6E15Y_Quote</v>
      </c>
      <c r="AC23" s="393">
        <v>8.6</v>
      </c>
      <c r="AD23" s="262" t="e">
        <f>_xll.qlSimpleQuoteSetValue($AB23,ROUND($AC23/10000,6),Trigger)</f>
        <v>#N/A</v>
      </c>
      <c r="AE23" s="221"/>
      <c r="AF23" s="21"/>
      <c r="AG23" s="21"/>
      <c r="AH23" s="21"/>
      <c r="AI23" s="21"/>
      <c r="AJ23" s="21" t="str">
        <f t="shared" si="4"/>
        <v>15Y</v>
      </c>
      <c r="AK23" s="392">
        <f>((Swap6M!AB23-Swap3M!AC23)*100-AC23)/10000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EUR3E6E16Y_Quote#0000</v>
      </c>
      <c r="G24" s="79" t="str">
        <f>_xll.ohRangeRetrieveError(F24)</f>
        <v/>
      </c>
      <c r="H24" s="78"/>
      <c r="N24" s="126">
        <v>16</v>
      </c>
      <c r="O24" s="310" t="s">
        <v>101</v>
      </c>
      <c r="P24" s="309" t="str">
        <v>3E</v>
      </c>
      <c r="Q24" s="309" t="str">
        <v>6E</v>
      </c>
      <c r="R24" s="307" t="str">
        <f t="shared" si="1"/>
        <v>EUR3E6E16Y</v>
      </c>
      <c r="S24" s="267" t="str">
        <v>EUR3E6E16Y=ICAP</v>
      </c>
      <c r="T24" s="396" t="s">
        <v>259</v>
      </c>
      <c r="U24" s="396" t="s">
        <v>259</v>
      </c>
      <c r="V24" s="396" t="e">
        <f>_xll.qlMidEquivalent(T24,U24)</f>
        <v>#NUM!</v>
      </c>
      <c r="W24" s="263" t="b">
        <f t="shared" si="2"/>
        <v>0</v>
      </c>
      <c r="X24" s="401">
        <v>8.311111988281171</v>
      </c>
      <c r="Y24" s="257"/>
      <c r="Z24" s="394">
        <v>8.311111988281171</v>
      </c>
      <c r="AA24" s="257"/>
      <c r="AB24" s="264" t="str">
        <f t="shared" si="3"/>
        <v>EUR3E6E16Y_Quote</v>
      </c>
      <c r="AC24" s="393">
        <v>8.311111988281171</v>
      </c>
      <c r="AD24" s="262" t="e">
        <f>_xll.qlSimpleQuoteSetValue($AB24,ROUND($AC24/10000,6),Trigger)</f>
        <v>#N/A</v>
      </c>
      <c r="AE24" s="221"/>
      <c r="AF24" s="21"/>
      <c r="AG24" s="21"/>
      <c r="AH24" s="21"/>
      <c r="AI24" s="21"/>
      <c r="AJ24" s="21" t="str">
        <f t="shared" si="4"/>
        <v>16Y</v>
      </c>
      <c r="AK24" s="392" t="e">
        <f>((Swap6M!AB24-Swap3M!AC24)*100-AC24)/10000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EUR3E6E17Y_Quote#0000</v>
      </c>
      <c r="G25" s="79" t="str">
        <f>_xll.ohRangeRetrieveError(F25)</f>
        <v/>
      </c>
      <c r="H25" s="78"/>
      <c r="N25" s="126">
        <v>17</v>
      </c>
      <c r="O25" s="310" t="s">
        <v>100</v>
      </c>
      <c r="P25" s="309" t="str">
        <v>3E</v>
      </c>
      <c r="Q25" s="309" t="str">
        <v>6E</v>
      </c>
      <c r="R25" s="307" t="str">
        <f t="shared" si="1"/>
        <v>EUR3E6E17Y</v>
      </c>
      <c r="S25" s="267" t="str">
        <v>EUR3E6E17Y=ICAP</v>
      </c>
      <c r="T25" s="396" t="s">
        <v>259</v>
      </c>
      <c r="U25" s="396" t="s">
        <v>259</v>
      </c>
      <c r="V25" s="396" t="e">
        <f>_xll.qlMidEquivalent(T25,U25)</f>
        <v>#NUM!</v>
      </c>
      <c r="W25" s="263" t="b">
        <f t="shared" si="2"/>
        <v>0</v>
      </c>
      <c r="X25" s="401">
        <v>8.0487458120644462</v>
      </c>
      <c r="Y25" s="257"/>
      <c r="Z25" s="394">
        <v>8.0487458120644462</v>
      </c>
      <c r="AA25" s="257"/>
      <c r="AB25" s="264" t="str">
        <f t="shared" si="3"/>
        <v>EUR3E6E17Y_Quote</v>
      </c>
      <c r="AC25" s="393">
        <v>8.0487458120644462</v>
      </c>
      <c r="AD25" s="262" t="e">
        <f>_xll.qlSimpleQuoteSetValue($AB25,ROUND($AC25/10000,6),Trigger)</f>
        <v>#N/A</v>
      </c>
      <c r="AE25" s="221"/>
      <c r="AF25" s="21"/>
      <c r="AG25" s="21"/>
      <c r="AH25" s="21"/>
      <c r="AI25" s="21"/>
      <c r="AJ25" s="21" t="str">
        <f t="shared" si="4"/>
        <v>17Y</v>
      </c>
      <c r="AK25" s="392" t="e">
        <f>((Swap6M!AB25-Swap3M!AC25)*100-AC25)/10000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EUR3E6E18Y_Quote#0000</v>
      </c>
      <c r="G26" s="79" t="str">
        <f>_xll.ohRangeRetrieveError(F26)</f>
        <v/>
      </c>
      <c r="H26" s="78"/>
      <c r="N26" s="126">
        <v>18</v>
      </c>
      <c r="O26" s="310" t="s">
        <v>99</v>
      </c>
      <c r="P26" s="309" t="str">
        <v>3E</v>
      </c>
      <c r="Q26" s="309" t="str">
        <v>6E</v>
      </c>
      <c r="R26" s="307" t="str">
        <f t="shared" si="1"/>
        <v>EUR3E6E18Y</v>
      </c>
      <c r="S26" s="267" t="str">
        <v>EUR3E6E18Y=ICAP</v>
      </c>
      <c r="T26" s="396" t="s">
        <v>259</v>
      </c>
      <c r="U26" s="396" t="s">
        <v>259</v>
      </c>
      <c r="V26" s="396" t="e">
        <f>_xll.qlMidEquivalent(T26,U26)</f>
        <v>#NUM!</v>
      </c>
      <c r="W26" s="263" t="b">
        <f t="shared" si="2"/>
        <v>0</v>
      </c>
      <c r="X26" s="401">
        <v>7.8108236417071328</v>
      </c>
      <c r="Y26" s="257"/>
      <c r="Z26" s="394">
        <v>7.8108236417071328</v>
      </c>
      <c r="AA26" s="257"/>
      <c r="AB26" s="264" t="str">
        <f t="shared" si="3"/>
        <v>EUR3E6E18Y_Quote</v>
      </c>
      <c r="AC26" s="393">
        <v>7.8108236417071328</v>
      </c>
      <c r="AD26" s="262" t="e">
        <f>_xll.qlSimpleQuoteSetValue($AB26,ROUND($AC26/10000,6),Trigger)</f>
        <v>#N/A</v>
      </c>
      <c r="AE26" s="221"/>
      <c r="AF26" s="21"/>
      <c r="AG26" s="21"/>
      <c r="AH26" s="21"/>
      <c r="AI26" s="21"/>
      <c r="AJ26" s="21" t="str">
        <f t="shared" si="4"/>
        <v>18Y</v>
      </c>
      <c r="AK26" s="392" t="e">
        <f>((Swap6M!AB26-Swap3M!AC26)*100-AC26)/10000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EUR3E6E19Y_Quote#0000</v>
      </c>
      <c r="G27" s="79" t="str">
        <f>_xll.ohRangeRetrieveError(F27)</f>
        <v/>
      </c>
      <c r="H27" s="78"/>
      <c r="N27" s="126">
        <v>19</v>
      </c>
      <c r="O27" s="310" t="s">
        <v>98</v>
      </c>
      <c r="P27" s="309" t="str">
        <v>3E</v>
      </c>
      <c r="Q27" s="309" t="str">
        <v>6E</v>
      </c>
      <c r="R27" s="307" t="str">
        <f t="shared" si="1"/>
        <v>EUR3E6E19Y</v>
      </c>
      <c r="S27" s="267" t="str">
        <v>EUR3E6E19Y=ICAP</v>
      </c>
      <c r="T27" s="396" t="s">
        <v>259</v>
      </c>
      <c r="U27" s="396" t="s">
        <v>259</v>
      </c>
      <c r="V27" s="396" t="e">
        <f>_xll.qlMidEquivalent(T27,U27)</f>
        <v>#NUM!</v>
      </c>
      <c r="W27" s="263" t="b">
        <f t="shared" si="2"/>
        <v>0</v>
      </c>
      <c r="X27" s="401">
        <v>7.5952676475665477</v>
      </c>
      <c r="Y27" s="257"/>
      <c r="Z27" s="394">
        <v>7.5952676475665477</v>
      </c>
      <c r="AA27" s="257"/>
      <c r="AB27" s="264" t="str">
        <f t="shared" si="3"/>
        <v>EUR3E6E19Y_Quote</v>
      </c>
      <c r="AC27" s="393">
        <v>7.5952676475665477</v>
      </c>
      <c r="AD27" s="262" t="e">
        <f>_xll.qlSimpleQuoteSetValue($AB27,ROUND($AC27/10000,6),Trigger)</f>
        <v>#N/A</v>
      </c>
      <c r="AE27" s="221"/>
      <c r="AF27" s="21"/>
      <c r="AG27" s="21"/>
      <c r="AH27" s="21"/>
      <c r="AI27" s="21"/>
      <c r="AJ27" s="21" t="str">
        <f t="shared" si="4"/>
        <v>19Y</v>
      </c>
      <c r="AK27" s="392" t="e">
        <f>((Swap6M!AB27-Swap3M!AC27)*100-AC27)/10000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EUR3E6E20Y_Quote#0000</v>
      </c>
      <c r="G28" s="79" t="str">
        <f>_xll.ohRangeRetrieveError(F28)</f>
        <v/>
      </c>
      <c r="H28" s="78"/>
      <c r="N28" s="126">
        <v>20</v>
      </c>
      <c r="O28" s="310" t="s">
        <v>97</v>
      </c>
      <c r="P28" s="309" t="str">
        <v>3E</v>
      </c>
      <c r="Q28" s="309" t="str">
        <v>6E</v>
      </c>
      <c r="R28" s="307" t="str">
        <f t="shared" si="1"/>
        <v>EUR3E6E20Y</v>
      </c>
      <c r="S28" s="267" t="str">
        <v>EUR3E6E20Y=ICAP</v>
      </c>
      <c r="T28" s="396">
        <v>6.9</v>
      </c>
      <c r="U28" s="396">
        <v>7.9</v>
      </c>
      <c r="V28" s="396">
        <f>_xll.qlMidEquivalent(T28,U28)</f>
        <v>7.4</v>
      </c>
      <c r="W28" s="263" t="b">
        <f t="shared" si="2"/>
        <v>1</v>
      </c>
      <c r="X28" s="401">
        <v>7.4</v>
      </c>
      <c r="Y28" s="257"/>
      <c r="Z28" s="394">
        <v>7.4</v>
      </c>
      <c r="AA28" s="257"/>
      <c r="AB28" s="264" t="str">
        <f t="shared" si="3"/>
        <v>EUR3E6E20Y_Quote</v>
      </c>
      <c r="AC28" s="393">
        <v>7.4</v>
      </c>
      <c r="AD28" s="262" t="e">
        <f>_xll.qlSimpleQuoteSetValue($AB28,ROUND($AC28/10000,6),Trigger)</f>
        <v>#N/A</v>
      </c>
      <c r="AE28" s="221"/>
      <c r="AF28" s="21"/>
      <c r="AG28" s="21"/>
      <c r="AH28" s="21"/>
      <c r="AI28" s="21"/>
      <c r="AJ28" s="21" t="str">
        <f t="shared" si="4"/>
        <v>20Y</v>
      </c>
      <c r="AK28" s="392">
        <f>((Swap6M!AB28-Swap3M!AC28)*100-AC28)/10000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EUR3E6E21Y_Quote#0000</v>
      </c>
      <c r="G29" s="79" t="str">
        <f>_xll.ohRangeRetrieveError(F29)</f>
        <v/>
      </c>
      <c r="H29" s="78"/>
      <c r="N29" s="126">
        <v>21</v>
      </c>
      <c r="O29" s="310" t="s">
        <v>96</v>
      </c>
      <c r="P29" s="309" t="str">
        <v>3E</v>
      </c>
      <c r="Q29" s="309" t="str">
        <v>6E</v>
      </c>
      <c r="R29" s="307" t="str">
        <f t="shared" si="1"/>
        <v>EUR3E6E21Y</v>
      </c>
      <c r="S29" s="267" t="str">
        <v>EUR3E6E21Y=ICAP</v>
      </c>
      <c r="T29" s="396" t="s">
        <v>259</v>
      </c>
      <c r="U29" s="396" t="s">
        <v>259</v>
      </c>
      <c r="V29" s="396" t="e">
        <f>_xll.qlMidEquivalent(T29,U29)</f>
        <v>#NUM!</v>
      </c>
      <c r="W29" s="263" t="b">
        <f t="shared" si="2"/>
        <v>0</v>
      </c>
      <c r="X29" s="401">
        <v>7.222900765978534</v>
      </c>
      <c r="Y29" s="257"/>
      <c r="Z29" s="394">
        <v>7.222900765978534</v>
      </c>
      <c r="AA29" s="257"/>
      <c r="AB29" s="264" t="str">
        <f t="shared" si="3"/>
        <v>EUR3E6E21Y_Quote</v>
      </c>
      <c r="AC29" s="393">
        <v>7.222900765978534</v>
      </c>
      <c r="AD29" s="262" t="e">
        <f>_xll.qlSimpleQuoteSetValue($AB29,ROUND($AC29/10000,6),Trigger)</f>
        <v>#N/A</v>
      </c>
      <c r="AE29" s="221"/>
      <c r="AF29" s="21"/>
      <c r="AG29" s="21"/>
      <c r="AH29" s="21"/>
      <c r="AI29" s="21"/>
      <c r="AJ29" s="21" t="str">
        <f t="shared" si="4"/>
        <v>21Y</v>
      </c>
      <c r="AK29" s="392" t="e">
        <f>((Swap6M!AB29-Swap3M!AC29)*100-AC29)/10000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EUR3E6E22Y_Quote#0000</v>
      </c>
      <c r="G30" s="79" t="str">
        <f>_xll.ohRangeRetrieveError(F30)</f>
        <v/>
      </c>
      <c r="H30" s="78"/>
      <c r="N30" s="126">
        <v>22</v>
      </c>
      <c r="O30" s="310" t="s">
        <v>95</v>
      </c>
      <c r="P30" s="309" t="str">
        <v>3E</v>
      </c>
      <c r="Q30" s="309" t="str">
        <v>6E</v>
      </c>
      <c r="R30" s="307" t="str">
        <f t="shared" si="1"/>
        <v>EUR3E6E22Y</v>
      </c>
      <c r="S30" s="267" t="str">
        <v>EUR3E6E22Y=ICAP</v>
      </c>
      <c r="T30" s="396" t="s">
        <v>259</v>
      </c>
      <c r="U30" s="396" t="s">
        <v>259</v>
      </c>
      <c r="V30" s="396" t="e">
        <f>_xll.qlMidEquivalent(T30,U30)</f>
        <v>#NUM!</v>
      </c>
      <c r="W30" s="263" t="b">
        <f t="shared" si="2"/>
        <v>0</v>
      </c>
      <c r="X30" s="401">
        <v>7.0616815989281108</v>
      </c>
      <c r="Y30" s="257"/>
      <c r="Z30" s="394">
        <v>7.0616815989281108</v>
      </c>
      <c r="AA30" s="257"/>
      <c r="AB30" s="264" t="str">
        <f t="shared" si="3"/>
        <v>EUR3E6E22Y_Quote</v>
      </c>
      <c r="AC30" s="393">
        <v>7.0616815989281108</v>
      </c>
      <c r="AD30" s="262" t="e">
        <f>_xll.qlSimpleQuoteSetValue($AB30,ROUND($AC30/10000,6),Trigger)</f>
        <v>#N/A</v>
      </c>
      <c r="AE30" s="221"/>
      <c r="AF30" s="21"/>
      <c r="AG30" s="21"/>
      <c r="AH30" s="21"/>
      <c r="AI30" s="21"/>
      <c r="AJ30" s="21" t="str">
        <f t="shared" si="4"/>
        <v>22Y</v>
      </c>
      <c r="AK30" s="392" t="e">
        <f>((Swap6M!AB30-Swap3M!AC30)*100-AC30)/10000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EUR3E6E23Y_Quote#0000</v>
      </c>
      <c r="G31" s="79" t="str">
        <f>_xll.ohRangeRetrieveError(F31)</f>
        <v/>
      </c>
      <c r="H31" s="78"/>
      <c r="N31" s="126">
        <v>23</v>
      </c>
      <c r="O31" s="310" t="s">
        <v>94</v>
      </c>
      <c r="P31" s="309" t="str">
        <v>3E</v>
      </c>
      <c r="Q31" s="309" t="str">
        <v>6E</v>
      </c>
      <c r="R31" s="307" t="str">
        <f t="shared" si="1"/>
        <v>EUR3E6E23Y</v>
      </c>
      <c r="S31" s="267" t="str">
        <v>EUR3E6E23Y=ICAP</v>
      </c>
      <c r="T31" s="396" t="s">
        <v>259</v>
      </c>
      <c r="U31" s="396" t="s">
        <v>259</v>
      </c>
      <c r="V31" s="396" t="e">
        <f>_xll.qlMidEquivalent(T31,U31)</f>
        <v>#NUM!</v>
      </c>
      <c r="W31" s="263" t="b">
        <f t="shared" si="2"/>
        <v>0</v>
      </c>
      <c r="X31" s="401">
        <v>6.91401204888842</v>
      </c>
      <c r="Y31" s="257"/>
      <c r="Z31" s="394">
        <v>6.91401204888842</v>
      </c>
      <c r="AA31" s="257"/>
      <c r="AB31" s="264" t="str">
        <f t="shared" si="3"/>
        <v>EUR3E6E23Y_Quote</v>
      </c>
      <c r="AC31" s="393">
        <v>6.91401204888842</v>
      </c>
      <c r="AD31" s="262" t="e">
        <f>_xll.qlSimpleQuoteSetValue($AB31,ROUND($AC31/10000,6),Trigger)</f>
        <v>#N/A</v>
      </c>
      <c r="AE31" s="221"/>
      <c r="AF31" s="21"/>
      <c r="AG31" s="21"/>
      <c r="AH31" s="21"/>
      <c r="AI31" s="21"/>
      <c r="AJ31" s="21" t="str">
        <f t="shared" si="4"/>
        <v>23Y</v>
      </c>
      <c r="AK31" s="392" t="e">
        <f>((Swap6M!AB31-Swap3M!AC31)*100-AC31)/10000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EUR3E6E24Y_Quote#0000</v>
      </c>
      <c r="G32" s="79" t="str">
        <f>_xll.ohRangeRetrieveError(F32)</f>
        <v/>
      </c>
      <c r="H32" s="78"/>
      <c r="N32" s="126">
        <v>24</v>
      </c>
      <c r="O32" s="310" t="s">
        <v>93</v>
      </c>
      <c r="P32" s="309" t="str">
        <v>3E</v>
      </c>
      <c r="Q32" s="309" t="str">
        <v>6E</v>
      </c>
      <c r="R32" s="307" t="str">
        <f t="shared" si="1"/>
        <v>EUR3E6E24Y</v>
      </c>
      <c r="S32" s="267" t="str">
        <v>EUR3E6E24Y=ICAP</v>
      </c>
      <c r="T32" s="396" t="s">
        <v>259</v>
      </c>
      <c r="U32" s="396" t="s">
        <v>259</v>
      </c>
      <c r="V32" s="396" t="e">
        <f>_xll.qlMidEquivalent(T32,U32)</f>
        <v>#NUM!</v>
      </c>
      <c r="W32" s="263" t="b">
        <f t="shared" si="2"/>
        <v>0</v>
      </c>
      <c r="X32" s="401">
        <v>6.7775616658991531</v>
      </c>
      <c r="Y32" s="257"/>
      <c r="Z32" s="394">
        <v>6.7775616658991531</v>
      </c>
      <c r="AA32" s="257"/>
      <c r="AB32" s="264" t="str">
        <f t="shared" si="3"/>
        <v>EUR3E6E24Y_Quote</v>
      </c>
      <c r="AC32" s="393">
        <v>6.7775616658991531</v>
      </c>
      <c r="AD32" s="262" t="e">
        <f>_xll.qlSimpleQuoteSetValue($AB32,ROUND($AC32/10000,6),Trigger)</f>
        <v>#N/A</v>
      </c>
      <c r="AE32" s="221"/>
      <c r="AF32" s="21"/>
      <c r="AG32" s="21"/>
      <c r="AH32" s="21"/>
      <c r="AI32" s="21"/>
      <c r="AJ32" s="21" t="str">
        <f t="shared" si="4"/>
        <v>24Y</v>
      </c>
      <c r="AK32" s="392" t="e">
        <f>((Swap6M!AB32-Swap3M!AC32)*100-AC32)/10000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EUR3E6E25Y_Quote#0000</v>
      </c>
      <c r="G33" s="79" t="str">
        <f>_xll.ohRangeRetrieveError(F33)</f>
        <v/>
      </c>
      <c r="H33" s="78"/>
      <c r="N33" s="126">
        <v>25</v>
      </c>
      <c r="O33" s="310" t="s">
        <v>92</v>
      </c>
      <c r="P33" s="309" t="str">
        <v>3E</v>
      </c>
      <c r="Q33" s="309" t="str">
        <v>6E</v>
      </c>
      <c r="R33" s="307" t="str">
        <f t="shared" si="1"/>
        <v>EUR3E6E25Y</v>
      </c>
      <c r="S33" s="267" t="str">
        <v>EUR3E6E25Y=ICAP</v>
      </c>
      <c r="T33" s="396">
        <v>6.15</v>
      </c>
      <c r="U33" s="396">
        <v>7.15</v>
      </c>
      <c r="V33" s="396">
        <f>_xll.qlMidEquivalent(T33,U33)</f>
        <v>6.65</v>
      </c>
      <c r="W33" s="263" t="b">
        <f t="shared" si="2"/>
        <v>1</v>
      </c>
      <c r="X33" s="401">
        <v>6.65</v>
      </c>
      <c r="Y33" s="257"/>
      <c r="Z33" s="394">
        <v>6.65</v>
      </c>
      <c r="AA33" s="257"/>
      <c r="AB33" s="264" t="str">
        <f t="shared" si="3"/>
        <v>EUR3E6E25Y_Quote</v>
      </c>
      <c r="AC33" s="393">
        <v>6.65</v>
      </c>
      <c r="AD33" s="262" t="e">
        <f>_xll.qlSimpleQuoteSetValue($AB33,ROUND($AC33/10000,6),Trigger)</f>
        <v>#N/A</v>
      </c>
      <c r="AE33" s="221"/>
      <c r="AF33" s="21"/>
      <c r="AG33" s="21"/>
      <c r="AH33" s="21"/>
      <c r="AI33" s="21"/>
      <c r="AJ33" s="21" t="str">
        <f t="shared" si="4"/>
        <v>25Y</v>
      </c>
      <c r="AK33" s="392">
        <f>((Swap6M!AB33-Swap3M!AC33)*100-AC33)/10000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EUR3E6E26Y_Quote#0000</v>
      </c>
      <c r="G34" s="79" t="str">
        <f>_xll.ohRangeRetrieveError(F34)</f>
        <v/>
      </c>
      <c r="H34" s="78"/>
      <c r="N34" s="126">
        <v>26</v>
      </c>
      <c r="O34" s="310" t="s">
        <v>91</v>
      </c>
      <c r="P34" s="309" t="str">
        <v>3E</v>
      </c>
      <c r="Q34" s="309" t="str">
        <v>6E</v>
      </c>
      <c r="R34" s="307" t="str">
        <f t="shared" si="1"/>
        <v>EUR3E6E26Y</v>
      </c>
      <c r="S34" s="267" t="str">
        <v>EUR3E6E26Y=ICAP</v>
      </c>
      <c r="T34" s="396" t="s">
        <v>259</v>
      </c>
      <c r="U34" s="396" t="s">
        <v>259</v>
      </c>
      <c r="V34" s="396" t="e">
        <f>_xll.qlMidEquivalent(T34,U34)</f>
        <v>#NUM!</v>
      </c>
      <c r="W34" s="263" t="b">
        <f t="shared" si="2"/>
        <v>0</v>
      </c>
      <c r="X34" s="401">
        <v>6.529284947804693</v>
      </c>
      <c r="Y34" s="257"/>
      <c r="Z34" s="394">
        <v>6.529284947804693</v>
      </c>
      <c r="AA34" s="257"/>
      <c r="AB34" s="264" t="str">
        <f t="shared" si="3"/>
        <v>EUR3E6E26Y_Quote</v>
      </c>
      <c r="AC34" s="393">
        <v>6.529284947804693</v>
      </c>
      <c r="AD34" s="262" t="e">
        <f>_xll.qlSimpleQuoteSetValue($AB34,ROUND($AC34/10000,6),Trigger)</f>
        <v>#N/A</v>
      </c>
      <c r="AE34" s="221"/>
      <c r="AF34" s="21"/>
      <c r="AG34" s="21"/>
      <c r="AH34" s="21"/>
      <c r="AI34" s="21"/>
      <c r="AJ34" s="21" t="str">
        <f t="shared" si="4"/>
        <v>26Y</v>
      </c>
      <c r="AK34" s="392" t="e">
        <f>((Swap6M!AB34-Swap3M!AC34)*100-AC34)/10000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EUR3E6E27Y_Quote#0000</v>
      </c>
      <c r="G35" s="79" t="str">
        <f>_xll.ohRangeRetrieveError(F35)</f>
        <v/>
      </c>
      <c r="H35" s="78"/>
      <c r="N35" s="126">
        <v>27</v>
      </c>
      <c r="O35" s="310" t="s">
        <v>90</v>
      </c>
      <c r="P35" s="309" t="str">
        <v>3E</v>
      </c>
      <c r="Q35" s="309" t="str">
        <v>6E</v>
      </c>
      <c r="R35" s="307" t="str">
        <f t="shared" si="1"/>
        <v>EUR3E6E27Y</v>
      </c>
      <c r="S35" s="267" t="str">
        <v>EUR3E6E27Y=ICAP</v>
      </c>
      <c r="T35" s="396" t="s">
        <v>259</v>
      </c>
      <c r="U35" s="396" t="s">
        <v>259</v>
      </c>
      <c r="V35" s="396" t="e">
        <f>_xll.qlMidEquivalent(T35,U35)</f>
        <v>#NUM!</v>
      </c>
      <c r="W35" s="263" t="b">
        <f t="shared" si="2"/>
        <v>0</v>
      </c>
      <c r="X35" s="401">
        <v>6.4145277922231152</v>
      </c>
      <c r="Y35" s="257"/>
      <c r="Z35" s="394">
        <v>6.4145277922231152</v>
      </c>
      <c r="AA35" s="257"/>
      <c r="AB35" s="264" t="str">
        <f t="shared" si="3"/>
        <v>EUR3E6E27Y_Quote</v>
      </c>
      <c r="AC35" s="393">
        <v>6.4145277922231152</v>
      </c>
      <c r="AD35" s="262" t="e">
        <f>_xll.qlSimpleQuoteSetValue($AB35,ROUND($AC35/10000,6),Trigger)</f>
        <v>#N/A</v>
      </c>
      <c r="AE35" s="221"/>
      <c r="AF35" s="21"/>
      <c r="AG35" s="21"/>
      <c r="AH35" s="21"/>
      <c r="AI35" s="21"/>
      <c r="AJ35" s="21" t="str">
        <f t="shared" si="4"/>
        <v>27Y</v>
      </c>
      <c r="AK35" s="392" t="e">
        <f>((Swap6M!AB35-Swap3M!AC35)*100-AC35)/10000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EUR3E6E28Y_Quote#0000</v>
      </c>
      <c r="G36" s="79" t="str">
        <f>_xll.ohRangeRetrieveError(F36)</f>
        <v/>
      </c>
      <c r="H36" s="78"/>
      <c r="N36" s="126">
        <v>28</v>
      </c>
      <c r="O36" s="310" t="s">
        <v>89</v>
      </c>
      <c r="P36" s="309" t="str">
        <v>3E</v>
      </c>
      <c r="Q36" s="309" t="str">
        <v>6E</v>
      </c>
      <c r="R36" s="307" t="str">
        <f t="shared" si="1"/>
        <v>EUR3E6E28Y</v>
      </c>
      <c r="S36" s="267" t="str">
        <v>EUR3E6E28Y=ICAP</v>
      </c>
      <c r="T36" s="396" t="s">
        <v>259</v>
      </c>
      <c r="U36" s="396" t="s">
        <v>259</v>
      </c>
      <c r="V36" s="396" t="e">
        <f>_xll.qlMidEquivalent(T36,U36)</f>
        <v>#NUM!</v>
      </c>
      <c r="W36" s="263" t="b">
        <f t="shared" si="2"/>
        <v>0</v>
      </c>
      <c r="X36" s="401">
        <v>6.3051281627391909</v>
      </c>
      <c r="Y36" s="257"/>
      <c r="Z36" s="394">
        <v>6.3051281627391909</v>
      </c>
      <c r="AA36" s="257"/>
      <c r="AB36" s="264" t="str">
        <f t="shared" si="3"/>
        <v>EUR3E6E28Y_Quote</v>
      </c>
      <c r="AC36" s="393">
        <v>6.3051281627391909</v>
      </c>
      <c r="AD36" s="262" t="e">
        <f>_xll.qlSimpleQuoteSetValue($AB36,ROUND($AC36/10000,6),Trigger)</f>
        <v>#N/A</v>
      </c>
      <c r="AE36" s="221"/>
      <c r="AF36" s="21"/>
      <c r="AG36" s="21"/>
      <c r="AH36" s="21"/>
      <c r="AI36" s="21"/>
      <c r="AJ36" s="21" t="str">
        <f t="shared" si="4"/>
        <v>28Y</v>
      </c>
      <c r="AK36" s="392" t="e">
        <f>((Swap6M!AB36-Swap3M!AC36)*100-AC36)/10000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EUR3E6E29Y_Quote#0000</v>
      </c>
      <c r="G37" s="79" t="str">
        <f>_xll.ohRangeRetrieveError(F37)</f>
        <v/>
      </c>
      <c r="H37" s="78"/>
      <c r="N37" s="126">
        <v>29</v>
      </c>
      <c r="O37" s="310" t="s">
        <v>88</v>
      </c>
      <c r="P37" s="309" t="str">
        <v>3E</v>
      </c>
      <c r="Q37" s="309" t="str">
        <v>6E</v>
      </c>
      <c r="R37" s="307" t="str">
        <f t="shared" si="1"/>
        <v>EUR3E6E29Y</v>
      </c>
      <c r="S37" s="267" t="str">
        <v>EUR3E6E29Y=ICAP</v>
      </c>
      <c r="T37" s="396" t="s">
        <v>259</v>
      </c>
      <c r="U37" s="396" t="s">
        <v>259</v>
      </c>
      <c r="V37" s="396" t="e">
        <f>_xll.qlMidEquivalent(T37,U37)</f>
        <v>#NUM!</v>
      </c>
      <c r="W37" s="263" t="b">
        <f t="shared" si="2"/>
        <v>0</v>
      </c>
      <c r="X37" s="401">
        <v>6.200485688836844</v>
      </c>
      <c r="Y37" s="257"/>
      <c r="Z37" s="394">
        <v>6.200485688836844</v>
      </c>
      <c r="AA37" s="257"/>
      <c r="AB37" s="264" t="str">
        <f t="shared" si="3"/>
        <v>EUR3E6E29Y_Quote</v>
      </c>
      <c r="AC37" s="393">
        <v>6.200485688836844</v>
      </c>
      <c r="AD37" s="262" t="e">
        <f>_xll.qlSimpleQuoteSetValue($AB37,ROUND($AC37/10000,6),Trigger)</f>
        <v>#N/A</v>
      </c>
      <c r="AE37" s="221"/>
      <c r="AF37" s="21"/>
      <c r="AG37" s="21"/>
      <c r="AH37" s="21"/>
      <c r="AI37" s="21"/>
      <c r="AJ37" s="21" t="str">
        <f t="shared" si="4"/>
        <v>29Y</v>
      </c>
      <c r="AK37" s="392" t="e">
        <f>((Swap6M!AB37-Swap3M!AC37)*100-AC37)/10000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EUR3E6E30Y_Quote#0000</v>
      </c>
      <c r="G38" s="79" t="str">
        <f>_xll.ohRangeRetrieveError(F38)</f>
        <v/>
      </c>
      <c r="H38" s="78"/>
      <c r="N38" s="126">
        <v>30</v>
      </c>
      <c r="O38" s="310" t="s">
        <v>87</v>
      </c>
      <c r="P38" s="309" t="str">
        <v>3E</v>
      </c>
      <c r="Q38" s="309" t="str">
        <v>6E</v>
      </c>
      <c r="R38" s="307" t="str">
        <f t="shared" si="1"/>
        <v>EUR3E6E30Y</v>
      </c>
      <c r="S38" s="267" t="str">
        <v>EUR3E6E30Y=ICAP</v>
      </c>
      <c r="T38" s="396">
        <v>5.6</v>
      </c>
      <c r="U38" s="396">
        <v>6.6</v>
      </c>
      <c r="V38" s="396">
        <f>_xll.qlMidEquivalent(T38,U38)</f>
        <v>6.1</v>
      </c>
      <c r="W38" s="263" t="b">
        <f t="shared" si="2"/>
        <v>1</v>
      </c>
      <c r="X38" s="401">
        <v>6.1</v>
      </c>
      <c r="Y38" s="257"/>
      <c r="Z38" s="394">
        <v>6.1</v>
      </c>
      <c r="AA38" s="257"/>
      <c r="AB38" s="264" t="str">
        <f t="shared" si="3"/>
        <v>EUR3E6E30Y_Quote</v>
      </c>
      <c r="AC38" s="393">
        <v>6.1</v>
      </c>
      <c r="AD38" s="262" t="e">
        <f>_xll.qlSimpleQuoteSetValue($AB38,ROUND($AC38/10000,6),Trigger)</f>
        <v>#N/A</v>
      </c>
      <c r="AE38" s="221"/>
      <c r="AF38" s="21"/>
      <c r="AG38" s="21"/>
      <c r="AH38" s="21"/>
      <c r="AI38" s="21"/>
      <c r="AJ38" s="21" t="str">
        <f t="shared" si="4"/>
        <v>30Y</v>
      </c>
      <c r="AK38" s="392">
        <f>((Swap6M!AB38-Swap3M!AC38)*100-AC38)/10000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EUR3E6E35Y_Quote#0000</v>
      </c>
      <c r="G39" s="79" t="str">
        <f>_xll.ohRangeRetrieveError(F39)</f>
        <v/>
      </c>
      <c r="H39" s="78"/>
      <c r="N39" s="126">
        <v>35</v>
      </c>
      <c r="O39" s="310" t="s">
        <v>82</v>
      </c>
      <c r="P39" s="309" t="str">
        <v>3E</v>
      </c>
      <c r="Q39" s="309" t="str">
        <v>6E</v>
      </c>
      <c r="R39" s="307" t="str">
        <f t="shared" si="1"/>
        <v>EUR3E6E35Y</v>
      </c>
      <c r="S39" s="267" t="str">
        <v>EUR3E6E35Y=ICAP</v>
      </c>
      <c r="T39" s="396" t="s">
        <v>259</v>
      </c>
      <c r="U39" s="396" t="s">
        <v>259</v>
      </c>
      <c r="V39" s="396" t="e">
        <f>_xll.qlMidEquivalent(T39,U39)</f>
        <v>#NUM!</v>
      </c>
      <c r="W39" s="263" t="b">
        <f t="shared" si="2"/>
        <v>0</v>
      </c>
      <c r="X39" s="401">
        <v>5.6524497666484645</v>
      </c>
      <c r="Y39" s="257"/>
      <c r="Z39" s="394">
        <v>5.6524497666484645</v>
      </c>
      <c r="AA39" s="257"/>
      <c r="AB39" s="264" t="str">
        <f t="shared" si="3"/>
        <v>EUR3E6E35Y_Quote</v>
      </c>
      <c r="AC39" s="393">
        <v>5.6524497666484645</v>
      </c>
      <c r="AD39" s="262" t="e">
        <f>_xll.qlSimpleQuoteSetValue($AB39,ROUND($AC39/10000,6),Trigger)</f>
        <v>#N/A</v>
      </c>
      <c r="AE39" s="221"/>
      <c r="AF39" s="21"/>
      <c r="AG39" s="21"/>
      <c r="AH39" s="21"/>
      <c r="AI39" s="21"/>
      <c r="AJ39" s="21" t="str">
        <f t="shared" si="4"/>
        <v>35Y</v>
      </c>
      <c r="AK39" s="392" t="e">
        <f>((Swap6M!AB39-Swap3M!AC39)*100-AC39)/10000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EUR3E6E40Y_Quote#0000</v>
      </c>
      <c r="G40" s="79" t="str">
        <f>_xll.ohRangeRetrieveError(F40)</f>
        <v/>
      </c>
      <c r="H40" s="78"/>
      <c r="N40" s="126">
        <v>40</v>
      </c>
      <c r="O40" s="310" t="s">
        <v>77</v>
      </c>
      <c r="P40" s="309" t="str">
        <v>3E</v>
      </c>
      <c r="Q40" s="309" t="str">
        <v>6E</v>
      </c>
      <c r="R40" s="307" t="str">
        <f t="shared" si="1"/>
        <v>EUR3E6E40Y</v>
      </c>
      <c r="S40" s="267" t="str">
        <v>EUR3E6E40Y=ICAP</v>
      </c>
      <c r="T40" s="396">
        <v>4.8</v>
      </c>
      <c r="U40" s="396">
        <v>5.8</v>
      </c>
      <c r="V40" s="396">
        <f>_xll.qlMidEquivalent(T40,U40)</f>
        <v>5.3</v>
      </c>
      <c r="W40" s="263" t="b">
        <f t="shared" si="2"/>
        <v>1</v>
      </c>
      <c r="X40" s="401">
        <v>5.3</v>
      </c>
      <c r="Y40" s="399">
        <f>X38-X40</f>
        <v>0.79999999999999982</v>
      </c>
      <c r="Z40" s="394">
        <v>5.3</v>
      </c>
      <c r="AA40" s="257"/>
      <c r="AB40" s="264" t="str">
        <f t="shared" si="3"/>
        <v>EUR3E6E40Y_Quote</v>
      </c>
      <c r="AC40" s="393">
        <v>5.3</v>
      </c>
      <c r="AD40" s="262" t="e">
        <f>_xll.qlSimpleQuoteSetValue($AB40,ROUND($AC40/10000,6),Trigger)</f>
        <v>#N/A</v>
      </c>
      <c r="AE40" s="221"/>
      <c r="AF40" s="21"/>
      <c r="AG40" s="21"/>
      <c r="AH40" s="21"/>
      <c r="AI40" s="21"/>
      <c r="AJ40" s="21" t="str">
        <f t="shared" si="4"/>
        <v>40Y</v>
      </c>
      <c r="AK40" s="392">
        <f>((Swap6M!AB40-Swap3M!AC40)*100-AC40)/10000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EUR3E6E50Y_Quote#0000</v>
      </c>
      <c r="G41" s="79" t="str">
        <f>_xll.ohRangeRetrieveError(F41)</f>
        <v/>
      </c>
      <c r="H41" s="78"/>
      <c r="N41" s="126">
        <v>50</v>
      </c>
      <c r="O41" s="310" t="s">
        <v>67</v>
      </c>
      <c r="P41" s="309" t="str">
        <v>3E</v>
      </c>
      <c r="Q41" s="309" t="str">
        <v>6E</v>
      </c>
      <c r="R41" s="307" t="str">
        <f t="shared" si="1"/>
        <v>EUR3E6E50Y</v>
      </c>
      <c r="S41" s="267" t="str">
        <v>EUR3E6E50Y=ICAP</v>
      </c>
      <c r="T41" s="396">
        <v>4.3499999999999996</v>
      </c>
      <c r="U41" s="396">
        <v>5.35</v>
      </c>
      <c r="V41" s="396">
        <f>_xll.qlMidEquivalent(T41,U41)</f>
        <v>4.8499999999999996</v>
      </c>
      <c r="W41" s="263" t="b">
        <f t="shared" si="2"/>
        <v>1</v>
      </c>
      <c r="X41" s="401">
        <v>4.8499999999999996</v>
      </c>
      <c r="Y41" s="399">
        <f>X40-X41</f>
        <v>0.45000000000000018</v>
      </c>
      <c r="Z41" s="394">
        <v>4.8499999999999996</v>
      </c>
      <c r="AA41" s="257"/>
      <c r="AB41" s="264" t="str">
        <f t="shared" si="3"/>
        <v>EUR3E6E50Y_Quote</v>
      </c>
      <c r="AC41" s="393">
        <v>4.8499999999999996</v>
      </c>
      <c r="AD41" s="262" t="e">
        <f>_xll.qlSimpleQuoteSetValue($AB41,ROUND($AC41/10000,6),Trigger)</f>
        <v>#N/A</v>
      </c>
      <c r="AE41" s="221"/>
      <c r="AF41" s="21"/>
      <c r="AG41" s="21"/>
      <c r="AH41" s="21"/>
      <c r="AI41" s="21"/>
      <c r="AJ41" s="21" t="str">
        <f t="shared" si="4"/>
        <v>50Y</v>
      </c>
      <c r="AK41" s="392">
        <f>((Swap6M!AB41-Swap3M!AC41)*100-AC41)/10000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EUR3E6E60Y_Quote#0000</v>
      </c>
      <c r="G42" s="79" t="str">
        <f>_xll.ohRangeRetrieveError(F42)</f>
        <v/>
      </c>
      <c r="H42" s="78"/>
      <c r="N42" s="126">
        <v>60</v>
      </c>
      <c r="O42" s="310" t="s">
        <v>57</v>
      </c>
      <c r="P42" s="309" t="str">
        <v>3E</v>
      </c>
      <c r="Q42" s="309" t="str">
        <v>6E</v>
      </c>
      <c r="R42" s="307" t="str">
        <f t="shared" si="1"/>
        <v>EUR3E6E60Y</v>
      </c>
      <c r="S42" s="267" t="str">
        <v>EUR3E6E60Y=ICAP</v>
      </c>
      <c r="T42" s="396">
        <v>4.05</v>
      </c>
      <c r="U42" s="396">
        <v>5.05</v>
      </c>
      <c r="V42" s="396">
        <f>_xll.qlMidEquivalent(T42,U42)</f>
        <v>4.55</v>
      </c>
      <c r="W42" s="263" t="b">
        <f t="shared" si="2"/>
        <v>1</v>
      </c>
      <c r="X42" s="400">
        <f>X41-Y42</f>
        <v>4.5968749999999989</v>
      </c>
      <c r="Y42" s="399">
        <f>Y41/Y40*Y41</f>
        <v>0.25312500000000027</v>
      </c>
      <c r="Z42" s="394">
        <v>4.5968749999999989</v>
      </c>
      <c r="AA42" s="257"/>
      <c r="AB42" s="264" t="str">
        <f t="shared" si="3"/>
        <v>EUR3E6E60Y_Quote</v>
      </c>
      <c r="AC42" s="393">
        <v>4.5968749999999989</v>
      </c>
      <c r="AD42" s="262" t="e">
        <f>_xll.qlSimpleQuoteSetValue($AB42,ROUND($AC42/10000,6),Trigger)</f>
        <v>#N/A</v>
      </c>
      <c r="AE42" s="221"/>
      <c r="AF42" s="21"/>
      <c r="AG42" s="21"/>
      <c r="AH42" s="21"/>
      <c r="AI42" s="21"/>
      <c r="AJ42" s="21" t="str">
        <f t="shared" si="4"/>
        <v>60Y</v>
      </c>
      <c r="AK42" s="392">
        <f>((Swap6M!AB42-Swap3M!AC42)*100-AC42)/10000</f>
        <v>3.1249999999829468E-7</v>
      </c>
    </row>
    <row r="43" spans="1:37" ht="13.5" thickBot="1" x14ac:dyDescent="0.25">
      <c r="A43" s="77"/>
      <c r="B43" s="76"/>
      <c r="C43" s="76"/>
      <c r="D43" s="76"/>
      <c r="E43" s="76"/>
      <c r="F43" s="75"/>
      <c r="G43" s="75"/>
      <c r="H43" s="74"/>
      <c r="N43" s="52"/>
      <c r="O43" s="295"/>
      <c r="P43" s="295"/>
      <c r="Q43" s="295"/>
      <c r="R43" s="295"/>
      <c r="S43" s="295"/>
      <c r="T43" s="295"/>
      <c r="U43" s="295"/>
      <c r="V43" s="295"/>
      <c r="W43" s="295"/>
      <c r="X43" s="295"/>
      <c r="Y43" s="51"/>
      <c r="Z43" s="295"/>
      <c r="AA43" s="51"/>
      <c r="AB43" s="295"/>
      <c r="AC43" s="295"/>
      <c r="AD43" s="295"/>
      <c r="AE43" s="379"/>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27"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3"/>
      <c r="O2" s="141"/>
      <c r="P2" s="257"/>
      <c r="Q2" s="257"/>
      <c r="R2" s="257"/>
      <c r="S2" s="148" t="s">
        <v>235</v>
      </c>
      <c r="T2" s="257"/>
      <c r="U2" s="257"/>
      <c r="V2" s="257"/>
      <c r="W2" s="257"/>
      <c r="X2" s="141"/>
      <c r="Y2" s="257"/>
      <c r="Z2" s="257"/>
      <c r="AA2" s="257"/>
      <c r="AB2" s="398" t="s">
        <v>254</v>
      </c>
      <c r="AC2" s="148" t="s">
        <v>147</v>
      </c>
      <c r="AD2" s="141"/>
      <c r="AE2" s="53"/>
      <c r="AF2" s="21"/>
      <c r="AG2" s="21"/>
      <c r="AH2" s="21"/>
      <c r="AI2" s="21"/>
    </row>
    <row r="3" spans="1:35" x14ac:dyDescent="0.2">
      <c r="A3" s="107" t="s">
        <v>150</v>
      </c>
      <c r="B3" s="102"/>
      <c r="C3" s="102"/>
      <c r="D3" s="102"/>
      <c r="E3" s="103"/>
      <c r="F3" s="104"/>
      <c r="G3" s="103"/>
      <c r="H3" s="99"/>
      <c r="N3" s="126"/>
      <c r="O3" s="257"/>
      <c r="P3" s="141"/>
      <c r="Q3" s="141"/>
      <c r="R3" s="141"/>
      <c r="S3" s="141" t="str">
        <f>_xll.qlInterpolation(,InterpolationType,_xll.ohFilter(N5:N42,W5:W42),_xll.ohFilter(V5:V42,W5:W42))</f>
        <v>obj_005d7#0004</v>
      </c>
      <c r="T3" s="141"/>
      <c r="U3" s="141"/>
      <c r="V3" s="141"/>
      <c r="W3" s="141"/>
      <c r="X3" s="141"/>
      <c r="Y3" s="257"/>
      <c r="Z3" s="257"/>
      <c r="AA3" s="257"/>
      <c r="AB3" s="141"/>
      <c r="AC3" s="141"/>
      <c r="AD3" s="288">
        <f>_xll.ohTrigger(AD5:AD42)</f>
        <v>0</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83"/>
      <c r="P4" s="198"/>
      <c r="Q4" s="198"/>
      <c r="R4" s="198"/>
      <c r="S4" s="287" t="e">
        <f ca="1">_xll.RData(S5:S42,T4:U4,,ReutersRtMode,,T5)</f>
        <v>#NAME?</v>
      </c>
      <c r="T4" s="324" t="s">
        <v>258</v>
      </c>
      <c r="U4" s="324" t="s">
        <v>225</v>
      </c>
      <c r="V4" s="324" t="s">
        <v>285</v>
      </c>
      <c r="W4" s="324"/>
      <c r="X4" s="283" t="s">
        <v>284</v>
      </c>
      <c r="Y4" s="257"/>
      <c r="Z4" s="285" t="s">
        <v>252</v>
      </c>
      <c r="AA4" s="257"/>
      <c r="AB4" s="284" t="s">
        <v>251</v>
      </c>
      <c r="AC4" s="382"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EUR6E12E6M_Quote#0000</v>
      </c>
      <c r="G5" s="79" t="str">
        <f>_xll.ohRangeRetrieveError(F5)</f>
        <v/>
      </c>
      <c r="H5" s="78"/>
      <c r="N5" s="397">
        <v>0.5</v>
      </c>
      <c r="O5" s="310" t="s">
        <v>40</v>
      </c>
      <c r="P5" s="309" t="str">
        <f t="array" ref="P5:P42">VLOOKUP(Currency,Conventions,2)</f>
        <v>6E</v>
      </c>
      <c r="Q5" s="309" t="str">
        <f t="array" ref="Q5:Q42">VLOOKUP(Currency,Conventions,3)</f>
        <v>12E</v>
      </c>
      <c r="R5" s="307" t="str">
        <f t="shared" ref="R5:R42" si="1">Currency&amp;$P5&amp;$Q5&amp;$O5</f>
        <v>EUR6E12E6M</v>
      </c>
      <c r="S5" s="267" t="str">
        <f t="array" ref="S5:S42">Instruments&amp;"="&amp;VLOOKUP(Contributor,ContributorTable,2,FALSE)</f>
        <v>EUR6E12E6M=ICAP</v>
      </c>
      <c r="T5" s="396" t="s">
        <v>259</v>
      </c>
      <c r="U5" s="396" t="s">
        <v>259</v>
      </c>
      <c r="V5" s="396" t="e">
        <f>_xll.qlMidEquivalent(T5,U5)</f>
        <v>#NUM!</v>
      </c>
      <c r="W5" s="263" t="b">
        <f t="shared" ref="W5:W42" si="2">IF(ISNUMBER(V5),TRUE,FALSE)</f>
        <v>0</v>
      </c>
      <c r="X5" s="401" t="e">
        <f t="array" ref="X5:X38">_xll.qlInterpolationInterpolate(S3,N5:N42)</f>
        <v>#NUM!</v>
      </c>
      <c r="Y5" s="257"/>
      <c r="Z5" s="394" t="e">
        <v>#NUM!</v>
      </c>
      <c r="AA5" s="257"/>
      <c r="AB5" s="264" t="str">
        <f t="shared" ref="AB5:AB42" si="3">$R5&amp;$AC$2</f>
        <v>EUR6E12E6M_Quote</v>
      </c>
      <c r="AC5" s="393" t="e">
        <f t="array" ref="AC5:AC42">QuoteLive</f>
        <v>#NUM!</v>
      </c>
      <c r="AD5" s="262"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EUR6E12E1Y_Quote#0000</v>
      </c>
      <c r="G6" s="79" t="str">
        <f>_xll.ohRangeRetrieveError(F6)</f>
        <v/>
      </c>
      <c r="H6" s="78"/>
      <c r="N6" s="397">
        <v>1</v>
      </c>
      <c r="O6" s="310" t="s">
        <v>34</v>
      </c>
      <c r="P6" s="309" t="str">
        <v>6E</v>
      </c>
      <c r="Q6" s="309" t="str">
        <v>12E</v>
      </c>
      <c r="R6" s="307" t="str">
        <f t="shared" si="1"/>
        <v>EUR6E12E1Y</v>
      </c>
      <c r="S6" s="267" t="str">
        <v>EUR6E12E1Y=ICAP</v>
      </c>
      <c r="T6" s="396">
        <v>11.5</v>
      </c>
      <c r="U6" s="396">
        <v>0</v>
      </c>
      <c r="V6" s="396">
        <f>_xll.qlMidEquivalent(T6,U6)</f>
        <v>11.5</v>
      </c>
      <c r="W6" s="263" t="b">
        <f t="shared" si="2"/>
        <v>1</v>
      </c>
      <c r="X6" s="401">
        <v>11.5</v>
      </c>
      <c r="Y6" s="257"/>
      <c r="Z6" s="394">
        <v>11.5</v>
      </c>
      <c r="AA6" s="257"/>
      <c r="AB6" s="264" t="str">
        <f t="shared" si="3"/>
        <v>EUR6E12E1Y_Quote</v>
      </c>
      <c r="AC6" s="393">
        <v>11.5</v>
      </c>
      <c r="AD6" s="262"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EUR6E12E15M_Quote#0000</v>
      </c>
      <c r="G7" s="79" t="str">
        <f>_xll.ohRangeRetrieveError(F7)</f>
        <v/>
      </c>
      <c r="H7" s="78"/>
      <c r="N7" s="397">
        <v>1.25</v>
      </c>
      <c r="O7" s="310" t="s">
        <v>140</v>
      </c>
      <c r="P7" s="309" t="str">
        <v>6E</v>
      </c>
      <c r="Q7" s="309" t="str">
        <v>12E</v>
      </c>
      <c r="R7" s="307" t="str">
        <f t="shared" si="1"/>
        <v>EUR6E12E15M</v>
      </c>
      <c r="S7" s="267" t="str">
        <v>EUR6E12E15M=ICAP</v>
      </c>
      <c r="T7" s="396" t="s">
        <v>259</v>
      </c>
      <c r="U7" s="396" t="s">
        <v>259</v>
      </c>
      <c r="V7" s="396" t="e">
        <f>_xll.qlMidEquivalent(T7,U7)</f>
        <v>#NUM!</v>
      </c>
      <c r="W7" s="263" t="b">
        <f t="shared" si="2"/>
        <v>0</v>
      </c>
      <c r="X7" s="401">
        <v>12.050187007852388</v>
      </c>
      <c r="Y7" s="257"/>
      <c r="Z7" s="394">
        <v>12.048566052745013</v>
      </c>
      <c r="AA7" s="257"/>
      <c r="AB7" s="264" t="str">
        <f t="shared" si="3"/>
        <v>EUR6E12E15M_Quote</v>
      </c>
      <c r="AC7" s="393">
        <v>12.050187007852388</v>
      </c>
      <c r="AD7" s="262"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EUR6E12E18M_Quote#0000</v>
      </c>
      <c r="G8" s="79" t="str">
        <f>_xll.ohRangeRetrieveError(F8)</f>
        <v/>
      </c>
      <c r="H8" s="78"/>
      <c r="N8" s="397">
        <v>1.5</v>
      </c>
      <c r="O8" s="310" t="s">
        <v>139</v>
      </c>
      <c r="P8" s="309" t="str">
        <v>6E</v>
      </c>
      <c r="Q8" s="309" t="str">
        <v>12E</v>
      </c>
      <c r="R8" s="307" t="str">
        <f t="shared" si="1"/>
        <v>EUR6E12E18M</v>
      </c>
      <c r="S8" s="267" t="str">
        <v>EUR6E12E18M=ICAP</v>
      </c>
      <c r="T8" s="396" t="s">
        <v>259</v>
      </c>
      <c r="U8" s="396" t="s">
        <v>259</v>
      </c>
      <c r="V8" s="396" t="e">
        <f>_xll.qlMidEquivalent(T8,U8)</f>
        <v>#NUM!</v>
      </c>
      <c r="W8" s="263" t="b">
        <f t="shared" si="2"/>
        <v>0</v>
      </c>
      <c r="X8" s="401">
        <v>12.5779440069799</v>
      </c>
      <c r="Y8" s="257"/>
      <c r="Z8" s="394">
        <v>12.576503157995568</v>
      </c>
      <c r="AA8" s="257"/>
      <c r="AB8" s="264" t="str">
        <f t="shared" si="3"/>
        <v>EUR6E12E18M_Quote</v>
      </c>
      <c r="AC8" s="393">
        <v>12.5779440069799</v>
      </c>
      <c r="AD8" s="262"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EUR6E12E21M_Quote#0000</v>
      </c>
      <c r="G9" s="79" t="str">
        <f>_xll.ohRangeRetrieveError(F9)</f>
        <v/>
      </c>
      <c r="H9" s="78"/>
      <c r="N9" s="397">
        <v>1.75</v>
      </c>
      <c r="O9" s="310" t="s">
        <v>138</v>
      </c>
      <c r="P9" s="309" t="str">
        <v>6E</v>
      </c>
      <c r="Q9" s="309" t="str">
        <v>12E</v>
      </c>
      <c r="R9" s="307" t="str">
        <f t="shared" si="1"/>
        <v>EUR6E12E21M</v>
      </c>
      <c r="S9" s="267" t="str">
        <v>EUR6E12E21M=ICAP</v>
      </c>
      <c r="T9" s="396" t="s">
        <v>259</v>
      </c>
      <c r="U9" s="396" t="s">
        <v>259</v>
      </c>
      <c r="V9" s="396" t="e">
        <f>_xll.qlMidEquivalent(T9,U9)</f>
        <v>#NUM!</v>
      </c>
      <c r="W9" s="263" t="b">
        <f t="shared" si="2"/>
        <v>0</v>
      </c>
      <c r="X9" s="401">
        <v>12.991729002617461</v>
      </c>
      <c r="Y9" s="257"/>
      <c r="Z9" s="394">
        <v>12.991188684248337</v>
      </c>
      <c r="AA9" s="257"/>
      <c r="AB9" s="264" t="str">
        <f t="shared" si="3"/>
        <v>EUR6E12E21M_Quote</v>
      </c>
      <c r="AC9" s="393">
        <v>12.991729002617461</v>
      </c>
      <c r="AD9" s="262"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EUR6E12E2Y_Quote#0000</v>
      </c>
      <c r="G10" s="79" t="str">
        <f>_xll.ohRangeRetrieveError(F10)</f>
        <v/>
      </c>
      <c r="H10" s="78"/>
      <c r="J10" s="93" t="s">
        <v>137</v>
      </c>
      <c r="K10" s="92" t="s">
        <v>132</v>
      </c>
      <c r="L10" s="91" t="s">
        <v>143</v>
      </c>
      <c r="N10" s="126">
        <v>2</v>
      </c>
      <c r="O10" s="310" t="s">
        <v>115</v>
      </c>
      <c r="P10" s="309" t="str">
        <v>6E</v>
      </c>
      <c r="Q10" s="309" t="str">
        <v>12E</v>
      </c>
      <c r="R10" s="307" t="str">
        <f t="shared" si="1"/>
        <v>EUR6E12E2Y</v>
      </c>
      <c r="S10" s="267" t="str">
        <v>EUR6E12E2Y=ICAP</v>
      </c>
      <c r="T10" s="396">
        <v>13.2</v>
      </c>
      <c r="U10" s="396">
        <v>0</v>
      </c>
      <c r="V10" s="396">
        <f>_xll.qlMidEquivalent(T10,U10)</f>
        <v>13.2</v>
      </c>
      <c r="W10" s="263" t="b">
        <f t="shared" si="2"/>
        <v>1</v>
      </c>
      <c r="X10" s="401">
        <v>13.2</v>
      </c>
      <c r="Y10" s="257"/>
      <c r="Z10" s="394">
        <v>13.2</v>
      </c>
      <c r="AA10" s="257"/>
      <c r="AB10" s="264" t="str">
        <f t="shared" si="3"/>
        <v>EUR6E12E2Y_Quote</v>
      </c>
      <c r="AC10" s="393">
        <v>13.2</v>
      </c>
      <c r="AD10" s="262"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EUR6E12E3Y_Quote#0000</v>
      </c>
      <c r="G11" s="79" t="str">
        <f>_xll.ohRangeRetrieveError(F11)</f>
        <v/>
      </c>
      <c r="H11" s="78"/>
      <c r="J11" s="90" t="s">
        <v>123</v>
      </c>
      <c r="K11" s="89" t="s">
        <v>135</v>
      </c>
      <c r="L11" s="88" t="s">
        <v>144</v>
      </c>
      <c r="N11" s="126">
        <v>3</v>
      </c>
      <c r="O11" s="310" t="s">
        <v>114</v>
      </c>
      <c r="P11" s="309" t="str">
        <v>6E</v>
      </c>
      <c r="Q11" s="309" t="str">
        <v>12E</v>
      </c>
      <c r="R11" s="307" t="str">
        <f t="shared" si="1"/>
        <v>EUR6E12E3Y</v>
      </c>
      <c r="S11" s="267" t="str">
        <v>EUR6E12E3Y=ICAP</v>
      </c>
      <c r="T11" s="396">
        <v>13.3</v>
      </c>
      <c r="U11" s="396">
        <v>0</v>
      </c>
      <c r="V11" s="396">
        <f>_xll.qlMidEquivalent(T11,U11)</f>
        <v>13.3</v>
      </c>
      <c r="W11" s="263" t="b">
        <f t="shared" si="2"/>
        <v>1</v>
      </c>
      <c r="X11" s="401">
        <v>13.3</v>
      </c>
      <c r="Y11" s="257"/>
      <c r="Z11" s="394">
        <v>13.3</v>
      </c>
      <c r="AA11" s="257"/>
      <c r="AB11" s="264" t="str">
        <f t="shared" si="3"/>
        <v>EUR6E12E3Y_Quote</v>
      </c>
      <c r="AC11" s="393">
        <v>13.3</v>
      </c>
      <c r="AD11" s="262"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EUR6E12E4Y_Quote#0000</v>
      </c>
      <c r="G12" s="79" t="str">
        <f>_xll.ohRangeRetrieveError(F12)</f>
        <v/>
      </c>
      <c r="H12" s="78"/>
      <c r="J12" s="90" t="s">
        <v>134</v>
      </c>
      <c r="K12" s="89" t="s">
        <v>132</v>
      </c>
      <c r="L12" s="88" t="s">
        <v>143</v>
      </c>
      <c r="N12" s="126">
        <v>4</v>
      </c>
      <c r="O12" s="310" t="s">
        <v>113</v>
      </c>
      <c r="P12" s="309" t="str">
        <v>6E</v>
      </c>
      <c r="Q12" s="309" t="str">
        <v>12E</v>
      </c>
      <c r="R12" s="307" t="str">
        <f t="shared" si="1"/>
        <v>EUR6E12E4Y</v>
      </c>
      <c r="S12" s="267" t="str">
        <v>EUR6E12E4Y=ICAP</v>
      </c>
      <c r="T12" s="396">
        <v>13.3</v>
      </c>
      <c r="U12" s="396">
        <v>0</v>
      </c>
      <c r="V12" s="396">
        <f>_xll.qlMidEquivalent(T12,U12)</f>
        <v>13.3</v>
      </c>
      <c r="W12" s="263" t="b">
        <f t="shared" si="2"/>
        <v>1</v>
      </c>
      <c r="X12" s="401">
        <v>13.3</v>
      </c>
      <c r="Y12" s="257"/>
      <c r="Z12" s="394">
        <v>13.2</v>
      </c>
      <c r="AA12" s="257"/>
      <c r="AB12" s="264" t="str">
        <f t="shared" si="3"/>
        <v>EUR6E12E4Y_Quote</v>
      </c>
      <c r="AC12" s="393">
        <v>13.3</v>
      </c>
      <c r="AD12" s="262"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EUR6E12E5Y_Quote#0000</v>
      </c>
      <c r="G13" s="79" t="str">
        <f>_xll.ohRangeRetrieveError(F13)</f>
        <v/>
      </c>
      <c r="H13" s="78"/>
      <c r="J13" s="90" t="s">
        <v>133</v>
      </c>
      <c r="K13" s="89" t="s">
        <v>132</v>
      </c>
      <c r="L13" s="88" t="s">
        <v>143</v>
      </c>
      <c r="N13" s="126">
        <v>5</v>
      </c>
      <c r="O13" s="310" t="s">
        <v>112</v>
      </c>
      <c r="P13" s="309" t="str">
        <v>6E</v>
      </c>
      <c r="Q13" s="309" t="str">
        <v>12E</v>
      </c>
      <c r="R13" s="307" t="str">
        <f t="shared" si="1"/>
        <v>EUR6E12E5Y</v>
      </c>
      <c r="S13" s="267" t="str">
        <v>EUR6E12E5Y=ICAP</v>
      </c>
      <c r="T13" s="396">
        <v>13.2</v>
      </c>
      <c r="U13" s="396">
        <v>0</v>
      </c>
      <c r="V13" s="396">
        <f>_xll.qlMidEquivalent(T13,U13)</f>
        <v>13.2</v>
      </c>
      <c r="W13" s="263" t="b">
        <f t="shared" si="2"/>
        <v>1</v>
      </c>
      <c r="X13" s="401">
        <v>13.2</v>
      </c>
      <c r="Y13" s="257"/>
      <c r="Z13" s="394">
        <v>13.2</v>
      </c>
      <c r="AA13" s="257"/>
      <c r="AB13" s="264" t="str">
        <f t="shared" si="3"/>
        <v>EUR6E12E5Y_Quote</v>
      </c>
      <c r="AC13" s="393">
        <v>13.2</v>
      </c>
      <c r="AD13" s="262"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EUR6E12E6Y_Quote#0000</v>
      </c>
      <c r="G14" s="79" t="str">
        <f>_xll.ohRangeRetrieveError(F14)</f>
        <v/>
      </c>
      <c r="H14" s="78"/>
      <c r="J14" s="87" t="s">
        <v>131</v>
      </c>
      <c r="K14" s="86" t="s">
        <v>143</v>
      </c>
      <c r="L14" s="85" t="s">
        <v>130</v>
      </c>
      <c r="N14" s="126">
        <v>6</v>
      </c>
      <c r="O14" s="310" t="s">
        <v>111</v>
      </c>
      <c r="P14" s="309" t="str">
        <v>6E</v>
      </c>
      <c r="Q14" s="309" t="str">
        <v>12E</v>
      </c>
      <c r="R14" s="307" t="str">
        <f t="shared" si="1"/>
        <v>EUR6E12E6Y</v>
      </c>
      <c r="S14" s="267" t="str">
        <v>EUR6E12E6Y=ICAP</v>
      </c>
      <c r="T14" s="396">
        <v>13.1</v>
      </c>
      <c r="U14" s="396">
        <v>0</v>
      </c>
      <c r="V14" s="396">
        <f>_xll.qlMidEquivalent(T14,U14)</f>
        <v>13.1</v>
      </c>
      <c r="W14" s="263" t="b">
        <f t="shared" si="2"/>
        <v>1</v>
      </c>
      <c r="X14" s="401">
        <v>13.1</v>
      </c>
      <c r="Y14" s="257"/>
      <c r="Z14" s="394">
        <v>13.1</v>
      </c>
      <c r="AA14" s="257"/>
      <c r="AB14" s="264" t="str">
        <f t="shared" si="3"/>
        <v>EUR6E12E6Y_Quote</v>
      </c>
      <c r="AC14" s="393">
        <v>13.1</v>
      </c>
      <c r="AD14" s="262"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EUR6E12E7Y_Quote#0000</v>
      </c>
      <c r="G15" s="79" t="str">
        <f>_xll.ohRangeRetrieveError(F15)</f>
        <v/>
      </c>
      <c r="H15" s="78"/>
      <c r="N15" s="126">
        <v>7</v>
      </c>
      <c r="O15" s="310" t="s">
        <v>110</v>
      </c>
      <c r="P15" s="309" t="str">
        <v>6E</v>
      </c>
      <c r="Q15" s="309" t="str">
        <v>12E</v>
      </c>
      <c r="R15" s="307" t="str">
        <f t="shared" si="1"/>
        <v>EUR6E12E7Y</v>
      </c>
      <c r="S15" s="267" t="str">
        <v>EUR6E12E7Y=ICAP</v>
      </c>
      <c r="T15" s="396">
        <v>12.9</v>
      </c>
      <c r="U15" s="396">
        <v>0</v>
      </c>
      <c r="V15" s="396">
        <f>_xll.qlMidEquivalent(T15,U15)</f>
        <v>12.9</v>
      </c>
      <c r="W15" s="263" t="b">
        <f t="shared" si="2"/>
        <v>1</v>
      </c>
      <c r="X15" s="401">
        <v>12.9</v>
      </c>
      <c r="Y15" s="257"/>
      <c r="Z15" s="394">
        <v>12.9</v>
      </c>
      <c r="AA15" s="257"/>
      <c r="AB15" s="264" t="str">
        <f t="shared" si="3"/>
        <v>EUR6E12E7Y_Quote</v>
      </c>
      <c r="AC15" s="393">
        <v>12.9</v>
      </c>
      <c r="AD15" s="262"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EUR6E12E8Y_Quote#0000</v>
      </c>
      <c r="G16" s="79" t="str">
        <f>_xll.ohRangeRetrieveError(F16)</f>
        <v/>
      </c>
      <c r="H16" s="78"/>
      <c r="N16" s="126">
        <v>8</v>
      </c>
      <c r="O16" s="310" t="s">
        <v>109</v>
      </c>
      <c r="P16" s="309" t="str">
        <v>6E</v>
      </c>
      <c r="Q16" s="309" t="str">
        <v>12E</v>
      </c>
      <c r="R16" s="307" t="str">
        <f t="shared" si="1"/>
        <v>EUR6E12E8Y</v>
      </c>
      <c r="S16" s="267" t="str">
        <v>EUR6E12E8Y=ICAP</v>
      </c>
      <c r="T16" s="396">
        <v>12.6</v>
      </c>
      <c r="U16" s="396">
        <v>0</v>
      </c>
      <c r="V16" s="396">
        <f>_xll.qlMidEquivalent(T16,U16)</f>
        <v>12.6</v>
      </c>
      <c r="W16" s="263" t="b">
        <f t="shared" si="2"/>
        <v>1</v>
      </c>
      <c r="X16" s="401">
        <v>12.6</v>
      </c>
      <c r="Y16" s="257"/>
      <c r="Z16" s="394">
        <v>12.6</v>
      </c>
      <c r="AA16" s="257"/>
      <c r="AB16" s="264" t="str">
        <f t="shared" si="3"/>
        <v>EUR6E12E8Y_Quote</v>
      </c>
      <c r="AC16" s="393">
        <v>12.6</v>
      </c>
      <c r="AD16" s="262"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EUR6E12E9Y_Quote#0000</v>
      </c>
      <c r="G17" s="79" t="str">
        <f>_xll.ohRangeRetrieveError(F17)</f>
        <v/>
      </c>
      <c r="H17" s="78"/>
      <c r="N17" s="126">
        <v>9</v>
      </c>
      <c r="O17" s="310" t="s">
        <v>108</v>
      </c>
      <c r="P17" s="309" t="str">
        <v>6E</v>
      </c>
      <c r="Q17" s="309" t="str">
        <v>12E</v>
      </c>
      <c r="R17" s="307" t="str">
        <f t="shared" si="1"/>
        <v>EUR6E12E9Y</v>
      </c>
      <c r="S17" s="267" t="str">
        <v>EUR6E12E9Y=ICAP</v>
      </c>
      <c r="T17" s="396">
        <v>12.4</v>
      </c>
      <c r="U17" s="396">
        <v>0</v>
      </c>
      <c r="V17" s="396">
        <f>_xll.qlMidEquivalent(T17,U17)</f>
        <v>12.4</v>
      </c>
      <c r="W17" s="263" t="b">
        <f t="shared" si="2"/>
        <v>1</v>
      </c>
      <c r="X17" s="401">
        <v>12.4</v>
      </c>
      <c r="Y17" s="257"/>
      <c r="Z17" s="394">
        <v>12.3</v>
      </c>
      <c r="AA17" s="257"/>
      <c r="AB17" s="264" t="str">
        <f t="shared" si="3"/>
        <v>EUR6E12E9Y_Quote</v>
      </c>
      <c r="AC17" s="393">
        <v>12.4</v>
      </c>
      <c r="AD17" s="262"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EUR6E12E10Y_Quote#0000</v>
      </c>
      <c r="G18" s="79" t="str">
        <f>_xll.ohRangeRetrieveError(F18)</f>
        <v/>
      </c>
      <c r="H18" s="78"/>
      <c r="N18" s="126">
        <v>10</v>
      </c>
      <c r="O18" s="310" t="s">
        <v>107</v>
      </c>
      <c r="P18" s="309" t="str">
        <v>6E</v>
      </c>
      <c r="Q18" s="309" t="str">
        <v>12E</v>
      </c>
      <c r="R18" s="307" t="str">
        <f t="shared" si="1"/>
        <v>EUR6E12E10Y</v>
      </c>
      <c r="S18" s="267" t="str">
        <v>EUR6E12E10Y=ICAP</v>
      </c>
      <c r="T18" s="396">
        <v>12.1</v>
      </c>
      <c r="U18" s="396">
        <v>0</v>
      </c>
      <c r="V18" s="396">
        <f>_xll.qlMidEquivalent(T18,U18)</f>
        <v>12.1</v>
      </c>
      <c r="W18" s="263" t="b">
        <f t="shared" si="2"/>
        <v>1</v>
      </c>
      <c r="X18" s="401">
        <v>12.1</v>
      </c>
      <c r="Y18" s="257"/>
      <c r="Z18" s="394">
        <v>12.1</v>
      </c>
      <c r="AA18" s="257"/>
      <c r="AB18" s="264" t="str">
        <f t="shared" si="3"/>
        <v>EUR6E12E10Y_Quote</v>
      </c>
      <c r="AC18" s="393">
        <v>12.1</v>
      </c>
      <c r="AD18" s="262"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EUR6E12E11Y_Quote#0000</v>
      </c>
      <c r="G19" s="79" t="str">
        <f>_xll.ohRangeRetrieveError(F19)</f>
        <v/>
      </c>
      <c r="H19" s="78"/>
      <c r="N19" s="126">
        <v>11</v>
      </c>
      <c r="O19" s="310" t="s">
        <v>106</v>
      </c>
      <c r="P19" s="309" t="str">
        <v>6E</v>
      </c>
      <c r="Q19" s="309" t="str">
        <v>12E</v>
      </c>
      <c r="R19" s="307" t="str">
        <f t="shared" si="1"/>
        <v>EUR6E12E11Y</v>
      </c>
      <c r="S19" s="267" t="str">
        <v>EUR6E12E11Y=ICAP</v>
      </c>
      <c r="T19" s="396">
        <v>11.7</v>
      </c>
      <c r="U19" s="396">
        <v>0</v>
      </c>
      <c r="V19" s="396">
        <f>_xll.qlMidEquivalent(T19,U19)</f>
        <v>11.7</v>
      </c>
      <c r="W19" s="263" t="b">
        <f t="shared" si="2"/>
        <v>1</v>
      </c>
      <c r="X19" s="401">
        <v>11.7</v>
      </c>
      <c r="Y19" s="257"/>
      <c r="Z19" s="394">
        <v>11.7</v>
      </c>
      <c r="AA19" s="257"/>
      <c r="AB19" s="264" t="str">
        <f t="shared" si="3"/>
        <v>EUR6E12E11Y_Quote</v>
      </c>
      <c r="AC19" s="393">
        <v>11.7</v>
      </c>
      <c r="AD19" s="262"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EUR6E12E12Y_Quote#0000</v>
      </c>
      <c r="G20" s="79" t="str">
        <f>_xll.ohRangeRetrieveError(F20)</f>
        <v/>
      </c>
      <c r="H20" s="78"/>
      <c r="N20" s="126">
        <v>12</v>
      </c>
      <c r="O20" s="310" t="s">
        <v>105</v>
      </c>
      <c r="P20" s="309" t="str">
        <v>6E</v>
      </c>
      <c r="Q20" s="309" t="str">
        <v>12E</v>
      </c>
      <c r="R20" s="307" t="str">
        <f t="shared" si="1"/>
        <v>EUR6E12E12Y</v>
      </c>
      <c r="S20" s="267" t="str">
        <v>EUR6E12E12Y=ICAP</v>
      </c>
      <c r="T20" s="396">
        <v>11.3</v>
      </c>
      <c r="U20" s="396">
        <v>0</v>
      </c>
      <c r="V20" s="396">
        <f>_xll.qlMidEquivalent(T20,U20)</f>
        <v>11.3</v>
      </c>
      <c r="W20" s="263" t="b">
        <f t="shared" si="2"/>
        <v>1</v>
      </c>
      <c r="X20" s="401">
        <v>11.3</v>
      </c>
      <c r="Y20" s="257"/>
      <c r="Z20" s="394">
        <v>11.3</v>
      </c>
      <c r="AA20" s="257"/>
      <c r="AB20" s="264" t="str">
        <f t="shared" si="3"/>
        <v>EUR6E12E12Y_Quote</v>
      </c>
      <c r="AC20" s="393">
        <v>11.3</v>
      </c>
      <c r="AD20" s="262"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EUR6E12E13Y_Quote#0000</v>
      </c>
      <c r="G21" s="79" t="str">
        <f>_xll.ohRangeRetrieveError(F21)</f>
        <v/>
      </c>
      <c r="H21" s="78"/>
      <c r="N21" s="126">
        <v>13</v>
      </c>
      <c r="O21" s="310" t="s">
        <v>104</v>
      </c>
      <c r="P21" s="309" t="str">
        <v>6E</v>
      </c>
      <c r="Q21" s="309" t="str">
        <v>12E</v>
      </c>
      <c r="R21" s="307" t="str">
        <f t="shared" si="1"/>
        <v>EUR6E12E13Y</v>
      </c>
      <c r="S21" s="267" t="str">
        <v>EUR6E12E13Y=ICAP</v>
      </c>
      <c r="T21" s="396" t="s">
        <v>259</v>
      </c>
      <c r="U21" s="396" t="s">
        <v>259</v>
      </c>
      <c r="V21" s="396" t="e">
        <f>_xll.qlMidEquivalent(T21,U21)</f>
        <v>#NUM!</v>
      </c>
      <c r="W21" s="263" t="b">
        <f t="shared" si="2"/>
        <v>0</v>
      </c>
      <c r="X21" s="401">
        <v>10.934820884371806</v>
      </c>
      <c r="Y21" s="257"/>
      <c r="Z21" s="394">
        <v>10.939335131423944</v>
      </c>
      <c r="AA21" s="257"/>
      <c r="AB21" s="264" t="str">
        <f t="shared" si="3"/>
        <v>EUR6E12E13Y_Quote</v>
      </c>
      <c r="AC21" s="393">
        <v>10.934820884371806</v>
      </c>
      <c r="AD21" s="262"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EUR6E12E14Y_Quote#0000</v>
      </c>
      <c r="G22" s="79" t="str">
        <f>_xll.ohRangeRetrieveError(F22)</f>
        <v/>
      </c>
      <c r="H22" s="78"/>
      <c r="N22" s="126">
        <v>14</v>
      </c>
      <c r="O22" s="310" t="s">
        <v>103</v>
      </c>
      <c r="P22" s="309" t="str">
        <v>6E</v>
      </c>
      <c r="Q22" s="309" t="str">
        <v>12E</v>
      </c>
      <c r="R22" s="307" t="str">
        <f t="shared" si="1"/>
        <v>EUR6E12E14Y</v>
      </c>
      <c r="S22" s="267" t="str">
        <v>EUR6E12E14Y=ICAP</v>
      </c>
      <c r="T22" s="396" t="s">
        <v>259</v>
      </c>
      <c r="U22" s="396" t="s">
        <v>259</v>
      </c>
      <c r="V22" s="396" t="e">
        <f>_xll.qlMidEquivalent(T22,U22)</f>
        <v>#NUM!</v>
      </c>
      <c r="W22" s="263" t="b">
        <f t="shared" si="2"/>
        <v>0</v>
      </c>
      <c r="X22" s="401">
        <v>10.603393916008477</v>
      </c>
      <c r="Y22" s="257"/>
      <c r="Z22" s="394">
        <v>10.606607725124706</v>
      </c>
      <c r="AA22" s="257"/>
      <c r="AB22" s="264" t="str">
        <f t="shared" si="3"/>
        <v>EUR6E12E14Y_Quote</v>
      </c>
      <c r="AC22" s="393">
        <v>10.603393916008477</v>
      </c>
      <c r="AD22" s="262"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EUR6E12E15Y_Quote#0000</v>
      </c>
      <c r="G23" s="79" t="str">
        <f>_xll.ohRangeRetrieveError(F23)</f>
        <v/>
      </c>
      <c r="H23" s="78"/>
      <c r="N23" s="126">
        <v>15</v>
      </c>
      <c r="O23" s="310" t="s">
        <v>102</v>
      </c>
      <c r="P23" s="309" t="str">
        <v>6E</v>
      </c>
      <c r="Q23" s="309" t="str">
        <v>12E</v>
      </c>
      <c r="R23" s="307" t="str">
        <f t="shared" si="1"/>
        <v>EUR6E12E15Y</v>
      </c>
      <c r="S23" s="267" t="str">
        <v>EUR6E12E15Y=ICAP</v>
      </c>
      <c r="T23" s="396">
        <v>10.3</v>
      </c>
      <c r="U23" s="396">
        <v>0</v>
      </c>
      <c r="V23" s="396">
        <f>_xll.qlMidEquivalent(T23,U23)</f>
        <v>10.3</v>
      </c>
      <c r="W23" s="263" t="b">
        <f t="shared" si="2"/>
        <v>1</v>
      </c>
      <c r="X23" s="401">
        <v>10.3</v>
      </c>
      <c r="Y23" s="257"/>
      <c r="Z23" s="394">
        <v>10.3</v>
      </c>
      <c r="AA23" s="257"/>
      <c r="AB23" s="264" t="str">
        <f t="shared" si="3"/>
        <v>EUR6E12E15Y_Quote</v>
      </c>
      <c r="AC23" s="393">
        <v>10.3</v>
      </c>
      <c r="AD23" s="262"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EUR6E12E16Y_Quote#0000</v>
      </c>
      <c r="G24" s="79" t="str">
        <f>_xll.ohRangeRetrieveError(F24)</f>
        <v/>
      </c>
      <c r="H24" s="78"/>
      <c r="N24" s="126">
        <v>16</v>
      </c>
      <c r="O24" s="310" t="s">
        <v>101</v>
      </c>
      <c r="P24" s="309" t="str">
        <v>6E</v>
      </c>
      <c r="Q24" s="309" t="str">
        <v>12E</v>
      </c>
      <c r="R24" s="307" t="str">
        <f t="shared" si="1"/>
        <v>EUR6E12E16Y</v>
      </c>
      <c r="S24" s="267" t="str">
        <v>EUR6E12E16Y=ICAP</v>
      </c>
      <c r="T24" s="396" t="s">
        <v>259</v>
      </c>
      <c r="U24" s="396" t="s">
        <v>259</v>
      </c>
      <c r="V24" s="396" t="e">
        <f>_xll.qlMidEquivalent(T24,U24)</f>
        <v>#NUM!</v>
      </c>
      <c r="W24" s="263" t="b">
        <f t="shared" si="2"/>
        <v>0</v>
      </c>
      <c r="X24" s="401">
        <v>10.019693178368922</v>
      </c>
      <c r="Y24" s="257"/>
      <c r="Z24" s="394">
        <v>10.017733100920223</v>
      </c>
      <c r="AA24" s="257"/>
      <c r="AB24" s="264" t="str">
        <f t="shared" si="3"/>
        <v>EUR6E12E16Y_Quote</v>
      </c>
      <c r="AC24" s="393">
        <v>10.019693178368922</v>
      </c>
      <c r="AD24" s="262"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EUR6E12E17Y_Quote#0000</v>
      </c>
      <c r="G25" s="79" t="str">
        <f>_xll.ohRangeRetrieveError(F25)</f>
        <v/>
      </c>
      <c r="H25" s="78"/>
      <c r="N25" s="126">
        <v>17</v>
      </c>
      <c r="O25" s="310" t="s">
        <v>100</v>
      </c>
      <c r="P25" s="309" t="str">
        <v>6E</v>
      </c>
      <c r="Q25" s="309" t="str">
        <v>12E</v>
      </c>
      <c r="R25" s="307" t="str">
        <f t="shared" si="1"/>
        <v>EUR6E12E17Y</v>
      </c>
      <c r="S25" s="267" t="str">
        <v>EUR6E12E17Y=ICAP</v>
      </c>
      <c r="T25" s="396" t="s">
        <v>259</v>
      </c>
      <c r="U25" s="396" t="s">
        <v>259</v>
      </c>
      <c r="V25" s="396" t="e">
        <f>_xll.qlMidEquivalent(T25,U25)</f>
        <v>#NUM!</v>
      </c>
      <c r="W25" s="263" t="b">
        <f t="shared" si="2"/>
        <v>0</v>
      </c>
      <c r="X25" s="401">
        <v>9.7606200408680301</v>
      </c>
      <c r="Y25" s="257"/>
      <c r="Z25" s="394">
        <v>9.7581838766465108</v>
      </c>
      <c r="AA25" s="257"/>
      <c r="AB25" s="264" t="str">
        <f t="shared" si="3"/>
        <v>EUR6E12E17Y_Quote</v>
      </c>
      <c r="AC25" s="393">
        <v>9.7606200408680301</v>
      </c>
      <c r="AD25" s="262"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EUR6E12E18Y_Quote#0000</v>
      </c>
      <c r="G26" s="79" t="str">
        <f>_xll.ohRangeRetrieveError(F26)</f>
        <v/>
      </c>
      <c r="H26" s="78"/>
      <c r="N26" s="126">
        <v>18</v>
      </c>
      <c r="O26" s="310" t="s">
        <v>99</v>
      </c>
      <c r="P26" s="309" t="str">
        <v>6E</v>
      </c>
      <c r="Q26" s="309" t="str">
        <v>12E</v>
      </c>
      <c r="R26" s="307" t="str">
        <f t="shared" si="1"/>
        <v>EUR6E12E18Y</v>
      </c>
      <c r="S26" s="267" t="str">
        <v>EUR6E12E18Y=ICAP</v>
      </c>
      <c r="T26" s="396" t="s">
        <v>259</v>
      </c>
      <c r="U26" s="396" t="s">
        <v>259</v>
      </c>
      <c r="V26" s="396" t="e">
        <f>_xll.qlMidEquivalent(T26,U26)</f>
        <v>#NUM!</v>
      </c>
      <c r="W26" s="263" t="b">
        <f t="shared" si="2"/>
        <v>0</v>
      </c>
      <c r="X26" s="401">
        <v>9.5217003141826773</v>
      </c>
      <c r="Y26" s="257"/>
      <c r="Z26" s="394">
        <v>9.519768101912689</v>
      </c>
      <c r="AA26" s="257"/>
      <c r="AB26" s="264" t="str">
        <f t="shared" si="3"/>
        <v>EUR6E12E18Y_Quote</v>
      </c>
      <c r="AC26" s="393">
        <v>9.5217003141826773</v>
      </c>
      <c r="AD26" s="262"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EUR6E12E19Y_Quote#0000</v>
      </c>
      <c r="G27" s="79" t="str">
        <f>_xll.ohRangeRetrieveError(F27)</f>
        <v/>
      </c>
      <c r="H27" s="78"/>
      <c r="N27" s="126">
        <v>19</v>
      </c>
      <c r="O27" s="310" t="s">
        <v>98</v>
      </c>
      <c r="P27" s="309" t="str">
        <v>6E</v>
      </c>
      <c r="Q27" s="309" t="str">
        <v>12E</v>
      </c>
      <c r="R27" s="307" t="str">
        <f t="shared" si="1"/>
        <v>EUR6E12E19Y</v>
      </c>
      <c r="S27" s="267" t="str">
        <v>EUR6E12E19Y=ICAP</v>
      </c>
      <c r="T27" s="396" t="s">
        <v>259</v>
      </c>
      <c r="U27" s="396" t="s">
        <v>259</v>
      </c>
      <c r="V27" s="396" t="e">
        <f>_xll.qlMidEquivalent(T27,U27)</f>
        <v>#NUM!</v>
      </c>
      <c r="W27" s="263" t="b">
        <f t="shared" si="2"/>
        <v>0</v>
      </c>
      <c r="X27" s="401">
        <v>9.3018537249982174</v>
      </c>
      <c r="Y27" s="257"/>
      <c r="Z27" s="394">
        <v>9.3009015514525775</v>
      </c>
      <c r="AA27" s="257"/>
      <c r="AB27" s="264" t="str">
        <f t="shared" si="3"/>
        <v>EUR6E12E19Y_Quote</v>
      </c>
      <c r="AC27" s="393">
        <v>9.3018537249982174</v>
      </c>
      <c r="AD27" s="262"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EUR6E12E20Y_Quote#0000</v>
      </c>
      <c r="G28" s="79" t="str">
        <f>_xll.ohRangeRetrieveError(F28)</f>
        <v/>
      </c>
      <c r="H28" s="78"/>
      <c r="N28" s="126">
        <v>20</v>
      </c>
      <c r="O28" s="310" t="s">
        <v>97</v>
      </c>
      <c r="P28" s="309" t="str">
        <v>6E</v>
      </c>
      <c r="Q28" s="309" t="str">
        <v>12E</v>
      </c>
      <c r="R28" s="307" t="str">
        <f t="shared" si="1"/>
        <v>EUR6E12E20Y</v>
      </c>
      <c r="S28" s="267" t="str">
        <v>EUR6E12E20Y=ICAP</v>
      </c>
      <c r="T28" s="396">
        <v>9.1</v>
      </c>
      <c r="U28" s="396">
        <v>0</v>
      </c>
      <c r="V28" s="396">
        <f>_xll.qlMidEquivalent(T28,U28)</f>
        <v>9.1</v>
      </c>
      <c r="W28" s="263" t="b">
        <f t="shared" si="2"/>
        <v>1</v>
      </c>
      <c r="X28" s="401">
        <v>9.1</v>
      </c>
      <c r="Y28" s="257"/>
      <c r="Z28" s="394">
        <v>9.1</v>
      </c>
      <c r="AA28" s="257"/>
      <c r="AB28" s="264" t="str">
        <f t="shared" si="3"/>
        <v>EUR6E12E20Y_Quote</v>
      </c>
      <c r="AC28" s="393">
        <v>9.1</v>
      </c>
      <c r="AD28" s="262"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EUR6E12E21Y_Quote#0000</v>
      </c>
      <c r="G29" s="79" t="str">
        <f>_xll.ohRangeRetrieveError(F29)</f>
        <v/>
      </c>
      <c r="H29" s="78"/>
      <c r="N29" s="126">
        <v>21</v>
      </c>
      <c r="O29" s="310" t="s">
        <v>96</v>
      </c>
      <c r="P29" s="309" t="str">
        <v>6E</v>
      </c>
      <c r="Q29" s="309" t="str">
        <v>12E</v>
      </c>
      <c r="R29" s="307" t="str">
        <f t="shared" si="1"/>
        <v>EUR6E12E21Y</v>
      </c>
      <c r="S29" s="267" t="str">
        <v>EUR6E12E21Y=ICAP</v>
      </c>
      <c r="T29" s="396" t="s">
        <v>259</v>
      </c>
      <c r="U29" s="396" t="s">
        <v>259</v>
      </c>
      <c r="V29" s="396" t="e">
        <f>_xll.qlMidEquivalent(T29,U29)</f>
        <v>#NUM!</v>
      </c>
      <c r="W29" s="263" t="b">
        <f t="shared" si="2"/>
        <v>0</v>
      </c>
      <c r="X29" s="401">
        <v>8.9148763476990585</v>
      </c>
      <c r="Y29" s="257"/>
      <c r="Z29" s="394">
        <v>8.9154030675405078</v>
      </c>
      <c r="AA29" s="257"/>
      <c r="AB29" s="264" t="str">
        <f t="shared" si="3"/>
        <v>EUR6E12E21Y_Quote</v>
      </c>
      <c r="AC29" s="393">
        <v>8.9148763476990585</v>
      </c>
      <c r="AD29" s="262"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EUR6E12E22Y_Quote#0000</v>
      </c>
      <c r="G30" s="79" t="str">
        <f>_xll.ohRangeRetrieveError(F30)</f>
        <v/>
      </c>
      <c r="H30" s="78"/>
      <c r="N30" s="126">
        <v>22</v>
      </c>
      <c r="O30" s="310" t="s">
        <v>95</v>
      </c>
      <c r="P30" s="309" t="str">
        <v>6E</v>
      </c>
      <c r="Q30" s="309" t="str">
        <v>12E</v>
      </c>
      <c r="R30" s="307" t="str">
        <f t="shared" si="1"/>
        <v>EUR6E12E22Y</v>
      </c>
      <c r="S30" s="267" t="str">
        <v>EUR6E12E22Y=ICAP</v>
      </c>
      <c r="T30" s="396" t="s">
        <v>259</v>
      </c>
      <c r="U30" s="396" t="s">
        <v>259</v>
      </c>
      <c r="V30" s="396" t="e">
        <f>_xll.qlMidEquivalent(T30,U30)</f>
        <v>#NUM!</v>
      </c>
      <c r="W30" s="263" t="b">
        <f t="shared" si="2"/>
        <v>0</v>
      </c>
      <c r="X30" s="401">
        <v>8.7444899039091517</v>
      </c>
      <c r="Y30" s="257"/>
      <c r="Z30" s="394">
        <v>8.7451457550665683</v>
      </c>
      <c r="AA30" s="257"/>
      <c r="AB30" s="264" t="str">
        <f t="shared" si="3"/>
        <v>EUR6E12E22Y_Quote</v>
      </c>
      <c r="AC30" s="393">
        <v>8.7444899039091517</v>
      </c>
      <c r="AD30" s="262"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EUR6E12E23Y_Quote#0000</v>
      </c>
      <c r="G31" s="79" t="str">
        <f>_xll.ohRangeRetrieveError(F31)</f>
        <v/>
      </c>
      <c r="H31" s="78"/>
      <c r="N31" s="126">
        <v>23</v>
      </c>
      <c r="O31" s="310" t="s">
        <v>94</v>
      </c>
      <c r="P31" s="309" t="str">
        <v>6E</v>
      </c>
      <c r="Q31" s="309" t="str">
        <v>12E</v>
      </c>
      <c r="R31" s="307" t="str">
        <f t="shared" si="1"/>
        <v>EUR6E12E23Y</v>
      </c>
      <c r="S31" s="267" t="str">
        <v>EUR6E12E23Y=ICAP</v>
      </c>
      <c r="T31" s="396" t="s">
        <v>259</v>
      </c>
      <c r="U31" s="396" t="s">
        <v>259</v>
      </c>
      <c r="V31" s="396" t="e">
        <f>_xll.qlMidEquivalent(T31,U31)</f>
        <v>#NUM!</v>
      </c>
      <c r="W31" s="263" t="b">
        <f t="shared" si="2"/>
        <v>0</v>
      </c>
      <c r="X31" s="401">
        <v>8.5866652862697137</v>
      </c>
      <c r="Y31" s="257"/>
      <c r="Z31" s="394">
        <v>8.5871869088223747</v>
      </c>
      <c r="AA31" s="257"/>
      <c r="AB31" s="264" t="str">
        <f t="shared" si="3"/>
        <v>EUR6E12E23Y_Quote</v>
      </c>
      <c r="AC31" s="393">
        <v>8.5866652862697137</v>
      </c>
      <c r="AD31" s="262"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EUR6E12E24Y_Quote#0000</v>
      </c>
      <c r="G32" s="79" t="str">
        <f>_xll.ohRangeRetrieveError(F32)</f>
        <v/>
      </c>
      <c r="H32" s="78"/>
      <c r="N32" s="126">
        <v>24</v>
      </c>
      <c r="O32" s="310" t="s">
        <v>93</v>
      </c>
      <c r="P32" s="309" t="str">
        <v>6E</v>
      </c>
      <c r="Q32" s="309" t="str">
        <v>12E</v>
      </c>
      <c r="R32" s="307" t="str">
        <f t="shared" si="1"/>
        <v>EUR6E12E24Y</v>
      </c>
      <c r="S32" s="267" t="str">
        <v>EUR6E12E24Y=ICAP</v>
      </c>
      <c r="T32" s="396" t="s">
        <v>259</v>
      </c>
      <c r="U32" s="396" t="s">
        <v>259</v>
      </c>
      <c r="V32" s="396" t="e">
        <f>_xll.qlMidEquivalent(T32,U32)</f>
        <v>#NUM!</v>
      </c>
      <c r="W32" s="263" t="b">
        <f t="shared" si="2"/>
        <v>0</v>
      </c>
      <c r="X32" s="401">
        <v>8.4392271124201841</v>
      </c>
      <c r="Y32" s="257"/>
      <c r="Z32" s="394">
        <v>8.4394853750521204</v>
      </c>
      <c r="AA32" s="257"/>
      <c r="AB32" s="264" t="str">
        <f t="shared" si="3"/>
        <v>EUR6E12E24Y_Quote</v>
      </c>
      <c r="AC32" s="393">
        <v>8.4392271124201841</v>
      </c>
      <c r="AD32" s="262"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EUR6E12E25Y_Quote#0000</v>
      </c>
      <c r="G33" s="79" t="str">
        <f>_xll.ohRangeRetrieveError(F33)</f>
        <v/>
      </c>
      <c r="H33" s="78"/>
      <c r="N33" s="126">
        <v>25</v>
      </c>
      <c r="O33" s="310" t="s">
        <v>92</v>
      </c>
      <c r="P33" s="309" t="str">
        <v>6E</v>
      </c>
      <c r="Q33" s="309" t="str">
        <v>12E</v>
      </c>
      <c r="R33" s="307" t="str">
        <f t="shared" si="1"/>
        <v>EUR6E12E25Y</v>
      </c>
      <c r="S33" s="267" t="str">
        <v>EUR6E12E25Y=ICAP</v>
      </c>
      <c r="T33" s="396">
        <v>8.3000000000000007</v>
      </c>
      <c r="U33" s="396">
        <v>0</v>
      </c>
      <c r="V33" s="396">
        <f>_xll.qlMidEquivalent(T33,U33)</f>
        <v>8.3000000000000007</v>
      </c>
      <c r="W33" s="263" t="b">
        <f t="shared" si="2"/>
        <v>1</v>
      </c>
      <c r="X33" s="401">
        <v>8.3000000000000007</v>
      </c>
      <c r="Y33" s="257"/>
      <c r="Z33" s="394">
        <v>8.3000000000000007</v>
      </c>
      <c r="AA33" s="257"/>
      <c r="AB33" s="264" t="str">
        <f t="shared" si="3"/>
        <v>EUR6E12E25Y_Quote</v>
      </c>
      <c r="AC33" s="393">
        <v>8.3000000000000007</v>
      </c>
      <c r="AD33" s="262"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EUR6E12E26Y_Quote#0000</v>
      </c>
      <c r="G34" s="79" t="str">
        <f>_xll.ohRangeRetrieveError(F34)</f>
        <v/>
      </c>
      <c r="H34" s="78"/>
      <c r="N34" s="126">
        <v>26</v>
      </c>
      <c r="O34" s="310" t="s">
        <v>91</v>
      </c>
      <c r="P34" s="309" t="str">
        <v>6E</v>
      </c>
      <c r="Q34" s="309" t="str">
        <v>12E</v>
      </c>
      <c r="R34" s="307" t="str">
        <f t="shared" si="1"/>
        <v>EUR6E12E26Y</v>
      </c>
      <c r="S34" s="267" t="str">
        <v>EUR6E12E26Y=ICAP</v>
      </c>
      <c r="T34" s="396" t="s">
        <v>259</v>
      </c>
      <c r="U34" s="396" t="s">
        <v>259</v>
      </c>
      <c r="V34" s="396" t="e">
        <f>_xll.qlMidEquivalent(T34,U34)</f>
        <v>#NUM!</v>
      </c>
      <c r="W34" s="263" t="b">
        <f t="shared" si="2"/>
        <v>0</v>
      </c>
      <c r="X34" s="401">
        <v>8.1672014308348437</v>
      </c>
      <c r="Y34" s="257"/>
      <c r="Z34" s="394">
        <v>8.167054628917743</v>
      </c>
      <c r="AA34" s="257"/>
      <c r="AB34" s="264" t="str">
        <f t="shared" si="3"/>
        <v>EUR6E12E26Y_Quote</v>
      </c>
      <c r="AC34" s="393">
        <v>8.1672014308348437</v>
      </c>
      <c r="AD34" s="262"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EUR6E12E27Y_Quote#0000</v>
      </c>
      <c r="G35" s="79" t="str">
        <f>_xll.ohRangeRetrieveError(F35)</f>
        <v/>
      </c>
      <c r="H35" s="78"/>
      <c r="N35" s="126">
        <v>27</v>
      </c>
      <c r="O35" s="310" t="s">
        <v>90</v>
      </c>
      <c r="P35" s="309" t="str">
        <v>6E</v>
      </c>
      <c r="Q35" s="309" t="str">
        <v>12E</v>
      </c>
      <c r="R35" s="307" t="str">
        <f t="shared" si="1"/>
        <v>EUR6E12E27Y</v>
      </c>
      <c r="S35" s="267" t="str">
        <v>EUR6E12E27Y=ICAP</v>
      </c>
      <c r="T35" s="396" t="s">
        <v>259</v>
      </c>
      <c r="U35" s="396" t="s">
        <v>259</v>
      </c>
      <c r="V35" s="396" t="e">
        <f>_xll.qlMidEquivalent(T35,U35)</f>
        <v>#NUM!</v>
      </c>
      <c r="W35" s="263" t="b">
        <f t="shared" si="2"/>
        <v>0</v>
      </c>
      <c r="X35" s="401">
        <v>8.0406203434953678</v>
      </c>
      <c r="Y35" s="257"/>
      <c r="Z35" s="394">
        <v>8.0404331030872136</v>
      </c>
      <c r="AA35" s="257"/>
      <c r="AB35" s="264" t="str">
        <f t="shared" si="3"/>
        <v>EUR6E12E27Y_Quote</v>
      </c>
      <c r="AC35" s="393">
        <v>8.0406203434953678</v>
      </c>
      <c r="AD35" s="262"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EUR6E12E28Y_Quote#0000</v>
      </c>
      <c r="G36" s="79" t="str">
        <f>_xll.ohRangeRetrieveError(F36)</f>
        <v/>
      </c>
      <c r="H36" s="78"/>
      <c r="N36" s="126">
        <v>28</v>
      </c>
      <c r="O36" s="310" t="s">
        <v>89</v>
      </c>
      <c r="P36" s="309" t="str">
        <v>6E</v>
      </c>
      <c r="Q36" s="309" t="str">
        <v>12E</v>
      </c>
      <c r="R36" s="307" t="str">
        <f t="shared" si="1"/>
        <v>EUR6E12E28Y</v>
      </c>
      <c r="S36" s="267" t="str">
        <v>EUR6E12E28Y=ICAP</v>
      </c>
      <c r="T36" s="396" t="s">
        <v>259</v>
      </c>
      <c r="U36" s="396" t="s">
        <v>259</v>
      </c>
      <c r="V36" s="396" t="e">
        <f>_xll.qlMidEquivalent(T36,U36)</f>
        <v>#NUM!</v>
      </c>
      <c r="W36" s="263" t="b">
        <f t="shared" si="2"/>
        <v>0</v>
      </c>
      <c r="X36" s="401">
        <v>7.9204385407384699</v>
      </c>
      <c r="Y36" s="257"/>
      <c r="Z36" s="394">
        <v>7.9202842627978125</v>
      </c>
      <c r="AA36" s="257"/>
      <c r="AB36" s="264" t="str">
        <f t="shared" si="3"/>
        <v>EUR6E12E28Y_Quote</v>
      </c>
      <c r="AC36" s="393">
        <v>7.9204385407384699</v>
      </c>
      <c r="AD36" s="262"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EUR6E12E29Y_Quote#0000</v>
      </c>
      <c r="G37" s="79" t="str">
        <f>_xll.ohRangeRetrieveError(F37)</f>
        <v/>
      </c>
      <c r="H37" s="78"/>
      <c r="N37" s="126">
        <v>29</v>
      </c>
      <c r="O37" s="310" t="s">
        <v>88</v>
      </c>
      <c r="P37" s="309" t="str">
        <v>6E</v>
      </c>
      <c r="Q37" s="309" t="str">
        <v>12E</v>
      </c>
      <c r="R37" s="307" t="str">
        <f t="shared" si="1"/>
        <v>EUR6E12E29Y</v>
      </c>
      <c r="S37" s="267" t="str">
        <v>EUR6E12E29Y=ICAP</v>
      </c>
      <c r="T37" s="396" t="s">
        <v>259</v>
      </c>
      <c r="U37" s="396" t="s">
        <v>259</v>
      </c>
      <c r="V37" s="396" t="e">
        <f>_xll.qlMidEquivalent(T37,U37)</f>
        <v>#NUM!</v>
      </c>
      <c r="W37" s="263" t="b">
        <f t="shared" si="2"/>
        <v>0</v>
      </c>
      <c r="X37" s="401">
        <v>7.8068378253210478</v>
      </c>
      <c r="Y37" s="257"/>
      <c r="Z37" s="394">
        <v>7.8067569483389416</v>
      </c>
      <c r="AA37" s="257"/>
      <c r="AB37" s="264" t="str">
        <f t="shared" si="3"/>
        <v>EUR6E12E29Y_Quote</v>
      </c>
      <c r="AC37" s="393">
        <v>7.8068378253210478</v>
      </c>
      <c r="AD37" s="262"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EUR6E12E30Y_Quote#0000</v>
      </c>
      <c r="G38" s="79" t="str">
        <f>_xll.ohRangeRetrieveError(F38)</f>
        <v/>
      </c>
      <c r="H38" s="78"/>
      <c r="N38" s="126">
        <v>30</v>
      </c>
      <c r="O38" s="310" t="s">
        <v>87</v>
      </c>
      <c r="P38" s="309" t="str">
        <v>6E</v>
      </c>
      <c r="Q38" s="309" t="str">
        <v>12E</v>
      </c>
      <c r="R38" s="307" t="str">
        <f t="shared" si="1"/>
        <v>EUR6E12E30Y</v>
      </c>
      <c r="S38" s="267" t="str">
        <v>EUR6E12E30Y=ICAP</v>
      </c>
      <c r="T38" s="396">
        <v>7.7</v>
      </c>
      <c r="U38" s="396">
        <v>0</v>
      </c>
      <c r="V38" s="396">
        <f>_xll.qlMidEquivalent(T38,U38)</f>
        <v>7.7</v>
      </c>
      <c r="W38" s="263" t="b">
        <f t="shared" si="2"/>
        <v>1</v>
      </c>
      <c r="X38" s="401">
        <v>7.7</v>
      </c>
      <c r="Y38" s="399">
        <f>X28-X38</f>
        <v>1.3999999999999995</v>
      </c>
      <c r="Z38" s="394">
        <v>7.7</v>
      </c>
      <c r="AA38" s="257"/>
      <c r="AB38" s="264" t="str">
        <f t="shared" si="3"/>
        <v>EUR6E12E30Y_Quote</v>
      </c>
      <c r="AC38" s="393">
        <v>7.7</v>
      </c>
      <c r="AD38" s="262"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EUR6E12E35Y_Quote#0000</v>
      </c>
      <c r="G39" s="79" t="str">
        <f>_xll.ohRangeRetrieveError(F39)</f>
        <v/>
      </c>
      <c r="H39" s="78"/>
      <c r="N39" s="126">
        <v>35</v>
      </c>
      <c r="O39" s="310" t="s">
        <v>82</v>
      </c>
      <c r="P39" s="309" t="str">
        <v>6E</v>
      </c>
      <c r="Q39" s="309" t="str">
        <v>12E</v>
      </c>
      <c r="R39" s="307" t="str">
        <f t="shared" si="1"/>
        <v>EUR6E12E35Y</v>
      </c>
      <c r="S39" s="267" t="str">
        <v>EUR6E12E35Y=ICAP</v>
      </c>
      <c r="T39" s="396" t="s">
        <v>259</v>
      </c>
      <c r="U39" s="396" t="s">
        <v>259</v>
      </c>
      <c r="V39" s="396" t="e">
        <f>_xll.qlMidEquivalent(T39,U39)</f>
        <v>#NUM!</v>
      </c>
      <c r="W39" s="263" t="b">
        <f t="shared" si="2"/>
        <v>0</v>
      </c>
      <c r="X39" s="400">
        <f>X38</f>
        <v>7.7</v>
      </c>
      <c r="Y39" s="257"/>
      <c r="Z39" s="394">
        <v>7.7</v>
      </c>
      <c r="AA39" s="257"/>
      <c r="AB39" s="264" t="str">
        <f t="shared" si="3"/>
        <v>EUR6E12E35Y_Quote</v>
      </c>
      <c r="AC39" s="393">
        <v>7.7</v>
      </c>
      <c r="AD39" s="262"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EUR6E12E40Y_Quote#0000</v>
      </c>
      <c r="G40" s="79" t="str">
        <f>_xll.ohRangeRetrieveError(F40)</f>
        <v/>
      </c>
      <c r="H40" s="78"/>
      <c r="N40" s="126">
        <v>40</v>
      </c>
      <c r="O40" s="310" t="s">
        <v>77</v>
      </c>
      <c r="P40" s="309" t="str">
        <v>6E</v>
      </c>
      <c r="Q40" s="309" t="str">
        <v>12E</v>
      </c>
      <c r="R40" s="307" t="str">
        <f t="shared" si="1"/>
        <v>EUR6E12E40Y</v>
      </c>
      <c r="S40" s="267" t="str">
        <v>EUR6E12E40Y=ICAP</v>
      </c>
      <c r="T40" s="396">
        <v>6.9</v>
      </c>
      <c r="U40" s="396">
        <v>0</v>
      </c>
      <c r="V40" s="396">
        <f>_xll.qlMidEquivalent(T40,U40)</f>
        <v>6.9</v>
      </c>
      <c r="W40" s="263" t="b">
        <f t="shared" si="2"/>
        <v>1</v>
      </c>
      <c r="X40" s="400">
        <f>X39</f>
        <v>7.7</v>
      </c>
      <c r="Y40" s="257"/>
      <c r="Z40" s="394">
        <v>7.7</v>
      </c>
      <c r="AA40" s="257"/>
      <c r="AB40" s="264" t="str">
        <f t="shared" si="3"/>
        <v>EUR6E12E40Y_Quote</v>
      </c>
      <c r="AC40" s="393">
        <v>7.7</v>
      </c>
      <c r="AD40" s="262"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EUR6E12E50Y_Quote#0000</v>
      </c>
      <c r="G41" s="79" t="str">
        <f>_xll.ohRangeRetrieveError(F41)</f>
        <v/>
      </c>
      <c r="H41" s="78"/>
      <c r="N41" s="126">
        <v>50</v>
      </c>
      <c r="O41" s="310" t="s">
        <v>67</v>
      </c>
      <c r="P41" s="309" t="str">
        <v>6E</v>
      </c>
      <c r="Q41" s="309" t="str">
        <v>12E</v>
      </c>
      <c r="R41" s="307" t="str">
        <f t="shared" si="1"/>
        <v>EUR6E12E50Y</v>
      </c>
      <c r="S41" s="267" t="str">
        <v>EUR6E12E50Y=ICAP</v>
      </c>
      <c r="T41" s="396">
        <v>6.3</v>
      </c>
      <c r="U41" s="396">
        <v>0</v>
      </c>
      <c r="V41" s="396">
        <f>_xll.qlMidEquivalent(T41,U41)</f>
        <v>6.3</v>
      </c>
      <c r="W41" s="263" t="b">
        <f t="shared" si="2"/>
        <v>1</v>
      </c>
      <c r="X41" s="400">
        <f>X40</f>
        <v>7.7</v>
      </c>
      <c r="Y41" s="257"/>
      <c r="Z41" s="394">
        <v>7.7</v>
      </c>
      <c r="AA41" s="257"/>
      <c r="AB41" s="264" t="str">
        <f t="shared" si="3"/>
        <v>EUR6E12E50Y_Quote</v>
      </c>
      <c r="AC41" s="393">
        <v>7.7</v>
      </c>
      <c r="AD41" s="262"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EUR6E12E60Y_Quote#0000</v>
      </c>
      <c r="G42" s="79" t="str">
        <f>_xll.ohRangeRetrieveError(F42)</f>
        <v/>
      </c>
      <c r="H42" s="78"/>
      <c r="N42" s="126">
        <v>60</v>
      </c>
      <c r="O42" s="310" t="s">
        <v>57</v>
      </c>
      <c r="P42" s="309" t="str">
        <v>6E</v>
      </c>
      <c r="Q42" s="309" t="str">
        <v>12E</v>
      </c>
      <c r="R42" s="307" t="str">
        <f t="shared" si="1"/>
        <v>EUR6E12E60Y</v>
      </c>
      <c r="S42" s="267" t="str">
        <v>EUR6E12E60Y=ICAP</v>
      </c>
      <c r="T42" s="396">
        <v>6</v>
      </c>
      <c r="U42" s="396">
        <v>0</v>
      </c>
      <c r="V42" s="396">
        <f>_xll.qlMidEquivalent(T42,U42)</f>
        <v>6</v>
      </c>
      <c r="W42" s="263" t="b">
        <f t="shared" si="2"/>
        <v>1</v>
      </c>
      <c r="X42" s="400">
        <f>X41</f>
        <v>7.7</v>
      </c>
      <c r="Y42" s="257"/>
      <c r="Z42" s="394">
        <v>7.7</v>
      </c>
      <c r="AA42" s="257"/>
      <c r="AB42" s="264" t="str">
        <f t="shared" si="3"/>
        <v>EUR6E12E60Y_Quote</v>
      </c>
      <c r="AC42" s="393">
        <v>7.7</v>
      </c>
      <c r="AD42" s="262"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5"/>
      <c r="P43" s="295"/>
      <c r="Q43" s="295"/>
      <c r="R43" s="295"/>
      <c r="S43" s="295"/>
      <c r="T43" s="295"/>
      <c r="U43" s="295"/>
      <c r="V43" s="295"/>
      <c r="W43" s="295"/>
      <c r="X43" s="295"/>
      <c r="Y43" s="51"/>
      <c r="Z43" s="295"/>
      <c r="AA43" s="51"/>
      <c r="AB43" s="295"/>
      <c r="AC43" s="295"/>
      <c r="AD43" s="295"/>
      <c r="AE43" s="379"/>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0.5703125" style="72" bestFit="1" customWidth="1"/>
    <col min="16" max="16" width="9.140625" style="72"/>
    <col min="17" max="18" width="2.7109375" style="72" customWidth="1"/>
    <col min="19" max="16384" width="9.140625" style="72"/>
  </cols>
  <sheetData>
    <row r="1" spans="1:23" x14ac:dyDescent="0.2">
      <c r="H1" s="294" t="s">
        <v>310</v>
      </c>
      <c r="I1" s="203"/>
      <c r="J1" s="203"/>
      <c r="K1" s="203"/>
      <c r="L1" s="203"/>
      <c r="M1" s="203"/>
      <c r="N1" s="203"/>
      <c r="O1" s="203"/>
      <c r="P1" s="203"/>
      <c r="Q1" s="200"/>
      <c r="R1" s="21"/>
      <c r="S1" s="21"/>
      <c r="T1" s="21"/>
      <c r="U1" s="21"/>
      <c r="V1" s="21"/>
      <c r="W1" s="21"/>
    </row>
    <row r="2" spans="1:23" ht="21" customHeight="1" x14ac:dyDescent="0.2">
      <c r="H2" s="293"/>
      <c r="I2" s="292"/>
      <c r="J2" s="148" t="s">
        <v>237</v>
      </c>
      <c r="K2" s="257"/>
      <c r="L2" s="257"/>
      <c r="M2" s="257"/>
      <c r="N2" s="257"/>
      <c r="O2" s="291" t="s">
        <v>254</v>
      </c>
      <c r="P2" s="290" t="s">
        <v>253</v>
      </c>
      <c r="Q2" s="53"/>
      <c r="R2" s="21"/>
      <c r="S2" s="21"/>
      <c r="T2" s="21"/>
      <c r="U2" s="21"/>
      <c r="V2" s="21"/>
      <c r="W2" s="21"/>
    </row>
    <row r="3" spans="1:23" x14ac:dyDescent="0.2">
      <c r="A3" s="168" t="s">
        <v>190</v>
      </c>
      <c r="B3" s="116"/>
      <c r="C3" s="116"/>
      <c r="D3" s="116"/>
      <c r="E3" s="116"/>
      <c r="F3" s="115"/>
      <c r="H3" s="126"/>
      <c r="I3" s="289"/>
      <c r="J3" s="289"/>
      <c r="K3" s="289"/>
      <c r="L3" s="257"/>
      <c r="M3" s="257"/>
      <c r="N3" s="257"/>
      <c r="O3" s="289"/>
      <c r="P3" s="288">
        <f>_xll.ohTrigger(P5:P22)</f>
        <v>0</v>
      </c>
      <c r="Q3" s="221"/>
      <c r="R3" s="21"/>
      <c r="S3" s="21"/>
      <c r="T3" s="21"/>
      <c r="U3" s="21"/>
      <c r="V3" s="21"/>
      <c r="W3" s="21"/>
    </row>
    <row r="4" spans="1:23"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4"/>
      <c r="J4" s="287" t="e">
        <f ca="1">_xll.RData(J5:J22,K4:K4,,ReutersRtMode,,K5)</f>
        <v>#NAME?</v>
      </c>
      <c r="K4" s="286" t="e">
        <f>VLOOKUP(Contributor,ContributorTable,5,FALSE)</f>
        <v>#REF!</v>
      </c>
      <c r="L4" s="257"/>
      <c r="M4" s="285" t="s">
        <v>252</v>
      </c>
      <c r="N4" s="257"/>
      <c r="O4" s="284" t="s">
        <v>250</v>
      </c>
      <c r="P4" s="283" t="s">
        <v>249</v>
      </c>
      <c r="Q4" s="221"/>
      <c r="R4" s="21"/>
      <c r="S4" s="282" t="s">
        <v>248</v>
      </c>
      <c r="T4" s="281" t="s">
        <v>247</v>
      </c>
      <c r="U4" s="281" t="s">
        <v>246</v>
      </c>
      <c r="V4" s="281" t="s">
        <v>245</v>
      </c>
      <c r="W4" s="280" t="s">
        <v>244</v>
      </c>
    </row>
    <row r="5" spans="1:23" x14ac:dyDescent="0.2">
      <c r="A5" s="84"/>
      <c r="B5" s="111" t="s">
        <v>168</v>
      </c>
      <c r="C5" s="110" t="str">
        <f t="shared" ref="C5:C22" si="0">Currency&amp;$B5&amp;QuoteSuffix</f>
        <v>EUROND_Quote</v>
      </c>
      <c r="D5" s="110" t="str">
        <f>_xll.qlSimpleQuote(C5,,RateTickValue,Permanent,Trigger,ObjectOverwrite)</f>
        <v>EUROND_Quote#0000</v>
      </c>
      <c r="E5" s="109" t="str">
        <f>_xll.ohRangeRetrieveError(D5)</f>
        <v/>
      </c>
      <c r="F5" s="108"/>
      <c r="H5" s="126"/>
      <c r="I5" s="279" t="s">
        <v>125</v>
      </c>
      <c r="J5" s="267" t="e">
        <f t="shared" ref="J5:J22" si="1">Currency&amp;VLOOKUP(Contributor,ContributorTable,2,FALSE)&amp;I5&amp;VLOOKUP(Contributor,ContributorTable,3,FALSE)&amp;"="&amp;VLOOKUP(Contributor,ContributorTable,4,FALSE)</f>
        <v>#REF!</v>
      </c>
      <c r="K5" s="278">
        <v>0.1</v>
      </c>
      <c r="L5" s="257"/>
      <c r="M5" s="277">
        <v>0.1</v>
      </c>
      <c r="N5" s="257"/>
      <c r="O5" s="343">
        <f t="array" ref="O5:O22">QuoteLive</f>
        <v>0.1</v>
      </c>
      <c r="P5" s="274" t="e">
        <f>_xll.qlSimpleQuoteSetValue(D5,O5/100,Trigger)</f>
        <v>#N/A</v>
      </c>
      <c r="Q5" s="221"/>
      <c r="R5" s="21"/>
      <c r="S5" s="273" t="s">
        <v>53</v>
      </c>
      <c r="T5" s="89" t="s">
        <v>243</v>
      </c>
      <c r="U5" s="89" t="s">
        <v>227</v>
      </c>
      <c r="V5" s="89" t="str">
        <f>""</f>
        <v/>
      </c>
      <c r="W5" s="272" t="s">
        <v>240</v>
      </c>
    </row>
    <row r="6" spans="1:23" x14ac:dyDescent="0.2">
      <c r="A6" s="84"/>
      <c r="B6" s="111" t="s">
        <v>167</v>
      </c>
      <c r="C6" s="110" t="str">
        <f t="shared" si="0"/>
        <v>EURTND_Quote</v>
      </c>
      <c r="D6" s="110" t="str">
        <f>_xll.qlSimpleQuote(C6,,RateTickValue,Permanent,Trigger,ObjectOverwrite)</f>
        <v>EURTND_Quote#0000</v>
      </c>
      <c r="E6" s="109" t="str">
        <f>_xll.ohRangeRetrieveError(D6)</f>
        <v/>
      </c>
      <c r="F6" s="108"/>
      <c r="H6" s="126"/>
      <c r="I6" s="268" t="s">
        <v>242</v>
      </c>
      <c r="J6" s="267" t="e">
        <f t="shared" si="1"/>
        <v>#REF!</v>
      </c>
      <c r="K6" s="266">
        <v>0.1</v>
      </c>
      <c r="L6" s="257"/>
      <c r="M6" s="265">
        <v>0.1</v>
      </c>
      <c r="N6" s="257"/>
      <c r="O6" s="336">
        <v>0.1</v>
      </c>
      <c r="P6" s="262" t="e">
        <f>_xll.qlSimpleQuoteSetValue(D6,O6/100,Trigger)</f>
        <v>#N/A</v>
      </c>
      <c r="Q6" s="221"/>
      <c r="R6" s="21"/>
      <c r="S6" s="273" t="s">
        <v>126</v>
      </c>
      <c r="T6" s="89"/>
      <c r="U6" s="89" t="s">
        <v>241</v>
      </c>
      <c r="V6" s="89"/>
      <c r="W6" s="272" t="s">
        <v>240</v>
      </c>
    </row>
    <row r="7" spans="1:23" x14ac:dyDescent="0.2">
      <c r="A7" s="84"/>
      <c r="B7" s="111" t="s">
        <v>166</v>
      </c>
      <c r="C7" s="110" t="str">
        <f t="shared" si="0"/>
        <v>EURSND_Quote</v>
      </c>
      <c r="D7" s="110" t="str">
        <f>_xll.qlSimpleQuote(C7,,RateTickValue,Permanent,Trigger,ObjectOverwrite)</f>
        <v>EURSND_Quote#0000</v>
      </c>
      <c r="E7" s="109" t="str">
        <f>_xll.ohRangeRetrieveError(D7)</f>
        <v/>
      </c>
      <c r="F7" s="108"/>
      <c r="H7" s="126"/>
      <c r="I7" s="268" t="s">
        <v>239</v>
      </c>
      <c r="J7" s="267" t="e">
        <f t="shared" si="1"/>
        <v>#REF!</v>
      </c>
      <c r="K7" s="266">
        <v>0.1</v>
      </c>
      <c r="L7" s="257"/>
      <c r="M7" s="265">
        <v>0.1</v>
      </c>
      <c r="N7" s="257"/>
      <c r="O7" s="336">
        <v>0.1</v>
      </c>
      <c r="P7" s="262" t="e">
        <f>_xll.qlSimpleQuoteSetValue(D7,O7/100,Trigger)</f>
        <v>#N/A</v>
      </c>
      <c r="Q7" s="221"/>
      <c r="R7" s="21"/>
      <c r="S7" s="273" t="s">
        <v>238</v>
      </c>
      <c r="T7" s="89"/>
      <c r="U7" s="89" t="s">
        <v>227</v>
      </c>
      <c r="V7" s="89"/>
      <c r="W7" s="272" t="s">
        <v>225</v>
      </c>
    </row>
    <row r="8" spans="1:23" x14ac:dyDescent="0.2">
      <c r="A8" s="84"/>
      <c r="B8" s="111" t="s">
        <v>165</v>
      </c>
      <c r="C8" s="110" t="str">
        <f t="shared" si="0"/>
        <v>EURSWD_Quote</v>
      </c>
      <c r="D8" s="110" t="str">
        <f>_xll.qlSimpleQuote(C8,,RateTickValue,Permanent,Trigger,ObjectOverwrite)</f>
        <v>EURSWD_Quote#0000</v>
      </c>
      <c r="E8" s="109" t="str">
        <f>_xll.ohRangeRetrieveError(D8)</f>
        <v/>
      </c>
      <c r="F8" s="108"/>
      <c r="H8" s="126"/>
      <c r="I8" s="268" t="s">
        <v>48</v>
      </c>
      <c r="J8" s="267" t="e">
        <f t="shared" si="1"/>
        <v>#REF!</v>
      </c>
      <c r="K8" s="266">
        <v>0.11</v>
      </c>
      <c r="L8" s="257"/>
      <c r="M8" s="265">
        <v>0.11</v>
      </c>
      <c r="N8" s="257"/>
      <c r="O8" s="336">
        <v>0.11</v>
      </c>
      <c r="P8" s="262" t="e">
        <f>_xll.qlSimpleQuoteSetValue(D8,O8/100,Trigger)</f>
        <v>#N/A</v>
      </c>
      <c r="Q8" s="221"/>
      <c r="R8" s="21"/>
      <c r="S8" s="273" t="s">
        <v>237</v>
      </c>
      <c r="T8" s="89"/>
      <c r="U8" s="89" t="s">
        <v>227</v>
      </c>
      <c r="V8" s="89" t="s">
        <v>236</v>
      </c>
      <c r="W8" s="272" t="s">
        <v>225</v>
      </c>
    </row>
    <row r="9" spans="1:23" x14ac:dyDescent="0.2">
      <c r="A9" s="84"/>
      <c r="B9" s="111" t="s">
        <v>164</v>
      </c>
      <c r="C9" s="110" t="str">
        <f t="shared" si="0"/>
        <v>EUR2WD_Quote</v>
      </c>
      <c r="D9" s="110" t="str">
        <f>_xll.qlSimpleQuote(C9,,RateTickValue,Permanent,Trigger,ObjectOverwrite)</f>
        <v>EUR2WD_Quote#0000</v>
      </c>
      <c r="E9" s="109" t="str">
        <f>_xll.ohRangeRetrieveError(D9)</f>
        <v/>
      </c>
      <c r="F9" s="108"/>
      <c r="H9" s="126"/>
      <c r="I9" s="268" t="s">
        <v>47</v>
      </c>
      <c r="J9" s="267" t="e">
        <f t="shared" si="1"/>
        <v>#REF!</v>
      </c>
      <c r="K9" s="266">
        <v>0.12</v>
      </c>
      <c r="L9" s="257"/>
      <c r="M9" s="265">
        <v>0.12</v>
      </c>
      <c r="N9" s="257"/>
      <c r="O9" s="336">
        <v>0.12</v>
      </c>
      <c r="P9" s="262" t="e">
        <f>_xll.qlSimpleQuoteSetValue(D9,O9/100,Trigger)</f>
        <v>#N/A</v>
      </c>
      <c r="Q9" s="221"/>
      <c r="R9" s="21"/>
      <c r="S9" s="273" t="s">
        <v>235</v>
      </c>
      <c r="T9" s="89"/>
      <c r="U9" s="89" t="s">
        <v>227</v>
      </c>
      <c r="V9" s="89" t="s">
        <v>235</v>
      </c>
      <c r="W9" s="272" t="s">
        <v>225</v>
      </c>
    </row>
    <row r="10" spans="1:23" x14ac:dyDescent="0.2">
      <c r="A10" s="84"/>
      <c r="B10" s="111" t="s">
        <v>163</v>
      </c>
      <c r="C10" s="110" t="str">
        <f t="shared" si="0"/>
        <v>EUR3WD_Quote</v>
      </c>
      <c r="D10" s="110" t="str">
        <f>_xll.qlSimpleQuote(C10,,RateTickValue,Permanent,Trigger,ObjectOverwrite)</f>
        <v>EUR3WD_Quote#0000</v>
      </c>
      <c r="E10" s="109" t="str">
        <f>_xll.ohRangeRetrieveError(D10)</f>
        <v/>
      </c>
      <c r="F10" s="108"/>
      <c r="H10" s="126"/>
      <c r="I10" s="268" t="s">
        <v>46</v>
      </c>
      <c r="J10" s="267" t="e">
        <f t="shared" si="1"/>
        <v>#REF!</v>
      </c>
      <c r="K10" s="266">
        <v>0.13</v>
      </c>
      <c r="L10" s="257"/>
      <c r="M10" s="265">
        <v>0.13</v>
      </c>
      <c r="N10" s="257"/>
      <c r="O10" s="336">
        <v>0.13</v>
      </c>
      <c r="P10" s="262" t="e">
        <f>_xll.qlSimpleQuoteSetValue(D10,O10/100,Trigger)</f>
        <v>#N/A</v>
      </c>
      <c r="Q10" s="221"/>
      <c r="R10" s="21"/>
      <c r="S10" s="273" t="s">
        <v>234</v>
      </c>
      <c r="T10" s="89"/>
      <c r="U10" s="89" t="s">
        <v>227</v>
      </c>
      <c r="V10" s="89" t="s">
        <v>233</v>
      </c>
      <c r="W10" s="272" t="s">
        <v>225</v>
      </c>
    </row>
    <row r="11" spans="1:23" x14ac:dyDescent="0.2">
      <c r="A11" s="84"/>
      <c r="B11" s="111" t="s">
        <v>162</v>
      </c>
      <c r="C11" s="110" t="str">
        <f t="shared" si="0"/>
        <v>EUR1MD_Quote</v>
      </c>
      <c r="D11" s="110" t="str">
        <f>_xll.qlSimpleQuote(C11,,RateTickValue,Permanent,Trigger,ObjectOverwrite)</f>
        <v>EUR1MD_Quote#0000</v>
      </c>
      <c r="E11" s="109" t="str">
        <f>_xll.ohRangeRetrieveError(D11)</f>
        <v/>
      </c>
      <c r="F11" s="108"/>
      <c r="H11" s="126"/>
      <c r="I11" s="268" t="s">
        <v>45</v>
      </c>
      <c r="J11" s="267" t="e">
        <f t="shared" si="1"/>
        <v>#REF!</v>
      </c>
      <c r="K11" s="266">
        <v>0.14000000000000001</v>
      </c>
      <c r="L11" s="257"/>
      <c r="M11" s="265">
        <v>0.14000000000000001</v>
      </c>
      <c r="N11" s="257"/>
      <c r="O11" s="336">
        <v>0.14000000000000001</v>
      </c>
      <c r="P11" s="262" t="e">
        <f>_xll.qlSimpleQuoteSetValue(D11,O11/100,Trigger)</f>
        <v>#N/A</v>
      </c>
      <c r="Q11" s="221"/>
      <c r="R11" s="21"/>
      <c r="S11" s="273" t="s">
        <v>232</v>
      </c>
      <c r="T11" s="89"/>
      <c r="U11" s="89" t="s">
        <v>227</v>
      </c>
      <c r="V11" s="89" t="s">
        <v>231</v>
      </c>
      <c r="W11" s="272" t="s">
        <v>225</v>
      </c>
    </row>
    <row r="12" spans="1:23" x14ac:dyDescent="0.2">
      <c r="A12" s="84"/>
      <c r="B12" s="111" t="s">
        <v>161</v>
      </c>
      <c r="C12" s="110" t="str">
        <f t="shared" si="0"/>
        <v>EUR2MD_Quote</v>
      </c>
      <c r="D12" s="110" t="str">
        <f>_xll.qlSimpleQuote(C12,,RateTickValue,Permanent,Trigger,ObjectOverwrite)</f>
        <v>EUR2MD_Quote#0000</v>
      </c>
      <c r="E12" s="109" t="str">
        <f>_xll.ohRangeRetrieveError(D12)</f>
        <v/>
      </c>
      <c r="F12" s="108"/>
      <c r="H12" s="126"/>
      <c r="I12" s="268" t="s">
        <v>44</v>
      </c>
      <c r="J12" s="267" t="e">
        <f t="shared" si="1"/>
        <v>#REF!</v>
      </c>
      <c r="K12" s="266">
        <v>0.18</v>
      </c>
      <c r="L12" s="257"/>
      <c r="M12" s="265">
        <v>0.18</v>
      </c>
      <c r="N12" s="257"/>
      <c r="O12" s="336">
        <v>0.18</v>
      </c>
      <c r="P12" s="262" t="e">
        <f>_xll.qlSimpleQuoteSetValue(D12,O12/100,Trigger)</f>
        <v>#N/A</v>
      </c>
      <c r="Q12" s="221"/>
      <c r="R12" s="21"/>
      <c r="S12" s="273" t="s">
        <v>230</v>
      </c>
      <c r="T12" s="89"/>
      <c r="U12" s="89" t="s">
        <v>227</v>
      </c>
      <c r="V12" s="89" t="s">
        <v>229</v>
      </c>
      <c r="W12" s="272" t="s">
        <v>225</v>
      </c>
    </row>
    <row r="13" spans="1:23" x14ac:dyDescent="0.2">
      <c r="A13" s="84"/>
      <c r="B13" s="111" t="s">
        <v>160</v>
      </c>
      <c r="C13" s="110" t="str">
        <f t="shared" si="0"/>
        <v>EUR3MD_Quote</v>
      </c>
      <c r="D13" s="110" t="str">
        <f>_xll.qlSimpleQuote(C13,,RateTickValue,Permanent,Trigger,ObjectOverwrite)</f>
        <v>EUR3MD_Quote#0000</v>
      </c>
      <c r="E13" s="109" t="str">
        <f>_xll.ohRangeRetrieveError(D13)</f>
        <v/>
      </c>
      <c r="F13" s="108"/>
      <c r="H13" s="126"/>
      <c r="I13" s="268" t="s">
        <v>43</v>
      </c>
      <c r="J13" s="267" t="e">
        <f t="shared" si="1"/>
        <v>#REF!</v>
      </c>
      <c r="K13" s="266">
        <v>0.22</v>
      </c>
      <c r="L13" s="257"/>
      <c r="M13" s="265">
        <v>0.22</v>
      </c>
      <c r="N13" s="257"/>
      <c r="O13" s="336">
        <v>0.22</v>
      </c>
      <c r="P13" s="262" t="e">
        <f>_xll.qlSimpleQuoteSetValue(D13,O13/100,Trigger)</f>
        <v>#N/A</v>
      </c>
      <c r="Q13" s="221"/>
      <c r="R13" s="21"/>
      <c r="S13" s="271" t="s">
        <v>228</v>
      </c>
      <c r="T13" s="270"/>
      <c r="U13" s="270" t="s">
        <v>227</v>
      </c>
      <c r="V13" s="270" t="s">
        <v>226</v>
      </c>
      <c r="W13" s="269" t="s">
        <v>225</v>
      </c>
    </row>
    <row r="14" spans="1:23" x14ac:dyDescent="0.2">
      <c r="A14" s="84"/>
      <c r="B14" s="111" t="s">
        <v>159</v>
      </c>
      <c r="C14" s="110" t="str">
        <f t="shared" si="0"/>
        <v>EUR4MD_Quote</v>
      </c>
      <c r="D14" s="110" t="str">
        <f>_xll.qlSimpleQuote(C14,,RateTickValue,Permanent,Trigger,ObjectOverwrite)</f>
        <v>EUR4MD_Quote#0000</v>
      </c>
      <c r="E14" s="109" t="str">
        <f>_xll.ohRangeRetrieveError(D14)</f>
        <v/>
      </c>
      <c r="F14" s="108"/>
      <c r="H14" s="126"/>
      <c r="I14" s="268" t="s">
        <v>42</v>
      </c>
      <c r="J14" s="267" t="e">
        <f t="shared" si="1"/>
        <v>#REF!</v>
      </c>
      <c r="K14" s="266">
        <v>0.26</v>
      </c>
      <c r="L14" s="257"/>
      <c r="M14" s="265">
        <v>0.26</v>
      </c>
      <c r="N14" s="257"/>
      <c r="O14" s="336">
        <v>0.26</v>
      </c>
      <c r="P14" s="262" t="e">
        <f>_xll.qlSimpleQuoteSetValue(D14,O14/100,Trigger)</f>
        <v>#N/A</v>
      </c>
      <c r="Q14" s="221"/>
      <c r="R14" s="21"/>
      <c r="S14" s="21"/>
      <c r="T14" s="21"/>
      <c r="U14" s="21"/>
      <c r="V14" s="21"/>
      <c r="W14" s="21"/>
    </row>
    <row r="15" spans="1:23" x14ac:dyDescent="0.2">
      <c r="A15" s="84"/>
      <c r="B15" s="111" t="s">
        <v>158</v>
      </c>
      <c r="C15" s="110" t="str">
        <f t="shared" si="0"/>
        <v>EUR5MD_Quote</v>
      </c>
      <c r="D15" s="110" t="str">
        <f>_xll.qlSimpleQuote(C15,,RateTickValue,Permanent,Trigger,ObjectOverwrite)</f>
        <v>EUR5MD_Quote#0000</v>
      </c>
      <c r="E15" s="109" t="str">
        <f>_xll.ohRangeRetrieveError(D15)</f>
        <v/>
      </c>
      <c r="F15" s="108"/>
      <c r="H15" s="126"/>
      <c r="I15" s="268" t="s">
        <v>41</v>
      </c>
      <c r="J15" s="267" t="e">
        <f t="shared" si="1"/>
        <v>#REF!</v>
      </c>
      <c r="K15" s="266">
        <v>0.3</v>
      </c>
      <c r="L15" s="257"/>
      <c r="M15" s="265">
        <v>0.3</v>
      </c>
      <c r="N15" s="257"/>
      <c r="O15" s="336">
        <v>0.3</v>
      </c>
      <c r="P15" s="262" t="e">
        <f>_xll.qlSimpleQuoteSetValue(D15,O15/100,Trigger)</f>
        <v>#N/A</v>
      </c>
      <c r="Q15" s="221"/>
      <c r="R15" s="21"/>
      <c r="S15" s="21"/>
      <c r="T15" s="21"/>
      <c r="U15" s="21"/>
      <c r="V15" s="21"/>
      <c r="W15" s="21"/>
    </row>
    <row r="16" spans="1:23" x14ac:dyDescent="0.2">
      <c r="A16" s="84"/>
      <c r="B16" s="111" t="s">
        <v>157</v>
      </c>
      <c r="C16" s="110" t="str">
        <f t="shared" si="0"/>
        <v>EUR6MD_Quote</v>
      </c>
      <c r="D16" s="110" t="str">
        <f>_xll.qlSimpleQuote(C16,,RateTickValue,Permanent,Trigger,ObjectOverwrite)</f>
        <v>EUR6MD_Quote#0000</v>
      </c>
      <c r="E16" s="109" t="str">
        <f>_xll.ohRangeRetrieveError(D16)</f>
        <v/>
      </c>
      <c r="F16" s="108"/>
      <c r="H16" s="126"/>
      <c r="I16" s="268" t="s">
        <v>40</v>
      </c>
      <c r="J16" s="267" t="e">
        <f t="shared" si="1"/>
        <v>#REF!</v>
      </c>
      <c r="K16" s="266">
        <v>0.34</v>
      </c>
      <c r="L16" s="257"/>
      <c r="M16" s="265">
        <v>0.34</v>
      </c>
      <c r="N16" s="257"/>
      <c r="O16" s="336">
        <v>0.34</v>
      </c>
      <c r="P16" s="262" t="e">
        <f>_xll.qlSimpleQuoteSetValue(D16,O16/100,Trigger)</f>
        <v>#N/A</v>
      </c>
      <c r="Q16" s="221"/>
      <c r="R16" s="21"/>
      <c r="S16" s="21"/>
      <c r="T16" s="21"/>
      <c r="U16" s="21"/>
      <c r="V16" s="21"/>
      <c r="W16" s="21"/>
    </row>
    <row r="17" spans="1:23" x14ac:dyDescent="0.2">
      <c r="A17" s="84"/>
      <c r="B17" s="111" t="s">
        <v>156</v>
      </c>
      <c r="C17" s="110" t="str">
        <f t="shared" si="0"/>
        <v>EUR7MD_Quote</v>
      </c>
      <c r="D17" s="110" t="str">
        <f>_xll.qlSimpleQuote(C17,,RateTickValue,Permanent,Trigger,ObjectOverwrite)</f>
        <v>EUR7MD_Quote#0000</v>
      </c>
      <c r="E17" s="109" t="str">
        <f>_xll.ohRangeRetrieveError(D17)</f>
        <v/>
      </c>
      <c r="F17" s="108"/>
      <c r="H17" s="126"/>
      <c r="I17" s="268" t="s">
        <v>39</v>
      </c>
      <c r="J17" s="267" t="e">
        <f t="shared" si="1"/>
        <v>#REF!</v>
      </c>
      <c r="K17" s="266">
        <v>0.37</v>
      </c>
      <c r="L17" s="257"/>
      <c r="M17" s="265">
        <v>0.37</v>
      </c>
      <c r="N17" s="257"/>
      <c r="O17" s="336">
        <v>0.37</v>
      </c>
      <c r="P17" s="262" t="e">
        <f>_xll.qlSimpleQuoteSetValue(D17,O17/100,Trigger)</f>
        <v>#N/A</v>
      </c>
      <c r="Q17" s="221"/>
      <c r="R17" s="21"/>
      <c r="S17" s="21"/>
      <c r="T17" s="21"/>
      <c r="U17" s="21"/>
      <c r="V17" s="21"/>
      <c r="W17" s="21"/>
    </row>
    <row r="18" spans="1:23" x14ac:dyDescent="0.2">
      <c r="A18" s="84"/>
      <c r="B18" s="111" t="s">
        <v>155</v>
      </c>
      <c r="C18" s="110" t="str">
        <f t="shared" si="0"/>
        <v>EUR8MD_Quote</v>
      </c>
      <c r="D18" s="110" t="str">
        <f>_xll.qlSimpleQuote(C18,,RateTickValue,Permanent,Trigger,ObjectOverwrite)</f>
        <v>EUR8MD_Quote#0000</v>
      </c>
      <c r="E18" s="109" t="str">
        <f>_xll.ohRangeRetrieveError(D18)</f>
        <v/>
      </c>
      <c r="F18" s="108"/>
      <c r="H18" s="126"/>
      <c r="I18" s="268" t="s">
        <v>38</v>
      </c>
      <c r="J18" s="267" t="e">
        <f t="shared" si="1"/>
        <v>#REF!</v>
      </c>
      <c r="K18" s="266">
        <v>0.41</v>
      </c>
      <c r="L18" s="257"/>
      <c r="M18" s="265">
        <v>0.41</v>
      </c>
      <c r="N18" s="257"/>
      <c r="O18" s="336">
        <v>0.41</v>
      </c>
      <c r="P18" s="262" t="e">
        <f>_xll.qlSimpleQuoteSetValue(D18,O18/100,Trigger)</f>
        <v>#N/A</v>
      </c>
      <c r="Q18" s="221"/>
      <c r="R18" s="21"/>
      <c r="S18" s="21"/>
      <c r="T18" s="21"/>
      <c r="U18" s="21"/>
      <c r="V18" s="21"/>
      <c r="W18" s="21"/>
    </row>
    <row r="19" spans="1:23" x14ac:dyDescent="0.2">
      <c r="A19" s="84"/>
      <c r="B19" s="111" t="s">
        <v>154</v>
      </c>
      <c r="C19" s="110" t="str">
        <f t="shared" si="0"/>
        <v>EUR9MD_Quote</v>
      </c>
      <c r="D19" s="110" t="str">
        <f>_xll.qlSimpleQuote(C19,,RateTickValue,Permanent,Trigger,ObjectOverwrite)</f>
        <v>EUR9MD_Quote#0000</v>
      </c>
      <c r="E19" s="109" t="str">
        <f>_xll.ohRangeRetrieveError(D19)</f>
        <v/>
      </c>
      <c r="F19" s="108"/>
      <c r="H19" s="126"/>
      <c r="I19" s="268" t="s">
        <v>37</v>
      </c>
      <c r="J19" s="267" t="e">
        <f t="shared" si="1"/>
        <v>#REF!</v>
      </c>
      <c r="K19" s="266">
        <v>0.44</v>
      </c>
      <c r="L19" s="257"/>
      <c r="M19" s="265">
        <v>0.44</v>
      </c>
      <c r="N19" s="257"/>
      <c r="O19" s="336">
        <v>0.44</v>
      </c>
      <c r="P19" s="262" t="e">
        <f>_xll.qlSimpleQuoteSetValue(D19,O19/100,Trigger)</f>
        <v>#N/A</v>
      </c>
      <c r="Q19" s="221"/>
      <c r="R19" s="21"/>
      <c r="S19" s="21"/>
      <c r="T19" s="21"/>
      <c r="U19" s="21"/>
      <c r="V19" s="21"/>
      <c r="W19" s="21"/>
    </row>
    <row r="20" spans="1:23" x14ac:dyDescent="0.2">
      <c r="A20" s="84"/>
      <c r="B20" s="111" t="s">
        <v>153</v>
      </c>
      <c r="C20" s="110" t="str">
        <f t="shared" si="0"/>
        <v>EUR10MD_Quote</v>
      </c>
      <c r="D20" s="110" t="str">
        <f>_xll.qlSimpleQuote(C20,,RateTickValue,Permanent,Trigger,ObjectOverwrite)</f>
        <v>EUR10MD_Quote#0000</v>
      </c>
      <c r="E20" s="109" t="str">
        <f>_xll.ohRangeRetrieveError(D20)</f>
        <v/>
      </c>
      <c r="F20" s="108"/>
      <c r="H20" s="126"/>
      <c r="I20" s="268" t="s">
        <v>36</v>
      </c>
      <c r="J20" s="267" t="e">
        <f t="shared" si="1"/>
        <v>#REF!</v>
      </c>
      <c r="K20" s="266">
        <v>0.47</v>
      </c>
      <c r="L20" s="257"/>
      <c r="M20" s="265">
        <v>0.47</v>
      </c>
      <c r="N20" s="257"/>
      <c r="O20" s="336">
        <v>0.47</v>
      </c>
      <c r="P20" s="262" t="e">
        <f>_xll.qlSimpleQuoteSetValue(D20,O20/100,Trigger)</f>
        <v>#N/A</v>
      </c>
      <c r="Q20" s="221"/>
      <c r="R20" s="21"/>
      <c r="S20" s="21"/>
      <c r="T20" s="21"/>
      <c r="U20" s="21"/>
      <c r="V20" s="21"/>
      <c r="W20" s="21"/>
    </row>
    <row r="21" spans="1:23" x14ac:dyDescent="0.2">
      <c r="A21" s="84"/>
      <c r="B21" s="111" t="s">
        <v>152</v>
      </c>
      <c r="C21" s="110" t="str">
        <f t="shared" si="0"/>
        <v>EUR11MD_Quote</v>
      </c>
      <c r="D21" s="110" t="str">
        <f>_xll.qlSimpleQuote(C21,,RateTickValue,Permanent,Trigger,ObjectOverwrite)</f>
        <v>EUR11MD_Quote#0000</v>
      </c>
      <c r="E21" s="109" t="str">
        <f>_xll.ohRangeRetrieveError(D21)</f>
        <v/>
      </c>
      <c r="F21" s="108"/>
      <c r="H21" s="126"/>
      <c r="I21" s="268" t="s">
        <v>35</v>
      </c>
      <c r="J21" s="267" t="e">
        <f t="shared" si="1"/>
        <v>#REF!</v>
      </c>
      <c r="K21" s="266">
        <v>0.5</v>
      </c>
      <c r="L21" s="257"/>
      <c r="M21" s="265">
        <v>0.5</v>
      </c>
      <c r="N21" s="257"/>
      <c r="O21" s="336">
        <v>0.5</v>
      </c>
      <c r="P21" s="262" t="e">
        <f>_xll.qlSimpleQuoteSetValue(D21,O21/100,Trigger)</f>
        <v>#N/A</v>
      </c>
      <c r="Q21" s="221"/>
      <c r="R21" s="21"/>
      <c r="S21" s="21"/>
      <c r="T21" s="21"/>
      <c r="U21" s="21"/>
      <c r="V21" s="21"/>
      <c r="W21" s="21"/>
    </row>
    <row r="22" spans="1:23" x14ac:dyDescent="0.2">
      <c r="A22" s="84"/>
      <c r="B22" s="111" t="s">
        <v>151</v>
      </c>
      <c r="C22" s="110" t="str">
        <f t="shared" si="0"/>
        <v>EUR1YD_Quote</v>
      </c>
      <c r="D22" s="110" t="str">
        <f>_xll.qlSimpleQuote(C22,,RateTickValue,Permanent,Trigger,ObjectOverwrite)</f>
        <v>EUR1YD_Quote#0000</v>
      </c>
      <c r="E22" s="109" t="str">
        <f>_xll.ohRangeRetrieveError(D22)</f>
        <v/>
      </c>
      <c r="F22" s="108"/>
      <c r="H22" s="126"/>
      <c r="I22" s="261" t="s">
        <v>34</v>
      </c>
      <c r="J22" s="260" t="e">
        <f t="shared" si="1"/>
        <v>#REF!</v>
      </c>
      <c r="K22" s="259">
        <v>0.53</v>
      </c>
      <c r="L22" s="257"/>
      <c r="M22" s="258">
        <v>0.53</v>
      </c>
      <c r="N22" s="257"/>
      <c r="O22" s="329">
        <v>0.53</v>
      </c>
      <c r="P22" s="254" t="e">
        <f>_xll.qlSimpleQuoteSetValue(D22,O22/100,Trigger)</f>
        <v>#N/A</v>
      </c>
      <c r="Q22" s="221"/>
      <c r="R22" s="21"/>
      <c r="S22" s="21"/>
      <c r="T22" s="21"/>
      <c r="U22" s="21"/>
      <c r="V22" s="21"/>
      <c r="W22" s="21"/>
    </row>
    <row r="23" spans="1:23" ht="12" thickBot="1" x14ac:dyDescent="0.25">
      <c r="A23" s="77"/>
      <c r="B23" s="76"/>
      <c r="C23" s="76"/>
      <c r="D23" s="76"/>
      <c r="E23" s="76"/>
      <c r="F23" s="74"/>
      <c r="H23" s="52"/>
      <c r="I23" s="51"/>
      <c r="J23" s="51"/>
      <c r="K23" s="51"/>
      <c r="L23" s="51"/>
      <c r="M23" s="51"/>
      <c r="N23" s="51"/>
      <c r="O23" s="51"/>
      <c r="P23" s="51"/>
      <c r="Q23" s="50"/>
      <c r="R23" s="21"/>
      <c r="S23" s="21"/>
      <c r="T23" s="21"/>
      <c r="U23" s="21"/>
      <c r="V23" s="21"/>
      <c r="W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27" x14ac:dyDescent="0.2">
      <c r="A1" s="168" t="s">
        <v>190</v>
      </c>
      <c r="B1" s="141"/>
      <c r="C1" s="141"/>
      <c r="D1" s="20"/>
      <c r="E1" s="118"/>
      <c r="F1" s="20"/>
      <c r="G1" s="53"/>
      <c r="I1" s="327" t="s">
        <v>310</v>
      </c>
      <c r="J1" s="203"/>
      <c r="K1" s="203"/>
      <c r="L1" s="203"/>
      <c r="M1" s="203"/>
      <c r="N1" s="203"/>
      <c r="O1" s="203"/>
      <c r="P1" s="203"/>
      <c r="Q1" s="203"/>
      <c r="R1" s="203"/>
      <c r="S1" s="203"/>
      <c r="T1" s="203"/>
      <c r="U1" s="203"/>
      <c r="V1" s="203"/>
      <c r="W1" s="203"/>
      <c r="X1" s="203"/>
      <c r="Y1" s="200"/>
      <c r="Z1" s="21"/>
      <c r="AA1" s="21"/>
    </row>
    <row r="2" spans="1:27"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3"/>
      <c r="J2" s="326"/>
      <c r="K2" s="141"/>
      <c r="L2" s="141"/>
      <c r="M2" s="148" t="s">
        <v>235</v>
      </c>
      <c r="N2" s="141"/>
      <c r="O2" s="141"/>
      <c r="P2" s="141"/>
      <c r="Q2" s="141"/>
      <c r="R2" s="257"/>
      <c r="S2" s="257"/>
      <c r="T2" s="257"/>
      <c r="U2" s="257"/>
      <c r="V2" s="325" t="s">
        <v>254</v>
      </c>
      <c r="W2" s="148" t="s">
        <v>147</v>
      </c>
      <c r="X2" s="141"/>
      <c r="Y2" s="53"/>
      <c r="Z2" s="21"/>
      <c r="AA2" s="21"/>
    </row>
    <row r="3" spans="1:27" x14ac:dyDescent="0.2">
      <c r="A3" s="126"/>
      <c r="B3" s="130" t="s">
        <v>184</v>
      </c>
      <c r="C3" s="131" t="s">
        <v>170</v>
      </c>
      <c r="D3" s="130" t="str">
        <f t="shared" ref="D3:D35" si="0">Currency&amp;$B3&amp;$C3&amp;QuoteSuffix</f>
        <v>EURT1F1_Quote</v>
      </c>
      <c r="E3" s="129" t="str">
        <f>_xll.qlSimpleQuote(D3,,RateTickValue,Permanent,Trigger,ObjectOverwrite)</f>
        <v>EURT1F1_Quote#0000</v>
      </c>
      <c r="F3" s="128" t="str">
        <f>_xll.ohRangeRetrieveError(E3)</f>
        <v/>
      </c>
      <c r="G3" s="53"/>
      <c r="I3" s="126"/>
      <c r="J3" s="141"/>
      <c r="K3" s="257"/>
      <c r="L3" s="141"/>
      <c r="M3" s="141"/>
      <c r="N3" s="141"/>
      <c r="O3" s="141"/>
      <c r="P3" s="141"/>
      <c r="Q3" s="141"/>
      <c r="R3" s="141"/>
      <c r="S3" s="257"/>
      <c r="T3" s="257"/>
      <c r="U3" s="257"/>
      <c r="V3" s="141"/>
      <c r="W3" s="141"/>
      <c r="X3" s="288">
        <f>_xll.ohTrigger(X5:X23)</f>
        <v>0</v>
      </c>
      <c r="Y3" s="221"/>
      <c r="Z3" s="21"/>
      <c r="AA3" s="21"/>
    </row>
    <row r="4" spans="1:27" ht="22.5" x14ac:dyDescent="0.2">
      <c r="A4" s="126"/>
      <c r="B4" s="123" t="s">
        <v>183</v>
      </c>
      <c r="C4" s="127" t="s">
        <v>170</v>
      </c>
      <c r="D4" s="123" t="str">
        <f t="shared" si="0"/>
        <v>EURTOM1F1_Quote</v>
      </c>
      <c r="E4" s="122" t="str">
        <f>_xll.qlSimpleQuote(D4,,RateTickValue,Permanent,Trigger,ObjectOverwrite)</f>
        <v>EURTOM1F1_Quote#0000</v>
      </c>
      <c r="F4" s="121" t="str">
        <f>_xll.ohRangeRetrieveError(E4)</f>
        <v/>
      </c>
      <c r="G4" s="53"/>
      <c r="I4" s="126"/>
      <c r="J4" s="206"/>
      <c r="K4" s="149"/>
      <c r="L4" s="198"/>
      <c r="M4" s="287" t="e">
        <f ca="1">_xll.RData(M5:M33,N4:Q4,,ReutersRtMode,,N5)</f>
        <v>#NAME?</v>
      </c>
      <c r="N4" s="324" t="s">
        <v>258</v>
      </c>
      <c r="O4" s="324" t="s">
        <v>225</v>
      </c>
      <c r="P4" s="324" t="s">
        <v>240</v>
      </c>
      <c r="Q4" s="324" t="s">
        <v>257</v>
      </c>
      <c r="R4" s="283" t="s">
        <v>256</v>
      </c>
      <c r="S4" s="257"/>
      <c r="T4" s="285" t="s">
        <v>252</v>
      </c>
      <c r="U4" s="257"/>
      <c r="V4" s="323" t="s">
        <v>251</v>
      </c>
      <c r="W4" s="322" t="s">
        <v>250</v>
      </c>
      <c r="X4" s="248" t="s">
        <v>249</v>
      </c>
      <c r="Y4" s="221"/>
      <c r="Z4" s="21"/>
      <c r="AA4" s="321" t="s">
        <v>255</v>
      </c>
    </row>
    <row r="5" spans="1:27" x14ac:dyDescent="0.2">
      <c r="A5" s="126"/>
      <c r="B5" s="130" t="s">
        <v>182</v>
      </c>
      <c r="C5" s="131" t="s">
        <v>170</v>
      </c>
      <c r="D5" s="130" t="str">
        <f t="shared" si="0"/>
        <v>EURT3F1_Quote</v>
      </c>
      <c r="E5" s="129" t="str">
        <f>_xll.qlSimpleQuote(D5,,RateTickValue,Permanent,Trigger,ObjectOverwrite)</f>
        <v>EURT3F1_Quote#0000</v>
      </c>
      <c r="F5" s="128" t="str">
        <f>_xll.ohRangeRetrieveError(E5)</f>
        <v/>
      </c>
      <c r="G5" s="53"/>
      <c r="I5" s="126"/>
      <c r="J5" s="320" t="s">
        <v>182</v>
      </c>
      <c r="K5" s="319" t="s">
        <v>170</v>
      </c>
      <c r="L5" s="317" t="str">
        <f t="shared" ref="L5:L33" si="1">Currency&amp;$J5&amp;$K5</f>
        <v>EURT3F1</v>
      </c>
      <c r="M5" s="317" t="str">
        <f t="array" ref="M5:M33">UPPER(Instruments)&amp;"="&amp;VLOOKUP(Contributor,ContributorTable,2,FALSE)</f>
        <v>EURT3F1=ICAP</v>
      </c>
      <c r="N5" s="318">
        <v>0.2</v>
      </c>
      <c r="O5" s="318">
        <v>0.25</v>
      </c>
      <c r="P5" s="317">
        <v>0</v>
      </c>
      <c r="Q5" s="317">
        <v>0</v>
      </c>
      <c r="R5" s="278">
        <f>_xll.qlMidSafe($N5,$O5)</f>
        <v>0.22500000000000001</v>
      </c>
      <c r="S5" s="257"/>
      <c r="T5" s="316">
        <v>0.22500000000000001</v>
      </c>
      <c r="U5" s="257"/>
      <c r="V5" s="276" t="str">
        <f t="shared" ref="V5:V33" si="2">$L5&amp;$W$2</f>
        <v>EURT3F1_Quote</v>
      </c>
      <c r="W5" s="275">
        <f t="array" ref="W5:W33">QuoteLive</f>
        <v>0.22500000000000001</v>
      </c>
      <c r="X5" s="274" t="e">
        <f>_xll.qlSimpleQuoteSetValue($V5,$W5/100,Trigger)</f>
        <v>#NUM!</v>
      </c>
      <c r="Y5" s="221"/>
      <c r="Z5" s="21"/>
      <c r="AA5" s="296">
        <f t="shared" ref="AA5:AA33" si="3">(O5-R5)/50</f>
        <v>4.999999999999999E-4</v>
      </c>
    </row>
    <row r="6" spans="1:27" x14ac:dyDescent="0.2">
      <c r="A6" s="126"/>
      <c r="B6" s="123" t="s">
        <v>181</v>
      </c>
      <c r="C6" s="127" t="s">
        <v>170</v>
      </c>
      <c r="D6" s="123" t="str">
        <f t="shared" si="0"/>
        <v>EURTOM3F1_Quote</v>
      </c>
      <c r="E6" s="122" t="str">
        <f>_xll.qlSimpleQuote(D6,,RateTickValue,Permanent,Trigger,ObjectOverwrite)</f>
        <v>EURTOM3F1_Quote#0000</v>
      </c>
      <c r="F6" s="121" t="str">
        <f>_xll.ohRangeRetrieveError(E6)</f>
        <v/>
      </c>
      <c r="G6" s="53"/>
      <c r="I6" s="126"/>
      <c r="J6" s="315" t="s">
        <v>181</v>
      </c>
      <c r="K6" s="314" t="s">
        <v>170</v>
      </c>
      <c r="L6" s="312" t="str">
        <f t="shared" si="1"/>
        <v>EURTOM3F1</v>
      </c>
      <c r="M6" s="312" t="str">
        <v>EURTOM3F1=ICAP</v>
      </c>
      <c r="N6" s="313">
        <v>0.2</v>
      </c>
      <c r="O6" s="313">
        <v>0.25</v>
      </c>
      <c r="P6" s="312">
        <v>0</v>
      </c>
      <c r="Q6" s="312">
        <v>0</v>
      </c>
      <c r="R6" s="259">
        <f>_xll.qlMidSafe($N6,$O6)</f>
        <v>0.22500000000000001</v>
      </c>
      <c r="S6" s="257"/>
      <c r="T6" s="311">
        <v>0.22500000000000001</v>
      </c>
      <c r="U6" s="257"/>
      <c r="V6" s="256" t="str">
        <f t="shared" si="2"/>
        <v>EURTOM3F1_Quote</v>
      </c>
      <c r="W6" s="255">
        <v>0.22500000000000001</v>
      </c>
      <c r="X6" s="254" t="e">
        <f>_xll.qlSimpleQuoteSetValue($V6,$W6/100,Trigger)</f>
        <v>#NUM!</v>
      </c>
      <c r="Y6" s="221"/>
      <c r="Z6" s="21"/>
      <c r="AA6" s="296">
        <f t="shared" si="3"/>
        <v>4.999999999999999E-4</v>
      </c>
    </row>
    <row r="7" spans="1:27" x14ac:dyDescent="0.2">
      <c r="A7" s="126"/>
      <c r="B7" s="130">
        <v>1</v>
      </c>
      <c r="C7" s="131" t="s">
        <v>180</v>
      </c>
      <c r="D7" s="130" t="str">
        <f t="shared" si="0"/>
        <v>EUR1x4F_Quote</v>
      </c>
      <c r="E7" s="129" t="str">
        <f>_xll.qlSimpleQuote(D7,,RateTickValue,Permanent,Trigger,ObjectOverwrite)</f>
        <v>EUR1x4F_Quote#0000</v>
      </c>
      <c r="F7" s="128" t="str">
        <f>_xll.ohRangeRetrieveError(E7)</f>
        <v/>
      </c>
      <c r="G7" s="53"/>
      <c r="I7" s="126"/>
      <c r="J7" s="320">
        <v>1</v>
      </c>
      <c r="K7" s="319" t="s">
        <v>180</v>
      </c>
      <c r="L7" s="317" t="str">
        <f t="shared" si="1"/>
        <v>EUR1x4F</v>
      </c>
      <c r="M7" s="317" t="str">
        <v>EUR1X4F=ICAP</v>
      </c>
      <c r="N7" s="318">
        <v>0.22</v>
      </c>
      <c r="O7" s="318">
        <v>0.27</v>
      </c>
      <c r="P7" s="317">
        <v>0</v>
      </c>
      <c r="Q7" s="317">
        <v>0</v>
      </c>
      <c r="R7" s="278">
        <f>_xll.qlMidSafe($N7,$O7)</f>
        <v>0.245</v>
      </c>
      <c r="S7" s="257"/>
      <c r="T7" s="306">
        <v>0.245</v>
      </c>
      <c r="U7" s="257"/>
      <c r="V7" s="264" t="str">
        <f t="shared" si="2"/>
        <v>EUR1x4F_Quote</v>
      </c>
      <c r="W7" s="263">
        <v>0.245</v>
      </c>
      <c r="X7" s="262" t="e">
        <f>_xll.qlSimpleQuoteSetValue($V7,$W7/100,Trigger)</f>
        <v>#NUM!</v>
      </c>
      <c r="Y7" s="221"/>
      <c r="Z7" s="21"/>
      <c r="AA7" s="296">
        <f t="shared" si="3"/>
        <v>5.0000000000000044E-4</v>
      </c>
    </row>
    <row r="8" spans="1:27" x14ac:dyDescent="0.2">
      <c r="A8" s="126"/>
      <c r="B8" s="134">
        <v>2</v>
      </c>
      <c r="C8" s="135" t="s">
        <v>179</v>
      </c>
      <c r="D8" s="134" t="str">
        <f t="shared" si="0"/>
        <v>EUR2x5F_Quote</v>
      </c>
      <c r="E8" s="133" t="str">
        <f>_xll.qlSimpleQuote(D8,,RateTickValue,Permanent,Trigger,ObjectOverwrite)</f>
        <v>EUR2x5F_Quote#0000</v>
      </c>
      <c r="F8" s="132" t="str">
        <f>_xll.ohRangeRetrieveError(E8)</f>
        <v/>
      </c>
      <c r="G8" s="53"/>
      <c r="I8" s="126"/>
      <c r="J8" s="310">
        <v>2</v>
      </c>
      <c r="K8" s="309" t="s">
        <v>179</v>
      </c>
      <c r="L8" s="307" t="str">
        <f t="shared" si="1"/>
        <v>EUR2x5F</v>
      </c>
      <c r="M8" s="307" t="str">
        <v>EUR2X5F=ICAP</v>
      </c>
      <c r="N8" s="308">
        <v>0.24299999999999999</v>
      </c>
      <c r="O8" s="308">
        <v>0.29299999999999998</v>
      </c>
      <c r="P8" s="307">
        <v>0</v>
      </c>
      <c r="Q8" s="307">
        <v>0</v>
      </c>
      <c r="R8" s="266">
        <f>_xll.qlMidSafe($N8,$O8)</f>
        <v>0.26800000000000002</v>
      </c>
      <c r="S8" s="257"/>
      <c r="T8" s="306">
        <v>0.26800000000000002</v>
      </c>
      <c r="U8" s="257"/>
      <c r="V8" s="264" t="str">
        <f t="shared" si="2"/>
        <v>EUR2x5F_Quote</v>
      </c>
      <c r="W8" s="263">
        <v>0.26800000000000002</v>
      </c>
      <c r="X8" s="262" t="e">
        <f>_xll.qlSimpleQuoteSetValue($V8,$W8/100,Trigger)</f>
        <v>#NUM!</v>
      </c>
      <c r="Y8" s="221"/>
      <c r="Z8" s="21"/>
      <c r="AA8" s="296">
        <f t="shared" si="3"/>
        <v>4.9999999999999936E-4</v>
      </c>
    </row>
    <row r="9" spans="1:27" x14ac:dyDescent="0.2">
      <c r="A9" s="126"/>
      <c r="B9" s="134">
        <v>3</v>
      </c>
      <c r="C9" s="135" t="s">
        <v>178</v>
      </c>
      <c r="D9" s="134" t="str">
        <f t="shared" si="0"/>
        <v>EUR3x6F_Quote</v>
      </c>
      <c r="E9" s="133" t="str">
        <f>_xll.qlSimpleQuote(D9,,RateTickValue,Permanent,Trigger,ObjectOverwrite)</f>
        <v>EUR3x6F_Quote#0000</v>
      </c>
      <c r="F9" s="132" t="str">
        <f>_xll.ohRangeRetrieveError(E9)</f>
        <v/>
      </c>
      <c r="G9" s="53"/>
      <c r="I9" s="126"/>
      <c r="J9" s="310">
        <v>3</v>
      </c>
      <c r="K9" s="309" t="s">
        <v>178</v>
      </c>
      <c r="L9" s="307" t="str">
        <f t="shared" si="1"/>
        <v>EUR3x6F</v>
      </c>
      <c r="M9" s="307" t="str">
        <v>EUR3X6F=ICAP</v>
      </c>
      <c r="N9" s="308">
        <v>0.26900000000000002</v>
      </c>
      <c r="O9" s="308">
        <v>0.31900000000000001</v>
      </c>
      <c r="P9" s="307">
        <v>0</v>
      </c>
      <c r="Q9" s="307">
        <v>0</v>
      </c>
      <c r="R9" s="266">
        <f>_xll.qlMidSafe($N9,$O9)</f>
        <v>0.29400000000000004</v>
      </c>
      <c r="S9" s="257"/>
      <c r="T9" s="306">
        <v>0.29400000000000004</v>
      </c>
      <c r="U9" s="257"/>
      <c r="V9" s="264" t="str">
        <f t="shared" si="2"/>
        <v>EUR3x6F_Quote</v>
      </c>
      <c r="W9" s="263">
        <v>0.29400000000000004</v>
      </c>
      <c r="X9" s="262" t="e">
        <f>_xll.qlSimpleQuoteSetValue($V9,$W9/100,Trigger)</f>
        <v>#NUM!</v>
      </c>
      <c r="Y9" s="221"/>
      <c r="Z9" s="21"/>
      <c r="AA9" s="296">
        <f t="shared" si="3"/>
        <v>4.9999999999999936E-4</v>
      </c>
    </row>
    <row r="10" spans="1:27" x14ac:dyDescent="0.2">
      <c r="A10" s="126"/>
      <c r="B10" s="134">
        <v>4</v>
      </c>
      <c r="C10" s="135" t="s">
        <v>177</v>
      </c>
      <c r="D10" s="134" t="str">
        <f t="shared" si="0"/>
        <v>EUR4x7F_Quote</v>
      </c>
      <c r="E10" s="133" t="str">
        <f>_xll.qlSimpleQuote(D10,,RateTickValue,Permanent,Trigger,ObjectOverwrite)</f>
        <v>EUR4x7F_Quote#0000</v>
      </c>
      <c r="F10" s="132" t="str">
        <f>_xll.ohRangeRetrieveError(E10)</f>
        <v/>
      </c>
      <c r="G10" s="53"/>
      <c r="I10" s="126"/>
      <c r="J10" s="310">
        <v>4</v>
      </c>
      <c r="K10" s="309" t="s">
        <v>177</v>
      </c>
      <c r="L10" s="307" t="str">
        <f t="shared" si="1"/>
        <v>EUR4x7F</v>
      </c>
      <c r="M10" s="307" t="str">
        <v>EUR4X7F=ICAP</v>
      </c>
      <c r="N10" s="308">
        <v>0.28599999999999998</v>
      </c>
      <c r="O10" s="308">
        <v>0.33600000000000002</v>
      </c>
      <c r="P10" s="307">
        <v>0</v>
      </c>
      <c r="Q10" s="307">
        <v>0</v>
      </c>
      <c r="R10" s="266">
        <f>_xll.qlMidSafe($N10,$O10)</f>
        <v>0.311</v>
      </c>
      <c r="S10" s="257"/>
      <c r="T10" s="306">
        <v>0.311</v>
      </c>
      <c r="U10" s="257"/>
      <c r="V10" s="264" t="str">
        <f t="shared" si="2"/>
        <v>EUR4x7F_Quote</v>
      </c>
      <c r="W10" s="263">
        <v>0.311</v>
      </c>
      <c r="X10" s="262" t="e">
        <f>_xll.qlSimpleQuoteSetValue($V10,$W10/100,Trigger)</f>
        <v>#NUM!</v>
      </c>
      <c r="Y10" s="221"/>
      <c r="Z10" s="21"/>
      <c r="AA10" s="296">
        <f t="shared" si="3"/>
        <v>5.0000000000000044E-4</v>
      </c>
    </row>
    <row r="11" spans="1:27" x14ac:dyDescent="0.2">
      <c r="A11" s="126"/>
      <c r="B11" s="134">
        <v>5</v>
      </c>
      <c r="C11" s="135" t="s">
        <v>176</v>
      </c>
      <c r="D11" s="134" t="str">
        <f t="shared" si="0"/>
        <v>EUR5x8F_Quote</v>
      </c>
      <c r="E11" s="133" t="str">
        <f>_xll.qlSimpleQuote(D11,,RateTickValue,Permanent,Trigger,ObjectOverwrite)</f>
        <v>EUR5x8F_Quote#0000</v>
      </c>
      <c r="F11" s="132" t="str">
        <f>_xll.ohRangeRetrieveError(E11)</f>
        <v/>
      </c>
      <c r="G11" s="53"/>
      <c r="I11" s="126"/>
      <c r="J11" s="310">
        <v>5</v>
      </c>
      <c r="K11" s="309" t="s">
        <v>176</v>
      </c>
      <c r="L11" s="307" t="str">
        <f t="shared" si="1"/>
        <v>EUR5x8F</v>
      </c>
      <c r="M11" s="307" t="str">
        <v>EUR5X8F=ICAP</v>
      </c>
      <c r="N11" s="308">
        <v>0.307</v>
      </c>
      <c r="O11" s="308">
        <v>0.35699999999999998</v>
      </c>
      <c r="P11" s="307">
        <v>0</v>
      </c>
      <c r="Q11" s="307">
        <v>0</v>
      </c>
      <c r="R11" s="266">
        <f>_xll.qlMidSafe($N11,$O11)</f>
        <v>0.33199999999999996</v>
      </c>
      <c r="S11" s="257"/>
      <c r="T11" s="306">
        <v>0.33199999999999996</v>
      </c>
      <c r="U11" s="257"/>
      <c r="V11" s="264" t="str">
        <f t="shared" si="2"/>
        <v>EUR5x8F_Quote</v>
      </c>
      <c r="W11" s="263">
        <v>0.33199999999999996</v>
      </c>
      <c r="X11" s="262" t="e">
        <f>_xll.qlSimpleQuoteSetValue($V11,$W11/100,Trigger)</f>
        <v>#NUM!</v>
      </c>
      <c r="Y11" s="221"/>
      <c r="Z11" s="21"/>
      <c r="AA11" s="296">
        <f t="shared" si="3"/>
        <v>5.0000000000000044E-4</v>
      </c>
    </row>
    <row r="12" spans="1:27" x14ac:dyDescent="0.2">
      <c r="A12" s="126"/>
      <c r="B12" s="123">
        <v>6</v>
      </c>
      <c r="C12" s="127" t="s">
        <v>175</v>
      </c>
      <c r="D12" s="123" t="str">
        <f t="shared" si="0"/>
        <v>EUR6x9F_Quote</v>
      </c>
      <c r="E12" s="122" t="str">
        <f>_xll.qlSimpleQuote(D12,,RateTickValue,Permanent,Trigger,ObjectOverwrite)</f>
        <v>EUR6x9F_Quote#0000</v>
      </c>
      <c r="F12" s="121" t="str">
        <f>_xll.ohRangeRetrieveError(E12)</f>
        <v/>
      </c>
      <c r="G12" s="53"/>
      <c r="I12" s="126"/>
      <c r="J12" s="315">
        <v>6</v>
      </c>
      <c r="K12" s="314" t="s">
        <v>175</v>
      </c>
      <c r="L12" s="312" t="str">
        <f t="shared" si="1"/>
        <v>EUR6x9F</v>
      </c>
      <c r="M12" s="312" t="str">
        <v>EUR6X9F=ICAP</v>
      </c>
      <c r="N12" s="313">
        <v>0.32700000000000001</v>
      </c>
      <c r="O12" s="313">
        <v>0.377</v>
      </c>
      <c r="P12" s="312">
        <v>0</v>
      </c>
      <c r="Q12" s="312">
        <v>0</v>
      </c>
      <c r="R12" s="259">
        <f>_xll.qlMidSafe($N12,$O12)</f>
        <v>0.35199999999999998</v>
      </c>
      <c r="S12" s="257"/>
      <c r="T12" s="311">
        <v>0.35199999999999998</v>
      </c>
      <c r="U12" s="257"/>
      <c r="V12" s="264" t="str">
        <f t="shared" si="2"/>
        <v>EUR6x9F_Quote</v>
      </c>
      <c r="W12" s="263">
        <v>0.35199999999999998</v>
      </c>
      <c r="X12" s="262" t="e">
        <f>_xll.qlSimpleQuoteSetValue($V12,$W12/100,Trigger)</f>
        <v>#NUM!</v>
      </c>
      <c r="Y12" s="221"/>
      <c r="Z12" s="21"/>
      <c r="AA12" s="296">
        <f t="shared" si="3"/>
        <v>5.0000000000000044E-4</v>
      </c>
    </row>
    <row r="13" spans="1:27" x14ac:dyDescent="0.2">
      <c r="A13" s="126"/>
      <c r="B13" s="130" t="s">
        <v>174</v>
      </c>
      <c r="C13" s="131" t="s">
        <v>170</v>
      </c>
      <c r="D13" s="130" t="str">
        <f t="shared" si="0"/>
        <v>EURT6F1_Quote</v>
      </c>
      <c r="E13" s="129" t="str">
        <f>_xll.qlSimpleQuote(D13,,RateTickValue,Permanent,Trigger,ObjectOverwrite)</f>
        <v>EURT6F1_Quote#0000</v>
      </c>
      <c r="F13" s="128" t="str">
        <f>_xll.ohRangeRetrieveError(E13)</f>
        <v/>
      </c>
      <c r="G13" s="53"/>
      <c r="I13" s="126"/>
      <c r="J13" s="320" t="s">
        <v>174</v>
      </c>
      <c r="K13" s="319" t="s">
        <v>170</v>
      </c>
      <c r="L13" s="317" t="str">
        <f t="shared" si="1"/>
        <v>EURT6F1</v>
      </c>
      <c r="M13" s="317" t="str">
        <v>EURT6F1=ICAP</v>
      </c>
      <c r="N13" s="318">
        <v>0.318</v>
      </c>
      <c r="O13" s="318">
        <v>0.36799999999999999</v>
      </c>
      <c r="P13" s="317">
        <v>0</v>
      </c>
      <c r="Q13" s="317">
        <v>0</v>
      </c>
      <c r="R13" s="278">
        <f>_xll.qlMidSafe($N13,$O13)</f>
        <v>0.34299999999999997</v>
      </c>
      <c r="S13" s="257"/>
      <c r="T13" s="316">
        <v>0.34299999999999997</v>
      </c>
      <c r="U13" s="257"/>
      <c r="V13" s="276" t="str">
        <f t="shared" si="2"/>
        <v>EURT6F1_Quote</v>
      </c>
      <c r="W13" s="275">
        <v>0.34299999999999997</v>
      </c>
      <c r="X13" s="274" t="e">
        <f>_xll.qlSimpleQuoteSetValue($V13,$W13/100,Trigger)</f>
        <v>#NUM!</v>
      </c>
      <c r="Y13" s="221"/>
      <c r="Z13" s="21"/>
      <c r="AA13" s="296">
        <f t="shared" si="3"/>
        <v>5.0000000000000044E-4</v>
      </c>
    </row>
    <row r="14" spans="1:27" x14ac:dyDescent="0.2">
      <c r="A14" s="126"/>
      <c r="B14" s="123" t="s">
        <v>173</v>
      </c>
      <c r="C14" s="127" t="s">
        <v>170</v>
      </c>
      <c r="D14" s="123" t="str">
        <f t="shared" si="0"/>
        <v>EURTOM6F1_Quote</v>
      </c>
      <c r="E14" s="122" t="str">
        <f>_xll.qlSimpleQuote(D14,,RateTickValue,Permanent,Trigger,ObjectOverwrite)</f>
        <v>EURTOM6F1_Quote#0000</v>
      </c>
      <c r="F14" s="121" t="str">
        <f>_xll.ohRangeRetrieveError(E14)</f>
        <v/>
      </c>
      <c r="G14" s="53"/>
      <c r="I14" s="126"/>
      <c r="J14" s="315" t="s">
        <v>173</v>
      </c>
      <c r="K14" s="314" t="s">
        <v>170</v>
      </c>
      <c r="L14" s="312" t="str">
        <f t="shared" si="1"/>
        <v>EURTOM6F1</v>
      </c>
      <c r="M14" s="312" t="str">
        <v>EURTOM6F1=ICAP</v>
      </c>
      <c r="N14" s="313">
        <v>0.31900000000000001</v>
      </c>
      <c r="O14" s="313">
        <v>0.36899999999999999</v>
      </c>
      <c r="P14" s="312">
        <v>0</v>
      </c>
      <c r="Q14" s="312">
        <v>0</v>
      </c>
      <c r="R14" s="259">
        <f>_xll.qlMidSafe($N14,$O14)</f>
        <v>0.34399999999999997</v>
      </c>
      <c r="S14" s="257"/>
      <c r="T14" s="311">
        <v>0.34399999999999997</v>
      </c>
      <c r="U14" s="257"/>
      <c r="V14" s="256" t="str">
        <f t="shared" si="2"/>
        <v>EURTOM6F1_Quote</v>
      </c>
      <c r="W14" s="255">
        <v>0.34399999999999997</v>
      </c>
      <c r="X14" s="254" t="e">
        <f>_xll.qlSimpleQuoteSetValue($V14,$W14/100,Trigger)</f>
        <v>#NUM!</v>
      </c>
      <c r="Y14" s="221"/>
      <c r="Z14" s="21"/>
      <c r="AA14" s="296">
        <f t="shared" si="3"/>
        <v>5.0000000000000044E-4</v>
      </c>
    </row>
    <row r="15" spans="1:27" x14ac:dyDescent="0.2">
      <c r="A15" s="126"/>
      <c r="B15" s="134">
        <v>1</v>
      </c>
      <c r="C15" s="135" t="str">
        <f t="shared" ref="C15:C32" si="4">"x"&amp;B15+6&amp;"F"</f>
        <v>x7F</v>
      </c>
      <c r="D15" s="134" t="str">
        <f t="shared" si="0"/>
        <v>EUR1x7F_Quote</v>
      </c>
      <c r="E15" s="133" t="str">
        <f>_xll.qlSimpleQuote(D15,,RateTickValue,Permanent,Trigger,ObjectOverwrite)</f>
        <v>EUR1x7F_Quote#0000</v>
      </c>
      <c r="F15" s="132" t="str">
        <f>_xll.ohRangeRetrieveError(E15)</f>
        <v/>
      </c>
      <c r="G15" s="53"/>
      <c r="I15" s="126"/>
      <c r="J15" s="310">
        <v>1</v>
      </c>
      <c r="K15" s="309" t="str">
        <f t="shared" ref="K15:K32" si="5">"x"&amp;J15+6&amp;"F"</f>
        <v>x7F</v>
      </c>
      <c r="L15" s="307" t="str">
        <f t="shared" si="1"/>
        <v>EUR1x7F</v>
      </c>
      <c r="M15" s="307" t="str">
        <v>EUR1X7F=ICAP</v>
      </c>
      <c r="N15" s="308">
        <v>0.34699999999999998</v>
      </c>
      <c r="O15" s="308">
        <v>0.39700000000000002</v>
      </c>
      <c r="P15" s="307">
        <v>0</v>
      </c>
      <c r="Q15" s="307">
        <v>0</v>
      </c>
      <c r="R15" s="266">
        <f>_xll.qlMidSafe($N15,$O15)</f>
        <v>0.372</v>
      </c>
      <c r="S15" s="257"/>
      <c r="T15" s="306">
        <v>0.372</v>
      </c>
      <c r="U15" s="257"/>
      <c r="V15" s="264" t="str">
        <f t="shared" si="2"/>
        <v>EUR1x7F_Quote</v>
      </c>
      <c r="W15" s="263">
        <v>0.372</v>
      </c>
      <c r="X15" s="262" t="e">
        <f>_xll.qlSimpleQuoteSetValue($V15,$W15/100,Trigger)</f>
        <v>#NUM!</v>
      </c>
      <c r="Y15" s="221"/>
      <c r="Z15" s="21"/>
      <c r="AA15" s="296">
        <f t="shared" si="3"/>
        <v>5.0000000000000044E-4</v>
      </c>
    </row>
    <row r="16" spans="1:27" x14ac:dyDescent="0.2">
      <c r="A16" s="126"/>
      <c r="B16" s="134">
        <v>2</v>
      </c>
      <c r="C16" s="135" t="str">
        <f t="shared" si="4"/>
        <v>x8F</v>
      </c>
      <c r="D16" s="134" t="str">
        <f t="shared" si="0"/>
        <v>EUR2x8F_Quote</v>
      </c>
      <c r="E16" s="133" t="str">
        <f>_xll.qlSimpleQuote(D16,,RateTickValue,Permanent,Trigger,ObjectOverwrite)</f>
        <v>EUR2x8F_Quote#0000</v>
      </c>
      <c r="F16" s="132" t="str">
        <f>_xll.ohRangeRetrieveError(E16)</f>
        <v/>
      </c>
      <c r="G16" s="53"/>
      <c r="I16" s="126"/>
      <c r="J16" s="310">
        <v>2</v>
      </c>
      <c r="K16" s="309" t="str">
        <f t="shared" si="5"/>
        <v>x8F</v>
      </c>
      <c r="L16" s="307" t="str">
        <f t="shared" si="1"/>
        <v>EUR2x8F</v>
      </c>
      <c r="M16" s="307" t="str">
        <v>EUR2X8F=ICAP</v>
      </c>
      <c r="N16" s="308">
        <v>0.371</v>
      </c>
      <c r="O16" s="308">
        <v>0.42099999999999999</v>
      </c>
      <c r="P16" s="307">
        <v>0</v>
      </c>
      <c r="Q16" s="307">
        <v>0</v>
      </c>
      <c r="R16" s="266">
        <f>_xll.qlMidSafe($N16,$O16)</f>
        <v>0.39600000000000002</v>
      </c>
      <c r="S16" s="257"/>
      <c r="T16" s="306">
        <v>0.39600000000000002</v>
      </c>
      <c r="U16" s="257"/>
      <c r="V16" s="264" t="str">
        <f t="shared" si="2"/>
        <v>EUR2x8F_Quote</v>
      </c>
      <c r="W16" s="263">
        <v>0.39600000000000002</v>
      </c>
      <c r="X16" s="262" t="e">
        <f>_xll.qlSimpleQuoteSetValue($V16,$W16/100,Trigger)</f>
        <v>#NUM!</v>
      </c>
      <c r="Y16" s="221"/>
      <c r="Z16" s="21"/>
      <c r="AA16" s="296">
        <f t="shared" si="3"/>
        <v>4.9999999999999936E-4</v>
      </c>
    </row>
    <row r="17" spans="1:27" x14ac:dyDescent="0.2">
      <c r="A17" s="126"/>
      <c r="B17" s="134">
        <v>3</v>
      </c>
      <c r="C17" s="135" t="str">
        <f t="shared" si="4"/>
        <v>x9F</v>
      </c>
      <c r="D17" s="134" t="str">
        <f t="shared" si="0"/>
        <v>EUR3x9F_Quote</v>
      </c>
      <c r="E17" s="133" t="str">
        <f>_xll.qlSimpleQuote(D17,,RateTickValue,Permanent,Trigger,ObjectOverwrite)</f>
        <v>EUR3x9F_Quote#0000</v>
      </c>
      <c r="F17" s="132" t="str">
        <f>_xll.ohRangeRetrieveError(E17)</f>
        <v/>
      </c>
      <c r="G17" s="53"/>
      <c r="I17" s="126"/>
      <c r="J17" s="310">
        <v>3</v>
      </c>
      <c r="K17" s="309" t="str">
        <f t="shared" si="5"/>
        <v>x9F</v>
      </c>
      <c r="L17" s="307" t="str">
        <f t="shared" si="1"/>
        <v>EUR3x9F</v>
      </c>
      <c r="M17" s="307" t="str">
        <v>EUR3X9F=ICAP</v>
      </c>
      <c r="N17" s="308">
        <v>0.40300000000000002</v>
      </c>
      <c r="O17" s="308">
        <v>0.45300000000000001</v>
      </c>
      <c r="P17" s="307">
        <v>0</v>
      </c>
      <c r="Q17" s="307">
        <v>0</v>
      </c>
      <c r="R17" s="266">
        <f>_xll.qlMidSafe($N17,$O17)</f>
        <v>0.42800000000000005</v>
      </c>
      <c r="S17" s="257"/>
      <c r="T17" s="306">
        <v>0.42800000000000005</v>
      </c>
      <c r="U17" s="257"/>
      <c r="V17" s="264" t="str">
        <f t="shared" si="2"/>
        <v>EUR3x9F_Quote</v>
      </c>
      <c r="W17" s="263">
        <v>0.42800000000000005</v>
      </c>
      <c r="X17" s="262" t="e">
        <f>_xll.qlSimpleQuoteSetValue($V17,$W17/100,Trigger)</f>
        <v>#NUM!</v>
      </c>
      <c r="Y17" s="221"/>
      <c r="Z17" s="21"/>
      <c r="AA17" s="296">
        <f t="shared" si="3"/>
        <v>4.9999999999999936E-4</v>
      </c>
    </row>
    <row r="18" spans="1:27" x14ac:dyDescent="0.2">
      <c r="A18" s="126"/>
      <c r="B18" s="134">
        <v>4</v>
      </c>
      <c r="C18" s="135" t="str">
        <f t="shared" si="4"/>
        <v>x10F</v>
      </c>
      <c r="D18" s="134" t="str">
        <f t="shared" si="0"/>
        <v>EUR4x10F_Quote</v>
      </c>
      <c r="E18" s="133" t="str">
        <f>_xll.qlSimpleQuote(D18,,RateTickValue,Permanent,Trigger,ObjectOverwrite)</f>
        <v>EUR4x10F_Quote#0000</v>
      </c>
      <c r="F18" s="132" t="str">
        <f>_xll.ohRangeRetrieveError(E18)</f>
        <v/>
      </c>
      <c r="G18" s="53"/>
      <c r="I18" s="126"/>
      <c r="J18" s="310">
        <v>4</v>
      </c>
      <c r="K18" s="309" t="str">
        <f t="shared" si="5"/>
        <v>x10F</v>
      </c>
      <c r="L18" s="307" t="str">
        <f t="shared" si="1"/>
        <v>EUR4x10F</v>
      </c>
      <c r="M18" s="307" t="str">
        <v>EUR4X10F=ICAP</v>
      </c>
      <c r="N18" s="308">
        <v>0.42599999999999999</v>
      </c>
      <c r="O18" s="308">
        <v>0.47599999999999998</v>
      </c>
      <c r="P18" s="307">
        <v>0</v>
      </c>
      <c r="Q18" s="307">
        <v>0</v>
      </c>
      <c r="R18" s="266">
        <f>_xll.qlMidSafe($N18,$O18)</f>
        <v>0.45099999999999996</v>
      </c>
      <c r="S18" s="257"/>
      <c r="T18" s="306">
        <v>0.45099999999999996</v>
      </c>
      <c r="U18" s="257"/>
      <c r="V18" s="264" t="str">
        <f t="shared" si="2"/>
        <v>EUR4x10F_Quote</v>
      </c>
      <c r="W18" s="263">
        <v>0.45099999999999996</v>
      </c>
      <c r="X18" s="262" t="e">
        <f>_xll.qlSimpleQuoteSetValue($V18,$W18/100,Trigger)</f>
        <v>#NUM!</v>
      </c>
      <c r="Y18" s="221"/>
      <c r="Z18" s="21"/>
      <c r="AA18" s="296">
        <f t="shared" si="3"/>
        <v>5.0000000000000044E-4</v>
      </c>
    </row>
    <row r="19" spans="1:27" x14ac:dyDescent="0.2">
      <c r="A19" s="126"/>
      <c r="B19" s="134">
        <v>5</v>
      </c>
      <c r="C19" s="135" t="str">
        <f t="shared" si="4"/>
        <v>x11F</v>
      </c>
      <c r="D19" s="134" t="str">
        <f t="shared" si="0"/>
        <v>EUR5x11F_Quote</v>
      </c>
      <c r="E19" s="133" t="str">
        <f>_xll.qlSimpleQuote(D19,,RateTickValue,Permanent,Trigger,ObjectOverwrite)</f>
        <v>EUR5x11F_Quote#0000</v>
      </c>
      <c r="F19" s="132" t="str">
        <f>_xll.ohRangeRetrieveError(E19)</f>
        <v/>
      </c>
      <c r="G19" s="53"/>
      <c r="I19" s="126"/>
      <c r="J19" s="310">
        <v>5</v>
      </c>
      <c r="K19" s="309" t="str">
        <f t="shared" si="5"/>
        <v>x11F</v>
      </c>
      <c r="L19" s="307" t="str">
        <f t="shared" si="1"/>
        <v>EUR5x11F</v>
      </c>
      <c r="M19" s="307" t="str">
        <v>EUR5X11F=ICAP</v>
      </c>
      <c r="N19" s="308">
        <v>0.45200000000000001</v>
      </c>
      <c r="O19" s="308">
        <v>0.502</v>
      </c>
      <c r="P19" s="307">
        <v>0</v>
      </c>
      <c r="Q19" s="307">
        <v>0</v>
      </c>
      <c r="R19" s="266">
        <f>_xll.qlMidSafe($N19,$O19)</f>
        <v>0.47699999999999998</v>
      </c>
      <c r="S19" s="257"/>
      <c r="T19" s="306">
        <v>0.47599999999999998</v>
      </c>
      <c r="U19" s="257"/>
      <c r="V19" s="264" t="str">
        <f t="shared" si="2"/>
        <v>EUR5x11F_Quote</v>
      </c>
      <c r="W19" s="263">
        <v>0.47699999999999998</v>
      </c>
      <c r="X19" s="262" t="e">
        <f>_xll.qlSimpleQuoteSetValue($V19,$W19/100,Trigger)</f>
        <v>#NUM!</v>
      </c>
      <c r="Y19" s="221"/>
      <c r="Z19" s="21"/>
      <c r="AA19" s="296">
        <f t="shared" si="3"/>
        <v>5.0000000000000044E-4</v>
      </c>
    </row>
    <row r="20" spans="1:27" x14ac:dyDescent="0.2">
      <c r="A20" s="126"/>
      <c r="B20" s="134">
        <v>6</v>
      </c>
      <c r="C20" s="135" t="str">
        <f t="shared" si="4"/>
        <v>x12F</v>
      </c>
      <c r="D20" s="134" t="str">
        <f t="shared" si="0"/>
        <v>EUR6x12F_Quote</v>
      </c>
      <c r="E20" s="133" t="str">
        <f>_xll.qlSimpleQuote(D20,,RateTickValue,Permanent,Trigger,ObjectOverwrite)</f>
        <v>EUR6x12F_Quote#0000</v>
      </c>
      <c r="F20" s="132" t="str">
        <f>_xll.ohRangeRetrieveError(E20)</f>
        <v/>
      </c>
      <c r="G20" s="53"/>
      <c r="I20" s="126"/>
      <c r="J20" s="310">
        <v>6</v>
      </c>
      <c r="K20" s="309" t="str">
        <f t="shared" si="5"/>
        <v>x12F</v>
      </c>
      <c r="L20" s="307" t="str">
        <f t="shared" si="1"/>
        <v>EUR6x12F</v>
      </c>
      <c r="M20" s="307" t="str">
        <v>EUR6X12F=ICAP</v>
      </c>
      <c r="N20" s="308">
        <v>0.47499999999999998</v>
      </c>
      <c r="O20" s="308">
        <v>0.52500000000000002</v>
      </c>
      <c r="P20" s="307">
        <v>0</v>
      </c>
      <c r="Q20" s="307">
        <v>0</v>
      </c>
      <c r="R20" s="266">
        <f>_xll.qlMidSafe($N20,$O20)</f>
        <v>0.5</v>
      </c>
      <c r="S20" s="257"/>
      <c r="T20" s="306">
        <v>0.499</v>
      </c>
      <c r="U20" s="257"/>
      <c r="V20" s="264" t="str">
        <f t="shared" si="2"/>
        <v>EUR6x12F_Quote</v>
      </c>
      <c r="W20" s="263">
        <v>0.5</v>
      </c>
      <c r="X20" s="262" t="e">
        <f>_xll.qlSimpleQuoteSetValue($V20,$W20/100,Trigger)</f>
        <v>#NUM!</v>
      </c>
      <c r="Y20" s="221"/>
      <c r="Z20" s="21"/>
      <c r="AA20" s="296">
        <f t="shared" si="3"/>
        <v>5.0000000000000044E-4</v>
      </c>
    </row>
    <row r="21" spans="1:27" x14ac:dyDescent="0.2">
      <c r="A21" s="126"/>
      <c r="B21" s="134">
        <v>7</v>
      </c>
      <c r="C21" s="135" t="str">
        <f t="shared" si="4"/>
        <v>x13F</v>
      </c>
      <c r="D21" s="134" t="str">
        <f t="shared" si="0"/>
        <v>EUR7x13F_Quote</v>
      </c>
      <c r="E21" s="133" t="str">
        <f>_xll.qlSimpleQuote(D21,,RateTickValue,Permanent,Trigger,ObjectOverwrite)</f>
        <v>EUR7x13F_Quote#0000</v>
      </c>
      <c r="F21" s="132" t="str">
        <f>_xll.ohRangeRetrieveError(E21)</f>
        <v/>
      </c>
      <c r="G21" s="53"/>
      <c r="I21" s="126"/>
      <c r="J21" s="310">
        <v>7</v>
      </c>
      <c r="K21" s="309" t="str">
        <f t="shared" si="5"/>
        <v>x13F</v>
      </c>
      <c r="L21" s="307" t="str">
        <f t="shared" si="1"/>
        <v>EUR7x13F</v>
      </c>
      <c r="M21" s="307" t="str">
        <v>EUR7X13F=ICAP</v>
      </c>
      <c r="N21" s="308">
        <v>0.501</v>
      </c>
      <c r="O21" s="308">
        <v>0.55100000000000005</v>
      </c>
      <c r="P21" s="307">
        <v>0</v>
      </c>
      <c r="Q21" s="307">
        <v>0</v>
      </c>
      <c r="R21" s="266">
        <f>_xll.qlMidSafe($N21,$O21)</f>
        <v>0.52600000000000002</v>
      </c>
      <c r="S21" s="257"/>
      <c r="T21" s="306">
        <v>0.52400000000000002</v>
      </c>
      <c r="U21" s="257"/>
      <c r="V21" s="264" t="str">
        <f t="shared" si="2"/>
        <v>EUR7x13F_Quote</v>
      </c>
      <c r="W21" s="263">
        <v>0.52600000000000002</v>
      </c>
      <c r="X21" s="262" t="e">
        <f>_xll.qlSimpleQuoteSetValue($V21,$W21/100,Trigger)</f>
        <v>#NUM!</v>
      </c>
      <c r="Y21" s="221"/>
      <c r="Z21" s="21"/>
      <c r="AA21" s="296">
        <f t="shared" si="3"/>
        <v>5.0000000000000044E-4</v>
      </c>
    </row>
    <row r="22" spans="1:27" x14ac:dyDescent="0.2">
      <c r="A22" s="126"/>
      <c r="B22" s="134">
        <v>8</v>
      </c>
      <c r="C22" s="135" t="str">
        <f t="shared" si="4"/>
        <v>x14F</v>
      </c>
      <c r="D22" s="134" t="str">
        <f t="shared" si="0"/>
        <v>EUR8x14F_Quote</v>
      </c>
      <c r="E22" s="133" t="str">
        <f>_xll.qlSimpleQuote(D22,,RateTickValue,Permanent,Trigger,ObjectOverwrite)</f>
        <v>EUR8x14F_Quote#0000</v>
      </c>
      <c r="F22" s="132" t="str">
        <f>_xll.ohRangeRetrieveError(E22)</f>
        <v/>
      </c>
      <c r="G22" s="53"/>
      <c r="I22" s="126"/>
      <c r="J22" s="310">
        <v>8</v>
      </c>
      <c r="K22" s="309" t="str">
        <f t="shared" si="5"/>
        <v>x14F</v>
      </c>
      <c r="L22" s="307" t="str">
        <f t="shared" si="1"/>
        <v>EUR8x14F</v>
      </c>
      <c r="M22" s="307" t="str">
        <v>EUR8X14F=ICAP</v>
      </c>
      <c r="N22" s="308">
        <v>0.52500000000000002</v>
      </c>
      <c r="O22" s="308">
        <v>0.57499999999999996</v>
      </c>
      <c r="P22" s="307">
        <v>0</v>
      </c>
      <c r="Q22" s="307">
        <v>0</v>
      </c>
      <c r="R22" s="266">
        <f>_xll.qlMidSafe($N22,$O22)</f>
        <v>0.55000000000000004</v>
      </c>
      <c r="S22" s="257"/>
      <c r="T22" s="306">
        <v>0.54800000000000004</v>
      </c>
      <c r="U22" s="257"/>
      <c r="V22" s="264" t="str">
        <f t="shared" si="2"/>
        <v>EUR8x14F_Quote</v>
      </c>
      <c r="W22" s="263">
        <v>0.55000000000000004</v>
      </c>
      <c r="X22" s="262" t="e">
        <f>_xll.qlSimpleQuoteSetValue($V22,$W22/100,Trigger)</f>
        <v>#NUM!</v>
      </c>
      <c r="Y22" s="221"/>
      <c r="Z22" s="21"/>
      <c r="AA22" s="296">
        <f t="shared" si="3"/>
        <v>4.9999999999999828E-4</v>
      </c>
    </row>
    <row r="23" spans="1:27" x14ac:dyDescent="0.2">
      <c r="A23" s="126"/>
      <c r="B23" s="134">
        <v>9</v>
      </c>
      <c r="C23" s="135" t="str">
        <f t="shared" si="4"/>
        <v>x15F</v>
      </c>
      <c r="D23" s="134" t="str">
        <f t="shared" si="0"/>
        <v>EUR9x15F_Quote</v>
      </c>
      <c r="E23" s="133" t="str">
        <f>_xll.qlSimpleQuote(D23,,RateTickValue,Permanent,Trigger,ObjectOverwrite)</f>
        <v>EUR9x15F_Quote#0000</v>
      </c>
      <c r="F23" s="132" t="str">
        <f>_xll.ohRangeRetrieveError(E23)</f>
        <v/>
      </c>
      <c r="G23" s="53"/>
      <c r="I23" s="126"/>
      <c r="J23" s="310">
        <v>9</v>
      </c>
      <c r="K23" s="309" t="str">
        <f t="shared" si="5"/>
        <v>x15F</v>
      </c>
      <c r="L23" s="307" t="str">
        <f t="shared" si="1"/>
        <v>EUR9x15F</v>
      </c>
      <c r="M23" s="307" t="str">
        <v>EUR9X15F=ICAP</v>
      </c>
      <c r="N23" s="308">
        <v>0.55000000000000004</v>
      </c>
      <c r="O23" s="308">
        <v>0.6</v>
      </c>
      <c r="P23" s="307">
        <v>0</v>
      </c>
      <c r="Q23" s="307">
        <v>0</v>
      </c>
      <c r="R23" s="266">
        <f>_xll.qlMidSafe($N23,$O23)</f>
        <v>0.57499999999999996</v>
      </c>
      <c r="S23" s="257"/>
      <c r="T23" s="306">
        <v>0.57299999999999995</v>
      </c>
      <c r="U23" s="257"/>
      <c r="V23" s="264" t="str">
        <f t="shared" si="2"/>
        <v>EUR9x15F_Quote</v>
      </c>
      <c r="W23" s="263">
        <v>0.57499999999999996</v>
      </c>
      <c r="X23" s="262" t="e">
        <f>_xll.qlSimpleQuoteSetValue($V23,$W23/100,Trigger)</f>
        <v>#NUM!</v>
      </c>
      <c r="Y23" s="221"/>
      <c r="Z23" s="21"/>
      <c r="AA23" s="296">
        <f t="shared" si="3"/>
        <v>5.0000000000000044E-4</v>
      </c>
    </row>
    <row r="24" spans="1:27" x14ac:dyDescent="0.2">
      <c r="A24" s="126"/>
      <c r="B24" s="134">
        <v>10</v>
      </c>
      <c r="C24" s="135" t="str">
        <f t="shared" si="4"/>
        <v>x16F</v>
      </c>
      <c r="D24" s="134" t="str">
        <f t="shared" si="0"/>
        <v>EUR10x16F_Quote</v>
      </c>
      <c r="E24" s="133" t="str">
        <f>_xll.qlSimpleQuote(D24,,RateTickValue,Permanent,Trigger,ObjectOverwrite)</f>
        <v>EUR10x16F_Quote#0000</v>
      </c>
      <c r="F24" s="132" t="str">
        <f>_xll.ohRangeRetrieveError(E24)</f>
        <v/>
      </c>
      <c r="G24" s="53"/>
      <c r="I24" s="126"/>
      <c r="J24" s="310">
        <v>10</v>
      </c>
      <c r="K24" s="309" t="str">
        <f t="shared" si="5"/>
        <v>x16F</v>
      </c>
      <c r="L24" s="307" t="str">
        <f t="shared" si="1"/>
        <v>EUR10x16F</v>
      </c>
      <c r="M24" s="307" t="str">
        <v>EUR10X16F=ICAP</v>
      </c>
      <c r="N24" s="308">
        <v>0.57199999999999995</v>
      </c>
      <c r="O24" s="308">
        <v>0.622</v>
      </c>
      <c r="P24" s="307">
        <v>0</v>
      </c>
      <c r="Q24" s="307">
        <v>0</v>
      </c>
      <c r="R24" s="266">
        <f>_xll.qlMidSafe($N24,$O24)</f>
        <v>0.59699999999999998</v>
      </c>
      <c r="S24" s="257"/>
      <c r="T24" s="306">
        <v>0.59499999999999997</v>
      </c>
      <c r="U24" s="257"/>
      <c r="V24" s="264" t="str">
        <f t="shared" si="2"/>
        <v>EUR10x16F_Quote</v>
      </c>
      <c r="W24" s="263">
        <v>0.59699999999999998</v>
      </c>
      <c r="X24" s="262" t="e">
        <f>_xll.qlSimpleQuoteSetValue($V24,$W24/100,Trigger)</f>
        <v>#NUM!</v>
      </c>
      <c r="Y24" s="221"/>
      <c r="Z24" s="21"/>
      <c r="AA24" s="296">
        <f t="shared" si="3"/>
        <v>5.0000000000000044E-4</v>
      </c>
    </row>
    <row r="25" spans="1:27" x14ac:dyDescent="0.2">
      <c r="A25" s="126"/>
      <c r="B25" s="134">
        <v>11</v>
      </c>
      <c r="C25" s="135" t="str">
        <f t="shared" si="4"/>
        <v>x17F</v>
      </c>
      <c r="D25" s="134" t="str">
        <f t="shared" si="0"/>
        <v>EUR11x17F_Quote</v>
      </c>
      <c r="E25" s="133" t="str">
        <f>_xll.qlSimpleQuote(D25,,RateTickValue,Permanent,Trigger,ObjectOverwrite)</f>
        <v>EUR11x17F_Quote#0000</v>
      </c>
      <c r="F25" s="132" t="str">
        <f>_xll.ohRangeRetrieveError(E25)</f>
        <v/>
      </c>
      <c r="G25" s="53"/>
      <c r="I25" s="126"/>
      <c r="J25" s="310">
        <v>11</v>
      </c>
      <c r="K25" s="309" t="str">
        <f t="shared" si="5"/>
        <v>x17F</v>
      </c>
      <c r="L25" s="307" t="str">
        <f t="shared" si="1"/>
        <v>EUR11x17F</v>
      </c>
      <c r="M25" s="307" t="str">
        <v>EUR11X17F=ICAP</v>
      </c>
      <c r="N25" s="308">
        <v>0.59799999999999998</v>
      </c>
      <c r="O25" s="308">
        <v>0.64800000000000002</v>
      </c>
      <c r="P25" s="307">
        <v>0</v>
      </c>
      <c r="Q25" s="307">
        <v>0</v>
      </c>
      <c r="R25" s="266">
        <f>_xll.qlMidSafe($N25,$O25)</f>
        <v>0.623</v>
      </c>
      <c r="S25" s="257"/>
      <c r="T25" s="306">
        <v>0.62</v>
      </c>
      <c r="U25" s="257"/>
      <c r="V25" s="264" t="str">
        <f t="shared" si="2"/>
        <v>EUR11x17F_Quote</v>
      </c>
      <c r="W25" s="263">
        <v>0.623</v>
      </c>
      <c r="X25" s="262" t="e">
        <f>_xll.qlSimpleQuoteSetValue($V25,$W25/100,Trigger)</f>
        <v>#NUM!</v>
      </c>
      <c r="Y25" s="221"/>
      <c r="Z25" s="21"/>
      <c r="AA25" s="296">
        <f t="shared" si="3"/>
        <v>5.0000000000000044E-4</v>
      </c>
    </row>
    <row r="26" spans="1:27" x14ac:dyDescent="0.2">
      <c r="A26" s="126"/>
      <c r="B26" s="134">
        <v>12</v>
      </c>
      <c r="C26" s="135" t="str">
        <f t="shared" si="4"/>
        <v>x18F</v>
      </c>
      <c r="D26" s="134" t="str">
        <f t="shared" si="0"/>
        <v>EUR12x18F_Quote</v>
      </c>
      <c r="E26" s="133" t="str">
        <f>_xll.qlSimpleQuote(D26,,RateTickValue,Permanent,Trigger,ObjectOverwrite)</f>
        <v>EUR12x18F_Quote#0000</v>
      </c>
      <c r="F26" s="132" t="str">
        <f>_xll.ohRangeRetrieveError(E26)</f>
        <v/>
      </c>
      <c r="G26" s="53"/>
      <c r="I26" s="126"/>
      <c r="J26" s="310">
        <v>12</v>
      </c>
      <c r="K26" s="309" t="str">
        <f t="shared" si="5"/>
        <v>x18F</v>
      </c>
      <c r="L26" s="307" t="str">
        <f t="shared" si="1"/>
        <v>EUR12x18F</v>
      </c>
      <c r="M26" s="307" t="str">
        <v>EUR12X18F=ICAP</v>
      </c>
      <c r="N26" s="308">
        <v>0.622</v>
      </c>
      <c r="O26" s="308">
        <v>0.67200000000000004</v>
      </c>
      <c r="P26" s="307">
        <v>0</v>
      </c>
      <c r="Q26" s="307">
        <v>0</v>
      </c>
      <c r="R26" s="266">
        <f>_xll.qlMidSafe($N26,$O26)</f>
        <v>0.64700000000000002</v>
      </c>
      <c r="S26" s="257"/>
      <c r="T26" s="306">
        <v>0.64400000000000002</v>
      </c>
      <c r="U26" s="257"/>
      <c r="V26" s="264" t="str">
        <f t="shared" si="2"/>
        <v>EUR12x18F_Quote</v>
      </c>
      <c r="W26" s="263">
        <v>0.64700000000000002</v>
      </c>
      <c r="X26" s="262" t="e">
        <f>_xll.qlSimpleQuoteSetValue($V26,$W26/100,Trigger)</f>
        <v>#NUM!</v>
      </c>
      <c r="Y26" s="221"/>
      <c r="Z26" s="21"/>
      <c r="AA26" s="296">
        <f t="shared" si="3"/>
        <v>5.0000000000000044E-4</v>
      </c>
    </row>
    <row r="27" spans="1:27" x14ac:dyDescent="0.2">
      <c r="A27" s="126"/>
      <c r="B27" s="134">
        <v>13</v>
      </c>
      <c r="C27" s="135" t="str">
        <f t="shared" si="4"/>
        <v>x19F</v>
      </c>
      <c r="D27" s="134" t="str">
        <f t="shared" si="0"/>
        <v>EUR13x19F_Quote</v>
      </c>
      <c r="E27" s="133" t="str">
        <f>_xll.qlSimpleQuote(D27,,RateTickValue,Permanent,Trigger,ObjectOverwrite)</f>
        <v>EUR13x19F_Quote#0000</v>
      </c>
      <c r="F27" s="132" t="str">
        <f>_xll.ohRangeRetrieveError(E27)</f>
        <v/>
      </c>
      <c r="G27" s="53"/>
      <c r="I27" s="126"/>
      <c r="J27" s="310">
        <v>13</v>
      </c>
      <c r="K27" s="309" t="str">
        <f t="shared" si="5"/>
        <v>x19F</v>
      </c>
      <c r="L27" s="307" t="str">
        <f t="shared" si="1"/>
        <v>EUR13x19F</v>
      </c>
      <c r="M27" s="307" t="str">
        <v>EUR13X19F=ICAP</v>
      </c>
      <c r="N27" s="308">
        <v>0.64200000000000002</v>
      </c>
      <c r="O27" s="308">
        <v>0.69199999999999995</v>
      </c>
      <c r="P27" s="307">
        <v>0</v>
      </c>
      <c r="Q27" s="307">
        <v>0</v>
      </c>
      <c r="R27" s="266">
        <f>_xll.qlMidSafe($N27,$O27)</f>
        <v>0.66700000000000004</v>
      </c>
      <c r="S27" s="257"/>
      <c r="T27" s="306">
        <v>0.66399999999999992</v>
      </c>
      <c r="U27" s="257"/>
      <c r="V27" s="264" t="str">
        <f t="shared" si="2"/>
        <v>EUR13x19F_Quote</v>
      </c>
      <c r="W27" s="263">
        <v>0.66700000000000004</v>
      </c>
      <c r="X27" s="262" t="e">
        <f>_xll.qlSimpleQuoteSetValue($V27,$W27/100,Trigger)</f>
        <v>#NUM!</v>
      </c>
      <c r="Y27" s="221"/>
      <c r="Z27" s="21"/>
      <c r="AA27" s="296">
        <f t="shared" si="3"/>
        <v>4.9999999999999828E-4</v>
      </c>
    </row>
    <row r="28" spans="1:27" x14ac:dyDescent="0.2">
      <c r="A28" s="126"/>
      <c r="B28" s="134">
        <v>14</v>
      </c>
      <c r="C28" s="135" t="str">
        <f t="shared" si="4"/>
        <v>x20F</v>
      </c>
      <c r="D28" s="134" t="str">
        <f t="shared" si="0"/>
        <v>EUR14x20F_Quote</v>
      </c>
      <c r="E28" s="133" t="str">
        <f>_xll.qlSimpleQuote(D28,,RateTickValue,Permanent,Trigger,ObjectOverwrite)</f>
        <v>EUR14x20F_Quote#0000</v>
      </c>
      <c r="F28" s="132" t="str">
        <f>_xll.ohRangeRetrieveError(E28)</f>
        <v/>
      </c>
      <c r="G28" s="53"/>
      <c r="I28" s="126"/>
      <c r="J28" s="310">
        <v>14</v>
      </c>
      <c r="K28" s="309" t="str">
        <f t="shared" si="5"/>
        <v>x20F</v>
      </c>
      <c r="L28" s="307" t="str">
        <f t="shared" si="1"/>
        <v>EUR14x20F</v>
      </c>
      <c r="M28" s="307" t="str">
        <v>EUR14X20F=ICAP</v>
      </c>
      <c r="N28" s="308">
        <v>0.66500000000000004</v>
      </c>
      <c r="O28" s="308">
        <v>0.71499999999999997</v>
      </c>
      <c r="P28" s="307">
        <v>0</v>
      </c>
      <c r="Q28" s="307">
        <v>0</v>
      </c>
      <c r="R28" s="266">
        <f>_xll.qlMidSafe($N28,$O28)</f>
        <v>0.69</v>
      </c>
      <c r="S28" s="257"/>
      <c r="T28" s="306">
        <v>0.68700000000000006</v>
      </c>
      <c r="U28" s="257"/>
      <c r="V28" s="264" t="str">
        <f t="shared" si="2"/>
        <v>EUR14x20F_Quote</v>
      </c>
      <c r="W28" s="263">
        <v>0.69</v>
      </c>
      <c r="X28" s="262" t="e">
        <f>_xll.qlSimpleQuoteSetValue($V28,$W28/100,Trigger)</f>
        <v>#NUM!</v>
      </c>
      <c r="Y28" s="221"/>
      <c r="Z28" s="21"/>
      <c r="AA28" s="296">
        <f t="shared" si="3"/>
        <v>5.0000000000000044E-4</v>
      </c>
    </row>
    <row r="29" spans="1:27" x14ac:dyDescent="0.2">
      <c r="A29" s="126"/>
      <c r="B29" s="134">
        <v>15</v>
      </c>
      <c r="C29" s="135" t="str">
        <f t="shared" si="4"/>
        <v>x21F</v>
      </c>
      <c r="D29" s="134" t="str">
        <f t="shared" si="0"/>
        <v>EUR15x21F_Quote</v>
      </c>
      <c r="E29" s="133" t="str">
        <f>_xll.qlSimpleQuote(D29,,RateTickValue,Permanent,Trigger,ObjectOverwrite)</f>
        <v>EUR15x21F_Quote#0000</v>
      </c>
      <c r="F29" s="132" t="str">
        <f>_xll.ohRangeRetrieveError(E29)</f>
        <v/>
      </c>
      <c r="G29" s="53"/>
      <c r="I29" s="126"/>
      <c r="J29" s="310">
        <v>15</v>
      </c>
      <c r="K29" s="309" t="str">
        <f t="shared" si="5"/>
        <v>x21F</v>
      </c>
      <c r="L29" s="307" t="str">
        <f t="shared" si="1"/>
        <v>EUR15x21F</v>
      </c>
      <c r="M29" s="307" t="str">
        <v>EUR15X21F=ICAP</v>
      </c>
      <c r="N29" s="308">
        <v>0.68799999999999994</v>
      </c>
      <c r="O29" s="308">
        <v>0.73799999999999999</v>
      </c>
      <c r="P29" s="307">
        <v>0</v>
      </c>
      <c r="Q29" s="307">
        <v>0</v>
      </c>
      <c r="R29" s="266">
        <f>_xll.qlMidSafe($N29,$O29)</f>
        <v>0.71299999999999997</v>
      </c>
      <c r="S29" s="257"/>
      <c r="T29" s="306">
        <v>0.71100000000000008</v>
      </c>
      <c r="U29" s="257"/>
      <c r="V29" s="264" t="str">
        <f t="shared" si="2"/>
        <v>EUR15x21F_Quote</v>
      </c>
      <c r="W29" s="263">
        <v>0.71299999999999997</v>
      </c>
      <c r="X29" s="262" t="e">
        <f>_xll.qlSimpleQuoteSetValue($V29,$W29/100,Trigger)</f>
        <v>#NUM!</v>
      </c>
      <c r="Y29" s="221"/>
      <c r="Z29" s="21"/>
      <c r="AA29" s="296">
        <f t="shared" si="3"/>
        <v>5.0000000000000044E-4</v>
      </c>
    </row>
    <row r="30" spans="1:27" x14ac:dyDescent="0.2">
      <c r="A30" s="126"/>
      <c r="B30" s="134">
        <v>16</v>
      </c>
      <c r="C30" s="135" t="str">
        <f t="shared" si="4"/>
        <v>x22F</v>
      </c>
      <c r="D30" s="134" t="str">
        <f t="shared" si="0"/>
        <v>EUR16x22F_Quote</v>
      </c>
      <c r="E30" s="133" t="str">
        <f>_xll.qlSimpleQuote(D30,,RateTickValue,Permanent,Trigger,ObjectOverwrite)</f>
        <v>EUR16x22F_Quote#0000</v>
      </c>
      <c r="F30" s="132" t="str">
        <f>_xll.ohRangeRetrieveError(E30)</f>
        <v/>
      </c>
      <c r="G30" s="53"/>
      <c r="I30" s="126"/>
      <c r="J30" s="310">
        <v>16</v>
      </c>
      <c r="K30" s="309" t="str">
        <f t="shared" si="5"/>
        <v>x22F</v>
      </c>
      <c r="L30" s="307" t="str">
        <f t="shared" si="1"/>
        <v>EUR16x22F</v>
      </c>
      <c r="M30" s="307" t="str">
        <v>EUR16X22F=ICAP</v>
      </c>
      <c r="N30" s="308">
        <v>0.71</v>
      </c>
      <c r="O30" s="308">
        <v>0.76</v>
      </c>
      <c r="P30" s="307">
        <v>0</v>
      </c>
      <c r="Q30" s="307">
        <v>0</v>
      </c>
      <c r="R30" s="266">
        <f>_xll.qlMidSafe($N30,$O30)</f>
        <v>0.73499999999999999</v>
      </c>
      <c r="S30" s="257"/>
      <c r="T30" s="306">
        <v>0.73299999999999998</v>
      </c>
      <c r="U30" s="257"/>
      <c r="V30" s="264" t="str">
        <f t="shared" si="2"/>
        <v>EUR16x22F_Quote</v>
      </c>
      <c r="W30" s="263">
        <v>0.73499999999999999</v>
      </c>
      <c r="X30" s="262" t="e">
        <f>_xll.qlSimpleQuoteSetValue($V30,$W30/100,Trigger)</f>
        <v>#NUM!</v>
      </c>
      <c r="Y30" s="221"/>
      <c r="Z30" s="21"/>
      <c r="AA30" s="296">
        <f t="shared" si="3"/>
        <v>5.0000000000000044E-4</v>
      </c>
    </row>
    <row r="31" spans="1:27" x14ac:dyDescent="0.2">
      <c r="A31" s="126"/>
      <c r="B31" s="134">
        <v>17</v>
      </c>
      <c r="C31" s="135" t="str">
        <f t="shared" si="4"/>
        <v>x23F</v>
      </c>
      <c r="D31" s="134" t="str">
        <f t="shared" si="0"/>
        <v>EUR17x23F_Quote</v>
      </c>
      <c r="E31" s="133" t="str">
        <f>_xll.qlSimpleQuote(D31,,RateTickValue,Permanent,Trigger,ObjectOverwrite)</f>
        <v>EUR17x23F_Quote#0000</v>
      </c>
      <c r="F31" s="132" t="str">
        <f>_xll.ohRangeRetrieveError(E31)</f>
        <v/>
      </c>
      <c r="G31" s="53"/>
      <c r="I31" s="126"/>
      <c r="J31" s="310">
        <v>17</v>
      </c>
      <c r="K31" s="309" t="str">
        <f t="shared" si="5"/>
        <v>x23F</v>
      </c>
      <c r="L31" s="307" t="str">
        <f t="shared" si="1"/>
        <v>EUR17x23F</v>
      </c>
      <c r="M31" s="307" t="str">
        <v>EUR17X23F=ICAP</v>
      </c>
      <c r="N31" s="308">
        <v>0.73599999999999999</v>
      </c>
      <c r="O31" s="308">
        <v>0.78600000000000003</v>
      </c>
      <c r="P31" s="307">
        <v>0</v>
      </c>
      <c r="Q31" s="307">
        <v>0</v>
      </c>
      <c r="R31" s="266">
        <f>_xll.qlMidSafe($N31,$O31)</f>
        <v>0.76100000000000001</v>
      </c>
      <c r="S31" s="257"/>
      <c r="T31" s="306">
        <v>0.76</v>
      </c>
      <c r="U31" s="257"/>
      <c r="V31" s="264" t="str">
        <f t="shared" si="2"/>
        <v>EUR17x23F_Quote</v>
      </c>
      <c r="W31" s="263">
        <v>0.76100000000000001</v>
      </c>
      <c r="X31" s="262" t="e">
        <f>_xll.qlSimpleQuoteSetValue($V31,$W31/100,Trigger)</f>
        <v>#NUM!</v>
      </c>
      <c r="Y31" s="221"/>
      <c r="Z31" s="21"/>
      <c r="AA31" s="296">
        <f t="shared" si="3"/>
        <v>5.0000000000000044E-4</v>
      </c>
    </row>
    <row r="32" spans="1:27" x14ac:dyDescent="0.2">
      <c r="A32" s="126"/>
      <c r="B32" s="134">
        <v>18</v>
      </c>
      <c r="C32" s="135" t="str">
        <f t="shared" si="4"/>
        <v>x24F</v>
      </c>
      <c r="D32" s="134" t="str">
        <f t="shared" si="0"/>
        <v>EUR18x24F_Quote</v>
      </c>
      <c r="E32" s="133" t="str">
        <f>_xll.qlSimpleQuote(D32,,RateTickValue,Permanent,Trigger,ObjectOverwrite)</f>
        <v>EUR18x24F_Quote#0000</v>
      </c>
      <c r="F32" s="132" t="str">
        <f>_xll.ohRangeRetrieveError(E32)</f>
        <v/>
      </c>
      <c r="G32" s="53"/>
      <c r="I32" s="126"/>
      <c r="J32" s="310">
        <v>18</v>
      </c>
      <c r="K32" s="309" t="str">
        <f t="shared" si="5"/>
        <v>x24F</v>
      </c>
      <c r="L32" s="307" t="str">
        <f t="shared" si="1"/>
        <v>EUR18x24F</v>
      </c>
      <c r="M32" s="307" t="str">
        <v>EUR18X24F=ICAP</v>
      </c>
      <c r="N32" s="308">
        <v>0.75900000000000001</v>
      </c>
      <c r="O32" s="308">
        <v>0.80900000000000005</v>
      </c>
      <c r="P32" s="307">
        <v>0</v>
      </c>
      <c r="Q32" s="307">
        <v>0</v>
      </c>
      <c r="R32" s="266">
        <f>_xll.qlMidSafe($N32,$O32)</f>
        <v>0.78400000000000003</v>
      </c>
      <c r="S32" s="257"/>
      <c r="T32" s="306">
        <v>0.78300000000000003</v>
      </c>
      <c r="U32" s="257"/>
      <c r="V32" s="264" t="str">
        <f t="shared" si="2"/>
        <v>EUR18x24F_Quote</v>
      </c>
      <c r="W32" s="263">
        <v>0.78400000000000003</v>
      </c>
      <c r="X32" s="262" t="e">
        <f>_xll.qlSimpleQuoteSetValue($V32,$W32/100,Trigger)</f>
        <v>#NUM!</v>
      </c>
      <c r="Y32" s="221"/>
      <c r="Z32" s="21"/>
      <c r="AA32" s="296">
        <f t="shared" si="3"/>
        <v>5.0000000000000044E-4</v>
      </c>
    </row>
    <row r="33" spans="1:27" x14ac:dyDescent="0.2">
      <c r="A33" s="126"/>
      <c r="B33" s="130" t="s">
        <v>172</v>
      </c>
      <c r="C33" s="131" t="s">
        <v>170</v>
      </c>
      <c r="D33" s="130" t="str">
        <f t="shared" si="0"/>
        <v>EURT12F1_Quote</v>
      </c>
      <c r="E33" s="129" t="str">
        <f>_xll.qlSimpleQuote(D33,,RateTickValue,Permanent,Trigger,ObjectOverwrite)</f>
        <v>EURT12F1_Quote#0000</v>
      </c>
      <c r="F33" s="128" t="str">
        <f>_xll.ohRangeRetrieveError(E33)</f>
        <v/>
      </c>
      <c r="G33" s="53"/>
      <c r="I33" s="126"/>
      <c r="J33" s="305">
        <v>12</v>
      </c>
      <c r="K33" s="304" t="str">
        <f>"x"&amp;J33+12&amp;"F"</f>
        <v>x24F</v>
      </c>
      <c r="L33" s="302" t="str">
        <f t="shared" si="1"/>
        <v>EUR12x24F</v>
      </c>
      <c r="M33" s="302" t="str">
        <v>EUR12X24F=ICAP</v>
      </c>
      <c r="N33" s="303">
        <v>0.83899999999999997</v>
      </c>
      <c r="O33" s="303">
        <v>0.88900000000000001</v>
      </c>
      <c r="P33" s="302">
        <v>0</v>
      </c>
      <c r="Q33" s="302">
        <v>0</v>
      </c>
      <c r="R33" s="301">
        <f>_xll.qlMidSafe($N33,$O33)</f>
        <v>0.86399999999999999</v>
      </c>
      <c r="S33" s="257"/>
      <c r="T33" s="300">
        <v>0.86199999999999999</v>
      </c>
      <c r="U33" s="257"/>
      <c r="V33" s="299" t="str">
        <f t="shared" si="2"/>
        <v>EUR12x24F_Quote</v>
      </c>
      <c r="W33" s="298">
        <v>0.86399999999999999</v>
      </c>
      <c r="X33" s="297" t="e">
        <f>_xll.qlSimpleQuoteSetValue($V33,$W33/100,Trigger)</f>
        <v>#NUM!</v>
      </c>
      <c r="Y33" s="221"/>
      <c r="Z33" s="21"/>
      <c r="AA33" s="296">
        <f t="shared" si="3"/>
        <v>5.0000000000000044E-4</v>
      </c>
    </row>
    <row r="34" spans="1:27" ht="13.5" thickBot="1" x14ac:dyDescent="0.25">
      <c r="A34" s="126"/>
      <c r="B34" s="123" t="s">
        <v>171</v>
      </c>
      <c r="C34" s="127" t="s">
        <v>170</v>
      </c>
      <c r="D34" s="123" t="str">
        <f t="shared" si="0"/>
        <v>EURTOM12F1_Quote</v>
      </c>
      <c r="E34" s="122" t="str">
        <f>_xll.qlSimpleQuote(D34,,RateTickValue,Permanent,Trigger,ObjectOverwrite)</f>
        <v>EURTOM12F1_Quote#0000</v>
      </c>
      <c r="F34" s="121" t="str">
        <f>_xll.ohRangeRetrieveError(E34)</f>
        <v/>
      </c>
      <c r="G34" s="53"/>
      <c r="I34" s="52"/>
      <c r="J34" s="295"/>
      <c r="K34" s="295"/>
      <c r="L34" s="295"/>
      <c r="M34" s="295"/>
      <c r="N34" s="295"/>
      <c r="O34" s="295"/>
      <c r="P34" s="295"/>
      <c r="Q34" s="295"/>
      <c r="R34" s="295"/>
      <c r="S34" s="51"/>
      <c r="T34" s="295"/>
      <c r="U34" s="51"/>
      <c r="V34" s="295"/>
      <c r="W34" s="295"/>
      <c r="X34" s="295"/>
      <c r="Y34" s="50"/>
      <c r="Z34" s="21"/>
      <c r="AA34" s="21"/>
    </row>
    <row r="35" spans="1:27" x14ac:dyDescent="0.2">
      <c r="A35" s="126"/>
      <c r="B35" s="125">
        <v>12</v>
      </c>
      <c r="C35" s="124" t="s">
        <v>169</v>
      </c>
      <c r="D35" s="123" t="str">
        <f t="shared" si="0"/>
        <v>EUR12x24F_Quote</v>
      </c>
      <c r="E35" s="122" t="str">
        <f>_xll.qlSimpleQuote(D35,,RateTickValue,Permanent,Trigger,ObjectOverwrite)</f>
        <v>EUR12x24F_Quote#0000</v>
      </c>
      <c r="F35" s="121" t="str">
        <f>_xll.ohRangeRetrieveError(E35)</f>
        <v/>
      </c>
      <c r="G35" s="53"/>
    </row>
    <row r="36" spans="1:27"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4" t="s">
        <v>310</v>
      </c>
      <c r="K1" s="203"/>
      <c r="L1" s="203"/>
      <c r="M1" s="203"/>
      <c r="N1" s="203"/>
      <c r="O1" s="203"/>
      <c r="P1" s="203"/>
      <c r="Q1" s="203"/>
      <c r="R1" s="203"/>
      <c r="S1" s="203"/>
      <c r="T1" s="203"/>
      <c r="U1" s="203"/>
      <c r="V1" s="353"/>
      <c r="W1" s="353"/>
      <c r="X1" s="203"/>
      <c r="Y1" s="203"/>
      <c r="Z1" s="203"/>
      <c r="AA1" s="203"/>
      <c r="AB1" s="352"/>
      <c r="AC1" s="21"/>
      <c r="AD1" s="21"/>
      <c r="AE1" s="21"/>
      <c r="AF1" s="21"/>
      <c r="AG1" s="21"/>
    </row>
    <row r="2" spans="1:33" ht="22.5" x14ac:dyDescent="0.2">
      <c r="J2" s="293"/>
      <c r="K2" s="141"/>
      <c r="L2" s="292"/>
      <c r="M2" s="292"/>
      <c r="N2" s="141"/>
      <c r="O2" s="141"/>
      <c r="P2" s="141"/>
      <c r="Q2" s="141"/>
      <c r="R2" s="141"/>
      <c r="S2" s="141"/>
      <c r="T2" s="141"/>
      <c r="U2" s="141"/>
      <c r="V2" s="257"/>
      <c r="W2" s="257"/>
      <c r="X2" s="141"/>
      <c r="Y2" s="97" t="s">
        <v>254</v>
      </c>
      <c r="Z2" s="351" t="s">
        <v>147</v>
      </c>
      <c r="AA2" s="141"/>
      <c r="AB2" s="350"/>
      <c r="AC2" s="21"/>
      <c r="AD2" s="21"/>
      <c r="AE2" s="21"/>
      <c r="AF2" s="21"/>
      <c r="AG2" s="21"/>
    </row>
    <row r="3" spans="1:33" ht="12" thickBot="1" x14ac:dyDescent="0.25">
      <c r="J3" s="293"/>
      <c r="K3" s="141"/>
      <c r="L3" s="141"/>
      <c r="M3" s="141"/>
      <c r="N3" s="141"/>
      <c r="O3" s="141"/>
      <c r="P3" s="141"/>
      <c r="Q3" s="141"/>
      <c r="R3" s="141"/>
      <c r="S3" s="141"/>
      <c r="T3" s="141"/>
      <c r="U3" s="141"/>
      <c r="V3" s="257"/>
      <c r="W3" s="257"/>
      <c r="X3" s="141"/>
      <c r="Y3" s="21"/>
      <c r="Z3" s="141"/>
      <c r="AA3" s="141"/>
      <c r="AB3" s="350"/>
      <c r="AC3" s="21"/>
      <c r="AD3" s="21"/>
      <c r="AE3" s="21"/>
      <c r="AF3" s="21"/>
      <c r="AG3" s="21"/>
    </row>
    <row r="4" spans="1:33" ht="12" thickBot="1" x14ac:dyDescent="0.25">
      <c r="A4" s="161" t="s">
        <v>190</v>
      </c>
      <c r="B4" s="160"/>
      <c r="C4" s="160"/>
      <c r="D4" s="159" t="s">
        <v>188</v>
      </c>
      <c r="E4" s="159" t="s">
        <v>45</v>
      </c>
      <c r="F4" s="158"/>
      <c r="G4" s="158"/>
      <c r="H4" s="157"/>
      <c r="J4" s="293"/>
      <c r="K4" s="141"/>
      <c r="L4" s="141"/>
      <c r="M4" s="141"/>
      <c r="N4" s="141"/>
      <c r="O4" s="141"/>
      <c r="P4" s="141"/>
      <c r="Q4" s="141"/>
      <c r="R4" s="141"/>
      <c r="S4" s="141"/>
      <c r="T4" s="141"/>
      <c r="U4" s="141"/>
      <c r="V4" s="257"/>
      <c r="W4" s="257"/>
      <c r="X4" s="141"/>
      <c r="Y4" s="257" t="s">
        <v>265</v>
      </c>
      <c r="Z4" s="141"/>
      <c r="AA4" s="288">
        <f>_xll.ohTrigger(AA6:AA17)</f>
        <v>0</v>
      </c>
      <c r="AB4" s="350"/>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3"/>
      <c r="K5" s="349" t="s">
        <v>187</v>
      </c>
      <c r="L5" s="324" t="s">
        <v>186</v>
      </c>
      <c r="M5" s="324" t="s">
        <v>185</v>
      </c>
      <c r="N5" s="324" t="s">
        <v>264</v>
      </c>
      <c r="O5" s="287" t="e">
        <f ca="1">_xll.RData(O6:O17,P5:T5,,ReutersRtMode,,P6)</f>
        <v>#NAME?</v>
      </c>
      <c r="P5" s="324" t="s">
        <v>263</v>
      </c>
      <c r="Q5" s="324" t="s">
        <v>258</v>
      </c>
      <c r="R5" s="324" t="s">
        <v>225</v>
      </c>
      <c r="S5" s="324" t="s">
        <v>240</v>
      </c>
      <c r="T5" s="324" t="s">
        <v>257</v>
      </c>
      <c r="U5" s="283" t="s">
        <v>256</v>
      </c>
      <c r="V5" s="257"/>
      <c r="W5" s="285" t="s">
        <v>252</v>
      </c>
      <c r="X5" s="257"/>
      <c r="Y5" s="284" t="s">
        <v>251</v>
      </c>
      <c r="Z5" s="324" t="s">
        <v>250</v>
      </c>
      <c r="AA5" s="286" t="s">
        <v>249</v>
      </c>
      <c r="AB5" s="53"/>
      <c r="AC5" s="21"/>
      <c r="AD5" s="212" t="s">
        <v>262</v>
      </c>
      <c r="AE5" s="210" t="s">
        <v>261</v>
      </c>
      <c r="AF5" s="21"/>
      <c r="AG5" s="321" t="s">
        <v>255</v>
      </c>
    </row>
    <row r="6" spans="1:33" x14ac:dyDescent="0.2">
      <c r="A6" s="150"/>
      <c r="B6" s="155">
        <v>1</v>
      </c>
      <c r="C6" s="154" t="b">
        <v>0</v>
      </c>
      <c r="D6" s="153" t="str">
        <f t="array" ref="D6:D125">_xll.qlIMMNextCodes(_xll.qlSettingsEvaluationDate(Trigger)-1,$C6:$C125)</f>
        <v>F4</v>
      </c>
      <c r="E6" s="147" t="str">
        <f t="shared" ref="E6:E37" si="0">Currency&amp;$D$4&amp;$E$4&amp;$D6&amp;QuoteSuffix</f>
        <v>EURFUT1MF4_Quote</v>
      </c>
      <c r="F6" s="152" t="str">
        <f>_xll.qlSimpleQuote(E6,,PriceTickValue,Permanent,Trigger,ObjectOverwrite)</f>
        <v>EURFUT1MF4_Quote#0000</v>
      </c>
      <c r="G6" s="151" t="str">
        <f>_xll.ohRangeRetrieveError(F6)</f>
        <v/>
      </c>
      <c r="H6" s="145"/>
      <c r="J6" s="335"/>
      <c r="K6" s="348">
        <v>1</v>
      </c>
      <c r="L6" s="347" t="b">
        <v>0</v>
      </c>
      <c r="M6" s="275" t="str">
        <f t="array" ref="M6:M17">_xll.qlIMMcode(FuturesDates)</f>
        <v>F4</v>
      </c>
      <c r="N6" s="346">
        <f t="array" ref="N6:N17">_xll.qlIMMNextDates(_xll.qlSettingsEvaluationDate(Trigger)-1,$L6:$L17)</f>
        <v>41654</v>
      </c>
      <c r="O6" s="275" t="str">
        <f t="array" ref="O6:O17">VLOOKUP(Currency,LiffeCodes,2)&amp;FuturesCodes</f>
        <v>F4</v>
      </c>
      <c r="P6" s="345" t="s">
        <v>259</v>
      </c>
      <c r="Q6" s="275" t="s">
        <v>259</v>
      </c>
      <c r="R6" s="275" t="s">
        <v>259</v>
      </c>
      <c r="S6" s="275" t="s">
        <v>259</v>
      </c>
      <c r="T6" s="275" t="s">
        <v>259</v>
      </c>
      <c r="U6" s="278" t="e">
        <f>_xll.qlMidSafe($Q6,$R6)</f>
        <v>#NUM!</v>
      </c>
      <c r="V6" s="257"/>
      <c r="W6" s="344" t="e">
        <v>#NUM!</v>
      </c>
      <c r="X6" s="257"/>
      <c r="Y6" s="343" t="str">
        <f t="array" ref="Y6:Y17">Currency&amp;$Y$4&amp;FuturesCodes&amp;$Z$2</f>
        <v>EURFUT1MF4_Quote</v>
      </c>
      <c r="Z6" s="275" t="e">
        <f t="array" ref="Z6:Z17">QuoteLive</f>
        <v>#NUM!</v>
      </c>
      <c r="AA6" s="278" t="e">
        <f>_xll.qlSimpleQuoteSetValue($Y6,$Z6,Trigger)</f>
        <v>#NUM!</v>
      </c>
      <c r="AB6" s="53"/>
      <c r="AC6" s="21"/>
      <c r="AD6" s="90" t="s">
        <v>137</v>
      </c>
      <c r="AE6" s="88"/>
      <c r="AF6" s="21"/>
      <c r="AG6" s="296" t="e">
        <f t="shared" ref="AG6:AG17" si="1">(R6-U6)/50</f>
        <v>#VALUE!</v>
      </c>
    </row>
    <row r="7" spans="1:33" x14ac:dyDescent="0.2">
      <c r="A7" s="150"/>
      <c r="B7" s="111">
        <v>2</v>
      </c>
      <c r="C7" s="149" t="b">
        <v>0</v>
      </c>
      <c r="D7" s="148" t="str">
        <v>G4</v>
      </c>
      <c r="E7" s="147" t="str">
        <f t="shared" si="0"/>
        <v>EURFUT1MG4_Quote</v>
      </c>
      <c r="F7" s="146" t="str">
        <f>_xll.qlSimpleQuote(E7,,PriceTickValue,Permanent,Trigger,ObjectOverwrite)</f>
        <v>EURFUT1MG4_Quote#0000</v>
      </c>
      <c r="G7" s="109" t="str">
        <f>_xll.ohRangeRetrieveError(F7)</f>
        <v/>
      </c>
      <c r="H7" s="145"/>
      <c r="J7" s="335"/>
      <c r="K7" s="341">
        <v>2</v>
      </c>
      <c r="L7" s="340" t="b">
        <v>0</v>
      </c>
      <c r="M7" s="263" t="str">
        <v>G4</v>
      </c>
      <c r="N7" s="339">
        <v>41689</v>
      </c>
      <c r="O7" s="263" t="str">
        <v>G4</v>
      </c>
      <c r="P7" s="338" t="s">
        <v>259</v>
      </c>
      <c r="Q7" s="263" t="s">
        <v>259</v>
      </c>
      <c r="R7" s="263" t="s">
        <v>259</v>
      </c>
      <c r="S7" s="263" t="s">
        <v>259</v>
      </c>
      <c r="T7" s="263" t="s">
        <v>259</v>
      </c>
      <c r="U7" s="266" t="e">
        <f>_xll.qlMidSafe($Q7,$R7)</f>
        <v>#NUM!</v>
      </c>
      <c r="V7" s="257"/>
      <c r="W7" s="342" t="e">
        <v>#NUM!</v>
      </c>
      <c r="X7" s="257"/>
      <c r="Y7" s="336" t="str">
        <v>EURFUT1MG4_Quote</v>
      </c>
      <c r="Z7" s="263" t="e">
        <v>#NUM!</v>
      </c>
      <c r="AA7" s="266" t="e">
        <f>_xll.qlSimpleQuoteSetValue($Y7,$Z7,Trigger)</f>
        <v>#NUM!</v>
      </c>
      <c r="AB7" s="53"/>
      <c r="AC7" s="21"/>
      <c r="AD7" s="90" t="s">
        <v>123</v>
      </c>
      <c r="AE7" s="88"/>
      <c r="AF7" s="21"/>
      <c r="AG7" s="296" t="e">
        <f t="shared" si="1"/>
        <v>#VALUE!</v>
      </c>
    </row>
    <row r="8" spans="1:33" x14ac:dyDescent="0.2">
      <c r="A8" s="150"/>
      <c r="B8" s="111">
        <v>3</v>
      </c>
      <c r="C8" s="149" t="b">
        <v>0</v>
      </c>
      <c r="D8" s="148" t="str">
        <v>H4</v>
      </c>
      <c r="E8" s="147" t="str">
        <f t="shared" si="0"/>
        <v>EURFUT1MH4_Quote</v>
      </c>
      <c r="F8" s="146" t="str">
        <f>_xll.qlSimpleQuote(E8,,PriceTickValue,Permanent,Trigger,ObjectOverwrite)</f>
        <v>EURFUT1MH4_Quote#0000</v>
      </c>
      <c r="G8" s="109" t="str">
        <f>_xll.ohRangeRetrieveError(F8)</f>
        <v/>
      </c>
      <c r="H8" s="145"/>
      <c r="J8" s="335"/>
      <c r="K8" s="341">
        <v>3</v>
      </c>
      <c r="L8" s="340" t="b">
        <v>0</v>
      </c>
      <c r="M8" s="263" t="str">
        <v>H4</v>
      </c>
      <c r="N8" s="339">
        <v>41717</v>
      </c>
      <c r="O8" s="263" t="str">
        <v>H4</v>
      </c>
      <c r="P8" s="338" t="s">
        <v>259</v>
      </c>
      <c r="Q8" s="263" t="s">
        <v>259</v>
      </c>
      <c r="R8" s="263" t="s">
        <v>259</v>
      </c>
      <c r="S8" s="263" t="s">
        <v>259</v>
      </c>
      <c r="T8" s="263" t="s">
        <v>259</v>
      </c>
      <c r="U8" s="266" t="e">
        <f>_xll.qlMidSafe($Q8,$R8)</f>
        <v>#NUM!</v>
      </c>
      <c r="V8" s="257"/>
      <c r="W8" s="342" t="e">
        <v>#NUM!</v>
      </c>
      <c r="X8" s="257"/>
      <c r="Y8" s="336" t="str">
        <v>EURFUT1MH4_Quote</v>
      </c>
      <c r="Z8" s="263" t="e">
        <v>#NUM!</v>
      </c>
      <c r="AA8" s="266" t="e">
        <f>_xll.qlSimpleQuoteSetValue($Y8,$Z8,Trigger)</f>
        <v>#NUM!</v>
      </c>
      <c r="AB8" s="53"/>
      <c r="AC8" s="21"/>
      <c r="AD8" s="90" t="s">
        <v>134</v>
      </c>
      <c r="AE8" s="88"/>
      <c r="AF8" s="21"/>
      <c r="AG8" s="296" t="e">
        <f t="shared" si="1"/>
        <v>#VALUE!</v>
      </c>
    </row>
    <row r="9" spans="1:33" x14ac:dyDescent="0.2">
      <c r="A9" s="150"/>
      <c r="B9" s="111">
        <v>4</v>
      </c>
      <c r="C9" s="149" t="b">
        <v>0</v>
      </c>
      <c r="D9" s="148" t="str">
        <v>J4</v>
      </c>
      <c r="E9" s="147" t="str">
        <f t="shared" si="0"/>
        <v>EURFUT1MJ4_Quote</v>
      </c>
      <c r="F9" s="146" t="str">
        <f>_xll.qlSimpleQuote(E9,,PriceTickValue,Permanent,Trigger,ObjectOverwrite)</f>
        <v>EURFUT1MJ4_Quote#0000</v>
      </c>
      <c r="G9" s="109" t="str">
        <f>_xll.ohRangeRetrieveError(F9)</f>
        <v/>
      </c>
      <c r="H9" s="145"/>
      <c r="J9" s="335"/>
      <c r="K9" s="341">
        <v>4</v>
      </c>
      <c r="L9" s="340" t="b">
        <v>0</v>
      </c>
      <c r="M9" s="263" t="str">
        <v>J4</v>
      </c>
      <c r="N9" s="339">
        <v>41745</v>
      </c>
      <c r="O9" s="263" t="str">
        <v>J4</v>
      </c>
      <c r="P9" s="338" t="s">
        <v>259</v>
      </c>
      <c r="Q9" s="263" t="s">
        <v>259</v>
      </c>
      <c r="R9" s="263" t="s">
        <v>259</v>
      </c>
      <c r="S9" s="263" t="s">
        <v>259</v>
      </c>
      <c r="T9" s="263" t="s">
        <v>259</v>
      </c>
      <c r="U9" s="266" t="e">
        <f>_xll.qlMidSafe($Q9,$R9)</f>
        <v>#NUM!</v>
      </c>
      <c r="V9" s="257"/>
      <c r="W9" s="342" t="e">
        <v>#NUM!</v>
      </c>
      <c r="X9" s="257"/>
      <c r="Y9" s="336" t="str">
        <v>EURFUT1MJ4_Quote</v>
      </c>
      <c r="Z9" s="263" t="e">
        <v>#NUM!</v>
      </c>
      <c r="AA9" s="266" t="e">
        <f>_xll.qlSimpleQuoteSetValue($Y9,$Z9,Trigger)</f>
        <v>#NUM!</v>
      </c>
      <c r="AB9" s="53"/>
      <c r="AC9" s="21"/>
      <c r="AD9" s="90" t="s">
        <v>133</v>
      </c>
      <c r="AE9" s="88"/>
      <c r="AF9" s="21"/>
      <c r="AG9" s="296" t="e">
        <f t="shared" si="1"/>
        <v>#VALUE!</v>
      </c>
    </row>
    <row r="10" spans="1:33" ht="12" thickBot="1" x14ac:dyDescent="0.25">
      <c r="A10" s="150"/>
      <c r="B10" s="111">
        <v>5</v>
      </c>
      <c r="C10" s="149" t="b">
        <v>0</v>
      </c>
      <c r="D10" s="148" t="str">
        <v>K4</v>
      </c>
      <c r="E10" s="147" t="str">
        <f t="shared" si="0"/>
        <v>EURFUT1MK4_Quote</v>
      </c>
      <c r="F10" s="146" t="str">
        <f>_xll.qlSimpleQuote(E10,,PriceTickValue,Permanent,Trigger,ObjectOverwrite)</f>
        <v>EURFUT1MK4_Quote#0000</v>
      </c>
      <c r="G10" s="109" t="str">
        <f>_xll.ohRangeRetrieveError(F10)</f>
        <v/>
      </c>
      <c r="H10" s="145"/>
      <c r="J10" s="335"/>
      <c r="K10" s="341">
        <v>5</v>
      </c>
      <c r="L10" s="340" t="b">
        <v>0</v>
      </c>
      <c r="M10" s="263" t="str">
        <v>K4</v>
      </c>
      <c r="N10" s="339">
        <v>41780</v>
      </c>
      <c r="O10" s="263" t="str">
        <v>K4</v>
      </c>
      <c r="P10" s="338" t="s">
        <v>259</v>
      </c>
      <c r="Q10" s="263" t="s">
        <v>259</v>
      </c>
      <c r="R10" s="263" t="s">
        <v>259</v>
      </c>
      <c r="S10" s="263" t="s">
        <v>259</v>
      </c>
      <c r="T10" s="263" t="s">
        <v>259</v>
      </c>
      <c r="U10" s="266" t="e">
        <f>_xll.qlMidSafe($Q10,$R10)</f>
        <v>#NUM!</v>
      </c>
      <c r="V10" s="257"/>
      <c r="W10" s="337" t="e">
        <v>#NUM!</v>
      </c>
      <c r="X10" s="257"/>
      <c r="Y10" s="336" t="str">
        <v>EURFUT1MK4_Quote</v>
      </c>
      <c r="Z10" s="263" t="e">
        <v>#NUM!</v>
      </c>
      <c r="AA10" s="266" t="e">
        <f>_xll.qlSimpleQuoteSetValue($Y10,$Z10,Trigger)</f>
        <v>#NUM!</v>
      </c>
      <c r="AB10" s="53"/>
      <c r="AC10" s="21"/>
      <c r="AD10" s="87" t="s">
        <v>131</v>
      </c>
      <c r="AE10" s="85" t="s">
        <v>260</v>
      </c>
      <c r="AF10" s="21"/>
      <c r="AG10" s="296" t="e">
        <f t="shared" si="1"/>
        <v>#VALUE!</v>
      </c>
    </row>
    <row r="11" spans="1:33" x14ac:dyDescent="0.2">
      <c r="A11" s="150"/>
      <c r="B11" s="111">
        <v>6</v>
      </c>
      <c r="C11" s="149" t="b">
        <v>0</v>
      </c>
      <c r="D11" s="148" t="str">
        <v>M4</v>
      </c>
      <c r="E11" s="147" t="str">
        <f t="shared" si="0"/>
        <v>EURFUT1MM4_Quote</v>
      </c>
      <c r="F11" s="146" t="str">
        <f>_xll.qlSimpleQuote(E11,,PriceTickValue,Permanent,Trigger,ObjectOverwrite)</f>
        <v>EURFUT1MM4_Quote#0000</v>
      </c>
      <c r="G11" s="109" t="str">
        <f>_xll.ohRangeRetrieveError(F11)</f>
        <v/>
      </c>
      <c r="H11" s="145"/>
      <c r="J11" s="335"/>
      <c r="K11" s="341">
        <v>6</v>
      </c>
      <c r="L11" s="340" t="b">
        <v>0</v>
      </c>
      <c r="M11" s="263" t="str">
        <v>M4</v>
      </c>
      <c r="N11" s="339">
        <v>41808</v>
      </c>
      <c r="O11" s="263" t="str">
        <v>M4</v>
      </c>
      <c r="P11" s="338" t="s">
        <v>259</v>
      </c>
      <c r="Q11" s="263" t="s">
        <v>259</v>
      </c>
      <c r="R11" s="263" t="s">
        <v>259</v>
      </c>
      <c r="S11" s="263" t="s">
        <v>259</v>
      </c>
      <c r="T11" s="263" t="s">
        <v>259</v>
      </c>
      <c r="U11" s="266" t="e">
        <f>_xll.qlMidSafe($Q11,$R11)</f>
        <v>#NUM!</v>
      </c>
      <c r="V11" s="257"/>
      <c r="W11" s="337" t="e">
        <v>#NUM!</v>
      </c>
      <c r="X11" s="257"/>
      <c r="Y11" s="336" t="str">
        <v>EURFUT1MM4_Quote</v>
      </c>
      <c r="Z11" s="263" t="e">
        <v>#NUM!</v>
      </c>
      <c r="AA11" s="266" t="e">
        <f>_xll.qlSimpleQuoteSetValue($Y11,$Z11,Trigger)</f>
        <v>#NUM!</v>
      </c>
      <c r="AB11" s="53"/>
      <c r="AC11" s="21"/>
      <c r="AD11" s="21"/>
      <c r="AE11" s="21"/>
      <c r="AF11" s="21"/>
      <c r="AG11" s="296" t="e">
        <f t="shared" si="1"/>
        <v>#VALUE!</v>
      </c>
    </row>
    <row r="12" spans="1:33" x14ac:dyDescent="0.2">
      <c r="A12" s="150"/>
      <c r="B12" s="111">
        <v>7</v>
      </c>
      <c r="C12" s="149" t="b">
        <v>0</v>
      </c>
      <c r="D12" s="148" t="str">
        <v>N4</v>
      </c>
      <c r="E12" s="147" t="str">
        <f t="shared" si="0"/>
        <v>EURFUT1MN4_Quote</v>
      </c>
      <c r="F12" s="146" t="str">
        <f>_xll.qlSimpleQuote(E12,,PriceTickValue,Permanent,Trigger,ObjectOverwrite)</f>
        <v>EURFUT1MN4_Quote#0000</v>
      </c>
      <c r="G12" s="109" t="str">
        <f>_xll.ohRangeRetrieveError(F12)</f>
        <v/>
      </c>
      <c r="H12" s="145"/>
      <c r="J12" s="335"/>
      <c r="K12" s="341">
        <v>7</v>
      </c>
      <c r="L12" s="340" t="b">
        <v>0</v>
      </c>
      <c r="M12" s="263" t="str">
        <v>N4</v>
      </c>
      <c r="N12" s="339">
        <v>41836</v>
      </c>
      <c r="O12" s="263" t="str">
        <v>N4</v>
      </c>
      <c r="P12" s="338" t="s">
        <v>259</v>
      </c>
      <c r="Q12" s="263" t="s">
        <v>259</v>
      </c>
      <c r="R12" s="263" t="s">
        <v>259</v>
      </c>
      <c r="S12" s="263" t="s">
        <v>259</v>
      </c>
      <c r="T12" s="263" t="s">
        <v>259</v>
      </c>
      <c r="U12" s="266" t="e">
        <f>_xll.qlMidSafe($Q12,$R12)</f>
        <v>#NUM!</v>
      </c>
      <c r="V12" s="257"/>
      <c r="W12" s="337" t="e">
        <v>#NUM!</v>
      </c>
      <c r="X12" s="257"/>
      <c r="Y12" s="336" t="str">
        <v>EURFUT1MN4_Quote</v>
      </c>
      <c r="Z12" s="263" t="e">
        <v>#NUM!</v>
      </c>
      <c r="AA12" s="266" t="e">
        <f>_xll.qlSimpleQuoteSetValue($Y12,$Z12,Trigger)</f>
        <v>#NUM!</v>
      </c>
      <c r="AB12" s="53"/>
      <c r="AC12" s="21"/>
      <c r="AD12" s="21"/>
      <c r="AE12" s="21"/>
      <c r="AF12" s="21"/>
      <c r="AG12" s="296" t="e">
        <f t="shared" si="1"/>
        <v>#VALUE!</v>
      </c>
    </row>
    <row r="13" spans="1:33" x14ac:dyDescent="0.2">
      <c r="A13" s="150"/>
      <c r="B13" s="111">
        <v>8</v>
      </c>
      <c r="C13" s="149" t="b">
        <v>0</v>
      </c>
      <c r="D13" s="148" t="str">
        <v>Q4</v>
      </c>
      <c r="E13" s="147" t="str">
        <f t="shared" si="0"/>
        <v>EURFUT1MQ4_Quote</v>
      </c>
      <c r="F13" s="146" t="str">
        <f>_xll.qlSimpleQuote(E13,,PriceTickValue,Permanent,Trigger,ObjectOverwrite)</f>
        <v>EURFUT1MQ4_Quote#0000</v>
      </c>
      <c r="G13" s="109" t="str">
        <f>_xll.ohRangeRetrieveError(F13)</f>
        <v/>
      </c>
      <c r="H13" s="145"/>
      <c r="J13" s="335"/>
      <c r="K13" s="341">
        <v>8</v>
      </c>
      <c r="L13" s="340" t="b">
        <v>0</v>
      </c>
      <c r="M13" s="263" t="str">
        <v>Q4</v>
      </c>
      <c r="N13" s="339">
        <v>41871</v>
      </c>
      <c r="O13" s="263" t="str">
        <v>Q4</v>
      </c>
      <c r="P13" s="338" t="s">
        <v>259</v>
      </c>
      <c r="Q13" s="263" t="s">
        <v>259</v>
      </c>
      <c r="R13" s="263" t="s">
        <v>259</v>
      </c>
      <c r="S13" s="263" t="s">
        <v>259</v>
      </c>
      <c r="T13" s="263" t="s">
        <v>259</v>
      </c>
      <c r="U13" s="266" t="e">
        <f>_xll.qlMidSafe($Q13,$R13)</f>
        <v>#NUM!</v>
      </c>
      <c r="V13" s="257"/>
      <c r="W13" s="337" t="e">
        <v>#NUM!</v>
      </c>
      <c r="X13" s="257"/>
      <c r="Y13" s="336" t="str">
        <v>EURFUT1MQ4_Quote</v>
      </c>
      <c r="Z13" s="263" t="e">
        <v>#NUM!</v>
      </c>
      <c r="AA13" s="266" t="e">
        <f>_xll.qlSimpleQuoteSetValue($Y13,$Z13,Trigger)</f>
        <v>#NUM!</v>
      </c>
      <c r="AB13" s="53"/>
      <c r="AC13" s="21"/>
      <c r="AD13" s="21"/>
      <c r="AE13" s="21"/>
      <c r="AF13" s="21"/>
      <c r="AG13" s="296" t="e">
        <f t="shared" si="1"/>
        <v>#VALUE!</v>
      </c>
    </row>
    <row r="14" spans="1:33" x14ac:dyDescent="0.2">
      <c r="A14" s="150"/>
      <c r="B14" s="111">
        <v>9</v>
      </c>
      <c r="C14" s="149" t="b">
        <v>0</v>
      </c>
      <c r="D14" s="148" t="str">
        <v>U4</v>
      </c>
      <c r="E14" s="147" t="str">
        <f t="shared" si="0"/>
        <v>EURFUT1MU4_Quote</v>
      </c>
      <c r="F14" s="146" t="str">
        <f>_xll.qlSimpleQuote(E14,,PriceTickValue,Permanent,Trigger,ObjectOverwrite)</f>
        <v>EURFUT1MU4_Quote#0000</v>
      </c>
      <c r="G14" s="109" t="str">
        <f>_xll.ohRangeRetrieveError(F14)</f>
        <v/>
      </c>
      <c r="H14" s="145"/>
      <c r="J14" s="335"/>
      <c r="K14" s="341">
        <v>9</v>
      </c>
      <c r="L14" s="340" t="b">
        <v>0</v>
      </c>
      <c r="M14" s="263" t="str">
        <v>U4</v>
      </c>
      <c r="N14" s="339">
        <v>41899</v>
      </c>
      <c r="O14" s="263" t="str">
        <v>U4</v>
      </c>
      <c r="P14" s="338" t="s">
        <v>259</v>
      </c>
      <c r="Q14" s="263" t="s">
        <v>259</v>
      </c>
      <c r="R14" s="263" t="s">
        <v>259</v>
      </c>
      <c r="S14" s="263" t="s">
        <v>259</v>
      </c>
      <c r="T14" s="263" t="s">
        <v>259</v>
      </c>
      <c r="U14" s="266" t="e">
        <f>_xll.qlMidSafe($Q14,$R14)</f>
        <v>#NUM!</v>
      </c>
      <c r="V14" s="257"/>
      <c r="W14" s="337" t="e">
        <v>#NUM!</v>
      </c>
      <c r="X14" s="257"/>
      <c r="Y14" s="336" t="str">
        <v>EURFUT1MU4_Quote</v>
      </c>
      <c r="Z14" s="263" t="e">
        <v>#NUM!</v>
      </c>
      <c r="AA14" s="266" t="e">
        <f>_xll.qlSimpleQuoteSetValue($Y14,$Z14,Trigger)</f>
        <v>#NUM!</v>
      </c>
      <c r="AB14" s="53"/>
      <c r="AC14" s="21"/>
      <c r="AD14" s="21"/>
      <c r="AE14" s="21"/>
      <c r="AF14" s="21"/>
      <c r="AG14" s="296" t="e">
        <f t="shared" si="1"/>
        <v>#VALUE!</v>
      </c>
    </row>
    <row r="15" spans="1:33" x14ac:dyDescent="0.2">
      <c r="A15" s="150"/>
      <c r="B15" s="111">
        <v>10</v>
      </c>
      <c r="C15" s="149" t="b">
        <v>0</v>
      </c>
      <c r="D15" s="148" t="str">
        <v>V4</v>
      </c>
      <c r="E15" s="147" t="str">
        <f t="shared" si="0"/>
        <v>EURFUT1MV4_Quote</v>
      </c>
      <c r="F15" s="146" t="str">
        <f>_xll.qlSimpleQuote(E15,,PriceTickValue,Permanent,Trigger,ObjectOverwrite)</f>
        <v>EURFUT1MV4_Quote#0000</v>
      </c>
      <c r="G15" s="109" t="str">
        <f>_xll.ohRangeRetrieveError(F15)</f>
        <v/>
      </c>
      <c r="H15" s="145"/>
      <c r="J15" s="335"/>
      <c r="K15" s="341">
        <v>10</v>
      </c>
      <c r="L15" s="340" t="b">
        <v>0</v>
      </c>
      <c r="M15" s="263" t="str">
        <v>V4</v>
      </c>
      <c r="N15" s="339">
        <v>41927</v>
      </c>
      <c r="O15" s="263" t="str">
        <v>V4</v>
      </c>
      <c r="P15" s="338" t="s">
        <v>259</v>
      </c>
      <c r="Q15" s="263" t="s">
        <v>259</v>
      </c>
      <c r="R15" s="263" t="s">
        <v>259</v>
      </c>
      <c r="S15" s="263" t="s">
        <v>259</v>
      </c>
      <c r="T15" s="263" t="s">
        <v>259</v>
      </c>
      <c r="U15" s="266" t="e">
        <f>_xll.qlMidSafe($Q15,$R15)</f>
        <v>#NUM!</v>
      </c>
      <c r="V15" s="257"/>
      <c r="W15" s="337" t="e">
        <v>#NUM!</v>
      </c>
      <c r="X15" s="257"/>
      <c r="Y15" s="336" t="str">
        <v>EURFUT1MV4_Quote</v>
      </c>
      <c r="Z15" s="263" t="e">
        <v>#NUM!</v>
      </c>
      <c r="AA15" s="266" t="e">
        <f>_xll.qlSimpleQuoteSetValue($Y15,$Z15,Trigger)</f>
        <v>#NUM!</v>
      </c>
      <c r="AB15" s="53"/>
      <c r="AC15" s="21"/>
      <c r="AD15" s="21"/>
      <c r="AE15" s="21"/>
      <c r="AF15" s="21"/>
      <c r="AG15" s="296" t="e">
        <f t="shared" si="1"/>
        <v>#VALUE!</v>
      </c>
    </row>
    <row r="16" spans="1:33" x14ac:dyDescent="0.2">
      <c r="A16" s="150"/>
      <c r="B16" s="111">
        <v>11</v>
      </c>
      <c r="C16" s="149" t="b">
        <v>0</v>
      </c>
      <c r="D16" s="148" t="str">
        <v>X4</v>
      </c>
      <c r="E16" s="147" t="str">
        <f t="shared" si="0"/>
        <v>EURFUT1MX4_Quote</v>
      </c>
      <c r="F16" s="146" t="str">
        <f>_xll.qlSimpleQuote(E16,,PriceTickValue,Permanent,Trigger,ObjectOverwrite)</f>
        <v>EURFUT1MX4_Quote#0000</v>
      </c>
      <c r="G16" s="109" t="str">
        <f>_xll.ohRangeRetrieveError(F16)</f>
        <v/>
      </c>
      <c r="H16" s="145"/>
      <c r="J16" s="335"/>
      <c r="K16" s="341">
        <v>11</v>
      </c>
      <c r="L16" s="340" t="b">
        <v>0</v>
      </c>
      <c r="M16" s="263" t="str">
        <v>X4</v>
      </c>
      <c r="N16" s="339">
        <v>41962</v>
      </c>
      <c r="O16" s="263" t="str">
        <v>X4</v>
      </c>
      <c r="P16" s="338" t="s">
        <v>259</v>
      </c>
      <c r="Q16" s="263" t="s">
        <v>259</v>
      </c>
      <c r="R16" s="263" t="s">
        <v>259</v>
      </c>
      <c r="S16" s="263" t="s">
        <v>259</v>
      </c>
      <c r="T16" s="263" t="s">
        <v>259</v>
      </c>
      <c r="U16" s="266" t="e">
        <f>_xll.qlMidSafe($Q16,$R16)</f>
        <v>#NUM!</v>
      </c>
      <c r="V16" s="257"/>
      <c r="W16" s="337" t="e">
        <v>#NUM!</v>
      </c>
      <c r="X16" s="257"/>
      <c r="Y16" s="336" t="str">
        <v>EURFUT1MX4_Quote</v>
      </c>
      <c r="Z16" s="263" t="e">
        <v>#NUM!</v>
      </c>
      <c r="AA16" s="266" t="e">
        <f>_xll.qlSimpleQuoteSetValue($Y16,$Z16,Trigger)</f>
        <v>#NUM!</v>
      </c>
      <c r="AB16" s="53"/>
      <c r="AC16" s="21"/>
      <c r="AD16" s="21"/>
      <c r="AE16" s="21"/>
      <c r="AF16" s="21"/>
      <c r="AG16" s="296" t="e">
        <f t="shared" si="1"/>
        <v>#VALUE!</v>
      </c>
    </row>
    <row r="17" spans="1:33" x14ac:dyDescent="0.2">
      <c r="A17" s="150"/>
      <c r="B17" s="111">
        <v>12</v>
      </c>
      <c r="C17" s="149" t="b">
        <v>0</v>
      </c>
      <c r="D17" s="148" t="str">
        <v>Z4</v>
      </c>
      <c r="E17" s="147" t="str">
        <f t="shared" si="0"/>
        <v>EURFUT1MZ4_Quote</v>
      </c>
      <c r="F17" s="146" t="str">
        <f>_xll.qlSimpleQuote(E17,,PriceTickValue,Permanent,Trigger,ObjectOverwrite)</f>
        <v>EURFUT1MZ4_Quote#0000</v>
      </c>
      <c r="G17" s="109" t="str">
        <f>_xll.ohRangeRetrieveError(F17)</f>
        <v/>
      </c>
      <c r="H17" s="145"/>
      <c r="J17" s="335"/>
      <c r="K17" s="334">
        <v>12</v>
      </c>
      <c r="L17" s="333" t="b">
        <v>0</v>
      </c>
      <c r="M17" s="255" t="str">
        <v>Z4</v>
      </c>
      <c r="N17" s="332">
        <v>41990</v>
      </c>
      <c r="O17" s="255" t="str">
        <v>Z4</v>
      </c>
      <c r="P17" s="331" t="s">
        <v>259</v>
      </c>
      <c r="Q17" s="255" t="s">
        <v>259</v>
      </c>
      <c r="R17" s="255" t="s">
        <v>259</v>
      </c>
      <c r="S17" s="255" t="s">
        <v>259</v>
      </c>
      <c r="T17" s="255" t="s">
        <v>259</v>
      </c>
      <c r="U17" s="259" t="e">
        <f>_xll.qlMidSafe($Q17,$R17)</f>
        <v>#NUM!</v>
      </c>
      <c r="V17" s="257"/>
      <c r="W17" s="330" t="e">
        <v>#NUM!</v>
      </c>
      <c r="X17" s="257"/>
      <c r="Y17" s="329" t="str">
        <v>EURFUT1MZ4_Quote</v>
      </c>
      <c r="Z17" s="255" t="e">
        <v>#NUM!</v>
      </c>
      <c r="AA17" s="259" t="e">
        <f>_xll.qlSimpleQuoteSetValue($Y17,$Z17,Trigger)</f>
        <v>#NUM!</v>
      </c>
      <c r="AB17" s="53"/>
      <c r="AC17" s="21"/>
      <c r="AD17" s="21"/>
      <c r="AE17" s="21"/>
      <c r="AF17" s="21"/>
      <c r="AG17" s="296" t="e">
        <f t="shared" si="1"/>
        <v>#VALUE!</v>
      </c>
    </row>
    <row r="18" spans="1:33" ht="12" thickBot="1" x14ac:dyDescent="0.25">
      <c r="A18" s="150"/>
      <c r="B18" s="111">
        <v>13</v>
      </c>
      <c r="C18" s="149" t="b">
        <v>0</v>
      </c>
      <c r="D18" s="148" t="str">
        <v>F5</v>
      </c>
      <c r="E18" s="147" t="str">
        <f t="shared" si="0"/>
        <v>EURFUT1MF5_Quote</v>
      </c>
      <c r="F18" s="146" t="str">
        <f>_xll.qlSimpleQuote(E18,,PriceTickValue,Permanent,Trigger,ObjectOverwrite)</f>
        <v>EURFUT1MF5_Quote#0000</v>
      </c>
      <c r="G18" s="109" t="str">
        <f>_xll.ohRangeRetrieveError(F18)</f>
        <v/>
      </c>
      <c r="H18" s="145"/>
      <c r="J18" s="328"/>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G5</v>
      </c>
      <c r="E19" s="147" t="str">
        <f t="shared" si="0"/>
        <v>EURFUT1MG5_Quote</v>
      </c>
      <c r="F19" s="146" t="str">
        <f>_xll.qlSimpleQuote(E19,,PriceTickValue,Permanent,Trigger,ObjectOverwrite)</f>
        <v>EURFUT1MG5_Quote#0000</v>
      </c>
      <c r="G19" s="109" t="str">
        <f>_xll.ohRangeRetrieveError(F19)</f>
        <v/>
      </c>
      <c r="H19" s="145"/>
    </row>
    <row r="20" spans="1:33" x14ac:dyDescent="0.2">
      <c r="A20" s="150"/>
      <c r="B20" s="111">
        <v>15</v>
      </c>
      <c r="C20" s="149" t="b">
        <v>0</v>
      </c>
      <c r="D20" s="148" t="str">
        <v>H5</v>
      </c>
      <c r="E20" s="147" t="str">
        <f t="shared" si="0"/>
        <v>EURFUT1MH5_Quote</v>
      </c>
      <c r="F20" s="146" t="str">
        <f>_xll.qlSimpleQuote(E20,,PriceTickValue,Permanent,Trigger,ObjectOverwrite)</f>
        <v>EURFUT1MH5_Quote#0000</v>
      </c>
      <c r="G20" s="109" t="str">
        <f>_xll.ohRangeRetrieveError(F20)</f>
        <v/>
      </c>
      <c r="H20" s="145"/>
    </row>
    <row r="21" spans="1:33" x14ac:dyDescent="0.2">
      <c r="A21" s="150"/>
      <c r="B21" s="111">
        <v>16</v>
      </c>
      <c r="C21" s="149" t="b">
        <v>0</v>
      </c>
      <c r="D21" s="148" t="str">
        <v>J5</v>
      </c>
      <c r="E21" s="147" t="str">
        <f t="shared" si="0"/>
        <v>EURFUT1MJ5_Quote</v>
      </c>
      <c r="F21" s="146" t="str">
        <f>_xll.qlSimpleQuote(E21,,PriceTickValue,Permanent,Trigger,ObjectOverwrite)</f>
        <v>EURFUT1MJ5_Quote#0000</v>
      </c>
      <c r="G21" s="109" t="str">
        <f>_xll.ohRangeRetrieveError(F21)</f>
        <v/>
      </c>
      <c r="H21" s="145"/>
    </row>
    <row r="22" spans="1:33" x14ac:dyDescent="0.2">
      <c r="A22" s="150"/>
      <c r="B22" s="111">
        <v>17</v>
      </c>
      <c r="C22" s="149" t="b">
        <v>0</v>
      </c>
      <c r="D22" s="148" t="str">
        <v>K5</v>
      </c>
      <c r="E22" s="147" t="str">
        <f t="shared" si="0"/>
        <v>EURFUT1MK5_Quote</v>
      </c>
      <c r="F22" s="146" t="str">
        <f>_xll.qlSimpleQuote(E22,,PriceTickValue,Permanent,Trigger,ObjectOverwrite)</f>
        <v>EURFUT1MK5_Quote#0000</v>
      </c>
      <c r="G22" s="109" t="str">
        <f>_xll.ohRangeRetrieveError(F22)</f>
        <v/>
      </c>
      <c r="H22" s="145"/>
    </row>
    <row r="23" spans="1:33" x14ac:dyDescent="0.2">
      <c r="A23" s="150"/>
      <c r="B23" s="111">
        <v>18</v>
      </c>
      <c r="C23" s="149" t="b">
        <v>0</v>
      </c>
      <c r="D23" s="148" t="str">
        <v>M5</v>
      </c>
      <c r="E23" s="147" t="str">
        <f t="shared" si="0"/>
        <v>EURFUT1MM5_Quote</v>
      </c>
      <c r="F23" s="146" t="str">
        <f>_xll.qlSimpleQuote(E23,,PriceTickValue,Permanent,Trigger,ObjectOverwrite)</f>
        <v>EURFUT1MM5_Quote#0000</v>
      </c>
      <c r="G23" s="109" t="str">
        <f>_xll.ohRangeRetrieveError(F23)</f>
        <v/>
      </c>
      <c r="H23" s="145"/>
    </row>
    <row r="24" spans="1:33" x14ac:dyDescent="0.2">
      <c r="A24" s="150"/>
      <c r="B24" s="111">
        <v>19</v>
      </c>
      <c r="C24" s="149" t="b">
        <v>0</v>
      </c>
      <c r="D24" s="148" t="str">
        <v>N5</v>
      </c>
      <c r="E24" s="147" t="str">
        <f t="shared" si="0"/>
        <v>EURFUT1MN5_Quote</v>
      </c>
      <c r="F24" s="146" t="str">
        <f>_xll.qlSimpleQuote(E24,,PriceTickValue,Permanent,Trigger,ObjectOverwrite)</f>
        <v>EURFUT1MN5_Quote#0000</v>
      </c>
      <c r="G24" s="109" t="str">
        <f>_xll.ohRangeRetrieveError(F24)</f>
        <v/>
      </c>
      <c r="H24" s="145"/>
    </row>
    <row r="25" spans="1:33" x14ac:dyDescent="0.2">
      <c r="A25" s="150"/>
      <c r="B25" s="111">
        <v>20</v>
      </c>
      <c r="C25" s="149" t="b">
        <v>0</v>
      </c>
      <c r="D25" s="148" t="str">
        <v>Q5</v>
      </c>
      <c r="E25" s="147" t="str">
        <f t="shared" si="0"/>
        <v>EURFUT1MQ5_Quote</v>
      </c>
      <c r="F25" s="146" t="str">
        <f>_xll.qlSimpleQuote(E25,,PriceTickValue,Permanent,Trigger,ObjectOverwrite)</f>
        <v>EURFUT1MQ5_Quote#0000</v>
      </c>
      <c r="G25" s="109" t="str">
        <f>_xll.ohRangeRetrieveError(F25)</f>
        <v/>
      </c>
      <c r="H25" s="145"/>
    </row>
    <row r="26" spans="1:33" x14ac:dyDescent="0.2">
      <c r="A26" s="150"/>
      <c r="B26" s="111">
        <v>21</v>
      </c>
      <c r="C26" s="149" t="b">
        <v>0</v>
      </c>
      <c r="D26" s="148" t="str">
        <v>U5</v>
      </c>
      <c r="E26" s="147" t="str">
        <f t="shared" si="0"/>
        <v>EURFUT1MU5_Quote</v>
      </c>
      <c r="F26" s="146" t="str">
        <f>_xll.qlSimpleQuote(E26,,PriceTickValue,Permanent,Trigger,ObjectOverwrite)</f>
        <v>EURFUT1MU5_Quote#0000</v>
      </c>
      <c r="G26" s="109" t="str">
        <f>_xll.ohRangeRetrieveError(F26)</f>
        <v/>
      </c>
      <c r="H26" s="145"/>
    </row>
    <row r="27" spans="1:33" x14ac:dyDescent="0.2">
      <c r="A27" s="150"/>
      <c r="B27" s="111">
        <v>22</v>
      </c>
      <c r="C27" s="149" t="b">
        <v>0</v>
      </c>
      <c r="D27" s="148" t="str">
        <v>V5</v>
      </c>
      <c r="E27" s="147" t="str">
        <f t="shared" si="0"/>
        <v>EURFUT1MV5_Quote</v>
      </c>
      <c r="F27" s="146" t="str">
        <f>_xll.qlSimpleQuote(E27,,PriceTickValue,Permanent,Trigger,ObjectOverwrite)</f>
        <v>EURFUT1MV5_Quote#0000</v>
      </c>
      <c r="G27" s="109" t="str">
        <f>_xll.ohRangeRetrieveError(F27)</f>
        <v/>
      </c>
      <c r="H27" s="145"/>
    </row>
    <row r="28" spans="1:33" x14ac:dyDescent="0.2">
      <c r="A28" s="150"/>
      <c r="B28" s="111">
        <v>23</v>
      </c>
      <c r="C28" s="149" t="b">
        <v>0</v>
      </c>
      <c r="D28" s="148" t="str">
        <v>X5</v>
      </c>
      <c r="E28" s="147" t="str">
        <f t="shared" si="0"/>
        <v>EURFUT1MX5_Quote</v>
      </c>
      <c r="F28" s="146" t="str">
        <f>_xll.qlSimpleQuote(E28,,PriceTickValue,Permanent,Trigger,ObjectOverwrite)</f>
        <v>EURFUT1MX5_Quote#0000</v>
      </c>
      <c r="G28" s="109" t="str">
        <f>_xll.ohRangeRetrieveError(F28)</f>
        <v/>
      </c>
      <c r="H28" s="145"/>
    </row>
    <row r="29" spans="1:33" x14ac:dyDescent="0.2">
      <c r="A29" s="150"/>
      <c r="B29" s="111">
        <v>24</v>
      </c>
      <c r="C29" s="149" t="b">
        <v>0</v>
      </c>
      <c r="D29" s="148" t="str">
        <v>Z5</v>
      </c>
      <c r="E29" s="147" t="str">
        <f t="shared" si="0"/>
        <v>EURFUT1MZ5_Quote</v>
      </c>
      <c r="F29" s="146" t="str">
        <f>_xll.qlSimpleQuote(E29,,PriceTickValue,Permanent,Trigger,ObjectOverwrite)</f>
        <v>EURFUT1MZ5_Quote#0000</v>
      </c>
      <c r="G29" s="109" t="str">
        <f>_xll.ohRangeRetrieveError(F29)</f>
        <v/>
      </c>
      <c r="H29" s="145"/>
    </row>
    <row r="30" spans="1:33" x14ac:dyDescent="0.2">
      <c r="A30" s="150"/>
      <c r="B30" s="111">
        <v>25</v>
      </c>
      <c r="C30" s="149" t="b">
        <v>0</v>
      </c>
      <c r="D30" s="148" t="str">
        <v>F6</v>
      </c>
      <c r="E30" s="147" t="str">
        <f t="shared" si="0"/>
        <v>EURFUT1MF6_Quote</v>
      </c>
      <c r="F30" s="146" t="str">
        <f>_xll.qlSimpleQuote(E30,,PriceTickValue,Permanent,Trigger,ObjectOverwrite)</f>
        <v>EURFUT1MF6_Quote#0000</v>
      </c>
      <c r="G30" s="109" t="str">
        <f>_xll.ohRangeRetrieveError(F30)</f>
        <v/>
      </c>
      <c r="H30" s="145"/>
    </row>
    <row r="31" spans="1:33" x14ac:dyDescent="0.2">
      <c r="A31" s="150"/>
      <c r="B31" s="111">
        <v>26</v>
      </c>
      <c r="C31" s="149" t="b">
        <v>0</v>
      </c>
      <c r="D31" s="148" t="str">
        <v>G6</v>
      </c>
      <c r="E31" s="147" t="str">
        <f t="shared" si="0"/>
        <v>EURFUT1MG6_Quote</v>
      </c>
      <c r="F31" s="146" t="str">
        <f>_xll.qlSimpleQuote(E31,,PriceTickValue,Permanent,Trigger,ObjectOverwrite)</f>
        <v>EURFUT1MG6_Quote#0000</v>
      </c>
      <c r="G31" s="109" t="str">
        <f>_xll.ohRangeRetrieveError(F31)</f>
        <v/>
      </c>
      <c r="H31" s="145"/>
    </row>
    <row r="32" spans="1:33" x14ac:dyDescent="0.2">
      <c r="A32" s="150"/>
      <c r="B32" s="111">
        <v>27</v>
      </c>
      <c r="C32" s="149" t="b">
        <v>0</v>
      </c>
      <c r="D32" s="148" t="str">
        <v>H6</v>
      </c>
      <c r="E32" s="147" t="str">
        <f t="shared" si="0"/>
        <v>EURFUT1MH6_Quote</v>
      </c>
      <c r="F32" s="146" t="str">
        <f>_xll.qlSimpleQuote(E32,,PriceTickValue,Permanent,Trigger,ObjectOverwrite)</f>
        <v>EURFUT1MH6_Quote#0000</v>
      </c>
      <c r="G32" s="109" t="str">
        <f>_xll.ohRangeRetrieveError(F32)</f>
        <v/>
      </c>
      <c r="H32" s="145"/>
    </row>
    <row r="33" spans="1:8" x14ac:dyDescent="0.2">
      <c r="A33" s="150"/>
      <c r="B33" s="111">
        <v>28</v>
      </c>
      <c r="C33" s="149" t="b">
        <v>0</v>
      </c>
      <c r="D33" s="148" t="str">
        <v>J6</v>
      </c>
      <c r="E33" s="147" t="str">
        <f t="shared" si="0"/>
        <v>EURFUT1MJ6_Quote</v>
      </c>
      <c r="F33" s="146" t="str">
        <f>_xll.qlSimpleQuote(E33,,PriceTickValue,Permanent,Trigger,ObjectOverwrite)</f>
        <v>EURFUT1MJ6_Quote#0000</v>
      </c>
      <c r="G33" s="109" t="str">
        <f>_xll.ohRangeRetrieveError(F33)</f>
        <v/>
      </c>
      <c r="H33" s="145"/>
    </row>
    <row r="34" spans="1:8" x14ac:dyDescent="0.2">
      <c r="A34" s="150"/>
      <c r="B34" s="111">
        <v>29</v>
      </c>
      <c r="C34" s="149" t="b">
        <v>0</v>
      </c>
      <c r="D34" s="148" t="str">
        <v>K6</v>
      </c>
      <c r="E34" s="147" t="str">
        <f t="shared" si="0"/>
        <v>EURFUT1MK6_Quote</v>
      </c>
      <c r="F34" s="146" t="str">
        <f>_xll.qlSimpleQuote(E34,,PriceTickValue,Permanent,Trigger,ObjectOverwrite)</f>
        <v>EURFUT1MK6_Quote#0000</v>
      </c>
      <c r="G34" s="109" t="str">
        <f>_xll.ohRangeRetrieveError(F34)</f>
        <v/>
      </c>
      <c r="H34" s="145"/>
    </row>
    <row r="35" spans="1:8" x14ac:dyDescent="0.2">
      <c r="A35" s="150"/>
      <c r="B35" s="111">
        <v>30</v>
      </c>
      <c r="C35" s="149" t="b">
        <v>0</v>
      </c>
      <c r="D35" s="148" t="str">
        <v>M6</v>
      </c>
      <c r="E35" s="147" t="str">
        <f t="shared" si="0"/>
        <v>EURFUT1MM6_Quote</v>
      </c>
      <c r="F35" s="146" t="str">
        <f>_xll.qlSimpleQuote(E35,,PriceTickValue,Permanent,Trigger,ObjectOverwrite)</f>
        <v>EURFUT1MM6_Quote#0000</v>
      </c>
      <c r="G35" s="109" t="str">
        <f>_xll.ohRangeRetrieveError(F35)</f>
        <v/>
      </c>
      <c r="H35" s="145"/>
    </row>
    <row r="36" spans="1:8" x14ac:dyDescent="0.2">
      <c r="A36" s="150"/>
      <c r="B36" s="111">
        <v>31</v>
      </c>
      <c r="C36" s="149" t="b">
        <v>0</v>
      </c>
      <c r="D36" s="148" t="str">
        <v>N6</v>
      </c>
      <c r="E36" s="147" t="str">
        <f t="shared" si="0"/>
        <v>EURFUT1MN6_Quote</v>
      </c>
      <c r="F36" s="146" t="str">
        <f>_xll.qlSimpleQuote(E36,,PriceTickValue,Permanent,Trigger,ObjectOverwrite)</f>
        <v>EURFUT1MN6_Quote#0000</v>
      </c>
      <c r="G36" s="109" t="str">
        <f>_xll.ohRangeRetrieveError(F36)</f>
        <v/>
      </c>
      <c r="H36" s="145"/>
    </row>
    <row r="37" spans="1:8" x14ac:dyDescent="0.2">
      <c r="A37" s="150"/>
      <c r="B37" s="111">
        <v>32</v>
      </c>
      <c r="C37" s="149" t="b">
        <v>0</v>
      </c>
      <c r="D37" s="148" t="str">
        <v>Q6</v>
      </c>
      <c r="E37" s="147" t="str">
        <f t="shared" si="0"/>
        <v>EURFUT1MQ6_Quote</v>
      </c>
      <c r="F37" s="146" t="str">
        <f>_xll.qlSimpleQuote(E37,,PriceTickValue,Permanent,Trigger,ObjectOverwrite)</f>
        <v>EURFUT1MQ6_Quote#0000</v>
      </c>
      <c r="G37" s="109" t="str">
        <f>_xll.ohRangeRetrieveError(F37)</f>
        <v/>
      </c>
      <c r="H37" s="145"/>
    </row>
    <row r="38" spans="1:8" x14ac:dyDescent="0.2">
      <c r="A38" s="150"/>
      <c r="B38" s="111">
        <v>33</v>
      </c>
      <c r="C38" s="149" t="b">
        <v>0</v>
      </c>
      <c r="D38" s="148" t="str">
        <v>U6</v>
      </c>
      <c r="E38" s="147" t="str">
        <f t="shared" ref="E38:E69" si="2">Currency&amp;$D$4&amp;$E$4&amp;$D38&amp;QuoteSuffix</f>
        <v>EURFUT1MU6_Quote</v>
      </c>
      <c r="F38" s="146" t="str">
        <f>_xll.qlSimpleQuote(E38,,PriceTickValue,Permanent,Trigger,ObjectOverwrite)</f>
        <v>EURFUT1MU6_Quote#0000</v>
      </c>
      <c r="G38" s="109" t="str">
        <f>_xll.ohRangeRetrieveError(F38)</f>
        <v/>
      </c>
      <c r="H38" s="145"/>
    </row>
    <row r="39" spans="1:8" x14ac:dyDescent="0.2">
      <c r="A39" s="150"/>
      <c r="B39" s="111">
        <v>34</v>
      </c>
      <c r="C39" s="149" t="b">
        <v>0</v>
      </c>
      <c r="D39" s="148" t="str">
        <v>V6</v>
      </c>
      <c r="E39" s="147" t="str">
        <f t="shared" si="2"/>
        <v>EURFUT1MV6_Quote</v>
      </c>
      <c r="F39" s="146" t="str">
        <f>_xll.qlSimpleQuote(E39,,PriceTickValue,Permanent,Trigger,ObjectOverwrite)</f>
        <v>EURFUT1MV6_Quote#0000</v>
      </c>
      <c r="G39" s="109" t="str">
        <f>_xll.ohRangeRetrieveError(F39)</f>
        <v/>
      </c>
      <c r="H39" s="145"/>
    </row>
    <row r="40" spans="1:8" x14ac:dyDescent="0.2">
      <c r="A40" s="150"/>
      <c r="B40" s="111">
        <v>35</v>
      </c>
      <c r="C40" s="149" t="b">
        <v>0</v>
      </c>
      <c r="D40" s="148" t="str">
        <v>X6</v>
      </c>
      <c r="E40" s="147" t="str">
        <f t="shared" si="2"/>
        <v>EURFUT1MX6_Quote</v>
      </c>
      <c r="F40" s="146" t="str">
        <f>_xll.qlSimpleQuote(E40,,PriceTickValue,Permanent,Trigger,ObjectOverwrite)</f>
        <v>EURFUT1MX6_Quote#0000</v>
      </c>
      <c r="G40" s="109" t="str">
        <f>_xll.ohRangeRetrieveError(F40)</f>
        <v/>
      </c>
      <c r="H40" s="145"/>
    </row>
    <row r="41" spans="1:8" x14ac:dyDescent="0.2">
      <c r="A41" s="150"/>
      <c r="B41" s="111">
        <v>36</v>
      </c>
      <c r="C41" s="149" t="b">
        <v>0</v>
      </c>
      <c r="D41" s="148" t="str">
        <v>Z6</v>
      </c>
      <c r="E41" s="147" t="str">
        <f t="shared" si="2"/>
        <v>EURFUT1MZ6_Quote</v>
      </c>
      <c r="F41" s="146" t="str">
        <f>_xll.qlSimpleQuote(E41,,PriceTickValue,Permanent,Trigger,ObjectOverwrite)</f>
        <v>EURFUT1MZ6_Quote#0000</v>
      </c>
      <c r="G41" s="109" t="str">
        <f>_xll.ohRangeRetrieveError(F41)</f>
        <v/>
      </c>
      <c r="H41" s="145"/>
    </row>
    <row r="42" spans="1:8" x14ac:dyDescent="0.2">
      <c r="A42" s="150"/>
      <c r="B42" s="111">
        <v>37</v>
      </c>
      <c r="C42" s="149" t="b">
        <v>0</v>
      </c>
      <c r="D42" s="148" t="str">
        <v>F7</v>
      </c>
      <c r="E42" s="147" t="str">
        <f t="shared" si="2"/>
        <v>EURFUT1MF7_Quote</v>
      </c>
      <c r="F42" s="146" t="str">
        <f>_xll.qlSimpleQuote(E42,,PriceTickValue,Permanent,Trigger,ObjectOverwrite)</f>
        <v>EURFUT1MF7_Quote#0000</v>
      </c>
      <c r="G42" s="109" t="str">
        <f>_xll.ohRangeRetrieveError(F42)</f>
        <v/>
      </c>
      <c r="H42" s="145"/>
    </row>
    <row r="43" spans="1:8" x14ac:dyDescent="0.2">
      <c r="A43" s="150"/>
      <c r="B43" s="111">
        <v>38</v>
      </c>
      <c r="C43" s="149" t="b">
        <v>0</v>
      </c>
      <c r="D43" s="148" t="str">
        <v>G7</v>
      </c>
      <c r="E43" s="147" t="str">
        <f t="shared" si="2"/>
        <v>EURFUT1MG7_Quote</v>
      </c>
      <c r="F43" s="146" t="str">
        <f>_xll.qlSimpleQuote(E43,,PriceTickValue,Permanent,Trigger,ObjectOverwrite)</f>
        <v>EURFUT1MG7_Quote#0000</v>
      </c>
      <c r="G43" s="109" t="str">
        <f>_xll.ohRangeRetrieveError(F43)</f>
        <v/>
      </c>
      <c r="H43" s="145"/>
    </row>
    <row r="44" spans="1:8" x14ac:dyDescent="0.2">
      <c r="A44" s="150"/>
      <c r="B44" s="111">
        <v>39</v>
      </c>
      <c r="C44" s="149" t="b">
        <v>0</v>
      </c>
      <c r="D44" s="148" t="str">
        <v>H7</v>
      </c>
      <c r="E44" s="147" t="str">
        <f t="shared" si="2"/>
        <v>EURFUT1MH7_Quote</v>
      </c>
      <c r="F44" s="146" t="str">
        <f>_xll.qlSimpleQuote(E44,,PriceTickValue,Permanent,Trigger,ObjectOverwrite)</f>
        <v>EURFUT1MH7_Quote#0000</v>
      </c>
      <c r="G44" s="109" t="str">
        <f>_xll.ohRangeRetrieveError(F44)</f>
        <v/>
      </c>
      <c r="H44" s="145"/>
    </row>
    <row r="45" spans="1:8" x14ac:dyDescent="0.2">
      <c r="A45" s="150"/>
      <c r="B45" s="111">
        <v>40</v>
      </c>
      <c r="C45" s="149" t="b">
        <v>0</v>
      </c>
      <c r="D45" s="148" t="str">
        <v>J7</v>
      </c>
      <c r="E45" s="147" t="str">
        <f t="shared" si="2"/>
        <v>EURFUT1MJ7_Quote</v>
      </c>
      <c r="F45" s="146" t="str">
        <f>_xll.qlSimpleQuote(E45,,PriceTickValue,Permanent,Trigger,ObjectOverwrite)</f>
        <v>EURFUT1MJ7_Quote#0000</v>
      </c>
      <c r="G45" s="109" t="str">
        <f>_xll.ohRangeRetrieveError(F45)</f>
        <v/>
      </c>
      <c r="H45" s="145"/>
    </row>
    <row r="46" spans="1:8" x14ac:dyDescent="0.2">
      <c r="A46" s="150"/>
      <c r="B46" s="111">
        <v>41</v>
      </c>
      <c r="C46" s="149" t="b">
        <v>0</v>
      </c>
      <c r="D46" s="148" t="str">
        <v>K7</v>
      </c>
      <c r="E46" s="147" t="str">
        <f t="shared" si="2"/>
        <v>EURFUT1MK7_Quote</v>
      </c>
      <c r="F46" s="146" t="str">
        <f>_xll.qlSimpleQuote(E46,,PriceTickValue,Permanent,Trigger,ObjectOverwrite)</f>
        <v>EURFUT1MK7_Quote#0000</v>
      </c>
      <c r="G46" s="109" t="str">
        <f>_xll.ohRangeRetrieveError(F46)</f>
        <v/>
      </c>
      <c r="H46" s="145"/>
    </row>
    <row r="47" spans="1:8" x14ac:dyDescent="0.2">
      <c r="A47" s="150"/>
      <c r="B47" s="111">
        <v>42</v>
      </c>
      <c r="C47" s="149" t="b">
        <v>0</v>
      </c>
      <c r="D47" s="148" t="str">
        <v>M7</v>
      </c>
      <c r="E47" s="147" t="str">
        <f t="shared" si="2"/>
        <v>EURFUT1MM7_Quote</v>
      </c>
      <c r="F47" s="146" t="str">
        <f>_xll.qlSimpleQuote(E47,,PriceTickValue,Permanent,Trigger,ObjectOverwrite)</f>
        <v>EURFUT1MM7_Quote#0000</v>
      </c>
      <c r="G47" s="109" t="str">
        <f>_xll.ohRangeRetrieveError(F47)</f>
        <v/>
      </c>
      <c r="H47" s="145"/>
    </row>
    <row r="48" spans="1:8" x14ac:dyDescent="0.2">
      <c r="A48" s="150"/>
      <c r="B48" s="111">
        <v>43</v>
      </c>
      <c r="C48" s="149" t="b">
        <v>0</v>
      </c>
      <c r="D48" s="148" t="str">
        <v>N7</v>
      </c>
      <c r="E48" s="147" t="str">
        <f t="shared" si="2"/>
        <v>EURFUT1MN7_Quote</v>
      </c>
      <c r="F48" s="146" t="str">
        <f>_xll.qlSimpleQuote(E48,,PriceTickValue,Permanent,Trigger,ObjectOverwrite)</f>
        <v>EURFUT1MN7_Quote#0000</v>
      </c>
      <c r="G48" s="109" t="str">
        <f>_xll.ohRangeRetrieveError(F48)</f>
        <v/>
      </c>
      <c r="H48" s="145"/>
    </row>
    <row r="49" spans="1:8" x14ac:dyDescent="0.2">
      <c r="A49" s="150"/>
      <c r="B49" s="111">
        <v>44</v>
      </c>
      <c r="C49" s="149" t="b">
        <v>0</v>
      </c>
      <c r="D49" s="148" t="str">
        <v>Q7</v>
      </c>
      <c r="E49" s="147" t="str">
        <f t="shared" si="2"/>
        <v>EURFUT1MQ7_Quote</v>
      </c>
      <c r="F49" s="146" t="str">
        <f>_xll.qlSimpleQuote(E49,,PriceTickValue,Permanent,Trigger,ObjectOverwrite)</f>
        <v>EURFUT1MQ7_Quote#0000</v>
      </c>
      <c r="G49" s="109" t="str">
        <f>_xll.ohRangeRetrieveError(F49)</f>
        <v/>
      </c>
      <c r="H49" s="145"/>
    </row>
    <row r="50" spans="1:8" x14ac:dyDescent="0.2">
      <c r="A50" s="150"/>
      <c r="B50" s="111">
        <v>45</v>
      </c>
      <c r="C50" s="149" t="b">
        <v>0</v>
      </c>
      <c r="D50" s="148" t="str">
        <v>U7</v>
      </c>
      <c r="E50" s="147" t="str">
        <f t="shared" si="2"/>
        <v>EURFUT1MU7_Quote</v>
      </c>
      <c r="F50" s="146" t="str">
        <f>_xll.qlSimpleQuote(E50,,PriceTickValue,Permanent,Trigger,ObjectOverwrite)</f>
        <v>EURFUT1MU7_Quote#0000</v>
      </c>
      <c r="G50" s="109" t="str">
        <f>_xll.ohRangeRetrieveError(F50)</f>
        <v/>
      </c>
      <c r="H50" s="145"/>
    </row>
    <row r="51" spans="1:8" x14ac:dyDescent="0.2">
      <c r="A51" s="150"/>
      <c r="B51" s="111">
        <v>46</v>
      </c>
      <c r="C51" s="149" t="b">
        <v>0</v>
      </c>
      <c r="D51" s="148" t="str">
        <v>V7</v>
      </c>
      <c r="E51" s="147" t="str">
        <f t="shared" si="2"/>
        <v>EURFUT1MV7_Quote</v>
      </c>
      <c r="F51" s="146" t="str">
        <f>_xll.qlSimpleQuote(E51,,PriceTickValue,Permanent,Trigger,ObjectOverwrite)</f>
        <v>EURFUT1MV7_Quote#0000</v>
      </c>
      <c r="G51" s="109" t="str">
        <f>_xll.ohRangeRetrieveError(F51)</f>
        <v/>
      </c>
      <c r="H51" s="145"/>
    </row>
    <row r="52" spans="1:8" x14ac:dyDescent="0.2">
      <c r="A52" s="150"/>
      <c r="B52" s="111">
        <v>47</v>
      </c>
      <c r="C52" s="149" t="b">
        <v>0</v>
      </c>
      <c r="D52" s="148" t="str">
        <v>X7</v>
      </c>
      <c r="E52" s="147" t="str">
        <f t="shared" si="2"/>
        <v>EURFUT1MX7_Quote</v>
      </c>
      <c r="F52" s="146" t="str">
        <f>_xll.qlSimpleQuote(E52,,PriceTickValue,Permanent,Trigger,ObjectOverwrite)</f>
        <v>EURFUT1MX7_Quote#0000</v>
      </c>
      <c r="G52" s="109" t="str">
        <f>_xll.ohRangeRetrieveError(F52)</f>
        <v/>
      </c>
      <c r="H52" s="145"/>
    </row>
    <row r="53" spans="1:8" x14ac:dyDescent="0.2">
      <c r="A53" s="150"/>
      <c r="B53" s="111">
        <v>48</v>
      </c>
      <c r="C53" s="149" t="b">
        <v>0</v>
      </c>
      <c r="D53" s="148" t="str">
        <v>Z7</v>
      </c>
      <c r="E53" s="147" t="str">
        <f t="shared" si="2"/>
        <v>EURFUT1MZ7_Quote</v>
      </c>
      <c r="F53" s="146" t="str">
        <f>_xll.qlSimpleQuote(E53,,PriceTickValue,Permanent,Trigger,ObjectOverwrite)</f>
        <v>EURFUT1MZ7_Quote#0000</v>
      </c>
      <c r="G53" s="109" t="str">
        <f>_xll.ohRangeRetrieveError(F53)</f>
        <v/>
      </c>
      <c r="H53" s="145"/>
    </row>
    <row r="54" spans="1:8" x14ac:dyDescent="0.2">
      <c r="A54" s="150"/>
      <c r="B54" s="111">
        <v>49</v>
      </c>
      <c r="C54" s="149" t="b">
        <v>0</v>
      </c>
      <c r="D54" s="148" t="str">
        <v>F8</v>
      </c>
      <c r="E54" s="147" t="str">
        <f t="shared" si="2"/>
        <v>EURFUT1MF8_Quote</v>
      </c>
      <c r="F54" s="146" t="str">
        <f>_xll.qlSimpleQuote(E54,,PriceTickValue,Permanent,Trigger,ObjectOverwrite)</f>
        <v>EURFUT1MF8_Quote#0000</v>
      </c>
      <c r="G54" s="109" t="str">
        <f>_xll.ohRangeRetrieveError(F54)</f>
        <v/>
      </c>
      <c r="H54" s="145"/>
    </row>
    <row r="55" spans="1:8" x14ac:dyDescent="0.2">
      <c r="A55" s="150"/>
      <c r="B55" s="111">
        <v>50</v>
      </c>
      <c r="C55" s="149" t="b">
        <v>0</v>
      </c>
      <c r="D55" s="148" t="str">
        <v>G8</v>
      </c>
      <c r="E55" s="147" t="str">
        <f t="shared" si="2"/>
        <v>EURFUT1MG8_Quote</v>
      </c>
      <c r="F55" s="146" t="str">
        <f>_xll.qlSimpleQuote(E55,,PriceTickValue,Permanent,Trigger,ObjectOverwrite)</f>
        <v>EURFUT1MG8_Quote#0000</v>
      </c>
      <c r="G55" s="109" t="str">
        <f>_xll.ohRangeRetrieveError(F55)</f>
        <v/>
      </c>
      <c r="H55" s="145"/>
    </row>
    <row r="56" spans="1:8" x14ac:dyDescent="0.2">
      <c r="A56" s="150"/>
      <c r="B56" s="111">
        <v>51</v>
      </c>
      <c r="C56" s="149" t="b">
        <v>0</v>
      </c>
      <c r="D56" s="148" t="str">
        <v>H8</v>
      </c>
      <c r="E56" s="147" t="str">
        <f t="shared" si="2"/>
        <v>EURFUT1MH8_Quote</v>
      </c>
      <c r="F56" s="146" t="str">
        <f>_xll.qlSimpleQuote(E56,,PriceTickValue,Permanent,Trigger,ObjectOverwrite)</f>
        <v>EURFUT1MH8_Quote#0000</v>
      </c>
      <c r="G56" s="109" t="str">
        <f>_xll.ohRangeRetrieveError(F56)</f>
        <v/>
      </c>
      <c r="H56" s="145"/>
    </row>
    <row r="57" spans="1:8" x14ac:dyDescent="0.2">
      <c r="A57" s="150"/>
      <c r="B57" s="111">
        <v>52</v>
      </c>
      <c r="C57" s="149" t="b">
        <v>0</v>
      </c>
      <c r="D57" s="148" t="str">
        <v>J8</v>
      </c>
      <c r="E57" s="147" t="str">
        <f t="shared" si="2"/>
        <v>EURFUT1MJ8_Quote</v>
      </c>
      <c r="F57" s="146" t="str">
        <f>_xll.qlSimpleQuote(E57,,PriceTickValue,Permanent,Trigger,ObjectOverwrite)</f>
        <v>EURFUT1MJ8_Quote#0000</v>
      </c>
      <c r="G57" s="109" t="str">
        <f>_xll.ohRangeRetrieveError(F57)</f>
        <v/>
      </c>
      <c r="H57" s="145"/>
    </row>
    <row r="58" spans="1:8" x14ac:dyDescent="0.2">
      <c r="A58" s="150"/>
      <c r="B58" s="111">
        <v>53</v>
      </c>
      <c r="C58" s="149" t="b">
        <v>0</v>
      </c>
      <c r="D58" s="148" t="str">
        <v>K8</v>
      </c>
      <c r="E58" s="147" t="str">
        <f t="shared" si="2"/>
        <v>EURFUT1MK8_Quote</v>
      </c>
      <c r="F58" s="146" t="str">
        <f>_xll.qlSimpleQuote(E58,,PriceTickValue,Permanent,Trigger,ObjectOverwrite)</f>
        <v>EURFUT1MK8_Quote#0000</v>
      </c>
      <c r="G58" s="109" t="str">
        <f>_xll.ohRangeRetrieveError(F58)</f>
        <v/>
      </c>
      <c r="H58" s="145"/>
    </row>
    <row r="59" spans="1:8" x14ac:dyDescent="0.2">
      <c r="A59" s="150"/>
      <c r="B59" s="111">
        <v>54</v>
      </c>
      <c r="C59" s="149" t="b">
        <v>0</v>
      </c>
      <c r="D59" s="148" t="str">
        <v>M8</v>
      </c>
      <c r="E59" s="147" t="str">
        <f t="shared" si="2"/>
        <v>EURFUT1MM8_Quote</v>
      </c>
      <c r="F59" s="146" t="str">
        <f>_xll.qlSimpleQuote(E59,,PriceTickValue,Permanent,Trigger,ObjectOverwrite)</f>
        <v>EURFUT1MM8_Quote#0000</v>
      </c>
      <c r="G59" s="109" t="str">
        <f>_xll.ohRangeRetrieveError(F59)</f>
        <v/>
      </c>
      <c r="H59" s="145"/>
    </row>
    <row r="60" spans="1:8" x14ac:dyDescent="0.2">
      <c r="A60" s="150"/>
      <c r="B60" s="111">
        <v>55</v>
      </c>
      <c r="C60" s="149" t="b">
        <v>0</v>
      </c>
      <c r="D60" s="148" t="str">
        <v>N8</v>
      </c>
      <c r="E60" s="147" t="str">
        <f t="shared" si="2"/>
        <v>EURFUT1MN8_Quote</v>
      </c>
      <c r="F60" s="146" t="str">
        <f>_xll.qlSimpleQuote(E60,,PriceTickValue,Permanent,Trigger,ObjectOverwrite)</f>
        <v>EURFUT1MN8_Quote#0000</v>
      </c>
      <c r="G60" s="109" t="str">
        <f>_xll.ohRangeRetrieveError(F60)</f>
        <v/>
      </c>
      <c r="H60" s="145"/>
    </row>
    <row r="61" spans="1:8" x14ac:dyDescent="0.2">
      <c r="A61" s="150"/>
      <c r="B61" s="111">
        <v>56</v>
      </c>
      <c r="C61" s="149" t="b">
        <v>0</v>
      </c>
      <c r="D61" s="148" t="str">
        <v>Q8</v>
      </c>
      <c r="E61" s="147" t="str">
        <f t="shared" si="2"/>
        <v>EURFUT1MQ8_Quote</v>
      </c>
      <c r="F61" s="146" t="str">
        <f>_xll.qlSimpleQuote(E61,,PriceTickValue,Permanent,Trigger,ObjectOverwrite)</f>
        <v>EURFUT1MQ8_Quote#0000</v>
      </c>
      <c r="G61" s="109" t="str">
        <f>_xll.ohRangeRetrieveError(F61)</f>
        <v/>
      </c>
      <c r="H61" s="145"/>
    </row>
    <row r="62" spans="1:8" x14ac:dyDescent="0.2">
      <c r="A62" s="150"/>
      <c r="B62" s="111">
        <v>57</v>
      </c>
      <c r="C62" s="149" t="b">
        <v>0</v>
      </c>
      <c r="D62" s="148" t="str">
        <v>U8</v>
      </c>
      <c r="E62" s="147" t="str">
        <f t="shared" si="2"/>
        <v>EURFUT1MU8_Quote</v>
      </c>
      <c r="F62" s="146" t="str">
        <f>_xll.qlSimpleQuote(E62,,PriceTickValue,Permanent,Trigger,ObjectOverwrite)</f>
        <v>EURFUT1MU8_Quote#0000</v>
      </c>
      <c r="G62" s="109" t="str">
        <f>_xll.ohRangeRetrieveError(F62)</f>
        <v/>
      </c>
      <c r="H62" s="145"/>
    </row>
    <row r="63" spans="1:8" x14ac:dyDescent="0.2">
      <c r="A63" s="150"/>
      <c r="B63" s="111">
        <v>58</v>
      </c>
      <c r="C63" s="149" t="b">
        <v>0</v>
      </c>
      <c r="D63" s="148" t="str">
        <v>V8</v>
      </c>
      <c r="E63" s="147" t="str">
        <f t="shared" si="2"/>
        <v>EURFUT1MV8_Quote</v>
      </c>
      <c r="F63" s="146" t="str">
        <f>_xll.qlSimpleQuote(E63,,PriceTickValue,Permanent,Trigger,ObjectOverwrite)</f>
        <v>EURFUT1MV8_Quote#0000</v>
      </c>
      <c r="G63" s="109" t="str">
        <f>_xll.ohRangeRetrieveError(F63)</f>
        <v/>
      </c>
      <c r="H63" s="145"/>
    </row>
    <row r="64" spans="1:8" x14ac:dyDescent="0.2">
      <c r="A64" s="150"/>
      <c r="B64" s="111">
        <v>59</v>
      </c>
      <c r="C64" s="149" t="b">
        <v>0</v>
      </c>
      <c r="D64" s="148" t="str">
        <v>X8</v>
      </c>
      <c r="E64" s="147" t="str">
        <f t="shared" si="2"/>
        <v>EURFUT1MX8_Quote</v>
      </c>
      <c r="F64" s="146" t="str">
        <f>_xll.qlSimpleQuote(E64,,PriceTickValue,Permanent,Trigger,ObjectOverwrite)</f>
        <v>EURFUT1MX8_Quote#0000</v>
      </c>
      <c r="G64" s="109" t="str">
        <f>_xll.ohRangeRetrieveError(F64)</f>
        <v/>
      </c>
      <c r="H64" s="145"/>
    </row>
    <row r="65" spans="1:8" x14ac:dyDescent="0.2">
      <c r="A65" s="150"/>
      <c r="B65" s="111">
        <v>60</v>
      </c>
      <c r="C65" s="149" t="b">
        <v>0</v>
      </c>
      <c r="D65" s="148" t="str">
        <v>Z8</v>
      </c>
      <c r="E65" s="147" t="str">
        <f t="shared" si="2"/>
        <v>EURFUT1MZ8_Quote</v>
      </c>
      <c r="F65" s="146" t="str">
        <f>_xll.qlSimpleQuote(E65,,PriceTickValue,Permanent,Trigger,ObjectOverwrite)</f>
        <v>EURFUT1MZ8_Quote#0000</v>
      </c>
      <c r="G65" s="109" t="str">
        <f>_xll.ohRangeRetrieveError(F65)</f>
        <v/>
      </c>
      <c r="H65" s="145"/>
    </row>
    <row r="66" spans="1:8" x14ac:dyDescent="0.2">
      <c r="A66" s="150"/>
      <c r="B66" s="111">
        <v>61</v>
      </c>
      <c r="C66" s="149" t="b">
        <v>0</v>
      </c>
      <c r="D66" s="148" t="str">
        <v>F9</v>
      </c>
      <c r="E66" s="147" t="str">
        <f t="shared" si="2"/>
        <v>EURFUT1MF9_Quote</v>
      </c>
      <c r="F66" s="146" t="str">
        <f>_xll.qlSimpleQuote(E66,,PriceTickValue,Permanent,Trigger,ObjectOverwrite)</f>
        <v>EURFUT1MF9_Quote#0000</v>
      </c>
      <c r="G66" s="109" t="str">
        <f>_xll.ohRangeRetrieveError(F66)</f>
        <v/>
      </c>
      <c r="H66" s="145"/>
    </row>
    <row r="67" spans="1:8" x14ac:dyDescent="0.2">
      <c r="A67" s="150"/>
      <c r="B67" s="111">
        <v>62</v>
      </c>
      <c r="C67" s="149" t="b">
        <v>0</v>
      </c>
      <c r="D67" s="148" t="str">
        <v>G9</v>
      </c>
      <c r="E67" s="147" t="str">
        <f t="shared" si="2"/>
        <v>EURFUT1MG9_Quote</v>
      </c>
      <c r="F67" s="146" t="str">
        <f>_xll.qlSimpleQuote(E67,,PriceTickValue,Permanent,Trigger,ObjectOverwrite)</f>
        <v>EURFUT1MG9_Quote#0000</v>
      </c>
      <c r="G67" s="109" t="str">
        <f>_xll.ohRangeRetrieveError(F67)</f>
        <v/>
      </c>
      <c r="H67" s="145"/>
    </row>
    <row r="68" spans="1:8" x14ac:dyDescent="0.2">
      <c r="A68" s="150"/>
      <c r="B68" s="111">
        <v>63</v>
      </c>
      <c r="C68" s="149" t="b">
        <v>0</v>
      </c>
      <c r="D68" s="148" t="str">
        <v>H9</v>
      </c>
      <c r="E68" s="147" t="str">
        <f t="shared" si="2"/>
        <v>EURFUT1MH9_Quote</v>
      </c>
      <c r="F68" s="146" t="str">
        <f>_xll.qlSimpleQuote(E68,,PriceTickValue,Permanent,Trigger,ObjectOverwrite)</f>
        <v>EURFUT1MH9_Quote#0000</v>
      </c>
      <c r="G68" s="109" t="str">
        <f>_xll.ohRangeRetrieveError(F68)</f>
        <v/>
      </c>
      <c r="H68" s="145"/>
    </row>
    <row r="69" spans="1:8" x14ac:dyDescent="0.2">
      <c r="A69" s="150"/>
      <c r="B69" s="111">
        <v>64</v>
      </c>
      <c r="C69" s="149" t="b">
        <v>0</v>
      </c>
      <c r="D69" s="148" t="str">
        <v>J9</v>
      </c>
      <c r="E69" s="147" t="str">
        <f t="shared" si="2"/>
        <v>EURFUT1MJ9_Quote</v>
      </c>
      <c r="F69" s="146" t="str">
        <f>_xll.qlSimpleQuote(E69,,PriceTickValue,Permanent,Trigger,ObjectOverwrite)</f>
        <v>EURFUT1MJ9_Quote#0000</v>
      </c>
      <c r="G69" s="109" t="str">
        <f>_xll.ohRangeRetrieveError(F69)</f>
        <v/>
      </c>
      <c r="H69" s="145"/>
    </row>
    <row r="70" spans="1:8" x14ac:dyDescent="0.2">
      <c r="A70" s="150"/>
      <c r="B70" s="111">
        <v>65</v>
      </c>
      <c r="C70" s="149" t="b">
        <v>0</v>
      </c>
      <c r="D70" s="148" t="str">
        <v>K9</v>
      </c>
      <c r="E70" s="147" t="str">
        <f t="shared" ref="E70:E101" si="3">Currency&amp;$D$4&amp;$E$4&amp;$D70&amp;QuoteSuffix</f>
        <v>EURFUT1MK9_Quote</v>
      </c>
      <c r="F70" s="146" t="str">
        <f>_xll.qlSimpleQuote(E70,,PriceTickValue,Permanent,Trigger,ObjectOverwrite)</f>
        <v>EURFUT1MK9_Quote#0000</v>
      </c>
      <c r="G70" s="109" t="str">
        <f>_xll.ohRangeRetrieveError(F70)</f>
        <v/>
      </c>
      <c r="H70" s="145"/>
    </row>
    <row r="71" spans="1:8" x14ac:dyDescent="0.2">
      <c r="A71" s="150"/>
      <c r="B71" s="111">
        <v>66</v>
      </c>
      <c r="C71" s="149" t="b">
        <v>0</v>
      </c>
      <c r="D71" s="148" t="str">
        <v>M9</v>
      </c>
      <c r="E71" s="147" t="str">
        <f t="shared" si="3"/>
        <v>EURFUT1MM9_Quote</v>
      </c>
      <c r="F71" s="146" t="str">
        <f>_xll.qlSimpleQuote(E71,,PriceTickValue,Permanent,Trigger,ObjectOverwrite)</f>
        <v>EURFUT1MM9_Quote#0000</v>
      </c>
      <c r="G71" s="109" t="str">
        <f>_xll.ohRangeRetrieveError(F71)</f>
        <v/>
      </c>
      <c r="H71" s="145"/>
    </row>
    <row r="72" spans="1:8" x14ac:dyDescent="0.2">
      <c r="A72" s="150"/>
      <c r="B72" s="111">
        <v>67</v>
      </c>
      <c r="C72" s="149" t="b">
        <v>0</v>
      </c>
      <c r="D72" s="148" t="str">
        <v>N9</v>
      </c>
      <c r="E72" s="147" t="str">
        <f t="shared" si="3"/>
        <v>EURFUT1MN9_Quote</v>
      </c>
      <c r="F72" s="146" t="str">
        <f>_xll.qlSimpleQuote(E72,,PriceTickValue,Permanent,Trigger,ObjectOverwrite)</f>
        <v>EURFUT1MN9_Quote#0000</v>
      </c>
      <c r="G72" s="109" t="str">
        <f>_xll.ohRangeRetrieveError(F72)</f>
        <v/>
      </c>
      <c r="H72" s="145"/>
    </row>
    <row r="73" spans="1:8" x14ac:dyDescent="0.2">
      <c r="A73" s="150"/>
      <c r="B73" s="111">
        <v>68</v>
      </c>
      <c r="C73" s="149" t="b">
        <v>0</v>
      </c>
      <c r="D73" s="148" t="str">
        <v>Q9</v>
      </c>
      <c r="E73" s="147" t="str">
        <f t="shared" si="3"/>
        <v>EURFUT1MQ9_Quote</v>
      </c>
      <c r="F73" s="146" t="str">
        <f>_xll.qlSimpleQuote(E73,,PriceTickValue,Permanent,Trigger,ObjectOverwrite)</f>
        <v>EURFUT1MQ9_Quote#0000</v>
      </c>
      <c r="G73" s="109" t="str">
        <f>_xll.ohRangeRetrieveError(F73)</f>
        <v/>
      </c>
      <c r="H73" s="145"/>
    </row>
    <row r="74" spans="1:8" x14ac:dyDescent="0.2">
      <c r="A74" s="150"/>
      <c r="B74" s="111">
        <v>69</v>
      </c>
      <c r="C74" s="149" t="b">
        <v>0</v>
      </c>
      <c r="D74" s="148" t="str">
        <v>U9</v>
      </c>
      <c r="E74" s="147" t="str">
        <f t="shared" si="3"/>
        <v>EURFUT1MU9_Quote</v>
      </c>
      <c r="F74" s="146" t="str">
        <f>_xll.qlSimpleQuote(E74,,PriceTickValue,Permanent,Trigger,ObjectOverwrite)</f>
        <v>EURFUT1MU9_Quote#0000</v>
      </c>
      <c r="G74" s="109" t="str">
        <f>_xll.ohRangeRetrieveError(F74)</f>
        <v/>
      </c>
      <c r="H74" s="145"/>
    </row>
    <row r="75" spans="1:8" x14ac:dyDescent="0.2">
      <c r="A75" s="150"/>
      <c r="B75" s="111">
        <v>70</v>
      </c>
      <c r="C75" s="149" t="b">
        <v>0</v>
      </c>
      <c r="D75" s="148" t="str">
        <v>V9</v>
      </c>
      <c r="E75" s="147" t="str">
        <f t="shared" si="3"/>
        <v>EURFUT1MV9_Quote</v>
      </c>
      <c r="F75" s="146" t="str">
        <f>_xll.qlSimpleQuote(E75,,PriceTickValue,Permanent,Trigger,ObjectOverwrite)</f>
        <v>EURFUT1MV9_Quote#0000</v>
      </c>
      <c r="G75" s="109" t="str">
        <f>_xll.ohRangeRetrieveError(F75)</f>
        <v/>
      </c>
      <c r="H75" s="145"/>
    </row>
    <row r="76" spans="1:8" x14ac:dyDescent="0.2">
      <c r="A76" s="150"/>
      <c r="B76" s="111">
        <v>71</v>
      </c>
      <c r="C76" s="149" t="b">
        <v>0</v>
      </c>
      <c r="D76" s="148" t="str">
        <v>X9</v>
      </c>
      <c r="E76" s="147" t="str">
        <f t="shared" si="3"/>
        <v>EURFUT1MX9_Quote</v>
      </c>
      <c r="F76" s="146" t="str">
        <f>_xll.qlSimpleQuote(E76,,PriceTickValue,Permanent,Trigger,ObjectOverwrite)</f>
        <v>EURFUT1MX9_Quote#0000</v>
      </c>
      <c r="G76" s="109" t="str">
        <f>_xll.ohRangeRetrieveError(F76)</f>
        <v/>
      </c>
      <c r="H76" s="145"/>
    </row>
    <row r="77" spans="1:8" x14ac:dyDescent="0.2">
      <c r="A77" s="150"/>
      <c r="B77" s="111">
        <v>72</v>
      </c>
      <c r="C77" s="149" t="b">
        <v>0</v>
      </c>
      <c r="D77" s="148" t="str">
        <v>Z9</v>
      </c>
      <c r="E77" s="147" t="str">
        <f t="shared" si="3"/>
        <v>EURFUT1MZ9_Quote</v>
      </c>
      <c r="F77" s="146" t="str">
        <f>_xll.qlSimpleQuote(E77,,PriceTickValue,Permanent,Trigger,ObjectOverwrite)</f>
        <v>EURFUT1MZ9_Quote#0000</v>
      </c>
      <c r="G77" s="109" t="str">
        <f>_xll.ohRangeRetrieveError(F77)</f>
        <v/>
      </c>
      <c r="H77" s="145"/>
    </row>
    <row r="78" spans="1:8" x14ac:dyDescent="0.2">
      <c r="A78" s="150"/>
      <c r="B78" s="111">
        <v>73</v>
      </c>
      <c r="C78" s="149" t="b">
        <v>0</v>
      </c>
      <c r="D78" s="148" t="str">
        <v>F0</v>
      </c>
      <c r="E78" s="147" t="str">
        <f t="shared" si="3"/>
        <v>EURFUT1MF0_Quote</v>
      </c>
      <c r="F78" s="146" t="str">
        <f>_xll.qlSimpleQuote(E78,,PriceTickValue,Permanent,Trigger,ObjectOverwrite)</f>
        <v>EURFUT1MF0_Quote#0000</v>
      </c>
      <c r="G78" s="109" t="str">
        <f>_xll.ohRangeRetrieveError(F78)</f>
        <v/>
      </c>
      <c r="H78" s="145"/>
    </row>
    <row r="79" spans="1:8" x14ac:dyDescent="0.2">
      <c r="A79" s="150"/>
      <c r="B79" s="111">
        <v>74</v>
      </c>
      <c r="C79" s="149" t="b">
        <v>0</v>
      </c>
      <c r="D79" s="148" t="str">
        <v>G0</v>
      </c>
      <c r="E79" s="147" t="str">
        <f t="shared" si="3"/>
        <v>EURFUT1MG0_Quote</v>
      </c>
      <c r="F79" s="146" t="str">
        <f>_xll.qlSimpleQuote(E79,,PriceTickValue,Permanent,Trigger,ObjectOverwrite)</f>
        <v>EURFUT1MG0_Quote#0000</v>
      </c>
      <c r="G79" s="109" t="str">
        <f>_xll.ohRangeRetrieveError(F79)</f>
        <v/>
      </c>
      <c r="H79" s="145"/>
    </row>
    <row r="80" spans="1:8" x14ac:dyDescent="0.2">
      <c r="A80" s="150"/>
      <c r="B80" s="111">
        <v>75</v>
      </c>
      <c r="C80" s="149" t="b">
        <v>0</v>
      </c>
      <c r="D80" s="148" t="str">
        <v>H0</v>
      </c>
      <c r="E80" s="147" t="str">
        <f t="shared" si="3"/>
        <v>EURFUT1MH0_Quote</v>
      </c>
      <c r="F80" s="146" t="str">
        <f>_xll.qlSimpleQuote(E80,,PriceTickValue,Permanent,Trigger,ObjectOverwrite)</f>
        <v>EURFUT1MH0_Quote#0000</v>
      </c>
      <c r="G80" s="109" t="str">
        <f>_xll.ohRangeRetrieveError(F80)</f>
        <v/>
      </c>
      <c r="H80" s="145"/>
    </row>
    <row r="81" spans="1:8" x14ac:dyDescent="0.2">
      <c r="A81" s="150"/>
      <c r="B81" s="111">
        <v>76</v>
      </c>
      <c r="C81" s="149" t="b">
        <v>0</v>
      </c>
      <c r="D81" s="148" t="str">
        <v>J0</v>
      </c>
      <c r="E81" s="147" t="str">
        <f t="shared" si="3"/>
        <v>EURFUT1MJ0_Quote</v>
      </c>
      <c r="F81" s="146" t="str">
        <f>_xll.qlSimpleQuote(E81,,PriceTickValue,Permanent,Trigger,ObjectOverwrite)</f>
        <v>EURFUT1MJ0_Quote#0000</v>
      </c>
      <c r="G81" s="109" t="str">
        <f>_xll.ohRangeRetrieveError(F81)</f>
        <v/>
      </c>
      <c r="H81" s="145"/>
    </row>
    <row r="82" spans="1:8" x14ac:dyDescent="0.2">
      <c r="A82" s="150"/>
      <c r="B82" s="111">
        <v>77</v>
      </c>
      <c r="C82" s="149" t="b">
        <v>0</v>
      </c>
      <c r="D82" s="148" t="str">
        <v>K0</v>
      </c>
      <c r="E82" s="147" t="str">
        <f t="shared" si="3"/>
        <v>EURFUT1MK0_Quote</v>
      </c>
      <c r="F82" s="146" t="str">
        <f>_xll.qlSimpleQuote(E82,,PriceTickValue,Permanent,Trigger,ObjectOverwrite)</f>
        <v>EURFUT1MK0_Quote#0000</v>
      </c>
      <c r="G82" s="109" t="str">
        <f>_xll.ohRangeRetrieveError(F82)</f>
        <v/>
      </c>
      <c r="H82" s="145"/>
    </row>
    <row r="83" spans="1:8" x14ac:dyDescent="0.2">
      <c r="A83" s="150"/>
      <c r="B83" s="111">
        <v>78</v>
      </c>
      <c r="C83" s="149" t="b">
        <v>0</v>
      </c>
      <c r="D83" s="148" t="str">
        <v>M0</v>
      </c>
      <c r="E83" s="147" t="str">
        <f t="shared" si="3"/>
        <v>EURFUT1MM0_Quote</v>
      </c>
      <c r="F83" s="146" t="str">
        <f>_xll.qlSimpleQuote(E83,,PriceTickValue,Permanent,Trigger,ObjectOverwrite)</f>
        <v>EURFUT1MM0_Quote#0000</v>
      </c>
      <c r="G83" s="109" t="str">
        <f>_xll.ohRangeRetrieveError(F83)</f>
        <v/>
      </c>
      <c r="H83" s="145"/>
    </row>
    <row r="84" spans="1:8" x14ac:dyDescent="0.2">
      <c r="A84" s="150"/>
      <c r="B84" s="111">
        <v>79</v>
      </c>
      <c r="C84" s="149" t="b">
        <v>0</v>
      </c>
      <c r="D84" s="148" t="str">
        <v>N0</v>
      </c>
      <c r="E84" s="147" t="str">
        <f t="shared" si="3"/>
        <v>EURFUT1MN0_Quote</v>
      </c>
      <c r="F84" s="146" t="str">
        <f>_xll.qlSimpleQuote(E84,,PriceTickValue,Permanent,Trigger,ObjectOverwrite)</f>
        <v>EURFUT1MN0_Quote#0000</v>
      </c>
      <c r="G84" s="109" t="str">
        <f>_xll.ohRangeRetrieveError(F84)</f>
        <v/>
      </c>
      <c r="H84" s="145"/>
    </row>
    <row r="85" spans="1:8" x14ac:dyDescent="0.2">
      <c r="A85" s="150"/>
      <c r="B85" s="111">
        <v>80</v>
      </c>
      <c r="C85" s="149" t="b">
        <v>0</v>
      </c>
      <c r="D85" s="148" t="str">
        <v>Q0</v>
      </c>
      <c r="E85" s="147" t="str">
        <f t="shared" si="3"/>
        <v>EURFUT1MQ0_Quote</v>
      </c>
      <c r="F85" s="146" t="str">
        <f>_xll.qlSimpleQuote(E85,,PriceTickValue,Permanent,Trigger,ObjectOverwrite)</f>
        <v>EURFUT1MQ0_Quote#0000</v>
      </c>
      <c r="G85" s="109" t="str">
        <f>_xll.ohRangeRetrieveError(F85)</f>
        <v/>
      </c>
      <c r="H85" s="145"/>
    </row>
    <row r="86" spans="1:8" x14ac:dyDescent="0.2">
      <c r="A86" s="150"/>
      <c r="B86" s="111">
        <v>81</v>
      </c>
      <c r="C86" s="149" t="b">
        <v>0</v>
      </c>
      <c r="D86" s="148" t="str">
        <v>U0</v>
      </c>
      <c r="E86" s="147" t="str">
        <f t="shared" si="3"/>
        <v>EURFUT1MU0_Quote</v>
      </c>
      <c r="F86" s="146" t="str">
        <f>_xll.qlSimpleQuote(E86,,PriceTickValue,Permanent,Trigger,ObjectOverwrite)</f>
        <v>EURFUT1MU0_Quote#0000</v>
      </c>
      <c r="G86" s="109" t="str">
        <f>_xll.ohRangeRetrieveError(F86)</f>
        <v/>
      </c>
      <c r="H86" s="145"/>
    </row>
    <row r="87" spans="1:8" x14ac:dyDescent="0.2">
      <c r="A87" s="150"/>
      <c r="B87" s="111">
        <v>82</v>
      </c>
      <c r="C87" s="149" t="b">
        <v>0</v>
      </c>
      <c r="D87" s="148" t="str">
        <v>V0</v>
      </c>
      <c r="E87" s="147" t="str">
        <f t="shared" si="3"/>
        <v>EURFUT1MV0_Quote</v>
      </c>
      <c r="F87" s="146" t="str">
        <f>_xll.qlSimpleQuote(E87,,PriceTickValue,Permanent,Trigger,ObjectOverwrite)</f>
        <v>EURFUT1MV0_Quote#0000</v>
      </c>
      <c r="G87" s="109" t="str">
        <f>_xll.ohRangeRetrieveError(F87)</f>
        <v/>
      </c>
      <c r="H87" s="145"/>
    </row>
    <row r="88" spans="1:8" x14ac:dyDescent="0.2">
      <c r="A88" s="150"/>
      <c r="B88" s="111">
        <v>83</v>
      </c>
      <c r="C88" s="149" t="b">
        <v>0</v>
      </c>
      <c r="D88" s="148" t="str">
        <v>X0</v>
      </c>
      <c r="E88" s="147" t="str">
        <f t="shared" si="3"/>
        <v>EURFUT1MX0_Quote</v>
      </c>
      <c r="F88" s="146" t="str">
        <f>_xll.qlSimpleQuote(E88,,PriceTickValue,Permanent,Trigger,ObjectOverwrite)</f>
        <v>EURFUT1MX0_Quote#0000</v>
      </c>
      <c r="G88" s="109" t="str">
        <f>_xll.ohRangeRetrieveError(F88)</f>
        <v/>
      </c>
      <c r="H88" s="145"/>
    </row>
    <row r="89" spans="1:8" x14ac:dyDescent="0.2">
      <c r="A89" s="150"/>
      <c r="B89" s="111">
        <v>84</v>
      </c>
      <c r="C89" s="149" t="b">
        <v>0</v>
      </c>
      <c r="D89" s="148" t="str">
        <v>Z0</v>
      </c>
      <c r="E89" s="147" t="str">
        <f t="shared" si="3"/>
        <v>EURFUT1MZ0_Quote</v>
      </c>
      <c r="F89" s="146" t="str">
        <f>_xll.qlSimpleQuote(E89,,PriceTickValue,Permanent,Trigger,ObjectOverwrite)</f>
        <v>EURFUT1MZ0_Quote#0000</v>
      </c>
      <c r="G89" s="109" t="str">
        <f>_xll.ohRangeRetrieveError(F89)</f>
        <v/>
      </c>
      <c r="H89" s="145"/>
    </row>
    <row r="90" spans="1:8" x14ac:dyDescent="0.2">
      <c r="A90" s="150"/>
      <c r="B90" s="111">
        <v>85</v>
      </c>
      <c r="C90" s="149" t="b">
        <v>0</v>
      </c>
      <c r="D90" s="148" t="str">
        <v>F1</v>
      </c>
      <c r="E90" s="147" t="str">
        <f t="shared" si="3"/>
        <v>EURFUT1MF1_Quote</v>
      </c>
      <c r="F90" s="146" t="str">
        <f>_xll.qlSimpleQuote(E90,,PriceTickValue,Permanent,Trigger,ObjectOverwrite)</f>
        <v>EURFUT1MF1_Quote#0000</v>
      </c>
      <c r="G90" s="109" t="str">
        <f>_xll.ohRangeRetrieveError(F90)</f>
        <v/>
      </c>
      <c r="H90" s="145"/>
    </row>
    <row r="91" spans="1:8" x14ac:dyDescent="0.2">
      <c r="A91" s="150"/>
      <c r="B91" s="111">
        <v>86</v>
      </c>
      <c r="C91" s="149" t="b">
        <v>0</v>
      </c>
      <c r="D91" s="148" t="str">
        <v>G1</v>
      </c>
      <c r="E91" s="147" t="str">
        <f t="shared" si="3"/>
        <v>EURFUT1MG1_Quote</v>
      </c>
      <c r="F91" s="146" t="str">
        <f>_xll.qlSimpleQuote(E91,,PriceTickValue,Permanent,Trigger,ObjectOverwrite)</f>
        <v>EURFUT1MG1_Quote#0000</v>
      </c>
      <c r="G91" s="109" t="str">
        <f>_xll.ohRangeRetrieveError(F91)</f>
        <v/>
      </c>
      <c r="H91" s="145"/>
    </row>
    <row r="92" spans="1:8" x14ac:dyDescent="0.2">
      <c r="A92" s="150"/>
      <c r="B92" s="111">
        <v>87</v>
      </c>
      <c r="C92" s="149" t="b">
        <v>0</v>
      </c>
      <c r="D92" s="148" t="str">
        <v>H1</v>
      </c>
      <c r="E92" s="147" t="str">
        <f t="shared" si="3"/>
        <v>EURFUT1MH1_Quote</v>
      </c>
      <c r="F92" s="146" t="str">
        <f>_xll.qlSimpleQuote(E92,,PriceTickValue,Permanent,Trigger,ObjectOverwrite)</f>
        <v>EURFUT1MH1_Quote#0000</v>
      </c>
      <c r="G92" s="109" t="str">
        <f>_xll.ohRangeRetrieveError(F92)</f>
        <v/>
      </c>
      <c r="H92" s="145"/>
    </row>
    <row r="93" spans="1:8" x14ac:dyDescent="0.2">
      <c r="A93" s="150"/>
      <c r="B93" s="111">
        <v>88</v>
      </c>
      <c r="C93" s="149" t="b">
        <v>0</v>
      </c>
      <c r="D93" s="148" t="str">
        <v>J1</v>
      </c>
      <c r="E93" s="147" t="str">
        <f t="shared" si="3"/>
        <v>EURFUT1MJ1_Quote</v>
      </c>
      <c r="F93" s="146" t="str">
        <f>_xll.qlSimpleQuote(E93,,PriceTickValue,Permanent,Trigger,ObjectOverwrite)</f>
        <v>EURFUT1MJ1_Quote#0000</v>
      </c>
      <c r="G93" s="109" t="str">
        <f>_xll.ohRangeRetrieveError(F93)</f>
        <v/>
      </c>
      <c r="H93" s="145"/>
    </row>
    <row r="94" spans="1:8" x14ac:dyDescent="0.2">
      <c r="A94" s="150"/>
      <c r="B94" s="111">
        <v>89</v>
      </c>
      <c r="C94" s="149" t="b">
        <v>0</v>
      </c>
      <c r="D94" s="148" t="str">
        <v>K1</v>
      </c>
      <c r="E94" s="147" t="str">
        <f t="shared" si="3"/>
        <v>EURFUT1MK1_Quote</v>
      </c>
      <c r="F94" s="146" t="str">
        <f>_xll.qlSimpleQuote(E94,,PriceTickValue,Permanent,Trigger,ObjectOverwrite)</f>
        <v>EURFUT1MK1_Quote#0000</v>
      </c>
      <c r="G94" s="109" t="str">
        <f>_xll.ohRangeRetrieveError(F94)</f>
        <v/>
      </c>
      <c r="H94" s="145"/>
    </row>
    <row r="95" spans="1:8" x14ac:dyDescent="0.2">
      <c r="A95" s="150"/>
      <c r="B95" s="111">
        <v>90</v>
      </c>
      <c r="C95" s="149" t="b">
        <v>0</v>
      </c>
      <c r="D95" s="148" t="str">
        <v>M1</v>
      </c>
      <c r="E95" s="147" t="str">
        <f t="shared" si="3"/>
        <v>EURFUT1MM1_Quote</v>
      </c>
      <c r="F95" s="146" t="str">
        <f>_xll.qlSimpleQuote(E95,,PriceTickValue,Permanent,Trigger,ObjectOverwrite)</f>
        <v>EURFUT1MM1_Quote#0000</v>
      </c>
      <c r="G95" s="109" t="str">
        <f>_xll.ohRangeRetrieveError(F95)</f>
        <v/>
      </c>
      <c r="H95" s="145"/>
    </row>
    <row r="96" spans="1:8" x14ac:dyDescent="0.2">
      <c r="A96" s="150"/>
      <c r="B96" s="111">
        <v>91</v>
      </c>
      <c r="C96" s="149" t="b">
        <v>0</v>
      </c>
      <c r="D96" s="148" t="str">
        <v>N1</v>
      </c>
      <c r="E96" s="147" t="str">
        <f t="shared" si="3"/>
        <v>EURFUT1MN1_Quote</v>
      </c>
      <c r="F96" s="146" t="str">
        <f>_xll.qlSimpleQuote(E96,,PriceTickValue,Permanent,Trigger,ObjectOverwrite)</f>
        <v>EURFUT1MN1_Quote#0000</v>
      </c>
      <c r="G96" s="109" t="str">
        <f>_xll.ohRangeRetrieveError(F96)</f>
        <v/>
      </c>
      <c r="H96" s="145"/>
    </row>
    <row r="97" spans="1:8" x14ac:dyDescent="0.2">
      <c r="A97" s="150"/>
      <c r="B97" s="111">
        <v>92</v>
      </c>
      <c r="C97" s="149" t="b">
        <v>0</v>
      </c>
      <c r="D97" s="148" t="str">
        <v>Q1</v>
      </c>
      <c r="E97" s="147" t="str">
        <f t="shared" si="3"/>
        <v>EURFUT1MQ1_Quote</v>
      </c>
      <c r="F97" s="146" t="str">
        <f>_xll.qlSimpleQuote(E97,,PriceTickValue,Permanent,Trigger,ObjectOverwrite)</f>
        <v>EURFUT1MQ1_Quote#0000</v>
      </c>
      <c r="G97" s="109" t="str">
        <f>_xll.ohRangeRetrieveError(F97)</f>
        <v/>
      </c>
      <c r="H97" s="145"/>
    </row>
    <row r="98" spans="1:8" x14ac:dyDescent="0.2">
      <c r="A98" s="150"/>
      <c r="B98" s="111">
        <v>93</v>
      </c>
      <c r="C98" s="149" t="b">
        <v>0</v>
      </c>
      <c r="D98" s="148" t="str">
        <v>U1</v>
      </c>
      <c r="E98" s="147" t="str">
        <f t="shared" si="3"/>
        <v>EURFUT1MU1_Quote</v>
      </c>
      <c r="F98" s="146" t="str">
        <f>_xll.qlSimpleQuote(E98,,PriceTickValue,Permanent,Trigger,ObjectOverwrite)</f>
        <v>EURFUT1MU1_Quote#0000</v>
      </c>
      <c r="G98" s="109" t="str">
        <f>_xll.ohRangeRetrieveError(F98)</f>
        <v/>
      </c>
      <c r="H98" s="145"/>
    </row>
    <row r="99" spans="1:8" x14ac:dyDescent="0.2">
      <c r="A99" s="150"/>
      <c r="B99" s="111">
        <v>94</v>
      </c>
      <c r="C99" s="149" t="b">
        <v>0</v>
      </c>
      <c r="D99" s="148" t="str">
        <v>V1</v>
      </c>
      <c r="E99" s="147" t="str">
        <f t="shared" si="3"/>
        <v>EURFUT1MV1_Quote</v>
      </c>
      <c r="F99" s="146" t="str">
        <f>_xll.qlSimpleQuote(E99,,PriceTickValue,Permanent,Trigger,ObjectOverwrite)</f>
        <v>EURFUT1MV1_Quote#0000</v>
      </c>
      <c r="G99" s="109" t="str">
        <f>_xll.ohRangeRetrieveError(F99)</f>
        <v/>
      </c>
      <c r="H99" s="145"/>
    </row>
    <row r="100" spans="1:8" x14ac:dyDescent="0.2">
      <c r="A100" s="150"/>
      <c r="B100" s="111">
        <v>95</v>
      </c>
      <c r="C100" s="149" t="b">
        <v>0</v>
      </c>
      <c r="D100" s="148" t="str">
        <v>X1</v>
      </c>
      <c r="E100" s="147" t="str">
        <f t="shared" si="3"/>
        <v>EURFUT1MX1_Quote</v>
      </c>
      <c r="F100" s="146" t="str">
        <f>_xll.qlSimpleQuote(E100,,PriceTickValue,Permanent,Trigger,ObjectOverwrite)</f>
        <v>EURFUT1MX1_Quote#0000</v>
      </c>
      <c r="G100" s="109" t="str">
        <f>_xll.ohRangeRetrieveError(F100)</f>
        <v/>
      </c>
      <c r="H100" s="145"/>
    </row>
    <row r="101" spans="1:8" x14ac:dyDescent="0.2">
      <c r="A101" s="150"/>
      <c r="B101" s="111">
        <v>96</v>
      </c>
      <c r="C101" s="149" t="b">
        <v>0</v>
      </c>
      <c r="D101" s="148" t="str">
        <v>Z1</v>
      </c>
      <c r="E101" s="147" t="str">
        <f t="shared" si="3"/>
        <v>EURFUT1MZ1_Quote</v>
      </c>
      <c r="F101" s="146" t="str">
        <f>_xll.qlSimpleQuote(E101,,PriceTickValue,Permanent,Trigger,ObjectOverwrite)</f>
        <v>EURFUT1MZ1_Quote#0000</v>
      </c>
      <c r="G101" s="109" t="str">
        <f>_xll.ohRangeRetrieveError(F101)</f>
        <v/>
      </c>
      <c r="H101" s="145"/>
    </row>
    <row r="102" spans="1:8" x14ac:dyDescent="0.2">
      <c r="A102" s="150"/>
      <c r="B102" s="111">
        <v>97</v>
      </c>
      <c r="C102" s="149" t="b">
        <v>0</v>
      </c>
      <c r="D102" s="148" t="str">
        <v>F2</v>
      </c>
      <c r="E102" s="147" t="str">
        <f t="shared" ref="E102:E125" si="4">Currency&amp;$D$4&amp;$E$4&amp;$D102&amp;QuoteSuffix</f>
        <v>EURFUT1MF2_Quote</v>
      </c>
      <c r="F102" s="146" t="str">
        <f>_xll.qlSimpleQuote(E102,,PriceTickValue,Permanent,Trigger,ObjectOverwrite)</f>
        <v>EURFUT1MF2_Quote#0000</v>
      </c>
      <c r="G102" s="109" t="str">
        <f>_xll.ohRangeRetrieveError(F102)</f>
        <v/>
      </c>
      <c r="H102" s="145"/>
    </row>
    <row r="103" spans="1:8" x14ac:dyDescent="0.2">
      <c r="A103" s="150"/>
      <c r="B103" s="111">
        <v>98</v>
      </c>
      <c r="C103" s="149" t="b">
        <v>0</v>
      </c>
      <c r="D103" s="148" t="str">
        <v>G2</v>
      </c>
      <c r="E103" s="147" t="str">
        <f t="shared" si="4"/>
        <v>EURFUT1MG2_Quote</v>
      </c>
      <c r="F103" s="146" t="str">
        <f>_xll.qlSimpleQuote(E103,,PriceTickValue,Permanent,Trigger,ObjectOverwrite)</f>
        <v>EURFUT1MG2_Quote#0000</v>
      </c>
      <c r="G103" s="109" t="str">
        <f>_xll.ohRangeRetrieveError(F103)</f>
        <v/>
      </c>
      <c r="H103" s="145"/>
    </row>
    <row r="104" spans="1:8" x14ac:dyDescent="0.2">
      <c r="A104" s="150"/>
      <c r="B104" s="111">
        <v>99</v>
      </c>
      <c r="C104" s="149" t="b">
        <v>0</v>
      </c>
      <c r="D104" s="148" t="str">
        <v>H2</v>
      </c>
      <c r="E104" s="147" t="str">
        <f t="shared" si="4"/>
        <v>EURFUT1MH2_Quote</v>
      </c>
      <c r="F104" s="146" t="str">
        <f>_xll.qlSimpleQuote(E104,,PriceTickValue,Permanent,Trigger,ObjectOverwrite)</f>
        <v>EURFUT1MH2_Quote#0000</v>
      </c>
      <c r="G104" s="109" t="str">
        <f>_xll.ohRangeRetrieveError(F104)</f>
        <v/>
      </c>
      <c r="H104" s="145"/>
    </row>
    <row r="105" spans="1:8" x14ac:dyDescent="0.2">
      <c r="A105" s="150"/>
      <c r="B105" s="111">
        <v>100</v>
      </c>
      <c r="C105" s="149" t="b">
        <v>0</v>
      </c>
      <c r="D105" s="148" t="str">
        <v>J2</v>
      </c>
      <c r="E105" s="147" t="str">
        <f t="shared" si="4"/>
        <v>EURFUT1MJ2_Quote</v>
      </c>
      <c r="F105" s="146" t="str">
        <f>_xll.qlSimpleQuote(E105,,PriceTickValue,Permanent,Trigger,ObjectOverwrite)</f>
        <v>EURFUT1MJ2_Quote#0000</v>
      </c>
      <c r="G105" s="109" t="str">
        <f>_xll.ohRangeRetrieveError(F105)</f>
        <v/>
      </c>
      <c r="H105" s="145"/>
    </row>
    <row r="106" spans="1:8" x14ac:dyDescent="0.2">
      <c r="A106" s="150"/>
      <c r="B106" s="111">
        <v>101</v>
      </c>
      <c r="C106" s="149" t="b">
        <v>0</v>
      </c>
      <c r="D106" s="148" t="str">
        <v>K2</v>
      </c>
      <c r="E106" s="147" t="str">
        <f t="shared" si="4"/>
        <v>EURFUT1MK2_Quote</v>
      </c>
      <c r="F106" s="146" t="str">
        <f>_xll.qlSimpleQuote(E106,,PriceTickValue,Permanent,Trigger,ObjectOverwrite)</f>
        <v>EURFUT1MK2_Quote#0000</v>
      </c>
      <c r="G106" s="109" t="str">
        <f>_xll.ohRangeRetrieveError(F106)</f>
        <v/>
      </c>
      <c r="H106" s="145"/>
    </row>
    <row r="107" spans="1:8" x14ac:dyDescent="0.2">
      <c r="A107" s="150"/>
      <c r="B107" s="111">
        <v>102</v>
      </c>
      <c r="C107" s="149" t="b">
        <v>0</v>
      </c>
      <c r="D107" s="148" t="str">
        <v>M2</v>
      </c>
      <c r="E107" s="147" t="str">
        <f t="shared" si="4"/>
        <v>EURFUT1MM2_Quote</v>
      </c>
      <c r="F107" s="146" t="str">
        <f>_xll.qlSimpleQuote(E107,,PriceTickValue,Permanent,Trigger,ObjectOverwrite)</f>
        <v>EURFUT1MM2_Quote#0000</v>
      </c>
      <c r="G107" s="109" t="str">
        <f>_xll.ohRangeRetrieveError(F107)</f>
        <v/>
      </c>
      <c r="H107" s="145"/>
    </row>
    <row r="108" spans="1:8" x14ac:dyDescent="0.2">
      <c r="A108" s="150"/>
      <c r="B108" s="111">
        <v>103</v>
      </c>
      <c r="C108" s="149" t="b">
        <v>0</v>
      </c>
      <c r="D108" s="148" t="str">
        <v>N2</v>
      </c>
      <c r="E108" s="147" t="str">
        <f t="shared" si="4"/>
        <v>EURFUT1MN2_Quote</v>
      </c>
      <c r="F108" s="146" t="str">
        <f>_xll.qlSimpleQuote(E108,,PriceTickValue,Permanent,Trigger,ObjectOverwrite)</f>
        <v>EURFUT1MN2_Quote#0000</v>
      </c>
      <c r="G108" s="109" t="str">
        <f>_xll.ohRangeRetrieveError(F108)</f>
        <v/>
      </c>
      <c r="H108" s="145"/>
    </row>
    <row r="109" spans="1:8" x14ac:dyDescent="0.2">
      <c r="A109" s="150"/>
      <c r="B109" s="111">
        <v>104</v>
      </c>
      <c r="C109" s="149" t="b">
        <v>0</v>
      </c>
      <c r="D109" s="148" t="str">
        <v>Q2</v>
      </c>
      <c r="E109" s="147" t="str">
        <f t="shared" si="4"/>
        <v>EURFUT1MQ2_Quote</v>
      </c>
      <c r="F109" s="146" t="str">
        <f>_xll.qlSimpleQuote(E109,,PriceTickValue,Permanent,Trigger,ObjectOverwrite)</f>
        <v>EURFUT1MQ2_Quote#0000</v>
      </c>
      <c r="G109" s="109" t="str">
        <f>_xll.ohRangeRetrieveError(F109)</f>
        <v/>
      </c>
      <c r="H109" s="145"/>
    </row>
    <row r="110" spans="1:8" x14ac:dyDescent="0.2">
      <c r="A110" s="150"/>
      <c r="B110" s="111">
        <v>105</v>
      </c>
      <c r="C110" s="149" t="b">
        <v>0</v>
      </c>
      <c r="D110" s="148" t="str">
        <v>U2</v>
      </c>
      <c r="E110" s="147" t="str">
        <f t="shared" si="4"/>
        <v>EURFUT1MU2_Quote</v>
      </c>
      <c r="F110" s="146" t="str">
        <f>_xll.qlSimpleQuote(E110,,PriceTickValue,Permanent,Trigger,ObjectOverwrite)</f>
        <v>EURFUT1MU2_Quote#0000</v>
      </c>
      <c r="G110" s="109" t="str">
        <f>_xll.ohRangeRetrieveError(F110)</f>
        <v/>
      </c>
      <c r="H110" s="145"/>
    </row>
    <row r="111" spans="1:8" x14ac:dyDescent="0.2">
      <c r="A111" s="150"/>
      <c r="B111" s="111">
        <v>106</v>
      </c>
      <c r="C111" s="149" t="b">
        <v>0</v>
      </c>
      <c r="D111" s="148" t="str">
        <v>V2</v>
      </c>
      <c r="E111" s="147" t="str">
        <f t="shared" si="4"/>
        <v>EURFUT1MV2_Quote</v>
      </c>
      <c r="F111" s="146" t="str">
        <f>_xll.qlSimpleQuote(E111,,PriceTickValue,Permanent,Trigger,ObjectOverwrite)</f>
        <v>EURFUT1MV2_Quote#0000</v>
      </c>
      <c r="G111" s="109" t="str">
        <f>_xll.ohRangeRetrieveError(F111)</f>
        <v/>
      </c>
      <c r="H111" s="145"/>
    </row>
    <row r="112" spans="1:8" x14ac:dyDescent="0.2">
      <c r="A112" s="150"/>
      <c r="B112" s="111">
        <v>107</v>
      </c>
      <c r="C112" s="149" t="b">
        <v>0</v>
      </c>
      <c r="D112" s="148" t="str">
        <v>X2</v>
      </c>
      <c r="E112" s="147" t="str">
        <f t="shared" si="4"/>
        <v>EURFUT1MX2_Quote</v>
      </c>
      <c r="F112" s="146" t="str">
        <f>_xll.qlSimpleQuote(E112,,PriceTickValue,Permanent,Trigger,ObjectOverwrite)</f>
        <v>EURFUT1MX2_Quote#0000</v>
      </c>
      <c r="G112" s="109" t="str">
        <f>_xll.ohRangeRetrieveError(F112)</f>
        <v/>
      </c>
      <c r="H112" s="145"/>
    </row>
    <row r="113" spans="1:8" x14ac:dyDescent="0.2">
      <c r="A113" s="150"/>
      <c r="B113" s="111">
        <v>108</v>
      </c>
      <c r="C113" s="149" t="b">
        <v>0</v>
      </c>
      <c r="D113" s="148" t="str">
        <v>Z2</v>
      </c>
      <c r="E113" s="147" t="str">
        <f t="shared" si="4"/>
        <v>EURFUT1MZ2_Quote</v>
      </c>
      <c r="F113" s="146" t="str">
        <f>_xll.qlSimpleQuote(E113,,PriceTickValue,Permanent,Trigger,ObjectOverwrite)</f>
        <v>EURFUT1MZ2_Quote#0000</v>
      </c>
      <c r="G113" s="109" t="str">
        <f>_xll.ohRangeRetrieveError(F113)</f>
        <v/>
      </c>
      <c r="H113" s="145"/>
    </row>
    <row r="114" spans="1:8" x14ac:dyDescent="0.2">
      <c r="A114" s="150"/>
      <c r="B114" s="111">
        <v>109</v>
      </c>
      <c r="C114" s="149" t="b">
        <v>0</v>
      </c>
      <c r="D114" s="148" t="str">
        <v>F3</v>
      </c>
      <c r="E114" s="147" t="str">
        <f t="shared" si="4"/>
        <v>EURFUT1MF3_Quote</v>
      </c>
      <c r="F114" s="146" t="str">
        <f>_xll.qlSimpleQuote(E114,,PriceTickValue,Permanent,Trigger,ObjectOverwrite)</f>
        <v>EURFUT1MF3_Quote#0000</v>
      </c>
      <c r="G114" s="109" t="str">
        <f>_xll.ohRangeRetrieveError(F114)</f>
        <v/>
      </c>
      <c r="H114" s="145"/>
    </row>
    <row r="115" spans="1:8" x14ac:dyDescent="0.2">
      <c r="A115" s="150"/>
      <c r="B115" s="111">
        <v>110</v>
      </c>
      <c r="C115" s="149" t="b">
        <v>0</v>
      </c>
      <c r="D115" s="148" t="str">
        <v>G3</v>
      </c>
      <c r="E115" s="147" t="str">
        <f t="shared" si="4"/>
        <v>EURFUT1MG3_Quote</v>
      </c>
      <c r="F115" s="146" t="str">
        <f>_xll.qlSimpleQuote(E115,,PriceTickValue,Permanent,Trigger,ObjectOverwrite)</f>
        <v>EURFUT1MG3_Quote#0000</v>
      </c>
      <c r="G115" s="109" t="str">
        <f>_xll.ohRangeRetrieveError(F115)</f>
        <v/>
      </c>
      <c r="H115" s="145"/>
    </row>
    <row r="116" spans="1:8" x14ac:dyDescent="0.2">
      <c r="A116" s="150"/>
      <c r="B116" s="111">
        <v>111</v>
      </c>
      <c r="C116" s="149" t="b">
        <v>0</v>
      </c>
      <c r="D116" s="148" t="str">
        <v>H3</v>
      </c>
      <c r="E116" s="147" t="str">
        <f t="shared" si="4"/>
        <v>EURFUT1MH3_Quote</v>
      </c>
      <c r="F116" s="146" t="str">
        <f>_xll.qlSimpleQuote(E116,,PriceTickValue,Permanent,Trigger,ObjectOverwrite)</f>
        <v>EURFUT1MH3_Quote#0000</v>
      </c>
      <c r="G116" s="109" t="str">
        <f>_xll.ohRangeRetrieveError(F116)</f>
        <v/>
      </c>
      <c r="H116" s="145"/>
    </row>
    <row r="117" spans="1:8" x14ac:dyDescent="0.2">
      <c r="A117" s="150"/>
      <c r="B117" s="111">
        <v>112</v>
      </c>
      <c r="C117" s="149" t="b">
        <v>0</v>
      </c>
      <c r="D117" s="148" t="str">
        <v>J3</v>
      </c>
      <c r="E117" s="147" t="str">
        <f t="shared" si="4"/>
        <v>EURFUT1MJ3_Quote</v>
      </c>
      <c r="F117" s="146" t="str">
        <f>_xll.qlSimpleQuote(E117,,PriceTickValue,Permanent,Trigger,ObjectOverwrite)</f>
        <v>EURFUT1MJ3_Quote#0000</v>
      </c>
      <c r="G117" s="109" t="str">
        <f>_xll.ohRangeRetrieveError(F117)</f>
        <v/>
      </c>
      <c r="H117" s="145"/>
    </row>
    <row r="118" spans="1:8" x14ac:dyDescent="0.2">
      <c r="A118" s="150"/>
      <c r="B118" s="111">
        <v>113</v>
      </c>
      <c r="C118" s="149" t="b">
        <v>0</v>
      </c>
      <c r="D118" s="148" t="str">
        <v>K3</v>
      </c>
      <c r="E118" s="147" t="str">
        <f t="shared" si="4"/>
        <v>EURFUT1MK3_Quote</v>
      </c>
      <c r="F118" s="146" t="str">
        <f>_xll.qlSimpleQuote(E118,,PriceTickValue,Permanent,Trigger,ObjectOverwrite)</f>
        <v>EURFUT1MK3_Quote#0000</v>
      </c>
      <c r="G118" s="109" t="str">
        <f>_xll.ohRangeRetrieveError(F118)</f>
        <v/>
      </c>
      <c r="H118" s="145"/>
    </row>
    <row r="119" spans="1:8" x14ac:dyDescent="0.2">
      <c r="A119" s="150"/>
      <c r="B119" s="111">
        <v>114</v>
      </c>
      <c r="C119" s="149" t="b">
        <v>0</v>
      </c>
      <c r="D119" s="148" t="str">
        <v>M3</v>
      </c>
      <c r="E119" s="147" t="str">
        <f t="shared" si="4"/>
        <v>EURFUT1MM3_Quote</v>
      </c>
      <c r="F119" s="146" t="str">
        <f>_xll.qlSimpleQuote(E119,,PriceTickValue,Permanent,Trigger,ObjectOverwrite)</f>
        <v>EURFUT1MM3_Quote#0000</v>
      </c>
      <c r="G119" s="109" t="str">
        <f>_xll.ohRangeRetrieveError(F119)</f>
        <v/>
      </c>
      <c r="H119" s="145"/>
    </row>
    <row r="120" spans="1:8" x14ac:dyDescent="0.2">
      <c r="A120" s="150"/>
      <c r="B120" s="111">
        <v>115</v>
      </c>
      <c r="C120" s="149" t="b">
        <v>0</v>
      </c>
      <c r="D120" s="148" t="str">
        <v>N3</v>
      </c>
      <c r="E120" s="147" t="str">
        <f t="shared" si="4"/>
        <v>EURFUT1MN3_Quote</v>
      </c>
      <c r="F120" s="146" t="str">
        <f>_xll.qlSimpleQuote(E120,,PriceTickValue,Permanent,Trigger,ObjectOverwrite)</f>
        <v>EURFUT1MN3_Quote#0000</v>
      </c>
      <c r="G120" s="109" t="str">
        <f>_xll.ohRangeRetrieveError(F120)</f>
        <v/>
      </c>
      <c r="H120" s="145"/>
    </row>
    <row r="121" spans="1:8" x14ac:dyDescent="0.2">
      <c r="A121" s="150"/>
      <c r="B121" s="111">
        <v>116</v>
      </c>
      <c r="C121" s="149" t="b">
        <v>0</v>
      </c>
      <c r="D121" s="148" t="str">
        <v>Q3</v>
      </c>
      <c r="E121" s="147" t="str">
        <f t="shared" si="4"/>
        <v>EURFUT1MQ3_Quote</v>
      </c>
      <c r="F121" s="146" t="str">
        <f>_xll.qlSimpleQuote(E121,,PriceTickValue,Permanent,Trigger,ObjectOverwrite)</f>
        <v>EURFUT1MQ3_Quote#0000</v>
      </c>
      <c r="G121" s="109" t="str">
        <f>_xll.ohRangeRetrieveError(F121)</f>
        <v/>
      </c>
      <c r="H121" s="145"/>
    </row>
    <row r="122" spans="1:8" x14ac:dyDescent="0.2">
      <c r="A122" s="150"/>
      <c r="B122" s="111">
        <v>117</v>
      </c>
      <c r="C122" s="149" t="b">
        <v>0</v>
      </c>
      <c r="D122" s="148" t="str">
        <v>U3</v>
      </c>
      <c r="E122" s="147" t="str">
        <f t="shared" si="4"/>
        <v>EURFUT1MU3_Quote</v>
      </c>
      <c r="F122" s="146" t="str">
        <f>_xll.qlSimpleQuote(E122,,PriceTickValue,Permanent,Trigger,ObjectOverwrite)</f>
        <v>EURFUT1MU3_Quote#0000</v>
      </c>
      <c r="G122" s="109" t="str">
        <f>_xll.ohRangeRetrieveError(F122)</f>
        <v/>
      </c>
      <c r="H122" s="145"/>
    </row>
    <row r="123" spans="1:8" x14ac:dyDescent="0.2">
      <c r="A123" s="150"/>
      <c r="B123" s="111">
        <v>118</v>
      </c>
      <c r="C123" s="149" t="b">
        <v>0</v>
      </c>
      <c r="D123" s="148" t="str">
        <v>V3</v>
      </c>
      <c r="E123" s="147" t="str">
        <f t="shared" si="4"/>
        <v>EURFUT1MV3_Quote</v>
      </c>
      <c r="F123" s="146" t="str">
        <f>_xll.qlSimpleQuote(E123,,PriceTickValue,Permanent,Trigger,ObjectOverwrite)</f>
        <v>EURFUT1MV3_Quote#0000</v>
      </c>
      <c r="G123" s="109" t="str">
        <f>_xll.ohRangeRetrieveError(F123)</f>
        <v/>
      </c>
      <c r="H123" s="145"/>
    </row>
    <row r="124" spans="1:8" x14ac:dyDescent="0.2">
      <c r="A124" s="150"/>
      <c r="B124" s="111">
        <v>119</v>
      </c>
      <c r="C124" s="149" t="b">
        <v>0</v>
      </c>
      <c r="D124" s="148" t="str">
        <v>X3</v>
      </c>
      <c r="E124" s="147" t="str">
        <f t="shared" si="4"/>
        <v>EURFUT1MX3_Quote</v>
      </c>
      <c r="F124" s="146" t="str">
        <f>_xll.qlSimpleQuote(E124,,PriceTickValue,Permanent,Trigger,ObjectOverwrite)</f>
        <v>EURFUT1MX3_Quote#0000</v>
      </c>
      <c r="G124" s="109" t="str">
        <f>_xll.ohRangeRetrieveError(F124)</f>
        <v/>
      </c>
      <c r="H124" s="145"/>
    </row>
    <row r="125" spans="1:8" x14ac:dyDescent="0.2">
      <c r="A125" s="150"/>
      <c r="B125" s="111">
        <v>120</v>
      </c>
      <c r="C125" s="149" t="b">
        <v>0</v>
      </c>
      <c r="D125" s="148" t="str">
        <v>Z3</v>
      </c>
      <c r="E125" s="147" t="str">
        <f t="shared" si="4"/>
        <v>EURFUT1MZ3_Quote</v>
      </c>
      <c r="F125" s="146" t="str">
        <f>_xll.qlSimpleQuote(E125,,PriceTickValue,Permanent,Trigger,ObjectOverwrite)</f>
        <v>EURFUT1MZ3_Quote#0000</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tabSelected="1"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19" width="9.140625" style="72"/>
    <col min="20" max="20" width="9.85546875" style="72" customWidth="1"/>
    <col min="21" max="21" width="9.140625" style="72"/>
    <col min="22" max="22" width="2.7109375" style="72" customWidth="1"/>
    <col min="23" max="23" width="9.140625" style="72"/>
    <col min="24" max="24" width="2.7109375" style="72" customWidth="1"/>
    <col min="25" max="25" width="7.7109375" style="72" bestFit="1" customWidth="1"/>
    <col min="26" max="26" width="9.140625" style="72"/>
    <col min="27" max="28" width="2.7109375" style="72" customWidth="1"/>
    <col min="29" max="30" width="9.140625" style="72"/>
    <col min="31" max="31" width="2.7109375" style="72" customWidth="1"/>
    <col min="32" max="32" width="9.140625" style="72"/>
    <col min="33" max="34" width="2.7109375" style="72" customWidth="1"/>
    <col min="35" max="35" width="3.5703125" style="72" bestFit="1" customWidth="1"/>
    <col min="36" max="36" width="8.42578125" style="72" bestFit="1" customWidth="1"/>
    <col min="37" max="37" width="5.42578125" style="72" bestFit="1" customWidth="1"/>
    <col min="38" max="38" width="15.7109375" style="72" bestFit="1" customWidth="1"/>
    <col min="39" max="39" width="25" style="72" bestFit="1" customWidth="1"/>
    <col min="40" max="41" width="26.42578125" style="72" customWidth="1"/>
    <col min="42" max="42" width="2.7109375" style="72" customWidth="1"/>
    <col min="43" max="16384" width="9.140625" style="72"/>
  </cols>
  <sheetData>
    <row r="1" spans="1:43" ht="12" thickBot="1" x14ac:dyDescent="0.25">
      <c r="AH1" s="446" t="s">
        <v>219</v>
      </c>
      <c r="AI1" s="447"/>
      <c r="AJ1" s="447"/>
      <c r="AK1" s="447"/>
      <c r="AL1" s="447"/>
      <c r="AM1" s="447"/>
      <c r="AN1" s="447"/>
      <c r="AO1" s="447"/>
      <c r="AP1" s="448"/>
      <c r="AQ1" s="445"/>
    </row>
    <row r="2" spans="1:43" x14ac:dyDescent="0.2">
      <c r="J2" s="294" t="s">
        <v>310</v>
      </c>
      <c r="K2" s="203"/>
      <c r="L2" s="203"/>
      <c r="M2" s="203"/>
      <c r="N2" s="203"/>
      <c r="O2" s="203"/>
      <c r="P2" s="203"/>
      <c r="Q2" s="203"/>
      <c r="R2" s="203"/>
      <c r="S2" s="203"/>
      <c r="T2" s="203"/>
      <c r="U2" s="203"/>
      <c r="V2" s="353"/>
      <c r="W2" s="353"/>
      <c r="X2" s="203"/>
      <c r="Y2" s="203"/>
      <c r="Z2" s="203"/>
      <c r="AA2" s="352"/>
      <c r="AB2" s="21"/>
      <c r="AC2" s="21"/>
      <c r="AD2" s="21"/>
      <c r="AE2" s="21"/>
      <c r="AF2" s="21"/>
      <c r="AH2" s="449"/>
      <c r="AI2" s="450"/>
      <c r="AJ2" s="450"/>
      <c r="AK2" s="450"/>
      <c r="AL2" s="451" t="s">
        <v>218</v>
      </c>
      <c r="AM2" s="452" t="str">
        <f>PROPER(Currency)&amp;"HW_Volatility_Quote"</f>
        <v>EurHW_Volatility_Quote</v>
      </c>
      <c r="AN2" s="450"/>
      <c r="AO2" s="450"/>
      <c r="AP2" s="453"/>
      <c r="AQ2" s="445"/>
    </row>
    <row r="3" spans="1:43" ht="22.5" x14ac:dyDescent="0.2">
      <c r="J3" s="293"/>
      <c r="K3" s="141"/>
      <c r="L3" s="292"/>
      <c r="M3" s="292"/>
      <c r="N3" s="141"/>
      <c r="O3" s="141"/>
      <c r="P3" s="141"/>
      <c r="Q3" s="141"/>
      <c r="R3" s="141"/>
      <c r="S3" s="141"/>
      <c r="T3" s="141"/>
      <c r="U3" s="141"/>
      <c r="V3" s="257"/>
      <c r="W3" s="257"/>
      <c r="X3" s="141"/>
      <c r="Y3" s="97" t="s">
        <v>254</v>
      </c>
      <c r="Z3" s="351" t="s">
        <v>147</v>
      </c>
      <c r="AA3" s="350"/>
      <c r="AB3" s="21"/>
      <c r="AC3" s="21"/>
      <c r="AD3" s="21"/>
      <c r="AE3" s="21"/>
      <c r="AF3" s="21"/>
      <c r="AH3" s="449"/>
      <c r="AI3" s="450"/>
      <c r="AJ3" s="450"/>
      <c r="AK3" s="450"/>
      <c r="AL3" s="451" t="s">
        <v>217</v>
      </c>
      <c r="AM3" s="452" t="str">
        <f>PROPER(Currency)&amp;"HW_MeanReversion_Quote"</f>
        <v>EurHW_MeanReversion_Quote</v>
      </c>
      <c r="AN3" s="450"/>
      <c r="AO3" s="450"/>
      <c r="AP3" s="454"/>
    </row>
    <row r="4" spans="1:43" ht="12" thickBot="1" x14ac:dyDescent="0.25">
      <c r="J4" s="293"/>
      <c r="K4" s="141"/>
      <c r="L4" s="141"/>
      <c r="M4" s="141"/>
      <c r="N4" s="141"/>
      <c r="O4" s="141"/>
      <c r="P4" s="141"/>
      <c r="Q4" s="141"/>
      <c r="R4" s="141"/>
      <c r="S4" s="141"/>
      <c r="T4" s="141"/>
      <c r="U4" s="141"/>
      <c r="V4" s="257"/>
      <c r="W4" s="257"/>
      <c r="X4" s="141"/>
      <c r="Y4" s="141"/>
      <c r="Z4" s="141"/>
      <c r="AA4" s="350"/>
      <c r="AB4" s="21"/>
      <c r="AC4" s="21"/>
      <c r="AD4" s="21"/>
      <c r="AE4" s="21"/>
      <c r="AF4" s="21"/>
      <c r="AH4" s="449"/>
      <c r="AI4" s="450"/>
      <c r="AJ4" s="450"/>
      <c r="AK4" s="450"/>
      <c r="AL4" s="451" t="s">
        <v>216</v>
      </c>
      <c r="AM4" s="452" t="str">
        <f>PROPER(Currency)&amp;FamilyName&amp;$AN$4</f>
        <v>Euribor3M</v>
      </c>
      <c r="AN4" s="455" t="s">
        <v>43</v>
      </c>
      <c r="AO4" s="450"/>
      <c r="AP4" s="454"/>
    </row>
    <row r="5" spans="1:43" ht="12" thickBot="1" x14ac:dyDescent="0.25">
      <c r="A5" s="161" t="s">
        <v>190</v>
      </c>
      <c r="B5" s="160"/>
      <c r="C5" s="160"/>
      <c r="D5" s="159" t="s">
        <v>188</v>
      </c>
      <c r="E5" s="159" t="s">
        <v>43</v>
      </c>
      <c r="F5" s="158"/>
      <c r="G5" s="158"/>
      <c r="H5" s="157"/>
      <c r="J5" s="293"/>
      <c r="K5" s="141"/>
      <c r="L5" s="141"/>
      <c r="M5" s="141"/>
      <c r="N5" s="141"/>
      <c r="O5" s="141"/>
      <c r="P5" s="141"/>
      <c r="Q5" s="141"/>
      <c r="R5" s="141"/>
      <c r="S5" s="141"/>
      <c r="T5" s="141"/>
      <c r="U5" s="141"/>
      <c r="V5" s="257"/>
      <c r="W5" s="257"/>
      <c r="X5" s="141"/>
      <c r="Y5" s="257" t="s">
        <v>270</v>
      </c>
      <c r="Z5" s="288">
        <f>_xll.ohTrigger(Z7:Z48)</f>
        <v>0</v>
      </c>
      <c r="AA5" s="350"/>
      <c r="AB5" s="21"/>
      <c r="AC5" s="21"/>
      <c r="AD5" s="21"/>
      <c r="AE5" s="21"/>
      <c r="AF5" s="21"/>
      <c r="AH5" s="449"/>
      <c r="AI5" s="450"/>
      <c r="AJ5" s="450"/>
      <c r="AK5" s="450"/>
      <c r="AL5" s="450"/>
      <c r="AM5" s="450"/>
      <c r="AN5" s="450"/>
      <c r="AO5" s="450"/>
      <c r="AP5" s="454"/>
    </row>
    <row r="6" spans="1:43" ht="22.5" x14ac:dyDescent="0.2">
      <c r="A6" s="156"/>
      <c r="B6" s="97" t="s">
        <v>187</v>
      </c>
      <c r="C6" s="98" t="s">
        <v>186</v>
      </c>
      <c r="D6" s="98" t="s">
        <v>185</v>
      </c>
      <c r="E6" s="96" t="str">
        <f>Currency&amp;"_010_"&amp;$D$5&amp;$E$5&amp;".xml"</f>
        <v>EUR_010_FUT3M.xml</v>
      </c>
      <c r="F6" s="95">
        <f ca="1">IF(Serialize,_xll.ohObjectSave(F7:F48,SerializationPath&amp;E6,FileOverwrite,Serialize),"---")</f>
        <v>42</v>
      </c>
      <c r="G6" s="112" t="str">
        <f ca="1">_xll.ohRangeRetrieveError(F6)</f>
        <v/>
      </c>
      <c r="H6" s="145"/>
      <c r="J6" s="293"/>
      <c r="K6" s="359" t="s">
        <v>187</v>
      </c>
      <c r="L6" s="355" t="s">
        <v>186</v>
      </c>
      <c r="M6" s="355" t="s">
        <v>185</v>
      </c>
      <c r="N6" s="355" t="s">
        <v>264</v>
      </c>
      <c r="O6" s="358" t="e">
        <f ca="1">_xll.RData(O7:O48,P6:T6,,ReutersRtMode,,P7)</f>
        <v>#NAME?</v>
      </c>
      <c r="P6" s="355" t="s">
        <v>263</v>
      </c>
      <c r="Q6" s="355" t="s">
        <v>258</v>
      </c>
      <c r="R6" s="355" t="s">
        <v>225</v>
      </c>
      <c r="S6" s="355" t="s">
        <v>240</v>
      </c>
      <c r="T6" s="355" t="s">
        <v>257</v>
      </c>
      <c r="U6" s="357" t="s">
        <v>256</v>
      </c>
      <c r="V6" s="257"/>
      <c r="W6" s="356" t="s">
        <v>252</v>
      </c>
      <c r="X6" s="257"/>
      <c r="Y6" s="359" t="s">
        <v>250</v>
      </c>
      <c r="Z6" s="354" t="s">
        <v>249</v>
      </c>
      <c r="AA6" s="53"/>
      <c r="AB6" s="21"/>
      <c r="AC6" s="212" t="s">
        <v>262</v>
      </c>
      <c r="AD6" s="210" t="s">
        <v>261</v>
      </c>
      <c r="AE6" s="21"/>
      <c r="AF6" s="321" t="s">
        <v>255</v>
      </c>
      <c r="AH6" s="156"/>
      <c r="AI6" s="97" t="s">
        <v>187</v>
      </c>
      <c r="AJ6" s="199" t="s">
        <v>186</v>
      </c>
      <c r="AK6" s="199" t="s">
        <v>185</v>
      </c>
      <c r="AL6" s="199" t="s">
        <v>215</v>
      </c>
      <c r="AM6" s="96" t="str">
        <f>Currency&amp;"_020_Futures"&amp;AN4&amp;"ConvAdj.xml"</f>
        <v>EUR_020_Futures3MConvAdj.xml</v>
      </c>
      <c r="AN6" s="113">
        <f ca="1">IF(Serialize,_xll.ohObjectSave(AN7:AN49,SerializationPath&amp;AM6,FileOverwrite,Serialize),"---")</f>
        <v>42</v>
      </c>
      <c r="AO6" s="79" t="str">
        <f ca="1">_xll.ohRangeRetrieveError(AN6)</f>
        <v/>
      </c>
      <c r="AP6" s="53"/>
    </row>
    <row r="7" spans="1:43" x14ac:dyDescent="0.2">
      <c r="A7" s="150"/>
      <c r="B7" s="155">
        <v>1</v>
      </c>
      <c r="C7" s="154" t="b">
        <v>0</v>
      </c>
      <c r="D7" s="153" t="str">
        <f t="array" ref="D7:D48">_xll.qlIMMcode(FuturesDates)</f>
        <v>F4</v>
      </c>
      <c r="E7" s="147" t="str">
        <f t="shared" ref="E7:E38" si="0">Currency&amp;$D$5&amp;$E$5&amp;$D7&amp;QuoteSuffix</f>
        <v>EURFUT3MF4_Quote</v>
      </c>
      <c r="F7" s="152" t="str">
        <f>_xll.qlSimpleQuote(E7,,PriceTickValue,Permanent,Trigger,ObjectOverwrite)</f>
        <v>EURFUT3MF4_Quote#0000</v>
      </c>
      <c r="G7" s="151" t="str">
        <f>_xll.ohRangeRetrieveError(F7)</f>
        <v/>
      </c>
      <c r="H7" s="145"/>
      <c r="J7" s="335"/>
      <c r="K7" s="348">
        <v>1</v>
      </c>
      <c r="L7" s="347" t="b">
        <v>0</v>
      </c>
      <c r="M7" s="275" t="str">
        <f t="array" ref="M7:M48">_xll.qlIMMcode(FuturesDates)</f>
        <v>F4</v>
      </c>
      <c r="N7" s="346">
        <f t="array" ref="N7:N48">_xll.qlIMMNextDates(_xll.qlSettingsEvaluationDate(Trigger)-1,$L7:$L48)</f>
        <v>41654</v>
      </c>
      <c r="O7" s="275" t="str">
        <f t="array" ref="O7:O48">VLOOKUP(Currency,LiffeCodes,2)&amp;FuturesCodes</f>
        <v>FEIF4</v>
      </c>
      <c r="P7" s="345">
        <v>41505</v>
      </c>
      <c r="Q7" s="275">
        <v>99.765000000000001</v>
      </c>
      <c r="R7" s="275">
        <v>99.77</v>
      </c>
      <c r="S7" s="275">
        <v>99.765000000000001</v>
      </c>
      <c r="T7" s="275">
        <v>99.765000000000001</v>
      </c>
      <c r="U7" s="278">
        <f>_xll.qlMidSafe($Q7,$R7)</f>
        <v>99.767499999999998</v>
      </c>
      <c r="V7" s="257"/>
      <c r="W7" s="344">
        <v>99.767499999999998</v>
      </c>
      <c r="X7" s="257"/>
      <c r="Y7" s="343">
        <f t="array" ref="Y7:Y48">QuoteLive</f>
        <v>99.767499999999998</v>
      </c>
      <c r="Z7" s="278" t="e">
        <f>_xll.qlSimpleQuoteSetValue(F7,Y7,Trigger)</f>
        <v>#N/A</v>
      </c>
      <c r="AA7" s="53"/>
      <c r="AB7" s="21"/>
      <c r="AC7" s="90" t="s">
        <v>137</v>
      </c>
      <c r="AD7" s="88" t="s">
        <v>269</v>
      </c>
      <c r="AE7" s="21"/>
      <c r="AF7" s="296">
        <f t="shared" ref="AF7:AF48" si="1">(R7-U7)/50</f>
        <v>4.9999999999954527E-5</v>
      </c>
      <c r="AH7" s="150"/>
      <c r="AI7" s="155">
        <v>1</v>
      </c>
      <c r="AJ7" s="153" t="b">
        <v>0</v>
      </c>
      <c r="AK7" s="153" t="str">
        <f t="array" ref="AK7:AK48">_xll.qlIMMcode(FuturesDates)</f>
        <v>F4</v>
      </c>
      <c r="AL7" s="252" t="str">
        <f t="shared" ref="AL7:AL48" si="2">Currency&amp;"FUT"&amp;$AN$4&amp;$AK7&amp;QuoteSuffix</f>
        <v>EURFUT3MF4_Quote</v>
      </c>
      <c r="AM7" s="253" t="str">
        <f t="shared" ref="AM7:AM48" si="3">Currency&amp;"FUT"&amp;$AN$4&amp;$AK7&amp;"ConvAdj"&amp;QuoteSuffix</f>
        <v>EURFUT3MF4ConvAdj_Quote</v>
      </c>
      <c r="AN7" s="252" t="str">
        <f>_xll.qlFuturesConvAdjustmentQuote($AM7,IborIndex,$AK7,$AL7,Volatility,MeanReversion,Permanent,Trigger,ObjectOverwrite)</f>
        <v>EURFUT3MF4ConvAdj_Quote#0000</v>
      </c>
      <c r="AO7" s="79" t="str">
        <f>_xll.ohRangeRetrieveError(AN7)</f>
        <v/>
      </c>
      <c r="AP7" s="53"/>
    </row>
    <row r="8" spans="1:43" x14ac:dyDescent="0.2">
      <c r="A8" s="150"/>
      <c r="B8" s="111">
        <v>2</v>
      </c>
      <c r="C8" s="149" t="b">
        <v>0</v>
      </c>
      <c r="D8" s="148" t="str">
        <v>G4</v>
      </c>
      <c r="E8" s="147" t="str">
        <f t="shared" si="0"/>
        <v>EURFUT3MG4_Quote</v>
      </c>
      <c r="F8" s="146" t="str">
        <f>_xll.qlSimpleQuote(E8,,PriceTickValue,Permanent,Trigger,ObjectOverwrite)</f>
        <v>EURFUT3MG4_Quote#0000</v>
      </c>
      <c r="G8" s="109" t="str">
        <f>_xll.ohRangeRetrieveError(F8)</f>
        <v/>
      </c>
      <c r="H8" s="145"/>
      <c r="J8" s="335"/>
      <c r="K8" s="341">
        <v>2</v>
      </c>
      <c r="L8" s="340" t="b">
        <v>0</v>
      </c>
      <c r="M8" s="263" t="str">
        <v>G4</v>
      </c>
      <c r="N8" s="339">
        <v>41689</v>
      </c>
      <c r="O8" s="263" t="str">
        <v>FEIG4</v>
      </c>
      <c r="P8" s="338">
        <v>41533</v>
      </c>
      <c r="Q8" s="263">
        <v>99.734999999999999</v>
      </c>
      <c r="R8" s="263">
        <v>99.74</v>
      </c>
      <c r="S8" s="263">
        <v>99.74</v>
      </c>
      <c r="T8" s="263">
        <v>99.734999999999999</v>
      </c>
      <c r="U8" s="266">
        <f>_xll.qlMidSafe($Q8,$R8)</f>
        <v>99.737499999999997</v>
      </c>
      <c r="V8" s="257"/>
      <c r="W8" s="342">
        <v>99.737499999999997</v>
      </c>
      <c r="X8" s="257"/>
      <c r="Y8" s="336">
        <v>99.737499999999997</v>
      </c>
      <c r="Z8" s="266" t="e">
        <f>_xll.qlSimpleQuoteSetValue(F8,Y8,Trigger)</f>
        <v>#N/A</v>
      </c>
      <c r="AA8" s="53"/>
      <c r="AB8" s="21"/>
      <c r="AC8" s="90" t="s">
        <v>123</v>
      </c>
      <c r="AD8" s="88" t="s">
        <v>268</v>
      </c>
      <c r="AE8" s="21"/>
      <c r="AF8" s="296">
        <f t="shared" si="1"/>
        <v>4.9999999999954527E-5</v>
      </c>
      <c r="AH8" s="150"/>
      <c r="AI8" s="111">
        <v>2</v>
      </c>
      <c r="AJ8" s="148" t="b">
        <v>0</v>
      </c>
      <c r="AK8" s="148" t="str">
        <v>G4</v>
      </c>
      <c r="AL8" s="252" t="str">
        <f t="shared" si="2"/>
        <v>EURFUT3MG4_Quote</v>
      </c>
      <c r="AM8" s="253" t="str">
        <f t="shared" si="3"/>
        <v>EURFUT3MG4ConvAdj_Quote</v>
      </c>
      <c r="AN8" s="252" t="str">
        <f>_xll.qlFuturesConvAdjustmentQuote($AM8,IborIndex,$AK8,$AL8,Volatility,MeanReversion,Permanent,Trigger,ObjectOverwrite)</f>
        <v>EURFUT3MG4ConvAdj_Quote#0000</v>
      </c>
      <c r="AO8" s="79" t="str">
        <f>_xll.ohRangeRetrieveError(AN8)</f>
        <v/>
      </c>
      <c r="AP8" s="53"/>
    </row>
    <row r="9" spans="1:43" x14ac:dyDescent="0.2">
      <c r="A9" s="150"/>
      <c r="B9" s="111">
        <v>3</v>
      </c>
      <c r="C9" s="149" t="b">
        <v>0</v>
      </c>
      <c r="D9" s="148" t="str">
        <v>H4</v>
      </c>
      <c r="E9" s="147" t="str">
        <f t="shared" si="0"/>
        <v>EURFUT3MH4_Quote</v>
      </c>
      <c r="F9" s="146" t="str">
        <f>_xll.qlSimpleQuote(E9,,PriceTickValue,Permanent,Trigger,ObjectOverwrite)</f>
        <v>EURFUT3MH4_Quote#0000</v>
      </c>
      <c r="G9" s="109" t="str">
        <f>_xll.ohRangeRetrieveError(F9)</f>
        <v/>
      </c>
      <c r="H9" s="145"/>
      <c r="J9" s="335"/>
      <c r="K9" s="341">
        <v>3</v>
      </c>
      <c r="L9" s="340" t="b">
        <v>0</v>
      </c>
      <c r="M9" s="263" t="str">
        <v>H4</v>
      </c>
      <c r="N9" s="339">
        <v>41717</v>
      </c>
      <c r="O9" s="263" t="str">
        <v>FEIH4</v>
      </c>
      <c r="P9" s="338">
        <v>41561</v>
      </c>
      <c r="Q9" s="263">
        <v>99.71</v>
      </c>
      <c r="R9" s="263">
        <v>99.72</v>
      </c>
      <c r="S9" s="263">
        <v>0</v>
      </c>
      <c r="T9" s="263">
        <v>99.715000000000003</v>
      </c>
      <c r="U9" s="266">
        <f>_xll.qlMidSafe($Q9,$R9)</f>
        <v>99.715000000000003</v>
      </c>
      <c r="V9" s="257"/>
      <c r="W9" s="342">
        <v>99.715000000000003</v>
      </c>
      <c r="X9" s="257"/>
      <c r="Y9" s="336">
        <v>99.715000000000003</v>
      </c>
      <c r="Z9" s="266" t="e">
        <f>_xll.qlSimpleQuoteSetValue(F9,Y9,Trigger)</f>
        <v>#N/A</v>
      </c>
      <c r="AA9" s="53"/>
      <c r="AB9" s="21"/>
      <c r="AC9" s="90" t="s">
        <v>134</v>
      </c>
      <c r="AD9" s="88" t="s">
        <v>267</v>
      </c>
      <c r="AE9" s="21"/>
      <c r="AF9" s="296">
        <f t="shared" si="1"/>
        <v>9.9999999999909054E-5</v>
      </c>
      <c r="AH9" s="150"/>
      <c r="AI9" s="111">
        <v>3</v>
      </c>
      <c r="AJ9" s="148" t="b">
        <v>0</v>
      </c>
      <c r="AK9" s="148" t="str">
        <v>H4</v>
      </c>
      <c r="AL9" s="252" t="str">
        <f t="shared" si="2"/>
        <v>EURFUT3MH4_Quote</v>
      </c>
      <c r="AM9" s="253" t="str">
        <f t="shared" si="3"/>
        <v>EURFUT3MH4ConvAdj_Quote</v>
      </c>
      <c r="AN9" s="252" t="str">
        <f>_xll.qlFuturesConvAdjustmentQuote($AM9,IborIndex,$AK9,$AL9,Volatility,MeanReversion,Permanent,Trigger,ObjectOverwrite)</f>
        <v>EURFUT3MH4ConvAdj_Quote#0000</v>
      </c>
      <c r="AO9" s="79" t="str">
        <f>_xll.ohRangeRetrieveError(AN9)</f>
        <v/>
      </c>
      <c r="AP9" s="53"/>
    </row>
    <row r="10" spans="1:43" x14ac:dyDescent="0.2">
      <c r="A10" s="150"/>
      <c r="B10" s="111">
        <v>4</v>
      </c>
      <c r="C10" s="149" t="b">
        <v>0</v>
      </c>
      <c r="D10" s="148" t="str">
        <v>J4</v>
      </c>
      <c r="E10" s="147" t="str">
        <f t="shared" si="0"/>
        <v>EURFUT3MJ4_Quote</v>
      </c>
      <c r="F10" s="146" t="str">
        <f>_xll.qlSimpleQuote(E10,,PriceTickValue,Permanent,Trigger,ObjectOverwrite)</f>
        <v>EURFUT3MJ4_Quote#0000</v>
      </c>
      <c r="G10" s="109" t="str">
        <f>_xll.ohRangeRetrieveError(F10)</f>
        <v/>
      </c>
      <c r="H10" s="145"/>
      <c r="J10" s="335"/>
      <c r="K10" s="341">
        <v>4</v>
      </c>
      <c r="L10" s="340" t="b">
        <v>0</v>
      </c>
      <c r="M10" s="263" t="str">
        <v>J4</v>
      </c>
      <c r="N10" s="339">
        <v>41745</v>
      </c>
      <c r="O10" s="263" t="str">
        <v>FEIJ4</v>
      </c>
      <c r="P10" s="338">
        <v>41596</v>
      </c>
      <c r="Q10" s="263">
        <v>0</v>
      </c>
      <c r="R10" s="263">
        <v>0</v>
      </c>
      <c r="S10" s="263">
        <v>0</v>
      </c>
      <c r="T10" s="263">
        <v>99.7</v>
      </c>
      <c r="U10" s="266" t="e">
        <f>_xll.qlMidSafe($Q10,$R10)</f>
        <v>#NUM!</v>
      </c>
      <c r="V10" s="257"/>
      <c r="W10" s="342" t="e">
        <v>#NUM!</v>
      </c>
      <c r="X10" s="257"/>
      <c r="Y10" s="336" t="e">
        <v>#NUM!</v>
      </c>
      <c r="Z10" s="266" t="e">
        <f>_xll.qlSimpleQuoteSetValue(F10,Y10,Trigger)</f>
        <v>#NUM!</v>
      </c>
      <c r="AA10" s="53"/>
      <c r="AB10" s="21"/>
      <c r="AC10" s="90" t="s">
        <v>133</v>
      </c>
      <c r="AD10" s="88"/>
      <c r="AE10" s="21"/>
      <c r="AF10" s="296" t="e">
        <f t="shared" si="1"/>
        <v>#NUM!</v>
      </c>
      <c r="AH10" s="150"/>
      <c r="AI10" s="111">
        <v>4</v>
      </c>
      <c r="AJ10" s="148" t="b">
        <v>0</v>
      </c>
      <c r="AK10" s="148" t="str">
        <v>J4</v>
      </c>
      <c r="AL10" s="252" t="str">
        <f t="shared" si="2"/>
        <v>EURFUT3MJ4_Quote</v>
      </c>
      <c r="AM10" s="253" t="str">
        <f t="shared" si="3"/>
        <v>EURFUT3MJ4ConvAdj_Quote</v>
      </c>
      <c r="AN10" s="252" t="str">
        <f>_xll.qlFuturesConvAdjustmentQuote($AM10,IborIndex,$AK10,$AL10,Volatility,MeanReversion,Permanent,Trigger,ObjectOverwrite)</f>
        <v>EURFUT3MJ4ConvAdj_Quote#0000</v>
      </c>
      <c r="AO10" s="79" t="str">
        <f>_xll.ohRangeRetrieveError(AN10)</f>
        <v/>
      </c>
      <c r="AP10" s="53"/>
    </row>
    <row r="11" spans="1:43" ht="12" thickBot="1" x14ac:dyDescent="0.25">
      <c r="A11" s="150"/>
      <c r="B11" s="111">
        <v>5</v>
      </c>
      <c r="C11" s="149" t="b">
        <v>0</v>
      </c>
      <c r="D11" s="148" t="str">
        <v>K4</v>
      </c>
      <c r="E11" s="147" t="str">
        <f t="shared" si="0"/>
        <v>EURFUT3MK4_Quote</v>
      </c>
      <c r="F11" s="146" t="str">
        <f>_xll.qlSimpleQuote(E11,,PriceTickValue,Permanent,Trigger,ObjectOverwrite)</f>
        <v>EURFUT3MK4_Quote#0000</v>
      </c>
      <c r="G11" s="109" t="str">
        <f>_xll.ohRangeRetrieveError(F11)</f>
        <v/>
      </c>
      <c r="H11" s="145"/>
      <c r="J11" s="335"/>
      <c r="K11" s="341">
        <v>5</v>
      </c>
      <c r="L11" s="340" t="b">
        <v>0</v>
      </c>
      <c r="M11" s="263" t="str">
        <v>K4</v>
      </c>
      <c r="N11" s="339">
        <v>41780</v>
      </c>
      <c r="O11" s="263" t="str">
        <v>FEIK4</v>
      </c>
      <c r="P11" s="338">
        <v>41624</v>
      </c>
      <c r="Q11" s="263">
        <v>99.674999999999997</v>
      </c>
      <c r="R11" s="263">
        <v>99.68</v>
      </c>
      <c r="S11" s="263">
        <v>99.674999999999997</v>
      </c>
      <c r="T11" s="263">
        <v>99.674999999999997</v>
      </c>
      <c r="U11" s="266">
        <f>_xll.qlMidSafe($Q11,$R11)</f>
        <v>99.677500000000009</v>
      </c>
      <c r="V11" s="257"/>
      <c r="W11" s="337">
        <v>99.677500000000009</v>
      </c>
      <c r="X11" s="257"/>
      <c r="Y11" s="336">
        <v>99.677500000000009</v>
      </c>
      <c r="Z11" s="266" t="e">
        <f>_xll.qlSimpleQuoteSetValue(F11,Y11,Trigger)</f>
        <v>#N/A</v>
      </c>
      <c r="AA11" s="53"/>
      <c r="AB11" s="21"/>
      <c r="AC11" s="87" t="s">
        <v>131</v>
      </c>
      <c r="AD11" s="85" t="s">
        <v>266</v>
      </c>
      <c r="AE11" s="21"/>
      <c r="AF11" s="296">
        <f t="shared" si="1"/>
        <v>4.9999999999954527E-5</v>
      </c>
      <c r="AH11" s="150"/>
      <c r="AI11" s="111">
        <v>5</v>
      </c>
      <c r="AJ11" s="148" t="b">
        <v>0</v>
      </c>
      <c r="AK11" s="148" t="str">
        <v>K4</v>
      </c>
      <c r="AL11" s="252" t="str">
        <f t="shared" si="2"/>
        <v>EURFUT3MK4_Quote</v>
      </c>
      <c r="AM11" s="253" t="str">
        <f t="shared" si="3"/>
        <v>EURFUT3MK4ConvAdj_Quote</v>
      </c>
      <c r="AN11" s="252" t="str">
        <f>_xll.qlFuturesConvAdjustmentQuote($AM11,IborIndex,$AK11,$AL11,Volatility,MeanReversion,Permanent,Trigger,ObjectOverwrite)</f>
        <v>EURFUT3MK4ConvAdj_Quote#0000</v>
      </c>
      <c r="AO11" s="79" t="str">
        <f>_xll.ohRangeRetrieveError(AN11)</f>
        <v/>
      </c>
      <c r="AP11" s="53"/>
    </row>
    <row r="12" spans="1:43" x14ac:dyDescent="0.2">
      <c r="A12" s="150"/>
      <c r="B12" s="111">
        <v>6</v>
      </c>
      <c r="C12" s="149" t="b">
        <v>0</v>
      </c>
      <c r="D12" s="148" t="str">
        <v>M4</v>
      </c>
      <c r="E12" s="147" t="str">
        <f t="shared" si="0"/>
        <v>EURFUT3MM4_Quote</v>
      </c>
      <c r="F12" s="146" t="str">
        <f>_xll.qlSimpleQuote(E12,,PriceTickValue,Permanent,Trigger,ObjectOverwrite)</f>
        <v>EURFUT3MM4_Quote#0000</v>
      </c>
      <c r="G12" s="109" t="str">
        <f>_xll.ohRangeRetrieveError(F12)</f>
        <v/>
      </c>
      <c r="H12" s="145"/>
      <c r="J12" s="335"/>
      <c r="K12" s="341">
        <v>6</v>
      </c>
      <c r="L12" s="340" t="b">
        <v>0</v>
      </c>
      <c r="M12" s="263" t="str">
        <v>M4</v>
      </c>
      <c r="N12" s="339">
        <v>41808</v>
      </c>
      <c r="O12" s="263" t="str">
        <v>FEIM4</v>
      </c>
      <c r="P12" s="338">
        <v>41652</v>
      </c>
      <c r="Q12" s="263">
        <v>0</v>
      </c>
      <c r="R12" s="263">
        <v>0</v>
      </c>
      <c r="S12" s="263">
        <v>0</v>
      </c>
      <c r="T12" s="263">
        <v>99.68</v>
      </c>
      <c r="U12" s="266" t="e">
        <f>_xll.qlMidSafe($Q12,$R12)</f>
        <v>#NUM!</v>
      </c>
      <c r="V12" s="257"/>
      <c r="W12" s="337" t="e">
        <v>#NUM!</v>
      </c>
      <c r="X12" s="257"/>
      <c r="Y12" s="336" t="e">
        <v>#NUM!</v>
      </c>
      <c r="Z12" s="266" t="e">
        <f>_xll.qlSimpleQuoteSetValue(F12,Y12,Trigger)</f>
        <v>#NUM!</v>
      </c>
      <c r="AA12" s="53"/>
      <c r="AB12" s="21"/>
      <c r="AC12" s="21"/>
      <c r="AD12" s="21"/>
      <c r="AE12" s="21"/>
      <c r="AF12" s="296" t="e">
        <f t="shared" si="1"/>
        <v>#NUM!</v>
      </c>
      <c r="AH12" s="150"/>
      <c r="AI12" s="111">
        <v>6</v>
      </c>
      <c r="AJ12" s="148" t="b">
        <v>0</v>
      </c>
      <c r="AK12" s="148" t="str">
        <v>M4</v>
      </c>
      <c r="AL12" s="252" t="str">
        <f t="shared" si="2"/>
        <v>EURFUT3MM4_Quote</v>
      </c>
      <c r="AM12" s="253" t="str">
        <f t="shared" si="3"/>
        <v>EURFUT3MM4ConvAdj_Quote</v>
      </c>
      <c r="AN12" s="252" t="str">
        <f>_xll.qlFuturesConvAdjustmentQuote($AM12,IborIndex,$AK12,$AL12,Volatility,MeanReversion,Permanent,Trigger,ObjectOverwrite)</f>
        <v>EURFUT3MM4ConvAdj_Quote#0000</v>
      </c>
      <c r="AO12" s="79" t="str">
        <f>_xll.ohRangeRetrieveError(AN12)</f>
        <v/>
      </c>
      <c r="AP12" s="53"/>
    </row>
    <row r="13" spans="1:43" x14ac:dyDescent="0.2">
      <c r="A13" s="150"/>
      <c r="B13" s="111">
        <v>7</v>
      </c>
      <c r="C13" s="149" t="b">
        <v>0</v>
      </c>
      <c r="D13" s="148" t="str">
        <v>N4</v>
      </c>
      <c r="E13" s="147" t="str">
        <f t="shared" si="0"/>
        <v>EURFUT3MN4_Quote</v>
      </c>
      <c r="F13" s="146" t="str">
        <f>_xll.qlSimpleQuote(E13,,PriceTickValue,Permanent,Trigger,ObjectOverwrite)</f>
        <v>EURFUT3MN4_Quote#0000</v>
      </c>
      <c r="G13" s="109" t="str">
        <f>_xll.ohRangeRetrieveError(F13)</f>
        <v/>
      </c>
      <c r="H13" s="145"/>
      <c r="J13" s="335"/>
      <c r="K13" s="341">
        <v>7</v>
      </c>
      <c r="L13" s="340" t="b">
        <v>0</v>
      </c>
      <c r="M13" s="263" t="str">
        <v>N4</v>
      </c>
      <c r="N13" s="339">
        <v>41836</v>
      </c>
      <c r="O13" s="263" t="str">
        <v>FEIN4</v>
      </c>
      <c r="P13" s="338" t="s">
        <v>259</v>
      </c>
      <c r="Q13" s="263" t="s">
        <v>259</v>
      </c>
      <c r="R13" s="263" t="s">
        <v>259</v>
      </c>
      <c r="S13" s="263" t="s">
        <v>259</v>
      </c>
      <c r="T13" s="263" t="s">
        <v>259</v>
      </c>
      <c r="U13" s="266" t="e">
        <f>_xll.qlMidSafe($Q13,$R13)</f>
        <v>#NUM!</v>
      </c>
      <c r="V13" s="257"/>
      <c r="W13" s="337" t="e">
        <v>#NUM!</v>
      </c>
      <c r="X13" s="257"/>
      <c r="Y13" s="336" t="e">
        <v>#NUM!</v>
      </c>
      <c r="Z13" s="266" t="e">
        <f>_xll.qlSimpleQuoteSetValue(F13,Y13,Trigger)</f>
        <v>#NUM!</v>
      </c>
      <c r="AA13" s="53"/>
      <c r="AB13" s="21"/>
      <c r="AC13" s="21"/>
      <c r="AD13" s="21"/>
      <c r="AE13" s="21"/>
      <c r="AF13" s="296" t="e">
        <f t="shared" si="1"/>
        <v>#VALUE!</v>
      </c>
      <c r="AH13" s="150"/>
      <c r="AI13" s="111">
        <v>7</v>
      </c>
      <c r="AJ13" s="148" t="b">
        <v>0</v>
      </c>
      <c r="AK13" s="148" t="str">
        <v>N4</v>
      </c>
      <c r="AL13" s="252" t="str">
        <f t="shared" si="2"/>
        <v>EURFUT3MN4_Quote</v>
      </c>
      <c r="AM13" s="253" t="str">
        <f t="shared" si="3"/>
        <v>EURFUT3MN4ConvAdj_Quote</v>
      </c>
      <c r="AN13" s="252" t="str">
        <f>_xll.qlFuturesConvAdjustmentQuote($AM13,IborIndex,$AK13,$AL13,Volatility,MeanReversion,Permanent,Trigger,ObjectOverwrite)</f>
        <v>EURFUT3MN4ConvAdj_Quote#0000</v>
      </c>
      <c r="AO13" s="79" t="str">
        <f>_xll.ohRangeRetrieveError(AN13)</f>
        <v/>
      </c>
      <c r="AP13" s="53"/>
    </row>
    <row r="14" spans="1:43" x14ac:dyDescent="0.2">
      <c r="A14" s="150"/>
      <c r="B14" s="111">
        <v>8</v>
      </c>
      <c r="C14" s="149" t="b">
        <v>0</v>
      </c>
      <c r="D14" s="148" t="str">
        <v>Q4</v>
      </c>
      <c r="E14" s="147" t="str">
        <f t="shared" si="0"/>
        <v>EURFUT3MQ4_Quote</v>
      </c>
      <c r="F14" s="146" t="str">
        <f>_xll.qlSimpleQuote(E14,,PriceTickValue,Permanent,Trigger,ObjectOverwrite)</f>
        <v>EURFUT3MQ4_Quote#0000</v>
      </c>
      <c r="G14" s="109" t="str">
        <f>_xll.ohRangeRetrieveError(F14)</f>
        <v/>
      </c>
      <c r="H14" s="145"/>
      <c r="J14" s="335"/>
      <c r="K14" s="341">
        <v>8</v>
      </c>
      <c r="L14" s="340" t="b">
        <v>0</v>
      </c>
      <c r="M14" s="263" t="str">
        <v>Q4</v>
      </c>
      <c r="N14" s="339">
        <v>41871</v>
      </c>
      <c r="O14" s="263" t="str">
        <v>FEIQ4</v>
      </c>
      <c r="P14" s="338">
        <v>41715</v>
      </c>
      <c r="Q14" s="263">
        <v>99.605000000000004</v>
      </c>
      <c r="R14" s="263">
        <v>99.61</v>
      </c>
      <c r="S14" s="263">
        <v>99.61</v>
      </c>
      <c r="T14" s="263">
        <v>99.61</v>
      </c>
      <c r="U14" s="266">
        <f>_xll.qlMidSafe($Q14,$R14)</f>
        <v>99.607500000000002</v>
      </c>
      <c r="V14" s="257"/>
      <c r="W14" s="337">
        <v>99.607500000000002</v>
      </c>
      <c r="X14" s="257"/>
      <c r="Y14" s="336">
        <v>99.607500000000002</v>
      </c>
      <c r="Z14" s="266" t="e">
        <f>_xll.qlSimpleQuoteSetValue(F14,Y14,Trigger)</f>
        <v>#N/A</v>
      </c>
      <c r="AA14" s="53"/>
      <c r="AB14" s="21"/>
      <c r="AC14" s="21"/>
      <c r="AD14" s="21"/>
      <c r="AE14" s="21"/>
      <c r="AF14" s="296">
        <f t="shared" si="1"/>
        <v>4.9999999999954527E-5</v>
      </c>
      <c r="AH14" s="150"/>
      <c r="AI14" s="111">
        <v>8</v>
      </c>
      <c r="AJ14" s="148" t="b">
        <v>0</v>
      </c>
      <c r="AK14" s="148" t="str">
        <v>Q4</v>
      </c>
      <c r="AL14" s="252" t="str">
        <f t="shared" si="2"/>
        <v>EURFUT3MQ4_Quote</v>
      </c>
      <c r="AM14" s="253" t="str">
        <f t="shared" si="3"/>
        <v>EURFUT3MQ4ConvAdj_Quote</v>
      </c>
      <c r="AN14" s="252" t="str">
        <f>_xll.qlFuturesConvAdjustmentQuote($AM14,IborIndex,$AK14,$AL14,Volatility,MeanReversion,Permanent,Trigger,ObjectOverwrite)</f>
        <v>EURFUT3MQ4ConvAdj_Quote#0000</v>
      </c>
      <c r="AO14" s="79" t="str">
        <f>_xll.ohRangeRetrieveError(AN14)</f>
        <v/>
      </c>
      <c r="AP14" s="53"/>
    </row>
    <row r="15" spans="1:43" x14ac:dyDescent="0.2">
      <c r="A15" s="150"/>
      <c r="B15" s="111">
        <v>9</v>
      </c>
      <c r="C15" s="149" t="b">
        <v>0</v>
      </c>
      <c r="D15" s="148" t="str">
        <v>U4</v>
      </c>
      <c r="E15" s="147" t="str">
        <f t="shared" si="0"/>
        <v>EURFUT3MU4_Quote</v>
      </c>
      <c r="F15" s="146" t="str">
        <f>_xll.qlSimpleQuote(E15,,PriceTickValue,Permanent,Trigger,ObjectOverwrite)</f>
        <v>EURFUT3MU4_Quote#0000</v>
      </c>
      <c r="G15" s="109" t="str">
        <f>_xll.ohRangeRetrieveError(F15)</f>
        <v/>
      </c>
      <c r="H15" s="145"/>
      <c r="J15" s="335"/>
      <c r="K15" s="341">
        <v>9</v>
      </c>
      <c r="L15" s="340" t="b">
        <v>0</v>
      </c>
      <c r="M15" s="263" t="str">
        <v>U4</v>
      </c>
      <c r="N15" s="339">
        <v>41899</v>
      </c>
      <c r="O15" s="263" t="str">
        <v>FEIU4</v>
      </c>
      <c r="P15" s="338" t="s">
        <v>259</v>
      </c>
      <c r="Q15" s="263" t="s">
        <v>259</v>
      </c>
      <c r="R15" s="263" t="s">
        <v>259</v>
      </c>
      <c r="S15" s="263" t="s">
        <v>259</v>
      </c>
      <c r="T15" s="263" t="s">
        <v>259</v>
      </c>
      <c r="U15" s="266" t="e">
        <f>_xll.qlMidSafe($Q15,$R15)</f>
        <v>#NUM!</v>
      </c>
      <c r="V15" s="257"/>
      <c r="W15" s="337" t="e">
        <v>#NUM!</v>
      </c>
      <c r="X15" s="257"/>
      <c r="Y15" s="336" t="e">
        <v>#NUM!</v>
      </c>
      <c r="Z15" s="266" t="e">
        <f>_xll.qlSimpleQuoteSetValue(F15,Y15,Trigger)</f>
        <v>#NUM!</v>
      </c>
      <c r="AA15" s="53"/>
      <c r="AB15" s="21"/>
      <c r="AC15" s="21"/>
      <c r="AD15" s="21"/>
      <c r="AE15" s="21"/>
      <c r="AF15" s="296" t="e">
        <f t="shared" si="1"/>
        <v>#VALUE!</v>
      </c>
      <c r="AH15" s="150"/>
      <c r="AI15" s="111">
        <v>9</v>
      </c>
      <c r="AJ15" s="148" t="b">
        <v>0</v>
      </c>
      <c r="AK15" s="148" t="str">
        <v>U4</v>
      </c>
      <c r="AL15" s="252" t="str">
        <f t="shared" si="2"/>
        <v>EURFUT3MU4_Quote</v>
      </c>
      <c r="AM15" s="253" t="str">
        <f t="shared" si="3"/>
        <v>EURFUT3MU4ConvAdj_Quote</v>
      </c>
      <c r="AN15" s="252" t="str">
        <f>_xll.qlFuturesConvAdjustmentQuote($AM15,IborIndex,$AK15,$AL15,Volatility,MeanReversion,Permanent,Trigger,ObjectOverwrite)</f>
        <v>EURFUT3MU4ConvAdj_Quote#0000</v>
      </c>
      <c r="AO15" s="79" t="str">
        <f>_xll.ohRangeRetrieveError(AN15)</f>
        <v/>
      </c>
      <c r="AP15" s="53"/>
    </row>
    <row r="16" spans="1:43" x14ac:dyDescent="0.2">
      <c r="A16" s="150"/>
      <c r="B16" s="111">
        <v>10</v>
      </c>
      <c r="C16" s="149" t="b">
        <v>0</v>
      </c>
      <c r="D16" s="148" t="str">
        <v>V4</v>
      </c>
      <c r="E16" s="147" t="str">
        <f t="shared" si="0"/>
        <v>EURFUT3MV4_Quote</v>
      </c>
      <c r="F16" s="146" t="str">
        <f>_xll.qlSimpleQuote(E16,,PriceTickValue,Permanent,Trigger,ObjectOverwrite)</f>
        <v>EURFUT3MV4_Quote#0000</v>
      </c>
      <c r="G16" s="109" t="str">
        <f>_xll.ohRangeRetrieveError(F16)</f>
        <v/>
      </c>
      <c r="H16" s="145"/>
      <c r="J16" s="335"/>
      <c r="K16" s="341">
        <v>10</v>
      </c>
      <c r="L16" s="340" t="b">
        <v>0</v>
      </c>
      <c r="M16" s="263" t="str">
        <v>V4</v>
      </c>
      <c r="N16" s="339">
        <v>41927</v>
      </c>
      <c r="O16" s="263" t="str">
        <v>FEIV4</v>
      </c>
      <c r="P16" s="338" t="s">
        <v>259</v>
      </c>
      <c r="Q16" s="263" t="s">
        <v>259</v>
      </c>
      <c r="R16" s="263" t="s">
        <v>259</v>
      </c>
      <c r="S16" s="263" t="s">
        <v>259</v>
      </c>
      <c r="T16" s="263" t="s">
        <v>259</v>
      </c>
      <c r="U16" s="266" t="e">
        <f>_xll.qlMidSafe($Q16,$R16)</f>
        <v>#NUM!</v>
      </c>
      <c r="V16" s="257"/>
      <c r="W16" s="337" t="e">
        <v>#NUM!</v>
      </c>
      <c r="X16" s="257"/>
      <c r="Y16" s="336" t="e">
        <v>#NUM!</v>
      </c>
      <c r="Z16" s="266" t="e">
        <f>_xll.qlSimpleQuoteSetValue(F16,Y16,Trigger)</f>
        <v>#NUM!</v>
      </c>
      <c r="AA16" s="53"/>
      <c r="AB16" s="21"/>
      <c r="AC16" s="21"/>
      <c r="AD16" s="21"/>
      <c r="AE16" s="21"/>
      <c r="AF16" s="296" t="e">
        <f t="shared" si="1"/>
        <v>#VALUE!</v>
      </c>
      <c r="AH16" s="150"/>
      <c r="AI16" s="111">
        <v>10</v>
      </c>
      <c r="AJ16" s="148" t="b">
        <v>0</v>
      </c>
      <c r="AK16" s="148" t="str">
        <v>V4</v>
      </c>
      <c r="AL16" s="252" t="str">
        <f t="shared" si="2"/>
        <v>EURFUT3MV4_Quote</v>
      </c>
      <c r="AM16" s="253" t="str">
        <f t="shared" si="3"/>
        <v>EURFUT3MV4ConvAdj_Quote</v>
      </c>
      <c r="AN16" s="252" t="str">
        <f>_xll.qlFuturesConvAdjustmentQuote($AM16,IborIndex,$AK16,$AL16,Volatility,MeanReversion,Permanent,Trigger,ObjectOverwrite)</f>
        <v>EURFUT3MV4ConvAdj_Quote#0000</v>
      </c>
      <c r="AO16" s="79" t="str">
        <f>_xll.ohRangeRetrieveError(AN16)</f>
        <v/>
      </c>
      <c r="AP16" s="53"/>
    </row>
    <row r="17" spans="1:42" x14ac:dyDescent="0.2">
      <c r="A17" s="150"/>
      <c r="B17" s="111">
        <v>11</v>
      </c>
      <c r="C17" s="149" t="b">
        <v>0</v>
      </c>
      <c r="D17" s="148" t="str">
        <v>X4</v>
      </c>
      <c r="E17" s="147" t="str">
        <f t="shared" si="0"/>
        <v>EURFUT3MX4_Quote</v>
      </c>
      <c r="F17" s="146" t="str">
        <f>_xll.qlSimpleQuote(E17,,PriceTickValue,Permanent,Trigger,ObjectOverwrite)</f>
        <v>EURFUT3MX4_Quote#0000</v>
      </c>
      <c r="G17" s="109" t="str">
        <f>_xll.ohRangeRetrieveError(F17)</f>
        <v/>
      </c>
      <c r="H17" s="145"/>
      <c r="J17" s="335"/>
      <c r="K17" s="341">
        <v>11</v>
      </c>
      <c r="L17" s="340" t="b">
        <v>0</v>
      </c>
      <c r="M17" s="263" t="str">
        <v>X4</v>
      </c>
      <c r="N17" s="339">
        <v>41962</v>
      </c>
      <c r="O17" s="263" t="str">
        <v>FEIX4</v>
      </c>
      <c r="P17" s="338">
        <v>41806</v>
      </c>
      <c r="Q17" s="263">
        <v>99.545000000000002</v>
      </c>
      <c r="R17" s="263">
        <v>99.55</v>
      </c>
      <c r="S17" s="263">
        <v>99.55</v>
      </c>
      <c r="T17" s="263">
        <v>99.56</v>
      </c>
      <c r="U17" s="266">
        <f>_xll.qlMidSafe($Q17,$R17)</f>
        <v>99.547499999999999</v>
      </c>
      <c r="V17" s="257"/>
      <c r="W17" s="337">
        <v>99.547499999999999</v>
      </c>
      <c r="X17" s="257"/>
      <c r="Y17" s="336">
        <v>99.547499999999999</v>
      </c>
      <c r="Z17" s="266" t="e">
        <f>_xll.qlSimpleQuoteSetValue(F17,Y17,Trigger)</f>
        <v>#N/A</v>
      </c>
      <c r="AA17" s="53"/>
      <c r="AB17" s="21"/>
      <c r="AC17" s="21"/>
      <c r="AD17" s="21"/>
      <c r="AE17" s="21"/>
      <c r="AF17" s="296">
        <f t="shared" si="1"/>
        <v>4.9999999999954527E-5</v>
      </c>
      <c r="AH17" s="150"/>
      <c r="AI17" s="111">
        <v>11</v>
      </c>
      <c r="AJ17" s="148" t="b">
        <v>0</v>
      </c>
      <c r="AK17" s="148" t="str">
        <v>X4</v>
      </c>
      <c r="AL17" s="252" t="str">
        <f t="shared" si="2"/>
        <v>EURFUT3MX4_Quote</v>
      </c>
      <c r="AM17" s="253" t="str">
        <f t="shared" si="3"/>
        <v>EURFUT3MX4ConvAdj_Quote</v>
      </c>
      <c r="AN17" s="252" t="str">
        <f>_xll.qlFuturesConvAdjustmentQuote($AM17,IborIndex,$AK17,$AL17,Volatility,MeanReversion,Permanent,Trigger,ObjectOverwrite)</f>
        <v>EURFUT3MX4ConvAdj_Quote#0000</v>
      </c>
      <c r="AO17" s="79" t="str">
        <f>_xll.ohRangeRetrieveError(AN17)</f>
        <v/>
      </c>
      <c r="AP17" s="53"/>
    </row>
    <row r="18" spans="1:42" x14ac:dyDescent="0.2">
      <c r="A18" s="150"/>
      <c r="B18" s="111">
        <v>12</v>
      </c>
      <c r="C18" s="149" t="b">
        <v>0</v>
      </c>
      <c r="D18" s="148" t="str">
        <v>Z4</v>
      </c>
      <c r="E18" s="147" t="str">
        <f t="shared" si="0"/>
        <v>EURFUT3MZ4_Quote</v>
      </c>
      <c r="F18" s="146" t="str">
        <f>_xll.qlSimpleQuote(E18,,PriceTickValue,Permanent,Trigger,ObjectOverwrite)</f>
        <v>EURFUT3MZ4_Quote#0000</v>
      </c>
      <c r="G18" s="109" t="str">
        <f>_xll.ohRangeRetrieveError(F18)</f>
        <v/>
      </c>
      <c r="H18" s="145"/>
      <c r="J18" s="335"/>
      <c r="K18" s="341">
        <v>12</v>
      </c>
      <c r="L18" s="340" t="b">
        <v>0</v>
      </c>
      <c r="M18" s="263" t="str">
        <v>Z4</v>
      </c>
      <c r="N18" s="339">
        <v>41990</v>
      </c>
      <c r="O18" s="263" t="str">
        <v>FEIZ4</v>
      </c>
      <c r="P18" s="338" t="s">
        <v>259</v>
      </c>
      <c r="Q18" s="263" t="s">
        <v>259</v>
      </c>
      <c r="R18" s="263" t="s">
        <v>259</v>
      </c>
      <c r="S18" s="263" t="s">
        <v>259</v>
      </c>
      <c r="T18" s="263" t="s">
        <v>259</v>
      </c>
      <c r="U18" s="266" t="e">
        <f>_xll.qlMidSafe($Q18,$R18)</f>
        <v>#NUM!</v>
      </c>
      <c r="V18" s="257"/>
      <c r="W18" s="337" t="e">
        <v>#NUM!</v>
      </c>
      <c r="X18" s="257"/>
      <c r="Y18" s="336" t="e">
        <v>#NUM!</v>
      </c>
      <c r="Z18" s="266" t="e">
        <f>_xll.qlSimpleQuoteSetValue(F18,Y18,Trigger)</f>
        <v>#NUM!</v>
      </c>
      <c r="AA18" s="53"/>
      <c r="AB18" s="21"/>
      <c r="AC18" s="21"/>
      <c r="AD18" s="21"/>
      <c r="AE18" s="21"/>
      <c r="AF18" s="296" t="e">
        <f t="shared" si="1"/>
        <v>#VALUE!</v>
      </c>
      <c r="AH18" s="150"/>
      <c r="AI18" s="111">
        <v>12</v>
      </c>
      <c r="AJ18" s="148" t="b">
        <v>0</v>
      </c>
      <c r="AK18" s="148" t="str">
        <v>Z4</v>
      </c>
      <c r="AL18" s="252" t="str">
        <f t="shared" si="2"/>
        <v>EURFUT3MZ4_Quote</v>
      </c>
      <c r="AM18" s="253" t="str">
        <f t="shared" si="3"/>
        <v>EURFUT3MZ4ConvAdj_Quote</v>
      </c>
      <c r="AN18" s="252" t="str">
        <f>_xll.qlFuturesConvAdjustmentQuote($AM18,IborIndex,$AK18,$AL18,Volatility,MeanReversion,Permanent,Trigger,ObjectOverwrite)</f>
        <v>EURFUT3MZ4ConvAdj_Quote#0000</v>
      </c>
      <c r="AO18" s="79" t="str">
        <f>_xll.ohRangeRetrieveError(AN18)</f>
        <v/>
      </c>
      <c r="AP18" s="53"/>
    </row>
    <row r="19" spans="1:42" x14ac:dyDescent="0.2">
      <c r="A19" s="150"/>
      <c r="B19" s="111">
        <v>13</v>
      </c>
      <c r="C19" s="149" t="b">
        <v>1</v>
      </c>
      <c r="D19" s="148" t="str">
        <v>H5</v>
      </c>
      <c r="E19" s="147" t="str">
        <f t="shared" si="0"/>
        <v>EURFUT3MH5_Quote</v>
      </c>
      <c r="F19" s="146" t="str">
        <f>_xll.qlSimpleQuote(E19,,PriceTickValue,Permanent,Trigger,ObjectOverwrite)</f>
        <v>EURFUT3MH5_Quote#0000</v>
      </c>
      <c r="G19" s="109" t="str">
        <f>_xll.ohRangeRetrieveError(F19)</f>
        <v/>
      </c>
      <c r="H19" s="145"/>
      <c r="J19" s="335"/>
      <c r="K19" s="341">
        <v>13</v>
      </c>
      <c r="L19" s="340" t="b">
        <v>1</v>
      </c>
      <c r="M19" s="263" t="str">
        <v>H5</v>
      </c>
      <c r="N19" s="339">
        <v>42081</v>
      </c>
      <c r="O19" s="263" t="str">
        <v>FEIH5</v>
      </c>
      <c r="P19" s="338">
        <v>41897</v>
      </c>
      <c r="Q19" s="263">
        <v>99.484999999999999</v>
      </c>
      <c r="R19" s="263">
        <v>99.49</v>
      </c>
      <c r="S19" s="263">
        <v>99.484999999999999</v>
      </c>
      <c r="T19" s="263">
        <v>99.51</v>
      </c>
      <c r="U19" s="266">
        <f>_xll.qlMidSafe($Q19,$R19)</f>
        <v>99.487499999999997</v>
      </c>
      <c r="V19" s="257"/>
      <c r="W19" s="337">
        <v>99.487499999999997</v>
      </c>
      <c r="X19" s="257"/>
      <c r="Y19" s="336">
        <v>99.487499999999997</v>
      </c>
      <c r="Z19" s="266" t="e">
        <f>_xll.qlSimpleQuoteSetValue(F19,Y19,Trigger)</f>
        <v>#N/A</v>
      </c>
      <c r="AA19" s="53"/>
      <c r="AB19" s="21"/>
      <c r="AC19" s="21"/>
      <c r="AD19" s="21"/>
      <c r="AE19" s="21"/>
      <c r="AF19" s="296">
        <f t="shared" si="1"/>
        <v>4.9999999999954527E-5</v>
      </c>
      <c r="AH19" s="150"/>
      <c r="AI19" s="111">
        <v>13</v>
      </c>
      <c r="AJ19" s="148" t="b">
        <v>0</v>
      </c>
      <c r="AK19" s="148" t="str">
        <v>H5</v>
      </c>
      <c r="AL19" s="252" t="str">
        <f t="shared" si="2"/>
        <v>EURFUT3MH5_Quote</v>
      </c>
      <c r="AM19" s="253" t="str">
        <f t="shared" si="3"/>
        <v>EURFUT3MH5ConvAdj_Quote</v>
      </c>
      <c r="AN19" s="252" t="str">
        <f>_xll.qlFuturesConvAdjustmentQuote($AM19,IborIndex,$AK19,$AL19,Volatility,MeanReversion,Permanent,Trigger,ObjectOverwrite)</f>
        <v>EURFUT3MH5ConvAdj_Quote#0000</v>
      </c>
      <c r="AO19" s="79" t="str">
        <f>_xll.ohRangeRetrieveError(AN19)</f>
        <v/>
      </c>
      <c r="AP19" s="53"/>
    </row>
    <row r="20" spans="1:42" x14ac:dyDescent="0.2">
      <c r="A20" s="150"/>
      <c r="B20" s="111">
        <v>14</v>
      </c>
      <c r="C20" s="149" t="b">
        <v>1</v>
      </c>
      <c r="D20" s="148" t="str">
        <v>M5</v>
      </c>
      <c r="E20" s="147" t="str">
        <f t="shared" si="0"/>
        <v>EURFUT3MM5_Quote</v>
      </c>
      <c r="F20" s="146" t="str">
        <f>_xll.qlSimpleQuote(E20,,PriceTickValue,Permanent,Trigger,ObjectOverwrite)</f>
        <v>EURFUT3MM5_Quote#0000</v>
      </c>
      <c r="G20" s="109" t="str">
        <f>_xll.ohRangeRetrieveError(F20)</f>
        <v/>
      </c>
      <c r="H20" s="145"/>
      <c r="J20" s="335"/>
      <c r="K20" s="341">
        <v>14</v>
      </c>
      <c r="L20" s="340" t="b">
        <v>1</v>
      </c>
      <c r="M20" s="263" t="str">
        <v>M5</v>
      </c>
      <c r="N20" s="339">
        <v>42172</v>
      </c>
      <c r="O20" s="263" t="str">
        <v>FEIM5</v>
      </c>
      <c r="P20" s="338">
        <v>41988</v>
      </c>
      <c r="Q20" s="263">
        <v>99.415000000000006</v>
      </c>
      <c r="R20" s="263">
        <v>99.42</v>
      </c>
      <c r="S20" s="263">
        <v>99.42</v>
      </c>
      <c r="T20" s="263">
        <v>99.454999999999998</v>
      </c>
      <c r="U20" s="266">
        <f>_xll.qlMidSafe($Q20,$R20)</f>
        <v>99.417500000000004</v>
      </c>
      <c r="V20" s="257"/>
      <c r="W20" s="337">
        <v>99.417500000000004</v>
      </c>
      <c r="X20" s="257"/>
      <c r="Y20" s="336">
        <v>99.417500000000004</v>
      </c>
      <c r="Z20" s="266" t="e">
        <f>_xll.qlSimpleQuoteSetValue(F20,Y20,Trigger)</f>
        <v>#N/A</v>
      </c>
      <c r="AA20" s="53"/>
      <c r="AB20" s="21"/>
      <c r="AC20" s="21"/>
      <c r="AD20" s="21"/>
      <c r="AE20" s="21"/>
      <c r="AF20" s="296">
        <f t="shared" si="1"/>
        <v>4.9999999999954527E-5</v>
      </c>
      <c r="AH20" s="150"/>
      <c r="AI20" s="111">
        <v>14</v>
      </c>
      <c r="AJ20" s="148" t="b">
        <v>0</v>
      </c>
      <c r="AK20" s="148" t="str">
        <v>M5</v>
      </c>
      <c r="AL20" s="252" t="str">
        <f t="shared" si="2"/>
        <v>EURFUT3MM5_Quote</v>
      </c>
      <c r="AM20" s="253" t="str">
        <f t="shared" si="3"/>
        <v>EURFUT3MM5ConvAdj_Quote</v>
      </c>
      <c r="AN20" s="252" t="str">
        <f>_xll.qlFuturesConvAdjustmentQuote($AM20,IborIndex,$AK20,$AL20,Volatility,MeanReversion,Permanent,Trigger,ObjectOverwrite)</f>
        <v>EURFUT3MM5ConvAdj_Quote#0000</v>
      </c>
      <c r="AO20" s="79" t="str">
        <f>_xll.ohRangeRetrieveError(AN20)</f>
        <v/>
      </c>
      <c r="AP20" s="53"/>
    </row>
    <row r="21" spans="1:42" x14ac:dyDescent="0.2">
      <c r="A21" s="150"/>
      <c r="B21" s="111">
        <v>15</v>
      </c>
      <c r="C21" s="149" t="b">
        <v>1</v>
      </c>
      <c r="D21" s="148" t="str">
        <v>U5</v>
      </c>
      <c r="E21" s="147" t="str">
        <f t="shared" si="0"/>
        <v>EURFUT3MU5_Quote</v>
      </c>
      <c r="F21" s="146" t="str">
        <f>_xll.qlSimpleQuote(E21,,PriceTickValue,Permanent,Trigger,ObjectOverwrite)</f>
        <v>EURFUT3MU5_Quote#0000</v>
      </c>
      <c r="G21" s="109" t="str">
        <f>_xll.ohRangeRetrieveError(F21)</f>
        <v/>
      </c>
      <c r="H21" s="145"/>
      <c r="J21" s="335"/>
      <c r="K21" s="341">
        <v>15</v>
      </c>
      <c r="L21" s="340" t="b">
        <v>1</v>
      </c>
      <c r="M21" s="263" t="str">
        <v>U5</v>
      </c>
      <c r="N21" s="339">
        <v>42263</v>
      </c>
      <c r="O21" s="263" t="str">
        <v>FEIU5</v>
      </c>
      <c r="P21" s="338">
        <v>42079</v>
      </c>
      <c r="Q21" s="263">
        <v>99.344999999999999</v>
      </c>
      <c r="R21" s="263">
        <v>99.35</v>
      </c>
      <c r="S21" s="263">
        <v>99.35</v>
      </c>
      <c r="T21" s="263">
        <v>99.394999999999996</v>
      </c>
      <c r="U21" s="266">
        <f>_xll.qlMidSafe($Q21,$R21)</f>
        <v>99.347499999999997</v>
      </c>
      <c r="V21" s="257"/>
      <c r="W21" s="337">
        <v>99.347499999999997</v>
      </c>
      <c r="X21" s="257"/>
      <c r="Y21" s="336">
        <v>99.347499999999997</v>
      </c>
      <c r="Z21" s="266" t="e">
        <f>_xll.qlSimpleQuoteSetValue(F21,Y21,Trigger)</f>
        <v>#N/A</v>
      </c>
      <c r="AA21" s="53"/>
      <c r="AB21" s="21"/>
      <c r="AC21" s="21"/>
      <c r="AD21" s="21"/>
      <c r="AE21" s="21"/>
      <c r="AF21" s="296">
        <f t="shared" si="1"/>
        <v>4.9999999999954527E-5</v>
      </c>
      <c r="AH21" s="150"/>
      <c r="AI21" s="111">
        <v>15</v>
      </c>
      <c r="AJ21" s="148" t="b">
        <v>0</v>
      </c>
      <c r="AK21" s="148" t="str">
        <v>U5</v>
      </c>
      <c r="AL21" s="252" t="str">
        <f t="shared" si="2"/>
        <v>EURFUT3MU5_Quote</v>
      </c>
      <c r="AM21" s="253" t="str">
        <f t="shared" si="3"/>
        <v>EURFUT3MU5ConvAdj_Quote</v>
      </c>
      <c r="AN21" s="252" t="str">
        <f>_xll.qlFuturesConvAdjustmentQuote($AM21,IborIndex,$AK21,$AL21,Volatility,MeanReversion,Permanent,Trigger,ObjectOverwrite)</f>
        <v>EURFUT3MU5ConvAdj_Quote#0000</v>
      </c>
      <c r="AO21" s="79" t="str">
        <f>_xll.ohRangeRetrieveError(AN21)</f>
        <v/>
      </c>
      <c r="AP21" s="53"/>
    </row>
    <row r="22" spans="1:42" x14ac:dyDescent="0.2">
      <c r="A22" s="150"/>
      <c r="B22" s="111">
        <v>16</v>
      </c>
      <c r="C22" s="149" t="b">
        <v>1</v>
      </c>
      <c r="D22" s="148" t="str">
        <v>Z5</v>
      </c>
      <c r="E22" s="147" t="str">
        <f t="shared" si="0"/>
        <v>EURFUT3MZ5_Quote</v>
      </c>
      <c r="F22" s="146" t="str">
        <f>_xll.qlSimpleQuote(E22,,PriceTickValue,Permanent,Trigger,ObjectOverwrite)</f>
        <v>EURFUT3MZ5_Quote#0000</v>
      </c>
      <c r="G22" s="109" t="str">
        <f>_xll.ohRangeRetrieveError(F22)</f>
        <v/>
      </c>
      <c r="H22" s="145"/>
      <c r="J22" s="335"/>
      <c r="K22" s="341">
        <v>16</v>
      </c>
      <c r="L22" s="340" t="b">
        <v>1</v>
      </c>
      <c r="M22" s="263" t="str">
        <v>Z5</v>
      </c>
      <c r="N22" s="339">
        <v>42354</v>
      </c>
      <c r="O22" s="263" t="str">
        <v>FEIZ5</v>
      </c>
      <c r="P22" s="338">
        <v>42170</v>
      </c>
      <c r="Q22" s="263">
        <v>99.265000000000001</v>
      </c>
      <c r="R22" s="263">
        <v>99.27</v>
      </c>
      <c r="S22" s="263">
        <v>99.27</v>
      </c>
      <c r="T22" s="263">
        <v>99.325000000000003</v>
      </c>
      <c r="U22" s="266">
        <f>_xll.qlMidSafe($Q22,$R22)</f>
        <v>99.267499999999998</v>
      </c>
      <c r="V22" s="257"/>
      <c r="W22" s="337">
        <v>99.267499999999998</v>
      </c>
      <c r="X22" s="257"/>
      <c r="Y22" s="336">
        <v>99.267499999999998</v>
      </c>
      <c r="Z22" s="266" t="e">
        <f>_xll.qlSimpleQuoteSetValue(F22,Y22,Trigger)</f>
        <v>#N/A</v>
      </c>
      <c r="AA22" s="53"/>
      <c r="AB22" s="21"/>
      <c r="AC22" s="21"/>
      <c r="AD22" s="21"/>
      <c r="AE22" s="21"/>
      <c r="AF22" s="296">
        <f t="shared" si="1"/>
        <v>4.9999999999954527E-5</v>
      </c>
      <c r="AH22" s="150"/>
      <c r="AI22" s="111">
        <v>16</v>
      </c>
      <c r="AJ22" s="148" t="b">
        <v>0</v>
      </c>
      <c r="AK22" s="148" t="str">
        <v>Z5</v>
      </c>
      <c r="AL22" s="252" t="str">
        <f t="shared" si="2"/>
        <v>EURFUT3MZ5_Quote</v>
      </c>
      <c r="AM22" s="253" t="str">
        <f t="shared" si="3"/>
        <v>EURFUT3MZ5ConvAdj_Quote</v>
      </c>
      <c r="AN22" s="252" t="str">
        <f>_xll.qlFuturesConvAdjustmentQuote($AM22,IborIndex,$AK22,$AL22,Volatility,MeanReversion,Permanent,Trigger,ObjectOverwrite)</f>
        <v>EURFUT3MZ5ConvAdj_Quote#0000</v>
      </c>
      <c r="AO22" s="79" t="str">
        <f>_xll.ohRangeRetrieveError(AN22)</f>
        <v/>
      </c>
      <c r="AP22" s="53"/>
    </row>
    <row r="23" spans="1:42" x14ac:dyDescent="0.2">
      <c r="A23" s="150"/>
      <c r="B23" s="111">
        <v>17</v>
      </c>
      <c r="C23" s="149" t="b">
        <v>1</v>
      </c>
      <c r="D23" s="148" t="str">
        <v>H6</v>
      </c>
      <c r="E23" s="147" t="str">
        <f t="shared" si="0"/>
        <v>EURFUT3MH6_Quote</v>
      </c>
      <c r="F23" s="146" t="str">
        <f>_xll.qlSimpleQuote(E23,,PriceTickValue,Permanent,Trigger,ObjectOverwrite)</f>
        <v>EURFUT3MH6_Quote#0000</v>
      </c>
      <c r="G23" s="109" t="str">
        <f>_xll.ohRangeRetrieveError(F23)</f>
        <v/>
      </c>
      <c r="H23" s="145"/>
      <c r="J23" s="335"/>
      <c r="K23" s="341">
        <v>17</v>
      </c>
      <c r="L23" s="340" t="b">
        <v>1</v>
      </c>
      <c r="M23" s="263" t="str">
        <v>H6</v>
      </c>
      <c r="N23" s="339">
        <v>42445</v>
      </c>
      <c r="O23" s="263" t="str">
        <v>FEIH6</v>
      </c>
      <c r="P23" s="338">
        <v>42261</v>
      </c>
      <c r="Q23" s="263">
        <v>99.18</v>
      </c>
      <c r="R23" s="263">
        <v>99.185000000000002</v>
      </c>
      <c r="S23" s="263">
        <v>99.185000000000002</v>
      </c>
      <c r="T23" s="263">
        <v>99.245000000000005</v>
      </c>
      <c r="U23" s="266">
        <f>_xll.qlMidSafe($Q23,$R23)</f>
        <v>99.182500000000005</v>
      </c>
      <c r="V23" s="257"/>
      <c r="W23" s="337">
        <v>99.182500000000005</v>
      </c>
      <c r="X23" s="257"/>
      <c r="Y23" s="336">
        <v>99.182500000000005</v>
      </c>
      <c r="Z23" s="266" t="e">
        <f>_xll.qlSimpleQuoteSetValue(F23,Y23,Trigger)</f>
        <v>#N/A</v>
      </c>
      <c r="AA23" s="53"/>
      <c r="AB23" s="21"/>
      <c r="AC23" s="21"/>
      <c r="AD23" s="21"/>
      <c r="AE23" s="21"/>
      <c r="AF23" s="296">
        <f t="shared" si="1"/>
        <v>4.9999999999954527E-5</v>
      </c>
      <c r="AH23" s="150"/>
      <c r="AI23" s="111">
        <v>17</v>
      </c>
      <c r="AJ23" s="148" t="b">
        <v>0</v>
      </c>
      <c r="AK23" s="148" t="str">
        <v>H6</v>
      </c>
      <c r="AL23" s="252" t="str">
        <f t="shared" si="2"/>
        <v>EURFUT3MH6_Quote</v>
      </c>
      <c r="AM23" s="253" t="str">
        <f t="shared" si="3"/>
        <v>EURFUT3MH6ConvAdj_Quote</v>
      </c>
      <c r="AN23" s="252" t="str">
        <f>_xll.qlFuturesConvAdjustmentQuote($AM23,IborIndex,$AK23,$AL23,Volatility,MeanReversion,Permanent,Trigger,ObjectOverwrite)</f>
        <v>EURFUT3MH6ConvAdj_Quote#0000</v>
      </c>
      <c r="AO23" s="79" t="str">
        <f>_xll.ohRangeRetrieveError(AN23)</f>
        <v/>
      </c>
      <c r="AP23" s="53"/>
    </row>
    <row r="24" spans="1:42" x14ac:dyDescent="0.2">
      <c r="A24" s="150"/>
      <c r="B24" s="111">
        <v>18</v>
      </c>
      <c r="C24" s="149" t="b">
        <v>1</v>
      </c>
      <c r="D24" s="148" t="str">
        <v>M6</v>
      </c>
      <c r="E24" s="147" t="str">
        <f t="shared" si="0"/>
        <v>EURFUT3MM6_Quote</v>
      </c>
      <c r="F24" s="146" t="str">
        <f>_xll.qlSimpleQuote(E24,,PriceTickValue,Permanent,Trigger,ObjectOverwrite)</f>
        <v>EURFUT3MM6_Quote#0000</v>
      </c>
      <c r="G24" s="109" t="str">
        <f>_xll.ohRangeRetrieveError(F24)</f>
        <v/>
      </c>
      <c r="H24" s="145"/>
      <c r="J24" s="335"/>
      <c r="K24" s="341">
        <v>18</v>
      </c>
      <c r="L24" s="340" t="b">
        <v>1</v>
      </c>
      <c r="M24" s="263" t="str">
        <v>M6</v>
      </c>
      <c r="N24" s="339">
        <v>42536</v>
      </c>
      <c r="O24" s="263" t="str">
        <v>FEIM6</v>
      </c>
      <c r="P24" s="338">
        <v>42352</v>
      </c>
      <c r="Q24" s="263">
        <v>99.07</v>
      </c>
      <c r="R24" s="263">
        <v>99.08</v>
      </c>
      <c r="S24" s="263">
        <v>99.075000000000003</v>
      </c>
      <c r="T24" s="263">
        <v>99.15</v>
      </c>
      <c r="U24" s="266">
        <f>_xll.qlMidSafe($Q24,$R24)</f>
        <v>99.074999999999989</v>
      </c>
      <c r="V24" s="257"/>
      <c r="W24" s="337">
        <v>99.074999999999989</v>
      </c>
      <c r="X24" s="257"/>
      <c r="Y24" s="336">
        <v>99.074999999999989</v>
      </c>
      <c r="Z24" s="266" t="e">
        <f>_xll.qlSimpleQuoteSetValue(F24,Y24,Trigger)</f>
        <v>#N/A</v>
      </c>
      <c r="AA24" s="53"/>
      <c r="AB24" s="21"/>
      <c r="AC24" s="21"/>
      <c r="AD24" s="21"/>
      <c r="AE24" s="21"/>
      <c r="AF24" s="296">
        <f t="shared" si="1"/>
        <v>1.0000000000019326E-4</v>
      </c>
      <c r="AH24" s="150"/>
      <c r="AI24" s="111">
        <v>18</v>
      </c>
      <c r="AJ24" s="148" t="b">
        <v>0</v>
      </c>
      <c r="AK24" s="148" t="str">
        <v>M6</v>
      </c>
      <c r="AL24" s="252" t="str">
        <f t="shared" si="2"/>
        <v>EURFUT3MM6_Quote</v>
      </c>
      <c r="AM24" s="253" t="str">
        <f t="shared" si="3"/>
        <v>EURFUT3MM6ConvAdj_Quote</v>
      </c>
      <c r="AN24" s="252" t="str">
        <f>_xll.qlFuturesConvAdjustmentQuote($AM24,IborIndex,$AK24,$AL24,Volatility,MeanReversion,Permanent,Trigger,ObjectOverwrite)</f>
        <v>EURFUT3MM6ConvAdj_Quote#0000</v>
      </c>
      <c r="AO24" s="79" t="str">
        <f>_xll.ohRangeRetrieveError(AN24)</f>
        <v/>
      </c>
      <c r="AP24" s="53"/>
    </row>
    <row r="25" spans="1:42" x14ac:dyDescent="0.2">
      <c r="A25" s="150"/>
      <c r="B25" s="111">
        <v>19</v>
      </c>
      <c r="C25" s="149" t="b">
        <v>1</v>
      </c>
      <c r="D25" s="148" t="str">
        <v>U6</v>
      </c>
      <c r="E25" s="147" t="str">
        <f t="shared" si="0"/>
        <v>EURFUT3MU6_Quote</v>
      </c>
      <c r="F25" s="146" t="str">
        <f>_xll.qlSimpleQuote(E25,,PriceTickValue,Permanent,Trigger,ObjectOverwrite)</f>
        <v>EURFUT3MU6_Quote#0000</v>
      </c>
      <c r="G25" s="109" t="str">
        <f>_xll.ohRangeRetrieveError(F25)</f>
        <v/>
      </c>
      <c r="H25" s="145"/>
      <c r="J25" s="335"/>
      <c r="K25" s="341">
        <v>19</v>
      </c>
      <c r="L25" s="340" t="b">
        <v>1</v>
      </c>
      <c r="M25" s="263" t="str">
        <v>U6</v>
      </c>
      <c r="N25" s="339">
        <v>42634</v>
      </c>
      <c r="O25" s="263" t="str">
        <v>FEIU6</v>
      </c>
      <c r="P25" s="338">
        <v>42443</v>
      </c>
      <c r="Q25" s="263">
        <v>98.944999999999993</v>
      </c>
      <c r="R25" s="263">
        <v>98.954999999999998</v>
      </c>
      <c r="S25" s="263">
        <v>98.95</v>
      </c>
      <c r="T25" s="263">
        <v>99.034999999999997</v>
      </c>
      <c r="U25" s="266">
        <f>_xll.qlMidSafe($Q25,$R25)</f>
        <v>98.949999999999989</v>
      </c>
      <c r="V25" s="257"/>
      <c r="W25" s="337">
        <v>98.949999999999989</v>
      </c>
      <c r="X25" s="257"/>
      <c r="Y25" s="336">
        <v>98.949999999999989</v>
      </c>
      <c r="Z25" s="266" t="e">
        <f>_xll.qlSimpleQuoteSetValue(F25,Y25,Trigger)</f>
        <v>#N/A</v>
      </c>
      <c r="AA25" s="53"/>
      <c r="AB25" s="21"/>
      <c r="AC25" s="21"/>
      <c r="AD25" s="21"/>
      <c r="AE25" s="21"/>
      <c r="AF25" s="296">
        <f t="shared" si="1"/>
        <v>1.0000000000019326E-4</v>
      </c>
      <c r="AH25" s="150"/>
      <c r="AI25" s="111">
        <v>19</v>
      </c>
      <c r="AJ25" s="148" t="b">
        <v>0</v>
      </c>
      <c r="AK25" s="148" t="str">
        <v>U6</v>
      </c>
      <c r="AL25" s="252" t="str">
        <f t="shared" si="2"/>
        <v>EURFUT3MU6_Quote</v>
      </c>
      <c r="AM25" s="253" t="str">
        <f t="shared" si="3"/>
        <v>EURFUT3MU6ConvAdj_Quote</v>
      </c>
      <c r="AN25" s="252" t="str">
        <f>_xll.qlFuturesConvAdjustmentQuote($AM25,IborIndex,$AK25,$AL25,Volatility,MeanReversion,Permanent,Trigger,ObjectOverwrite)</f>
        <v>EURFUT3MU6ConvAdj_Quote#0000</v>
      </c>
      <c r="AO25" s="79" t="str">
        <f>_xll.ohRangeRetrieveError(AN25)</f>
        <v/>
      </c>
      <c r="AP25" s="53"/>
    </row>
    <row r="26" spans="1:42" x14ac:dyDescent="0.2">
      <c r="A26" s="150"/>
      <c r="B26" s="111">
        <v>20</v>
      </c>
      <c r="C26" s="149" t="b">
        <v>1</v>
      </c>
      <c r="D26" s="148" t="str">
        <v>Z6</v>
      </c>
      <c r="E26" s="147" t="str">
        <f t="shared" si="0"/>
        <v>EURFUT3MZ6_Quote</v>
      </c>
      <c r="F26" s="146" t="str">
        <f>_xll.qlSimpleQuote(E26,,PriceTickValue,Permanent,Trigger,ObjectOverwrite)</f>
        <v>EURFUT3MZ6_Quote#0000</v>
      </c>
      <c r="G26" s="109" t="str">
        <f>_xll.ohRangeRetrieveError(F26)</f>
        <v/>
      </c>
      <c r="H26" s="145"/>
      <c r="J26" s="335"/>
      <c r="K26" s="341">
        <v>20</v>
      </c>
      <c r="L26" s="340" t="b">
        <v>1</v>
      </c>
      <c r="M26" s="263" t="str">
        <v>Z6</v>
      </c>
      <c r="N26" s="339">
        <v>42725</v>
      </c>
      <c r="O26" s="263" t="str">
        <v>FEIZ6</v>
      </c>
      <c r="P26" s="338">
        <v>42534</v>
      </c>
      <c r="Q26" s="263">
        <v>98.8</v>
      </c>
      <c r="R26" s="263">
        <v>98.805000000000007</v>
      </c>
      <c r="S26" s="263">
        <v>98.81</v>
      </c>
      <c r="T26" s="263">
        <v>98.9</v>
      </c>
      <c r="U26" s="266">
        <f>_xll.qlMidSafe($Q26,$R26)</f>
        <v>98.802500000000009</v>
      </c>
      <c r="V26" s="257"/>
      <c r="W26" s="337">
        <v>98.802500000000009</v>
      </c>
      <c r="X26" s="257"/>
      <c r="Y26" s="336">
        <v>98.802500000000009</v>
      </c>
      <c r="Z26" s="266" t="e">
        <f>_xll.qlSimpleQuoteSetValue(F26,Y26,Trigger)</f>
        <v>#N/A</v>
      </c>
      <c r="AA26" s="53"/>
      <c r="AB26" s="21"/>
      <c r="AC26" s="21"/>
      <c r="AD26" s="21"/>
      <c r="AE26" s="21"/>
      <c r="AF26" s="296">
        <f t="shared" si="1"/>
        <v>4.9999999999954527E-5</v>
      </c>
      <c r="AH26" s="150"/>
      <c r="AI26" s="111">
        <v>20</v>
      </c>
      <c r="AJ26" s="148" t="b">
        <v>0</v>
      </c>
      <c r="AK26" s="148" t="str">
        <v>Z6</v>
      </c>
      <c r="AL26" s="252" t="str">
        <f t="shared" si="2"/>
        <v>EURFUT3MZ6_Quote</v>
      </c>
      <c r="AM26" s="253" t="str">
        <f t="shared" si="3"/>
        <v>EURFUT3MZ6ConvAdj_Quote</v>
      </c>
      <c r="AN26" s="252" t="str">
        <f>_xll.qlFuturesConvAdjustmentQuote($AM26,IborIndex,$AK26,$AL26,Volatility,MeanReversion,Permanent,Trigger,ObjectOverwrite)</f>
        <v>EURFUT3MZ6ConvAdj_Quote#0000</v>
      </c>
      <c r="AO26" s="79" t="str">
        <f>_xll.ohRangeRetrieveError(AN26)</f>
        <v/>
      </c>
      <c r="AP26" s="53"/>
    </row>
    <row r="27" spans="1:42" x14ac:dyDescent="0.2">
      <c r="A27" s="150"/>
      <c r="B27" s="111">
        <v>21</v>
      </c>
      <c r="C27" s="149" t="b">
        <v>1</v>
      </c>
      <c r="D27" s="148" t="str">
        <v>H7</v>
      </c>
      <c r="E27" s="147" t="str">
        <f t="shared" si="0"/>
        <v>EURFUT3MH7_Quote</v>
      </c>
      <c r="F27" s="146" t="str">
        <f>_xll.qlSimpleQuote(E27,,PriceTickValue,Permanent,Trigger,ObjectOverwrite)</f>
        <v>EURFUT3MH7_Quote#0000</v>
      </c>
      <c r="G27" s="109" t="str">
        <f>_xll.ohRangeRetrieveError(F27)</f>
        <v/>
      </c>
      <c r="H27" s="145"/>
      <c r="J27" s="335"/>
      <c r="K27" s="341">
        <v>21</v>
      </c>
      <c r="L27" s="340" t="b">
        <v>1</v>
      </c>
      <c r="M27" s="263" t="str">
        <v>H7</v>
      </c>
      <c r="N27" s="339">
        <v>42809</v>
      </c>
      <c r="O27" s="263" t="str">
        <v>FEIH7</v>
      </c>
      <c r="P27" s="338">
        <v>42632</v>
      </c>
      <c r="Q27" s="263">
        <v>98.65</v>
      </c>
      <c r="R27" s="263">
        <v>98.66</v>
      </c>
      <c r="S27" s="263">
        <v>98.66</v>
      </c>
      <c r="T27" s="263">
        <v>98.765000000000001</v>
      </c>
      <c r="U27" s="266">
        <f>_xll.qlMidSafe($Q27,$R27)</f>
        <v>98.655000000000001</v>
      </c>
      <c r="V27" s="257"/>
      <c r="W27" s="337">
        <v>98.655000000000001</v>
      </c>
      <c r="X27" s="257"/>
      <c r="Y27" s="336">
        <v>98.655000000000001</v>
      </c>
      <c r="Z27" s="266" t="e">
        <f>_xll.qlSimpleQuoteSetValue(F27,Y27,Trigger)</f>
        <v>#N/A</v>
      </c>
      <c r="AA27" s="53"/>
      <c r="AB27" s="21"/>
      <c r="AC27" s="21"/>
      <c r="AD27" s="21"/>
      <c r="AE27" s="21"/>
      <c r="AF27" s="296">
        <f t="shared" si="1"/>
        <v>9.9999999999909054E-5</v>
      </c>
      <c r="AH27" s="150"/>
      <c r="AI27" s="111">
        <v>21</v>
      </c>
      <c r="AJ27" s="148" t="b">
        <v>0</v>
      </c>
      <c r="AK27" s="148" t="str">
        <v>H7</v>
      </c>
      <c r="AL27" s="252" t="str">
        <f t="shared" si="2"/>
        <v>EURFUT3MH7_Quote</v>
      </c>
      <c r="AM27" s="253" t="str">
        <f t="shared" si="3"/>
        <v>EURFUT3MH7ConvAdj_Quote</v>
      </c>
      <c r="AN27" s="252" t="str">
        <f>_xll.qlFuturesConvAdjustmentQuote($AM27,IborIndex,$AK27,$AL27,Volatility,MeanReversion,Permanent,Trigger,ObjectOverwrite)</f>
        <v>EURFUT3MH7ConvAdj_Quote#0000</v>
      </c>
      <c r="AO27" s="79" t="str">
        <f>_xll.ohRangeRetrieveError(AN27)</f>
        <v/>
      </c>
      <c r="AP27" s="53"/>
    </row>
    <row r="28" spans="1:42" x14ac:dyDescent="0.2">
      <c r="A28" s="150"/>
      <c r="B28" s="111">
        <v>22</v>
      </c>
      <c r="C28" s="149" t="b">
        <v>1</v>
      </c>
      <c r="D28" s="148" t="str">
        <v>M7</v>
      </c>
      <c r="E28" s="147" t="str">
        <f t="shared" si="0"/>
        <v>EURFUT3MM7_Quote</v>
      </c>
      <c r="F28" s="146" t="str">
        <f>_xll.qlSimpleQuote(E28,,PriceTickValue,Permanent,Trigger,ObjectOverwrite)</f>
        <v>EURFUT3MM7_Quote#0000</v>
      </c>
      <c r="G28" s="109" t="str">
        <f>_xll.ohRangeRetrieveError(F28)</f>
        <v/>
      </c>
      <c r="H28" s="145"/>
      <c r="J28" s="335"/>
      <c r="K28" s="341">
        <v>22</v>
      </c>
      <c r="L28" s="340" t="b">
        <v>1</v>
      </c>
      <c r="M28" s="263" t="str">
        <v>M7</v>
      </c>
      <c r="N28" s="339">
        <v>42907</v>
      </c>
      <c r="O28" s="263" t="str">
        <v>FEIM7</v>
      </c>
      <c r="P28" s="338">
        <v>42723</v>
      </c>
      <c r="Q28" s="263">
        <v>98.51</v>
      </c>
      <c r="R28" s="263">
        <v>98.52</v>
      </c>
      <c r="S28" s="263">
        <v>98.525000000000006</v>
      </c>
      <c r="T28" s="263">
        <v>98.63</v>
      </c>
      <c r="U28" s="266">
        <f>_xll.qlMidSafe($Q28,$R28)</f>
        <v>98.515000000000001</v>
      </c>
      <c r="V28" s="257"/>
      <c r="W28" s="337">
        <v>98.515000000000001</v>
      </c>
      <c r="X28" s="257"/>
      <c r="Y28" s="336">
        <v>98.515000000000001</v>
      </c>
      <c r="Z28" s="266" t="e">
        <f>_xll.qlSimpleQuoteSetValue(F28,Y28,Trigger)</f>
        <v>#N/A</v>
      </c>
      <c r="AA28" s="53"/>
      <c r="AB28" s="21"/>
      <c r="AC28" s="21"/>
      <c r="AD28" s="21"/>
      <c r="AE28" s="21"/>
      <c r="AF28" s="296">
        <f t="shared" si="1"/>
        <v>9.9999999999909054E-5</v>
      </c>
      <c r="AH28" s="150"/>
      <c r="AI28" s="111">
        <v>22</v>
      </c>
      <c r="AJ28" s="148" t="b">
        <v>0</v>
      </c>
      <c r="AK28" s="148" t="str">
        <v>M7</v>
      </c>
      <c r="AL28" s="252" t="str">
        <f t="shared" si="2"/>
        <v>EURFUT3MM7_Quote</v>
      </c>
      <c r="AM28" s="253" t="str">
        <f t="shared" si="3"/>
        <v>EURFUT3MM7ConvAdj_Quote</v>
      </c>
      <c r="AN28" s="252" t="str">
        <f>_xll.qlFuturesConvAdjustmentQuote($AM28,IborIndex,$AK28,$AL28,Volatility,MeanReversion,Permanent,Trigger,ObjectOverwrite)</f>
        <v>EURFUT3MM7ConvAdj_Quote#0000</v>
      </c>
      <c r="AO28" s="79" t="str">
        <f>_xll.ohRangeRetrieveError(AN28)</f>
        <v/>
      </c>
      <c r="AP28" s="53"/>
    </row>
    <row r="29" spans="1:42" x14ac:dyDescent="0.2">
      <c r="A29" s="150"/>
      <c r="B29" s="111">
        <v>23</v>
      </c>
      <c r="C29" s="149" t="b">
        <v>1</v>
      </c>
      <c r="D29" s="148" t="str">
        <v>U7</v>
      </c>
      <c r="E29" s="147" t="str">
        <f t="shared" si="0"/>
        <v>EURFUT3MU7_Quote</v>
      </c>
      <c r="F29" s="146" t="str">
        <f>_xll.qlSimpleQuote(E29,,PriceTickValue,Permanent,Trigger,ObjectOverwrite)</f>
        <v>EURFUT3MU7_Quote#0000</v>
      </c>
      <c r="G29" s="109" t="str">
        <f>_xll.ohRangeRetrieveError(F29)</f>
        <v/>
      </c>
      <c r="H29" s="145"/>
      <c r="J29" s="335"/>
      <c r="K29" s="341">
        <v>23</v>
      </c>
      <c r="L29" s="340" t="b">
        <v>1</v>
      </c>
      <c r="M29" s="263" t="str">
        <v>U7</v>
      </c>
      <c r="N29" s="339">
        <v>42998</v>
      </c>
      <c r="O29" s="263" t="str">
        <v>FEIU7</v>
      </c>
      <c r="P29" s="338">
        <v>42807</v>
      </c>
      <c r="Q29" s="263">
        <v>98.375</v>
      </c>
      <c r="R29" s="263">
        <v>98.385000000000005</v>
      </c>
      <c r="S29" s="263">
        <v>98.385000000000005</v>
      </c>
      <c r="T29" s="263">
        <v>98.5</v>
      </c>
      <c r="U29" s="266">
        <f>_xll.qlMidSafe($Q29,$R29)</f>
        <v>98.38</v>
      </c>
      <c r="V29" s="257"/>
      <c r="W29" s="337">
        <v>98.384999999999991</v>
      </c>
      <c r="X29" s="257"/>
      <c r="Y29" s="336">
        <v>98.38</v>
      </c>
      <c r="Z29" s="266" t="e">
        <f>_xll.qlSimpleQuoteSetValue(F29,Y29,Trigger)</f>
        <v>#N/A</v>
      </c>
      <c r="AA29" s="53"/>
      <c r="AB29" s="21"/>
      <c r="AC29" s="21"/>
      <c r="AD29" s="21"/>
      <c r="AE29" s="21"/>
      <c r="AF29" s="296">
        <f t="shared" si="1"/>
        <v>1.0000000000019326E-4</v>
      </c>
      <c r="AH29" s="150"/>
      <c r="AI29" s="111">
        <v>23</v>
      </c>
      <c r="AJ29" s="148" t="b">
        <v>0</v>
      </c>
      <c r="AK29" s="148" t="str">
        <v>U7</v>
      </c>
      <c r="AL29" s="252" t="str">
        <f t="shared" si="2"/>
        <v>EURFUT3MU7_Quote</v>
      </c>
      <c r="AM29" s="253" t="str">
        <f t="shared" si="3"/>
        <v>EURFUT3MU7ConvAdj_Quote</v>
      </c>
      <c r="AN29" s="252" t="str">
        <f>_xll.qlFuturesConvAdjustmentQuote($AM29,IborIndex,$AK29,$AL29,Volatility,MeanReversion,Permanent,Trigger,ObjectOverwrite)</f>
        <v>EURFUT3MU7ConvAdj_Quote#0000</v>
      </c>
      <c r="AO29" s="79" t="str">
        <f>_xll.ohRangeRetrieveError(AN29)</f>
        <v/>
      </c>
      <c r="AP29" s="53"/>
    </row>
    <row r="30" spans="1:42" x14ac:dyDescent="0.2">
      <c r="A30" s="150"/>
      <c r="B30" s="111">
        <v>24</v>
      </c>
      <c r="C30" s="149" t="b">
        <v>1</v>
      </c>
      <c r="D30" s="148" t="str">
        <v>Z7</v>
      </c>
      <c r="E30" s="147" t="str">
        <f t="shared" si="0"/>
        <v>EURFUT3MZ7_Quote</v>
      </c>
      <c r="F30" s="146" t="str">
        <f>_xll.qlSimpleQuote(E30,,PriceTickValue,Permanent,Trigger,ObjectOverwrite)</f>
        <v>EURFUT3MZ7_Quote#0000</v>
      </c>
      <c r="G30" s="109" t="str">
        <f>_xll.ohRangeRetrieveError(F30)</f>
        <v/>
      </c>
      <c r="H30" s="145"/>
      <c r="J30" s="335"/>
      <c r="K30" s="341">
        <v>24</v>
      </c>
      <c r="L30" s="340" t="b">
        <v>1</v>
      </c>
      <c r="M30" s="263" t="str">
        <v>Z7</v>
      </c>
      <c r="N30" s="339">
        <v>43089</v>
      </c>
      <c r="O30" s="263" t="str">
        <v>FEIZ7</v>
      </c>
      <c r="P30" s="338">
        <v>42905</v>
      </c>
      <c r="Q30" s="263">
        <v>98.24</v>
      </c>
      <c r="R30" s="263">
        <v>98.25</v>
      </c>
      <c r="S30" s="263">
        <v>98.254999999999995</v>
      </c>
      <c r="T30" s="263">
        <v>98.37</v>
      </c>
      <c r="U30" s="266">
        <f>_xll.qlMidSafe($Q30,$R30)</f>
        <v>98.245000000000005</v>
      </c>
      <c r="V30" s="257"/>
      <c r="W30" s="337">
        <v>98.25</v>
      </c>
      <c r="X30" s="257"/>
      <c r="Y30" s="336">
        <v>98.245000000000005</v>
      </c>
      <c r="Z30" s="266" t="e">
        <f>_xll.qlSimpleQuoteSetValue(F30,Y30,Trigger)</f>
        <v>#N/A</v>
      </c>
      <c r="AA30" s="53"/>
      <c r="AB30" s="21"/>
      <c r="AC30" s="21"/>
      <c r="AD30" s="21"/>
      <c r="AE30" s="21"/>
      <c r="AF30" s="296">
        <f t="shared" si="1"/>
        <v>9.9999999999909054E-5</v>
      </c>
      <c r="AH30" s="150"/>
      <c r="AI30" s="111">
        <v>24</v>
      </c>
      <c r="AJ30" s="148" t="b">
        <v>0</v>
      </c>
      <c r="AK30" s="148" t="str">
        <v>Z7</v>
      </c>
      <c r="AL30" s="252" t="str">
        <f t="shared" si="2"/>
        <v>EURFUT3MZ7_Quote</v>
      </c>
      <c r="AM30" s="253" t="str">
        <f t="shared" si="3"/>
        <v>EURFUT3MZ7ConvAdj_Quote</v>
      </c>
      <c r="AN30" s="252" t="str">
        <f>_xll.qlFuturesConvAdjustmentQuote($AM30,IborIndex,$AK30,$AL30,Volatility,MeanReversion,Permanent,Trigger,ObjectOverwrite)</f>
        <v>EURFUT3MZ7ConvAdj_Quote#0000</v>
      </c>
      <c r="AO30" s="79" t="str">
        <f>_xll.ohRangeRetrieveError(AN30)</f>
        <v/>
      </c>
      <c r="AP30" s="53"/>
    </row>
    <row r="31" spans="1:42" x14ac:dyDescent="0.2">
      <c r="A31" s="150"/>
      <c r="B31" s="111">
        <v>25</v>
      </c>
      <c r="C31" s="149" t="b">
        <v>1</v>
      </c>
      <c r="D31" s="148" t="str">
        <v>H8</v>
      </c>
      <c r="E31" s="147" t="str">
        <f t="shared" si="0"/>
        <v>EURFUT3MH8_Quote</v>
      </c>
      <c r="F31" s="146" t="str">
        <f>_xll.qlSimpleQuote(E31,,PriceTickValue,Permanent,Trigger,ObjectOverwrite)</f>
        <v>EURFUT3MH8_Quote#0000</v>
      </c>
      <c r="G31" s="109" t="str">
        <f>_xll.ohRangeRetrieveError(F31)</f>
        <v/>
      </c>
      <c r="H31" s="145"/>
      <c r="J31" s="335"/>
      <c r="K31" s="341">
        <v>25</v>
      </c>
      <c r="L31" s="340" t="b">
        <v>1</v>
      </c>
      <c r="M31" s="263" t="str">
        <v>H8</v>
      </c>
      <c r="N31" s="339">
        <v>43180</v>
      </c>
      <c r="O31" s="263" t="str">
        <v>FEIH8</v>
      </c>
      <c r="P31" s="338">
        <v>42996</v>
      </c>
      <c r="Q31" s="263">
        <v>98.114999999999995</v>
      </c>
      <c r="R31" s="263">
        <v>98.13</v>
      </c>
      <c r="S31" s="263">
        <v>98.125</v>
      </c>
      <c r="T31" s="263">
        <v>98.245000000000005</v>
      </c>
      <c r="U31" s="266">
        <f>_xll.qlMidSafe($Q31,$R31)</f>
        <v>98.122500000000002</v>
      </c>
      <c r="V31" s="257"/>
      <c r="W31" s="337">
        <v>98.125</v>
      </c>
      <c r="X31" s="257"/>
      <c r="Y31" s="336">
        <v>98.122500000000002</v>
      </c>
      <c r="Z31" s="266" t="e">
        <f>_xll.qlSimpleQuoteSetValue(F31,Y31,Trigger)</f>
        <v>#N/A</v>
      </c>
      <c r="AA31" s="53"/>
      <c r="AB31" s="21"/>
      <c r="AC31" s="21"/>
      <c r="AD31" s="21"/>
      <c r="AE31" s="21"/>
      <c r="AF31" s="296">
        <f t="shared" si="1"/>
        <v>1.4999999999986357E-4</v>
      </c>
      <c r="AH31" s="150"/>
      <c r="AI31" s="111">
        <v>25</v>
      </c>
      <c r="AJ31" s="148" t="b">
        <v>0</v>
      </c>
      <c r="AK31" s="148" t="str">
        <v>H8</v>
      </c>
      <c r="AL31" s="252" t="str">
        <f t="shared" si="2"/>
        <v>EURFUT3MH8_Quote</v>
      </c>
      <c r="AM31" s="253" t="str">
        <f t="shared" si="3"/>
        <v>EURFUT3MH8ConvAdj_Quote</v>
      </c>
      <c r="AN31" s="252" t="str">
        <f>_xll.qlFuturesConvAdjustmentQuote($AM31,IborIndex,$AK31,$AL31,Volatility,MeanReversion,Permanent,Trigger,ObjectOverwrite)</f>
        <v>EURFUT3MH8ConvAdj_Quote#0000</v>
      </c>
      <c r="AO31" s="79" t="str">
        <f>_xll.ohRangeRetrieveError(AN31)</f>
        <v/>
      </c>
      <c r="AP31" s="53"/>
    </row>
    <row r="32" spans="1:42" x14ac:dyDescent="0.2">
      <c r="A32" s="150"/>
      <c r="B32" s="111">
        <v>26</v>
      </c>
      <c r="C32" s="149" t="b">
        <v>1</v>
      </c>
      <c r="D32" s="148" t="str">
        <v>M8</v>
      </c>
      <c r="E32" s="147" t="str">
        <f t="shared" si="0"/>
        <v>EURFUT3MM8_Quote</v>
      </c>
      <c r="F32" s="146" t="str">
        <f>_xll.qlSimpleQuote(E32,,PriceTickValue,Permanent,Trigger,ObjectOverwrite)</f>
        <v>EURFUT3MM8_Quote#0000</v>
      </c>
      <c r="G32" s="109" t="str">
        <f>_xll.ohRangeRetrieveError(F32)</f>
        <v/>
      </c>
      <c r="H32" s="145"/>
      <c r="J32" s="335"/>
      <c r="K32" s="341">
        <v>26</v>
      </c>
      <c r="L32" s="340" t="b">
        <v>1</v>
      </c>
      <c r="M32" s="263" t="str">
        <v>M8</v>
      </c>
      <c r="N32" s="339">
        <v>43271</v>
      </c>
      <c r="O32" s="263" t="str">
        <v>FEIM8</v>
      </c>
      <c r="P32" s="338">
        <v>43087</v>
      </c>
      <c r="Q32" s="263">
        <v>97.995000000000005</v>
      </c>
      <c r="R32" s="263">
        <v>98.015000000000001</v>
      </c>
      <c r="S32" s="263">
        <v>98.045000000000002</v>
      </c>
      <c r="T32" s="263">
        <v>98.135000000000005</v>
      </c>
      <c r="U32" s="266">
        <f>_xll.qlMidSafe($Q32,$R32)</f>
        <v>98.004999999999995</v>
      </c>
      <c r="V32" s="257"/>
      <c r="W32" s="337">
        <v>98.009999999999991</v>
      </c>
      <c r="X32" s="257"/>
      <c r="Y32" s="336">
        <v>98.004999999999995</v>
      </c>
      <c r="Z32" s="266" t="e">
        <f>_xll.qlSimpleQuoteSetValue(F32,Y32,Trigger)</f>
        <v>#N/A</v>
      </c>
      <c r="AA32" s="53"/>
      <c r="AB32" s="21"/>
      <c r="AC32" s="21"/>
      <c r="AD32" s="21"/>
      <c r="AE32" s="21"/>
      <c r="AF32" s="296">
        <f t="shared" si="1"/>
        <v>2.0000000000010233E-4</v>
      </c>
      <c r="AH32" s="150"/>
      <c r="AI32" s="111">
        <v>26</v>
      </c>
      <c r="AJ32" s="148" t="b">
        <v>0</v>
      </c>
      <c r="AK32" s="148" t="str">
        <v>M8</v>
      </c>
      <c r="AL32" s="252" t="str">
        <f t="shared" si="2"/>
        <v>EURFUT3MM8_Quote</v>
      </c>
      <c r="AM32" s="253" t="str">
        <f t="shared" si="3"/>
        <v>EURFUT3MM8ConvAdj_Quote</v>
      </c>
      <c r="AN32" s="252" t="str">
        <f>_xll.qlFuturesConvAdjustmentQuote($AM32,IborIndex,$AK32,$AL32,Volatility,MeanReversion,Permanent,Trigger,ObjectOverwrite)</f>
        <v>EURFUT3MM8ConvAdj_Quote#0000</v>
      </c>
      <c r="AO32" s="79" t="str">
        <f>_xll.ohRangeRetrieveError(AN32)</f>
        <v/>
      </c>
      <c r="AP32" s="53"/>
    </row>
    <row r="33" spans="1:42" x14ac:dyDescent="0.2">
      <c r="A33" s="150"/>
      <c r="B33" s="111">
        <v>27</v>
      </c>
      <c r="C33" s="149" t="b">
        <v>1</v>
      </c>
      <c r="D33" s="148" t="str">
        <v>U8</v>
      </c>
      <c r="E33" s="147" t="str">
        <f t="shared" si="0"/>
        <v>EURFUT3MU8_Quote</v>
      </c>
      <c r="F33" s="146" t="str">
        <f>_xll.qlSimpleQuote(E33,,PriceTickValue,Permanent,Trigger,ObjectOverwrite)</f>
        <v>EURFUT3MU8_Quote#0000</v>
      </c>
      <c r="G33" s="109" t="str">
        <f>_xll.ohRangeRetrieveError(F33)</f>
        <v/>
      </c>
      <c r="H33" s="145"/>
      <c r="J33" s="335"/>
      <c r="K33" s="341">
        <v>27</v>
      </c>
      <c r="L33" s="340" t="b">
        <v>1</v>
      </c>
      <c r="M33" s="263" t="str">
        <v>U8</v>
      </c>
      <c r="N33" s="339">
        <v>43362</v>
      </c>
      <c r="O33" s="263" t="str">
        <v>FEIU8</v>
      </c>
      <c r="P33" s="338">
        <v>43178</v>
      </c>
      <c r="Q33" s="263">
        <v>97.91</v>
      </c>
      <c r="R33" s="263">
        <v>97.924999999999997</v>
      </c>
      <c r="S33" s="263">
        <v>97.96</v>
      </c>
      <c r="T33" s="263">
        <v>98.045000000000002</v>
      </c>
      <c r="U33" s="266">
        <f>_xll.qlMidSafe($Q33,$R33)</f>
        <v>97.91749999999999</v>
      </c>
      <c r="V33" s="257"/>
      <c r="W33" s="337">
        <v>97.922499999999999</v>
      </c>
      <c r="X33" s="257"/>
      <c r="Y33" s="336">
        <v>97.91749999999999</v>
      </c>
      <c r="Z33" s="266" t="e">
        <f>_xll.qlSimpleQuoteSetValue(F33,Y33,Trigger)</f>
        <v>#N/A</v>
      </c>
      <c r="AA33" s="53"/>
      <c r="AB33" s="21"/>
      <c r="AC33" s="21"/>
      <c r="AD33" s="21"/>
      <c r="AE33" s="21"/>
      <c r="AF33" s="296">
        <f t="shared" si="1"/>
        <v>1.5000000000014779E-4</v>
      </c>
      <c r="AH33" s="150"/>
      <c r="AI33" s="111">
        <v>27</v>
      </c>
      <c r="AJ33" s="148" t="b">
        <v>0</v>
      </c>
      <c r="AK33" s="148" t="str">
        <v>U8</v>
      </c>
      <c r="AL33" s="252" t="str">
        <f t="shared" si="2"/>
        <v>EURFUT3MU8_Quote</v>
      </c>
      <c r="AM33" s="253" t="str">
        <f t="shared" si="3"/>
        <v>EURFUT3MU8ConvAdj_Quote</v>
      </c>
      <c r="AN33" s="252" t="str">
        <f>_xll.qlFuturesConvAdjustmentQuote($AM33,IborIndex,$AK33,$AL33,Volatility,MeanReversion,Permanent,Trigger,ObjectOverwrite)</f>
        <v>EURFUT3MU8ConvAdj_Quote#0000</v>
      </c>
      <c r="AO33" s="79" t="str">
        <f>_xll.ohRangeRetrieveError(AN33)</f>
        <v/>
      </c>
      <c r="AP33" s="53"/>
    </row>
    <row r="34" spans="1:42" x14ac:dyDescent="0.2">
      <c r="A34" s="150"/>
      <c r="B34" s="111">
        <v>28</v>
      </c>
      <c r="C34" s="149" t="b">
        <v>1</v>
      </c>
      <c r="D34" s="148" t="str">
        <v>Z8</v>
      </c>
      <c r="E34" s="147" t="str">
        <f t="shared" si="0"/>
        <v>EURFUT3MZ8_Quote</v>
      </c>
      <c r="F34" s="146" t="str">
        <f>_xll.qlSimpleQuote(E34,,PriceTickValue,Permanent,Trigger,ObjectOverwrite)</f>
        <v>EURFUT3MZ8_Quote#0000</v>
      </c>
      <c r="G34" s="109" t="str">
        <f>_xll.ohRangeRetrieveError(F34)</f>
        <v/>
      </c>
      <c r="H34" s="145"/>
      <c r="J34" s="335"/>
      <c r="K34" s="341">
        <v>28</v>
      </c>
      <c r="L34" s="340" t="b">
        <v>1</v>
      </c>
      <c r="M34" s="263" t="str">
        <v>Z8</v>
      </c>
      <c r="N34" s="339">
        <v>43453</v>
      </c>
      <c r="O34" s="263" t="str">
        <v>FEIZ8</v>
      </c>
      <c r="P34" s="338">
        <v>43269</v>
      </c>
      <c r="Q34" s="263">
        <v>97.825000000000003</v>
      </c>
      <c r="R34" s="263">
        <v>97.84</v>
      </c>
      <c r="S34" s="263">
        <v>97.825000000000003</v>
      </c>
      <c r="T34" s="263">
        <v>97.954999999999998</v>
      </c>
      <c r="U34" s="266">
        <f>_xll.qlMidSafe($Q34,$R34)</f>
        <v>97.83250000000001</v>
      </c>
      <c r="V34" s="257"/>
      <c r="W34" s="337">
        <v>97.835000000000008</v>
      </c>
      <c r="X34" s="257"/>
      <c r="Y34" s="336">
        <v>97.83250000000001</v>
      </c>
      <c r="Z34" s="266" t="e">
        <f>_xll.qlSimpleQuoteSetValue(F34,Y34,Trigger)</f>
        <v>#N/A</v>
      </c>
      <c r="AA34" s="53"/>
      <c r="AB34" s="21"/>
      <c r="AC34" s="21"/>
      <c r="AD34" s="21"/>
      <c r="AE34" s="21"/>
      <c r="AF34" s="296">
        <f t="shared" si="1"/>
        <v>1.4999999999986357E-4</v>
      </c>
      <c r="AH34" s="150"/>
      <c r="AI34" s="111">
        <v>28</v>
      </c>
      <c r="AJ34" s="148" t="b">
        <v>0</v>
      </c>
      <c r="AK34" s="148" t="str">
        <v>Z8</v>
      </c>
      <c r="AL34" s="252" t="str">
        <f t="shared" si="2"/>
        <v>EURFUT3MZ8_Quote</v>
      </c>
      <c r="AM34" s="253" t="str">
        <f t="shared" si="3"/>
        <v>EURFUT3MZ8ConvAdj_Quote</v>
      </c>
      <c r="AN34" s="252" t="str">
        <f>_xll.qlFuturesConvAdjustmentQuote($AM34,IborIndex,$AK34,$AL34,Volatility,MeanReversion,Permanent,Trigger,ObjectOverwrite)</f>
        <v>EURFUT3MZ8ConvAdj_Quote#0000</v>
      </c>
      <c r="AO34" s="79" t="str">
        <f>_xll.ohRangeRetrieveError(AN34)</f>
        <v/>
      </c>
      <c r="AP34" s="53"/>
    </row>
    <row r="35" spans="1:42" x14ac:dyDescent="0.2">
      <c r="A35" s="150"/>
      <c r="B35" s="111">
        <v>29</v>
      </c>
      <c r="C35" s="149" t="b">
        <v>1</v>
      </c>
      <c r="D35" s="148" t="str">
        <v>H9</v>
      </c>
      <c r="E35" s="147" t="str">
        <f t="shared" si="0"/>
        <v>EURFUT3MH9_Quote</v>
      </c>
      <c r="F35" s="146" t="str">
        <f>_xll.qlSimpleQuote(E35,,PriceTickValue,Permanent,Trigger,ObjectOverwrite)</f>
        <v>EURFUT3MH9_Quote#0000</v>
      </c>
      <c r="G35" s="109" t="str">
        <f>_xll.ohRangeRetrieveError(F35)</f>
        <v/>
      </c>
      <c r="H35" s="145"/>
      <c r="J35" s="335"/>
      <c r="K35" s="341">
        <v>29</v>
      </c>
      <c r="L35" s="340" t="b">
        <v>1</v>
      </c>
      <c r="M35" s="263" t="str">
        <v>H9</v>
      </c>
      <c r="N35" s="339">
        <v>43544</v>
      </c>
      <c r="O35" s="263" t="str">
        <v>FEIH9</v>
      </c>
      <c r="P35" s="338">
        <v>43360</v>
      </c>
      <c r="Q35" s="263">
        <v>97.734999999999999</v>
      </c>
      <c r="R35" s="263">
        <v>97.78</v>
      </c>
      <c r="S35" s="263">
        <v>97.81</v>
      </c>
      <c r="T35" s="263">
        <v>97.875</v>
      </c>
      <c r="U35" s="266">
        <f>_xll.qlMidSafe($Q35,$R35)</f>
        <v>97.757499999999993</v>
      </c>
      <c r="V35" s="257"/>
      <c r="W35" s="337">
        <v>97.759999999999991</v>
      </c>
      <c r="X35" s="257"/>
      <c r="Y35" s="336">
        <v>97.757499999999993</v>
      </c>
      <c r="Z35" s="266" t="e">
        <f>_xll.qlSimpleQuoteSetValue(F35,Y35,Trigger)</f>
        <v>#N/A</v>
      </c>
      <c r="AA35" s="53"/>
      <c r="AB35" s="21"/>
      <c r="AC35" s="21"/>
      <c r="AD35" s="21"/>
      <c r="AE35" s="21"/>
      <c r="AF35" s="296">
        <f t="shared" si="1"/>
        <v>4.5000000000015915E-4</v>
      </c>
      <c r="AH35" s="150"/>
      <c r="AI35" s="111">
        <v>29</v>
      </c>
      <c r="AJ35" s="148" t="b">
        <v>0</v>
      </c>
      <c r="AK35" s="148" t="str">
        <v>H9</v>
      </c>
      <c r="AL35" s="252" t="str">
        <f t="shared" si="2"/>
        <v>EURFUT3MH9_Quote</v>
      </c>
      <c r="AM35" s="253" t="str">
        <f t="shared" si="3"/>
        <v>EURFUT3MH9ConvAdj_Quote</v>
      </c>
      <c r="AN35" s="252" t="str">
        <f>_xll.qlFuturesConvAdjustmentQuote($AM35,IborIndex,$AK35,$AL35,Volatility,MeanReversion,Permanent,Trigger,ObjectOverwrite)</f>
        <v>EURFUT3MH9ConvAdj_Quote#0000</v>
      </c>
      <c r="AO35" s="79" t="str">
        <f>_xll.ohRangeRetrieveError(AN35)</f>
        <v/>
      </c>
      <c r="AP35" s="53"/>
    </row>
    <row r="36" spans="1:42" x14ac:dyDescent="0.2">
      <c r="A36" s="150"/>
      <c r="B36" s="111">
        <v>30</v>
      </c>
      <c r="C36" s="149" t="b">
        <v>1</v>
      </c>
      <c r="D36" s="148" t="str">
        <v>M9</v>
      </c>
      <c r="E36" s="147" t="str">
        <f t="shared" si="0"/>
        <v>EURFUT3MM9_Quote</v>
      </c>
      <c r="F36" s="146" t="str">
        <f>_xll.qlSimpleQuote(E36,,PriceTickValue,Permanent,Trigger,ObjectOverwrite)</f>
        <v>EURFUT3MM9_Quote#0000</v>
      </c>
      <c r="G36" s="109" t="str">
        <f>_xll.ohRangeRetrieveError(F36)</f>
        <v/>
      </c>
      <c r="H36" s="145"/>
      <c r="J36" s="335"/>
      <c r="K36" s="341">
        <v>30</v>
      </c>
      <c r="L36" s="340" t="b">
        <v>1</v>
      </c>
      <c r="M36" s="263" t="str">
        <v>M9</v>
      </c>
      <c r="N36" s="339">
        <v>43635</v>
      </c>
      <c r="O36" s="263" t="str">
        <v>FEIM9</v>
      </c>
      <c r="P36" s="338">
        <v>43451</v>
      </c>
      <c r="Q36" s="263">
        <v>97.65</v>
      </c>
      <c r="R36" s="263">
        <v>97.69</v>
      </c>
      <c r="S36" s="263">
        <v>0</v>
      </c>
      <c r="T36" s="263">
        <v>97.795000000000002</v>
      </c>
      <c r="U36" s="266">
        <f>_xll.qlMidSafe($Q36,$R36)</f>
        <v>97.67</v>
      </c>
      <c r="V36" s="257"/>
      <c r="W36" s="337">
        <v>97.672499999999999</v>
      </c>
      <c r="X36" s="257"/>
      <c r="Y36" s="336">
        <v>97.67</v>
      </c>
      <c r="Z36" s="266" t="e">
        <f>_xll.qlSimpleQuoteSetValue(F36,Y36,Trigger)</f>
        <v>#N/A</v>
      </c>
      <c r="AA36" s="53"/>
      <c r="AB36" s="21"/>
      <c r="AC36" s="21"/>
      <c r="AD36" s="21"/>
      <c r="AE36" s="21"/>
      <c r="AF36" s="296">
        <f t="shared" si="1"/>
        <v>3.9999999999992044E-4</v>
      </c>
      <c r="AH36" s="150"/>
      <c r="AI36" s="111">
        <v>30</v>
      </c>
      <c r="AJ36" s="148" t="b">
        <v>0</v>
      </c>
      <c r="AK36" s="148" t="str">
        <v>M9</v>
      </c>
      <c r="AL36" s="252" t="str">
        <f t="shared" si="2"/>
        <v>EURFUT3MM9_Quote</v>
      </c>
      <c r="AM36" s="253" t="str">
        <f t="shared" si="3"/>
        <v>EURFUT3MM9ConvAdj_Quote</v>
      </c>
      <c r="AN36" s="252" t="str">
        <f>_xll.qlFuturesConvAdjustmentQuote($AM36,IborIndex,$AK36,$AL36,Volatility,MeanReversion,Permanent,Trigger,ObjectOverwrite)</f>
        <v>EURFUT3MM9ConvAdj_Quote#0000</v>
      </c>
      <c r="AO36" s="79" t="str">
        <f>_xll.ohRangeRetrieveError(AN36)</f>
        <v/>
      </c>
      <c r="AP36" s="53"/>
    </row>
    <row r="37" spans="1:42" x14ac:dyDescent="0.2">
      <c r="A37" s="150"/>
      <c r="B37" s="111">
        <v>31</v>
      </c>
      <c r="C37" s="149" t="b">
        <v>1</v>
      </c>
      <c r="D37" s="148" t="str">
        <v>U9</v>
      </c>
      <c r="E37" s="147" t="str">
        <f t="shared" si="0"/>
        <v>EURFUT3MU9_Quote</v>
      </c>
      <c r="F37" s="146" t="str">
        <f>_xll.qlSimpleQuote(E37,,PriceTickValue,Permanent,Trigger,ObjectOverwrite)</f>
        <v>EURFUT3MU9_Quote#0000</v>
      </c>
      <c r="G37" s="109" t="str">
        <f>_xll.ohRangeRetrieveError(F37)</f>
        <v/>
      </c>
      <c r="H37" s="145"/>
      <c r="J37" s="335"/>
      <c r="K37" s="341">
        <v>31</v>
      </c>
      <c r="L37" s="340" t="b">
        <v>1</v>
      </c>
      <c r="M37" s="263" t="str">
        <v>U9</v>
      </c>
      <c r="N37" s="339">
        <v>43726</v>
      </c>
      <c r="O37" s="263" t="str">
        <v>FEIU9</v>
      </c>
      <c r="P37" s="338">
        <v>43542</v>
      </c>
      <c r="Q37" s="263">
        <v>0</v>
      </c>
      <c r="R37" s="263">
        <v>0</v>
      </c>
      <c r="S37" s="263">
        <v>0</v>
      </c>
      <c r="T37" s="263">
        <v>97.715000000000003</v>
      </c>
      <c r="U37" s="266" t="e">
        <f>_xll.qlMidSafe($Q37,$R37)</f>
        <v>#NUM!</v>
      </c>
      <c r="V37" s="257"/>
      <c r="W37" s="337" t="e">
        <v>#NUM!</v>
      </c>
      <c r="X37" s="257"/>
      <c r="Y37" s="336" t="e">
        <v>#NUM!</v>
      </c>
      <c r="Z37" s="266" t="e">
        <f>_xll.qlSimpleQuoteSetValue(F37,Y37,Trigger)</f>
        <v>#NUM!</v>
      </c>
      <c r="AA37" s="53"/>
      <c r="AB37" s="21"/>
      <c r="AC37" s="21"/>
      <c r="AD37" s="21"/>
      <c r="AE37" s="21"/>
      <c r="AF37" s="296" t="e">
        <f t="shared" si="1"/>
        <v>#NUM!</v>
      </c>
      <c r="AH37" s="150"/>
      <c r="AI37" s="111">
        <v>31</v>
      </c>
      <c r="AJ37" s="148" t="b">
        <v>0</v>
      </c>
      <c r="AK37" s="148" t="str">
        <v>U9</v>
      </c>
      <c r="AL37" s="252" t="str">
        <f t="shared" si="2"/>
        <v>EURFUT3MU9_Quote</v>
      </c>
      <c r="AM37" s="253" t="str">
        <f t="shared" si="3"/>
        <v>EURFUT3MU9ConvAdj_Quote</v>
      </c>
      <c r="AN37" s="252" t="str">
        <f>_xll.qlFuturesConvAdjustmentQuote($AM37,IborIndex,$AK37,$AL37,Volatility,MeanReversion,Permanent,Trigger,ObjectOverwrite)</f>
        <v>EURFUT3MU9ConvAdj_Quote#0000</v>
      </c>
      <c r="AO37" s="79" t="str">
        <f>_xll.ohRangeRetrieveError(AN37)</f>
        <v/>
      </c>
      <c r="AP37" s="53"/>
    </row>
    <row r="38" spans="1:42" x14ac:dyDescent="0.2">
      <c r="A38" s="150"/>
      <c r="B38" s="111">
        <v>32</v>
      </c>
      <c r="C38" s="149" t="b">
        <v>1</v>
      </c>
      <c r="D38" s="148" t="str">
        <v>Z9</v>
      </c>
      <c r="E38" s="147" t="str">
        <f t="shared" si="0"/>
        <v>EURFUT3MZ9_Quote</v>
      </c>
      <c r="F38" s="146" t="str">
        <f>_xll.qlSimpleQuote(E38,,PriceTickValue,Permanent,Trigger,ObjectOverwrite)</f>
        <v>EURFUT3MZ9_Quote#0000</v>
      </c>
      <c r="G38" s="109" t="str">
        <f>_xll.ohRangeRetrieveError(F38)</f>
        <v/>
      </c>
      <c r="H38" s="145"/>
      <c r="J38" s="335"/>
      <c r="K38" s="341">
        <v>32</v>
      </c>
      <c r="L38" s="340" t="b">
        <v>1</v>
      </c>
      <c r="M38" s="263" t="str">
        <v>Z9</v>
      </c>
      <c r="N38" s="339">
        <v>43817</v>
      </c>
      <c r="O38" s="263" t="str">
        <v>FEIZ9</v>
      </c>
      <c r="P38" s="338">
        <v>43633</v>
      </c>
      <c r="Q38" s="263">
        <v>0</v>
      </c>
      <c r="R38" s="263">
        <v>0</v>
      </c>
      <c r="S38" s="263">
        <v>0</v>
      </c>
      <c r="T38" s="263">
        <v>97.605000000000004</v>
      </c>
      <c r="U38" s="266" t="e">
        <f>_xll.qlMidSafe($Q38,$R38)</f>
        <v>#NUM!</v>
      </c>
      <c r="V38" s="257"/>
      <c r="W38" s="337" t="e">
        <v>#NUM!</v>
      </c>
      <c r="X38" s="257"/>
      <c r="Y38" s="336" t="e">
        <v>#NUM!</v>
      </c>
      <c r="Z38" s="266" t="e">
        <f>_xll.qlSimpleQuoteSetValue(F38,Y38,Trigger)</f>
        <v>#NUM!</v>
      </c>
      <c r="AA38" s="53"/>
      <c r="AB38" s="21"/>
      <c r="AC38" s="21"/>
      <c r="AD38" s="21"/>
      <c r="AE38" s="21"/>
      <c r="AF38" s="296" t="e">
        <f t="shared" si="1"/>
        <v>#NUM!</v>
      </c>
      <c r="AH38" s="150"/>
      <c r="AI38" s="111">
        <v>32</v>
      </c>
      <c r="AJ38" s="148" t="b">
        <v>0</v>
      </c>
      <c r="AK38" s="148" t="str">
        <v>Z9</v>
      </c>
      <c r="AL38" s="252" t="str">
        <f t="shared" si="2"/>
        <v>EURFUT3MZ9_Quote</v>
      </c>
      <c r="AM38" s="253" t="str">
        <f t="shared" si="3"/>
        <v>EURFUT3MZ9ConvAdj_Quote</v>
      </c>
      <c r="AN38" s="252" t="str">
        <f>_xll.qlFuturesConvAdjustmentQuote($AM38,IborIndex,$AK38,$AL38,Volatility,MeanReversion,Permanent,Trigger,ObjectOverwrite)</f>
        <v>EURFUT3MZ9ConvAdj_Quote#0000</v>
      </c>
      <c r="AO38" s="79" t="str">
        <f>_xll.ohRangeRetrieveError(AN38)</f>
        <v/>
      </c>
      <c r="AP38" s="53"/>
    </row>
    <row r="39" spans="1:42" x14ac:dyDescent="0.2">
      <c r="A39" s="150"/>
      <c r="B39" s="111">
        <v>33</v>
      </c>
      <c r="C39" s="149" t="b">
        <v>1</v>
      </c>
      <c r="D39" s="148" t="str">
        <v>H0</v>
      </c>
      <c r="E39" s="147" t="str">
        <f t="shared" ref="E39:E48" si="4">Currency&amp;$D$5&amp;$E$5&amp;$D39&amp;QuoteSuffix</f>
        <v>EURFUT3MH0_Quote</v>
      </c>
      <c r="F39" s="146" t="str">
        <f>_xll.qlSimpleQuote(E39,,PriceTickValue,Permanent,Trigger,ObjectOverwrite)</f>
        <v>EURFUT3MH0_Quote#0000</v>
      </c>
      <c r="G39" s="109" t="str">
        <f>_xll.ohRangeRetrieveError(F39)</f>
        <v/>
      </c>
      <c r="H39" s="145"/>
      <c r="J39" s="335"/>
      <c r="K39" s="341">
        <v>33</v>
      </c>
      <c r="L39" s="340" t="b">
        <v>1</v>
      </c>
      <c r="M39" s="263" t="str">
        <v>H0</v>
      </c>
      <c r="N39" s="339">
        <v>43908</v>
      </c>
      <c r="O39" s="263" t="str">
        <v>FEIH0</v>
      </c>
      <c r="P39" s="338" t="s">
        <v>259</v>
      </c>
      <c r="Q39" s="263" t="s">
        <v>259</v>
      </c>
      <c r="R39" s="263" t="s">
        <v>259</v>
      </c>
      <c r="S39" s="263" t="s">
        <v>259</v>
      </c>
      <c r="T39" s="263" t="s">
        <v>259</v>
      </c>
      <c r="U39" s="266" t="e">
        <f>_xll.qlMidSafe($Q39,$R39)</f>
        <v>#NUM!</v>
      </c>
      <c r="V39" s="257"/>
      <c r="W39" s="337" t="e">
        <v>#NUM!</v>
      </c>
      <c r="X39" s="257"/>
      <c r="Y39" s="336" t="e">
        <v>#NUM!</v>
      </c>
      <c r="Z39" s="266" t="e">
        <f>_xll.qlSimpleQuoteSetValue(F39,Y39,Trigger)</f>
        <v>#NUM!</v>
      </c>
      <c r="AA39" s="53"/>
      <c r="AB39" s="21"/>
      <c r="AC39" s="21"/>
      <c r="AD39" s="21"/>
      <c r="AE39" s="21"/>
      <c r="AF39" s="296" t="e">
        <f t="shared" si="1"/>
        <v>#VALUE!</v>
      </c>
      <c r="AH39" s="150"/>
      <c r="AI39" s="111">
        <v>33</v>
      </c>
      <c r="AJ39" s="148" t="b">
        <v>0</v>
      </c>
      <c r="AK39" s="148" t="str">
        <v>H0</v>
      </c>
      <c r="AL39" s="252" t="str">
        <f t="shared" si="2"/>
        <v>EURFUT3MH0_Quote</v>
      </c>
      <c r="AM39" s="253" t="str">
        <f t="shared" si="3"/>
        <v>EURFUT3MH0ConvAdj_Quote</v>
      </c>
      <c r="AN39" s="252" t="str">
        <f>_xll.qlFuturesConvAdjustmentQuote($AM39,IborIndex,$AK39,$AL39,Volatility,MeanReversion,Permanent,Trigger,ObjectOverwrite)</f>
        <v>EURFUT3MH0ConvAdj_Quote#0000</v>
      </c>
      <c r="AO39" s="79" t="str">
        <f>_xll.ohRangeRetrieveError(AN39)</f>
        <v/>
      </c>
      <c r="AP39" s="53"/>
    </row>
    <row r="40" spans="1:42" x14ac:dyDescent="0.2">
      <c r="A40" s="150"/>
      <c r="B40" s="111">
        <v>34</v>
      </c>
      <c r="C40" s="149" t="b">
        <v>1</v>
      </c>
      <c r="D40" s="148" t="str">
        <v>M0</v>
      </c>
      <c r="E40" s="147" t="str">
        <f t="shared" si="4"/>
        <v>EURFUT3MM0_Quote</v>
      </c>
      <c r="F40" s="146" t="str">
        <f>_xll.qlSimpleQuote(E40,,PriceTickValue,Permanent,Trigger,ObjectOverwrite)</f>
        <v>EURFUT3MM0_Quote#0000</v>
      </c>
      <c r="G40" s="109" t="str">
        <f>_xll.ohRangeRetrieveError(F40)</f>
        <v/>
      </c>
      <c r="H40" s="145"/>
      <c r="J40" s="335"/>
      <c r="K40" s="341">
        <v>34</v>
      </c>
      <c r="L40" s="340" t="b">
        <v>1</v>
      </c>
      <c r="M40" s="263" t="str">
        <v>M0</v>
      </c>
      <c r="N40" s="339">
        <v>43999</v>
      </c>
      <c r="O40" s="263" t="str">
        <v>FEIM0</v>
      </c>
      <c r="P40" s="338" t="s">
        <v>259</v>
      </c>
      <c r="Q40" s="263" t="s">
        <v>259</v>
      </c>
      <c r="R40" s="263" t="s">
        <v>259</v>
      </c>
      <c r="S40" s="263" t="s">
        <v>259</v>
      </c>
      <c r="T40" s="263" t="s">
        <v>259</v>
      </c>
      <c r="U40" s="266" t="e">
        <f>_xll.qlMidSafe($Q40,$R40)</f>
        <v>#NUM!</v>
      </c>
      <c r="V40" s="257"/>
      <c r="W40" s="337" t="e">
        <v>#NUM!</v>
      </c>
      <c r="X40" s="257"/>
      <c r="Y40" s="336" t="e">
        <v>#NUM!</v>
      </c>
      <c r="Z40" s="266" t="e">
        <f>_xll.qlSimpleQuoteSetValue(F40,Y40,Trigger)</f>
        <v>#NUM!</v>
      </c>
      <c r="AA40" s="53"/>
      <c r="AB40" s="21"/>
      <c r="AC40" s="21"/>
      <c r="AD40" s="21"/>
      <c r="AE40" s="21"/>
      <c r="AF40" s="296" t="e">
        <f t="shared" si="1"/>
        <v>#VALUE!</v>
      </c>
      <c r="AH40" s="150"/>
      <c r="AI40" s="111">
        <v>34</v>
      </c>
      <c r="AJ40" s="148" t="b">
        <v>0</v>
      </c>
      <c r="AK40" s="148" t="str">
        <v>M0</v>
      </c>
      <c r="AL40" s="252" t="str">
        <f t="shared" si="2"/>
        <v>EURFUT3MM0_Quote</v>
      </c>
      <c r="AM40" s="253" t="str">
        <f t="shared" si="3"/>
        <v>EURFUT3MM0ConvAdj_Quote</v>
      </c>
      <c r="AN40" s="252" t="str">
        <f>_xll.qlFuturesConvAdjustmentQuote($AM40,IborIndex,$AK40,$AL40,Volatility,MeanReversion,Permanent,Trigger,ObjectOverwrite)</f>
        <v>EURFUT3MM0ConvAdj_Quote#0000</v>
      </c>
      <c r="AO40" s="79" t="str">
        <f>_xll.ohRangeRetrieveError(AN40)</f>
        <v/>
      </c>
      <c r="AP40" s="53"/>
    </row>
    <row r="41" spans="1:42" x14ac:dyDescent="0.2">
      <c r="A41" s="150"/>
      <c r="B41" s="111">
        <v>35</v>
      </c>
      <c r="C41" s="149" t="b">
        <v>1</v>
      </c>
      <c r="D41" s="148" t="str">
        <v>U0</v>
      </c>
      <c r="E41" s="147" t="str">
        <f t="shared" si="4"/>
        <v>EURFUT3MU0_Quote</v>
      </c>
      <c r="F41" s="146" t="str">
        <f>_xll.qlSimpleQuote(E41,,PriceTickValue,Permanent,Trigger,ObjectOverwrite)</f>
        <v>EURFUT3MU0_Quote#0000</v>
      </c>
      <c r="G41" s="109" t="str">
        <f>_xll.ohRangeRetrieveError(F41)</f>
        <v/>
      </c>
      <c r="H41" s="145"/>
      <c r="J41" s="335"/>
      <c r="K41" s="341">
        <v>35</v>
      </c>
      <c r="L41" s="340" t="b">
        <v>1</v>
      </c>
      <c r="M41" s="263" t="str">
        <v>U0</v>
      </c>
      <c r="N41" s="339">
        <v>44090</v>
      </c>
      <c r="O41" s="263" t="str">
        <v>FEIU0</v>
      </c>
      <c r="P41" s="338" t="s">
        <v>259</v>
      </c>
      <c r="Q41" s="263" t="s">
        <v>259</v>
      </c>
      <c r="R41" s="263" t="s">
        <v>259</v>
      </c>
      <c r="S41" s="263" t="s">
        <v>259</v>
      </c>
      <c r="T41" s="263" t="s">
        <v>259</v>
      </c>
      <c r="U41" s="266" t="e">
        <f>_xll.qlMidSafe($Q41,$R41)</f>
        <v>#NUM!</v>
      </c>
      <c r="V41" s="257"/>
      <c r="W41" s="337" t="e">
        <v>#NUM!</v>
      </c>
      <c r="X41" s="257"/>
      <c r="Y41" s="336" t="e">
        <v>#NUM!</v>
      </c>
      <c r="Z41" s="266" t="e">
        <f>_xll.qlSimpleQuoteSetValue(F41,Y41,Trigger)</f>
        <v>#NUM!</v>
      </c>
      <c r="AA41" s="53"/>
      <c r="AB41" s="21"/>
      <c r="AC41" s="21"/>
      <c r="AD41" s="21"/>
      <c r="AE41" s="21"/>
      <c r="AF41" s="296" t="e">
        <f t="shared" si="1"/>
        <v>#VALUE!</v>
      </c>
      <c r="AH41" s="150"/>
      <c r="AI41" s="111">
        <v>35</v>
      </c>
      <c r="AJ41" s="148" t="b">
        <v>0</v>
      </c>
      <c r="AK41" s="148" t="str">
        <v>U0</v>
      </c>
      <c r="AL41" s="252" t="str">
        <f t="shared" si="2"/>
        <v>EURFUT3MU0_Quote</v>
      </c>
      <c r="AM41" s="253" t="str">
        <f t="shared" si="3"/>
        <v>EURFUT3MU0ConvAdj_Quote</v>
      </c>
      <c r="AN41" s="252" t="str">
        <f>_xll.qlFuturesConvAdjustmentQuote($AM41,IborIndex,$AK41,$AL41,Volatility,MeanReversion,Permanent,Trigger,ObjectOverwrite)</f>
        <v>EURFUT3MU0ConvAdj_Quote#0000</v>
      </c>
      <c r="AO41" s="79" t="str">
        <f>_xll.ohRangeRetrieveError(AN41)</f>
        <v/>
      </c>
      <c r="AP41" s="53"/>
    </row>
    <row r="42" spans="1:42" x14ac:dyDescent="0.2">
      <c r="A42" s="150"/>
      <c r="B42" s="111">
        <v>36</v>
      </c>
      <c r="C42" s="149" t="b">
        <v>1</v>
      </c>
      <c r="D42" s="148" t="str">
        <v>Z0</v>
      </c>
      <c r="E42" s="147" t="str">
        <f t="shared" si="4"/>
        <v>EURFUT3MZ0_Quote</v>
      </c>
      <c r="F42" s="146" t="str">
        <f>_xll.qlSimpleQuote(E42,,PriceTickValue,Permanent,Trigger,ObjectOverwrite)</f>
        <v>EURFUT3MZ0_Quote#0000</v>
      </c>
      <c r="G42" s="109" t="str">
        <f>_xll.ohRangeRetrieveError(F42)</f>
        <v/>
      </c>
      <c r="H42" s="145"/>
      <c r="J42" s="335"/>
      <c r="K42" s="341">
        <v>36</v>
      </c>
      <c r="L42" s="340" t="b">
        <v>1</v>
      </c>
      <c r="M42" s="263" t="str">
        <v>Z0</v>
      </c>
      <c r="N42" s="339">
        <v>44181</v>
      </c>
      <c r="O42" s="263" t="str">
        <v>FEIZ0</v>
      </c>
      <c r="P42" s="338" t="s">
        <v>259</v>
      </c>
      <c r="Q42" s="263" t="s">
        <v>259</v>
      </c>
      <c r="R42" s="263" t="s">
        <v>259</v>
      </c>
      <c r="S42" s="263" t="s">
        <v>259</v>
      </c>
      <c r="T42" s="263" t="s">
        <v>259</v>
      </c>
      <c r="U42" s="266" t="e">
        <f>_xll.qlMidSafe($Q42,$R42)</f>
        <v>#NUM!</v>
      </c>
      <c r="V42" s="257"/>
      <c r="W42" s="337" t="e">
        <v>#NUM!</v>
      </c>
      <c r="X42" s="257"/>
      <c r="Y42" s="336" t="e">
        <v>#NUM!</v>
      </c>
      <c r="Z42" s="266" t="e">
        <f>_xll.qlSimpleQuoteSetValue(F42,Y42,Trigger)</f>
        <v>#NUM!</v>
      </c>
      <c r="AA42" s="53"/>
      <c r="AB42" s="21"/>
      <c r="AC42" s="21"/>
      <c r="AD42" s="21"/>
      <c r="AE42" s="21"/>
      <c r="AF42" s="296" t="e">
        <f t="shared" si="1"/>
        <v>#VALUE!</v>
      </c>
      <c r="AH42" s="150"/>
      <c r="AI42" s="111">
        <v>36</v>
      </c>
      <c r="AJ42" s="148" t="b">
        <v>0</v>
      </c>
      <c r="AK42" s="148" t="str">
        <v>Z0</v>
      </c>
      <c r="AL42" s="252" t="str">
        <f t="shared" si="2"/>
        <v>EURFUT3MZ0_Quote</v>
      </c>
      <c r="AM42" s="253" t="str">
        <f t="shared" si="3"/>
        <v>EURFUT3MZ0ConvAdj_Quote</v>
      </c>
      <c r="AN42" s="252" t="str">
        <f>_xll.qlFuturesConvAdjustmentQuote($AM42,IborIndex,$AK42,$AL42,Volatility,MeanReversion,Permanent,Trigger,ObjectOverwrite)</f>
        <v>EURFUT3MZ0ConvAdj_Quote#0000</v>
      </c>
      <c r="AO42" s="79" t="str">
        <f>_xll.ohRangeRetrieveError(AN42)</f>
        <v/>
      </c>
      <c r="AP42" s="53"/>
    </row>
    <row r="43" spans="1:42" x14ac:dyDescent="0.2">
      <c r="A43" s="150"/>
      <c r="B43" s="111">
        <v>37</v>
      </c>
      <c r="C43" s="149" t="b">
        <v>1</v>
      </c>
      <c r="D43" s="148" t="str">
        <v>H1</v>
      </c>
      <c r="E43" s="147" t="str">
        <f t="shared" si="4"/>
        <v>EURFUT3MH1_Quote</v>
      </c>
      <c r="F43" s="146" t="str">
        <f>_xll.qlSimpleQuote(E43,,PriceTickValue,Permanent,Trigger,ObjectOverwrite)</f>
        <v>EURFUT3MH1_Quote#0000</v>
      </c>
      <c r="G43" s="109" t="str">
        <f>_xll.ohRangeRetrieveError(F43)</f>
        <v/>
      </c>
      <c r="H43" s="145"/>
      <c r="J43" s="335"/>
      <c r="K43" s="341">
        <v>37</v>
      </c>
      <c r="L43" s="340" t="b">
        <v>1</v>
      </c>
      <c r="M43" s="263" t="str">
        <v>H1</v>
      </c>
      <c r="N43" s="339">
        <v>44272</v>
      </c>
      <c r="O43" s="263" t="str">
        <v>FEIH1</v>
      </c>
      <c r="P43" s="338" t="s">
        <v>259</v>
      </c>
      <c r="Q43" s="263" t="s">
        <v>259</v>
      </c>
      <c r="R43" s="263" t="s">
        <v>259</v>
      </c>
      <c r="S43" s="263" t="s">
        <v>259</v>
      </c>
      <c r="T43" s="263" t="s">
        <v>259</v>
      </c>
      <c r="U43" s="266" t="e">
        <f>_xll.qlMidSafe($Q43,$R43)</f>
        <v>#NUM!</v>
      </c>
      <c r="V43" s="257"/>
      <c r="W43" s="337" t="e">
        <v>#NUM!</v>
      </c>
      <c r="X43" s="257"/>
      <c r="Y43" s="336" t="e">
        <v>#NUM!</v>
      </c>
      <c r="Z43" s="266" t="e">
        <f>_xll.qlSimpleQuoteSetValue(F43,Y43,Trigger)</f>
        <v>#NUM!</v>
      </c>
      <c r="AA43" s="53"/>
      <c r="AB43" s="21"/>
      <c r="AC43" s="21"/>
      <c r="AD43" s="21"/>
      <c r="AE43" s="21"/>
      <c r="AF43" s="296" t="e">
        <f t="shared" si="1"/>
        <v>#VALUE!</v>
      </c>
      <c r="AH43" s="150"/>
      <c r="AI43" s="111">
        <v>37</v>
      </c>
      <c r="AJ43" s="148" t="b">
        <v>0</v>
      </c>
      <c r="AK43" s="148" t="str">
        <v>H1</v>
      </c>
      <c r="AL43" s="252" t="str">
        <f t="shared" si="2"/>
        <v>EURFUT3MH1_Quote</v>
      </c>
      <c r="AM43" s="253" t="str">
        <f t="shared" si="3"/>
        <v>EURFUT3MH1ConvAdj_Quote</v>
      </c>
      <c r="AN43" s="252" t="str">
        <f>_xll.qlFuturesConvAdjustmentQuote($AM43,IborIndex,$AK43,$AL43,Volatility,MeanReversion,Permanent,Trigger,ObjectOverwrite)</f>
        <v>EURFUT3MH1ConvAdj_Quote#0000</v>
      </c>
      <c r="AO43" s="79" t="str">
        <f>_xll.ohRangeRetrieveError(AN43)</f>
        <v/>
      </c>
      <c r="AP43" s="53"/>
    </row>
    <row r="44" spans="1:42" x14ac:dyDescent="0.2">
      <c r="A44" s="150"/>
      <c r="B44" s="111">
        <v>38</v>
      </c>
      <c r="C44" s="149" t="b">
        <v>1</v>
      </c>
      <c r="D44" s="148" t="str">
        <v>M1</v>
      </c>
      <c r="E44" s="147" t="str">
        <f t="shared" si="4"/>
        <v>EURFUT3MM1_Quote</v>
      </c>
      <c r="F44" s="146" t="str">
        <f>_xll.qlSimpleQuote(E44,,PriceTickValue,Permanent,Trigger,ObjectOverwrite)</f>
        <v>EURFUT3MM1_Quote#0000</v>
      </c>
      <c r="G44" s="109" t="str">
        <f>_xll.ohRangeRetrieveError(F44)</f>
        <v/>
      </c>
      <c r="H44" s="145"/>
      <c r="J44" s="335"/>
      <c r="K44" s="341">
        <v>38</v>
      </c>
      <c r="L44" s="340" t="b">
        <v>1</v>
      </c>
      <c r="M44" s="263" t="str">
        <v>M1</v>
      </c>
      <c r="N44" s="339">
        <v>44363</v>
      </c>
      <c r="O44" s="263" t="str">
        <v>FEIM1</v>
      </c>
      <c r="P44" s="338" t="s">
        <v>259</v>
      </c>
      <c r="Q44" s="263" t="s">
        <v>259</v>
      </c>
      <c r="R44" s="263" t="s">
        <v>259</v>
      </c>
      <c r="S44" s="263" t="s">
        <v>259</v>
      </c>
      <c r="T44" s="263" t="s">
        <v>259</v>
      </c>
      <c r="U44" s="266" t="e">
        <f>_xll.qlMidSafe($Q44,$R44)</f>
        <v>#NUM!</v>
      </c>
      <c r="V44" s="257"/>
      <c r="W44" s="337" t="e">
        <v>#NUM!</v>
      </c>
      <c r="X44" s="257"/>
      <c r="Y44" s="336" t="e">
        <v>#NUM!</v>
      </c>
      <c r="Z44" s="266" t="e">
        <f>_xll.qlSimpleQuoteSetValue(F44,Y44,Trigger)</f>
        <v>#NUM!</v>
      </c>
      <c r="AA44" s="53"/>
      <c r="AB44" s="21"/>
      <c r="AC44" s="21"/>
      <c r="AD44" s="21"/>
      <c r="AE44" s="21"/>
      <c r="AF44" s="296" t="e">
        <f t="shared" si="1"/>
        <v>#VALUE!</v>
      </c>
      <c r="AH44" s="150"/>
      <c r="AI44" s="111">
        <v>38</v>
      </c>
      <c r="AJ44" s="148" t="b">
        <v>0</v>
      </c>
      <c r="AK44" s="148" t="str">
        <v>M1</v>
      </c>
      <c r="AL44" s="252" t="str">
        <f t="shared" si="2"/>
        <v>EURFUT3MM1_Quote</v>
      </c>
      <c r="AM44" s="253" t="str">
        <f t="shared" si="3"/>
        <v>EURFUT3MM1ConvAdj_Quote</v>
      </c>
      <c r="AN44" s="252" t="str">
        <f>_xll.qlFuturesConvAdjustmentQuote($AM44,IborIndex,$AK44,$AL44,Volatility,MeanReversion,Permanent,Trigger,ObjectOverwrite)</f>
        <v>EURFUT3MM1ConvAdj_Quote#0000</v>
      </c>
      <c r="AO44" s="79" t="str">
        <f>_xll.ohRangeRetrieveError(AN44)</f>
        <v/>
      </c>
      <c r="AP44" s="53"/>
    </row>
    <row r="45" spans="1:42" x14ac:dyDescent="0.2">
      <c r="A45" s="150"/>
      <c r="B45" s="111">
        <v>39</v>
      </c>
      <c r="C45" s="149" t="b">
        <v>1</v>
      </c>
      <c r="D45" s="148" t="str">
        <v>U1</v>
      </c>
      <c r="E45" s="147" t="str">
        <f t="shared" si="4"/>
        <v>EURFUT3MU1_Quote</v>
      </c>
      <c r="F45" s="146" t="str">
        <f>_xll.qlSimpleQuote(E45,,PriceTickValue,Permanent,Trigger,ObjectOverwrite)</f>
        <v>EURFUT3MU1_Quote#0000</v>
      </c>
      <c r="G45" s="109" t="str">
        <f>_xll.ohRangeRetrieveError(F45)</f>
        <v/>
      </c>
      <c r="H45" s="145"/>
      <c r="J45" s="335"/>
      <c r="K45" s="341">
        <v>39</v>
      </c>
      <c r="L45" s="340" t="b">
        <v>1</v>
      </c>
      <c r="M45" s="263" t="str">
        <v>U1</v>
      </c>
      <c r="N45" s="339">
        <v>44454</v>
      </c>
      <c r="O45" s="263" t="str">
        <v>FEIU1</v>
      </c>
      <c r="P45" s="338" t="s">
        <v>259</v>
      </c>
      <c r="Q45" s="263" t="s">
        <v>259</v>
      </c>
      <c r="R45" s="263" t="s">
        <v>259</v>
      </c>
      <c r="S45" s="263" t="s">
        <v>259</v>
      </c>
      <c r="T45" s="263" t="s">
        <v>259</v>
      </c>
      <c r="U45" s="266" t="e">
        <f>_xll.qlMidSafe($Q45,$R45)</f>
        <v>#NUM!</v>
      </c>
      <c r="V45" s="257"/>
      <c r="W45" s="337" t="e">
        <v>#NUM!</v>
      </c>
      <c r="X45" s="257"/>
      <c r="Y45" s="336" t="e">
        <v>#NUM!</v>
      </c>
      <c r="Z45" s="266" t="e">
        <f>_xll.qlSimpleQuoteSetValue(F45,Y45,Trigger)</f>
        <v>#NUM!</v>
      </c>
      <c r="AA45" s="53"/>
      <c r="AB45" s="21"/>
      <c r="AC45" s="21"/>
      <c r="AD45" s="21"/>
      <c r="AE45" s="21"/>
      <c r="AF45" s="296" t="e">
        <f t="shared" si="1"/>
        <v>#VALUE!</v>
      </c>
      <c r="AH45" s="150"/>
      <c r="AI45" s="111">
        <v>39</v>
      </c>
      <c r="AJ45" s="148" t="b">
        <v>0</v>
      </c>
      <c r="AK45" s="148" t="str">
        <v>U1</v>
      </c>
      <c r="AL45" s="252" t="str">
        <f t="shared" si="2"/>
        <v>EURFUT3MU1_Quote</v>
      </c>
      <c r="AM45" s="253" t="str">
        <f t="shared" si="3"/>
        <v>EURFUT3MU1ConvAdj_Quote</v>
      </c>
      <c r="AN45" s="252" t="str">
        <f>_xll.qlFuturesConvAdjustmentQuote($AM45,IborIndex,$AK45,$AL45,Volatility,MeanReversion,Permanent,Trigger,ObjectOverwrite)</f>
        <v>EURFUT3MU1ConvAdj_Quote#0000</v>
      </c>
      <c r="AO45" s="79" t="str">
        <f>_xll.ohRangeRetrieveError(AN45)</f>
        <v/>
      </c>
      <c r="AP45" s="53"/>
    </row>
    <row r="46" spans="1:42" x14ac:dyDescent="0.2">
      <c r="A46" s="150"/>
      <c r="B46" s="111">
        <v>40</v>
      </c>
      <c r="C46" s="149" t="b">
        <v>1</v>
      </c>
      <c r="D46" s="148" t="str">
        <v>Z1</v>
      </c>
      <c r="E46" s="147" t="str">
        <f t="shared" si="4"/>
        <v>EURFUT3MZ1_Quote</v>
      </c>
      <c r="F46" s="146" t="str">
        <f>_xll.qlSimpleQuote(E46,,PriceTickValue,Permanent,Trigger,ObjectOverwrite)</f>
        <v>EURFUT3MZ1_Quote#0000</v>
      </c>
      <c r="G46" s="109" t="str">
        <f>_xll.ohRangeRetrieveError(F46)</f>
        <v/>
      </c>
      <c r="H46" s="145"/>
      <c r="J46" s="335"/>
      <c r="K46" s="341">
        <v>40</v>
      </c>
      <c r="L46" s="340" t="b">
        <v>1</v>
      </c>
      <c r="M46" s="263" t="str">
        <v>Z1</v>
      </c>
      <c r="N46" s="339">
        <v>44545</v>
      </c>
      <c r="O46" s="263" t="str">
        <v>FEIZ1</v>
      </c>
      <c r="P46" s="338" t="s">
        <v>259</v>
      </c>
      <c r="Q46" s="263" t="s">
        <v>259</v>
      </c>
      <c r="R46" s="263" t="s">
        <v>259</v>
      </c>
      <c r="S46" s="263" t="s">
        <v>259</v>
      </c>
      <c r="T46" s="263" t="s">
        <v>259</v>
      </c>
      <c r="U46" s="266" t="e">
        <f>_xll.qlMidSafe($Q46,$R46)</f>
        <v>#NUM!</v>
      </c>
      <c r="V46" s="257"/>
      <c r="W46" s="337" t="e">
        <v>#NUM!</v>
      </c>
      <c r="X46" s="257"/>
      <c r="Y46" s="336" t="e">
        <v>#NUM!</v>
      </c>
      <c r="Z46" s="266" t="e">
        <f>_xll.qlSimpleQuoteSetValue(F46,Y46,Trigger)</f>
        <v>#NUM!</v>
      </c>
      <c r="AA46" s="53"/>
      <c r="AB46" s="21"/>
      <c r="AC46" s="21"/>
      <c r="AD46" s="21"/>
      <c r="AE46" s="21"/>
      <c r="AF46" s="296" t="e">
        <f t="shared" si="1"/>
        <v>#VALUE!</v>
      </c>
      <c r="AH46" s="150"/>
      <c r="AI46" s="111">
        <v>40</v>
      </c>
      <c r="AJ46" s="148" t="b">
        <v>0</v>
      </c>
      <c r="AK46" s="148" t="str">
        <v>Z1</v>
      </c>
      <c r="AL46" s="252" t="str">
        <f t="shared" si="2"/>
        <v>EURFUT3MZ1_Quote</v>
      </c>
      <c r="AM46" s="253" t="str">
        <f t="shared" si="3"/>
        <v>EURFUT3MZ1ConvAdj_Quote</v>
      </c>
      <c r="AN46" s="252" t="str">
        <f>_xll.qlFuturesConvAdjustmentQuote($AM46,IborIndex,$AK46,$AL46,Volatility,MeanReversion,Permanent,Trigger,ObjectOverwrite)</f>
        <v>EURFUT3MZ1ConvAdj_Quote#0000</v>
      </c>
      <c r="AO46" s="79" t="str">
        <f>_xll.ohRangeRetrieveError(AN46)</f>
        <v/>
      </c>
      <c r="AP46" s="53"/>
    </row>
    <row r="47" spans="1:42" x14ac:dyDescent="0.2">
      <c r="A47" s="150"/>
      <c r="B47" s="111">
        <v>41</v>
      </c>
      <c r="C47" s="149" t="b">
        <v>1</v>
      </c>
      <c r="D47" s="148" t="str">
        <v>H2</v>
      </c>
      <c r="E47" s="147" t="str">
        <f t="shared" si="4"/>
        <v>EURFUT3MH2_Quote</v>
      </c>
      <c r="F47" s="146" t="str">
        <f>_xll.qlSimpleQuote(E47,,PriceTickValue,Permanent,Trigger,ObjectOverwrite)</f>
        <v>EURFUT3MH2_Quote#0000</v>
      </c>
      <c r="G47" s="109" t="str">
        <f>_xll.ohRangeRetrieveError(F47)</f>
        <v/>
      </c>
      <c r="H47" s="145"/>
      <c r="J47" s="335"/>
      <c r="K47" s="341">
        <v>41</v>
      </c>
      <c r="L47" s="340" t="b">
        <v>1</v>
      </c>
      <c r="M47" s="263" t="str">
        <v>H2</v>
      </c>
      <c r="N47" s="339">
        <v>44636</v>
      </c>
      <c r="O47" s="263" t="str">
        <v>FEIH2</v>
      </c>
      <c r="P47" s="338" t="s">
        <v>259</v>
      </c>
      <c r="Q47" s="263" t="s">
        <v>259</v>
      </c>
      <c r="R47" s="263" t="s">
        <v>259</v>
      </c>
      <c r="S47" s="263" t="s">
        <v>259</v>
      </c>
      <c r="T47" s="263" t="s">
        <v>259</v>
      </c>
      <c r="U47" s="266" t="e">
        <f>_xll.qlMidSafe($Q47,$R47)</f>
        <v>#NUM!</v>
      </c>
      <c r="V47" s="257"/>
      <c r="W47" s="337" t="e">
        <v>#NUM!</v>
      </c>
      <c r="X47" s="257"/>
      <c r="Y47" s="336" t="e">
        <v>#NUM!</v>
      </c>
      <c r="Z47" s="266" t="e">
        <f>_xll.qlSimpleQuoteSetValue(F47,Y47,Trigger)</f>
        <v>#NUM!</v>
      </c>
      <c r="AA47" s="53"/>
      <c r="AB47" s="21"/>
      <c r="AC47" s="21"/>
      <c r="AD47" s="21"/>
      <c r="AE47" s="21"/>
      <c r="AF47" s="296" t="e">
        <f t="shared" si="1"/>
        <v>#VALUE!</v>
      </c>
      <c r="AH47" s="150"/>
      <c r="AI47" s="111">
        <v>41</v>
      </c>
      <c r="AJ47" s="148" t="b">
        <v>0</v>
      </c>
      <c r="AK47" s="148" t="str">
        <v>H2</v>
      </c>
      <c r="AL47" s="252" t="str">
        <f t="shared" si="2"/>
        <v>EURFUT3MH2_Quote</v>
      </c>
      <c r="AM47" s="253" t="str">
        <f t="shared" si="3"/>
        <v>EURFUT3MH2ConvAdj_Quote</v>
      </c>
      <c r="AN47" s="252" t="str">
        <f>_xll.qlFuturesConvAdjustmentQuote($AM47,IborIndex,$AK47,$AL47,Volatility,MeanReversion,Permanent,Trigger,ObjectOverwrite)</f>
        <v>EURFUT3MH2ConvAdj_Quote#0000</v>
      </c>
      <c r="AO47" s="79" t="str">
        <f>_xll.ohRangeRetrieveError(AN47)</f>
        <v/>
      </c>
      <c r="AP47" s="53"/>
    </row>
    <row r="48" spans="1:42" x14ac:dyDescent="0.2">
      <c r="A48" s="150"/>
      <c r="B48" s="111">
        <v>42</v>
      </c>
      <c r="C48" s="149" t="b">
        <v>1</v>
      </c>
      <c r="D48" s="148" t="str">
        <v>M2</v>
      </c>
      <c r="E48" s="147" t="str">
        <f t="shared" si="4"/>
        <v>EURFUT3MM2_Quote</v>
      </c>
      <c r="F48" s="146" t="str">
        <f>_xll.qlSimpleQuote(E48,,PriceTickValue,Permanent,Trigger,ObjectOverwrite)</f>
        <v>EURFUT3MM2_Quote#0000</v>
      </c>
      <c r="G48" s="109" t="str">
        <f>_xll.ohRangeRetrieveError(F48)</f>
        <v/>
      </c>
      <c r="H48" s="145"/>
      <c r="J48" s="335"/>
      <c r="K48" s="334">
        <v>42</v>
      </c>
      <c r="L48" s="333" t="b">
        <v>1</v>
      </c>
      <c r="M48" s="255" t="str">
        <v>M2</v>
      </c>
      <c r="N48" s="332">
        <v>44727</v>
      </c>
      <c r="O48" s="255" t="str">
        <v>FEIM2</v>
      </c>
      <c r="P48" s="331" t="s">
        <v>259</v>
      </c>
      <c r="Q48" s="255" t="s">
        <v>259</v>
      </c>
      <c r="R48" s="255" t="s">
        <v>259</v>
      </c>
      <c r="S48" s="255" t="s">
        <v>259</v>
      </c>
      <c r="T48" s="255" t="s">
        <v>259</v>
      </c>
      <c r="U48" s="259" t="e">
        <f>_xll.qlMidSafe($Q48,$R48)</f>
        <v>#NUM!</v>
      </c>
      <c r="V48" s="257"/>
      <c r="W48" s="330" t="e">
        <v>#NUM!</v>
      </c>
      <c r="X48" s="257"/>
      <c r="Y48" s="329" t="e">
        <v>#NUM!</v>
      </c>
      <c r="Z48" s="259" t="e">
        <f>_xll.qlSimpleQuoteSetValue(F48,Y48,Trigger)</f>
        <v>#NUM!</v>
      </c>
      <c r="AA48" s="53"/>
      <c r="AB48" s="21"/>
      <c r="AC48" s="21"/>
      <c r="AD48" s="21"/>
      <c r="AE48" s="21"/>
      <c r="AF48" s="296" t="e">
        <f t="shared" si="1"/>
        <v>#VALUE!</v>
      </c>
      <c r="AH48" s="150"/>
      <c r="AI48" s="111">
        <v>42</v>
      </c>
      <c r="AJ48" s="148" t="b">
        <v>0</v>
      </c>
      <c r="AK48" s="148" t="str">
        <v>M2</v>
      </c>
      <c r="AL48" s="252" t="str">
        <f t="shared" si="2"/>
        <v>EURFUT3MM2_Quote</v>
      </c>
      <c r="AM48" s="253" t="str">
        <f t="shared" si="3"/>
        <v>EURFUT3MM2ConvAdj_Quote</v>
      </c>
      <c r="AN48" s="252" t="str">
        <f>_xll.qlFuturesConvAdjustmentQuote($AM48,IborIndex,$AK48,$AL48,Volatility,MeanReversion,Permanent,Trigger,ObjectOverwrite)</f>
        <v>EURFUT3MM2ConvAdj_Quote#0000</v>
      </c>
      <c r="AO48" s="79" t="str">
        <f>_xll.ohRangeRetrieveError(AN48)</f>
        <v/>
      </c>
      <c r="AP48" s="53"/>
    </row>
    <row r="49" spans="1:42" ht="12" thickBot="1" x14ac:dyDescent="0.25">
      <c r="A49" s="144"/>
      <c r="B49" s="143"/>
      <c r="C49" s="143"/>
      <c r="D49" s="143"/>
      <c r="E49" s="143"/>
      <c r="F49" s="143"/>
      <c r="G49" s="143"/>
      <c r="H49" s="142"/>
      <c r="J49" s="328"/>
      <c r="K49" s="51"/>
      <c r="L49" s="51"/>
      <c r="M49" s="51"/>
      <c r="N49" s="51"/>
      <c r="O49" s="51"/>
      <c r="P49" s="51"/>
      <c r="Q49" s="51"/>
      <c r="R49" s="51"/>
      <c r="S49" s="51"/>
      <c r="T49" s="51"/>
      <c r="U49" s="51"/>
      <c r="V49" s="51"/>
      <c r="W49" s="51"/>
      <c r="X49" s="51"/>
      <c r="Y49" s="51"/>
      <c r="Z49" s="51"/>
      <c r="AA49" s="50"/>
      <c r="AB49" s="21"/>
      <c r="AC49" s="21"/>
      <c r="AD49" s="21"/>
      <c r="AE49" s="21"/>
      <c r="AF49" s="21"/>
      <c r="AH49" s="328"/>
      <c r="AI49" s="51"/>
      <c r="AJ49" s="51"/>
      <c r="AK49" s="51"/>
      <c r="AL49" s="51"/>
      <c r="AM49" s="51"/>
      <c r="AN49" s="51"/>
      <c r="AO49" s="51"/>
      <c r="AP49" s="50"/>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4" t="s">
        <v>310</v>
      </c>
      <c r="K1" s="203"/>
      <c r="L1" s="203"/>
      <c r="M1" s="203"/>
      <c r="N1" s="203"/>
      <c r="O1" s="203"/>
      <c r="P1" s="203"/>
      <c r="Q1" s="203"/>
      <c r="R1" s="203"/>
      <c r="S1" s="203"/>
      <c r="T1" s="203"/>
      <c r="U1" s="203"/>
      <c r="V1" s="353"/>
      <c r="W1" s="353"/>
      <c r="X1" s="203"/>
      <c r="Y1" s="203"/>
      <c r="Z1" s="203"/>
      <c r="AA1" s="203"/>
      <c r="AB1" s="352"/>
      <c r="AC1" s="21"/>
      <c r="AD1" s="21"/>
    </row>
    <row r="2" spans="1:30" ht="12" thickBot="1" x14ac:dyDescent="0.25">
      <c r="J2" s="293"/>
      <c r="K2" s="141"/>
      <c r="L2" s="292"/>
      <c r="M2" s="292"/>
      <c r="N2" s="21"/>
      <c r="O2" s="148" t="s">
        <v>235</v>
      </c>
      <c r="P2" s="141"/>
      <c r="Q2" s="141"/>
      <c r="R2" s="141"/>
      <c r="S2" s="141"/>
      <c r="T2" s="141"/>
      <c r="U2" s="141"/>
      <c r="V2" s="257"/>
      <c r="W2" s="257"/>
      <c r="X2" s="141"/>
      <c r="Y2" s="97" t="s">
        <v>254</v>
      </c>
      <c r="Z2" s="351" t="s">
        <v>147</v>
      </c>
      <c r="AA2" s="141"/>
      <c r="AB2" s="350"/>
      <c r="AC2" s="21"/>
      <c r="AD2" s="21"/>
    </row>
    <row r="3" spans="1:30" x14ac:dyDescent="0.2">
      <c r="A3" s="161" t="s">
        <v>190</v>
      </c>
      <c r="B3" s="160"/>
      <c r="C3" s="160"/>
      <c r="D3" s="159" t="s">
        <v>189</v>
      </c>
      <c r="E3" s="159" t="s">
        <v>40</v>
      </c>
      <c r="F3" s="158"/>
      <c r="G3" s="158"/>
      <c r="H3" s="157"/>
      <c r="J3" s="293"/>
      <c r="K3" s="141"/>
      <c r="L3" s="141"/>
      <c r="M3" s="141"/>
      <c r="N3" s="141"/>
      <c r="O3" s="141"/>
      <c r="P3" s="141"/>
      <c r="Q3" s="141"/>
      <c r="R3" s="141"/>
      <c r="S3" s="141"/>
      <c r="T3" s="141"/>
      <c r="U3" s="141"/>
      <c r="V3" s="257"/>
      <c r="W3" s="257"/>
      <c r="X3" s="141"/>
      <c r="Y3" s="21"/>
      <c r="Z3" s="141"/>
      <c r="AA3" s="141"/>
      <c r="AB3" s="350"/>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3"/>
      <c r="K4" s="141"/>
      <c r="L4" s="141"/>
      <c r="M4" s="141"/>
      <c r="N4" s="361">
        <f>_xll.qlCalendarEndOfMonth("TARGET",_xll.qlCalendarAdvance("TARGET",_xll.qlSettingsEvaluationDate(Trigger),"2d"))</f>
        <v>41639</v>
      </c>
      <c r="O4" s="141"/>
      <c r="P4" s="141"/>
      <c r="Q4" s="141"/>
      <c r="R4" s="141"/>
      <c r="S4" s="141"/>
      <c r="T4" s="141"/>
      <c r="U4" s="141"/>
      <c r="V4" s="257"/>
      <c r="W4" s="257"/>
      <c r="X4" s="141"/>
      <c r="Y4" s="257" t="s">
        <v>272</v>
      </c>
      <c r="Z4" s="141"/>
      <c r="AA4" s="288">
        <f>_xll.ohTrigger(AA6:AA9)</f>
        <v>0</v>
      </c>
      <c r="AB4" s="350"/>
      <c r="AC4" s="21"/>
      <c r="AD4" s="21"/>
    </row>
    <row r="5" spans="1:30" ht="22.5" x14ac:dyDescent="0.2">
      <c r="A5" s="150"/>
      <c r="B5" s="155">
        <v>1</v>
      </c>
      <c r="C5" s="154" t="b">
        <v>0</v>
      </c>
      <c r="D5" s="153" t="str">
        <f t="array" ref="D5:D124">_xll.qlIMMNextCodes(_xll.qlSettingsEvaluationDate(Trigger)-1,$C5:$C124)</f>
        <v>F4</v>
      </c>
      <c r="E5" s="147" t="str">
        <f t="shared" ref="E5:E36" si="0">Currency&amp;$D$3&amp;$E$3&amp;$D5&amp;QuoteSuffix</f>
        <v>EURIMMFRA6MF4_Quote</v>
      </c>
      <c r="F5" s="152" t="str">
        <f>_xll.qlSimpleQuote(E5,,PriceTickValue,Permanent,Trigger,ObjectOverwrite)</f>
        <v>EURIMMFRA6MF4_Quote#0000</v>
      </c>
      <c r="G5" s="151" t="str">
        <f>_xll.ohRangeRetrieveError(F5)</f>
        <v/>
      </c>
      <c r="H5" s="145"/>
      <c r="J5" s="293"/>
      <c r="K5" s="359" t="s">
        <v>187</v>
      </c>
      <c r="L5" s="355" t="s">
        <v>186</v>
      </c>
      <c r="M5" s="355" t="s">
        <v>185</v>
      </c>
      <c r="N5" s="355" t="s">
        <v>264</v>
      </c>
      <c r="O5" s="358" t="e">
        <f ca="1">_xll.RData(O6:O9,P5:T5,,ReutersRtMode,,P6)</f>
        <v>#NAME?</v>
      </c>
      <c r="P5" s="355" t="s">
        <v>263</v>
      </c>
      <c r="Q5" s="355" t="s">
        <v>258</v>
      </c>
      <c r="R5" s="355" t="s">
        <v>225</v>
      </c>
      <c r="S5" s="355" t="s">
        <v>240</v>
      </c>
      <c r="T5" s="355" t="s">
        <v>257</v>
      </c>
      <c r="U5" s="357" t="s">
        <v>256</v>
      </c>
      <c r="V5" s="257"/>
      <c r="W5" s="356" t="s">
        <v>252</v>
      </c>
      <c r="X5" s="257"/>
      <c r="Y5" s="323" t="s">
        <v>251</v>
      </c>
      <c r="Z5" s="355" t="s">
        <v>250</v>
      </c>
      <c r="AA5" s="354" t="s">
        <v>249</v>
      </c>
      <c r="AB5" s="53"/>
      <c r="AC5" s="21"/>
      <c r="AD5" s="321" t="s">
        <v>255</v>
      </c>
    </row>
    <row r="6" spans="1:30" x14ac:dyDescent="0.2">
      <c r="A6" s="150"/>
      <c r="B6" s="111">
        <v>2</v>
      </c>
      <c r="C6" s="149" t="b">
        <v>0</v>
      </c>
      <c r="D6" s="148" t="str">
        <v>G4</v>
      </c>
      <c r="E6" s="147" t="str">
        <f t="shared" si="0"/>
        <v>EURIMMFRA6MG4_Quote</v>
      </c>
      <c r="F6" s="146" t="str">
        <f>_xll.qlSimpleQuote(E6,,PriceTickValue,Permanent,Trigger,ObjectOverwrite)</f>
        <v>EURIMMFRA6MG4_Quote#0000</v>
      </c>
      <c r="G6" s="109" t="str">
        <f>_xll.ohRangeRetrieveError(F6)</f>
        <v/>
      </c>
      <c r="H6" s="145"/>
      <c r="J6" s="335"/>
      <c r="K6" s="348">
        <v>1</v>
      </c>
      <c r="L6" s="347" t="b">
        <v>0</v>
      </c>
      <c r="M6" s="275" t="str">
        <f t="array" ref="M6:M9">_xll.qlIMMcode(FuturesDates)</f>
        <v>F4</v>
      </c>
      <c r="N6" s="346">
        <f t="array" ref="N6:N9">_xll.qlIMMNextDates(N4,$L6:$L9)</f>
        <v>41654</v>
      </c>
      <c r="O6" s="275" t="str">
        <f t="array" ref="O6:O9">Currency&amp;"6F"&amp;K6:K9&amp;"="&amp;VLOOKUP(Contributor,ContributorTable,2,FALSE)</f>
        <v>EUR6F1=ICAP</v>
      </c>
      <c r="P6" s="345" t="s">
        <v>271</v>
      </c>
      <c r="Q6" s="275">
        <v>0.34300000000000003</v>
      </c>
      <c r="R6" s="275">
        <v>0.39300000000000002</v>
      </c>
      <c r="S6" s="275">
        <v>0</v>
      </c>
      <c r="T6" s="275">
        <v>0</v>
      </c>
      <c r="U6" s="278">
        <f>100-_xll.qlMidSafe($Q6,$R6)</f>
        <v>99.632000000000005</v>
      </c>
      <c r="V6" s="257"/>
      <c r="W6" s="344">
        <v>99.632000000000005</v>
      </c>
      <c r="X6" s="257"/>
      <c r="Y6" s="343" t="str">
        <f t="array" ref="Y6:Y9">Currency&amp;Y4&amp;FuturesCodes&amp;$Z$2</f>
        <v>EURIMMFRA6MF4_Quote</v>
      </c>
      <c r="Z6" s="275">
        <f t="array" ref="Z6:Z9">QuoteLive</f>
        <v>99.632000000000005</v>
      </c>
      <c r="AA6" s="278" t="e">
        <f>_xll.qlSimpleQuoteSetValue($Y6,$Z6,Trigger)</f>
        <v>#N/A</v>
      </c>
      <c r="AB6" s="53"/>
      <c r="AC6" s="21"/>
      <c r="AD6" s="296">
        <f>(R6-Q6)/100</f>
        <v>4.999999999999999E-4</v>
      </c>
    </row>
    <row r="7" spans="1:30" x14ac:dyDescent="0.2">
      <c r="A7" s="150"/>
      <c r="B7" s="111">
        <v>3</v>
      </c>
      <c r="C7" s="149" t="b">
        <v>0</v>
      </c>
      <c r="D7" s="148" t="str">
        <v>H4</v>
      </c>
      <c r="E7" s="147" t="str">
        <f t="shared" si="0"/>
        <v>EURIMMFRA6MH4_Quote</v>
      </c>
      <c r="F7" s="146" t="str">
        <f>_xll.qlSimpleQuote(E7,,PriceTickValue,Permanent,Trigger,ObjectOverwrite)</f>
        <v>EURIMMFRA6MH4_Quote#0000</v>
      </c>
      <c r="G7" s="109" t="str">
        <f>_xll.ohRangeRetrieveError(F7)</f>
        <v/>
      </c>
      <c r="H7" s="145"/>
      <c r="J7" s="335"/>
      <c r="K7" s="341">
        <v>2</v>
      </c>
      <c r="L7" s="340" t="b">
        <v>0</v>
      </c>
      <c r="M7" s="263" t="str">
        <v>G4</v>
      </c>
      <c r="N7" s="339">
        <v>41689</v>
      </c>
      <c r="O7" s="263" t="str">
        <v>EUR6F2=ICAP</v>
      </c>
      <c r="P7" s="338" t="s">
        <v>271</v>
      </c>
      <c r="Q7" s="263">
        <v>0.36199999999999999</v>
      </c>
      <c r="R7" s="263">
        <v>0.41199999999999998</v>
      </c>
      <c r="S7" s="263">
        <v>0</v>
      </c>
      <c r="T7" s="263">
        <v>0</v>
      </c>
      <c r="U7" s="266">
        <f>100-_xll.qlMidSafe($Q7,$R7)</f>
        <v>99.613</v>
      </c>
      <c r="V7" s="257"/>
      <c r="W7" s="342">
        <v>99.613</v>
      </c>
      <c r="X7" s="257"/>
      <c r="Y7" s="336" t="str">
        <v>EURIMMFRA6MG4_Quote</v>
      </c>
      <c r="Z7" s="263">
        <v>99.613</v>
      </c>
      <c r="AA7" s="266" t="e">
        <f>_xll.qlSimpleQuoteSetValue($Y7,$Z7,Trigger)</f>
        <v>#N/A</v>
      </c>
      <c r="AB7" s="53"/>
      <c r="AC7" s="21"/>
      <c r="AD7" s="296">
        <f>(R7-Q7)/100</f>
        <v>4.999999999999999E-4</v>
      </c>
    </row>
    <row r="8" spans="1:30" x14ac:dyDescent="0.2">
      <c r="A8" s="150"/>
      <c r="B8" s="111">
        <v>4</v>
      </c>
      <c r="C8" s="149" t="b">
        <v>0</v>
      </c>
      <c r="D8" s="148" t="str">
        <v>J4</v>
      </c>
      <c r="E8" s="147" t="str">
        <f t="shared" si="0"/>
        <v>EURIMMFRA6MJ4_Quote</v>
      </c>
      <c r="F8" s="146" t="str">
        <f>_xll.qlSimpleQuote(E8,,PriceTickValue,Permanent,Trigger,ObjectOverwrite)</f>
        <v>EURIMMFRA6MJ4_Quote#0000</v>
      </c>
      <c r="G8" s="109" t="str">
        <f>_xll.ohRangeRetrieveError(F8)</f>
        <v/>
      </c>
      <c r="H8" s="145"/>
      <c r="J8" s="335"/>
      <c r="K8" s="341">
        <v>3</v>
      </c>
      <c r="L8" s="340" t="b">
        <v>0</v>
      </c>
      <c r="M8" s="263" t="str">
        <v>H4</v>
      </c>
      <c r="N8" s="339">
        <v>41717</v>
      </c>
      <c r="O8" s="263" t="str">
        <v>EUR6F3=ICAP</v>
      </c>
      <c r="P8" s="338" t="s">
        <v>271</v>
      </c>
      <c r="Q8" s="263">
        <v>0.39300000000000002</v>
      </c>
      <c r="R8" s="263">
        <v>0.443</v>
      </c>
      <c r="S8" s="263">
        <v>0</v>
      </c>
      <c r="T8" s="263">
        <v>0</v>
      </c>
      <c r="U8" s="266">
        <f>100-_xll.qlMidSafe($Q8,$R8)</f>
        <v>99.581999999999994</v>
      </c>
      <c r="V8" s="257"/>
      <c r="W8" s="342">
        <v>99.581999999999994</v>
      </c>
      <c r="X8" s="257"/>
      <c r="Y8" s="336" t="str">
        <v>EURIMMFRA6MH4_Quote</v>
      </c>
      <c r="Z8" s="263">
        <v>99.581999999999994</v>
      </c>
      <c r="AA8" s="266" t="e">
        <f>_xll.qlSimpleQuoteSetValue($Y8,$Z8,Trigger)</f>
        <v>#N/A</v>
      </c>
      <c r="AB8" s="53"/>
      <c r="AC8" s="21"/>
      <c r="AD8" s="296">
        <f>(R8-Q8)/100</f>
        <v>4.999999999999999E-4</v>
      </c>
    </row>
    <row r="9" spans="1:30" x14ac:dyDescent="0.2">
      <c r="A9" s="150"/>
      <c r="B9" s="111">
        <v>5</v>
      </c>
      <c r="C9" s="149" t="b">
        <v>0</v>
      </c>
      <c r="D9" s="148" t="str">
        <v>K4</v>
      </c>
      <c r="E9" s="147" t="str">
        <f t="shared" si="0"/>
        <v>EURIMMFRA6MK4_Quote</v>
      </c>
      <c r="F9" s="146" t="str">
        <f>_xll.qlSimpleQuote(E9,,PriceTickValue,Permanent,Trigger,ObjectOverwrite)</f>
        <v>EURIMMFRA6MK4_Quote#0000</v>
      </c>
      <c r="G9" s="109" t="str">
        <f>_xll.ohRangeRetrieveError(F9)</f>
        <v/>
      </c>
      <c r="H9" s="145"/>
      <c r="J9" s="335"/>
      <c r="K9" s="334">
        <v>4</v>
      </c>
      <c r="L9" s="333" t="b">
        <v>0</v>
      </c>
      <c r="M9" s="255" t="str">
        <v>J4</v>
      </c>
      <c r="N9" s="332">
        <v>41745</v>
      </c>
      <c r="O9" s="255" t="str">
        <v>EUR6F4=ICAP</v>
      </c>
      <c r="P9" s="331" t="s">
        <v>271</v>
      </c>
      <c r="Q9" s="255">
        <v>0.42099999999999999</v>
      </c>
      <c r="R9" s="255">
        <v>0.47099999999999997</v>
      </c>
      <c r="S9" s="255">
        <v>0</v>
      </c>
      <c r="T9" s="255">
        <v>0</v>
      </c>
      <c r="U9" s="259">
        <f>100-_xll.qlMidSafe($Q9,$R9)</f>
        <v>99.554000000000002</v>
      </c>
      <c r="V9" s="257"/>
      <c r="W9" s="360">
        <v>99.554000000000002</v>
      </c>
      <c r="X9" s="257"/>
      <c r="Y9" s="329" t="str">
        <v>EURIMMFRA6MJ4_Quote</v>
      </c>
      <c r="Z9" s="255">
        <v>99.554000000000002</v>
      </c>
      <c r="AA9" s="259" t="e">
        <f>_xll.qlSimpleQuoteSetValue($Y9,$Z9,Trigger)</f>
        <v>#N/A</v>
      </c>
      <c r="AB9" s="53"/>
      <c r="AC9" s="21"/>
      <c r="AD9" s="296">
        <f>(R9-Q9)/100</f>
        <v>4.999999999999999E-4</v>
      </c>
    </row>
    <row r="10" spans="1:30" ht="12" thickBot="1" x14ac:dyDescent="0.25">
      <c r="A10" s="150"/>
      <c r="B10" s="111">
        <v>6</v>
      </c>
      <c r="C10" s="149" t="b">
        <v>0</v>
      </c>
      <c r="D10" s="148" t="str">
        <v>M4</v>
      </c>
      <c r="E10" s="147" t="str">
        <f t="shared" si="0"/>
        <v>EURIMMFRA6MM4_Quote</v>
      </c>
      <c r="F10" s="146" t="str">
        <f>_xll.qlSimpleQuote(E10,,PriceTickValue,Permanent,Trigger,ObjectOverwrite)</f>
        <v>EURIMMFRA6MM4_Quote#0000</v>
      </c>
      <c r="G10" s="109" t="str">
        <f>_xll.ohRangeRetrieveError(F10)</f>
        <v/>
      </c>
      <c r="H10" s="145"/>
      <c r="J10" s="328"/>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N4</v>
      </c>
      <c r="E11" s="147" t="str">
        <f t="shared" si="0"/>
        <v>EURIMMFRA6MN4_Quote</v>
      </c>
      <c r="F11" s="146" t="str">
        <f>_xll.qlSimpleQuote(E11,,PriceTickValue,Permanent,Trigger,ObjectOverwrite)</f>
        <v>EURIMMFRA6MN4_Quote#0000</v>
      </c>
      <c r="G11" s="109" t="str">
        <f>_xll.ohRangeRetrieveError(F11)</f>
        <v/>
      </c>
      <c r="H11" s="145"/>
    </row>
    <row r="12" spans="1:30" x14ac:dyDescent="0.2">
      <c r="A12" s="150"/>
      <c r="B12" s="111">
        <v>8</v>
      </c>
      <c r="C12" s="149" t="b">
        <v>0</v>
      </c>
      <c r="D12" s="148" t="str">
        <v>Q4</v>
      </c>
      <c r="E12" s="147" t="str">
        <f t="shared" si="0"/>
        <v>EURIMMFRA6MQ4_Quote</v>
      </c>
      <c r="F12" s="146" t="str">
        <f>_xll.qlSimpleQuote(E12,,PriceTickValue,Permanent,Trigger,ObjectOverwrite)</f>
        <v>EURIMMFRA6MQ4_Quote#0000</v>
      </c>
      <c r="G12" s="109" t="str">
        <f>_xll.ohRangeRetrieveError(F12)</f>
        <v/>
      </c>
      <c r="H12" s="145"/>
    </row>
    <row r="13" spans="1:30" x14ac:dyDescent="0.2">
      <c r="A13" s="150"/>
      <c r="B13" s="111">
        <v>9</v>
      </c>
      <c r="C13" s="149" t="b">
        <v>0</v>
      </c>
      <c r="D13" s="148" t="str">
        <v>U4</v>
      </c>
      <c r="E13" s="147" t="str">
        <f t="shared" si="0"/>
        <v>EURIMMFRA6MU4_Quote</v>
      </c>
      <c r="F13" s="146" t="str">
        <f>_xll.qlSimpleQuote(E13,,PriceTickValue,Permanent,Trigger,ObjectOverwrite)</f>
        <v>EURIMMFRA6MU4_Quote#0000</v>
      </c>
      <c r="G13" s="109" t="str">
        <f>_xll.ohRangeRetrieveError(F13)</f>
        <v/>
      </c>
      <c r="H13" s="145"/>
    </row>
    <row r="14" spans="1:30" x14ac:dyDescent="0.2">
      <c r="A14" s="150"/>
      <c r="B14" s="111">
        <v>10</v>
      </c>
      <c r="C14" s="149" t="b">
        <v>0</v>
      </c>
      <c r="D14" s="148" t="str">
        <v>V4</v>
      </c>
      <c r="E14" s="147" t="str">
        <f t="shared" si="0"/>
        <v>EURIMMFRA6MV4_Quote</v>
      </c>
      <c r="F14" s="146" t="str">
        <f>_xll.qlSimpleQuote(E14,,PriceTickValue,Permanent,Trigger,ObjectOverwrite)</f>
        <v>EURIMMFRA6MV4_Quote#0000</v>
      </c>
      <c r="G14" s="109" t="str">
        <f>_xll.ohRangeRetrieveError(F14)</f>
        <v/>
      </c>
      <c r="H14" s="145"/>
    </row>
    <row r="15" spans="1:30" x14ac:dyDescent="0.2">
      <c r="A15" s="150"/>
      <c r="B15" s="111">
        <v>11</v>
      </c>
      <c r="C15" s="149" t="b">
        <v>0</v>
      </c>
      <c r="D15" s="148" t="str">
        <v>X4</v>
      </c>
      <c r="E15" s="147" t="str">
        <f t="shared" si="0"/>
        <v>EURIMMFRA6MX4_Quote</v>
      </c>
      <c r="F15" s="146" t="str">
        <f>_xll.qlSimpleQuote(E15,,PriceTickValue,Permanent,Trigger,ObjectOverwrite)</f>
        <v>EURIMMFRA6MX4_Quote#0000</v>
      </c>
      <c r="G15" s="109" t="str">
        <f>_xll.ohRangeRetrieveError(F15)</f>
        <v/>
      </c>
      <c r="H15" s="145"/>
    </row>
    <row r="16" spans="1:30" x14ac:dyDescent="0.2">
      <c r="A16" s="150"/>
      <c r="B16" s="111">
        <v>12</v>
      </c>
      <c r="C16" s="149" t="b">
        <v>0</v>
      </c>
      <c r="D16" s="148" t="str">
        <v>Z4</v>
      </c>
      <c r="E16" s="147" t="str">
        <f t="shared" si="0"/>
        <v>EURIMMFRA6MZ4_Quote</v>
      </c>
      <c r="F16" s="146" t="str">
        <f>_xll.qlSimpleQuote(E16,,PriceTickValue,Permanent,Trigger,ObjectOverwrite)</f>
        <v>EURIMMFRA6MZ4_Quote#0000</v>
      </c>
      <c r="G16" s="109" t="str">
        <f>_xll.ohRangeRetrieveError(F16)</f>
        <v/>
      </c>
      <c r="H16" s="145"/>
    </row>
    <row r="17" spans="1:8" x14ac:dyDescent="0.2">
      <c r="A17" s="150"/>
      <c r="B17" s="111">
        <v>13</v>
      </c>
      <c r="C17" s="149" t="b">
        <v>0</v>
      </c>
      <c r="D17" s="148" t="str">
        <v>F5</v>
      </c>
      <c r="E17" s="147" t="str">
        <f t="shared" si="0"/>
        <v>EURIMMFRA6MF5_Quote</v>
      </c>
      <c r="F17" s="146" t="str">
        <f>_xll.qlSimpleQuote(E17,,PriceTickValue,Permanent,Trigger,ObjectOverwrite)</f>
        <v>EURIMMFRA6MF5_Quote#0000</v>
      </c>
      <c r="G17" s="109" t="str">
        <f>_xll.ohRangeRetrieveError(F17)</f>
        <v/>
      </c>
      <c r="H17" s="145"/>
    </row>
    <row r="18" spans="1:8" x14ac:dyDescent="0.2">
      <c r="A18" s="150"/>
      <c r="B18" s="111">
        <v>14</v>
      </c>
      <c r="C18" s="149" t="b">
        <v>0</v>
      </c>
      <c r="D18" s="148" t="str">
        <v>G5</v>
      </c>
      <c r="E18" s="147" t="str">
        <f t="shared" si="0"/>
        <v>EURIMMFRA6MG5_Quote</v>
      </c>
      <c r="F18" s="146" t="str">
        <f>_xll.qlSimpleQuote(E18,,PriceTickValue,Permanent,Trigger,ObjectOverwrite)</f>
        <v>EURIMMFRA6MG5_Quote#0000</v>
      </c>
      <c r="G18" s="109" t="str">
        <f>_xll.ohRangeRetrieveError(F18)</f>
        <v/>
      </c>
      <c r="H18" s="145"/>
    </row>
    <row r="19" spans="1:8" x14ac:dyDescent="0.2">
      <c r="A19" s="150"/>
      <c r="B19" s="111">
        <v>15</v>
      </c>
      <c r="C19" s="149" t="b">
        <v>0</v>
      </c>
      <c r="D19" s="148" t="str">
        <v>H5</v>
      </c>
      <c r="E19" s="147" t="str">
        <f t="shared" si="0"/>
        <v>EURIMMFRA6MH5_Quote</v>
      </c>
      <c r="F19" s="146" t="str">
        <f>_xll.qlSimpleQuote(E19,,PriceTickValue,Permanent,Trigger,ObjectOverwrite)</f>
        <v>EURIMMFRA6MH5_Quote#0000</v>
      </c>
      <c r="G19" s="109" t="str">
        <f>_xll.ohRangeRetrieveError(F19)</f>
        <v/>
      </c>
      <c r="H19" s="145"/>
    </row>
    <row r="20" spans="1:8" x14ac:dyDescent="0.2">
      <c r="A20" s="150"/>
      <c r="B20" s="111">
        <v>16</v>
      </c>
      <c r="C20" s="149" t="b">
        <v>0</v>
      </c>
      <c r="D20" s="148" t="str">
        <v>J5</v>
      </c>
      <c r="E20" s="147" t="str">
        <f t="shared" si="0"/>
        <v>EURIMMFRA6MJ5_Quote</v>
      </c>
      <c r="F20" s="146" t="str">
        <f>_xll.qlSimpleQuote(E20,,PriceTickValue,Permanent,Trigger,ObjectOverwrite)</f>
        <v>EURIMMFRA6MJ5_Quote#0000</v>
      </c>
      <c r="G20" s="109" t="str">
        <f>_xll.ohRangeRetrieveError(F20)</f>
        <v/>
      </c>
      <c r="H20" s="145"/>
    </row>
    <row r="21" spans="1:8" x14ac:dyDescent="0.2">
      <c r="A21" s="150"/>
      <c r="B21" s="111">
        <v>17</v>
      </c>
      <c r="C21" s="149" t="b">
        <v>0</v>
      </c>
      <c r="D21" s="148" t="str">
        <v>K5</v>
      </c>
      <c r="E21" s="147" t="str">
        <f t="shared" si="0"/>
        <v>EURIMMFRA6MK5_Quote</v>
      </c>
      <c r="F21" s="146" t="str">
        <f>_xll.qlSimpleQuote(E21,,PriceTickValue,Permanent,Trigger,ObjectOverwrite)</f>
        <v>EURIMMFRA6MK5_Quote#0000</v>
      </c>
      <c r="G21" s="109" t="str">
        <f>_xll.ohRangeRetrieveError(F21)</f>
        <v/>
      </c>
      <c r="H21" s="145"/>
    </row>
    <row r="22" spans="1:8" x14ac:dyDescent="0.2">
      <c r="A22" s="150"/>
      <c r="B22" s="111">
        <v>18</v>
      </c>
      <c r="C22" s="149" t="b">
        <v>0</v>
      </c>
      <c r="D22" s="148" t="str">
        <v>M5</v>
      </c>
      <c r="E22" s="147" t="str">
        <f t="shared" si="0"/>
        <v>EURIMMFRA6MM5_Quote</v>
      </c>
      <c r="F22" s="146" t="str">
        <f>_xll.qlSimpleQuote(E22,,PriceTickValue,Permanent,Trigger,ObjectOverwrite)</f>
        <v>EURIMMFRA6MM5_Quote#0000</v>
      </c>
      <c r="G22" s="109" t="str">
        <f>_xll.ohRangeRetrieveError(F22)</f>
        <v/>
      </c>
      <c r="H22" s="145"/>
    </row>
    <row r="23" spans="1:8" x14ac:dyDescent="0.2">
      <c r="A23" s="150"/>
      <c r="B23" s="111">
        <v>19</v>
      </c>
      <c r="C23" s="149" t="b">
        <v>0</v>
      </c>
      <c r="D23" s="148" t="str">
        <v>N5</v>
      </c>
      <c r="E23" s="147" t="str">
        <f t="shared" si="0"/>
        <v>EURIMMFRA6MN5_Quote</v>
      </c>
      <c r="F23" s="146" t="str">
        <f>_xll.qlSimpleQuote(E23,,PriceTickValue,Permanent,Trigger,ObjectOverwrite)</f>
        <v>EURIMMFRA6MN5_Quote#0000</v>
      </c>
      <c r="G23" s="109" t="str">
        <f>_xll.ohRangeRetrieveError(F23)</f>
        <v/>
      </c>
      <c r="H23" s="145"/>
    </row>
    <row r="24" spans="1:8" x14ac:dyDescent="0.2">
      <c r="A24" s="150"/>
      <c r="B24" s="111">
        <v>20</v>
      </c>
      <c r="C24" s="149" t="b">
        <v>0</v>
      </c>
      <c r="D24" s="148" t="str">
        <v>Q5</v>
      </c>
      <c r="E24" s="147" t="str">
        <f t="shared" si="0"/>
        <v>EURIMMFRA6MQ5_Quote</v>
      </c>
      <c r="F24" s="146" t="str">
        <f>_xll.qlSimpleQuote(E24,,PriceTickValue,Permanent,Trigger,ObjectOverwrite)</f>
        <v>EURIMMFRA6MQ5_Quote#0000</v>
      </c>
      <c r="G24" s="109" t="str">
        <f>_xll.ohRangeRetrieveError(F24)</f>
        <v/>
      </c>
      <c r="H24" s="145"/>
    </row>
    <row r="25" spans="1:8" x14ac:dyDescent="0.2">
      <c r="A25" s="150"/>
      <c r="B25" s="111">
        <v>21</v>
      </c>
      <c r="C25" s="149" t="b">
        <v>0</v>
      </c>
      <c r="D25" s="148" t="str">
        <v>U5</v>
      </c>
      <c r="E25" s="147" t="str">
        <f t="shared" si="0"/>
        <v>EURIMMFRA6MU5_Quote</v>
      </c>
      <c r="F25" s="146" t="str">
        <f>_xll.qlSimpleQuote(E25,,PriceTickValue,Permanent,Trigger,ObjectOverwrite)</f>
        <v>EURIMMFRA6MU5_Quote#0000</v>
      </c>
      <c r="G25" s="109" t="str">
        <f>_xll.ohRangeRetrieveError(F25)</f>
        <v/>
      </c>
      <c r="H25" s="145"/>
    </row>
    <row r="26" spans="1:8" x14ac:dyDescent="0.2">
      <c r="A26" s="150"/>
      <c r="B26" s="111">
        <v>22</v>
      </c>
      <c r="C26" s="149" t="b">
        <v>0</v>
      </c>
      <c r="D26" s="148" t="str">
        <v>V5</v>
      </c>
      <c r="E26" s="147" t="str">
        <f t="shared" si="0"/>
        <v>EURIMMFRA6MV5_Quote</v>
      </c>
      <c r="F26" s="146" t="str">
        <f>_xll.qlSimpleQuote(E26,,PriceTickValue,Permanent,Trigger,ObjectOverwrite)</f>
        <v>EURIMMFRA6MV5_Quote#0000</v>
      </c>
      <c r="G26" s="109" t="str">
        <f>_xll.ohRangeRetrieveError(F26)</f>
        <v/>
      </c>
      <c r="H26" s="145"/>
    </row>
    <row r="27" spans="1:8" x14ac:dyDescent="0.2">
      <c r="A27" s="150"/>
      <c r="B27" s="111">
        <v>23</v>
      </c>
      <c r="C27" s="149" t="b">
        <v>0</v>
      </c>
      <c r="D27" s="148" t="str">
        <v>X5</v>
      </c>
      <c r="E27" s="147" t="str">
        <f t="shared" si="0"/>
        <v>EURIMMFRA6MX5_Quote</v>
      </c>
      <c r="F27" s="146" t="str">
        <f>_xll.qlSimpleQuote(E27,,PriceTickValue,Permanent,Trigger,ObjectOverwrite)</f>
        <v>EURIMMFRA6MX5_Quote#0000</v>
      </c>
      <c r="G27" s="109" t="str">
        <f>_xll.ohRangeRetrieveError(F27)</f>
        <v/>
      </c>
      <c r="H27" s="145"/>
    </row>
    <row r="28" spans="1:8" x14ac:dyDescent="0.2">
      <c r="A28" s="150"/>
      <c r="B28" s="111">
        <v>24</v>
      </c>
      <c r="C28" s="149" t="b">
        <v>0</v>
      </c>
      <c r="D28" s="148" t="str">
        <v>Z5</v>
      </c>
      <c r="E28" s="147" t="str">
        <f t="shared" si="0"/>
        <v>EURIMMFRA6MZ5_Quote</v>
      </c>
      <c r="F28" s="146" t="str">
        <f>_xll.qlSimpleQuote(E28,,PriceTickValue,Permanent,Trigger,ObjectOverwrite)</f>
        <v>EURIMMFRA6MZ5_Quote#0000</v>
      </c>
      <c r="G28" s="109" t="str">
        <f>_xll.ohRangeRetrieveError(F28)</f>
        <v/>
      </c>
      <c r="H28" s="145"/>
    </row>
    <row r="29" spans="1:8" x14ac:dyDescent="0.2">
      <c r="A29" s="150"/>
      <c r="B29" s="111">
        <v>25</v>
      </c>
      <c r="C29" s="149" t="b">
        <v>0</v>
      </c>
      <c r="D29" s="148" t="str">
        <v>F6</v>
      </c>
      <c r="E29" s="147" t="str">
        <f t="shared" si="0"/>
        <v>EURIMMFRA6MF6_Quote</v>
      </c>
      <c r="F29" s="146" t="str">
        <f>_xll.qlSimpleQuote(E29,,PriceTickValue,Permanent,Trigger,ObjectOverwrite)</f>
        <v>EURIMMFRA6MF6_Quote#0000</v>
      </c>
      <c r="G29" s="109" t="str">
        <f>_xll.ohRangeRetrieveError(F29)</f>
        <v/>
      </c>
      <c r="H29" s="145"/>
    </row>
    <row r="30" spans="1:8" x14ac:dyDescent="0.2">
      <c r="A30" s="150"/>
      <c r="B30" s="111">
        <v>26</v>
      </c>
      <c r="C30" s="149" t="b">
        <v>0</v>
      </c>
      <c r="D30" s="148" t="str">
        <v>G6</v>
      </c>
      <c r="E30" s="147" t="str">
        <f t="shared" si="0"/>
        <v>EURIMMFRA6MG6_Quote</v>
      </c>
      <c r="F30" s="146" t="str">
        <f>_xll.qlSimpleQuote(E30,,PriceTickValue,Permanent,Trigger,ObjectOverwrite)</f>
        <v>EURIMMFRA6MG6_Quote#0000</v>
      </c>
      <c r="G30" s="109" t="str">
        <f>_xll.ohRangeRetrieveError(F30)</f>
        <v/>
      </c>
      <c r="H30" s="145"/>
    </row>
    <row r="31" spans="1:8" x14ac:dyDescent="0.2">
      <c r="A31" s="150"/>
      <c r="B31" s="111">
        <v>27</v>
      </c>
      <c r="C31" s="149" t="b">
        <v>0</v>
      </c>
      <c r="D31" s="148" t="str">
        <v>H6</v>
      </c>
      <c r="E31" s="147" t="str">
        <f t="shared" si="0"/>
        <v>EURIMMFRA6MH6_Quote</v>
      </c>
      <c r="F31" s="146" t="str">
        <f>_xll.qlSimpleQuote(E31,,PriceTickValue,Permanent,Trigger,ObjectOverwrite)</f>
        <v>EURIMMFRA6MH6_Quote#0000</v>
      </c>
      <c r="G31" s="109" t="str">
        <f>_xll.ohRangeRetrieveError(F31)</f>
        <v/>
      </c>
      <c r="H31" s="145"/>
    </row>
    <row r="32" spans="1:8" x14ac:dyDescent="0.2">
      <c r="A32" s="150"/>
      <c r="B32" s="111">
        <v>28</v>
      </c>
      <c r="C32" s="149" t="b">
        <v>0</v>
      </c>
      <c r="D32" s="148" t="str">
        <v>J6</v>
      </c>
      <c r="E32" s="147" t="str">
        <f t="shared" si="0"/>
        <v>EURIMMFRA6MJ6_Quote</v>
      </c>
      <c r="F32" s="146" t="str">
        <f>_xll.qlSimpleQuote(E32,,PriceTickValue,Permanent,Trigger,ObjectOverwrite)</f>
        <v>EURIMMFRA6MJ6_Quote#0000</v>
      </c>
      <c r="G32" s="109" t="str">
        <f>_xll.ohRangeRetrieveError(F32)</f>
        <v/>
      </c>
      <c r="H32" s="145"/>
    </row>
    <row r="33" spans="1:8" x14ac:dyDescent="0.2">
      <c r="A33" s="150"/>
      <c r="B33" s="111">
        <v>29</v>
      </c>
      <c r="C33" s="149" t="b">
        <v>0</v>
      </c>
      <c r="D33" s="148" t="str">
        <v>K6</v>
      </c>
      <c r="E33" s="147" t="str">
        <f t="shared" si="0"/>
        <v>EURIMMFRA6MK6_Quote</v>
      </c>
      <c r="F33" s="146" t="str">
        <f>_xll.qlSimpleQuote(E33,,PriceTickValue,Permanent,Trigger,ObjectOverwrite)</f>
        <v>EURIMMFRA6MK6_Quote#0000</v>
      </c>
      <c r="G33" s="109" t="str">
        <f>_xll.ohRangeRetrieveError(F33)</f>
        <v/>
      </c>
      <c r="H33" s="145"/>
    </row>
    <row r="34" spans="1:8" x14ac:dyDescent="0.2">
      <c r="A34" s="150"/>
      <c r="B34" s="111">
        <v>30</v>
      </c>
      <c r="C34" s="149" t="b">
        <v>0</v>
      </c>
      <c r="D34" s="148" t="str">
        <v>M6</v>
      </c>
      <c r="E34" s="147" t="str">
        <f t="shared" si="0"/>
        <v>EURIMMFRA6MM6_Quote</v>
      </c>
      <c r="F34" s="146" t="str">
        <f>_xll.qlSimpleQuote(E34,,PriceTickValue,Permanent,Trigger,ObjectOverwrite)</f>
        <v>EURIMMFRA6MM6_Quote#0000</v>
      </c>
      <c r="G34" s="109" t="str">
        <f>_xll.ohRangeRetrieveError(F34)</f>
        <v/>
      </c>
      <c r="H34" s="145"/>
    </row>
    <row r="35" spans="1:8" x14ac:dyDescent="0.2">
      <c r="A35" s="150"/>
      <c r="B35" s="111">
        <v>31</v>
      </c>
      <c r="C35" s="149" t="b">
        <v>0</v>
      </c>
      <c r="D35" s="148" t="str">
        <v>N6</v>
      </c>
      <c r="E35" s="147" t="str">
        <f t="shared" si="0"/>
        <v>EURIMMFRA6MN6_Quote</v>
      </c>
      <c r="F35" s="146" t="str">
        <f>_xll.qlSimpleQuote(E35,,PriceTickValue,Permanent,Trigger,ObjectOverwrite)</f>
        <v>EURIMMFRA6MN6_Quote#0000</v>
      </c>
      <c r="G35" s="109" t="str">
        <f>_xll.ohRangeRetrieveError(F35)</f>
        <v/>
      </c>
      <c r="H35" s="145"/>
    </row>
    <row r="36" spans="1:8" x14ac:dyDescent="0.2">
      <c r="A36" s="150"/>
      <c r="B36" s="111">
        <v>32</v>
      </c>
      <c r="C36" s="149" t="b">
        <v>0</v>
      </c>
      <c r="D36" s="148" t="str">
        <v>Q6</v>
      </c>
      <c r="E36" s="147" t="str">
        <f t="shared" si="0"/>
        <v>EURIMMFRA6MQ6_Quote</v>
      </c>
      <c r="F36" s="146" t="str">
        <f>_xll.qlSimpleQuote(E36,,PriceTickValue,Permanent,Trigger,ObjectOverwrite)</f>
        <v>EURIMMFRA6MQ6_Quote#0000</v>
      </c>
      <c r="G36" s="109" t="str">
        <f>_xll.ohRangeRetrieveError(F36)</f>
        <v/>
      </c>
      <c r="H36" s="145"/>
    </row>
    <row r="37" spans="1:8" x14ac:dyDescent="0.2">
      <c r="A37" s="150"/>
      <c r="B37" s="111">
        <v>33</v>
      </c>
      <c r="C37" s="149" t="b">
        <v>0</v>
      </c>
      <c r="D37" s="148" t="str">
        <v>U6</v>
      </c>
      <c r="E37" s="147" t="str">
        <f t="shared" ref="E37:E68" si="1">Currency&amp;$D$3&amp;$E$3&amp;$D37&amp;QuoteSuffix</f>
        <v>EURIMMFRA6MU6_Quote</v>
      </c>
      <c r="F37" s="146" t="str">
        <f>_xll.qlSimpleQuote(E37,,PriceTickValue,Permanent,Trigger,ObjectOverwrite)</f>
        <v>EURIMMFRA6MU6_Quote#0000</v>
      </c>
      <c r="G37" s="109" t="str">
        <f>_xll.ohRangeRetrieveError(F37)</f>
        <v/>
      </c>
      <c r="H37" s="145"/>
    </row>
    <row r="38" spans="1:8" x14ac:dyDescent="0.2">
      <c r="A38" s="150"/>
      <c r="B38" s="111">
        <v>34</v>
      </c>
      <c r="C38" s="149" t="b">
        <v>0</v>
      </c>
      <c r="D38" s="148" t="str">
        <v>V6</v>
      </c>
      <c r="E38" s="147" t="str">
        <f t="shared" si="1"/>
        <v>EURIMMFRA6MV6_Quote</v>
      </c>
      <c r="F38" s="146" t="str">
        <f>_xll.qlSimpleQuote(E38,,PriceTickValue,Permanent,Trigger,ObjectOverwrite)</f>
        <v>EURIMMFRA6MV6_Quote#0000</v>
      </c>
      <c r="G38" s="109" t="str">
        <f>_xll.ohRangeRetrieveError(F38)</f>
        <v/>
      </c>
      <c r="H38" s="145"/>
    </row>
    <row r="39" spans="1:8" x14ac:dyDescent="0.2">
      <c r="A39" s="150"/>
      <c r="B39" s="111">
        <v>35</v>
      </c>
      <c r="C39" s="149" t="b">
        <v>0</v>
      </c>
      <c r="D39" s="148" t="str">
        <v>X6</v>
      </c>
      <c r="E39" s="147" t="str">
        <f t="shared" si="1"/>
        <v>EURIMMFRA6MX6_Quote</v>
      </c>
      <c r="F39" s="146" t="str">
        <f>_xll.qlSimpleQuote(E39,,PriceTickValue,Permanent,Trigger,ObjectOverwrite)</f>
        <v>EURIMMFRA6MX6_Quote#0000</v>
      </c>
      <c r="G39" s="109" t="str">
        <f>_xll.ohRangeRetrieveError(F39)</f>
        <v/>
      </c>
      <c r="H39" s="145"/>
    </row>
    <row r="40" spans="1:8" x14ac:dyDescent="0.2">
      <c r="A40" s="150"/>
      <c r="B40" s="111">
        <v>36</v>
      </c>
      <c r="C40" s="149" t="b">
        <v>0</v>
      </c>
      <c r="D40" s="148" t="str">
        <v>Z6</v>
      </c>
      <c r="E40" s="147" t="str">
        <f t="shared" si="1"/>
        <v>EURIMMFRA6MZ6_Quote</v>
      </c>
      <c r="F40" s="146" t="str">
        <f>_xll.qlSimpleQuote(E40,,PriceTickValue,Permanent,Trigger,ObjectOverwrite)</f>
        <v>EURIMMFRA6MZ6_Quote#0000</v>
      </c>
      <c r="G40" s="109" t="str">
        <f>_xll.ohRangeRetrieveError(F40)</f>
        <v/>
      </c>
      <c r="H40" s="145"/>
    </row>
    <row r="41" spans="1:8" x14ac:dyDescent="0.2">
      <c r="A41" s="150"/>
      <c r="B41" s="111">
        <v>37</v>
      </c>
      <c r="C41" s="149" t="b">
        <v>0</v>
      </c>
      <c r="D41" s="148" t="str">
        <v>F7</v>
      </c>
      <c r="E41" s="147" t="str">
        <f t="shared" si="1"/>
        <v>EURIMMFRA6MF7_Quote</v>
      </c>
      <c r="F41" s="146" t="str">
        <f>_xll.qlSimpleQuote(E41,,PriceTickValue,Permanent,Trigger,ObjectOverwrite)</f>
        <v>EURIMMFRA6MF7_Quote#0000</v>
      </c>
      <c r="G41" s="109" t="str">
        <f>_xll.ohRangeRetrieveError(F41)</f>
        <v/>
      </c>
      <c r="H41" s="145"/>
    </row>
    <row r="42" spans="1:8" x14ac:dyDescent="0.2">
      <c r="A42" s="150"/>
      <c r="B42" s="111">
        <v>38</v>
      </c>
      <c r="C42" s="149" t="b">
        <v>0</v>
      </c>
      <c r="D42" s="148" t="str">
        <v>G7</v>
      </c>
      <c r="E42" s="147" t="str">
        <f t="shared" si="1"/>
        <v>EURIMMFRA6MG7_Quote</v>
      </c>
      <c r="F42" s="146" t="str">
        <f>_xll.qlSimpleQuote(E42,,PriceTickValue,Permanent,Trigger,ObjectOverwrite)</f>
        <v>EURIMMFRA6MG7_Quote#0000</v>
      </c>
      <c r="G42" s="109" t="str">
        <f>_xll.ohRangeRetrieveError(F42)</f>
        <v/>
      </c>
      <c r="H42" s="145"/>
    </row>
    <row r="43" spans="1:8" x14ac:dyDescent="0.2">
      <c r="A43" s="150"/>
      <c r="B43" s="111">
        <v>39</v>
      </c>
      <c r="C43" s="149" t="b">
        <v>0</v>
      </c>
      <c r="D43" s="148" t="str">
        <v>H7</v>
      </c>
      <c r="E43" s="147" t="str">
        <f t="shared" si="1"/>
        <v>EURIMMFRA6MH7_Quote</v>
      </c>
      <c r="F43" s="146" t="str">
        <f>_xll.qlSimpleQuote(E43,,PriceTickValue,Permanent,Trigger,ObjectOverwrite)</f>
        <v>EURIMMFRA6MH7_Quote#0000</v>
      </c>
      <c r="G43" s="109" t="str">
        <f>_xll.ohRangeRetrieveError(F43)</f>
        <v/>
      </c>
      <c r="H43" s="145"/>
    </row>
    <row r="44" spans="1:8" x14ac:dyDescent="0.2">
      <c r="A44" s="150"/>
      <c r="B44" s="111">
        <v>40</v>
      </c>
      <c r="C44" s="149" t="b">
        <v>0</v>
      </c>
      <c r="D44" s="148" t="str">
        <v>J7</v>
      </c>
      <c r="E44" s="147" t="str">
        <f t="shared" si="1"/>
        <v>EURIMMFRA6MJ7_Quote</v>
      </c>
      <c r="F44" s="146" t="str">
        <f>_xll.qlSimpleQuote(E44,,PriceTickValue,Permanent,Trigger,ObjectOverwrite)</f>
        <v>EURIMMFRA6MJ7_Quote#0000</v>
      </c>
      <c r="G44" s="109" t="str">
        <f>_xll.ohRangeRetrieveError(F44)</f>
        <v/>
      </c>
      <c r="H44" s="145"/>
    </row>
    <row r="45" spans="1:8" x14ac:dyDescent="0.2">
      <c r="A45" s="150"/>
      <c r="B45" s="111">
        <v>41</v>
      </c>
      <c r="C45" s="149" t="b">
        <v>0</v>
      </c>
      <c r="D45" s="148" t="str">
        <v>K7</v>
      </c>
      <c r="E45" s="147" t="str">
        <f t="shared" si="1"/>
        <v>EURIMMFRA6MK7_Quote</v>
      </c>
      <c r="F45" s="146" t="str">
        <f>_xll.qlSimpleQuote(E45,,PriceTickValue,Permanent,Trigger,ObjectOverwrite)</f>
        <v>EURIMMFRA6MK7_Quote#0000</v>
      </c>
      <c r="G45" s="109" t="str">
        <f>_xll.ohRangeRetrieveError(F45)</f>
        <v/>
      </c>
      <c r="H45" s="145"/>
    </row>
    <row r="46" spans="1:8" x14ac:dyDescent="0.2">
      <c r="A46" s="150"/>
      <c r="B46" s="111">
        <v>42</v>
      </c>
      <c r="C46" s="149" t="b">
        <v>0</v>
      </c>
      <c r="D46" s="148" t="str">
        <v>M7</v>
      </c>
      <c r="E46" s="147" t="str">
        <f t="shared" si="1"/>
        <v>EURIMMFRA6MM7_Quote</v>
      </c>
      <c r="F46" s="146" t="str">
        <f>_xll.qlSimpleQuote(E46,,PriceTickValue,Permanent,Trigger,ObjectOverwrite)</f>
        <v>EURIMMFRA6MM7_Quote#0000</v>
      </c>
      <c r="G46" s="109" t="str">
        <f>_xll.ohRangeRetrieveError(F46)</f>
        <v/>
      </c>
      <c r="H46" s="145"/>
    </row>
    <row r="47" spans="1:8" x14ac:dyDescent="0.2">
      <c r="A47" s="150"/>
      <c r="B47" s="111">
        <v>43</v>
      </c>
      <c r="C47" s="149" t="b">
        <v>0</v>
      </c>
      <c r="D47" s="148" t="str">
        <v>N7</v>
      </c>
      <c r="E47" s="147" t="str">
        <f t="shared" si="1"/>
        <v>EURIMMFRA6MN7_Quote</v>
      </c>
      <c r="F47" s="146" t="str">
        <f>_xll.qlSimpleQuote(E47,,PriceTickValue,Permanent,Trigger,ObjectOverwrite)</f>
        <v>EURIMMFRA6MN7_Quote#0000</v>
      </c>
      <c r="G47" s="109" t="str">
        <f>_xll.ohRangeRetrieveError(F47)</f>
        <v/>
      </c>
      <c r="H47" s="145"/>
    </row>
    <row r="48" spans="1:8" x14ac:dyDescent="0.2">
      <c r="A48" s="150"/>
      <c r="B48" s="111">
        <v>44</v>
      </c>
      <c r="C48" s="149" t="b">
        <v>0</v>
      </c>
      <c r="D48" s="148" t="str">
        <v>Q7</v>
      </c>
      <c r="E48" s="147" t="str">
        <f t="shared" si="1"/>
        <v>EURIMMFRA6MQ7_Quote</v>
      </c>
      <c r="F48" s="146" t="str">
        <f>_xll.qlSimpleQuote(E48,,PriceTickValue,Permanent,Trigger,ObjectOverwrite)</f>
        <v>EURIMMFRA6MQ7_Quote#0000</v>
      </c>
      <c r="G48" s="109" t="str">
        <f>_xll.ohRangeRetrieveError(F48)</f>
        <v/>
      </c>
      <c r="H48" s="145"/>
    </row>
    <row r="49" spans="1:8" x14ac:dyDescent="0.2">
      <c r="A49" s="150"/>
      <c r="B49" s="111">
        <v>45</v>
      </c>
      <c r="C49" s="149" t="b">
        <v>0</v>
      </c>
      <c r="D49" s="148" t="str">
        <v>U7</v>
      </c>
      <c r="E49" s="147" t="str">
        <f t="shared" si="1"/>
        <v>EURIMMFRA6MU7_Quote</v>
      </c>
      <c r="F49" s="146" t="str">
        <f>_xll.qlSimpleQuote(E49,,PriceTickValue,Permanent,Trigger,ObjectOverwrite)</f>
        <v>EURIMMFRA6MU7_Quote#0000</v>
      </c>
      <c r="G49" s="109" t="str">
        <f>_xll.ohRangeRetrieveError(F49)</f>
        <v/>
      </c>
      <c r="H49" s="145"/>
    </row>
    <row r="50" spans="1:8" x14ac:dyDescent="0.2">
      <c r="A50" s="150"/>
      <c r="B50" s="111">
        <v>46</v>
      </c>
      <c r="C50" s="149" t="b">
        <v>0</v>
      </c>
      <c r="D50" s="148" t="str">
        <v>V7</v>
      </c>
      <c r="E50" s="147" t="str">
        <f t="shared" si="1"/>
        <v>EURIMMFRA6MV7_Quote</v>
      </c>
      <c r="F50" s="146" t="str">
        <f>_xll.qlSimpleQuote(E50,,PriceTickValue,Permanent,Trigger,ObjectOverwrite)</f>
        <v>EURIMMFRA6MV7_Quote#0000</v>
      </c>
      <c r="G50" s="109" t="str">
        <f>_xll.ohRangeRetrieveError(F50)</f>
        <v/>
      </c>
      <c r="H50" s="145"/>
    </row>
    <row r="51" spans="1:8" x14ac:dyDescent="0.2">
      <c r="A51" s="150"/>
      <c r="B51" s="111">
        <v>47</v>
      </c>
      <c r="C51" s="149" t="b">
        <v>0</v>
      </c>
      <c r="D51" s="148" t="str">
        <v>X7</v>
      </c>
      <c r="E51" s="147" t="str">
        <f t="shared" si="1"/>
        <v>EURIMMFRA6MX7_Quote</v>
      </c>
      <c r="F51" s="146" t="str">
        <f>_xll.qlSimpleQuote(E51,,PriceTickValue,Permanent,Trigger,ObjectOverwrite)</f>
        <v>EURIMMFRA6MX7_Quote#0000</v>
      </c>
      <c r="G51" s="109" t="str">
        <f>_xll.ohRangeRetrieveError(F51)</f>
        <v/>
      </c>
      <c r="H51" s="145"/>
    </row>
    <row r="52" spans="1:8" x14ac:dyDescent="0.2">
      <c r="A52" s="150"/>
      <c r="B52" s="111">
        <v>48</v>
      </c>
      <c r="C52" s="149" t="b">
        <v>0</v>
      </c>
      <c r="D52" s="148" t="str">
        <v>Z7</v>
      </c>
      <c r="E52" s="147" t="str">
        <f t="shared" si="1"/>
        <v>EURIMMFRA6MZ7_Quote</v>
      </c>
      <c r="F52" s="146" t="str">
        <f>_xll.qlSimpleQuote(E52,,PriceTickValue,Permanent,Trigger,ObjectOverwrite)</f>
        <v>EURIMMFRA6MZ7_Quote#0000</v>
      </c>
      <c r="G52" s="109" t="str">
        <f>_xll.ohRangeRetrieveError(F52)</f>
        <v/>
      </c>
      <c r="H52" s="145"/>
    </row>
    <row r="53" spans="1:8" x14ac:dyDescent="0.2">
      <c r="A53" s="150"/>
      <c r="B53" s="111">
        <v>49</v>
      </c>
      <c r="C53" s="149" t="b">
        <v>0</v>
      </c>
      <c r="D53" s="148" t="str">
        <v>F8</v>
      </c>
      <c r="E53" s="147" t="str">
        <f t="shared" si="1"/>
        <v>EURIMMFRA6MF8_Quote</v>
      </c>
      <c r="F53" s="146" t="str">
        <f>_xll.qlSimpleQuote(E53,,PriceTickValue,Permanent,Trigger,ObjectOverwrite)</f>
        <v>EURIMMFRA6MF8_Quote#0000</v>
      </c>
      <c r="G53" s="109" t="str">
        <f>_xll.ohRangeRetrieveError(F53)</f>
        <v/>
      </c>
      <c r="H53" s="145"/>
    </row>
    <row r="54" spans="1:8" x14ac:dyDescent="0.2">
      <c r="A54" s="150"/>
      <c r="B54" s="111">
        <v>50</v>
      </c>
      <c r="C54" s="149" t="b">
        <v>0</v>
      </c>
      <c r="D54" s="148" t="str">
        <v>G8</v>
      </c>
      <c r="E54" s="147" t="str">
        <f t="shared" si="1"/>
        <v>EURIMMFRA6MG8_Quote</v>
      </c>
      <c r="F54" s="146" t="str">
        <f>_xll.qlSimpleQuote(E54,,PriceTickValue,Permanent,Trigger,ObjectOverwrite)</f>
        <v>EURIMMFRA6MG8_Quote#0000</v>
      </c>
      <c r="G54" s="109" t="str">
        <f>_xll.ohRangeRetrieveError(F54)</f>
        <v/>
      </c>
      <c r="H54" s="145"/>
    </row>
    <row r="55" spans="1:8" x14ac:dyDescent="0.2">
      <c r="A55" s="150"/>
      <c r="B55" s="111">
        <v>51</v>
      </c>
      <c r="C55" s="149" t="b">
        <v>0</v>
      </c>
      <c r="D55" s="148" t="str">
        <v>H8</v>
      </c>
      <c r="E55" s="147" t="str">
        <f t="shared" si="1"/>
        <v>EURIMMFRA6MH8_Quote</v>
      </c>
      <c r="F55" s="146" t="str">
        <f>_xll.qlSimpleQuote(E55,,PriceTickValue,Permanent,Trigger,ObjectOverwrite)</f>
        <v>EURIMMFRA6MH8_Quote#0000</v>
      </c>
      <c r="G55" s="109" t="str">
        <f>_xll.ohRangeRetrieveError(F55)</f>
        <v/>
      </c>
      <c r="H55" s="145"/>
    </row>
    <row r="56" spans="1:8" x14ac:dyDescent="0.2">
      <c r="A56" s="150"/>
      <c r="B56" s="111">
        <v>52</v>
      </c>
      <c r="C56" s="149" t="b">
        <v>0</v>
      </c>
      <c r="D56" s="148" t="str">
        <v>J8</v>
      </c>
      <c r="E56" s="147" t="str">
        <f t="shared" si="1"/>
        <v>EURIMMFRA6MJ8_Quote</v>
      </c>
      <c r="F56" s="146" t="str">
        <f>_xll.qlSimpleQuote(E56,,PriceTickValue,Permanent,Trigger,ObjectOverwrite)</f>
        <v>EURIMMFRA6MJ8_Quote#0000</v>
      </c>
      <c r="G56" s="109" t="str">
        <f>_xll.ohRangeRetrieveError(F56)</f>
        <v/>
      </c>
      <c r="H56" s="145"/>
    </row>
    <row r="57" spans="1:8" x14ac:dyDescent="0.2">
      <c r="A57" s="150"/>
      <c r="B57" s="111">
        <v>53</v>
      </c>
      <c r="C57" s="149" t="b">
        <v>0</v>
      </c>
      <c r="D57" s="148" t="str">
        <v>K8</v>
      </c>
      <c r="E57" s="147" t="str">
        <f t="shared" si="1"/>
        <v>EURIMMFRA6MK8_Quote</v>
      </c>
      <c r="F57" s="146" t="str">
        <f>_xll.qlSimpleQuote(E57,,PriceTickValue,Permanent,Trigger,ObjectOverwrite)</f>
        <v>EURIMMFRA6MK8_Quote#0000</v>
      </c>
      <c r="G57" s="109" t="str">
        <f>_xll.ohRangeRetrieveError(F57)</f>
        <v/>
      </c>
      <c r="H57" s="145"/>
    </row>
    <row r="58" spans="1:8" x14ac:dyDescent="0.2">
      <c r="A58" s="150"/>
      <c r="B58" s="111">
        <v>54</v>
      </c>
      <c r="C58" s="149" t="b">
        <v>0</v>
      </c>
      <c r="D58" s="148" t="str">
        <v>M8</v>
      </c>
      <c r="E58" s="147" t="str">
        <f t="shared" si="1"/>
        <v>EURIMMFRA6MM8_Quote</v>
      </c>
      <c r="F58" s="146" t="str">
        <f>_xll.qlSimpleQuote(E58,,PriceTickValue,Permanent,Trigger,ObjectOverwrite)</f>
        <v>EURIMMFRA6MM8_Quote#0000</v>
      </c>
      <c r="G58" s="109" t="str">
        <f>_xll.ohRangeRetrieveError(F58)</f>
        <v/>
      </c>
      <c r="H58" s="145"/>
    </row>
    <row r="59" spans="1:8" x14ac:dyDescent="0.2">
      <c r="A59" s="150"/>
      <c r="B59" s="111">
        <v>55</v>
      </c>
      <c r="C59" s="149" t="b">
        <v>0</v>
      </c>
      <c r="D59" s="148" t="str">
        <v>N8</v>
      </c>
      <c r="E59" s="147" t="str">
        <f t="shared" si="1"/>
        <v>EURIMMFRA6MN8_Quote</v>
      </c>
      <c r="F59" s="146" t="str">
        <f>_xll.qlSimpleQuote(E59,,PriceTickValue,Permanent,Trigger,ObjectOverwrite)</f>
        <v>EURIMMFRA6MN8_Quote#0000</v>
      </c>
      <c r="G59" s="109" t="str">
        <f>_xll.ohRangeRetrieveError(F59)</f>
        <v/>
      </c>
      <c r="H59" s="145"/>
    </row>
    <row r="60" spans="1:8" x14ac:dyDescent="0.2">
      <c r="A60" s="150"/>
      <c r="B60" s="111">
        <v>56</v>
      </c>
      <c r="C60" s="149" t="b">
        <v>0</v>
      </c>
      <c r="D60" s="148" t="str">
        <v>Q8</v>
      </c>
      <c r="E60" s="147" t="str">
        <f t="shared" si="1"/>
        <v>EURIMMFRA6MQ8_Quote</v>
      </c>
      <c r="F60" s="146" t="str">
        <f>_xll.qlSimpleQuote(E60,,PriceTickValue,Permanent,Trigger,ObjectOverwrite)</f>
        <v>EURIMMFRA6MQ8_Quote#0000</v>
      </c>
      <c r="G60" s="109" t="str">
        <f>_xll.ohRangeRetrieveError(F60)</f>
        <v/>
      </c>
      <c r="H60" s="145"/>
    </row>
    <row r="61" spans="1:8" x14ac:dyDescent="0.2">
      <c r="A61" s="150"/>
      <c r="B61" s="111">
        <v>57</v>
      </c>
      <c r="C61" s="149" t="b">
        <v>0</v>
      </c>
      <c r="D61" s="148" t="str">
        <v>U8</v>
      </c>
      <c r="E61" s="147" t="str">
        <f t="shared" si="1"/>
        <v>EURIMMFRA6MU8_Quote</v>
      </c>
      <c r="F61" s="146" t="str">
        <f>_xll.qlSimpleQuote(E61,,PriceTickValue,Permanent,Trigger,ObjectOverwrite)</f>
        <v>EURIMMFRA6MU8_Quote#0000</v>
      </c>
      <c r="G61" s="109" t="str">
        <f>_xll.ohRangeRetrieveError(F61)</f>
        <v/>
      </c>
      <c r="H61" s="145"/>
    </row>
    <row r="62" spans="1:8" x14ac:dyDescent="0.2">
      <c r="A62" s="150"/>
      <c r="B62" s="111">
        <v>58</v>
      </c>
      <c r="C62" s="149" t="b">
        <v>0</v>
      </c>
      <c r="D62" s="148" t="str">
        <v>V8</v>
      </c>
      <c r="E62" s="147" t="str">
        <f t="shared" si="1"/>
        <v>EURIMMFRA6MV8_Quote</v>
      </c>
      <c r="F62" s="146" t="str">
        <f>_xll.qlSimpleQuote(E62,,PriceTickValue,Permanent,Trigger,ObjectOverwrite)</f>
        <v>EURIMMFRA6MV8_Quote#0000</v>
      </c>
      <c r="G62" s="109" t="str">
        <f>_xll.ohRangeRetrieveError(F62)</f>
        <v/>
      </c>
      <c r="H62" s="145"/>
    </row>
    <row r="63" spans="1:8" x14ac:dyDescent="0.2">
      <c r="A63" s="150"/>
      <c r="B63" s="111">
        <v>59</v>
      </c>
      <c r="C63" s="149" t="b">
        <v>0</v>
      </c>
      <c r="D63" s="148" t="str">
        <v>X8</v>
      </c>
      <c r="E63" s="147" t="str">
        <f t="shared" si="1"/>
        <v>EURIMMFRA6MX8_Quote</v>
      </c>
      <c r="F63" s="146" t="str">
        <f>_xll.qlSimpleQuote(E63,,PriceTickValue,Permanent,Trigger,ObjectOverwrite)</f>
        <v>EURIMMFRA6MX8_Quote#0000</v>
      </c>
      <c r="G63" s="109" t="str">
        <f>_xll.ohRangeRetrieveError(F63)</f>
        <v/>
      </c>
      <c r="H63" s="145"/>
    </row>
    <row r="64" spans="1:8" x14ac:dyDescent="0.2">
      <c r="A64" s="150"/>
      <c r="B64" s="111">
        <v>60</v>
      </c>
      <c r="C64" s="149" t="b">
        <v>0</v>
      </c>
      <c r="D64" s="148" t="str">
        <v>Z8</v>
      </c>
      <c r="E64" s="147" t="str">
        <f t="shared" si="1"/>
        <v>EURIMMFRA6MZ8_Quote</v>
      </c>
      <c r="F64" s="146" t="str">
        <f>_xll.qlSimpleQuote(E64,,PriceTickValue,Permanent,Trigger,ObjectOverwrite)</f>
        <v>EURIMMFRA6MZ8_Quote#0000</v>
      </c>
      <c r="G64" s="109" t="str">
        <f>_xll.ohRangeRetrieveError(F64)</f>
        <v/>
      </c>
      <c r="H64" s="145"/>
    </row>
    <row r="65" spans="1:8" x14ac:dyDescent="0.2">
      <c r="A65" s="150"/>
      <c r="B65" s="111">
        <v>61</v>
      </c>
      <c r="C65" s="149" t="b">
        <v>0</v>
      </c>
      <c r="D65" s="148" t="str">
        <v>F9</v>
      </c>
      <c r="E65" s="147" t="str">
        <f t="shared" si="1"/>
        <v>EURIMMFRA6MF9_Quote</v>
      </c>
      <c r="F65" s="146" t="str">
        <f>_xll.qlSimpleQuote(E65,,PriceTickValue,Permanent,Trigger,ObjectOverwrite)</f>
        <v>EURIMMFRA6MF9_Quote#0000</v>
      </c>
      <c r="G65" s="109" t="str">
        <f>_xll.ohRangeRetrieveError(F65)</f>
        <v/>
      </c>
      <c r="H65" s="145"/>
    </row>
    <row r="66" spans="1:8" x14ac:dyDescent="0.2">
      <c r="A66" s="150"/>
      <c r="B66" s="111">
        <v>62</v>
      </c>
      <c r="C66" s="149" t="b">
        <v>0</v>
      </c>
      <c r="D66" s="148" t="str">
        <v>G9</v>
      </c>
      <c r="E66" s="147" t="str">
        <f t="shared" si="1"/>
        <v>EURIMMFRA6MG9_Quote</v>
      </c>
      <c r="F66" s="146" t="str">
        <f>_xll.qlSimpleQuote(E66,,PriceTickValue,Permanent,Trigger,ObjectOverwrite)</f>
        <v>EURIMMFRA6MG9_Quote#0000</v>
      </c>
      <c r="G66" s="109" t="str">
        <f>_xll.ohRangeRetrieveError(F66)</f>
        <v/>
      </c>
      <c r="H66" s="145"/>
    </row>
    <row r="67" spans="1:8" x14ac:dyDescent="0.2">
      <c r="A67" s="150"/>
      <c r="B67" s="111">
        <v>63</v>
      </c>
      <c r="C67" s="149" t="b">
        <v>0</v>
      </c>
      <c r="D67" s="148" t="str">
        <v>H9</v>
      </c>
      <c r="E67" s="147" t="str">
        <f t="shared" si="1"/>
        <v>EURIMMFRA6MH9_Quote</v>
      </c>
      <c r="F67" s="146" t="str">
        <f>_xll.qlSimpleQuote(E67,,PriceTickValue,Permanent,Trigger,ObjectOverwrite)</f>
        <v>EURIMMFRA6MH9_Quote#0000</v>
      </c>
      <c r="G67" s="109" t="str">
        <f>_xll.ohRangeRetrieveError(F67)</f>
        <v/>
      </c>
      <c r="H67" s="145"/>
    </row>
    <row r="68" spans="1:8" x14ac:dyDescent="0.2">
      <c r="A68" s="150"/>
      <c r="B68" s="111">
        <v>64</v>
      </c>
      <c r="C68" s="149" t="b">
        <v>0</v>
      </c>
      <c r="D68" s="148" t="str">
        <v>J9</v>
      </c>
      <c r="E68" s="147" t="str">
        <f t="shared" si="1"/>
        <v>EURIMMFRA6MJ9_Quote</v>
      </c>
      <c r="F68" s="146" t="str">
        <f>_xll.qlSimpleQuote(E68,,PriceTickValue,Permanent,Trigger,ObjectOverwrite)</f>
        <v>EURIMMFRA6MJ9_Quote#0000</v>
      </c>
      <c r="G68" s="109" t="str">
        <f>_xll.ohRangeRetrieveError(F68)</f>
        <v/>
      </c>
      <c r="H68" s="145"/>
    </row>
    <row r="69" spans="1:8" x14ac:dyDescent="0.2">
      <c r="A69" s="150"/>
      <c r="B69" s="111">
        <v>65</v>
      </c>
      <c r="C69" s="149" t="b">
        <v>0</v>
      </c>
      <c r="D69" s="148" t="str">
        <v>K9</v>
      </c>
      <c r="E69" s="147" t="str">
        <f t="shared" ref="E69:E100" si="2">Currency&amp;$D$3&amp;$E$3&amp;$D69&amp;QuoteSuffix</f>
        <v>EURIMMFRA6MK9_Quote</v>
      </c>
      <c r="F69" s="146" t="str">
        <f>_xll.qlSimpleQuote(E69,,PriceTickValue,Permanent,Trigger,ObjectOverwrite)</f>
        <v>EURIMMFRA6MK9_Quote#0000</v>
      </c>
      <c r="G69" s="109" t="str">
        <f>_xll.ohRangeRetrieveError(F69)</f>
        <v/>
      </c>
      <c r="H69" s="145"/>
    </row>
    <row r="70" spans="1:8" x14ac:dyDescent="0.2">
      <c r="A70" s="150"/>
      <c r="B70" s="111">
        <v>66</v>
      </c>
      <c r="C70" s="149" t="b">
        <v>0</v>
      </c>
      <c r="D70" s="148" t="str">
        <v>M9</v>
      </c>
      <c r="E70" s="147" t="str">
        <f t="shared" si="2"/>
        <v>EURIMMFRA6MM9_Quote</v>
      </c>
      <c r="F70" s="146" t="str">
        <f>_xll.qlSimpleQuote(E70,,PriceTickValue,Permanent,Trigger,ObjectOverwrite)</f>
        <v>EURIMMFRA6MM9_Quote#0000</v>
      </c>
      <c r="G70" s="109" t="str">
        <f>_xll.ohRangeRetrieveError(F70)</f>
        <v/>
      </c>
      <c r="H70" s="145"/>
    </row>
    <row r="71" spans="1:8" x14ac:dyDescent="0.2">
      <c r="A71" s="150"/>
      <c r="B71" s="111">
        <v>67</v>
      </c>
      <c r="C71" s="149" t="b">
        <v>0</v>
      </c>
      <c r="D71" s="148" t="str">
        <v>N9</v>
      </c>
      <c r="E71" s="147" t="str">
        <f t="shared" si="2"/>
        <v>EURIMMFRA6MN9_Quote</v>
      </c>
      <c r="F71" s="146" t="str">
        <f>_xll.qlSimpleQuote(E71,,PriceTickValue,Permanent,Trigger,ObjectOverwrite)</f>
        <v>EURIMMFRA6MN9_Quote#0000</v>
      </c>
      <c r="G71" s="109" t="str">
        <f>_xll.ohRangeRetrieveError(F71)</f>
        <v/>
      </c>
      <c r="H71" s="145"/>
    </row>
    <row r="72" spans="1:8" x14ac:dyDescent="0.2">
      <c r="A72" s="150"/>
      <c r="B72" s="111">
        <v>68</v>
      </c>
      <c r="C72" s="149" t="b">
        <v>0</v>
      </c>
      <c r="D72" s="148" t="str">
        <v>Q9</v>
      </c>
      <c r="E72" s="147" t="str">
        <f t="shared" si="2"/>
        <v>EURIMMFRA6MQ9_Quote</v>
      </c>
      <c r="F72" s="146" t="str">
        <f>_xll.qlSimpleQuote(E72,,PriceTickValue,Permanent,Trigger,ObjectOverwrite)</f>
        <v>EURIMMFRA6MQ9_Quote#0000</v>
      </c>
      <c r="G72" s="109" t="str">
        <f>_xll.ohRangeRetrieveError(F72)</f>
        <v/>
      </c>
      <c r="H72" s="145"/>
    </row>
    <row r="73" spans="1:8" x14ac:dyDescent="0.2">
      <c r="A73" s="150"/>
      <c r="B73" s="111">
        <v>69</v>
      </c>
      <c r="C73" s="149" t="b">
        <v>0</v>
      </c>
      <c r="D73" s="148" t="str">
        <v>U9</v>
      </c>
      <c r="E73" s="147" t="str">
        <f t="shared" si="2"/>
        <v>EURIMMFRA6MU9_Quote</v>
      </c>
      <c r="F73" s="146" t="str">
        <f>_xll.qlSimpleQuote(E73,,PriceTickValue,Permanent,Trigger,ObjectOverwrite)</f>
        <v>EURIMMFRA6MU9_Quote#0000</v>
      </c>
      <c r="G73" s="109" t="str">
        <f>_xll.ohRangeRetrieveError(F73)</f>
        <v/>
      </c>
      <c r="H73" s="145"/>
    </row>
    <row r="74" spans="1:8" x14ac:dyDescent="0.2">
      <c r="A74" s="150"/>
      <c r="B74" s="111">
        <v>70</v>
      </c>
      <c r="C74" s="149" t="b">
        <v>0</v>
      </c>
      <c r="D74" s="148" t="str">
        <v>V9</v>
      </c>
      <c r="E74" s="147" t="str">
        <f t="shared" si="2"/>
        <v>EURIMMFRA6MV9_Quote</v>
      </c>
      <c r="F74" s="146" t="str">
        <f>_xll.qlSimpleQuote(E74,,PriceTickValue,Permanent,Trigger,ObjectOverwrite)</f>
        <v>EURIMMFRA6MV9_Quote#0000</v>
      </c>
      <c r="G74" s="109" t="str">
        <f>_xll.ohRangeRetrieveError(F74)</f>
        <v/>
      </c>
      <c r="H74" s="145"/>
    </row>
    <row r="75" spans="1:8" x14ac:dyDescent="0.2">
      <c r="A75" s="150"/>
      <c r="B75" s="111">
        <v>71</v>
      </c>
      <c r="C75" s="149" t="b">
        <v>0</v>
      </c>
      <c r="D75" s="148" t="str">
        <v>X9</v>
      </c>
      <c r="E75" s="147" t="str">
        <f t="shared" si="2"/>
        <v>EURIMMFRA6MX9_Quote</v>
      </c>
      <c r="F75" s="146" t="str">
        <f>_xll.qlSimpleQuote(E75,,PriceTickValue,Permanent,Trigger,ObjectOverwrite)</f>
        <v>EURIMMFRA6MX9_Quote#0000</v>
      </c>
      <c r="G75" s="109" t="str">
        <f>_xll.ohRangeRetrieveError(F75)</f>
        <v/>
      </c>
      <c r="H75" s="145"/>
    </row>
    <row r="76" spans="1:8" x14ac:dyDescent="0.2">
      <c r="A76" s="150"/>
      <c r="B76" s="111">
        <v>72</v>
      </c>
      <c r="C76" s="149" t="b">
        <v>0</v>
      </c>
      <c r="D76" s="148" t="str">
        <v>Z9</v>
      </c>
      <c r="E76" s="147" t="str">
        <f t="shared" si="2"/>
        <v>EURIMMFRA6MZ9_Quote</v>
      </c>
      <c r="F76" s="146" t="str">
        <f>_xll.qlSimpleQuote(E76,,PriceTickValue,Permanent,Trigger,ObjectOverwrite)</f>
        <v>EURIMMFRA6MZ9_Quote#0000</v>
      </c>
      <c r="G76" s="109" t="str">
        <f>_xll.ohRangeRetrieveError(F76)</f>
        <v/>
      </c>
      <c r="H76" s="145"/>
    </row>
    <row r="77" spans="1:8" x14ac:dyDescent="0.2">
      <c r="A77" s="150"/>
      <c r="B77" s="111">
        <v>73</v>
      </c>
      <c r="C77" s="149" t="b">
        <v>0</v>
      </c>
      <c r="D77" s="148" t="str">
        <v>F0</v>
      </c>
      <c r="E77" s="147" t="str">
        <f t="shared" si="2"/>
        <v>EURIMMFRA6MF0_Quote</v>
      </c>
      <c r="F77" s="146" t="str">
        <f>_xll.qlSimpleQuote(E77,,PriceTickValue,Permanent,Trigger,ObjectOverwrite)</f>
        <v>EURIMMFRA6MF0_Quote#0000</v>
      </c>
      <c r="G77" s="109" t="str">
        <f>_xll.ohRangeRetrieveError(F77)</f>
        <v/>
      </c>
      <c r="H77" s="145"/>
    </row>
    <row r="78" spans="1:8" x14ac:dyDescent="0.2">
      <c r="A78" s="150"/>
      <c r="B78" s="111">
        <v>74</v>
      </c>
      <c r="C78" s="149" t="b">
        <v>0</v>
      </c>
      <c r="D78" s="148" t="str">
        <v>G0</v>
      </c>
      <c r="E78" s="147" t="str">
        <f t="shared" si="2"/>
        <v>EURIMMFRA6MG0_Quote</v>
      </c>
      <c r="F78" s="146" t="str">
        <f>_xll.qlSimpleQuote(E78,,PriceTickValue,Permanent,Trigger,ObjectOverwrite)</f>
        <v>EURIMMFRA6MG0_Quote#0000</v>
      </c>
      <c r="G78" s="109" t="str">
        <f>_xll.ohRangeRetrieveError(F78)</f>
        <v/>
      </c>
      <c r="H78" s="145"/>
    </row>
    <row r="79" spans="1:8" x14ac:dyDescent="0.2">
      <c r="A79" s="150"/>
      <c r="B79" s="111">
        <v>75</v>
      </c>
      <c r="C79" s="149" t="b">
        <v>0</v>
      </c>
      <c r="D79" s="148" t="str">
        <v>H0</v>
      </c>
      <c r="E79" s="147" t="str">
        <f t="shared" si="2"/>
        <v>EURIMMFRA6MH0_Quote</v>
      </c>
      <c r="F79" s="146" t="str">
        <f>_xll.qlSimpleQuote(E79,,PriceTickValue,Permanent,Trigger,ObjectOverwrite)</f>
        <v>EURIMMFRA6MH0_Quote#0000</v>
      </c>
      <c r="G79" s="109" t="str">
        <f>_xll.ohRangeRetrieveError(F79)</f>
        <v/>
      </c>
      <c r="H79" s="145"/>
    </row>
    <row r="80" spans="1:8" x14ac:dyDescent="0.2">
      <c r="A80" s="150"/>
      <c r="B80" s="111">
        <v>76</v>
      </c>
      <c r="C80" s="149" t="b">
        <v>0</v>
      </c>
      <c r="D80" s="148" t="str">
        <v>J0</v>
      </c>
      <c r="E80" s="147" t="str">
        <f t="shared" si="2"/>
        <v>EURIMMFRA6MJ0_Quote</v>
      </c>
      <c r="F80" s="146" t="str">
        <f>_xll.qlSimpleQuote(E80,,PriceTickValue,Permanent,Trigger,ObjectOverwrite)</f>
        <v>EURIMMFRA6MJ0_Quote#0000</v>
      </c>
      <c r="G80" s="109" t="str">
        <f>_xll.ohRangeRetrieveError(F80)</f>
        <v/>
      </c>
      <c r="H80" s="145"/>
    </row>
    <row r="81" spans="1:8" x14ac:dyDescent="0.2">
      <c r="A81" s="150"/>
      <c r="B81" s="111">
        <v>77</v>
      </c>
      <c r="C81" s="149" t="b">
        <v>0</v>
      </c>
      <c r="D81" s="148" t="str">
        <v>K0</v>
      </c>
      <c r="E81" s="147" t="str">
        <f t="shared" si="2"/>
        <v>EURIMMFRA6MK0_Quote</v>
      </c>
      <c r="F81" s="146" t="str">
        <f>_xll.qlSimpleQuote(E81,,PriceTickValue,Permanent,Trigger,ObjectOverwrite)</f>
        <v>EURIMMFRA6MK0_Quote#0000</v>
      </c>
      <c r="G81" s="109" t="str">
        <f>_xll.ohRangeRetrieveError(F81)</f>
        <v/>
      </c>
      <c r="H81" s="145"/>
    </row>
    <row r="82" spans="1:8" x14ac:dyDescent="0.2">
      <c r="A82" s="150"/>
      <c r="B82" s="111">
        <v>78</v>
      </c>
      <c r="C82" s="149" t="b">
        <v>0</v>
      </c>
      <c r="D82" s="148" t="str">
        <v>M0</v>
      </c>
      <c r="E82" s="147" t="str">
        <f t="shared" si="2"/>
        <v>EURIMMFRA6MM0_Quote</v>
      </c>
      <c r="F82" s="146" t="str">
        <f>_xll.qlSimpleQuote(E82,,PriceTickValue,Permanent,Trigger,ObjectOverwrite)</f>
        <v>EURIMMFRA6MM0_Quote#0000</v>
      </c>
      <c r="G82" s="109" t="str">
        <f>_xll.ohRangeRetrieveError(F82)</f>
        <v/>
      </c>
      <c r="H82" s="145"/>
    </row>
    <row r="83" spans="1:8" x14ac:dyDescent="0.2">
      <c r="A83" s="150"/>
      <c r="B83" s="111">
        <v>79</v>
      </c>
      <c r="C83" s="149" t="b">
        <v>0</v>
      </c>
      <c r="D83" s="148" t="str">
        <v>N0</v>
      </c>
      <c r="E83" s="147" t="str">
        <f t="shared" si="2"/>
        <v>EURIMMFRA6MN0_Quote</v>
      </c>
      <c r="F83" s="146" t="str">
        <f>_xll.qlSimpleQuote(E83,,PriceTickValue,Permanent,Trigger,ObjectOverwrite)</f>
        <v>EURIMMFRA6MN0_Quote#0000</v>
      </c>
      <c r="G83" s="109" t="str">
        <f>_xll.ohRangeRetrieveError(F83)</f>
        <v/>
      </c>
      <c r="H83" s="145"/>
    </row>
    <row r="84" spans="1:8" x14ac:dyDescent="0.2">
      <c r="A84" s="150"/>
      <c r="B84" s="111">
        <v>80</v>
      </c>
      <c r="C84" s="149" t="b">
        <v>0</v>
      </c>
      <c r="D84" s="148" t="str">
        <v>Q0</v>
      </c>
      <c r="E84" s="147" t="str">
        <f t="shared" si="2"/>
        <v>EURIMMFRA6MQ0_Quote</v>
      </c>
      <c r="F84" s="146" t="str">
        <f>_xll.qlSimpleQuote(E84,,PriceTickValue,Permanent,Trigger,ObjectOverwrite)</f>
        <v>EURIMMFRA6MQ0_Quote#0000</v>
      </c>
      <c r="G84" s="109" t="str">
        <f>_xll.ohRangeRetrieveError(F84)</f>
        <v/>
      </c>
      <c r="H84" s="145"/>
    </row>
    <row r="85" spans="1:8" x14ac:dyDescent="0.2">
      <c r="A85" s="150"/>
      <c r="B85" s="111">
        <v>81</v>
      </c>
      <c r="C85" s="149" t="b">
        <v>0</v>
      </c>
      <c r="D85" s="148" t="str">
        <v>U0</v>
      </c>
      <c r="E85" s="147" t="str">
        <f t="shared" si="2"/>
        <v>EURIMMFRA6MU0_Quote</v>
      </c>
      <c r="F85" s="146" t="str">
        <f>_xll.qlSimpleQuote(E85,,PriceTickValue,Permanent,Trigger,ObjectOverwrite)</f>
        <v>EURIMMFRA6MU0_Quote#0000</v>
      </c>
      <c r="G85" s="109" t="str">
        <f>_xll.ohRangeRetrieveError(F85)</f>
        <v/>
      </c>
      <c r="H85" s="145"/>
    </row>
    <row r="86" spans="1:8" x14ac:dyDescent="0.2">
      <c r="A86" s="150"/>
      <c r="B86" s="111">
        <v>82</v>
      </c>
      <c r="C86" s="149" t="b">
        <v>0</v>
      </c>
      <c r="D86" s="148" t="str">
        <v>V0</v>
      </c>
      <c r="E86" s="147" t="str">
        <f t="shared" si="2"/>
        <v>EURIMMFRA6MV0_Quote</v>
      </c>
      <c r="F86" s="146" t="str">
        <f>_xll.qlSimpleQuote(E86,,PriceTickValue,Permanent,Trigger,ObjectOverwrite)</f>
        <v>EURIMMFRA6MV0_Quote#0000</v>
      </c>
      <c r="G86" s="109" t="str">
        <f>_xll.ohRangeRetrieveError(F86)</f>
        <v/>
      </c>
      <c r="H86" s="145"/>
    </row>
    <row r="87" spans="1:8" x14ac:dyDescent="0.2">
      <c r="A87" s="150"/>
      <c r="B87" s="111">
        <v>83</v>
      </c>
      <c r="C87" s="149" t="b">
        <v>0</v>
      </c>
      <c r="D87" s="148" t="str">
        <v>X0</v>
      </c>
      <c r="E87" s="147" t="str">
        <f t="shared" si="2"/>
        <v>EURIMMFRA6MX0_Quote</v>
      </c>
      <c r="F87" s="146" t="str">
        <f>_xll.qlSimpleQuote(E87,,PriceTickValue,Permanent,Trigger,ObjectOverwrite)</f>
        <v>EURIMMFRA6MX0_Quote#0000</v>
      </c>
      <c r="G87" s="109" t="str">
        <f>_xll.ohRangeRetrieveError(F87)</f>
        <v/>
      </c>
      <c r="H87" s="145"/>
    </row>
    <row r="88" spans="1:8" x14ac:dyDescent="0.2">
      <c r="A88" s="150"/>
      <c r="B88" s="111">
        <v>84</v>
      </c>
      <c r="C88" s="149" t="b">
        <v>0</v>
      </c>
      <c r="D88" s="148" t="str">
        <v>Z0</v>
      </c>
      <c r="E88" s="147" t="str">
        <f t="shared" si="2"/>
        <v>EURIMMFRA6MZ0_Quote</v>
      </c>
      <c r="F88" s="146" t="str">
        <f>_xll.qlSimpleQuote(E88,,PriceTickValue,Permanent,Trigger,ObjectOverwrite)</f>
        <v>EURIMMFRA6MZ0_Quote#0000</v>
      </c>
      <c r="G88" s="109" t="str">
        <f>_xll.ohRangeRetrieveError(F88)</f>
        <v/>
      </c>
      <c r="H88" s="145"/>
    </row>
    <row r="89" spans="1:8" x14ac:dyDescent="0.2">
      <c r="A89" s="150"/>
      <c r="B89" s="111">
        <v>85</v>
      </c>
      <c r="C89" s="149" t="b">
        <v>0</v>
      </c>
      <c r="D89" s="148" t="str">
        <v>F1</v>
      </c>
      <c r="E89" s="147" t="str">
        <f t="shared" si="2"/>
        <v>EURIMMFRA6MF1_Quote</v>
      </c>
      <c r="F89" s="146" t="str">
        <f>_xll.qlSimpleQuote(E89,,PriceTickValue,Permanent,Trigger,ObjectOverwrite)</f>
        <v>EURIMMFRA6MF1_Quote#0000</v>
      </c>
      <c r="G89" s="109" t="str">
        <f>_xll.ohRangeRetrieveError(F89)</f>
        <v/>
      </c>
      <c r="H89" s="145"/>
    </row>
    <row r="90" spans="1:8" x14ac:dyDescent="0.2">
      <c r="A90" s="150"/>
      <c r="B90" s="111">
        <v>86</v>
      </c>
      <c r="C90" s="149" t="b">
        <v>0</v>
      </c>
      <c r="D90" s="148" t="str">
        <v>G1</v>
      </c>
      <c r="E90" s="147" t="str">
        <f t="shared" si="2"/>
        <v>EURIMMFRA6MG1_Quote</v>
      </c>
      <c r="F90" s="146" t="str">
        <f>_xll.qlSimpleQuote(E90,,PriceTickValue,Permanent,Trigger,ObjectOverwrite)</f>
        <v>EURIMMFRA6MG1_Quote#0000</v>
      </c>
      <c r="G90" s="109" t="str">
        <f>_xll.ohRangeRetrieveError(F90)</f>
        <v/>
      </c>
      <c r="H90" s="145"/>
    </row>
    <row r="91" spans="1:8" x14ac:dyDescent="0.2">
      <c r="A91" s="150"/>
      <c r="B91" s="111">
        <v>87</v>
      </c>
      <c r="C91" s="149" t="b">
        <v>0</v>
      </c>
      <c r="D91" s="148" t="str">
        <v>H1</v>
      </c>
      <c r="E91" s="147" t="str">
        <f t="shared" si="2"/>
        <v>EURIMMFRA6MH1_Quote</v>
      </c>
      <c r="F91" s="146" t="str">
        <f>_xll.qlSimpleQuote(E91,,PriceTickValue,Permanent,Trigger,ObjectOverwrite)</f>
        <v>EURIMMFRA6MH1_Quote#0000</v>
      </c>
      <c r="G91" s="109" t="str">
        <f>_xll.ohRangeRetrieveError(F91)</f>
        <v/>
      </c>
      <c r="H91" s="145"/>
    </row>
    <row r="92" spans="1:8" x14ac:dyDescent="0.2">
      <c r="A92" s="150"/>
      <c r="B92" s="111">
        <v>88</v>
      </c>
      <c r="C92" s="149" t="b">
        <v>0</v>
      </c>
      <c r="D92" s="148" t="str">
        <v>J1</v>
      </c>
      <c r="E92" s="147" t="str">
        <f t="shared" si="2"/>
        <v>EURIMMFRA6MJ1_Quote</v>
      </c>
      <c r="F92" s="146" t="str">
        <f>_xll.qlSimpleQuote(E92,,PriceTickValue,Permanent,Trigger,ObjectOverwrite)</f>
        <v>EURIMMFRA6MJ1_Quote#0000</v>
      </c>
      <c r="G92" s="109" t="str">
        <f>_xll.ohRangeRetrieveError(F92)</f>
        <v/>
      </c>
      <c r="H92" s="145"/>
    </row>
    <row r="93" spans="1:8" x14ac:dyDescent="0.2">
      <c r="A93" s="150"/>
      <c r="B93" s="111">
        <v>89</v>
      </c>
      <c r="C93" s="149" t="b">
        <v>0</v>
      </c>
      <c r="D93" s="148" t="str">
        <v>K1</v>
      </c>
      <c r="E93" s="147" t="str">
        <f t="shared" si="2"/>
        <v>EURIMMFRA6MK1_Quote</v>
      </c>
      <c r="F93" s="146" t="str">
        <f>_xll.qlSimpleQuote(E93,,PriceTickValue,Permanent,Trigger,ObjectOverwrite)</f>
        <v>EURIMMFRA6MK1_Quote#0000</v>
      </c>
      <c r="G93" s="109" t="str">
        <f>_xll.ohRangeRetrieveError(F93)</f>
        <v/>
      </c>
      <c r="H93" s="145"/>
    </row>
    <row r="94" spans="1:8" x14ac:dyDescent="0.2">
      <c r="A94" s="150"/>
      <c r="B94" s="111">
        <v>90</v>
      </c>
      <c r="C94" s="149" t="b">
        <v>0</v>
      </c>
      <c r="D94" s="148" t="str">
        <v>M1</v>
      </c>
      <c r="E94" s="147" t="str">
        <f t="shared" si="2"/>
        <v>EURIMMFRA6MM1_Quote</v>
      </c>
      <c r="F94" s="146" t="str">
        <f>_xll.qlSimpleQuote(E94,,PriceTickValue,Permanent,Trigger,ObjectOverwrite)</f>
        <v>EURIMMFRA6MM1_Quote#0000</v>
      </c>
      <c r="G94" s="109" t="str">
        <f>_xll.ohRangeRetrieveError(F94)</f>
        <v/>
      </c>
      <c r="H94" s="145"/>
    </row>
    <row r="95" spans="1:8" x14ac:dyDescent="0.2">
      <c r="A95" s="150"/>
      <c r="B95" s="111">
        <v>91</v>
      </c>
      <c r="C95" s="149" t="b">
        <v>0</v>
      </c>
      <c r="D95" s="148" t="str">
        <v>N1</v>
      </c>
      <c r="E95" s="147" t="str">
        <f t="shared" si="2"/>
        <v>EURIMMFRA6MN1_Quote</v>
      </c>
      <c r="F95" s="146" t="str">
        <f>_xll.qlSimpleQuote(E95,,PriceTickValue,Permanent,Trigger,ObjectOverwrite)</f>
        <v>EURIMMFRA6MN1_Quote#0000</v>
      </c>
      <c r="G95" s="109" t="str">
        <f>_xll.ohRangeRetrieveError(F95)</f>
        <v/>
      </c>
      <c r="H95" s="145"/>
    </row>
    <row r="96" spans="1:8" x14ac:dyDescent="0.2">
      <c r="A96" s="150"/>
      <c r="B96" s="111">
        <v>92</v>
      </c>
      <c r="C96" s="149" t="b">
        <v>0</v>
      </c>
      <c r="D96" s="148" t="str">
        <v>Q1</v>
      </c>
      <c r="E96" s="147" t="str">
        <f t="shared" si="2"/>
        <v>EURIMMFRA6MQ1_Quote</v>
      </c>
      <c r="F96" s="146" t="str">
        <f>_xll.qlSimpleQuote(E96,,PriceTickValue,Permanent,Trigger,ObjectOverwrite)</f>
        <v>EURIMMFRA6MQ1_Quote#0000</v>
      </c>
      <c r="G96" s="109" t="str">
        <f>_xll.ohRangeRetrieveError(F96)</f>
        <v/>
      </c>
      <c r="H96" s="145"/>
    </row>
    <row r="97" spans="1:8" x14ac:dyDescent="0.2">
      <c r="A97" s="150"/>
      <c r="B97" s="111">
        <v>93</v>
      </c>
      <c r="C97" s="149" t="b">
        <v>0</v>
      </c>
      <c r="D97" s="148" t="str">
        <v>U1</v>
      </c>
      <c r="E97" s="147" t="str">
        <f t="shared" si="2"/>
        <v>EURIMMFRA6MU1_Quote</v>
      </c>
      <c r="F97" s="146" t="str">
        <f>_xll.qlSimpleQuote(E97,,PriceTickValue,Permanent,Trigger,ObjectOverwrite)</f>
        <v>EURIMMFRA6MU1_Quote#0000</v>
      </c>
      <c r="G97" s="109" t="str">
        <f>_xll.ohRangeRetrieveError(F97)</f>
        <v/>
      </c>
      <c r="H97" s="145"/>
    </row>
    <row r="98" spans="1:8" x14ac:dyDescent="0.2">
      <c r="A98" s="150"/>
      <c r="B98" s="111">
        <v>94</v>
      </c>
      <c r="C98" s="149" t="b">
        <v>0</v>
      </c>
      <c r="D98" s="148" t="str">
        <v>V1</v>
      </c>
      <c r="E98" s="147" t="str">
        <f t="shared" si="2"/>
        <v>EURIMMFRA6MV1_Quote</v>
      </c>
      <c r="F98" s="146" t="str">
        <f>_xll.qlSimpleQuote(E98,,PriceTickValue,Permanent,Trigger,ObjectOverwrite)</f>
        <v>EURIMMFRA6MV1_Quote#0000</v>
      </c>
      <c r="G98" s="109" t="str">
        <f>_xll.ohRangeRetrieveError(F98)</f>
        <v/>
      </c>
      <c r="H98" s="145"/>
    </row>
    <row r="99" spans="1:8" x14ac:dyDescent="0.2">
      <c r="A99" s="150"/>
      <c r="B99" s="111">
        <v>95</v>
      </c>
      <c r="C99" s="149" t="b">
        <v>0</v>
      </c>
      <c r="D99" s="148" t="str">
        <v>X1</v>
      </c>
      <c r="E99" s="147" t="str">
        <f t="shared" si="2"/>
        <v>EURIMMFRA6MX1_Quote</v>
      </c>
      <c r="F99" s="146" t="str">
        <f>_xll.qlSimpleQuote(E99,,PriceTickValue,Permanent,Trigger,ObjectOverwrite)</f>
        <v>EURIMMFRA6MX1_Quote#0000</v>
      </c>
      <c r="G99" s="109" t="str">
        <f>_xll.ohRangeRetrieveError(F99)</f>
        <v/>
      </c>
      <c r="H99" s="145"/>
    </row>
    <row r="100" spans="1:8" x14ac:dyDescent="0.2">
      <c r="A100" s="150"/>
      <c r="B100" s="111">
        <v>96</v>
      </c>
      <c r="C100" s="149" t="b">
        <v>0</v>
      </c>
      <c r="D100" s="148" t="str">
        <v>Z1</v>
      </c>
      <c r="E100" s="147" t="str">
        <f t="shared" si="2"/>
        <v>EURIMMFRA6MZ1_Quote</v>
      </c>
      <c r="F100" s="146" t="str">
        <f>_xll.qlSimpleQuote(E100,,PriceTickValue,Permanent,Trigger,ObjectOverwrite)</f>
        <v>EURIMMFRA6MZ1_Quote#0000</v>
      </c>
      <c r="G100" s="109" t="str">
        <f>_xll.ohRangeRetrieveError(F100)</f>
        <v/>
      </c>
      <c r="H100" s="145"/>
    </row>
    <row r="101" spans="1:8" x14ac:dyDescent="0.2">
      <c r="A101" s="150"/>
      <c r="B101" s="111">
        <v>97</v>
      </c>
      <c r="C101" s="149" t="b">
        <v>0</v>
      </c>
      <c r="D101" s="148" t="str">
        <v>F2</v>
      </c>
      <c r="E101" s="147" t="str">
        <f t="shared" ref="E101:E124" si="3">Currency&amp;$D$3&amp;$E$3&amp;$D101&amp;QuoteSuffix</f>
        <v>EURIMMFRA6MF2_Quote</v>
      </c>
      <c r="F101" s="146" t="str">
        <f>_xll.qlSimpleQuote(E101,,PriceTickValue,Permanent,Trigger,ObjectOverwrite)</f>
        <v>EURIMMFRA6MF2_Quote#0000</v>
      </c>
      <c r="G101" s="109" t="str">
        <f>_xll.ohRangeRetrieveError(F101)</f>
        <v/>
      </c>
      <c r="H101" s="145"/>
    </row>
    <row r="102" spans="1:8" x14ac:dyDescent="0.2">
      <c r="A102" s="150"/>
      <c r="B102" s="111">
        <v>98</v>
      </c>
      <c r="C102" s="149" t="b">
        <v>0</v>
      </c>
      <c r="D102" s="148" t="str">
        <v>G2</v>
      </c>
      <c r="E102" s="147" t="str">
        <f t="shared" si="3"/>
        <v>EURIMMFRA6MG2_Quote</v>
      </c>
      <c r="F102" s="146" t="str">
        <f>_xll.qlSimpleQuote(E102,,PriceTickValue,Permanent,Trigger,ObjectOverwrite)</f>
        <v>EURIMMFRA6MG2_Quote#0000</v>
      </c>
      <c r="G102" s="109" t="str">
        <f>_xll.ohRangeRetrieveError(F102)</f>
        <v/>
      </c>
      <c r="H102" s="145"/>
    </row>
    <row r="103" spans="1:8" x14ac:dyDescent="0.2">
      <c r="A103" s="150"/>
      <c r="B103" s="111">
        <v>99</v>
      </c>
      <c r="C103" s="149" t="b">
        <v>0</v>
      </c>
      <c r="D103" s="148" t="str">
        <v>H2</v>
      </c>
      <c r="E103" s="147" t="str">
        <f t="shared" si="3"/>
        <v>EURIMMFRA6MH2_Quote</v>
      </c>
      <c r="F103" s="146" t="str">
        <f>_xll.qlSimpleQuote(E103,,PriceTickValue,Permanent,Trigger,ObjectOverwrite)</f>
        <v>EURIMMFRA6MH2_Quote#0000</v>
      </c>
      <c r="G103" s="109" t="str">
        <f>_xll.ohRangeRetrieveError(F103)</f>
        <v/>
      </c>
      <c r="H103" s="145"/>
    </row>
    <row r="104" spans="1:8" x14ac:dyDescent="0.2">
      <c r="A104" s="150"/>
      <c r="B104" s="111">
        <v>100</v>
      </c>
      <c r="C104" s="149" t="b">
        <v>0</v>
      </c>
      <c r="D104" s="148" t="str">
        <v>J2</v>
      </c>
      <c r="E104" s="147" t="str">
        <f t="shared" si="3"/>
        <v>EURIMMFRA6MJ2_Quote</v>
      </c>
      <c r="F104" s="146" t="str">
        <f>_xll.qlSimpleQuote(E104,,PriceTickValue,Permanent,Trigger,ObjectOverwrite)</f>
        <v>EURIMMFRA6MJ2_Quote#0000</v>
      </c>
      <c r="G104" s="109" t="str">
        <f>_xll.ohRangeRetrieveError(F104)</f>
        <v/>
      </c>
      <c r="H104" s="145"/>
    </row>
    <row r="105" spans="1:8" x14ac:dyDescent="0.2">
      <c r="A105" s="150"/>
      <c r="B105" s="111">
        <v>101</v>
      </c>
      <c r="C105" s="149" t="b">
        <v>0</v>
      </c>
      <c r="D105" s="148" t="str">
        <v>K2</v>
      </c>
      <c r="E105" s="147" t="str">
        <f t="shared" si="3"/>
        <v>EURIMMFRA6MK2_Quote</v>
      </c>
      <c r="F105" s="146" t="str">
        <f>_xll.qlSimpleQuote(E105,,PriceTickValue,Permanent,Trigger,ObjectOverwrite)</f>
        <v>EURIMMFRA6MK2_Quote#0000</v>
      </c>
      <c r="G105" s="109" t="str">
        <f>_xll.ohRangeRetrieveError(F105)</f>
        <v/>
      </c>
      <c r="H105" s="145"/>
    </row>
    <row r="106" spans="1:8" x14ac:dyDescent="0.2">
      <c r="A106" s="150"/>
      <c r="B106" s="111">
        <v>102</v>
      </c>
      <c r="C106" s="149" t="b">
        <v>0</v>
      </c>
      <c r="D106" s="148" t="str">
        <v>M2</v>
      </c>
      <c r="E106" s="147" t="str">
        <f t="shared" si="3"/>
        <v>EURIMMFRA6MM2_Quote</v>
      </c>
      <c r="F106" s="146" t="str">
        <f>_xll.qlSimpleQuote(E106,,PriceTickValue,Permanent,Trigger,ObjectOverwrite)</f>
        <v>EURIMMFRA6MM2_Quote#0000</v>
      </c>
      <c r="G106" s="109" t="str">
        <f>_xll.ohRangeRetrieveError(F106)</f>
        <v/>
      </c>
      <c r="H106" s="145"/>
    </row>
    <row r="107" spans="1:8" x14ac:dyDescent="0.2">
      <c r="A107" s="150"/>
      <c r="B107" s="111">
        <v>103</v>
      </c>
      <c r="C107" s="149" t="b">
        <v>0</v>
      </c>
      <c r="D107" s="148" t="str">
        <v>N2</v>
      </c>
      <c r="E107" s="147" t="str">
        <f t="shared" si="3"/>
        <v>EURIMMFRA6MN2_Quote</v>
      </c>
      <c r="F107" s="146" t="str">
        <f>_xll.qlSimpleQuote(E107,,PriceTickValue,Permanent,Trigger,ObjectOverwrite)</f>
        <v>EURIMMFRA6MN2_Quote#0000</v>
      </c>
      <c r="G107" s="109" t="str">
        <f>_xll.ohRangeRetrieveError(F107)</f>
        <v/>
      </c>
      <c r="H107" s="145"/>
    </row>
    <row r="108" spans="1:8" x14ac:dyDescent="0.2">
      <c r="A108" s="150"/>
      <c r="B108" s="111">
        <v>104</v>
      </c>
      <c r="C108" s="149" t="b">
        <v>0</v>
      </c>
      <c r="D108" s="148" t="str">
        <v>Q2</v>
      </c>
      <c r="E108" s="147" t="str">
        <f t="shared" si="3"/>
        <v>EURIMMFRA6MQ2_Quote</v>
      </c>
      <c r="F108" s="146" t="str">
        <f>_xll.qlSimpleQuote(E108,,PriceTickValue,Permanent,Trigger,ObjectOverwrite)</f>
        <v>EURIMMFRA6MQ2_Quote#0000</v>
      </c>
      <c r="G108" s="109" t="str">
        <f>_xll.ohRangeRetrieveError(F108)</f>
        <v/>
      </c>
      <c r="H108" s="145"/>
    </row>
    <row r="109" spans="1:8" x14ac:dyDescent="0.2">
      <c r="A109" s="150"/>
      <c r="B109" s="111">
        <v>105</v>
      </c>
      <c r="C109" s="149" t="b">
        <v>0</v>
      </c>
      <c r="D109" s="148" t="str">
        <v>U2</v>
      </c>
      <c r="E109" s="147" t="str">
        <f t="shared" si="3"/>
        <v>EURIMMFRA6MU2_Quote</v>
      </c>
      <c r="F109" s="146" t="str">
        <f>_xll.qlSimpleQuote(E109,,PriceTickValue,Permanent,Trigger,ObjectOverwrite)</f>
        <v>EURIMMFRA6MU2_Quote#0000</v>
      </c>
      <c r="G109" s="109" t="str">
        <f>_xll.ohRangeRetrieveError(F109)</f>
        <v/>
      </c>
      <c r="H109" s="145"/>
    </row>
    <row r="110" spans="1:8" x14ac:dyDescent="0.2">
      <c r="A110" s="150"/>
      <c r="B110" s="111">
        <v>106</v>
      </c>
      <c r="C110" s="149" t="b">
        <v>0</v>
      </c>
      <c r="D110" s="148" t="str">
        <v>V2</v>
      </c>
      <c r="E110" s="147" t="str">
        <f t="shared" si="3"/>
        <v>EURIMMFRA6MV2_Quote</v>
      </c>
      <c r="F110" s="146" t="str">
        <f>_xll.qlSimpleQuote(E110,,PriceTickValue,Permanent,Trigger,ObjectOverwrite)</f>
        <v>EURIMMFRA6MV2_Quote#0000</v>
      </c>
      <c r="G110" s="109" t="str">
        <f>_xll.ohRangeRetrieveError(F110)</f>
        <v/>
      </c>
      <c r="H110" s="145"/>
    </row>
    <row r="111" spans="1:8" x14ac:dyDescent="0.2">
      <c r="A111" s="150"/>
      <c r="B111" s="111">
        <v>107</v>
      </c>
      <c r="C111" s="149" t="b">
        <v>0</v>
      </c>
      <c r="D111" s="148" t="str">
        <v>X2</v>
      </c>
      <c r="E111" s="147" t="str">
        <f t="shared" si="3"/>
        <v>EURIMMFRA6MX2_Quote</v>
      </c>
      <c r="F111" s="146" t="str">
        <f>_xll.qlSimpleQuote(E111,,PriceTickValue,Permanent,Trigger,ObjectOverwrite)</f>
        <v>EURIMMFRA6MX2_Quote#0000</v>
      </c>
      <c r="G111" s="109" t="str">
        <f>_xll.ohRangeRetrieveError(F111)</f>
        <v/>
      </c>
      <c r="H111" s="145"/>
    </row>
    <row r="112" spans="1:8" x14ac:dyDescent="0.2">
      <c r="A112" s="150"/>
      <c r="B112" s="111">
        <v>108</v>
      </c>
      <c r="C112" s="149" t="b">
        <v>0</v>
      </c>
      <c r="D112" s="148" t="str">
        <v>Z2</v>
      </c>
      <c r="E112" s="147" t="str">
        <f t="shared" si="3"/>
        <v>EURIMMFRA6MZ2_Quote</v>
      </c>
      <c r="F112" s="146" t="str">
        <f>_xll.qlSimpleQuote(E112,,PriceTickValue,Permanent,Trigger,ObjectOverwrite)</f>
        <v>EURIMMFRA6MZ2_Quote#0000</v>
      </c>
      <c r="G112" s="109" t="str">
        <f>_xll.ohRangeRetrieveError(F112)</f>
        <v/>
      </c>
      <c r="H112" s="145"/>
    </row>
    <row r="113" spans="1:8" x14ac:dyDescent="0.2">
      <c r="A113" s="150"/>
      <c r="B113" s="111">
        <v>109</v>
      </c>
      <c r="C113" s="149" t="b">
        <v>0</v>
      </c>
      <c r="D113" s="148" t="str">
        <v>F3</v>
      </c>
      <c r="E113" s="147" t="str">
        <f t="shared" si="3"/>
        <v>EURIMMFRA6MF3_Quote</v>
      </c>
      <c r="F113" s="146" t="str">
        <f>_xll.qlSimpleQuote(E113,,PriceTickValue,Permanent,Trigger,ObjectOverwrite)</f>
        <v>EURIMMFRA6MF3_Quote#0000</v>
      </c>
      <c r="G113" s="109" t="str">
        <f>_xll.ohRangeRetrieveError(F113)</f>
        <v/>
      </c>
      <c r="H113" s="145"/>
    </row>
    <row r="114" spans="1:8" x14ac:dyDescent="0.2">
      <c r="A114" s="150"/>
      <c r="B114" s="111">
        <v>110</v>
      </c>
      <c r="C114" s="149" t="b">
        <v>0</v>
      </c>
      <c r="D114" s="148" t="str">
        <v>G3</v>
      </c>
      <c r="E114" s="147" t="str">
        <f t="shared" si="3"/>
        <v>EURIMMFRA6MG3_Quote</v>
      </c>
      <c r="F114" s="146" t="str">
        <f>_xll.qlSimpleQuote(E114,,PriceTickValue,Permanent,Trigger,ObjectOverwrite)</f>
        <v>EURIMMFRA6MG3_Quote#0000</v>
      </c>
      <c r="G114" s="109" t="str">
        <f>_xll.ohRangeRetrieveError(F114)</f>
        <v/>
      </c>
      <c r="H114" s="145"/>
    </row>
    <row r="115" spans="1:8" x14ac:dyDescent="0.2">
      <c r="A115" s="150"/>
      <c r="B115" s="111">
        <v>111</v>
      </c>
      <c r="C115" s="149" t="b">
        <v>0</v>
      </c>
      <c r="D115" s="148" t="str">
        <v>H3</v>
      </c>
      <c r="E115" s="147" t="str">
        <f t="shared" si="3"/>
        <v>EURIMMFRA6MH3_Quote</v>
      </c>
      <c r="F115" s="146" t="str">
        <f>_xll.qlSimpleQuote(E115,,PriceTickValue,Permanent,Trigger,ObjectOverwrite)</f>
        <v>EURIMMFRA6MH3_Quote#0000</v>
      </c>
      <c r="G115" s="109" t="str">
        <f>_xll.ohRangeRetrieveError(F115)</f>
        <v/>
      </c>
      <c r="H115" s="145"/>
    </row>
    <row r="116" spans="1:8" x14ac:dyDescent="0.2">
      <c r="A116" s="150"/>
      <c r="B116" s="111">
        <v>112</v>
      </c>
      <c r="C116" s="149" t="b">
        <v>0</v>
      </c>
      <c r="D116" s="148" t="str">
        <v>J3</v>
      </c>
      <c r="E116" s="147" t="str">
        <f t="shared" si="3"/>
        <v>EURIMMFRA6MJ3_Quote</v>
      </c>
      <c r="F116" s="146" t="str">
        <f>_xll.qlSimpleQuote(E116,,PriceTickValue,Permanent,Trigger,ObjectOverwrite)</f>
        <v>EURIMMFRA6MJ3_Quote#0000</v>
      </c>
      <c r="G116" s="109" t="str">
        <f>_xll.ohRangeRetrieveError(F116)</f>
        <v/>
      </c>
      <c r="H116" s="145"/>
    </row>
    <row r="117" spans="1:8" x14ac:dyDescent="0.2">
      <c r="A117" s="150"/>
      <c r="B117" s="111">
        <v>113</v>
      </c>
      <c r="C117" s="149" t="b">
        <v>0</v>
      </c>
      <c r="D117" s="148" t="str">
        <v>K3</v>
      </c>
      <c r="E117" s="147" t="str">
        <f t="shared" si="3"/>
        <v>EURIMMFRA6MK3_Quote</v>
      </c>
      <c r="F117" s="146" t="str">
        <f>_xll.qlSimpleQuote(E117,,PriceTickValue,Permanent,Trigger,ObjectOverwrite)</f>
        <v>EURIMMFRA6MK3_Quote#0000</v>
      </c>
      <c r="G117" s="109" t="str">
        <f>_xll.ohRangeRetrieveError(F117)</f>
        <v/>
      </c>
      <c r="H117" s="145"/>
    </row>
    <row r="118" spans="1:8" x14ac:dyDescent="0.2">
      <c r="A118" s="150"/>
      <c r="B118" s="111">
        <v>114</v>
      </c>
      <c r="C118" s="149" t="b">
        <v>0</v>
      </c>
      <c r="D118" s="148" t="str">
        <v>M3</v>
      </c>
      <c r="E118" s="147" t="str">
        <f t="shared" si="3"/>
        <v>EURIMMFRA6MM3_Quote</v>
      </c>
      <c r="F118" s="146" t="str">
        <f>_xll.qlSimpleQuote(E118,,PriceTickValue,Permanent,Trigger,ObjectOverwrite)</f>
        <v>EURIMMFRA6MM3_Quote#0000</v>
      </c>
      <c r="G118" s="109" t="str">
        <f>_xll.ohRangeRetrieveError(F118)</f>
        <v/>
      </c>
      <c r="H118" s="145"/>
    </row>
    <row r="119" spans="1:8" x14ac:dyDescent="0.2">
      <c r="A119" s="150"/>
      <c r="B119" s="111">
        <v>115</v>
      </c>
      <c r="C119" s="149" t="b">
        <v>0</v>
      </c>
      <c r="D119" s="148" t="str">
        <v>N3</v>
      </c>
      <c r="E119" s="147" t="str">
        <f t="shared" si="3"/>
        <v>EURIMMFRA6MN3_Quote</v>
      </c>
      <c r="F119" s="146" t="str">
        <f>_xll.qlSimpleQuote(E119,,PriceTickValue,Permanent,Trigger,ObjectOverwrite)</f>
        <v>EURIMMFRA6MN3_Quote#0000</v>
      </c>
      <c r="G119" s="109" t="str">
        <f>_xll.ohRangeRetrieveError(F119)</f>
        <v/>
      </c>
      <c r="H119" s="145"/>
    </row>
    <row r="120" spans="1:8" x14ac:dyDescent="0.2">
      <c r="A120" s="150"/>
      <c r="B120" s="111">
        <v>116</v>
      </c>
      <c r="C120" s="149" t="b">
        <v>0</v>
      </c>
      <c r="D120" s="148" t="str">
        <v>Q3</v>
      </c>
      <c r="E120" s="147" t="str">
        <f t="shared" si="3"/>
        <v>EURIMMFRA6MQ3_Quote</v>
      </c>
      <c r="F120" s="146" t="str">
        <f>_xll.qlSimpleQuote(E120,,PriceTickValue,Permanent,Trigger,ObjectOverwrite)</f>
        <v>EURIMMFRA6MQ3_Quote#0000</v>
      </c>
      <c r="G120" s="109" t="str">
        <f>_xll.ohRangeRetrieveError(F120)</f>
        <v/>
      </c>
      <c r="H120" s="145"/>
    </row>
    <row r="121" spans="1:8" x14ac:dyDescent="0.2">
      <c r="A121" s="150"/>
      <c r="B121" s="111">
        <v>117</v>
      </c>
      <c r="C121" s="149" t="b">
        <v>0</v>
      </c>
      <c r="D121" s="148" t="str">
        <v>U3</v>
      </c>
      <c r="E121" s="147" t="str">
        <f t="shared" si="3"/>
        <v>EURIMMFRA6MU3_Quote</v>
      </c>
      <c r="F121" s="146" t="str">
        <f>_xll.qlSimpleQuote(E121,,PriceTickValue,Permanent,Trigger,ObjectOverwrite)</f>
        <v>EURIMMFRA6MU3_Quote#0000</v>
      </c>
      <c r="G121" s="109" t="str">
        <f>_xll.ohRangeRetrieveError(F121)</f>
        <v/>
      </c>
      <c r="H121" s="145"/>
    </row>
    <row r="122" spans="1:8" x14ac:dyDescent="0.2">
      <c r="A122" s="150"/>
      <c r="B122" s="111">
        <v>118</v>
      </c>
      <c r="C122" s="149" t="b">
        <v>0</v>
      </c>
      <c r="D122" s="148" t="str">
        <v>V3</v>
      </c>
      <c r="E122" s="147" t="str">
        <f t="shared" si="3"/>
        <v>EURIMMFRA6MV3_Quote</v>
      </c>
      <c r="F122" s="146" t="str">
        <f>_xll.qlSimpleQuote(E122,,PriceTickValue,Permanent,Trigger,ObjectOverwrite)</f>
        <v>EURIMMFRA6MV3_Quote#0000</v>
      </c>
      <c r="G122" s="109" t="str">
        <f>_xll.ohRangeRetrieveError(F122)</f>
        <v/>
      </c>
      <c r="H122" s="145"/>
    </row>
    <row r="123" spans="1:8" x14ac:dyDescent="0.2">
      <c r="A123" s="150"/>
      <c r="B123" s="111">
        <v>119</v>
      </c>
      <c r="C123" s="149" t="b">
        <v>0</v>
      </c>
      <c r="D123" s="148" t="str">
        <v>X3</v>
      </c>
      <c r="E123" s="147" t="str">
        <f t="shared" si="3"/>
        <v>EURIMMFRA6MX3_Quote</v>
      </c>
      <c r="F123" s="146" t="str">
        <f>_xll.qlSimpleQuote(E123,,PriceTickValue,Permanent,Trigger,ObjectOverwrite)</f>
        <v>EURIMMFRA6MX3_Quote#0000</v>
      </c>
      <c r="G123" s="109" t="str">
        <f>_xll.ohRangeRetrieveError(F123)</f>
        <v/>
      </c>
      <c r="H123" s="145"/>
    </row>
    <row r="124" spans="1:8" x14ac:dyDescent="0.2">
      <c r="A124" s="150"/>
      <c r="B124" s="111">
        <v>120</v>
      </c>
      <c r="C124" s="149" t="b">
        <v>0</v>
      </c>
      <c r="D124" s="148" t="str">
        <v>Z3</v>
      </c>
      <c r="E124" s="147" t="str">
        <f t="shared" si="3"/>
        <v>EURIMMFRA6MZ3_Quote</v>
      </c>
      <c r="F124" s="146" t="str">
        <f>_xll.qlSimpleQuote(E124,,PriceTickValue,Permanent,Trigger,ObjectOverwrite)</f>
        <v>EURIMMFRA6MZ3_Quote#0000</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8" width="14" style="72" bestFit="1" customWidth="1"/>
    <col min="9" max="9" width="9.140625" style="72"/>
    <col min="10" max="10" width="2.7109375" style="72" customWidth="1"/>
    <col min="11" max="12" width="9.140625" style="72"/>
    <col min="13" max="13" width="2.7109375" style="72" customWidth="1"/>
    <col min="14" max="14" width="9.140625" style="72"/>
    <col min="15" max="15" width="2.7109375" style="72" customWidth="1"/>
    <col min="16" max="17" width="9.140625" style="72"/>
    <col min="18" max="19" width="2.7109375" style="72" customWidth="1"/>
    <col min="20" max="16384" width="9.140625" style="72"/>
  </cols>
  <sheetData>
    <row r="1" spans="1:22" x14ac:dyDescent="0.2">
      <c r="G1" s="294" t="s">
        <v>310</v>
      </c>
      <c r="H1" s="203"/>
      <c r="I1" s="203"/>
      <c r="J1" s="203"/>
      <c r="K1" s="203"/>
      <c r="L1" s="203"/>
      <c r="M1" s="203"/>
      <c r="N1" s="203"/>
      <c r="O1" s="203"/>
      <c r="P1" s="203"/>
      <c r="Q1" s="203"/>
      <c r="R1" s="200"/>
      <c r="S1" s="21"/>
      <c r="T1" s="21"/>
      <c r="U1" s="21"/>
      <c r="V1" s="21"/>
    </row>
    <row r="2" spans="1:22" x14ac:dyDescent="0.2">
      <c r="G2" s="293"/>
      <c r="H2" s="148" t="s">
        <v>235</v>
      </c>
      <c r="I2" s="141"/>
      <c r="J2" s="141"/>
      <c r="K2" s="141"/>
      <c r="L2" s="141"/>
      <c r="M2" s="141"/>
      <c r="N2" s="141"/>
      <c r="O2" s="141"/>
      <c r="P2" s="141"/>
      <c r="Q2" s="141"/>
      <c r="R2" s="53"/>
      <c r="S2" s="21"/>
      <c r="T2" s="21"/>
      <c r="U2" s="21"/>
      <c r="V2" s="21"/>
    </row>
    <row r="3" spans="1:22" x14ac:dyDescent="0.2">
      <c r="A3" s="117" t="s">
        <v>190</v>
      </c>
      <c r="B3" s="116"/>
      <c r="C3" s="116"/>
      <c r="D3" s="116"/>
      <c r="E3" s="115"/>
      <c r="G3" s="293"/>
      <c r="H3" s="141"/>
      <c r="I3" s="141"/>
      <c r="J3" s="141"/>
      <c r="K3" s="141"/>
      <c r="L3" s="141"/>
      <c r="M3" s="141"/>
      <c r="N3" s="141"/>
      <c r="O3" s="141"/>
      <c r="P3" s="141"/>
      <c r="Q3" s="288">
        <f>_xll.ohTrigger(Q5:Q9)</f>
        <v>0</v>
      </c>
      <c r="R3" s="53"/>
      <c r="S3" s="21"/>
      <c r="T3" s="21"/>
      <c r="U3" s="21" t="s">
        <v>113</v>
      </c>
      <c r="V3" s="21"/>
    </row>
    <row r="4" spans="1:22"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3"/>
      <c r="H4" s="349" t="e">
        <f ca="1">_xll.RData(H5,I4,,ReutersRtMode,,I5)</f>
        <v>#NAME?</v>
      </c>
      <c r="I4" s="378" t="s">
        <v>258</v>
      </c>
      <c r="J4" s="369"/>
      <c r="K4" s="443" t="s">
        <v>280</v>
      </c>
      <c r="L4" s="444"/>
      <c r="M4" s="369"/>
      <c r="N4" s="285" t="s">
        <v>252</v>
      </c>
      <c r="O4" s="367"/>
      <c r="P4" s="438" t="s">
        <v>250</v>
      </c>
      <c r="Q4" s="286" t="s">
        <v>249</v>
      </c>
      <c r="R4" s="53"/>
      <c r="S4" s="21"/>
      <c r="T4" s="21"/>
      <c r="U4" s="21"/>
      <c r="V4" s="21"/>
    </row>
    <row r="5" spans="1:22" x14ac:dyDescent="0.2">
      <c r="A5" s="167"/>
      <c r="B5" s="166" t="str">
        <f>Currency&amp;"HW_Volatility"&amp;QuoteSuffix</f>
        <v>EURHW_Volatility_Quote</v>
      </c>
      <c r="C5" s="166" t="str">
        <f>_xll.qlSimpleQuote(B5,,,Permanent,Trigger,ObjectOverwrite)</f>
        <v>EURHW_Volatility_Quote#0000</v>
      </c>
      <c r="D5" s="109" t="str">
        <f>_xll.ohRangeRetrieveError(C5)</f>
        <v/>
      </c>
      <c r="E5" s="165"/>
      <c r="G5" s="293"/>
      <c r="H5" s="377" t="str">
        <f>VLOOKUP(Currency,$T$5:$V$9,2)&amp;U3&amp;VLOOKUP(Currency,$T$5:$V$9,3)&amp;"ATM="&amp;VLOOKUP(Contributor,ContributorTable,2,FALSE)</f>
        <v>EU4Y6LATM=ICAP</v>
      </c>
      <c r="I5" s="376">
        <v>65.53</v>
      </c>
      <c r="J5" s="369"/>
      <c r="K5" s="279" t="s">
        <v>279</v>
      </c>
      <c r="L5" s="374">
        <f>I5/100*IF(ISNUMBER(Swap3M4Y),Swap3M4Y/100,Swap6M4Y/100)*0</f>
        <v>0</v>
      </c>
      <c r="M5" s="369"/>
      <c r="N5" s="375">
        <v>0</v>
      </c>
      <c r="O5" s="367"/>
      <c r="P5" s="276">
        <f t="array" ref="P5:P6">QuoteLive</f>
        <v>0</v>
      </c>
      <c r="Q5" s="374" t="e">
        <f>_xll.qlSimpleQuoteSetValue(C5,ROUND(P5,6),Trigger)</f>
        <v>#N/A</v>
      </c>
      <c r="R5" s="53"/>
      <c r="S5" s="21"/>
      <c r="T5" s="93" t="s">
        <v>137</v>
      </c>
      <c r="U5" s="373" t="s">
        <v>278</v>
      </c>
      <c r="V5" s="372" t="s">
        <v>132</v>
      </c>
    </row>
    <row r="6" spans="1:22" x14ac:dyDescent="0.2">
      <c r="A6" s="167"/>
      <c r="B6" s="166" t="str">
        <f>Currency&amp;"HW_MeanReversion"&amp;QuoteSuffix</f>
        <v>EURHW_MeanReversion_Quote</v>
      </c>
      <c r="C6" s="166" t="str">
        <f>_xll.qlSimpleQuote(B6,,,Permanent,Trigger,ObjectOverwrite)</f>
        <v>EURHW_MeanReversion_Quote#0000</v>
      </c>
      <c r="D6" s="109" t="str">
        <f>_xll.ohRangeRetrieveError(C6)</f>
        <v/>
      </c>
      <c r="E6" s="165"/>
      <c r="G6" s="293"/>
      <c r="H6" s="366"/>
      <c r="I6" s="371"/>
      <c r="J6" s="369"/>
      <c r="K6" s="370" t="s">
        <v>277</v>
      </c>
      <c r="L6" s="365">
        <v>0.03</v>
      </c>
      <c r="M6" s="369"/>
      <c r="N6" s="368">
        <v>0.03</v>
      </c>
      <c r="O6" s="367"/>
      <c r="P6" s="439">
        <v>0.03</v>
      </c>
      <c r="Q6" s="365" t="e">
        <f>_xll.qlSimpleQuoteSetValue(C6,ROUND(P6,6),Trigger)</f>
        <v>#N/A</v>
      </c>
      <c r="R6" s="53"/>
      <c r="S6" s="21"/>
      <c r="T6" s="90" t="s">
        <v>123</v>
      </c>
      <c r="U6" s="326" t="s">
        <v>276</v>
      </c>
      <c r="V6" s="364" t="s">
        <v>132</v>
      </c>
    </row>
    <row r="7" spans="1:22" ht="12" thickBot="1" x14ac:dyDescent="0.25">
      <c r="A7" s="164"/>
      <c r="B7" s="163"/>
      <c r="C7" s="163"/>
      <c r="D7" s="163"/>
      <c r="E7" s="162"/>
      <c r="G7" s="52"/>
      <c r="H7" s="51"/>
      <c r="I7" s="51"/>
      <c r="J7" s="51"/>
      <c r="K7" s="51"/>
      <c r="L7" s="51"/>
      <c r="M7" s="51"/>
      <c r="N7" s="51"/>
      <c r="O7" s="51"/>
      <c r="P7" s="51"/>
      <c r="Q7" s="51"/>
      <c r="R7" s="50"/>
      <c r="S7" s="21"/>
      <c r="T7" s="90" t="s">
        <v>134</v>
      </c>
      <c r="U7" s="326" t="s">
        <v>275</v>
      </c>
      <c r="V7" s="364" t="s">
        <v>130</v>
      </c>
    </row>
    <row r="8" spans="1:22" x14ac:dyDescent="0.2">
      <c r="G8" s="21"/>
      <c r="H8" s="21"/>
      <c r="I8" s="21"/>
      <c r="J8" s="21"/>
      <c r="K8" s="21"/>
      <c r="L8" s="21"/>
      <c r="M8" s="21"/>
      <c r="N8" s="21"/>
      <c r="O8" s="21"/>
      <c r="P8" s="21"/>
      <c r="Q8" s="21"/>
      <c r="R8" s="21"/>
      <c r="S8" s="21"/>
      <c r="T8" s="90" t="s">
        <v>133</v>
      </c>
      <c r="U8" s="326" t="s">
        <v>274</v>
      </c>
      <c r="V8" s="364" t="s">
        <v>132</v>
      </c>
    </row>
    <row r="9" spans="1:22" ht="12" thickBot="1" x14ac:dyDescent="0.25">
      <c r="G9" s="21"/>
      <c r="H9" s="21"/>
      <c r="I9" s="21"/>
      <c r="J9" s="21"/>
      <c r="K9" s="21"/>
      <c r="L9" s="21"/>
      <c r="M9" s="21"/>
      <c r="N9" s="21"/>
      <c r="O9" s="21"/>
      <c r="P9" s="21"/>
      <c r="Q9" s="21"/>
      <c r="R9" s="21"/>
      <c r="S9" s="21"/>
      <c r="T9" s="87" t="s">
        <v>131</v>
      </c>
      <c r="U9" s="363" t="s">
        <v>273</v>
      </c>
      <c r="V9" s="362"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3" width="9.140625" style="169"/>
    <col min="14" max="14" width="11.140625" style="169" bestFit="1" customWidth="1"/>
    <col min="15" max="15" width="15.42578125" style="169" bestFit="1" customWidth="1"/>
    <col min="16" max="18" width="9.140625" style="169"/>
    <col min="19" max="19" width="10.140625" style="169" customWidth="1"/>
    <col min="20"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27" t="s">
        <v>310</v>
      </c>
      <c r="K1" s="203"/>
      <c r="L1" s="203"/>
      <c r="M1" s="203"/>
      <c r="N1" s="203"/>
      <c r="O1" s="203"/>
      <c r="P1" s="203"/>
      <c r="Q1" s="203"/>
      <c r="R1" s="203"/>
      <c r="S1" s="203"/>
      <c r="T1" s="203"/>
      <c r="U1" s="203"/>
      <c r="V1" s="203"/>
      <c r="W1" s="203"/>
      <c r="X1" s="203"/>
      <c r="Y1" s="203"/>
      <c r="Z1" s="200"/>
    </row>
    <row r="2" spans="1:26" ht="14.25" thickBot="1" x14ac:dyDescent="0.3">
      <c r="J2" s="293"/>
      <c r="K2" s="141"/>
      <c r="L2" s="141"/>
      <c r="M2" s="141"/>
      <c r="N2" s="141"/>
      <c r="O2" s="148" t="s">
        <v>235</v>
      </c>
      <c r="P2" s="141"/>
      <c r="Q2" s="141"/>
      <c r="R2" s="141"/>
      <c r="S2" s="141"/>
      <c r="T2" s="141"/>
      <c r="U2" s="257"/>
      <c r="V2" s="257"/>
      <c r="W2" s="257"/>
      <c r="X2" s="325" t="s">
        <v>254</v>
      </c>
      <c r="Y2" s="148" t="s">
        <v>147</v>
      </c>
      <c r="Z2" s="53"/>
    </row>
    <row r="3" spans="1:26" x14ac:dyDescent="0.25">
      <c r="A3" s="220" t="s">
        <v>206</v>
      </c>
      <c r="B3" s="194"/>
      <c r="C3" s="194"/>
      <c r="D3" s="194"/>
      <c r="E3" s="192"/>
      <c r="F3" s="193"/>
      <c r="G3" s="192"/>
      <c r="H3" s="191"/>
      <c r="J3" s="126"/>
      <c r="K3" s="257"/>
      <c r="L3" s="141"/>
      <c r="M3" s="141"/>
      <c r="N3" s="141"/>
      <c r="O3" s="141"/>
      <c r="P3" s="141"/>
      <c r="Q3" s="141"/>
      <c r="R3" s="141"/>
      <c r="S3" s="141"/>
      <c r="T3" s="141"/>
      <c r="U3" s="257"/>
      <c r="V3" s="257"/>
      <c r="W3" s="257"/>
      <c r="X3" s="141"/>
      <c r="Y3" s="288">
        <f>_xll.ohTrigger(Y5:Y37)</f>
        <v>0</v>
      </c>
      <c r="Z3" s="221"/>
    </row>
    <row r="4" spans="1:26" ht="22.5" x14ac:dyDescent="0.25">
      <c r="A4" s="180"/>
      <c r="B4" s="190"/>
      <c r="C4" s="190"/>
      <c r="D4" s="189"/>
      <c r="E4" s="188" t="str">
        <f>Currency&amp;"_010_"&amp;"OIS.xml"</f>
        <v>EUR_010_OIS.xml</v>
      </c>
      <c r="F4" s="187">
        <f ca="1">IF(Serialize,_xll.ohObjectSave(_xll.ohPack(F5:F77),SerializationPath&amp;E4,FileOverwrite,Serialize),"---")</f>
        <v>48</v>
      </c>
      <c r="G4" s="186" t="str">
        <f ca="1">_xll.ohRangeRetrieveError(F4)</f>
        <v/>
      </c>
      <c r="H4" s="175"/>
      <c r="J4" s="126"/>
      <c r="K4" s="383"/>
      <c r="L4" s="198"/>
      <c r="M4" s="198"/>
      <c r="N4" s="198"/>
      <c r="O4" s="287" t="e">
        <f ca="1">_xll.RData(O5:O40,P4:S4,,ReutersRtMode,,P5)</f>
        <v>#NAME?</v>
      </c>
      <c r="P4" s="324" t="s">
        <v>258</v>
      </c>
      <c r="Q4" s="324" t="s">
        <v>225</v>
      </c>
      <c r="R4" s="324" t="s">
        <v>240</v>
      </c>
      <c r="S4" s="324" t="s">
        <v>257</v>
      </c>
      <c r="T4" s="283" t="s">
        <v>256</v>
      </c>
      <c r="U4" s="257"/>
      <c r="V4" s="285" t="s">
        <v>252</v>
      </c>
      <c r="W4" s="257"/>
      <c r="X4" s="434"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EUREONSW_Quote#0000</v>
      </c>
      <c r="G5" s="176" t="str">
        <f>_xll.ohRangeRetrieveError(F5)</f>
        <v/>
      </c>
      <c r="H5" s="175"/>
      <c r="J5" s="126"/>
      <c r="K5" s="402" t="s">
        <v>48</v>
      </c>
      <c r="L5" s="309" t="s">
        <v>193</v>
      </c>
      <c r="M5" s="309"/>
      <c r="N5" s="307" t="str">
        <f>Currency&amp;$L5&amp;$K5&amp;$M5</f>
        <v>EUREONSW</v>
      </c>
      <c r="O5" s="307" t="str">
        <f t="shared" ref="O5:O40" si="1">N5&amp;"="&amp;VLOOKUP(Contributor,ContributorTable,2,FALSE)</f>
        <v>EUREONSW=ICAP</v>
      </c>
      <c r="P5" s="263">
        <v>5.8000000000000003E-2</v>
      </c>
      <c r="Q5" s="263">
        <v>0.158</v>
      </c>
      <c r="R5" s="263">
        <v>0</v>
      </c>
      <c r="S5" s="263">
        <v>0</v>
      </c>
      <c r="T5" s="266">
        <f t="shared" ref="T5:T40" si="2">AVERAGE($P5,$Q5)</f>
        <v>0.108</v>
      </c>
      <c r="U5" s="257"/>
      <c r="V5" s="277">
        <v>0.108</v>
      </c>
      <c r="W5" s="257"/>
      <c r="X5" s="343">
        <f t="array" ref="X5:X40">QuoteLive2</f>
        <v>0.108</v>
      </c>
      <c r="Y5" s="274" t="e">
        <f>_xll.qlSimpleQuoteSetValue(F5,X5/100,Trigger)</f>
        <v>#N/A</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EUREON2W_Quote#0000</v>
      </c>
      <c r="G6" s="176" t="str">
        <f>_xll.ohRangeRetrieveError(F6)</f>
        <v/>
      </c>
      <c r="H6" s="175"/>
      <c r="J6" s="126"/>
      <c r="K6" s="402" t="s">
        <v>47</v>
      </c>
      <c r="L6" s="309" t="s">
        <v>193</v>
      </c>
      <c r="M6" s="309"/>
      <c r="N6" s="307" t="str">
        <f t="shared" ref="N6:N40" si="3">Currency&amp;$L6&amp;$M6&amp;$K6</f>
        <v>EUREON2W</v>
      </c>
      <c r="O6" s="307" t="str">
        <f t="shared" si="1"/>
        <v>EUREON2W=ICAP</v>
      </c>
      <c r="P6" s="263">
        <v>5.6000000000000001E-2</v>
      </c>
      <c r="Q6" s="263">
        <v>0.156</v>
      </c>
      <c r="R6" s="263">
        <v>0</v>
      </c>
      <c r="S6" s="263">
        <v>0</v>
      </c>
      <c r="T6" s="266">
        <f t="shared" si="2"/>
        <v>0.106</v>
      </c>
      <c r="U6" s="257"/>
      <c r="V6" s="265">
        <v>0.106</v>
      </c>
      <c r="W6" s="257"/>
      <c r="X6" s="336">
        <v>0.106</v>
      </c>
      <c r="Y6" s="262" t="e">
        <f>_xll.qlSimpleQuoteSetValue(F6,X6/100,Trigger)</f>
        <v>#N/A</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EUREON3W_Quote#0000</v>
      </c>
      <c r="G7" s="176" t="str">
        <f>_xll.ohRangeRetrieveError(F7)</f>
        <v/>
      </c>
      <c r="H7" s="175"/>
      <c r="J7" s="126"/>
      <c r="K7" s="402" t="s">
        <v>46</v>
      </c>
      <c r="L7" s="309" t="s">
        <v>193</v>
      </c>
      <c r="M7" s="309"/>
      <c r="N7" s="307" t="str">
        <f t="shared" si="3"/>
        <v>EUREON3W</v>
      </c>
      <c r="O7" s="307" t="str">
        <f t="shared" si="1"/>
        <v>EUREON3W=ICAP</v>
      </c>
      <c r="P7" s="263">
        <v>5.6000000000000001E-2</v>
      </c>
      <c r="Q7" s="263">
        <v>0.156</v>
      </c>
      <c r="R7" s="263">
        <v>0</v>
      </c>
      <c r="S7" s="263">
        <v>0</v>
      </c>
      <c r="T7" s="266">
        <f t="shared" si="2"/>
        <v>0.106</v>
      </c>
      <c r="U7" s="257"/>
      <c r="V7" s="265">
        <v>0.106</v>
      </c>
      <c r="W7" s="257"/>
      <c r="X7" s="336">
        <v>0.106</v>
      </c>
      <c r="Y7" s="262" t="e">
        <f>_xll.qlSimpleQuoteSetValue(F7,X7/100,Trigger)</f>
        <v>#N/A</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EUREON1M_Quote#0000</v>
      </c>
      <c r="G8" s="176" t="str">
        <f>_xll.ohRangeRetrieveError(F8)</f>
        <v/>
      </c>
      <c r="H8" s="175"/>
      <c r="J8" s="126"/>
      <c r="K8" s="402" t="s">
        <v>45</v>
      </c>
      <c r="L8" s="309" t="s">
        <v>193</v>
      </c>
      <c r="M8" s="309"/>
      <c r="N8" s="307" t="str">
        <f t="shared" si="3"/>
        <v>EUREON1M</v>
      </c>
      <c r="O8" s="307" t="str">
        <f t="shared" si="1"/>
        <v>EUREON1M=ICAP</v>
      </c>
      <c r="P8" s="263">
        <v>8.1000000000000003E-2</v>
      </c>
      <c r="Q8" s="263">
        <v>0.13100000000000001</v>
      </c>
      <c r="R8" s="263">
        <v>0</v>
      </c>
      <c r="S8" s="263">
        <v>0</v>
      </c>
      <c r="T8" s="266">
        <f t="shared" si="2"/>
        <v>0.10600000000000001</v>
      </c>
      <c r="U8" s="257"/>
      <c r="V8" s="265">
        <v>0.10600000000000001</v>
      </c>
      <c r="W8" s="257"/>
      <c r="X8" s="336">
        <v>0.10600000000000001</v>
      </c>
      <c r="Y8" s="262" t="e">
        <f>_xll.qlSimpleQuoteSetValue(F8,X8/100,Trigger)</f>
        <v>#N/A</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EUREON2M_Quote#0000</v>
      </c>
      <c r="G9" s="176" t="str">
        <f>_xll.ohRangeRetrieveError(F9)</f>
        <v/>
      </c>
      <c r="H9" s="175"/>
      <c r="J9" s="126"/>
      <c r="K9" s="402" t="s">
        <v>44</v>
      </c>
      <c r="L9" s="309" t="s">
        <v>193</v>
      </c>
      <c r="M9" s="309"/>
      <c r="N9" s="307" t="str">
        <f t="shared" si="3"/>
        <v>EUREON2M</v>
      </c>
      <c r="O9" s="307" t="str">
        <f t="shared" si="1"/>
        <v>EUREON2M=ICAP</v>
      </c>
      <c r="P9" s="263">
        <v>8.5999999999999993E-2</v>
      </c>
      <c r="Q9" s="263">
        <v>0.13600000000000001</v>
      </c>
      <c r="R9" s="263">
        <v>0</v>
      </c>
      <c r="S9" s="263">
        <v>0</v>
      </c>
      <c r="T9" s="266">
        <f t="shared" si="2"/>
        <v>0.111</v>
      </c>
      <c r="U9" s="257"/>
      <c r="V9" s="265">
        <v>0.111</v>
      </c>
      <c r="W9" s="257"/>
      <c r="X9" s="336">
        <v>0.111</v>
      </c>
      <c r="Y9" s="262" t="e">
        <f>_xll.qlSimpleQuoteSetValue(F9,X9/100,Trigger)</f>
        <v>#N/A</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EUREON3M_Quote#0000</v>
      </c>
      <c r="G10" s="176" t="str">
        <f>_xll.ohRangeRetrieveError(F10)</f>
        <v/>
      </c>
      <c r="H10" s="175"/>
      <c r="J10" s="126"/>
      <c r="K10" s="402" t="s">
        <v>43</v>
      </c>
      <c r="L10" s="309" t="s">
        <v>193</v>
      </c>
      <c r="M10" s="309"/>
      <c r="N10" s="307" t="str">
        <f t="shared" si="3"/>
        <v>EUREON3M</v>
      </c>
      <c r="O10" s="307" t="str">
        <f t="shared" si="1"/>
        <v>EUREON3M=ICAP</v>
      </c>
      <c r="P10" s="263">
        <v>0.09</v>
      </c>
      <c r="Q10" s="263">
        <v>0.14000000000000001</v>
      </c>
      <c r="R10" s="263">
        <v>0</v>
      </c>
      <c r="S10" s="263">
        <v>0</v>
      </c>
      <c r="T10" s="266">
        <f t="shared" si="2"/>
        <v>0.115</v>
      </c>
      <c r="U10" s="257"/>
      <c r="V10" s="265">
        <v>0.115</v>
      </c>
      <c r="W10" s="257"/>
      <c r="X10" s="336">
        <v>0.115</v>
      </c>
      <c r="Y10" s="262" t="e">
        <f>_xll.qlSimpleQuoteSetValue(F10,X10/100,Trigger)</f>
        <v>#N/A</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EUREON4M_Quote#0000</v>
      </c>
      <c r="G11" s="176" t="str">
        <f>_xll.ohRangeRetrieveError(F11)</f>
        <v/>
      </c>
      <c r="H11" s="175"/>
      <c r="J11" s="126"/>
      <c r="K11" s="402" t="s">
        <v>42</v>
      </c>
      <c r="L11" s="309" t="s">
        <v>193</v>
      </c>
      <c r="M11" s="309"/>
      <c r="N11" s="307" t="str">
        <f t="shared" si="3"/>
        <v>EUREON4M</v>
      </c>
      <c r="O11" s="307" t="str">
        <f t="shared" si="1"/>
        <v>EUREON4M=ICAP</v>
      </c>
      <c r="P11" s="263">
        <v>9.1999999999999998E-2</v>
      </c>
      <c r="Q11" s="263">
        <v>0.14199999999999999</v>
      </c>
      <c r="R11" s="263">
        <v>0</v>
      </c>
      <c r="S11" s="263">
        <v>0</v>
      </c>
      <c r="T11" s="266">
        <f t="shared" si="2"/>
        <v>0.11699999999999999</v>
      </c>
      <c r="U11" s="257"/>
      <c r="V11" s="265">
        <v>0.11699999999999999</v>
      </c>
      <c r="W11" s="257"/>
      <c r="X11" s="336">
        <v>0.11699999999999999</v>
      </c>
      <c r="Y11" s="262" t="e">
        <f>_xll.qlSimpleQuoteSetValue(F11,X11/100,Trigger)</f>
        <v>#N/A</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EUREON5M_Quote#0000</v>
      </c>
      <c r="G12" s="176" t="str">
        <f>_xll.ohRangeRetrieveError(F12)</f>
        <v/>
      </c>
      <c r="H12" s="175"/>
      <c r="J12" s="126"/>
      <c r="K12" s="402" t="s">
        <v>41</v>
      </c>
      <c r="L12" s="309" t="s">
        <v>193</v>
      </c>
      <c r="M12" s="309"/>
      <c r="N12" s="307" t="str">
        <f t="shared" si="3"/>
        <v>EUREON5M</v>
      </c>
      <c r="O12" s="307" t="str">
        <f t="shared" si="1"/>
        <v>EUREON5M=ICAP</v>
      </c>
      <c r="P12" s="263">
        <v>9.4E-2</v>
      </c>
      <c r="Q12" s="263">
        <v>0.14399999999999999</v>
      </c>
      <c r="R12" s="263">
        <v>0</v>
      </c>
      <c r="S12" s="263">
        <v>0</v>
      </c>
      <c r="T12" s="266">
        <f t="shared" si="2"/>
        <v>0.11899999999999999</v>
      </c>
      <c r="U12" s="257"/>
      <c r="V12" s="265">
        <v>0.11899999999999999</v>
      </c>
      <c r="W12" s="257"/>
      <c r="X12" s="336">
        <v>0.11899999999999999</v>
      </c>
      <c r="Y12" s="262" t="e">
        <f>_xll.qlSimpleQuoteSetValue(F12,X12/100,Trigger)</f>
        <v>#N/A</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EUREON6M_Quote#0000</v>
      </c>
      <c r="G13" s="176" t="str">
        <f>_xll.ohRangeRetrieveError(F13)</f>
        <v/>
      </c>
      <c r="H13" s="175"/>
      <c r="J13" s="126"/>
      <c r="K13" s="402" t="s">
        <v>40</v>
      </c>
      <c r="L13" s="309" t="s">
        <v>193</v>
      </c>
      <c r="M13" s="309"/>
      <c r="N13" s="307" t="str">
        <f t="shared" si="3"/>
        <v>EUREON6M</v>
      </c>
      <c r="O13" s="307" t="str">
        <f t="shared" si="1"/>
        <v>EUREON6M=ICAP</v>
      </c>
      <c r="P13" s="263">
        <v>9.9000000000000005E-2</v>
      </c>
      <c r="Q13" s="263">
        <v>0.14899999999999999</v>
      </c>
      <c r="R13" s="263">
        <v>0</v>
      </c>
      <c r="S13" s="263">
        <v>0</v>
      </c>
      <c r="T13" s="266">
        <f t="shared" si="2"/>
        <v>0.124</v>
      </c>
      <c r="U13" s="257"/>
      <c r="V13" s="265">
        <v>0.124</v>
      </c>
      <c r="W13" s="257"/>
      <c r="X13" s="336">
        <v>0.124</v>
      </c>
      <c r="Y13" s="262" t="e">
        <f>_xll.qlSimpleQuoteSetValue(F13,X13/100,Trigger)</f>
        <v>#N/A</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EUREON7M_Quote#0000</v>
      </c>
      <c r="G14" s="176" t="str">
        <f>_xll.ohRangeRetrieveError(F14)</f>
        <v/>
      </c>
      <c r="H14" s="175"/>
      <c r="J14" s="126"/>
      <c r="K14" s="402" t="s">
        <v>39</v>
      </c>
      <c r="L14" s="309" t="s">
        <v>193</v>
      </c>
      <c r="M14" s="309"/>
      <c r="N14" s="307" t="str">
        <f t="shared" si="3"/>
        <v>EUREON7M</v>
      </c>
      <c r="O14" s="307" t="str">
        <f t="shared" si="1"/>
        <v>EUREON7M=ICAP</v>
      </c>
      <c r="P14" s="263">
        <v>0.10299999999999999</v>
      </c>
      <c r="Q14" s="263">
        <v>0.153</v>
      </c>
      <c r="R14" s="263">
        <v>0</v>
      </c>
      <c r="S14" s="263">
        <v>0</v>
      </c>
      <c r="T14" s="266">
        <f t="shared" si="2"/>
        <v>0.128</v>
      </c>
      <c r="U14" s="257"/>
      <c r="V14" s="265">
        <v>0.128</v>
      </c>
      <c r="W14" s="257"/>
      <c r="X14" s="336">
        <v>0.128</v>
      </c>
      <c r="Y14" s="262" t="e">
        <f>_xll.qlSimpleQuoteSetValue(F14,X14/100,Trigger)</f>
        <v>#N/A</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EUREON8M_Quote#0000</v>
      </c>
      <c r="G15" s="176" t="str">
        <f>_xll.ohRangeRetrieveError(F15)</f>
        <v/>
      </c>
      <c r="H15" s="175"/>
      <c r="J15" s="126"/>
      <c r="K15" s="402" t="s">
        <v>38</v>
      </c>
      <c r="L15" s="309" t="s">
        <v>193</v>
      </c>
      <c r="M15" s="309"/>
      <c r="N15" s="307" t="str">
        <f t="shared" si="3"/>
        <v>EUREON8M</v>
      </c>
      <c r="O15" s="307" t="str">
        <f t="shared" si="1"/>
        <v>EUREON8M=ICAP</v>
      </c>
      <c r="P15" s="263">
        <v>0.108</v>
      </c>
      <c r="Q15" s="263">
        <v>0.158</v>
      </c>
      <c r="R15" s="263">
        <v>0</v>
      </c>
      <c r="S15" s="263">
        <v>0</v>
      </c>
      <c r="T15" s="266">
        <f t="shared" si="2"/>
        <v>0.13300000000000001</v>
      </c>
      <c r="U15" s="257"/>
      <c r="V15" s="265">
        <v>0.13300000000000001</v>
      </c>
      <c r="W15" s="257"/>
      <c r="X15" s="336">
        <v>0.13300000000000001</v>
      </c>
      <c r="Y15" s="262" t="e">
        <f>_xll.qlSimpleQuoteSetValue(F15,X15/100,Trigger)</f>
        <v>#N/A</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EUREON9M_Quote#0000</v>
      </c>
      <c r="G16" s="176" t="str">
        <f>_xll.ohRangeRetrieveError(F16)</f>
        <v/>
      </c>
      <c r="H16" s="175"/>
      <c r="J16" s="126"/>
      <c r="K16" s="402" t="s">
        <v>37</v>
      </c>
      <c r="L16" s="309" t="s">
        <v>193</v>
      </c>
      <c r="M16" s="309"/>
      <c r="N16" s="307" t="str">
        <f t="shared" si="3"/>
        <v>EUREON9M</v>
      </c>
      <c r="O16" s="307" t="str">
        <f t="shared" si="1"/>
        <v>EUREON9M=ICAP</v>
      </c>
      <c r="P16" s="263">
        <v>0.11600000000000001</v>
      </c>
      <c r="Q16" s="263">
        <v>0.16600000000000001</v>
      </c>
      <c r="R16" s="263">
        <v>0</v>
      </c>
      <c r="S16" s="263">
        <v>0</v>
      </c>
      <c r="T16" s="266">
        <f t="shared" si="2"/>
        <v>0.14100000000000001</v>
      </c>
      <c r="U16" s="257"/>
      <c r="V16" s="265">
        <v>0.14100000000000001</v>
      </c>
      <c r="W16" s="257"/>
      <c r="X16" s="336">
        <v>0.14100000000000001</v>
      </c>
      <c r="Y16" s="262" t="e">
        <f>_xll.qlSimpleQuoteSetValue(F16,X16/100,Trigger)</f>
        <v>#N/A</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EUREON10M_Quote#0000</v>
      </c>
      <c r="G17" s="176" t="str">
        <f>_xll.ohRangeRetrieveError(F17)</f>
        <v/>
      </c>
      <c r="H17" s="175"/>
      <c r="J17" s="126"/>
      <c r="K17" s="402" t="s">
        <v>36</v>
      </c>
      <c r="L17" s="309" t="s">
        <v>193</v>
      </c>
      <c r="M17" s="309"/>
      <c r="N17" s="307" t="str">
        <f t="shared" si="3"/>
        <v>EUREON10M</v>
      </c>
      <c r="O17" s="307" t="str">
        <f t="shared" si="1"/>
        <v>EUREON10M=ICAP</v>
      </c>
      <c r="P17" s="263">
        <v>0.122</v>
      </c>
      <c r="Q17" s="263">
        <v>0.17199999999999999</v>
      </c>
      <c r="R17" s="263">
        <v>0</v>
      </c>
      <c r="S17" s="263">
        <v>0</v>
      </c>
      <c r="T17" s="266">
        <f t="shared" si="2"/>
        <v>0.14699999999999999</v>
      </c>
      <c r="U17" s="257"/>
      <c r="V17" s="265">
        <v>0.14799999999999999</v>
      </c>
      <c r="W17" s="257"/>
      <c r="X17" s="336">
        <v>0.14699999999999999</v>
      </c>
      <c r="Y17" s="262" t="e">
        <f>_xll.qlSimpleQuoteSetValue(F17,X17/100,Trigger)</f>
        <v>#N/A</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EUREON11M_Quote#0000</v>
      </c>
      <c r="G18" s="176" t="str">
        <f>_xll.ohRangeRetrieveError(F18)</f>
        <v/>
      </c>
      <c r="H18" s="175"/>
      <c r="J18" s="126"/>
      <c r="K18" s="402" t="s">
        <v>35</v>
      </c>
      <c r="L18" s="309" t="s">
        <v>193</v>
      </c>
      <c r="M18" s="309"/>
      <c r="N18" s="307" t="str">
        <f t="shared" si="3"/>
        <v>EUREON11M</v>
      </c>
      <c r="O18" s="307" t="str">
        <f t="shared" si="1"/>
        <v>EUREON11M=ICAP</v>
      </c>
      <c r="P18" s="263">
        <v>0.13</v>
      </c>
      <c r="Q18" s="263">
        <v>0.18</v>
      </c>
      <c r="R18" s="263">
        <v>0</v>
      </c>
      <c r="S18" s="263">
        <v>0</v>
      </c>
      <c r="T18" s="266">
        <f t="shared" si="2"/>
        <v>0.155</v>
      </c>
      <c r="U18" s="257"/>
      <c r="V18" s="265">
        <v>0.155</v>
      </c>
      <c r="W18" s="257"/>
      <c r="X18" s="336">
        <v>0.155</v>
      </c>
      <c r="Y18" s="262" t="e">
        <f>_xll.qlSimpleQuoteSetValue(F18,X18/100,Trigger)</f>
        <v>#N/A</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EUREON1Y_Quote#0000</v>
      </c>
      <c r="G19" s="176" t="str">
        <f>_xll.ohRangeRetrieveError(F19)</f>
        <v/>
      </c>
      <c r="H19" s="175"/>
      <c r="J19" s="126"/>
      <c r="K19" s="402" t="s">
        <v>34</v>
      </c>
      <c r="L19" s="309" t="s">
        <v>193</v>
      </c>
      <c r="M19" s="309"/>
      <c r="N19" s="307" t="str">
        <f t="shared" si="3"/>
        <v>EUREON1Y</v>
      </c>
      <c r="O19" s="307" t="str">
        <f t="shared" si="1"/>
        <v>EUREON1Y=ICAP</v>
      </c>
      <c r="P19" s="263">
        <v>0.127</v>
      </c>
      <c r="Q19" s="263">
        <v>0.19700000000000001</v>
      </c>
      <c r="R19" s="263">
        <v>0</v>
      </c>
      <c r="S19" s="263">
        <v>0</v>
      </c>
      <c r="T19" s="266">
        <f t="shared" si="2"/>
        <v>0.16200000000000001</v>
      </c>
      <c r="U19" s="257"/>
      <c r="V19" s="265">
        <v>0.16200000000000001</v>
      </c>
      <c r="W19" s="257"/>
      <c r="X19" s="336">
        <v>0.16200000000000001</v>
      </c>
      <c r="Y19" s="262" t="e">
        <f>_xll.qlSimpleQuoteSetValue(F19,X19/100,Trigger)</f>
        <v>#N/A</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EUREON15M_Quote#0000</v>
      </c>
      <c r="G20" s="176" t="str">
        <f>_xll.ohRangeRetrieveError(F20)</f>
        <v/>
      </c>
      <c r="H20" s="175"/>
      <c r="J20" s="126"/>
      <c r="K20" s="402" t="s">
        <v>140</v>
      </c>
      <c r="L20" s="309" t="s">
        <v>193</v>
      </c>
      <c r="M20" s="309"/>
      <c r="N20" s="307" t="str">
        <f t="shared" si="3"/>
        <v>EUREON15M</v>
      </c>
      <c r="O20" s="307" t="str">
        <f t="shared" si="1"/>
        <v>EUREON15M=ICAP</v>
      </c>
      <c r="P20" s="263">
        <v>0.16</v>
      </c>
      <c r="Q20" s="263">
        <v>0.21</v>
      </c>
      <c r="R20" s="263">
        <v>0</v>
      </c>
      <c r="S20" s="263">
        <v>0</v>
      </c>
      <c r="T20" s="266">
        <f t="shared" si="2"/>
        <v>0.185</v>
      </c>
      <c r="U20" s="257"/>
      <c r="V20" s="265">
        <v>0.184</v>
      </c>
      <c r="W20" s="257"/>
      <c r="X20" s="336">
        <v>0.185</v>
      </c>
      <c r="Y20" s="262" t="e">
        <f>_xll.qlSimpleQuoteSetValue(F20,X20/100,Trigger)</f>
        <v>#N/A</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EUREON18M_Quote#0000</v>
      </c>
      <c r="G21" s="176" t="str">
        <f>_xll.ohRangeRetrieveError(F21)</f>
        <v/>
      </c>
      <c r="H21" s="175"/>
      <c r="J21" s="126"/>
      <c r="K21" s="402" t="s">
        <v>139</v>
      </c>
      <c r="L21" s="309" t="s">
        <v>193</v>
      </c>
      <c r="M21" s="309"/>
      <c r="N21" s="307" t="str">
        <f t="shared" si="3"/>
        <v>EUREON18M</v>
      </c>
      <c r="O21" s="307" t="str">
        <f t="shared" si="1"/>
        <v>EUREON18M=ICAP</v>
      </c>
      <c r="P21" s="263">
        <v>0.184</v>
      </c>
      <c r="Q21" s="263">
        <v>0.23400000000000001</v>
      </c>
      <c r="R21" s="263">
        <v>0</v>
      </c>
      <c r="S21" s="263">
        <v>0</v>
      </c>
      <c r="T21" s="266">
        <f t="shared" si="2"/>
        <v>0.20900000000000002</v>
      </c>
      <c r="U21" s="257"/>
      <c r="V21" s="265">
        <v>0.20700000000000002</v>
      </c>
      <c r="W21" s="257"/>
      <c r="X21" s="336">
        <v>0.20900000000000002</v>
      </c>
      <c r="Y21" s="262" t="e">
        <f>_xll.qlSimpleQuoteSetValue(F21,X21/100,Trigger)</f>
        <v>#N/A</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EUREON21M_Quote#0000</v>
      </c>
      <c r="G22" s="176" t="str">
        <f>_xll.ohRangeRetrieveError(F22)</f>
        <v/>
      </c>
      <c r="H22" s="175"/>
      <c r="J22" s="126"/>
      <c r="K22" s="402" t="s">
        <v>138</v>
      </c>
      <c r="L22" s="309" t="s">
        <v>193</v>
      </c>
      <c r="M22" s="309"/>
      <c r="N22" s="307" t="str">
        <f t="shared" si="3"/>
        <v>EUREON21M</v>
      </c>
      <c r="O22" s="307" t="str">
        <f t="shared" si="1"/>
        <v>EUREON21M=ICAP</v>
      </c>
      <c r="P22" s="263">
        <v>0.21</v>
      </c>
      <c r="Q22" s="263">
        <v>0.26</v>
      </c>
      <c r="R22" s="263">
        <v>0</v>
      </c>
      <c r="S22" s="263">
        <v>0</v>
      </c>
      <c r="T22" s="266">
        <f t="shared" si="2"/>
        <v>0.23499999999999999</v>
      </c>
      <c r="U22" s="257"/>
      <c r="V22" s="265">
        <v>0.23299999999999998</v>
      </c>
      <c r="W22" s="257"/>
      <c r="X22" s="336">
        <v>0.23499999999999999</v>
      </c>
      <c r="Y22" s="262" t="e">
        <f>_xll.qlSimpleQuoteSetValue(F22,X22/100,Trigger)</f>
        <v>#N/A</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EUREON2Y_Quote#0000</v>
      </c>
      <c r="G23" s="176" t="str">
        <f>_xll.ohRangeRetrieveError(F23)</f>
        <v/>
      </c>
      <c r="H23" s="175"/>
      <c r="J23" s="126"/>
      <c r="K23" s="402" t="s">
        <v>115</v>
      </c>
      <c r="L23" s="309" t="s">
        <v>193</v>
      </c>
      <c r="M23" s="309"/>
      <c r="N23" s="307" t="str">
        <f t="shared" si="3"/>
        <v>EUREON2Y</v>
      </c>
      <c r="O23" s="307" t="str">
        <f t="shared" si="1"/>
        <v>EUREON2Y=ICAP</v>
      </c>
      <c r="P23" s="263">
        <v>0.22800000000000001</v>
      </c>
      <c r="Q23" s="263">
        <v>0.29799999999999999</v>
      </c>
      <c r="R23" s="263">
        <v>0</v>
      </c>
      <c r="S23" s="263">
        <v>0</v>
      </c>
      <c r="T23" s="266">
        <f t="shared" si="2"/>
        <v>0.26300000000000001</v>
      </c>
      <c r="U23" s="257"/>
      <c r="V23" s="265">
        <v>0.26100000000000001</v>
      </c>
      <c r="W23" s="257"/>
      <c r="X23" s="336">
        <v>0.26300000000000001</v>
      </c>
      <c r="Y23" s="262" t="e">
        <f>_xll.qlSimpleQuoteSetValue(F23,X23/100,Trigger)</f>
        <v>#N/A</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EUREON3Y_Quote#0000</v>
      </c>
      <c r="G24" s="176" t="str">
        <f>_xll.ohRangeRetrieveError(F24)</f>
        <v/>
      </c>
      <c r="H24" s="175"/>
      <c r="J24" s="126"/>
      <c r="K24" s="402" t="s">
        <v>114</v>
      </c>
      <c r="L24" s="309" t="s">
        <v>193</v>
      </c>
      <c r="M24" s="309"/>
      <c r="N24" s="307" t="str">
        <f t="shared" si="3"/>
        <v>EUREON3Y</v>
      </c>
      <c r="O24" s="307" t="str">
        <f t="shared" si="1"/>
        <v>EUREON3Y=ICAP</v>
      </c>
      <c r="P24" s="263">
        <v>0.38</v>
      </c>
      <c r="Q24" s="263">
        <v>0.45</v>
      </c>
      <c r="R24" s="263">
        <v>0</v>
      </c>
      <c r="S24" s="263">
        <v>0</v>
      </c>
      <c r="T24" s="266">
        <f t="shared" si="2"/>
        <v>0.41500000000000004</v>
      </c>
      <c r="U24" s="257"/>
      <c r="V24" s="265">
        <v>0.41300000000000003</v>
      </c>
      <c r="W24" s="257"/>
      <c r="X24" s="336">
        <v>0.41500000000000004</v>
      </c>
      <c r="Y24" s="262" t="e">
        <f>_xll.qlSimpleQuoteSetValue(F24,X24/100,Trigger)</f>
        <v>#N/A</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EUREON4Y_Quote#0000</v>
      </c>
      <c r="G25" s="176" t="str">
        <f>_xll.ohRangeRetrieveError(F25)</f>
        <v/>
      </c>
      <c r="H25" s="175"/>
      <c r="J25" s="126"/>
      <c r="K25" s="402" t="s">
        <v>113</v>
      </c>
      <c r="L25" s="309" t="s">
        <v>193</v>
      </c>
      <c r="M25" s="309"/>
      <c r="N25" s="307" t="str">
        <f t="shared" si="3"/>
        <v>EUREON4Y</v>
      </c>
      <c r="O25" s="307" t="str">
        <f t="shared" si="1"/>
        <v>EUREON4Y=ICAP</v>
      </c>
      <c r="P25" s="263">
        <v>0.58899999999999997</v>
      </c>
      <c r="Q25" s="263">
        <v>0.65900000000000003</v>
      </c>
      <c r="R25" s="263">
        <v>0</v>
      </c>
      <c r="S25" s="263">
        <v>0</v>
      </c>
      <c r="T25" s="266">
        <f t="shared" si="2"/>
        <v>0.624</v>
      </c>
      <c r="U25" s="257"/>
      <c r="V25" s="265">
        <v>0.622</v>
      </c>
      <c r="W25" s="257"/>
      <c r="X25" s="336">
        <v>0.624</v>
      </c>
      <c r="Y25" s="262" t="e">
        <f>_xll.qlSimpleQuoteSetValue(F25,X25/100,Trigger)</f>
        <v>#N/A</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EUREON5Y_Quote#0000</v>
      </c>
      <c r="G26" s="176" t="str">
        <f>_xll.ohRangeRetrieveError(F26)</f>
        <v/>
      </c>
      <c r="H26" s="175"/>
      <c r="J26" s="126"/>
      <c r="K26" s="402" t="s">
        <v>112</v>
      </c>
      <c r="L26" s="309" t="s">
        <v>193</v>
      </c>
      <c r="M26" s="309"/>
      <c r="N26" s="307" t="str">
        <f t="shared" si="3"/>
        <v>EUREON5Y</v>
      </c>
      <c r="O26" s="307" t="str">
        <f t="shared" si="1"/>
        <v>EUREON5Y=ICAP</v>
      </c>
      <c r="P26" s="263">
        <v>0.81399999999999995</v>
      </c>
      <c r="Q26" s="263">
        <v>0.88400000000000001</v>
      </c>
      <c r="R26" s="263">
        <v>0</v>
      </c>
      <c r="S26" s="263">
        <v>0</v>
      </c>
      <c r="T26" s="266">
        <f t="shared" si="2"/>
        <v>0.84899999999999998</v>
      </c>
      <c r="U26" s="257"/>
      <c r="V26" s="265">
        <v>0.84899999999999998</v>
      </c>
      <c r="W26" s="257"/>
      <c r="X26" s="336">
        <v>0.84899999999999998</v>
      </c>
      <c r="Y26" s="262" t="e">
        <f>_xll.qlSimpleQuoteSetValue(F26,X26/100,Trigger)</f>
        <v>#N/A</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EUREON6Y_Quote#0000</v>
      </c>
      <c r="G27" s="176" t="str">
        <f>_xll.ohRangeRetrieveError(F27)</f>
        <v/>
      </c>
      <c r="H27" s="175"/>
      <c r="J27" s="126"/>
      <c r="K27" s="402" t="s">
        <v>111</v>
      </c>
      <c r="L27" s="309" t="s">
        <v>193</v>
      </c>
      <c r="M27" s="309"/>
      <c r="N27" s="307" t="str">
        <f t="shared" si="3"/>
        <v>EUREON6Y</v>
      </c>
      <c r="O27" s="307" t="str">
        <f t="shared" si="1"/>
        <v>EUREON6Y=ICAP</v>
      </c>
      <c r="P27" s="263">
        <v>1.0109999999999999</v>
      </c>
      <c r="Q27" s="263">
        <v>1.081</v>
      </c>
      <c r="R27" s="263">
        <v>0</v>
      </c>
      <c r="S27" s="263">
        <v>0</v>
      </c>
      <c r="T27" s="266">
        <f t="shared" si="2"/>
        <v>1.0459999999999998</v>
      </c>
      <c r="U27" s="257"/>
      <c r="V27" s="265">
        <v>1.0459999999999998</v>
      </c>
      <c r="W27" s="257"/>
      <c r="X27" s="336">
        <v>1.0459999999999998</v>
      </c>
      <c r="Y27" s="262" t="e">
        <f>_xll.qlSimpleQuoteSetValue(F27,X27/100,Trigger)</f>
        <v>#N/A</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EUREON7Y_Quote#0000</v>
      </c>
      <c r="G28" s="176" t="str">
        <f>_xll.ohRangeRetrieveError(F28)</f>
        <v/>
      </c>
      <c r="H28" s="175"/>
      <c r="J28" s="126"/>
      <c r="K28" s="402" t="s">
        <v>110</v>
      </c>
      <c r="L28" s="309" t="s">
        <v>193</v>
      </c>
      <c r="M28" s="309"/>
      <c r="N28" s="307" t="str">
        <f t="shared" si="3"/>
        <v>EUREON7Y</v>
      </c>
      <c r="O28" s="307" t="str">
        <f t="shared" si="1"/>
        <v>EUREON7Y=ICAP</v>
      </c>
      <c r="P28" s="263">
        <v>1.1879999999999999</v>
      </c>
      <c r="Q28" s="263">
        <v>1.258</v>
      </c>
      <c r="R28" s="263">
        <v>0</v>
      </c>
      <c r="S28" s="263">
        <v>0</v>
      </c>
      <c r="T28" s="266">
        <f t="shared" si="2"/>
        <v>1.2229999999999999</v>
      </c>
      <c r="U28" s="257"/>
      <c r="V28" s="265">
        <v>1.2229999999999999</v>
      </c>
      <c r="W28" s="257"/>
      <c r="X28" s="336">
        <v>1.2229999999999999</v>
      </c>
      <c r="Y28" s="262" t="e">
        <f>_xll.qlSimpleQuoteSetValue(F28,X28/100,Trigger)</f>
        <v>#N/A</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EUREON8Y_Quote#0000</v>
      </c>
      <c r="G29" s="176" t="str">
        <f>_xll.ohRangeRetrieveError(F29)</f>
        <v/>
      </c>
      <c r="H29" s="175"/>
      <c r="J29" s="126"/>
      <c r="K29" s="402" t="s">
        <v>109</v>
      </c>
      <c r="L29" s="309" t="s">
        <v>193</v>
      </c>
      <c r="M29" s="309"/>
      <c r="N29" s="307" t="str">
        <f t="shared" si="3"/>
        <v>EUREON8Y</v>
      </c>
      <c r="O29" s="307" t="str">
        <f t="shared" si="1"/>
        <v>EUREON8Y=ICAP</v>
      </c>
      <c r="P29" s="263">
        <v>1.3460000000000001</v>
      </c>
      <c r="Q29" s="263">
        <v>1.4159999999999999</v>
      </c>
      <c r="R29" s="263">
        <v>0</v>
      </c>
      <c r="S29" s="263">
        <v>0</v>
      </c>
      <c r="T29" s="266">
        <f t="shared" si="2"/>
        <v>1.381</v>
      </c>
      <c r="U29" s="257"/>
      <c r="V29" s="265">
        <v>1.381</v>
      </c>
      <c r="W29" s="257"/>
      <c r="X29" s="336">
        <v>1.381</v>
      </c>
      <c r="Y29" s="262" t="e">
        <f>_xll.qlSimpleQuoteSetValue(F29,X29/100,Trigger)</f>
        <v>#N/A</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EUREON9Y_Quote#0000</v>
      </c>
      <c r="G30" s="176" t="str">
        <f>_xll.ohRangeRetrieveError(F30)</f>
        <v/>
      </c>
      <c r="H30" s="175"/>
      <c r="J30" s="126"/>
      <c r="K30" s="402" t="s">
        <v>108</v>
      </c>
      <c r="L30" s="309" t="s">
        <v>193</v>
      </c>
      <c r="M30" s="309"/>
      <c r="N30" s="307" t="str">
        <f t="shared" si="3"/>
        <v>EUREON9Y</v>
      </c>
      <c r="O30" s="307" t="str">
        <f t="shared" si="1"/>
        <v>EUREON9Y=ICAP</v>
      </c>
      <c r="P30" s="263">
        <v>1.494</v>
      </c>
      <c r="Q30" s="263">
        <v>1.5640000000000001</v>
      </c>
      <c r="R30" s="263">
        <v>0</v>
      </c>
      <c r="S30" s="263">
        <v>0</v>
      </c>
      <c r="T30" s="266">
        <f t="shared" si="2"/>
        <v>1.5289999999999999</v>
      </c>
      <c r="U30" s="257"/>
      <c r="V30" s="265">
        <v>1.5289999999999999</v>
      </c>
      <c r="W30" s="257"/>
      <c r="X30" s="336">
        <v>1.5289999999999999</v>
      </c>
      <c r="Y30" s="262" t="e">
        <f>_xll.qlSimpleQuoteSetValue(F30,X30/100,Trigger)</f>
        <v>#N/A</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EUREON10Y_Quote#0000</v>
      </c>
      <c r="G31" s="176" t="str">
        <f>_xll.ohRangeRetrieveError(F31)</f>
        <v/>
      </c>
      <c r="H31" s="175"/>
      <c r="J31" s="126"/>
      <c r="K31" s="402" t="s">
        <v>107</v>
      </c>
      <c r="L31" s="309" t="s">
        <v>193</v>
      </c>
      <c r="M31" s="309"/>
      <c r="N31" s="307" t="str">
        <f t="shared" si="3"/>
        <v>EUREON10Y</v>
      </c>
      <c r="O31" s="307" t="str">
        <f t="shared" si="1"/>
        <v>EUREON10Y=ICAP</v>
      </c>
      <c r="P31" s="263">
        <v>1.629</v>
      </c>
      <c r="Q31" s="263">
        <v>1.6990000000000001</v>
      </c>
      <c r="R31" s="263">
        <v>0</v>
      </c>
      <c r="S31" s="263">
        <v>0</v>
      </c>
      <c r="T31" s="266">
        <f t="shared" si="2"/>
        <v>1.6640000000000001</v>
      </c>
      <c r="U31" s="257"/>
      <c r="V31" s="265">
        <v>1.6640000000000001</v>
      </c>
      <c r="W31" s="257"/>
      <c r="X31" s="336">
        <v>1.6640000000000001</v>
      </c>
      <c r="Y31" s="262" t="e">
        <f>_xll.qlSimpleQuoteSetValue(F31,X31/100,Trigger)</f>
        <v>#N/A</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EUREON11Y_Quote#0000</v>
      </c>
      <c r="G32" s="176" t="str">
        <f>_xll.ohRangeRetrieveError(F32)</f>
        <v/>
      </c>
      <c r="H32" s="175"/>
      <c r="J32" s="126"/>
      <c r="K32" s="402" t="s">
        <v>106</v>
      </c>
      <c r="L32" s="309" t="s">
        <v>193</v>
      </c>
      <c r="M32" s="309"/>
      <c r="N32" s="307" t="str">
        <f t="shared" si="3"/>
        <v>EUREON11Y</v>
      </c>
      <c r="O32" s="307" t="str">
        <f t="shared" si="1"/>
        <v>EUREON11Y=ICAP</v>
      </c>
      <c r="P32" s="263">
        <v>1.7470000000000001</v>
      </c>
      <c r="Q32" s="263">
        <v>1.8169999999999999</v>
      </c>
      <c r="R32" s="263">
        <v>0</v>
      </c>
      <c r="S32" s="263">
        <v>0</v>
      </c>
      <c r="T32" s="266">
        <f t="shared" si="2"/>
        <v>1.782</v>
      </c>
      <c r="U32" s="257"/>
      <c r="V32" s="265">
        <v>1.782</v>
      </c>
      <c r="W32" s="257"/>
      <c r="X32" s="336">
        <v>1.782</v>
      </c>
      <c r="Y32" s="262" t="e">
        <f>_xll.qlSimpleQuoteSetValue(F32,X32/100,Trigger)</f>
        <v>#N/A</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EUREON12Y_Quote#0000</v>
      </c>
      <c r="G33" s="176" t="str">
        <f>_xll.ohRangeRetrieveError(F33)</f>
        <v/>
      </c>
      <c r="H33" s="175"/>
      <c r="J33" s="126"/>
      <c r="K33" s="402" t="s">
        <v>105</v>
      </c>
      <c r="L33" s="309" t="s">
        <v>193</v>
      </c>
      <c r="M33" s="309"/>
      <c r="N33" s="307" t="str">
        <f t="shared" si="3"/>
        <v>EUREON12Y</v>
      </c>
      <c r="O33" s="307" t="str">
        <f t="shared" si="1"/>
        <v>EUREON12Y=ICAP</v>
      </c>
      <c r="P33" s="263">
        <v>1.849</v>
      </c>
      <c r="Q33" s="263">
        <v>1.919</v>
      </c>
      <c r="R33" s="263">
        <v>0</v>
      </c>
      <c r="S33" s="263">
        <v>0</v>
      </c>
      <c r="T33" s="266">
        <f t="shared" si="2"/>
        <v>1.8839999999999999</v>
      </c>
      <c r="U33" s="257"/>
      <c r="V33" s="265">
        <v>1.8839999999999999</v>
      </c>
      <c r="W33" s="257"/>
      <c r="X33" s="336">
        <v>1.8839999999999999</v>
      </c>
      <c r="Y33" s="262" t="e">
        <f>_xll.qlSimpleQuoteSetValue(F33,X33/100,Trigger)</f>
        <v>#N/A</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EUREON15Y_Quote#0000</v>
      </c>
      <c r="G34" s="176" t="str">
        <f>_xll.ohRangeRetrieveError(F34)</f>
        <v/>
      </c>
      <c r="H34" s="175"/>
      <c r="J34" s="126"/>
      <c r="K34" s="402" t="s">
        <v>102</v>
      </c>
      <c r="L34" s="309" t="s">
        <v>193</v>
      </c>
      <c r="M34" s="309"/>
      <c r="N34" s="307" t="str">
        <f t="shared" si="3"/>
        <v>EUREON15Y</v>
      </c>
      <c r="O34" s="307" t="str">
        <f t="shared" si="1"/>
        <v>EUREON15Y=ICAP</v>
      </c>
      <c r="P34" s="263">
        <v>2.0699999999999998</v>
      </c>
      <c r="Q34" s="263">
        <v>2.14</v>
      </c>
      <c r="R34" s="263">
        <v>0</v>
      </c>
      <c r="S34" s="263">
        <v>0</v>
      </c>
      <c r="T34" s="266">
        <f t="shared" si="2"/>
        <v>2.105</v>
      </c>
      <c r="U34" s="257"/>
      <c r="V34" s="265">
        <v>2.105</v>
      </c>
      <c r="W34" s="257"/>
      <c r="X34" s="336">
        <v>2.105</v>
      </c>
      <c r="Y34" s="262" t="e">
        <f>_xll.qlSimpleQuoteSetValue(F34,X34/100,Trigger)</f>
        <v>#N/A</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EUREON20Y_Quote#0000</v>
      </c>
      <c r="G35" s="176" t="str">
        <f>_xll.ohRangeRetrieveError(F35)</f>
        <v/>
      </c>
      <c r="H35" s="175"/>
      <c r="J35" s="126"/>
      <c r="K35" s="402" t="s">
        <v>97</v>
      </c>
      <c r="L35" s="309" t="s">
        <v>193</v>
      </c>
      <c r="M35" s="309"/>
      <c r="N35" s="307" t="str">
        <f t="shared" si="3"/>
        <v>EUREON20Y</v>
      </c>
      <c r="O35" s="307" t="str">
        <f t="shared" si="1"/>
        <v>EUREON20Y=ICAP</v>
      </c>
      <c r="P35" s="263">
        <v>2.21</v>
      </c>
      <c r="Q35" s="263">
        <v>2.2799999999999998</v>
      </c>
      <c r="R35" s="263">
        <v>0</v>
      </c>
      <c r="S35" s="263">
        <v>0</v>
      </c>
      <c r="T35" s="266">
        <f t="shared" si="2"/>
        <v>2.2450000000000001</v>
      </c>
      <c r="U35" s="257"/>
      <c r="V35" s="265">
        <v>2.2450000000000001</v>
      </c>
      <c r="W35" s="257"/>
      <c r="X35" s="336">
        <v>2.2450000000000001</v>
      </c>
      <c r="Y35" s="262" t="e">
        <f>_xll.qlSimpleQuoteSetValue(F35,X35/100,Trigger)</f>
        <v>#N/A</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EUREON25Y_Quote#0000</v>
      </c>
      <c r="G36" s="176" t="str">
        <f>_xll.ohRangeRetrieveError(F36)</f>
        <v/>
      </c>
      <c r="H36" s="175"/>
      <c r="J36" s="126"/>
      <c r="K36" s="402" t="s">
        <v>92</v>
      </c>
      <c r="L36" s="309" t="s">
        <v>193</v>
      </c>
      <c r="M36" s="309"/>
      <c r="N36" s="307" t="str">
        <f t="shared" si="3"/>
        <v>EUREON25Y</v>
      </c>
      <c r="O36" s="307" t="str">
        <f t="shared" si="1"/>
        <v>EUREON25Y=ICAP</v>
      </c>
      <c r="P36" s="263">
        <v>2.246</v>
      </c>
      <c r="Q36" s="263">
        <v>2.3159999999999998</v>
      </c>
      <c r="R36" s="263">
        <v>0</v>
      </c>
      <c r="S36" s="263">
        <v>0</v>
      </c>
      <c r="T36" s="266">
        <f t="shared" si="2"/>
        <v>2.2809999999999997</v>
      </c>
      <c r="U36" s="257"/>
      <c r="V36" s="265">
        <v>2.2809999999999997</v>
      </c>
      <c r="W36" s="257"/>
      <c r="X36" s="336">
        <v>2.2809999999999997</v>
      </c>
      <c r="Y36" s="262" t="e">
        <f>_xll.qlSimpleQuoteSetValue(F36,X36/100,Trigger)</f>
        <v>#N/A</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EUREON30Y_Quote#0000</v>
      </c>
      <c r="G37" s="176" t="str">
        <f>_xll.ohRangeRetrieveError(F37)</f>
        <v/>
      </c>
      <c r="H37" s="175"/>
      <c r="J37" s="126"/>
      <c r="K37" s="402" t="s">
        <v>87</v>
      </c>
      <c r="L37" s="309" t="s">
        <v>193</v>
      </c>
      <c r="M37" s="309"/>
      <c r="N37" s="307" t="str">
        <f t="shared" si="3"/>
        <v>EUREON30Y</v>
      </c>
      <c r="O37" s="307" t="str">
        <f t="shared" si="1"/>
        <v>EUREON30Y=ICAP</v>
      </c>
      <c r="P37" s="263">
        <v>2.254</v>
      </c>
      <c r="Q37" s="263">
        <v>2.3239999999999998</v>
      </c>
      <c r="R37" s="263">
        <v>0</v>
      </c>
      <c r="S37" s="263">
        <v>0</v>
      </c>
      <c r="T37" s="266">
        <f t="shared" si="2"/>
        <v>2.2889999999999997</v>
      </c>
      <c r="U37" s="257"/>
      <c r="V37" s="265">
        <v>2.2889999999999997</v>
      </c>
      <c r="W37" s="257"/>
      <c r="X37" s="336">
        <v>2.2889999999999997</v>
      </c>
      <c r="Y37" s="262" t="e">
        <f>_xll.qlSimpleQuoteSetValue(F37,X37/100,Trigger)</f>
        <v>#N/A</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EUREON40Y_Quote#0000</v>
      </c>
      <c r="G38" s="176" t="str">
        <f>_xll.ohRangeRetrieveError(F38)</f>
        <v/>
      </c>
      <c r="H38" s="175"/>
      <c r="J38" s="126"/>
      <c r="K38" s="402" t="s">
        <v>77</v>
      </c>
      <c r="L38" s="309" t="s">
        <v>193</v>
      </c>
      <c r="M38" s="309"/>
      <c r="N38" s="307" t="str">
        <f t="shared" si="3"/>
        <v>EUREON40Y</v>
      </c>
      <c r="O38" s="307" t="str">
        <f t="shared" si="1"/>
        <v>EUREON40Y=ICAP</v>
      </c>
      <c r="P38" s="263">
        <v>2.3170000000000002</v>
      </c>
      <c r="Q38" s="263">
        <v>2.387</v>
      </c>
      <c r="R38" s="263">
        <v>0</v>
      </c>
      <c r="S38" s="263">
        <v>0</v>
      </c>
      <c r="T38" s="266">
        <f t="shared" si="2"/>
        <v>2.3520000000000003</v>
      </c>
      <c r="U38" s="257"/>
      <c r="V38" s="265">
        <v>2.3520000000000003</v>
      </c>
      <c r="W38" s="257"/>
      <c r="X38" s="336">
        <v>2.3520000000000003</v>
      </c>
      <c r="Y38" s="262" t="e">
        <f>_xll.qlSimpleQuoteSetValue(F38,X38/100,Trigger)</f>
        <v>#N/A</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EUREON50Y_Quote#0000</v>
      </c>
      <c r="G39" s="176" t="str">
        <f>_xll.ohRangeRetrieveError(F39)</f>
        <v/>
      </c>
      <c r="H39" s="175"/>
      <c r="J39" s="126"/>
      <c r="K39" s="402" t="s">
        <v>67</v>
      </c>
      <c r="L39" s="309" t="s">
        <v>193</v>
      </c>
      <c r="M39" s="309"/>
      <c r="N39" s="307" t="str">
        <f t="shared" si="3"/>
        <v>EUREON50Y</v>
      </c>
      <c r="O39" s="307" t="str">
        <f t="shared" si="1"/>
        <v>EUREON50Y=ICAP</v>
      </c>
      <c r="P39" s="263">
        <v>2.3730000000000002</v>
      </c>
      <c r="Q39" s="263">
        <v>2.4430000000000001</v>
      </c>
      <c r="R39" s="263">
        <v>0</v>
      </c>
      <c r="S39" s="263">
        <v>0</v>
      </c>
      <c r="T39" s="266">
        <f t="shared" si="2"/>
        <v>2.4080000000000004</v>
      </c>
      <c r="U39" s="257"/>
      <c r="V39" s="265">
        <v>2.4080000000000004</v>
      </c>
      <c r="W39" s="257"/>
      <c r="X39" s="336">
        <v>2.4080000000000004</v>
      </c>
      <c r="Y39" s="262" t="e">
        <f>_xll.qlSimpleQuoteSetValue(F39,X39/100,Trigger)</f>
        <v>#N/A</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EUREON60Y_Quote#0000</v>
      </c>
      <c r="G40" s="176" t="str">
        <f>_xll.ohRangeRetrieveError(F40)</f>
        <v/>
      </c>
      <c r="H40" s="175"/>
      <c r="J40" s="126"/>
      <c r="K40" s="402" t="s">
        <v>57</v>
      </c>
      <c r="L40" s="309" t="s">
        <v>193</v>
      </c>
      <c r="M40" s="309"/>
      <c r="N40" s="307" t="str">
        <f t="shared" si="3"/>
        <v>EUREON60Y</v>
      </c>
      <c r="O40" s="307" t="str">
        <f t="shared" si="1"/>
        <v>EUREON60Y=ICAP</v>
      </c>
      <c r="P40" s="263">
        <v>2.4119999999999999</v>
      </c>
      <c r="Q40" s="263">
        <v>2.4820000000000002</v>
      </c>
      <c r="R40" s="263">
        <v>0</v>
      </c>
      <c r="S40" s="263">
        <v>0</v>
      </c>
      <c r="T40" s="266">
        <f t="shared" si="2"/>
        <v>2.4470000000000001</v>
      </c>
      <c r="U40" s="257"/>
      <c r="V40" s="265">
        <v>2.4470000000000001</v>
      </c>
      <c r="W40" s="257"/>
      <c r="X40" s="329">
        <v>2.4470000000000001</v>
      </c>
      <c r="Y40" s="254" t="e">
        <f>_xll.qlSimpleQuoteSetValue(F40,X40/100,Trigger)</f>
        <v>#N/A</v>
      </c>
      <c r="Z40" s="221"/>
    </row>
    <row r="41" spans="1:26" ht="14.25" thickBot="1" x14ac:dyDescent="0.3">
      <c r="A41" s="180"/>
      <c r="B41" s="184"/>
      <c r="C41" s="184"/>
      <c r="D41" s="183"/>
      <c r="E41" s="182"/>
      <c r="F41" s="182"/>
      <c r="G41" s="181"/>
      <c r="H41" s="175"/>
      <c r="J41" s="52"/>
      <c r="K41" s="295"/>
      <c r="L41" s="295"/>
      <c r="M41" s="295"/>
      <c r="N41" s="295"/>
      <c r="O41" s="295"/>
      <c r="P41" s="295"/>
      <c r="Q41" s="295"/>
      <c r="R41" s="295"/>
      <c r="S41" s="295"/>
      <c r="T41" s="295"/>
      <c r="U41" s="51"/>
      <c r="V41" s="295"/>
      <c r="W41" s="51"/>
      <c r="X41" s="295"/>
      <c r="Y41" s="295"/>
      <c r="Z41" s="379"/>
    </row>
    <row r="42" spans="1:26" x14ac:dyDescent="0.25">
      <c r="A42" s="180"/>
      <c r="B42" s="179" t="s">
        <v>192</v>
      </c>
      <c r="C42" s="179" t="s">
        <v>191</v>
      </c>
      <c r="D42" s="178" t="str">
        <f>_xll.qlECBNextCode(_xll.qlSettingsEvaluationDate(Trigger)-365)</f>
        <v>JAN13</v>
      </c>
      <c r="E42" s="177" t="str">
        <f t="shared" ref="E42:E77" si="4">Currency&amp;$B42&amp;$C42&amp;$D42&amp;QuoteSuffix</f>
        <v>EURECBOISJAN13_Quote</v>
      </c>
      <c r="F42" s="177" t="str">
        <f>_xll.qlSimpleQuote(Currency&amp;$B42&amp;$C42&amp;$D42&amp;QuoteSuffix,,RateTickValue,Permanent,Trigger,ObjectOverwrite)</f>
        <v>EURECBOISJAN13_Quote#0000</v>
      </c>
      <c r="G42" s="176" t="str">
        <f>_xll.ohRangeRetrieveError(F42)</f>
        <v/>
      </c>
      <c r="H42" s="175"/>
    </row>
    <row r="43" spans="1:26" x14ac:dyDescent="0.25">
      <c r="A43" s="180"/>
      <c r="B43" s="179" t="s">
        <v>192</v>
      </c>
      <c r="C43" s="179" t="s">
        <v>191</v>
      </c>
      <c r="D43" s="178" t="str">
        <f>_xll.qlECBNextCode(_xll.qlECBdate(D42))</f>
        <v>FEB13</v>
      </c>
      <c r="E43" s="177" t="str">
        <f t="shared" si="4"/>
        <v>EURECBOISFEB13_Quote</v>
      </c>
      <c r="F43" s="177" t="str">
        <f>_xll.qlSimpleQuote(Currency&amp;$B43&amp;$C43&amp;$D43&amp;QuoteSuffix,,RateTickValue,Permanent,Trigger,ObjectOverwrite)</f>
        <v>EURECBOISFEB13_Quote#0000</v>
      </c>
      <c r="G43" s="176" t="str">
        <f>_xll.ohRangeRetrieveError(F43)</f>
        <v/>
      </c>
      <c r="H43" s="175"/>
    </row>
    <row r="44" spans="1:26" x14ac:dyDescent="0.25">
      <c r="A44" s="180"/>
      <c r="B44" s="179" t="s">
        <v>192</v>
      </c>
      <c r="C44" s="179" t="s">
        <v>191</v>
      </c>
      <c r="D44" s="178" t="str">
        <f>_xll.qlECBNextCode(_xll.qlECBdate(D43))</f>
        <v>MAR13</v>
      </c>
      <c r="E44" s="177" t="str">
        <f t="shared" si="4"/>
        <v>EURECBOISMAR13_Quote</v>
      </c>
      <c r="F44" s="177" t="str">
        <f>_xll.qlSimpleQuote(Currency&amp;$B44&amp;$C44&amp;$D44&amp;QuoteSuffix,,RateTickValue,Permanent,Trigger,ObjectOverwrite)</f>
        <v>EURECBOISMAR13_Quote#0000</v>
      </c>
      <c r="G44" s="176" t="str">
        <f>_xll.ohRangeRetrieveError(F44)</f>
        <v/>
      </c>
      <c r="H44" s="175"/>
    </row>
    <row r="45" spans="1:26" ht="14.25" thickBot="1" x14ac:dyDescent="0.3">
      <c r="A45" s="180"/>
      <c r="B45" s="179" t="s">
        <v>192</v>
      </c>
      <c r="C45" s="179" t="s">
        <v>191</v>
      </c>
      <c r="D45" s="178" t="str">
        <f>_xll.qlECBNextCode(_xll.qlECBdate(D44))</f>
        <v>APR13</v>
      </c>
      <c r="E45" s="177" t="str">
        <f t="shared" si="4"/>
        <v>EURECBOISAPR13_Quote</v>
      </c>
      <c r="F45" s="177" t="str">
        <f>_xll.qlSimpleQuote(Currency&amp;$B45&amp;$C45&amp;$D45&amp;QuoteSuffix,,RateTickValue,Permanent,Trigger,ObjectOverwrite)</f>
        <v>EURECBOISAPR13_Quote#0000</v>
      </c>
      <c r="G45" s="176" t="str">
        <f>_xll.ohRangeRetrieveError(F45)</f>
        <v/>
      </c>
      <c r="H45" s="175"/>
    </row>
    <row r="46" spans="1:26" x14ac:dyDescent="0.25">
      <c r="A46" s="180"/>
      <c r="B46" s="179" t="s">
        <v>192</v>
      </c>
      <c r="C46" s="179" t="s">
        <v>191</v>
      </c>
      <c r="D46" s="178" t="str">
        <f>_xll.qlECBNextCode(_xll.qlECBdate(D45))</f>
        <v>MAY13</v>
      </c>
      <c r="E46" s="177" t="str">
        <f t="shared" si="4"/>
        <v>EURECBOISMAY13_Quote</v>
      </c>
      <c r="F46" s="177" t="str">
        <f>_xll.qlSimpleQuote(Currency&amp;$B46&amp;$C46&amp;$D46&amp;QuoteSuffix,,RateTickValue,Permanent,Trigger,ObjectOverwrite)</f>
        <v>EURECBOISMAY13_Quote#0000</v>
      </c>
      <c r="G46" s="176" t="str">
        <f>_xll.ohRangeRetrieveError(F46)</f>
        <v/>
      </c>
      <c r="H46" s="175"/>
      <c r="J46" s="327"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JUN13</v>
      </c>
      <c r="E47" s="177" t="str">
        <f t="shared" si="4"/>
        <v>EURECBOISJUN13_Quote</v>
      </c>
      <c r="F47" s="177" t="str">
        <f>_xll.qlSimpleQuote(Currency&amp;$B47&amp;$C47&amp;$D47&amp;QuoteSuffix,,RateTickValue,Permanent,Trigger,ObjectOverwrite)</f>
        <v>EURECBOISJUN13_Quote#0000</v>
      </c>
      <c r="G47" s="176" t="str">
        <f>_xll.ohRangeRetrieveError(F47)</f>
        <v/>
      </c>
      <c r="H47" s="175"/>
      <c r="J47" s="293"/>
      <c r="K47" s="141"/>
      <c r="L47" s="141"/>
      <c r="M47" s="141"/>
      <c r="N47" s="141"/>
      <c r="O47" s="148" t="s">
        <v>235</v>
      </c>
      <c r="P47" s="141"/>
      <c r="Q47" s="141"/>
      <c r="R47" s="141"/>
      <c r="S47" s="141"/>
      <c r="T47" s="141"/>
      <c r="U47" s="257"/>
      <c r="V47" s="257"/>
      <c r="W47" s="257"/>
      <c r="X47" s="148" t="s">
        <v>147</v>
      </c>
      <c r="Y47" s="141"/>
      <c r="Z47" s="53"/>
    </row>
    <row r="48" spans="1:26" x14ac:dyDescent="0.25">
      <c r="A48" s="180"/>
      <c r="B48" s="179" t="s">
        <v>192</v>
      </c>
      <c r="C48" s="179" t="s">
        <v>191</v>
      </c>
      <c r="D48" s="178" t="str">
        <f>_xll.qlECBNextCode(_xll.qlECBdate(D47))</f>
        <v>JUL13</v>
      </c>
      <c r="E48" s="177" t="str">
        <f t="shared" si="4"/>
        <v>EURECBOISJUL13_Quote</v>
      </c>
      <c r="F48" s="177" t="str">
        <f>_xll.qlSimpleQuote(Currency&amp;$B48&amp;$C48&amp;$D48&amp;QuoteSuffix,,RateTickValue,Permanent,Trigger,ObjectOverwrite)</f>
        <v>EURECBOISJUL13_Quote#0000</v>
      </c>
      <c r="G48" s="176" t="str">
        <f>_xll.ohRangeRetrieveError(F48)</f>
        <v/>
      </c>
      <c r="H48" s="175"/>
      <c r="J48" s="126"/>
      <c r="K48" s="257"/>
      <c r="L48" s="141"/>
      <c r="M48" s="141"/>
      <c r="N48" s="141"/>
      <c r="O48" s="141"/>
      <c r="P48" s="141"/>
      <c r="Q48" s="141"/>
      <c r="R48" s="141"/>
      <c r="S48" s="141"/>
      <c r="T48" s="141"/>
      <c r="U48" s="257"/>
      <c r="V48" s="257"/>
      <c r="W48" s="257"/>
      <c r="X48" s="141"/>
      <c r="Y48" s="288">
        <f>_xll.ohTrigger(Y50:Y55)</f>
        <v>0</v>
      </c>
      <c r="Z48" s="221"/>
    </row>
    <row r="49" spans="1:26" x14ac:dyDescent="0.25">
      <c r="A49" s="180"/>
      <c r="B49" s="179" t="s">
        <v>192</v>
      </c>
      <c r="C49" s="179" t="s">
        <v>191</v>
      </c>
      <c r="D49" s="178" t="str">
        <f>_xll.qlECBNextCode(_xll.qlECBdate(D48))</f>
        <v>AUG13</v>
      </c>
      <c r="E49" s="177" t="str">
        <f t="shared" si="4"/>
        <v>EURECBOISAUG13_Quote</v>
      </c>
      <c r="F49" s="177" t="str">
        <f>_xll.qlSimpleQuote(Currency&amp;$B49&amp;$C49&amp;$D49&amp;QuoteSuffix,,RateTickValue,Permanent,Trigger,ObjectOverwrite)</f>
        <v>EURECBOISAUG13_Quote#0000</v>
      </c>
      <c r="G49" s="176" t="str">
        <f>_xll.ohRangeRetrieveError(F49)</f>
        <v/>
      </c>
      <c r="H49" s="175"/>
      <c r="J49" s="126"/>
      <c r="K49" s="383"/>
      <c r="L49" s="206"/>
      <c r="M49" s="198"/>
      <c r="N49" s="198"/>
      <c r="O49" s="287" t="e">
        <f ca="1">_xll.RData(O50:O55,P49:S49,,ReutersRtMode,,P50)</f>
        <v>#NAME?</v>
      </c>
      <c r="P49" s="324" t="s">
        <v>258</v>
      </c>
      <c r="Q49" s="324" t="s">
        <v>225</v>
      </c>
      <c r="R49" s="324"/>
      <c r="S49" s="324" t="s">
        <v>300</v>
      </c>
      <c r="T49" s="283" t="s">
        <v>256</v>
      </c>
      <c r="U49" s="257"/>
      <c r="V49" s="285" t="s">
        <v>252</v>
      </c>
      <c r="W49" s="257"/>
      <c r="X49" s="434" t="s">
        <v>250</v>
      </c>
      <c r="Y49" s="98" t="s">
        <v>249</v>
      </c>
      <c r="Z49" s="221"/>
    </row>
    <row r="50" spans="1:26" x14ac:dyDescent="0.25">
      <c r="A50" s="180"/>
      <c r="B50" s="179" t="s">
        <v>192</v>
      </c>
      <c r="C50" s="179" t="s">
        <v>191</v>
      </c>
      <c r="D50" s="178" t="str">
        <f>_xll.qlECBNextCode(_xll.qlECBdate(D49))</f>
        <v>SEP13</v>
      </c>
      <c r="E50" s="177" t="str">
        <f t="shared" si="4"/>
        <v>EURECBOISSEP13_Quote</v>
      </c>
      <c r="F50" s="177" t="str">
        <f>_xll.qlSimpleQuote(Currency&amp;$B50&amp;$C50&amp;$D50&amp;QuoteSuffix,,RateTickValue,Permanent,Trigger,ObjectOverwrite)</f>
        <v>EURECBOISSEP13_Quote#0000</v>
      </c>
      <c r="G50" s="176" t="str">
        <f>_xll.ohRangeRetrieveError(F50)</f>
        <v/>
      </c>
      <c r="H50" s="175"/>
      <c r="J50" s="126"/>
      <c r="K50" s="320" t="s">
        <v>299</v>
      </c>
      <c r="L50" s="309" t="s">
        <v>192</v>
      </c>
      <c r="M50" s="309" t="s">
        <v>191</v>
      </c>
      <c r="N50" s="307" t="str">
        <f t="shared" ref="N50:N55" si="5">Currency&amp;$L50&amp;$M50&amp;$K50</f>
        <v>EURECBOISM1</v>
      </c>
      <c r="O50" s="307" t="str">
        <f t="array" ref="O50:O55">Instruments&amp;"="&amp;VLOOKUP(Contributor,ContributorTable,2,FALSE)</f>
        <v>EURECBOISM1=ICAP</v>
      </c>
      <c r="P50" s="263">
        <v>8.5000000000000006E-2</v>
      </c>
      <c r="Q50" s="263">
        <v>0.13500000000000001</v>
      </c>
      <c r="R50" s="263" t="s">
        <v>288</v>
      </c>
      <c r="S50" s="404" t="s">
        <v>298</v>
      </c>
      <c r="T50" s="266">
        <f t="shared" ref="T50:T55" si="6">AVERAGE($P50,$Q50)</f>
        <v>0.11000000000000001</v>
      </c>
      <c r="U50" s="257"/>
      <c r="V50" s="277">
        <v>0.11000000000000001</v>
      </c>
      <c r="W50" s="257"/>
      <c r="X50" s="343">
        <f t="array" ref="X50:X55">QuoteLive</f>
        <v>0.11000000000000001</v>
      </c>
      <c r="Y50" s="435" t="e">
        <f>_xll.qlSimpleQuoteSetValue(#REF!,$X50/100,Trigger)</f>
        <v>#VALUE!</v>
      </c>
      <c r="Z50" s="221"/>
    </row>
    <row r="51" spans="1:26" x14ac:dyDescent="0.25">
      <c r="A51" s="180"/>
      <c r="B51" s="179" t="s">
        <v>192</v>
      </c>
      <c r="C51" s="179" t="s">
        <v>191</v>
      </c>
      <c r="D51" s="178" t="str">
        <f>_xll.qlECBNextCode(_xll.qlECBdate(D50))</f>
        <v>OCT13</v>
      </c>
      <c r="E51" s="177" t="str">
        <f t="shared" si="4"/>
        <v>EURECBOISOCT13_Quote</v>
      </c>
      <c r="F51" s="177" t="str">
        <f>_xll.qlSimpleQuote(Currency&amp;$B51&amp;$C51&amp;$D51&amp;QuoteSuffix,,RateTickValue,Permanent,Trigger,ObjectOverwrite)</f>
        <v>EURECBOISOCT13_Quote#0000</v>
      </c>
      <c r="G51" s="176" t="str">
        <f>_xll.ohRangeRetrieveError(F51)</f>
        <v/>
      </c>
      <c r="H51" s="175"/>
      <c r="J51" s="126"/>
      <c r="K51" s="310" t="s">
        <v>297</v>
      </c>
      <c r="L51" s="309" t="s">
        <v>192</v>
      </c>
      <c r="M51" s="309" t="s">
        <v>191</v>
      </c>
      <c r="N51" s="307" t="str">
        <f t="shared" si="5"/>
        <v>EURECBOISM2</v>
      </c>
      <c r="O51" s="307" t="str">
        <v>EURECBOISM2=ICAP</v>
      </c>
      <c r="P51" s="263">
        <v>9.7000000000000003E-2</v>
      </c>
      <c r="Q51" s="263">
        <v>0.14699999999999999</v>
      </c>
      <c r="R51" s="263" t="s">
        <v>288</v>
      </c>
      <c r="S51" s="404" t="s">
        <v>296</v>
      </c>
      <c r="T51" s="266">
        <f t="shared" si="6"/>
        <v>0.122</v>
      </c>
      <c r="U51" s="257"/>
      <c r="V51" s="265">
        <v>0.122</v>
      </c>
      <c r="W51" s="257"/>
      <c r="X51" s="336">
        <v>0.122</v>
      </c>
      <c r="Y51" s="436" t="e">
        <f>_xll.qlSimpleQuoteSetValue(#REF!,$X51/100,Trigger)</f>
        <v>#VALUE!</v>
      </c>
      <c r="Z51" s="221"/>
    </row>
    <row r="52" spans="1:26" x14ac:dyDescent="0.25">
      <c r="A52" s="180"/>
      <c r="B52" s="179" t="s">
        <v>192</v>
      </c>
      <c r="C52" s="179" t="s">
        <v>191</v>
      </c>
      <c r="D52" s="178" t="str">
        <f>_xll.qlECBNextCode(_xll.qlECBdate(D51))</f>
        <v>NOV13</v>
      </c>
      <c r="E52" s="177" t="str">
        <f t="shared" si="4"/>
        <v>EURECBOISNOV13_Quote</v>
      </c>
      <c r="F52" s="177" t="str">
        <f>_xll.qlSimpleQuote(Currency&amp;$B52&amp;$C52&amp;$D52&amp;QuoteSuffix,,RateTickValue,Permanent,Trigger,ObjectOverwrite)</f>
        <v>EURECBOISNOV13_Quote#0000</v>
      </c>
      <c r="G52" s="176" t="str">
        <f>_xll.ohRangeRetrieveError(F52)</f>
        <v/>
      </c>
      <c r="H52" s="175"/>
      <c r="J52" s="126"/>
      <c r="K52" s="310" t="s">
        <v>295</v>
      </c>
      <c r="L52" s="309" t="s">
        <v>192</v>
      </c>
      <c r="M52" s="309" t="s">
        <v>191</v>
      </c>
      <c r="N52" s="307" t="str">
        <f t="shared" si="5"/>
        <v>EURECBOISM3</v>
      </c>
      <c r="O52" s="307" t="str">
        <v>EURECBOISM3=ICAP</v>
      </c>
      <c r="P52" s="263">
        <v>9.5000000000000001E-2</v>
      </c>
      <c r="Q52" s="263">
        <v>0.14499999999999999</v>
      </c>
      <c r="R52" s="263" t="s">
        <v>288</v>
      </c>
      <c r="S52" s="404" t="s">
        <v>294</v>
      </c>
      <c r="T52" s="266">
        <f t="shared" si="6"/>
        <v>0.12</v>
      </c>
      <c r="U52" s="257"/>
      <c r="V52" s="265">
        <v>0.12</v>
      </c>
      <c r="W52" s="257"/>
      <c r="X52" s="336">
        <v>0.12</v>
      </c>
      <c r="Y52" s="436" t="e">
        <f>_xll.qlSimpleQuoteSetValue(#REF!,$X52/100,Trigger)</f>
        <v>#VALUE!</v>
      </c>
      <c r="Z52" s="221"/>
    </row>
    <row r="53" spans="1:26" x14ac:dyDescent="0.25">
      <c r="A53" s="180"/>
      <c r="B53" s="179" t="s">
        <v>192</v>
      </c>
      <c r="C53" s="179" t="s">
        <v>191</v>
      </c>
      <c r="D53" s="178" t="str">
        <f>_xll.qlECBNextCode(_xll.qlECBdate(D52))</f>
        <v>DEC13</v>
      </c>
      <c r="E53" s="177" t="str">
        <f t="shared" si="4"/>
        <v>EURECBOISDEC13_Quote</v>
      </c>
      <c r="F53" s="177" t="str">
        <f>_xll.qlSimpleQuote(Currency&amp;$B53&amp;$C53&amp;$D53&amp;QuoteSuffix,,RateTickValue,Permanent,Trigger,ObjectOverwrite)</f>
        <v>EURECBOISDEC13_Quote#0000</v>
      </c>
      <c r="G53" s="176" t="str">
        <f>_xll.ohRangeRetrieveError(F53)</f>
        <v/>
      </c>
      <c r="H53" s="175"/>
      <c r="J53" s="126"/>
      <c r="K53" s="310" t="s">
        <v>293</v>
      </c>
      <c r="L53" s="309" t="s">
        <v>192</v>
      </c>
      <c r="M53" s="309" t="s">
        <v>191</v>
      </c>
      <c r="N53" s="307" t="str">
        <f t="shared" si="5"/>
        <v>EURECBOISM4</v>
      </c>
      <c r="O53" s="307" t="str">
        <v>EURECBOISM4=ICAP</v>
      </c>
      <c r="P53" s="263">
        <v>9.8000000000000004E-2</v>
      </c>
      <c r="Q53" s="263">
        <v>0.14799999999999999</v>
      </c>
      <c r="R53" s="263" t="s">
        <v>288</v>
      </c>
      <c r="S53" s="404" t="s">
        <v>292</v>
      </c>
      <c r="T53" s="266">
        <f t="shared" si="6"/>
        <v>0.123</v>
      </c>
      <c r="U53" s="257"/>
      <c r="V53" s="265">
        <v>0.123</v>
      </c>
      <c r="W53" s="257"/>
      <c r="X53" s="336">
        <v>0.123</v>
      </c>
      <c r="Y53" s="436" t="e">
        <f>_xll.qlSimpleQuoteSetValue(#REF!,$X53/100,Trigger)</f>
        <v>#VALUE!</v>
      </c>
      <c r="Z53" s="221"/>
    </row>
    <row r="54" spans="1:26" x14ac:dyDescent="0.25">
      <c r="A54" s="180"/>
      <c r="B54" s="179" t="s">
        <v>192</v>
      </c>
      <c r="C54" s="179" t="s">
        <v>191</v>
      </c>
      <c r="D54" s="178" t="e">
        <f>_xll.qlECBNextCode(_xll.qlECBdate(D53))</f>
        <v>#NUM!</v>
      </c>
      <c r="E54" s="177" t="e">
        <f t="shared" si="4"/>
        <v>#NUM!</v>
      </c>
      <c r="F54" s="177" t="e">
        <f>_xll.qlSimpleQuote(Currency&amp;$B54&amp;$C54&amp;$D54&amp;QuoteSuffix,,RateTickValue,Permanent,Trigger,ObjectOverwrite)</f>
        <v>#VALUE!</v>
      </c>
      <c r="G54" s="176" t="str">
        <f ca="1">_xll.ohRangeRetrieveError(F54)</f>
        <v/>
      </c>
      <c r="H54" s="175"/>
      <c r="J54" s="126"/>
      <c r="K54" s="310" t="s">
        <v>291</v>
      </c>
      <c r="L54" s="309" t="s">
        <v>192</v>
      </c>
      <c r="M54" s="309" t="s">
        <v>191</v>
      </c>
      <c r="N54" s="307" t="str">
        <f t="shared" si="5"/>
        <v>EURECBOISM5</v>
      </c>
      <c r="O54" s="307" t="str">
        <v>EURECBOISM5=ICAP</v>
      </c>
      <c r="P54" s="263">
        <v>0.12</v>
      </c>
      <c r="Q54" s="263">
        <v>0.17</v>
      </c>
      <c r="R54" s="263" t="s">
        <v>288</v>
      </c>
      <c r="S54" s="404" t="s">
        <v>290</v>
      </c>
      <c r="T54" s="266">
        <f t="shared" si="6"/>
        <v>0.14500000000000002</v>
      </c>
      <c r="U54" s="257"/>
      <c r="V54" s="265">
        <v>0.14500000000000002</v>
      </c>
      <c r="W54" s="257"/>
      <c r="X54" s="336">
        <v>0.14500000000000002</v>
      </c>
      <c r="Y54" s="436"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15" t="s">
        <v>289</v>
      </c>
      <c r="L55" s="314" t="s">
        <v>192</v>
      </c>
      <c r="M55" s="314" t="s">
        <v>191</v>
      </c>
      <c r="N55" s="312" t="str">
        <f t="shared" si="5"/>
        <v>EURECBOISM6</v>
      </c>
      <c r="O55" s="312" t="str">
        <v>EURECBOISM6=ICAP</v>
      </c>
      <c r="P55" s="255">
        <v>0.11799999999999999</v>
      </c>
      <c r="Q55" s="255">
        <v>0.16800000000000001</v>
      </c>
      <c r="R55" s="255" t="s">
        <v>288</v>
      </c>
      <c r="S55" s="403" t="s">
        <v>287</v>
      </c>
      <c r="T55" s="259">
        <f t="shared" si="6"/>
        <v>0.14300000000000002</v>
      </c>
      <c r="U55" s="257"/>
      <c r="V55" s="258">
        <v>0.14300000000000002</v>
      </c>
      <c r="W55" s="257"/>
      <c r="X55" s="329">
        <v>0.14300000000000002</v>
      </c>
      <c r="Y55" s="437"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5"/>
      <c r="L56" s="295"/>
      <c r="M56" s="295"/>
      <c r="N56" s="295"/>
      <c r="O56" s="295"/>
      <c r="P56" s="295"/>
      <c r="Q56" s="295"/>
      <c r="R56" s="295"/>
      <c r="S56" s="295"/>
      <c r="T56" s="295"/>
      <c r="U56" s="51"/>
      <c r="V56" s="51"/>
      <c r="W56" s="51"/>
      <c r="X56" s="51"/>
      <c r="Y56" s="51"/>
      <c r="Z56" s="379"/>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27" t="s">
        <v>310</v>
      </c>
      <c r="K1" s="203"/>
      <c r="L1" s="203"/>
      <c r="M1" s="203"/>
      <c r="N1" s="203"/>
      <c r="O1" s="203"/>
      <c r="P1" s="203"/>
      <c r="Q1" s="203"/>
      <c r="R1" s="203"/>
      <c r="S1" s="203"/>
      <c r="T1" s="203"/>
      <c r="U1" s="203"/>
      <c r="V1" s="203"/>
      <c r="W1" s="203"/>
      <c r="X1" s="203"/>
      <c r="Y1" s="203"/>
      <c r="Z1" s="203"/>
      <c r="AA1" s="200"/>
    </row>
    <row r="2" spans="1:29" ht="13.5" thickBot="1" x14ac:dyDescent="0.25">
      <c r="J2" s="293"/>
      <c r="K2" s="257"/>
      <c r="L2" s="257"/>
      <c r="M2" s="257"/>
      <c r="N2" s="257"/>
      <c r="O2" s="148" t="s">
        <v>235</v>
      </c>
      <c r="P2" s="257"/>
      <c r="Q2" s="257"/>
      <c r="R2" s="257"/>
      <c r="S2" s="257"/>
      <c r="T2" s="141"/>
      <c r="U2" s="257"/>
      <c r="V2" s="257"/>
      <c r="W2" s="257"/>
      <c r="X2" s="385" t="s">
        <v>254</v>
      </c>
      <c r="Y2" s="384" t="s">
        <v>147</v>
      </c>
      <c r="Z2" s="141"/>
      <c r="AA2" s="53"/>
    </row>
    <row r="3" spans="1:29" x14ac:dyDescent="0.2">
      <c r="A3" s="220" t="s">
        <v>206</v>
      </c>
      <c r="B3" s="203"/>
      <c r="C3" s="203"/>
      <c r="D3" s="203"/>
      <c r="E3" s="201"/>
      <c r="F3" s="202"/>
      <c r="G3" s="201"/>
      <c r="H3" s="200"/>
      <c r="J3" s="126"/>
      <c r="K3" s="257"/>
      <c r="L3" s="141"/>
      <c r="M3" s="141"/>
      <c r="N3" s="141"/>
      <c r="O3" s="141"/>
      <c r="P3" s="141"/>
      <c r="Q3" s="141"/>
      <c r="R3" s="141"/>
      <c r="S3" s="141"/>
      <c r="T3" s="141"/>
      <c r="U3" s="257"/>
      <c r="V3" s="257"/>
      <c r="W3" s="257"/>
      <c r="X3" s="141"/>
      <c r="Y3" s="141"/>
      <c r="Z3" s="288">
        <f>_xll.ohTrigger(Z5:Z15)</f>
        <v>0</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83"/>
      <c r="L4" s="198"/>
      <c r="M4" s="198"/>
      <c r="N4" s="198"/>
      <c r="O4" s="287" t="e">
        <f ca="1">_xll.RData(O5:O15,P4:S4,,ReutersRtMode,,P5)</f>
        <v>#NAME?</v>
      </c>
      <c r="P4" s="324" t="s">
        <v>258</v>
      </c>
      <c r="Q4" s="324" t="s">
        <v>225</v>
      </c>
      <c r="R4" s="324" t="s">
        <v>240</v>
      </c>
      <c r="S4" s="324" t="s">
        <v>257</v>
      </c>
      <c r="T4" s="283" t="s">
        <v>256</v>
      </c>
      <c r="U4" s="257"/>
      <c r="V4" s="285" t="s">
        <v>252</v>
      </c>
      <c r="W4" s="257"/>
      <c r="X4" s="284" t="s">
        <v>251</v>
      </c>
      <c r="Y4" s="382" t="s">
        <v>250</v>
      </c>
      <c r="Z4" s="98" t="s">
        <v>249</v>
      </c>
      <c r="AA4" s="221"/>
      <c r="AC4" s="321"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EUR2X1S_Quote#0000</v>
      </c>
      <c r="G5" s="26" t="str">
        <f>_xll.ohRangeRetrieveError(F5)</f>
        <v/>
      </c>
      <c r="H5" s="53"/>
      <c r="J5" s="126"/>
      <c r="K5" s="264"/>
      <c r="L5" s="307">
        <v>2</v>
      </c>
      <c r="M5" s="307" t="s">
        <v>194</v>
      </c>
      <c r="N5" s="267" t="str">
        <f t="shared" ref="N5:N15" si="1">Currency&amp;$L5&amp;$M5&amp;$K5</f>
        <v>EUR2X1S</v>
      </c>
      <c r="O5" s="267" t="str">
        <f t="array" ref="O5:O15">Instruments&amp;"="&amp;VLOOKUP(Contributor,ContributorTable,2,FALSE)</f>
        <v>EUR2X1S=ICAP</v>
      </c>
      <c r="P5" s="308">
        <v>0.111</v>
      </c>
      <c r="Q5" s="308">
        <v>0.161</v>
      </c>
      <c r="R5" s="308">
        <v>0</v>
      </c>
      <c r="S5" s="308">
        <v>0</v>
      </c>
      <c r="T5" s="381">
        <f>_xll.qlMidSafe($P5,$Q5)</f>
        <v>0.13600000000000001</v>
      </c>
      <c r="U5" s="257"/>
      <c r="V5" s="265">
        <v>0.13600000000000001</v>
      </c>
      <c r="W5" s="257"/>
      <c r="X5" s="264" t="str">
        <f t="shared" ref="X5:X15" si="2">$N5&amp;$Y$2</f>
        <v>EUR2X1S_Quote</v>
      </c>
      <c r="Y5" s="263">
        <f t="array" ref="Y5:Y15">QuoteLive</f>
        <v>0.13600000000000001</v>
      </c>
      <c r="Z5" s="262" t="e">
        <f>_xll.qlSimpleQuoteSetValue($X5,$Y5/100,Trigger)</f>
        <v>#NUM!</v>
      </c>
      <c r="AA5" s="221"/>
      <c r="AC5" s="296">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EUR3X1S_Quote#0000</v>
      </c>
      <c r="G6" s="34" t="str">
        <f>_xll.ohRangeRetrieveError(F6)</f>
        <v/>
      </c>
      <c r="H6" s="53"/>
      <c r="J6" s="126"/>
      <c r="K6" s="264"/>
      <c r="L6" s="307">
        <v>3</v>
      </c>
      <c r="M6" s="307" t="s">
        <v>194</v>
      </c>
      <c r="N6" s="267" t="str">
        <f t="shared" si="1"/>
        <v>EUR3X1S</v>
      </c>
      <c r="O6" s="267" t="str">
        <v>EUR3X1S=ICAP</v>
      </c>
      <c r="P6" s="308">
        <v>0.11700000000000001</v>
      </c>
      <c r="Q6" s="308">
        <v>0.16700000000000001</v>
      </c>
      <c r="R6" s="308">
        <v>0</v>
      </c>
      <c r="S6" s="308">
        <v>0</v>
      </c>
      <c r="T6" s="381">
        <f>_xll.qlMidSafe($P6,$Q6)</f>
        <v>0.14200000000000002</v>
      </c>
      <c r="U6" s="257"/>
      <c r="V6" s="265">
        <v>0.14200000000000002</v>
      </c>
      <c r="W6" s="257"/>
      <c r="X6" s="264" t="str">
        <f t="shared" si="2"/>
        <v>EUR3X1S_Quote</v>
      </c>
      <c r="Y6" s="263">
        <v>0.14200000000000002</v>
      </c>
      <c r="Z6" s="262" t="e">
        <f>_xll.qlSimpleQuoteSetValue($X6,$Y6/100,Trigger)</f>
        <v>#NUM!</v>
      </c>
      <c r="AA6" s="221"/>
      <c r="AC6" s="296">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EUR4X1S_Quote#0000</v>
      </c>
      <c r="G7" s="34" t="str">
        <f>_xll.ohRangeRetrieveError(F7)</f>
        <v/>
      </c>
      <c r="H7" s="53"/>
      <c r="J7" s="126"/>
      <c r="K7" s="264"/>
      <c r="L7" s="307">
        <v>4</v>
      </c>
      <c r="M7" s="307" t="s">
        <v>194</v>
      </c>
      <c r="N7" s="267" t="str">
        <f t="shared" si="1"/>
        <v>EUR4X1S</v>
      </c>
      <c r="O7" s="267" t="str">
        <v>EUR4X1S=ICAP</v>
      </c>
      <c r="P7" s="308">
        <v>0.121</v>
      </c>
      <c r="Q7" s="308">
        <v>0.17100000000000001</v>
      </c>
      <c r="R7" s="308">
        <v>0</v>
      </c>
      <c r="S7" s="308">
        <v>0</v>
      </c>
      <c r="T7" s="381">
        <f>_xll.qlMidSafe($P7,$Q7)</f>
        <v>0.14600000000000002</v>
      </c>
      <c r="U7" s="257"/>
      <c r="V7" s="265">
        <v>0.14600000000000002</v>
      </c>
      <c r="W7" s="257"/>
      <c r="X7" s="264" t="str">
        <f t="shared" si="2"/>
        <v>EUR4X1S_Quote</v>
      </c>
      <c r="Y7" s="263">
        <v>0.14600000000000002</v>
      </c>
      <c r="Z7" s="262" t="e">
        <f>_xll.qlSimpleQuoteSetValue($X7,$Y7/100,Trigger)</f>
        <v>#NUM!</v>
      </c>
      <c r="AA7" s="221"/>
      <c r="AC7" s="296">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EUR5X1S_Quote#0000</v>
      </c>
      <c r="G8" s="34" t="str">
        <f>_xll.ohRangeRetrieveError(F8)</f>
        <v/>
      </c>
      <c r="H8" s="53"/>
      <c r="J8" s="126"/>
      <c r="K8" s="264"/>
      <c r="L8" s="307">
        <v>5</v>
      </c>
      <c r="M8" s="307" t="s">
        <v>194</v>
      </c>
      <c r="N8" s="267" t="str">
        <f t="shared" si="1"/>
        <v>EUR5X1S</v>
      </c>
      <c r="O8" s="267" t="str">
        <v>EUR5X1S=ICAP</v>
      </c>
      <c r="P8" s="308">
        <v>0.126</v>
      </c>
      <c r="Q8" s="308">
        <v>0.17599999999999999</v>
      </c>
      <c r="R8" s="308">
        <v>0</v>
      </c>
      <c r="S8" s="308">
        <v>0</v>
      </c>
      <c r="T8" s="381">
        <f>_xll.qlMidSafe($P8,$Q8)</f>
        <v>0.151</v>
      </c>
      <c r="U8" s="257"/>
      <c r="V8" s="265">
        <v>0.151</v>
      </c>
      <c r="W8" s="257"/>
      <c r="X8" s="264" t="str">
        <f t="shared" si="2"/>
        <v>EUR5X1S_Quote</v>
      </c>
      <c r="Y8" s="263">
        <v>0.151</v>
      </c>
      <c r="Z8" s="262" t="e">
        <f>_xll.qlSimpleQuoteSetValue($X8,$Y8/100,Trigger)</f>
        <v>#NUM!</v>
      </c>
      <c r="AA8" s="221"/>
      <c r="AC8" s="296">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EUR6X1S_Quote#0000</v>
      </c>
      <c r="G9" s="34" t="str">
        <f>_xll.ohRangeRetrieveError(F9)</f>
        <v/>
      </c>
      <c r="H9" s="53"/>
      <c r="J9" s="126"/>
      <c r="K9" s="264"/>
      <c r="L9" s="307">
        <v>6</v>
      </c>
      <c r="M9" s="307" t="s">
        <v>194</v>
      </c>
      <c r="N9" s="267" t="str">
        <f t="shared" si="1"/>
        <v>EUR6X1S</v>
      </c>
      <c r="O9" s="267" t="str">
        <v>EUR6X1S=ICAP</v>
      </c>
      <c r="P9" s="308">
        <v>0.13300000000000001</v>
      </c>
      <c r="Q9" s="308">
        <v>0.183</v>
      </c>
      <c r="R9" s="308">
        <v>0</v>
      </c>
      <c r="S9" s="308">
        <v>0</v>
      </c>
      <c r="T9" s="381">
        <f>_xll.qlMidSafe($P9,$Q9)</f>
        <v>0.158</v>
      </c>
      <c r="U9" s="257"/>
      <c r="V9" s="265">
        <v>0.158</v>
      </c>
      <c r="W9" s="257"/>
      <c r="X9" s="264" t="str">
        <f t="shared" si="2"/>
        <v>EUR6X1S_Quote</v>
      </c>
      <c r="Y9" s="263">
        <v>0.158</v>
      </c>
      <c r="Z9" s="262" t="e">
        <f>_xll.qlSimpleQuoteSetValue($X9,$Y9/100,Trigger)</f>
        <v>#NUM!</v>
      </c>
      <c r="AA9" s="221"/>
      <c r="AC9" s="296">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EUR7X1S_Quote#0000</v>
      </c>
      <c r="G10" s="34" t="str">
        <f>_xll.ohRangeRetrieveError(F10)</f>
        <v/>
      </c>
      <c r="H10" s="53"/>
      <c r="J10" s="126"/>
      <c r="K10" s="264"/>
      <c r="L10" s="307">
        <v>7</v>
      </c>
      <c r="M10" s="307" t="s">
        <v>194</v>
      </c>
      <c r="N10" s="267" t="str">
        <f t="shared" si="1"/>
        <v>EUR7X1S</v>
      </c>
      <c r="O10" s="267" t="str">
        <v>EUR7X1S=ICAP</v>
      </c>
      <c r="P10" s="308">
        <v>0.13800000000000001</v>
      </c>
      <c r="Q10" s="308">
        <v>0.188</v>
      </c>
      <c r="R10" s="308">
        <v>0</v>
      </c>
      <c r="S10" s="308">
        <v>0</v>
      </c>
      <c r="T10" s="381">
        <f>_xll.qlMidSafe($P10,$Q10)</f>
        <v>0.16300000000000001</v>
      </c>
      <c r="U10" s="257"/>
      <c r="V10" s="265">
        <v>0.16300000000000001</v>
      </c>
      <c r="W10" s="257"/>
      <c r="X10" s="264" t="str">
        <f t="shared" si="2"/>
        <v>EUR7X1S_Quote</v>
      </c>
      <c r="Y10" s="263">
        <v>0.16300000000000001</v>
      </c>
      <c r="Z10" s="262" t="e">
        <f>_xll.qlSimpleQuoteSetValue($X10,$Y10/100,Trigger)</f>
        <v>#NUM!</v>
      </c>
      <c r="AA10" s="221"/>
      <c r="AC10" s="296">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EUR8X1S_Quote#0000</v>
      </c>
      <c r="G11" s="34" t="str">
        <f>_xll.ohRangeRetrieveError(F11)</f>
        <v/>
      </c>
      <c r="H11" s="53"/>
      <c r="J11" s="126"/>
      <c r="K11" s="264"/>
      <c r="L11" s="307">
        <v>8</v>
      </c>
      <c r="M11" s="307" t="s">
        <v>194</v>
      </c>
      <c r="N11" s="267" t="str">
        <f t="shared" si="1"/>
        <v>EUR8X1S</v>
      </c>
      <c r="O11" s="267" t="str">
        <v>EUR8X1S=ICAP</v>
      </c>
      <c r="P11" s="308">
        <v>0.14399999999999999</v>
      </c>
      <c r="Q11" s="308">
        <v>0.19400000000000001</v>
      </c>
      <c r="R11" s="308">
        <v>0</v>
      </c>
      <c r="S11" s="308">
        <v>0</v>
      </c>
      <c r="T11" s="381">
        <f>_xll.qlMidSafe($P11,$Q11)</f>
        <v>0.16899999999999998</v>
      </c>
      <c r="U11" s="257"/>
      <c r="V11" s="265">
        <v>0.16999999999999998</v>
      </c>
      <c r="W11" s="257"/>
      <c r="X11" s="264" t="str">
        <f t="shared" si="2"/>
        <v>EUR8X1S_Quote</v>
      </c>
      <c r="Y11" s="263">
        <v>0.16899999999999998</v>
      </c>
      <c r="Z11" s="262" t="e">
        <f>_xll.qlSimpleQuoteSetValue($X11,$Y11/100,Trigger)</f>
        <v>#NUM!</v>
      </c>
      <c r="AA11" s="221"/>
      <c r="AC11" s="296">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EUR9X1S_Quote#0000</v>
      </c>
      <c r="G12" s="34" t="str">
        <f>_xll.ohRangeRetrieveError(F12)</f>
        <v/>
      </c>
      <c r="H12" s="53"/>
      <c r="J12" s="126"/>
      <c r="K12" s="264"/>
      <c r="L12" s="307">
        <v>9</v>
      </c>
      <c r="M12" s="307" t="s">
        <v>194</v>
      </c>
      <c r="N12" s="267" t="str">
        <f t="shared" si="1"/>
        <v>EUR9X1S</v>
      </c>
      <c r="O12" s="267" t="str">
        <v>EUR9X1S=ICAP</v>
      </c>
      <c r="P12" s="308">
        <v>0.154</v>
      </c>
      <c r="Q12" s="308">
        <v>0.20399999999999999</v>
      </c>
      <c r="R12" s="308">
        <v>0</v>
      </c>
      <c r="S12" s="308">
        <v>0</v>
      </c>
      <c r="T12" s="381">
        <f>_xll.qlMidSafe($P12,$Q12)</f>
        <v>0.17899999999999999</v>
      </c>
      <c r="U12" s="257"/>
      <c r="V12" s="265">
        <v>0.17899999999999999</v>
      </c>
      <c r="W12" s="257"/>
      <c r="X12" s="264" t="str">
        <f t="shared" si="2"/>
        <v>EUR9X1S_Quote</v>
      </c>
      <c r="Y12" s="263">
        <v>0.17899999999999999</v>
      </c>
      <c r="Z12" s="262" t="e">
        <f>_xll.qlSimpleQuoteSetValue($X12,$Y12/100,Trigger)</f>
        <v>#NUM!</v>
      </c>
      <c r="AA12" s="221"/>
      <c r="AC12" s="296">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EUR10X1S_Quote#0000</v>
      </c>
      <c r="G13" s="34" t="str">
        <f>_xll.ohRangeRetrieveError(F13)</f>
        <v/>
      </c>
      <c r="H13" s="53"/>
      <c r="J13" s="126"/>
      <c r="K13" s="264"/>
      <c r="L13" s="307">
        <v>10</v>
      </c>
      <c r="M13" s="307" t="s">
        <v>194</v>
      </c>
      <c r="N13" s="267" t="str">
        <f t="shared" si="1"/>
        <v>EUR10X1S</v>
      </c>
      <c r="O13" s="267" t="str">
        <v>EUR10X1S=ICAP</v>
      </c>
      <c r="P13" s="308">
        <v>0.161</v>
      </c>
      <c r="Q13" s="308">
        <v>0.21099999999999999</v>
      </c>
      <c r="R13" s="308">
        <v>0</v>
      </c>
      <c r="S13" s="308">
        <v>0</v>
      </c>
      <c r="T13" s="381">
        <f>_xll.qlMidSafe($P13,$Q13)</f>
        <v>0.186</v>
      </c>
      <c r="U13" s="257"/>
      <c r="V13" s="265">
        <v>0.186</v>
      </c>
      <c r="W13" s="257"/>
      <c r="X13" s="264" t="str">
        <f t="shared" si="2"/>
        <v>EUR10X1S_Quote</v>
      </c>
      <c r="Y13" s="263">
        <v>0.186</v>
      </c>
      <c r="Z13" s="262" t="e">
        <f>_xll.qlSimpleQuoteSetValue($X13,$Y13/100,Trigger)</f>
        <v>#NUM!</v>
      </c>
      <c r="AA13" s="221"/>
      <c r="AC13" s="296">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EUR11X1S_Quote#0000</v>
      </c>
      <c r="G14" s="34" t="str">
        <f>_xll.ohRangeRetrieveError(F14)</f>
        <v/>
      </c>
      <c r="H14" s="53"/>
      <c r="J14" s="126"/>
      <c r="K14" s="264"/>
      <c r="L14" s="307">
        <v>11</v>
      </c>
      <c r="M14" s="307" t="s">
        <v>194</v>
      </c>
      <c r="N14" s="267" t="str">
        <f t="shared" si="1"/>
        <v>EUR11X1S</v>
      </c>
      <c r="O14" s="267" t="str">
        <v>EUR11X1S=ICAP</v>
      </c>
      <c r="P14" s="308">
        <v>0.17</v>
      </c>
      <c r="Q14" s="308">
        <v>0.22</v>
      </c>
      <c r="R14" s="308">
        <v>0</v>
      </c>
      <c r="S14" s="308">
        <v>0</v>
      </c>
      <c r="T14" s="381">
        <f>_xll.qlMidSafe($P14,$Q14)</f>
        <v>0.19500000000000001</v>
      </c>
      <c r="U14" s="257"/>
      <c r="V14" s="265">
        <v>0.19500000000000001</v>
      </c>
      <c r="W14" s="257"/>
      <c r="X14" s="264" t="str">
        <f t="shared" si="2"/>
        <v>EUR11X1S_Quote</v>
      </c>
      <c r="Y14" s="263">
        <v>0.19500000000000001</v>
      </c>
      <c r="Z14" s="262" t="e">
        <f>_xll.qlSimpleQuoteSetValue($X14,$Y14/100,Trigger)</f>
        <v>#NUM!</v>
      </c>
      <c r="AA14" s="221"/>
      <c r="AC14" s="296">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EUR12X1S_Quote#0000</v>
      </c>
      <c r="G15" s="34" t="str">
        <f>_xll.ohRangeRetrieveError(F15)</f>
        <v/>
      </c>
      <c r="H15" s="53"/>
      <c r="J15" s="126"/>
      <c r="K15" s="256"/>
      <c r="L15" s="312">
        <v>12</v>
      </c>
      <c r="M15" s="312" t="s">
        <v>194</v>
      </c>
      <c r="N15" s="260" t="str">
        <f t="shared" si="1"/>
        <v>EUR12X1S</v>
      </c>
      <c r="O15" s="260" t="str">
        <v>EUR12X1S=ICAP</v>
      </c>
      <c r="P15" s="313">
        <v>0.17899999999999999</v>
      </c>
      <c r="Q15" s="313">
        <v>0.22900000000000001</v>
      </c>
      <c r="R15" s="313">
        <v>0</v>
      </c>
      <c r="S15" s="313">
        <v>0</v>
      </c>
      <c r="T15" s="380">
        <f>_xll.qlMidSafe($P15,$Q15)</f>
        <v>0.20400000000000001</v>
      </c>
      <c r="U15" s="257"/>
      <c r="V15" s="258">
        <v>0.20400000000000001</v>
      </c>
      <c r="W15" s="257"/>
      <c r="X15" s="256" t="str">
        <f t="shared" si="2"/>
        <v>EUR12X1S_Quote</v>
      </c>
      <c r="Y15" s="255">
        <v>0.20400000000000001</v>
      </c>
      <c r="Z15" s="254" t="e">
        <f>_xll.qlSimpleQuoteSetValue($X15,$Y15/100,Trigger)</f>
        <v>#NUM!</v>
      </c>
      <c r="AA15" s="221"/>
      <c r="AC15" s="296">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7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4" width="12.42578125" style="20" bestFit="1" customWidth="1"/>
    <col min="25" max="26" width="9.140625" style="20"/>
    <col min="27" max="28" width="2.7109375" style="20" customWidth="1"/>
    <col min="29" max="16384" width="9.140625" style="20"/>
  </cols>
  <sheetData>
    <row r="1" spans="1:29" ht="13.5" thickBot="1" x14ac:dyDescent="0.25">
      <c r="J1" s="327" t="s">
        <v>310</v>
      </c>
      <c r="K1" s="203"/>
      <c r="L1" s="203"/>
      <c r="M1" s="203"/>
      <c r="N1" s="203"/>
      <c r="O1" s="203"/>
      <c r="P1" s="203"/>
      <c r="Q1" s="203"/>
      <c r="R1" s="203"/>
      <c r="S1" s="203"/>
      <c r="T1" s="203"/>
      <c r="U1" s="203"/>
      <c r="V1" s="203"/>
      <c r="W1" s="203"/>
      <c r="X1" s="203"/>
      <c r="Y1" s="203"/>
      <c r="Z1" s="203"/>
      <c r="AA1" s="200"/>
    </row>
    <row r="2" spans="1:29" ht="13.5" thickBot="1" x14ac:dyDescent="0.25">
      <c r="J2" s="293"/>
      <c r="K2" s="141"/>
      <c r="L2" s="257"/>
      <c r="M2" s="257"/>
      <c r="N2" s="257"/>
      <c r="O2" s="148" t="s">
        <v>235</v>
      </c>
      <c r="P2" s="257"/>
      <c r="Q2" s="257"/>
      <c r="R2" s="257"/>
      <c r="S2" s="257"/>
      <c r="T2" s="141"/>
      <c r="U2" s="257"/>
      <c r="V2" s="257"/>
      <c r="W2" s="257"/>
      <c r="X2" s="385" t="s">
        <v>254</v>
      </c>
      <c r="Y2" s="384" t="s">
        <v>147</v>
      </c>
      <c r="Z2" s="141"/>
      <c r="AA2" s="53"/>
    </row>
    <row r="3" spans="1:29" x14ac:dyDescent="0.2">
      <c r="A3" s="220" t="s">
        <v>206</v>
      </c>
      <c r="B3" s="203"/>
      <c r="C3" s="203"/>
      <c r="D3" s="203"/>
      <c r="E3" s="201"/>
      <c r="F3" s="202"/>
      <c r="G3" s="201"/>
      <c r="H3" s="200"/>
      <c r="J3" s="126"/>
      <c r="K3" s="257"/>
      <c r="L3" s="141"/>
      <c r="M3" s="141"/>
      <c r="N3" s="141"/>
      <c r="O3" s="141"/>
      <c r="P3" s="141"/>
      <c r="Q3" s="141"/>
      <c r="R3" s="141"/>
      <c r="S3" s="141"/>
      <c r="T3" s="141"/>
      <c r="U3" s="257"/>
      <c r="V3" s="257"/>
      <c r="W3" s="257"/>
      <c r="X3" s="141"/>
      <c r="Y3" s="141"/>
      <c r="Z3" s="288">
        <f>_xll.ohTrigger(Z5:Z11)</f>
        <v>0</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83"/>
      <c r="L4" s="198"/>
      <c r="M4" s="198"/>
      <c r="N4" s="198"/>
      <c r="O4" s="287" t="e">
        <f ca="1">_xll.RData(O5:O11,P4:S4,,ReutersRtMode,,P5)</f>
        <v>#NAME?</v>
      </c>
      <c r="P4" s="324" t="s">
        <v>258</v>
      </c>
      <c r="Q4" s="324" t="s">
        <v>225</v>
      </c>
      <c r="R4" s="324" t="s">
        <v>240</v>
      </c>
      <c r="S4" s="324" t="s">
        <v>257</v>
      </c>
      <c r="T4" s="283" t="s">
        <v>256</v>
      </c>
      <c r="U4" s="257"/>
      <c r="V4" s="285" t="s">
        <v>252</v>
      </c>
      <c r="W4" s="257"/>
      <c r="X4" s="284" t="s">
        <v>251</v>
      </c>
      <c r="Y4" s="382" t="s">
        <v>250</v>
      </c>
      <c r="Z4" s="98" t="s">
        <v>249</v>
      </c>
      <c r="AA4" s="221"/>
      <c r="AC4" s="321"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EUR1S12_Quote#0000</v>
      </c>
      <c r="G5" s="26" t="str">
        <f>_xll.ohRangeRetrieveError(F5)</f>
        <v/>
      </c>
      <c r="H5" s="53"/>
      <c r="J5" s="126"/>
      <c r="K5" s="264"/>
      <c r="L5" s="307" t="s">
        <v>195</v>
      </c>
      <c r="M5" s="307">
        <v>12</v>
      </c>
      <c r="N5" s="267" t="str">
        <f t="shared" ref="N5:N11" si="1">Currency&amp;$L5&amp;$M5&amp;$K5</f>
        <v>EUR1S12</v>
      </c>
      <c r="O5" s="267" t="str">
        <f t="array" ref="O5:O11">Instruments&amp;"="&amp;VLOOKUP(Contributor,ContributorTable,2,FALSE)</f>
        <v>EUR1S12=ICAP</v>
      </c>
      <c r="P5" s="308">
        <v>0.33500000000000002</v>
      </c>
      <c r="Q5" s="308">
        <v>0.38500000000000001</v>
      </c>
      <c r="R5" s="308">
        <v>0</v>
      </c>
      <c r="S5" s="308">
        <v>0</v>
      </c>
      <c r="T5" s="381">
        <f>_xll.qlMidSafe($P5,$Q5)</f>
        <v>0.36</v>
      </c>
      <c r="U5" s="257"/>
      <c r="V5" s="265">
        <v>0.36</v>
      </c>
      <c r="W5" s="257"/>
      <c r="X5" s="264" t="str">
        <f t="shared" ref="X5:X11" si="2">$N5&amp;$Y$2</f>
        <v>EUR1S12_Quote</v>
      </c>
      <c r="Y5" s="263">
        <f t="array" ref="Y5:Y11">QuoteLive</f>
        <v>0.36</v>
      </c>
      <c r="Z5" s="262" t="e">
        <f>_xll.qlSimpleQuoteSetValue($X5,$Y5/100,Trigger)</f>
        <v>#NUM!</v>
      </c>
      <c r="AA5" s="221"/>
      <c r="AC5" s="296">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EUR2S12_Quote#0000</v>
      </c>
      <c r="G6" s="34" t="str">
        <f>_xll.ohRangeRetrieveError(F6)</f>
        <v/>
      </c>
      <c r="H6" s="53"/>
      <c r="J6" s="126"/>
      <c r="K6" s="264"/>
      <c r="L6" s="307" t="s">
        <v>196</v>
      </c>
      <c r="M6" s="307">
        <v>12</v>
      </c>
      <c r="N6" s="267" t="str">
        <f t="shared" si="1"/>
        <v>EUR2S12</v>
      </c>
      <c r="O6" s="267" t="str">
        <v>EUR2S12=ICAP</v>
      </c>
      <c r="P6" s="308">
        <v>0.39700000000000002</v>
      </c>
      <c r="Q6" s="308">
        <v>0.44700000000000001</v>
      </c>
      <c r="R6" s="308">
        <v>0</v>
      </c>
      <c r="S6" s="308">
        <v>0</v>
      </c>
      <c r="T6" s="381">
        <f>_xll.qlMidSafe($P6,$Q6)</f>
        <v>0.42200000000000004</v>
      </c>
      <c r="U6" s="257"/>
      <c r="V6" s="265">
        <v>0.42200000000000004</v>
      </c>
      <c r="W6" s="257"/>
      <c r="X6" s="264" t="str">
        <f t="shared" si="2"/>
        <v>EUR2S12_Quote</v>
      </c>
      <c r="Y6" s="263">
        <v>0.42200000000000004</v>
      </c>
      <c r="Z6" s="262" t="e">
        <f>_xll.qlSimpleQuoteSetValue($X6,$Y6/100,Trigger)</f>
        <v>#NUM!</v>
      </c>
      <c r="AA6" s="221"/>
      <c r="AC6" s="296">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EUR3S12_Quote#0000</v>
      </c>
      <c r="G7" s="34" t="str">
        <f>_xll.ohRangeRetrieveError(F7)</f>
        <v/>
      </c>
      <c r="H7" s="53"/>
      <c r="J7" s="126"/>
      <c r="K7" s="264"/>
      <c r="L7" s="307" t="s">
        <v>198</v>
      </c>
      <c r="M7" s="307">
        <v>12</v>
      </c>
      <c r="N7" s="267" t="str">
        <f t="shared" si="1"/>
        <v>EUR3S12</v>
      </c>
      <c r="O7" s="267" t="str">
        <v>EUR3S12=ICAP</v>
      </c>
      <c r="P7" s="308">
        <v>0.46100000000000002</v>
      </c>
      <c r="Q7" s="308">
        <v>0.51100000000000001</v>
      </c>
      <c r="R7" s="308">
        <v>0</v>
      </c>
      <c r="S7" s="308">
        <v>0</v>
      </c>
      <c r="T7" s="381">
        <f>_xll.qlMidSafe($P7,$Q7)</f>
        <v>0.48599999999999999</v>
      </c>
      <c r="U7" s="257"/>
      <c r="V7" s="265">
        <v>0.48599999999999999</v>
      </c>
      <c r="W7" s="257"/>
      <c r="X7" s="264" t="str">
        <f t="shared" si="2"/>
        <v>EUR3S12_Quote</v>
      </c>
      <c r="Y7" s="263">
        <v>0.48599999999999999</v>
      </c>
      <c r="Z7" s="262" t="e">
        <f>_xll.qlSimpleQuoteSetValue($X7,$Y7/100,Trigger)</f>
        <v>#NUM!</v>
      </c>
      <c r="AA7" s="221"/>
      <c r="AC7" s="296">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EUR4S12_Quote#0000</v>
      </c>
      <c r="G8" s="34" t="str">
        <f>_xll.ohRangeRetrieveError(F8)</f>
        <v/>
      </c>
      <c r="H8" s="53"/>
      <c r="J8" s="126"/>
      <c r="K8" s="264"/>
      <c r="L8" s="307" t="s">
        <v>197</v>
      </c>
      <c r="M8" s="307">
        <v>12</v>
      </c>
      <c r="N8" s="267" t="str">
        <f t="shared" si="1"/>
        <v>EUR4S12</v>
      </c>
      <c r="O8" s="267" t="str">
        <v>EUR4S12=ICAP</v>
      </c>
      <c r="P8" s="308">
        <v>0.52500000000000002</v>
      </c>
      <c r="Q8" s="308">
        <v>0.57499999999999996</v>
      </c>
      <c r="R8" s="308">
        <v>0</v>
      </c>
      <c r="S8" s="308">
        <v>0</v>
      </c>
      <c r="T8" s="381">
        <f>_xll.qlMidSafe($P8,$Q8)</f>
        <v>0.55000000000000004</v>
      </c>
      <c r="U8" s="257"/>
      <c r="V8" s="265">
        <v>0.55000000000000004</v>
      </c>
      <c r="W8" s="257"/>
      <c r="X8" s="264" t="str">
        <f t="shared" si="2"/>
        <v>EUR4S12_Quote</v>
      </c>
      <c r="Y8" s="263">
        <v>0.55000000000000004</v>
      </c>
      <c r="Z8" s="262" t="e">
        <f>_xll.qlSimpleQuoteSetValue($X8,$Y8/100,Trigger)</f>
        <v>#NUM!</v>
      </c>
      <c r="AA8" s="221"/>
      <c r="AC8" s="296">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EUR1S24_Quote#0000</v>
      </c>
      <c r="G9" s="34" t="str">
        <f>_xll.ohRangeRetrieveError(F9)</f>
        <v/>
      </c>
      <c r="H9" s="53"/>
      <c r="J9" s="126"/>
      <c r="K9" s="264"/>
      <c r="L9" s="307" t="s">
        <v>195</v>
      </c>
      <c r="M9" s="307">
        <v>24</v>
      </c>
      <c r="N9" s="267" t="str">
        <f t="shared" si="1"/>
        <v>EUR1S24</v>
      </c>
      <c r="O9" s="267" t="str">
        <v>EUR1S24=ICAP</v>
      </c>
      <c r="P9" s="308">
        <v>0.46400000000000002</v>
      </c>
      <c r="Q9" s="308">
        <v>0.51400000000000001</v>
      </c>
      <c r="R9" s="308">
        <v>0</v>
      </c>
      <c r="S9" s="308">
        <v>0</v>
      </c>
      <c r="T9" s="381">
        <f>_xll.qlMidSafe($P9,$Q9)</f>
        <v>0.48899999999999999</v>
      </c>
      <c r="U9" s="257"/>
      <c r="V9" s="265">
        <v>0.48899999999999999</v>
      </c>
      <c r="W9" s="257"/>
      <c r="X9" s="264" t="str">
        <f t="shared" si="2"/>
        <v>EUR1S24_Quote</v>
      </c>
      <c r="Y9" s="263">
        <v>0.48899999999999999</v>
      </c>
      <c r="Z9" s="262" t="e">
        <f>_xll.qlSimpleQuoteSetValue($X9,$Y9/100,Trigger)</f>
        <v>#NUM!</v>
      </c>
      <c r="AA9" s="221"/>
      <c r="AC9" s="296">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EUR2S24_Quote#0000</v>
      </c>
      <c r="G10" s="34" t="str">
        <f>_xll.ohRangeRetrieveError(F10)</f>
        <v/>
      </c>
      <c r="H10" s="53"/>
      <c r="J10" s="126"/>
      <c r="K10" s="264"/>
      <c r="L10" s="307" t="s">
        <v>196</v>
      </c>
      <c r="M10" s="307">
        <v>24</v>
      </c>
      <c r="N10" s="267" t="str">
        <f t="shared" si="1"/>
        <v>EUR2S24</v>
      </c>
      <c r="O10" s="267" t="str">
        <v>EUR2S24=ICAP</v>
      </c>
      <c r="P10" s="308">
        <v>0.53300000000000003</v>
      </c>
      <c r="Q10" s="308">
        <v>0.58299999999999996</v>
      </c>
      <c r="R10" s="308">
        <v>0</v>
      </c>
      <c r="S10" s="308">
        <v>0</v>
      </c>
      <c r="T10" s="381">
        <f>_xll.qlMidSafe($P10,$Q10)</f>
        <v>0.55800000000000005</v>
      </c>
      <c r="U10" s="257"/>
      <c r="V10" s="265">
        <v>0.55899999999999994</v>
      </c>
      <c r="W10" s="257"/>
      <c r="X10" s="264" t="str">
        <f t="shared" si="2"/>
        <v>EUR2S24_Quote</v>
      </c>
      <c r="Y10" s="263">
        <v>0.55800000000000005</v>
      </c>
      <c r="Z10" s="262" t="e">
        <f>_xll.qlSimpleQuoteSetValue($X10,$Y10/100,Trigger)</f>
        <v>#NUM!</v>
      </c>
      <c r="AA10" s="221"/>
      <c r="AC10" s="296">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EUR1S36_Quote#0000</v>
      </c>
      <c r="G11" s="34" t="str">
        <f>_xll.ohRangeRetrieveError(F11)</f>
        <v/>
      </c>
      <c r="H11" s="53"/>
      <c r="J11" s="126"/>
      <c r="K11" s="256"/>
      <c r="L11" s="312" t="s">
        <v>195</v>
      </c>
      <c r="M11" s="312">
        <v>36</v>
      </c>
      <c r="N11" s="260" t="str">
        <f t="shared" si="1"/>
        <v>EUR1S36</v>
      </c>
      <c r="O11" s="260" t="str">
        <v>EUR1S36=ICAP</v>
      </c>
      <c r="P11" s="313">
        <v>0.63600000000000001</v>
      </c>
      <c r="Q11" s="313">
        <v>0.68600000000000005</v>
      </c>
      <c r="R11" s="313">
        <v>0</v>
      </c>
      <c r="S11" s="313">
        <v>0</v>
      </c>
      <c r="T11" s="380">
        <f>_xll.qlMidSafe($P11,$Q11)</f>
        <v>0.66100000000000003</v>
      </c>
      <c r="U11" s="257"/>
      <c r="V11" s="258">
        <v>0.66100000000000003</v>
      </c>
      <c r="W11" s="257"/>
      <c r="X11" s="256" t="str">
        <f t="shared" si="2"/>
        <v>EUR1S36_Quote</v>
      </c>
      <c r="Y11" s="255">
        <v>0.66100000000000003</v>
      </c>
      <c r="Z11" s="254" t="e">
        <f>_xll.qlSimpleQuoteSetValue($X11,$Y11/100,Trigger)</f>
        <v>#NUM!</v>
      </c>
      <c r="AA11" s="221"/>
      <c r="AC11" s="296">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7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27"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3"/>
      <c r="O2" s="141"/>
      <c r="P2" s="257"/>
      <c r="Q2" s="257"/>
      <c r="R2" s="257"/>
      <c r="S2" s="148" t="s">
        <v>235</v>
      </c>
      <c r="T2" s="257"/>
      <c r="U2" s="257"/>
      <c r="V2" s="257"/>
      <c r="W2" s="257"/>
      <c r="X2" s="141"/>
      <c r="Y2" s="257"/>
      <c r="Z2" s="257"/>
      <c r="AA2" s="257"/>
      <c r="AB2" s="385" t="s">
        <v>254</v>
      </c>
      <c r="AC2" s="384" t="s">
        <v>147</v>
      </c>
      <c r="AD2" s="141"/>
      <c r="AE2" s="53"/>
      <c r="AF2" s="21"/>
      <c r="AG2" s="21"/>
      <c r="AH2" s="21"/>
      <c r="AI2" s="21"/>
      <c r="AJ2" s="21"/>
      <c r="AK2" s="21"/>
    </row>
    <row r="3" spans="1:37" ht="13.5" thickBot="1" x14ac:dyDescent="0.25">
      <c r="N3" s="126"/>
      <c r="O3" s="257"/>
      <c r="P3" s="141"/>
      <c r="Q3" s="141"/>
      <c r="R3" s="141"/>
      <c r="S3" s="141"/>
      <c r="T3" s="141"/>
      <c r="U3" s="141"/>
      <c r="V3" s="141"/>
      <c r="W3" s="141"/>
      <c r="X3" s="141"/>
      <c r="Y3" s="257"/>
      <c r="Z3" s="257"/>
      <c r="AA3" s="257"/>
      <c r="AB3" s="141"/>
      <c r="AC3" s="141"/>
      <c r="AD3" s="288">
        <f>_xll.ohTrigger(AD5:AD42)</f>
        <v>0</v>
      </c>
      <c r="AE3" s="221"/>
      <c r="AF3" s="21"/>
      <c r="AG3" s="21"/>
      <c r="AH3" s="21"/>
      <c r="AI3" s="21"/>
      <c r="AJ3" s="21"/>
      <c r="AK3" s="21"/>
    </row>
    <row r="4" spans="1:37" ht="23.25" thickBot="1" x14ac:dyDescent="0.25">
      <c r="A4" s="220" t="s">
        <v>206</v>
      </c>
      <c r="B4" s="203"/>
      <c r="C4" s="203"/>
      <c r="D4" s="203"/>
      <c r="E4" s="201"/>
      <c r="F4" s="202"/>
      <c r="G4" s="201"/>
      <c r="H4" s="200"/>
      <c r="N4" s="126"/>
      <c r="O4" s="383"/>
      <c r="P4" s="198"/>
      <c r="Q4" s="198"/>
      <c r="R4" s="198"/>
      <c r="S4" s="287" t="e">
        <f ca="1">_xll.RData(S5:S42,T4:W4,,ReutersRtMode,,T5)</f>
        <v>#NAME?</v>
      </c>
      <c r="T4" s="324" t="s">
        <v>258</v>
      </c>
      <c r="U4" s="324" t="s">
        <v>225</v>
      </c>
      <c r="V4" s="324" t="s">
        <v>240</v>
      </c>
      <c r="W4" s="324" t="s">
        <v>257</v>
      </c>
      <c r="X4" s="283" t="s">
        <v>256</v>
      </c>
      <c r="Y4" s="257"/>
      <c r="Z4" s="285" t="s">
        <v>252</v>
      </c>
      <c r="AA4" s="257"/>
      <c r="AB4" s="284" t="s">
        <v>251</v>
      </c>
      <c r="AC4" s="382" t="s">
        <v>250</v>
      </c>
      <c r="AD4" s="98" t="s">
        <v>249</v>
      </c>
      <c r="AE4" s="221"/>
      <c r="AF4" s="21"/>
      <c r="AG4" s="21"/>
      <c r="AH4" s="21"/>
      <c r="AI4" s="21"/>
      <c r="AJ4" s="21"/>
      <c r="AK4" s="321"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68" t="s">
        <v>40</v>
      </c>
      <c r="P5" s="307" t="str">
        <f t="array" ref="P5:P42">VLOOKUP(Currency,Conventions,2)</f>
        <v>AB</v>
      </c>
      <c r="Q5" s="307" t="str">
        <f t="array" ref="Q5:Q42">VLOOKUP(Currency,Conventions,3)</f>
        <v>3E</v>
      </c>
      <c r="R5" s="307" t="str">
        <f t="shared" ref="R5:R42" si="0">Currency&amp;$P5&amp;$Q5&amp;$O5</f>
        <v>EURAB3E6M</v>
      </c>
      <c r="S5" s="307" t="str">
        <f t="array" ref="S5:S42">Instruments&amp;"="&amp;VLOOKUP(Contributor,ContributorTable,2,FALSE)</f>
        <v>EURAB3E6M=ICAP</v>
      </c>
      <c r="T5" s="308" t="s">
        <v>259</v>
      </c>
      <c r="U5" s="308" t="s">
        <v>259</v>
      </c>
      <c r="V5" s="308" t="s">
        <v>259</v>
      </c>
      <c r="W5" s="308" t="s">
        <v>259</v>
      </c>
      <c r="X5" s="266" t="e">
        <f>_xll.qlMidSafe($T5,$U5)</f>
        <v>#NUM!</v>
      </c>
      <c r="Y5" s="257"/>
      <c r="Z5" s="265" t="e">
        <v>#NUM!</v>
      </c>
      <c r="AA5" s="257"/>
      <c r="AB5" s="264" t="str">
        <f t="shared" ref="AB5:AB42" si="1">$R5&amp;$AC$2</f>
        <v>EURAB3E6M_Quote</v>
      </c>
      <c r="AC5" s="263" t="e">
        <f t="array" ref="AC5:AC42">QuoteLive</f>
        <v>#NUM!</v>
      </c>
      <c r="AD5" s="262" t="e">
        <f>_xll.qlSimpleQuoteSetValue($AB5,$AC5/100,Trigger)</f>
        <v>#NUM!</v>
      </c>
      <c r="AE5" s="221"/>
      <c r="AF5" s="21"/>
      <c r="AG5" s="389" t="s">
        <v>137</v>
      </c>
      <c r="AH5" s="92" t="s">
        <v>201</v>
      </c>
      <c r="AI5" s="91" t="s">
        <v>130</v>
      </c>
      <c r="AJ5" s="21"/>
      <c r="AK5" s="296"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EURAB3E1Y_Quote#0000</v>
      </c>
      <c r="G6" s="26" t="str">
        <f>_xll.ohRangeRetrieveError(F6)</f>
        <v/>
      </c>
      <c r="H6" s="53"/>
      <c r="J6" s="209" t="s">
        <v>137</v>
      </c>
      <c r="K6" s="89" t="s">
        <v>201</v>
      </c>
      <c r="L6" s="88" t="s">
        <v>130</v>
      </c>
      <c r="N6" s="126"/>
      <c r="O6" s="268" t="s">
        <v>34</v>
      </c>
      <c r="P6" s="307" t="str">
        <v>AB</v>
      </c>
      <c r="Q6" s="307" t="str">
        <v>3E</v>
      </c>
      <c r="R6" s="307" t="str">
        <f t="shared" si="0"/>
        <v>EURAB3E1Y</v>
      </c>
      <c r="S6" s="307" t="str">
        <v>EURAB3E1Y=ICAP</v>
      </c>
      <c r="T6" s="308">
        <v>0.30199999999999999</v>
      </c>
      <c r="U6" s="308">
        <v>0.35199999999999998</v>
      </c>
      <c r="V6" s="308">
        <v>0</v>
      </c>
      <c r="W6" s="308">
        <v>0</v>
      </c>
      <c r="X6" s="266">
        <f>_xll.qlMidSafe($T6,$U6)</f>
        <v>0.32699999999999996</v>
      </c>
      <c r="Y6" s="257"/>
      <c r="Z6" s="265">
        <v>0.32699999999999996</v>
      </c>
      <c r="AA6" s="257"/>
      <c r="AB6" s="264" t="str">
        <f t="shared" si="1"/>
        <v>EURAB3E1Y_Quote</v>
      </c>
      <c r="AC6" s="263">
        <v>0.32699999999999996</v>
      </c>
      <c r="AD6" s="262" t="e">
        <f>_xll.qlSimpleQuoteSetValue($AB6,$AC6/100,Trigger)</f>
        <v>#NUM!</v>
      </c>
      <c r="AE6" s="221"/>
      <c r="AF6" s="21"/>
      <c r="AG6" s="209" t="s">
        <v>123</v>
      </c>
      <c r="AH6" s="89" t="s">
        <v>201</v>
      </c>
      <c r="AI6" s="88" t="s">
        <v>142</v>
      </c>
      <c r="AJ6" s="21"/>
      <c r="AK6" s="296">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EURAB3E15M_Quote#0000</v>
      </c>
      <c r="G7" s="34" t="str">
        <f>_xll.ohRangeRetrieveError(F7)</f>
        <v/>
      </c>
      <c r="H7" s="53"/>
      <c r="J7" s="209" t="s">
        <v>123</v>
      </c>
      <c r="K7" s="89" t="s">
        <v>201</v>
      </c>
      <c r="L7" s="88" t="s">
        <v>142</v>
      </c>
      <c r="N7" s="126"/>
      <c r="O7" s="268" t="s">
        <v>140</v>
      </c>
      <c r="P7" s="307" t="str">
        <v>AB</v>
      </c>
      <c r="Q7" s="307" t="str">
        <v>3E</v>
      </c>
      <c r="R7" s="307" t="str">
        <f t="shared" si="0"/>
        <v>EURAB3E15M</v>
      </c>
      <c r="S7" s="307" t="str">
        <v>EURAB3E15M=ICAP</v>
      </c>
      <c r="T7" s="308">
        <v>0.33400000000000002</v>
      </c>
      <c r="U7" s="308">
        <v>0.38400000000000001</v>
      </c>
      <c r="V7" s="308">
        <v>0</v>
      </c>
      <c r="W7" s="308">
        <v>0</v>
      </c>
      <c r="X7" s="266">
        <f>_xll.qlMidSafe($T7,$U7)</f>
        <v>0.35899999999999999</v>
      </c>
      <c r="Y7" s="257"/>
      <c r="Z7" s="265">
        <v>0.35799999999999998</v>
      </c>
      <c r="AA7" s="257"/>
      <c r="AB7" s="264" t="str">
        <f t="shared" si="1"/>
        <v>EURAB3E15M_Quote</v>
      </c>
      <c r="AC7" s="263">
        <v>0.35899999999999999</v>
      </c>
      <c r="AD7" s="262" t="e">
        <f>_xll.qlSimpleQuoteSetValue($AB7,$AC7/100,Trigger)</f>
        <v>#NUM!</v>
      </c>
      <c r="AE7" s="221"/>
      <c r="AF7" s="21"/>
      <c r="AG7" s="209" t="s">
        <v>134</v>
      </c>
      <c r="AH7" s="89" t="s">
        <v>199</v>
      </c>
      <c r="AI7" s="88" t="s">
        <v>130</v>
      </c>
      <c r="AJ7" s="21"/>
      <c r="AK7" s="296">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EURAB3E18M_Quote#0000</v>
      </c>
      <c r="G8" s="34" t="str">
        <f>_xll.ohRangeRetrieveError(F8)</f>
        <v/>
      </c>
      <c r="H8" s="53"/>
      <c r="J8" s="209" t="s">
        <v>134</v>
      </c>
      <c r="K8" s="89" t="s">
        <v>199</v>
      </c>
      <c r="L8" s="88" t="s">
        <v>130</v>
      </c>
      <c r="N8" s="126"/>
      <c r="O8" s="268" t="s">
        <v>139</v>
      </c>
      <c r="P8" s="307" t="str">
        <v>AB</v>
      </c>
      <c r="Q8" s="307" t="str">
        <v>3E</v>
      </c>
      <c r="R8" s="307" t="str">
        <f t="shared" si="0"/>
        <v>EURAB3E18M</v>
      </c>
      <c r="S8" s="307" t="str">
        <v>EURAB3E18M=ICAP</v>
      </c>
      <c r="T8" s="308">
        <v>0.36699999999999999</v>
      </c>
      <c r="U8" s="308">
        <v>0.41699999999999998</v>
      </c>
      <c r="V8" s="308">
        <v>0</v>
      </c>
      <c r="W8" s="308">
        <v>0</v>
      </c>
      <c r="X8" s="266">
        <f>_xll.qlMidSafe($T8,$U8)</f>
        <v>0.39200000000000002</v>
      </c>
      <c r="Y8" s="257"/>
      <c r="Z8" s="265">
        <v>0.39</v>
      </c>
      <c r="AA8" s="257"/>
      <c r="AB8" s="264" t="str">
        <f t="shared" si="1"/>
        <v>EURAB3E18M_Quote</v>
      </c>
      <c r="AC8" s="263">
        <v>0.39200000000000002</v>
      </c>
      <c r="AD8" s="262" t="e">
        <f>_xll.qlSimpleQuoteSetValue($AB8,$AC8/100,Trigger)</f>
        <v>#NUM!</v>
      </c>
      <c r="AE8" s="221"/>
      <c r="AF8" s="21"/>
      <c r="AG8" s="209" t="s">
        <v>283</v>
      </c>
      <c r="AH8" s="89" t="s">
        <v>282</v>
      </c>
      <c r="AI8" s="88" t="s">
        <v>281</v>
      </c>
      <c r="AJ8" s="21"/>
      <c r="AK8" s="296">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EURAB3E21M_Quote#0000</v>
      </c>
      <c r="G9" s="34" t="str">
        <f>_xll.ohRangeRetrieveError(F9)</f>
        <v/>
      </c>
      <c r="H9" s="53"/>
      <c r="J9" s="209" t="s">
        <v>133</v>
      </c>
      <c r="K9" s="89" t="s">
        <v>200</v>
      </c>
      <c r="L9" s="88" t="s">
        <v>130</v>
      </c>
      <c r="N9" s="126"/>
      <c r="O9" s="268" t="s">
        <v>138</v>
      </c>
      <c r="P9" s="307" t="str">
        <v>AB</v>
      </c>
      <c r="Q9" s="307" t="str">
        <v>3E</v>
      </c>
      <c r="R9" s="307" t="str">
        <f t="shared" si="0"/>
        <v>EURAB3E21M</v>
      </c>
      <c r="S9" s="307" t="str">
        <v>EURAB3E21M=ICAP</v>
      </c>
      <c r="T9" s="308">
        <v>0.39800000000000002</v>
      </c>
      <c r="U9" s="308">
        <v>0.44800000000000001</v>
      </c>
      <c r="V9" s="308">
        <v>0</v>
      </c>
      <c r="W9" s="308">
        <v>0</v>
      </c>
      <c r="X9" s="266">
        <f>_xll.qlMidSafe($T9,$U9)</f>
        <v>0.42300000000000004</v>
      </c>
      <c r="Y9" s="257"/>
      <c r="Z9" s="265">
        <v>0.42200000000000004</v>
      </c>
      <c r="AA9" s="257"/>
      <c r="AB9" s="264" t="str">
        <f t="shared" si="1"/>
        <v>EURAB3E21M_Quote</v>
      </c>
      <c r="AC9" s="263">
        <v>0.42300000000000004</v>
      </c>
      <c r="AD9" s="262" t="e">
        <f>_xll.qlSimpleQuoteSetValue($AB9,$AC9/100,Trigger)</f>
        <v>#NUM!</v>
      </c>
      <c r="AE9" s="221"/>
      <c r="AF9" s="21"/>
      <c r="AG9" s="209" t="s">
        <v>133</v>
      </c>
      <c r="AH9" s="89" t="s">
        <v>200</v>
      </c>
      <c r="AI9" s="88" t="s">
        <v>130</v>
      </c>
      <c r="AJ9" s="21"/>
      <c r="AK9" s="296">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EURAB3E2Y_Quote#0000</v>
      </c>
      <c r="G10" s="34" t="str">
        <f>_xll.ohRangeRetrieveError(F10)</f>
        <v/>
      </c>
      <c r="H10" s="53"/>
      <c r="J10" s="208" t="s">
        <v>131</v>
      </c>
      <c r="K10" s="86" t="s">
        <v>199</v>
      </c>
      <c r="L10" s="85" t="s">
        <v>130</v>
      </c>
      <c r="N10" s="126"/>
      <c r="O10" s="268" t="s">
        <v>115</v>
      </c>
      <c r="P10" s="307" t="str">
        <v>AB</v>
      </c>
      <c r="Q10" s="307" t="str">
        <v>3E</v>
      </c>
      <c r="R10" s="307" t="str">
        <f t="shared" si="0"/>
        <v>EURAB3E2Y</v>
      </c>
      <c r="S10" s="307" t="str">
        <v>EURAB3E2Y=ICAP</v>
      </c>
      <c r="T10" s="308">
        <v>0.432</v>
      </c>
      <c r="U10" s="308">
        <v>0.48199999999999998</v>
      </c>
      <c r="V10" s="308">
        <v>0</v>
      </c>
      <c r="W10" s="308">
        <v>0</v>
      </c>
      <c r="X10" s="266">
        <f>_xll.qlMidSafe($T10,$U10)</f>
        <v>0.45699999999999996</v>
      </c>
      <c r="Y10" s="257"/>
      <c r="Z10" s="265">
        <v>0.45499999999999996</v>
      </c>
      <c r="AA10" s="257"/>
      <c r="AB10" s="264" t="str">
        <f t="shared" si="1"/>
        <v>EURAB3E2Y_Quote</v>
      </c>
      <c r="AC10" s="263">
        <v>0.45699999999999996</v>
      </c>
      <c r="AD10" s="262" t="e">
        <f>_xll.qlSimpleQuoteSetValue($AB10,$AC10/100,Trigger)</f>
        <v>#NUM!</v>
      </c>
      <c r="AE10" s="221"/>
      <c r="AF10" s="21"/>
      <c r="AG10" s="208" t="s">
        <v>131</v>
      </c>
      <c r="AH10" s="86" t="s">
        <v>199</v>
      </c>
      <c r="AI10" s="85" t="s">
        <v>130</v>
      </c>
      <c r="AJ10" s="21"/>
      <c r="AK10" s="296">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EURAB3E3Y_Quote#0000</v>
      </c>
      <c r="G11" s="34" t="str">
        <f>_xll.ohRangeRetrieveError(F11)</f>
        <v/>
      </c>
      <c r="H11" s="53"/>
      <c r="N11" s="126"/>
      <c r="O11" s="268" t="s">
        <v>114</v>
      </c>
      <c r="P11" s="387" t="str">
        <v>AB</v>
      </c>
      <c r="Q11" s="387" t="str">
        <v>3E</v>
      </c>
      <c r="R11" s="307" t="str">
        <f t="shared" si="0"/>
        <v>EURAB3E3Y</v>
      </c>
      <c r="S11" s="307" t="str">
        <v>EURAB3E3Y=ICAP</v>
      </c>
      <c r="T11" s="308">
        <v>0.59599999999999997</v>
      </c>
      <c r="U11" s="308">
        <v>0.64600000000000002</v>
      </c>
      <c r="V11" s="308">
        <v>0</v>
      </c>
      <c r="W11" s="308">
        <v>0</v>
      </c>
      <c r="X11" s="266">
        <f>_xll.qlMidSafe($T11,$U11)</f>
        <v>0.621</v>
      </c>
      <c r="Y11" s="257"/>
      <c r="Z11" s="265">
        <v>0.61899999999999999</v>
      </c>
      <c r="AA11" s="257"/>
      <c r="AB11" s="264" t="str">
        <f t="shared" si="1"/>
        <v>EURAB3E3Y_Quote</v>
      </c>
      <c r="AC11" s="263">
        <v>0.621</v>
      </c>
      <c r="AD11" s="262" t="e">
        <f>_xll.qlSimpleQuoteSetValue($AB11,$AC11/100,Trigger)</f>
        <v>#NUM!</v>
      </c>
      <c r="AE11" s="221"/>
      <c r="AF11" s="21"/>
      <c r="AG11" s="21"/>
      <c r="AH11" s="21"/>
      <c r="AI11" s="21"/>
      <c r="AJ11" s="21"/>
      <c r="AK11" s="296">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EURAB3E4Y_Quote#0000</v>
      </c>
      <c r="G12" s="34" t="str">
        <f>_xll.ohRangeRetrieveError(F12)</f>
        <v/>
      </c>
      <c r="H12" s="53"/>
      <c r="N12" s="126"/>
      <c r="O12" s="268" t="s">
        <v>113</v>
      </c>
      <c r="P12" s="387" t="str">
        <v>AB</v>
      </c>
      <c r="Q12" s="387" t="str">
        <v>3E</v>
      </c>
      <c r="R12" s="307" t="str">
        <f t="shared" si="0"/>
        <v>EURAB3E4Y</v>
      </c>
      <c r="S12" s="307" t="str">
        <v>EURAB3E4Y=ICAP</v>
      </c>
      <c r="T12" s="308">
        <v>0.81299999999999994</v>
      </c>
      <c r="U12" s="308">
        <v>0.86299999999999999</v>
      </c>
      <c r="V12" s="308">
        <v>0</v>
      </c>
      <c r="W12" s="308">
        <v>0</v>
      </c>
      <c r="X12" s="266">
        <f>_xll.qlMidSafe($T12,$U12)</f>
        <v>0.83799999999999997</v>
      </c>
      <c r="Y12" s="257"/>
      <c r="Z12" s="265">
        <v>0.83600000000000008</v>
      </c>
      <c r="AA12" s="257"/>
      <c r="AB12" s="264" t="str">
        <f t="shared" si="1"/>
        <v>EURAB3E4Y_Quote</v>
      </c>
      <c r="AC12" s="263">
        <v>0.83799999999999997</v>
      </c>
      <c r="AD12" s="262" t="e">
        <f>_xll.qlSimpleQuoteSetValue($AB12,$AC12/100,Trigger)</f>
        <v>#NUM!</v>
      </c>
      <c r="AE12" s="221"/>
      <c r="AF12" s="21"/>
      <c r="AG12" s="21"/>
      <c r="AH12" s="21"/>
      <c r="AI12" s="21"/>
      <c r="AJ12" s="21"/>
      <c r="AK12" s="296">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EURAB3E5Y_Quote#0000</v>
      </c>
      <c r="G13" s="34" t="str">
        <f>_xll.ohRangeRetrieveError(F13)</f>
        <v/>
      </c>
      <c r="H13" s="53"/>
      <c r="N13" s="126"/>
      <c r="O13" s="268" t="s">
        <v>112</v>
      </c>
      <c r="P13" s="387" t="str">
        <v>AB</v>
      </c>
      <c r="Q13" s="387" t="str">
        <v>3E</v>
      </c>
      <c r="R13" s="307" t="str">
        <f t="shared" si="0"/>
        <v>EURAB3E5Y</v>
      </c>
      <c r="S13" s="307" t="str">
        <v>EURAB3E5Y=ICAP</v>
      </c>
      <c r="T13" s="308">
        <v>1.04</v>
      </c>
      <c r="U13" s="308">
        <v>1.0900000000000001</v>
      </c>
      <c r="V13" s="308">
        <v>0</v>
      </c>
      <c r="W13" s="308">
        <v>0</v>
      </c>
      <c r="X13" s="266">
        <f>_xll.qlMidSafe($T13,$U13)</f>
        <v>1.0649999999999999</v>
      </c>
      <c r="Y13" s="257"/>
      <c r="Z13" s="265">
        <v>1.0630000000000002</v>
      </c>
      <c r="AA13" s="257"/>
      <c r="AB13" s="264" t="str">
        <f t="shared" si="1"/>
        <v>EURAB3E5Y_Quote</v>
      </c>
      <c r="AC13" s="263">
        <v>1.0649999999999999</v>
      </c>
      <c r="AD13" s="262" t="e">
        <f>_xll.qlSimpleQuoteSetValue($AB13,$AC13/100,Trigger)</f>
        <v>#NUM!</v>
      </c>
      <c r="AE13" s="221"/>
      <c r="AF13" s="21"/>
      <c r="AG13" s="21"/>
      <c r="AH13" s="21"/>
      <c r="AI13" s="21"/>
      <c r="AJ13" s="21"/>
      <c r="AK13" s="296">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EURAB3E6Y_Quote#0000</v>
      </c>
      <c r="G14" s="34" t="str">
        <f>_xll.ohRangeRetrieveError(F14)</f>
        <v/>
      </c>
      <c r="H14" s="53"/>
      <c r="N14" s="126"/>
      <c r="O14" s="268" t="s">
        <v>111</v>
      </c>
      <c r="P14" s="387" t="str">
        <v>AB</v>
      </c>
      <c r="Q14" s="387" t="str">
        <v>3E</v>
      </c>
      <c r="R14" s="307" t="str">
        <f t="shared" si="0"/>
        <v>EURAB3E6Y</v>
      </c>
      <c r="S14" s="307" t="str">
        <v>EURAB3E6Y=ICAP</v>
      </c>
      <c r="T14" s="308">
        <v>1.238</v>
      </c>
      <c r="U14" s="308">
        <v>1.288</v>
      </c>
      <c r="V14" s="308">
        <v>0</v>
      </c>
      <c r="W14" s="308">
        <v>0</v>
      </c>
      <c r="X14" s="266">
        <f>_xll.qlMidSafe($T14,$U14)</f>
        <v>1.2629999999999999</v>
      </c>
      <c r="Y14" s="257"/>
      <c r="Z14" s="265">
        <v>1.2629999999999999</v>
      </c>
      <c r="AA14" s="257"/>
      <c r="AB14" s="264" t="str">
        <f t="shared" si="1"/>
        <v>EURAB3E6Y_Quote</v>
      </c>
      <c r="AC14" s="263">
        <v>1.2629999999999999</v>
      </c>
      <c r="AD14" s="262" t="e">
        <f>_xll.qlSimpleQuoteSetValue($AB14,$AC14/100,Trigger)</f>
        <v>#NUM!</v>
      </c>
      <c r="AE14" s="221"/>
      <c r="AF14" s="21"/>
      <c r="AG14" s="21"/>
      <c r="AH14" s="21"/>
      <c r="AI14" s="21"/>
      <c r="AJ14" s="21"/>
      <c r="AK14" s="296">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EURAB3E7Y_Quote#0000</v>
      </c>
      <c r="G15" s="34" t="str">
        <f>_xll.ohRangeRetrieveError(F15)</f>
        <v/>
      </c>
      <c r="H15" s="53"/>
      <c r="N15" s="126"/>
      <c r="O15" s="268" t="s">
        <v>110</v>
      </c>
      <c r="P15" s="387" t="str">
        <v>AB</v>
      </c>
      <c r="Q15" s="387" t="str">
        <v>3E</v>
      </c>
      <c r="R15" s="307" t="str">
        <f t="shared" si="0"/>
        <v>EURAB3E7Y</v>
      </c>
      <c r="S15" s="307" t="str">
        <v>EURAB3E7Y=ICAP</v>
      </c>
      <c r="T15" s="308">
        <v>1.4139999999999999</v>
      </c>
      <c r="U15" s="308">
        <v>1.464</v>
      </c>
      <c r="V15" s="308">
        <v>0</v>
      </c>
      <c r="W15" s="308">
        <v>0</v>
      </c>
      <c r="X15" s="266">
        <f>_xll.qlMidSafe($T15,$U15)</f>
        <v>1.4390000000000001</v>
      </c>
      <c r="Y15" s="257"/>
      <c r="Z15" s="265">
        <v>1.4390000000000001</v>
      </c>
      <c r="AA15" s="257"/>
      <c r="AB15" s="264" t="str">
        <f t="shared" si="1"/>
        <v>EURAB3E7Y_Quote</v>
      </c>
      <c r="AC15" s="263">
        <v>1.4390000000000001</v>
      </c>
      <c r="AD15" s="262" t="e">
        <f>_xll.qlSimpleQuoteSetValue($AB15,$AC15/100,Trigger)</f>
        <v>#NUM!</v>
      </c>
      <c r="AE15" s="221"/>
      <c r="AF15" s="21"/>
      <c r="AG15" s="21"/>
      <c r="AH15" s="21"/>
      <c r="AI15" s="21"/>
      <c r="AJ15" s="21"/>
      <c r="AK15" s="296">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EURAB3E8Y_Quote#0000</v>
      </c>
      <c r="G16" s="34" t="str">
        <f>_xll.ohRangeRetrieveError(F16)</f>
        <v/>
      </c>
      <c r="H16" s="53"/>
      <c r="N16" s="126"/>
      <c r="O16" s="268" t="s">
        <v>109</v>
      </c>
      <c r="P16" s="387" t="str">
        <v>AB</v>
      </c>
      <c r="Q16" s="387" t="str">
        <v>3E</v>
      </c>
      <c r="R16" s="307" t="str">
        <f t="shared" si="0"/>
        <v>EURAB3E8Y</v>
      </c>
      <c r="S16" s="307" t="str">
        <v>EURAB3E8Y=ICAP</v>
      </c>
      <c r="T16" s="308">
        <v>1.57</v>
      </c>
      <c r="U16" s="308">
        <v>1.62</v>
      </c>
      <c r="V16" s="308">
        <v>0</v>
      </c>
      <c r="W16" s="308">
        <v>0</v>
      </c>
      <c r="X16" s="266">
        <f>_xll.qlMidSafe($T16,$U16)</f>
        <v>1.5950000000000002</v>
      </c>
      <c r="Y16" s="257"/>
      <c r="Z16" s="265">
        <v>1.5950000000000002</v>
      </c>
      <c r="AA16" s="257"/>
      <c r="AB16" s="264" t="str">
        <f t="shared" si="1"/>
        <v>EURAB3E8Y_Quote</v>
      </c>
      <c r="AC16" s="263">
        <v>1.5950000000000002</v>
      </c>
      <c r="AD16" s="262" t="e">
        <f>_xll.qlSimpleQuoteSetValue($AB16,$AC16/100,Trigger)</f>
        <v>#NUM!</v>
      </c>
      <c r="AE16" s="221"/>
      <c r="AF16" s="21"/>
      <c r="AG16" s="21"/>
      <c r="AH16" s="21"/>
      <c r="AI16" s="21"/>
      <c r="AJ16" s="21"/>
      <c r="AK16" s="296">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EURAB3E9Y_Quote#0000</v>
      </c>
      <c r="G17" s="34" t="str">
        <f>_xll.ohRangeRetrieveError(F17)</f>
        <v/>
      </c>
      <c r="H17" s="53"/>
      <c r="N17" s="126"/>
      <c r="O17" s="268" t="s">
        <v>108</v>
      </c>
      <c r="P17" s="387" t="str">
        <v>AB</v>
      </c>
      <c r="Q17" s="387" t="str">
        <v>3E</v>
      </c>
      <c r="R17" s="307" t="str">
        <f t="shared" si="0"/>
        <v>EURAB3E9Y</v>
      </c>
      <c r="S17" s="307" t="str">
        <v>EURAB3E9Y=ICAP</v>
      </c>
      <c r="T17" s="308">
        <v>1.7150000000000001</v>
      </c>
      <c r="U17" s="308">
        <v>1.7649999999999999</v>
      </c>
      <c r="V17" s="308">
        <v>0</v>
      </c>
      <c r="W17" s="308">
        <v>0</v>
      </c>
      <c r="X17" s="266">
        <f>_xll.qlMidSafe($T17,$U17)</f>
        <v>1.74</v>
      </c>
      <c r="Y17" s="257"/>
      <c r="Z17" s="265">
        <v>1.74</v>
      </c>
      <c r="AA17" s="257"/>
      <c r="AB17" s="264" t="str">
        <f t="shared" si="1"/>
        <v>EURAB3E9Y_Quote</v>
      </c>
      <c r="AC17" s="263">
        <v>1.74</v>
      </c>
      <c r="AD17" s="262" t="e">
        <f>_xll.qlSimpleQuoteSetValue($AB17,$AC17/100,Trigger)</f>
        <v>#NUM!</v>
      </c>
      <c r="AE17" s="221"/>
      <c r="AF17" s="21"/>
      <c r="AG17" s="21"/>
      <c r="AH17" s="21"/>
      <c r="AI17" s="21"/>
      <c r="AJ17" s="21"/>
      <c r="AK17" s="296">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EURAB3E10Y_Quote#0000</v>
      </c>
      <c r="G18" s="34" t="str">
        <f>_xll.ohRangeRetrieveError(F18)</f>
        <v/>
      </c>
      <c r="H18" s="53"/>
      <c r="N18" s="126"/>
      <c r="O18" s="268" t="s">
        <v>107</v>
      </c>
      <c r="P18" s="387" t="str">
        <v>AB</v>
      </c>
      <c r="Q18" s="387" t="str">
        <v>3E</v>
      </c>
      <c r="R18" s="307" t="str">
        <f t="shared" si="0"/>
        <v>EURAB3E10Y</v>
      </c>
      <c r="S18" s="307" t="str">
        <v>EURAB3E10Y=ICAP</v>
      </c>
      <c r="T18" s="308">
        <v>1.8460000000000001</v>
      </c>
      <c r="U18" s="308">
        <v>1.8959999999999999</v>
      </c>
      <c r="V18" s="308">
        <v>0</v>
      </c>
      <c r="W18" s="308">
        <v>0</v>
      </c>
      <c r="X18" s="266">
        <f>_xll.qlMidSafe($T18,$U18)</f>
        <v>1.871</v>
      </c>
      <c r="Y18" s="257"/>
      <c r="Z18" s="265">
        <v>1.871</v>
      </c>
      <c r="AA18" s="257"/>
      <c r="AB18" s="264" t="str">
        <f t="shared" si="1"/>
        <v>EURAB3E10Y_Quote</v>
      </c>
      <c r="AC18" s="263">
        <v>1.871</v>
      </c>
      <c r="AD18" s="262" t="e">
        <f>_xll.qlSimpleQuoteSetValue($AB18,$AC18/100,Trigger)</f>
        <v>#NUM!</v>
      </c>
      <c r="AE18" s="221"/>
      <c r="AF18" s="21"/>
      <c r="AG18" s="21"/>
      <c r="AH18" s="21"/>
      <c r="AI18" s="21"/>
      <c r="AJ18" s="21"/>
      <c r="AK18" s="296">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EURAB3E11Y_Quote#0000</v>
      </c>
      <c r="G19" s="34" t="str">
        <f>_xll.ohRangeRetrieveError(F19)</f>
        <v/>
      </c>
      <c r="H19" s="53"/>
      <c r="N19" s="126"/>
      <c r="O19" s="268" t="s">
        <v>106</v>
      </c>
      <c r="P19" s="387" t="str">
        <v>AB</v>
      </c>
      <c r="Q19" s="387" t="str">
        <v>3E</v>
      </c>
      <c r="R19" s="307" t="str">
        <f t="shared" si="0"/>
        <v>EURAB3E11Y</v>
      </c>
      <c r="S19" s="307" t="str">
        <v>EURAB3E11Y=ICAP</v>
      </c>
      <c r="T19" s="308">
        <v>1.9610000000000001</v>
      </c>
      <c r="U19" s="308">
        <v>2.0110000000000001</v>
      </c>
      <c r="V19" s="308">
        <v>0</v>
      </c>
      <c r="W19" s="308">
        <v>0</v>
      </c>
      <c r="X19" s="266">
        <f>_xll.qlMidSafe($T19,$U19)</f>
        <v>1.9860000000000002</v>
      </c>
      <c r="Y19" s="257"/>
      <c r="Z19" s="265">
        <v>1.9860000000000002</v>
      </c>
      <c r="AA19" s="257"/>
      <c r="AB19" s="264" t="str">
        <f t="shared" si="1"/>
        <v>EURAB3E11Y_Quote</v>
      </c>
      <c r="AC19" s="263">
        <v>1.9860000000000002</v>
      </c>
      <c r="AD19" s="262" t="e">
        <f>_xll.qlSimpleQuoteSetValue($AB19,$AC19/100,Trigger)</f>
        <v>#NUM!</v>
      </c>
      <c r="AE19" s="221"/>
      <c r="AF19" s="21"/>
      <c r="AG19" s="21"/>
      <c r="AH19" s="21"/>
      <c r="AI19" s="21"/>
      <c r="AJ19" s="21"/>
      <c r="AK19" s="296">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EURAB3E12Y_Quote#0000</v>
      </c>
      <c r="G20" s="34" t="str">
        <f>_xll.ohRangeRetrieveError(F20)</f>
        <v/>
      </c>
      <c r="H20" s="53"/>
      <c r="N20" s="126"/>
      <c r="O20" s="268" t="s">
        <v>105</v>
      </c>
      <c r="P20" s="387" t="str">
        <v>AB</v>
      </c>
      <c r="Q20" s="387" t="str">
        <v>3E</v>
      </c>
      <c r="R20" s="307" t="str">
        <f t="shared" si="0"/>
        <v>EURAB3E12Y</v>
      </c>
      <c r="S20" s="307" t="str">
        <v>EURAB3E12Y=ICAP</v>
      </c>
      <c r="T20" s="308">
        <v>2.0590000000000002</v>
      </c>
      <c r="U20" s="308">
        <v>2.109</v>
      </c>
      <c r="V20" s="308">
        <v>0</v>
      </c>
      <c r="W20" s="308">
        <v>0</v>
      </c>
      <c r="X20" s="266">
        <f>_xll.qlMidSafe($T20,$U20)</f>
        <v>2.0840000000000001</v>
      </c>
      <c r="Y20" s="257"/>
      <c r="Z20" s="265">
        <v>2.0840000000000001</v>
      </c>
      <c r="AA20" s="257"/>
      <c r="AB20" s="264" t="str">
        <f t="shared" si="1"/>
        <v>EURAB3E12Y_Quote</v>
      </c>
      <c r="AC20" s="263">
        <v>2.0840000000000001</v>
      </c>
      <c r="AD20" s="262" t="e">
        <f>_xll.qlSimpleQuoteSetValue($AB20,$AC20/100,Trigger)</f>
        <v>#NUM!</v>
      </c>
      <c r="AE20" s="221"/>
      <c r="AF20" s="21"/>
      <c r="AG20" s="21"/>
      <c r="AH20" s="21"/>
      <c r="AI20" s="21"/>
      <c r="AJ20" s="21"/>
      <c r="AK20" s="296">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EURAB3E13Y_Quote#0000</v>
      </c>
      <c r="G21" s="34" t="str">
        <f>_xll.ohRangeRetrieveError(F21)</f>
        <v/>
      </c>
      <c r="H21" s="53"/>
      <c r="N21" s="126"/>
      <c r="O21" s="268" t="s">
        <v>104</v>
      </c>
      <c r="P21" s="387" t="str">
        <v>AB</v>
      </c>
      <c r="Q21" s="387" t="str">
        <v>3E</v>
      </c>
      <c r="R21" s="307" t="str">
        <f t="shared" si="0"/>
        <v>EURAB3E13Y</v>
      </c>
      <c r="S21" s="307" t="str">
        <v>EURAB3E13Y=ICAP</v>
      </c>
      <c r="T21" s="308" t="s">
        <v>259</v>
      </c>
      <c r="U21" s="308" t="s">
        <v>259</v>
      </c>
      <c r="V21" s="308" t="s">
        <v>259</v>
      </c>
      <c r="W21" s="308" t="s">
        <v>259</v>
      </c>
      <c r="X21" s="266" t="e">
        <f>_xll.qlMidSafe($T21,$U21)</f>
        <v>#NUM!</v>
      </c>
      <c r="Y21" s="257"/>
      <c r="Z21" s="265" t="e">
        <v>#NUM!</v>
      </c>
      <c r="AA21" s="257"/>
      <c r="AB21" s="264" t="str">
        <f t="shared" si="1"/>
        <v>EURAB3E13Y_Quote</v>
      </c>
      <c r="AC21" s="263" t="e">
        <v>#NUM!</v>
      </c>
      <c r="AD21" s="262" t="e">
        <f>_xll.qlSimpleQuoteSetValue($AB21,$AC21/100,Trigger)</f>
        <v>#NUM!</v>
      </c>
      <c r="AE21" s="221"/>
      <c r="AF21" s="21"/>
      <c r="AG21" s="21"/>
      <c r="AH21" s="21"/>
      <c r="AI21" s="21"/>
      <c r="AJ21" s="21"/>
      <c r="AK21" s="296"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EURAB3E14Y_Quote#0000</v>
      </c>
      <c r="G22" s="34" t="str">
        <f>_xll.ohRangeRetrieveError(F22)</f>
        <v/>
      </c>
      <c r="H22" s="53"/>
      <c r="N22" s="126"/>
      <c r="O22" s="268" t="s">
        <v>103</v>
      </c>
      <c r="P22" s="387" t="str">
        <v>AB</v>
      </c>
      <c r="Q22" s="387" t="str">
        <v>3E</v>
      </c>
      <c r="R22" s="307" t="str">
        <f t="shared" si="0"/>
        <v>EURAB3E14Y</v>
      </c>
      <c r="S22" s="307" t="str">
        <v>EURAB3E14Y=ICAP</v>
      </c>
      <c r="T22" s="308" t="s">
        <v>259</v>
      </c>
      <c r="U22" s="308" t="s">
        <v>259</v>
      </c>
      <c r="V22" s="308" t="s">
        <v>259</v>
      </c>
      <c r="W22" s="308" t="s">
        <v>259</v>
      </c>
      <c r="X22" s="266" t="e">
        <f>_xll.qlMidSafe($T22,$U22)</f>
        <v>#NUM!</v>
      </c>
      <c r="Y22" s="257"/>
      <c r="Z22" s="265" t="e">
        <v>#NUM!</v>
      </c>
      <c r="AA22" s="257"/>
      <c r="AB22" s="264" t="str">
        <f t="shared" si="1"/>
        <v>EURAB3E14Y_Quote</v>
      </c>
      <c r="AC22" s="263" t="e">
        <v>#NUM!</v>
      </c>
      <c r="AD22" s="262" t="e">
        <f>_xll.qlSimpleQuoteSetValue($AB22,$AC22/100,Trigger)</f>
        <v>#NUM!</v>
      </c>
      <c r="AE22" s="221"/>
      <c r="AF22" s="21"/>
      <c r="AG22" s="21"/>
      <c r="AH22" s="21"/>
      <c r="AI22" s="21"/>
      <c r="AJ22" s="21"/>
      <c r="AK22" s="296"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EURAB3E15Y_Quote#0000</v>
      </c>
      <c r="G23" s="34" t="str">
        <f>_xll.ohRangeRetrieveError(F23)</f>
        <v/>
      </c>
      <c r="H23" s="53"/>
      <c r="N23" s="126"/>
      <c r="O23" s="268" t="s">
        <v>102</v>
      </c>
      <c r="P23" s="387" t="str">
        <v>AB</v>
      </c>
      <c r="Q23" s="387" t="str">
        <v>3E</v>
      </c>
      <c r="R23" s="307" t="str">
        <f t="shared" si="0"/>
        <v>EURAB3E15Y</v>
      </c>
      <c r="S23" s="307" t="str">
        <v>EURAB3E15Y=ICAP</v>
      </c>
      <c r="T23" s="308">
        <v>2.2639999999999998</v>
      </c>
      <c r="U23" s="308">
        <v>2.3140000000000001</v>
      </c>
      <c r="V23" s="308">
        <v>0</v>
      </c>
      <c r="W23" s="308">
        <v>0</v>
      </c>
      <c r="X23" s="266">
        <f>_xll.qlMidSafe($T23,$U23)</f>
        <v>2.2889999999999997</v>
      </c>
      <c r="Y23" s="257"/>
      <c r="Z23" s="265">
        <v>2.2889999999999997</v>
      </c>
      <c r="AA23" s="257"/>
      <c r="AB23" s="264" t="str">
        <f t="shared" si="1"/>
        <v>EURAB3E15Y_Quote</v>
      </c>
      <c r="AC23" s="263">
        <v>2.2889999999999997</v>
      </c>
      <c r="AD23" s="262" t="e">
        <f>_xll.qlSimpleQuoteSetValue($AB23,$AC23/100,Trigger)</f>
        <v>#NUM!</v>
      </c>
      <c r="AE23" s="221"/>
      <c r="AF23" s="21"/>
      <c r="AG23" s="21"/>
      <c r="AH23" s="21"/>
      <c r="AI23" s="21"/>
      <c r="AJ23" s="21"/>
      <c r="AK23" s="296">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EURAB3E16Y_Quote#0000</v>
      </c>
      <c r="G24" s="34" t="str">
        <f>_xll.ohRangeRetrieveError(F24)</f>
        <v/>
      </c>
      <c r="H24" s="53"/>
      <c r="N24" s="126"/>
      <c r="O24" s="268" t="s">
        <v>101</v>
      </c>
      <c r="P24" s="387" t="str">
        <v>AB</v>
      </c>
      <c r="Q24" s="387" t="str">
        <v>3E</v>
      </c>
      <c r="R24" s="307" t="str">
        <f t="shared" si="0"/>
        <v>EURAB3E16Y</v>
      </c>
      <c r="S24" s="307" t="str">
        <v>EURAB3E16Y=ICAP</v>
      </c>
      <c r="T24" s="308" t="s">
        <v>259</v>
      </c>
      <c r="U24" s="308" t="s">
        <v>259</v>
      </c>
      <c r="V24" s="308" t="s">
        <v>259</v>
      </c>
      <c r="W24" s="308" t="s">
        <v>259</v>
      </c>
      <c r="X24" s="266" t="e">
        <f>_xll.qlMidSafe($T24,$U24)</f>
        <v>#NUM!</v>
      </c>
      <c r="Y24" s="257"/>
      <c r="Z24" s="265" t="e">
        <v>#NUM!</v>
      </c>
      <c r="AA24" s="257"/>
      <c r="AB24" s="264" t="str">
        <f t="shared" si="1"/>
        <v>EURAB3E16Y_Quote</v>
      </c>
      <c r="AC24" s="263" t="e">
        <v>#NUM!</v>
      </c>
      <c r="AD24" s="262" t="e">
        <f>_xll.qlSimpleQuoteSetValue($AB24,$AC24/100,Trigger)</f>
        <v>#NUM!</v>
      </c>
      <c r="AE24" s="221"/>
      <c r="AF24" s="21"/>
      <c r="AG24" s="21"/>
      <c r="AH24" s="21"/>
      <c r="AI24" s="21"/>
      <c r="AJ24" s="21"/>
      <c r="AK24" s="296"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EURAB3E17Y_Quote#0000</v>
      </c>
      <c r="G25" s="34" t="str">
        <f>_xll.ohRangeRetrieveError(F25)</f>
        <v/>
      </c>
      <c r="H25" s="53"/>
      <c r="N25" s="126"/>
      <c r="O25" s="268" t="s">
        <v>100</v>
      </c>
      <c r="P25" s="387" t="str">
        <v>AB</v>
      </c>
      <c r="Q25" s="387" t="str">
        <v>3E</v>
      </c>
      <c r="R25" s="307" t="str">
        <f t="shared" si="0"/>
        <v>EURAB3E17Y</v>
      </c>
      <c r="S25" s="307" t="str">
        <v>EURAB3E17Y=ICAP</v>
      </c>
      <c r="T25" s="308" t="s">
        <v>259</v>
      </c>
      <c r="U25" s="308" t="s">
        <v>259</v>
      </c>
      <c r="V25" s="308" t="s">
        <v>259</v>
      </c>
      <c r="W25" s="308" t="s">
        <v>259</v>
      </c>
      <c r="X25" s="266" t="e">
        <f>_xll.qlMidSafe($T25,$U25)</f>
        <v>#NUM!</v>
      </c>
      <c r="Y25" s="257"/>
      <c r="Z25" s="265" t="e">
        <v>#NUM!</v>
      </c>
      <c r="AA25" s="257"/>
      <c r="AB25" s="264" t="str">
        <f t="shared" si="1"/>
        <v>EURAB3E17Y_Quote</v>
      </c>
      <c r="AC25" s="263" t="e">
        <v>#NUM!</v>
      </c>
      <c r="AD25" s="262" t="e">
        <f>_xll.qlSimpleQuoteSetValue($AB25,$AC25/100,Trigger)</f>
        <v>#NUM!</v>
      </c>
      <c r="AE25" s="221"/>
      <c r="AF25" s="21"/>
      <c r="AG25" s="21"/>
      <c r="AH25" s="21"/>
      <c r="AI25" s="21"/>
      <c r="AJ25" s="21"/>
      <c r="AK25" s="296"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EURAB3E18Y_Quote#0000</v>
      </c>
      <c r="G26" s="34" t="str">
        <f>_xll.ohRangeRetrieveError(F26)</f>
        <v/>
      </c>
      <c r="H26" s="53"/>
      <c r="N26" s="126"/>
      <c r="O26" s="268" t="s">
        <v>99</v>
      </c>
      <c r="P26" s="387" t="str">
        <v>AB</v>
      </c>
      <c r="Q26" s="387" t="str">
        <v>3E</v>
      </c>
      <c r="R26" s="307" t="str">
        <f t="shared" si="0"/>
        <v>EURAB3E18Y</v>
      </c>
      <c r="S26" s="307" t="str">
        <v>EURAB3E18Y=ICAP</v>
      </c>
      <c r="T26" s="308" t="s">
        <v>259</v>
      </c>
      <c r="U26" s="308" t="s">
        <v>259</v>
      </c>
      <c r="V26" s="308" t="s">
        <v>259</v>
      </c>
      <c r="W26" s="308" t="s">
        <v>259</v>
      </c>
      <c r="X26" s="266" t="e">
        <f>_xll.qlMidSafe($T26,$U26)</f>
        <v>#NUM!</v>
      </c>
      <c r="Y26" s="257"/>
      <c r="Z26" s="265" t="e">
        <v>#NUM!</v>
      </c>
      <c r="AA26" s="257"/>
      <c r="AB26" s="264" t="str">
        <f t="shared" si="1"/>
        <v>EURAB3E18Y_Quote</v>
      </c>
      <c r="AC26" s="263" t="e">
        <v>#NUM!</v>
      </c>
      <c r="AD26" s="262" t="e">
        <f>_xll.qlSimpleQuoteSetValue($AB26,$AC26/100,Trigger)</f>
        <v>#NUM!</v>
      </c>
      <c r="AE26" s="221"/>
      <c r="AF26" s="21"/>
      <c r="AG26" s="21"/>
      <c r="AH26" s="21"/>
      <c r="AI26" s="21"/>
      <c r="AJ26" s="21"/>
      <c r="AK26" s="296"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EURAB3E19Y_Quote#0000</v>
      </c>
      <c r="G27" s="34" t="str">
        <f>_xll.ohRangeRetrieveError(F27)</f>
        <v/>
      </c>
      <c r="H27" s="53"/>
      <c r="N27" s="126"/>
      <c r="O27" s="268" t="s">
        <v>98</v>
      </c>
      <c r="P27" s="387" t="str">
        <v>AB</v>
      </c>
      <c r="Q27" s="387" t="str">
        <v>3E</v>
      </c>
      <c r="R27" s="307" t="str">
        <f t="shared" si="0"/>
        <v>EURAB3E19Y</v>
      </c>
      <c r="S27" s="307" t="str">
        <v>EURAB3E19Y=ICAP</v>
      </c>
      <c r="T27" s="308" t="s">
        <v>259</v>
      </c>
      <c r="U27" s="308" t="s">
        <v>259</v>
      </c>
      <c r="V27" s="308" t="s">
        <v>259</v>
      </c>
      <c r="W27" s="308" t="s">
        <v>259</v>
      </c>
      <c r="X27" s="266" t="e">
        <f>_xll.qlMidSafe($T27,$U27)</f>
        <v>#NUM!</v>
      </c>
      <c r="Y27" s="257"/>
      <c r="Z27" s="265" t="e">
        <v>#NUM!</v>
      </c>
      <c r="AA27" s="257"/>
      <c r="AB27" s="264" t="str">
        <f t="shared" si="1"/>
        <v>EURAB3E19Y_Quote</v>
      </c>
      <c r="AC27" s="263" t="e">
        <v>#NUM!</v>
      </c>
      <c r="AD27" s="262" t="e">
        <f>_xll.qlSimpleQuoteSetValue($AB27,$AC27/100,Trigger)</f>
        <v>#NUM!</v>
      </c>
      <c r="AE27" s="221"/>
      <c r="AF27" s="21"/>
      <c r="AG27" s="21"/>
      <c r="AH27" s="21"/>
      <c r="AI27" s="21"/>
      <c r="AJ27" s="21"/>
      <c r="AK27" s="296"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EURAB3E20Y_Quote#0000</v>
      </c>
      <c r="G28" s="34" t="str">
        <f>_xll.ohRangeRetrieveError(F28)</f>
        <v/>
      </c>
      <c r="H28" s="53"/>
      <c r="N28" s="126"/>
      <c r="O28" s="268" t="s">
        <v>97</v>
      </c>
      <c r="P28" s="387" t="str">
        <v>AB</v>
      </c>
      <c r="Q28" s="387" t="str">
        <v>3E</v>
      </c>
      <c r="R28" s="307" t="str">
        <f t="shared" si="0"/>
        <v>EURAB3E20Y</v>
      </c>
      <c r="S28" s="307" t="str">
        <v>EURAB3E20Y=ICAP</v>
      </c>
      <c r="T28" s="308">
        <v>2.387</v>
      </c>
      <c r="U28" s="308">
        <v>2.4369999999999998</v>
      </c>
      <c r="V28" s="308">
        <v>0</v>
      </c>
      <c r="W28" s="308">
        <v>0</v>
      </c>
      <c r="X28" s="266">
        <f>_xll.qlMidSafe($T28,$U28)</f>
        <v>2.4119999999999999</v>
      </c>
      <c r="Y28" s="257"/>
      <c r="Z28" s="265">
        <v>2.4119999999999999</v>
      </c>
      <c r="AA28" s="257"/>
      <c r="AB28" s="264" t="str">
        <f t="shared" si="1"/>
        <v>EURAB3E20Y_Quote</v>
      </c>
      <c r="AC28" s="263">
        <v>2.4119999999999999</v>
      </c>
      <c r="AD28" s="262" t="e">
        <f>_xll.qlSimpleQuoteSetValue($AB28,$AC28/100,Trigger)</f>
        <v>#NUM!</v>
      </c>
      <c r="AE28" s="221"/>
      <c r="AF28" s="21"/>
      <c r="AG28" s="21"/>
      <c r="AH28" s="21"/>
      <c r="AI28" s="21"/>
      <c r="AJ28" s="21"/>
      <c r="AK28" s="296">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EURAB3E21Y_Quote#0000</v>
      </c>
      <c r="G29" s="34" t="str">
        <f>_xll.ohRangeRetrieveError(F29)</f>
        <v/>
      </c>
      <c r="H29" s="53"/>
      <c r="N29" s="126"/>
      <c r="O29" s="268" t="s">
        <v>96</v>
      </c>
      <c r="P29" s="388" t="str">
        <v>AB</v>
      </c>
      <c r="Q29" s="388" t="str">
        <v>3E</v>
      </c>
      <c r="R29" s="307" t="str">
        <f t="shared" si="0"/>
        <v>EURAB3E21Y</v>
      </c>
      <c r="S29" s="307" t="str">
        <v>EURAB3E21Y=ICAP</v>
      </c>
      <c r="T29" s="308" t="s">
        <v>259</v>
      </c>
      <c r="U29" s="308" t="s">
        <v>259</v>
      </c>
      <c r="V29" s="308" t="s">
        <v>259</v>
      </c>
      <c r="W29" s="308" t="s">
        <v>259</v>
      </c>
      <c r="X29" s="266" t="e">
        <f>_xll.qlMidSafe($T29,$U29)</f>
        <v>#NUM!</v>
      </c>
      <c r="Y29" s="257"/>
      <c r="Z29" s="265" t="e">
        <v>#NUM!</v>
      </c>
      <c r="AA29" s="257"/>
      <c r="AB29" s="264" t="str">
        <f t="shared" si="1"/>
        <v>EURAB3E21Y_Quote</v>
      </c>
      <c r="AC29" s="263" t="e">
        <v>#NUM!</v>
      </c>
      <c r="AD29" s="262" t="e">
        <f>_xll.qlSimpleQuoteSetValue($AB29,$AC29/100,Trigger)</f>
        <v>#NUM!</v>
      </c>
      <c r="AE29" s="221"/>
      <c r="AF29" s="21"/>
      <c r="AG29" s="21"/>
      <c r="AH29" s="21"/>
      <c r="AI29" s="21"/>
      <c r="AJ29" s="21"/>
      <c r="AK29" s="296"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EURAB3E22Y_Quote#0000</v>
      </c>
      <c r="G30" s="34" t="str">
        <f>_xll.ohRangeRetrieveError(F30)</f>
        <v/>
      </c>
      <c r="H30" s="53"/>
      <c r="N30" s="126"/>
      <c r="O30" s="268" t="s">
        <v>95</v>
      </c>
      <c r="P30" s="387" t="str">
        <v>AB</v>
      </c>
      <c r="Q30" s="387" t="str">
        <v>3E</v>
      </c>
      <c r="R30" s="307" t="str">
        <f t="shared" si="0"/>
        <v>EURAB3E22Y</v>
      </c>
      <c r="S30" s="307" t="str">
        <v>EURAB3E22Y=ICAP</v>
      </c>
      <c r="T30" s="308" t="s">
        <v>259</v>
      </c>
      <c r="U30" s="308" t="s">
        <v>259</v>
      </c>
      <c r="V30" s="308" t="s">
        <v>259</v>
      </c>
      <c r="W30" s="308" t="s">
        <v>259</v>
      </c>
      <c r="X30" s="266" t="e">
        <f>_xll.qlMidSafe($T30,$U30)</f>
        <v>#NUM!</v>
      </c>
      <c r="Y30" s="257"/>
      <c r="Z30" s="265" t="e">
        <v>#NUM!</v>
      </c>
      <c r="AA30" s="257"/>
      <c r="AB30" s="264" t="str">
        <f t="shared" si="1"/>
        <v>EURAB3E22Y_Quote</v>
      </c>
      <c r="AC30" s="263" t="e">
        <v>#NUM!</v>
      </c>
      <c r="AD30" s="262" t="e">
        <f>_xll.qlSimpleQuoteSetValue($AB30,$AC30/100,Trigger)</f>
        <v>#NUM!</v>
      </c>
      <c r="AE30" s="221"/>
      <c r="AF30" s="21"/>
      <c r="AG30" s="21"/>
      <c r="AH30" s="21"/>
      <c r="AI30" s="21"/>
      <c r="AJ30" s="21"/>
      <c r="AK30" s="296"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EURAB3E23Y_Quote#0000</v>
      </c>
      <c r="G31" s="34" t="str">
        <f>_xll.ohRangeRetrieveError(F31)</f>
        <v/>
      </c>
      <c r="H31" s="53"/>
      <c r="N31" s="126"/>
      <c r="O31" s="268" t="s">
        <v>94</v>
      </c>
      <c r="P31" s="387" t="str">
        <v>AB</v>
      </c>
      <c r="Q31" s="387" t="str">
        <v>3E</v>
      </c>
      <c r="R31" s="307" t="str">
        <f t="shared" si="0"/>
        <v>EURAB3E23Y</v>
      </c>
      <c r="S31" s="307" t="str">
        <v>EURAB3E23Y=ICAP</v>
      </c>
      <c r="T31" s="308" t="s">
        <v>259</v>
      </c>
      <c r="U31" s="308" t="s">
        <v>259</v>
      </c>
      <c r="V31" s="308" t="s">
        <v>259</v>
      </c>
      <c r="W31" s="308" t="s">
        <v>259</v>
      </c>
      <c r="X31" s="266" t="e">
        <f>_xll.qlMidSafe($T31,$U31)</f>
        <v>#NUM!</v>
      </c>
      <c r="Y31" s="257"/>
      <c r="Z31" s="265" t="e">
        <v>#NUM!</v>
      </c>
      <c r="AA31" s="257"/>
      <c r="AB31" s="264" t="str">
        <f t="shared" si="1"/>
        <v>EURAB3E23Y_Quote</v>
      </c>
      <c r="AC31" s="263" t="e">
        <v>#NUM!</v>
      </c>
      <c r="AD31" s="262" t="e">
        <f>_xll.qlSimpleQuoteSetValue($AB31,$AC31/100,Trigger)</f>
        <v>#NUM!</v>
      </c>
      <c r="AE31" s="221"/>
      <c r="AF31" s="21"/>
      <c r="AG31" s="21"/>
      <c r="AH31" s="21"/>
      <c r="AI31" s="21"/>
      <c r="AJ31" s="21"/>
      <c r="AK31" s="296"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EURAB3E24Y_Quote#0000</v>
      </c>
      <c r="G32" s="34" t="str">
        <f>_xll.ohRangeRetrieveError(F32)</f>
        <v/>
      </c>
      <c r="H32" s="53"/>
      <c r="N32" s="126"/>
      <c r="O32" s="268" t="s">
        <v>93</v>
      </c>
      <c r="P32" s="387" t="str">
        <v>AB</v>
      </c>
      <c r="Q32" s="387" t="str">
        <v>3E</v>
      </c>
      <c r="R32" s="307" t="str">
        <f t="shared" si="0"/>
        <v>EURAB3E24Y</v>
      </c>
      <c r="S32" s="307" t="str">
        <v>EURAB3E24Y=ICAP</v>
      </c>
      <c r="T32" s="308" t="s">
        <v>259</v>
      </c>
      <c r="U32" s="308" t="s">
        <v>259</v>
      </c>
      <c r="V32" s="308" t="s">
        <v>259</v>
      </c>
      <c r="W32" s="308" t="s">
        <v>259</v>
      </c>
      <c r="X32" s="266" t="e">
        <f>_xll.qlMidSafe($T32,$U32)</f>
        <v>#NUM!</v>
      </c>
      <c r="Y32" s="257"/>
      <c r="Z32" s="265" t="e">
        <v>#NUM!</v>
      </c>
      <c r="AA32" s="257"/>
      <c r="AB32" s="264" t="str">
        <f t="shared" si="1"/>
        <v>EURAB3E24Y_Quote</v>
      </c>
      <c r="AC32" s="263" t="e">
        <v>#NUM!</v>
      </c>
      <c r="AD32" s="262" t="e">
        <f>_xll.qlSimpleQuoteSetValue($AB32,$AC32/100,Trigger)</f>
        <v>#NUM!</v>
      </c>
      <c r="AE32" s="221"/>
      <c r="AF32" s="21"/>
      <c r="AG32" s="21"/>
      <c r="AH32" s="21"/>
      <c r="AI32" s="21"/>
      <c r="AJ32" s="21"/>
      <c r="AK32" s="296"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EURAB3E25Y_Quote#0000</v>
      </c>
      <c r="G33" s="34" t="str">
        <f>_xll.ohRangeRetrieveError(F33)</f>
        <v/>
      </c>
      <c r="H33" s="53"/>
      <c r="N33" s="126"/>
      <c r="O33" s="268" t="s">
        <v>92</v>
      </c>
      <c r="P33" s="387" t="str">
        <v>AB</v>
      </c>
      <c r="Q33" s="387" t="str">
        <v>3E</v>
      </c>
      <c r="R33" s="307" t="str">
        <f t="shared" si="0"/>
        <v>EURAB3E25Y</v>
      </c>
      <c r="S33" s="307" t="str">
        <v>EURAB3E25Y=ICAP</v>
      </c>
      <c r="T33" s="308">
        <v>2.4089999999999998</v>
      </c>
      <c r="U33" s="308">
        <v>2.4590000000000001</v>
      </c>
      <c r="V33" s="308">
        <v>0</v>
      </c>
      <c r="W33" s="308">
        <v>0</v>
      </c>
      <c r="X33" s="266">
        <f>_xll.qlMidSafe($T33,$U33)</f>
        <v>2.4340000000000002</v>
      </c>
      <c r="Y33" s="257"/>
      <c r="Z33" s="265">
        <v>2.4340000000000002</v>
      </c>
      <c r="AA33" s="257"/>
      <c r="AB33" s="264" t="str">
        <f t="shared" si="1"/>
        <v>EURAB3E25Y_Quote</v>
      </c>
      <c r="AC33" s="263">
        <v>2.4340000000000002</v>
      </c>
      <c r="AD33" s="262" t="e">
        <f>_xll.qlSimpleQuoteSetValue($AB33,$AC33/100,Trigger)</f>
        <v>#NUM!</v>
      </c>
      <c r="AE33" s="221"/>
      <c r="AF33" s="21"/>
      <c r="AG33" s="21"/>
      <c r="AH33" s="21"/>
      <c r="AI33" s="21"/>
      <c r="AJ33" s="21"/>
      <c r="AK33" s="296">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EURAB3E26Y_Quote#0000</v>
      </c>
      <c r="G34" s="34" t="str">
        <f>_xll.ohRangeRetrieveError(F34)</f>
        <v/>
      </c>
      <c r="H34" s="53"/>
      <c r="N34" s="126"/>
      <c r="O34" s="268" t="s">
        <v>91</v>
      </c>
      <c r="P34" s="387" t="str">
        <v>AB</v>
      </c>
      <c r="Q34" s="387" t="str">
        <v>3E</v>
      </c>
      <c r="R34" s="307" t="str">
        <f t="shared" si="0"/>
        <v>EURAB3E26Y</v>
      </c>
      <c r="S34" s="307" t="str">
        <v>EURAB3E26Y=ICAP</v>
      </c>
      <c r="T34" s="308" t="s">
        <v>259</v>
      </c>
      <c r="U34" s="308" t="s">
        <v>259</v>
      </c>
      <c r="V34" s="308" t="s">
        <v>259</v>
      </c>
      <c r="W34" s="308" t="s">
        <v>259</v>
      </c>
      <c r="X34" s="266" t="e">
        <f>_xll.qlMidSafe($T34,$U34)</f>
        <v>#NUM!</v>
      </c>
      <c r="Y34" s="257"/>
      <c r="Z34" s="265" t="e">
        <v>#NUM!</v>
      </c>
      <c r="AA34" s="257"/>
      <c r="AB34" s="264" t="str">
        <f t="shared" si="1"/>
        <v>EURAB3E26Y_Quote</v>
      </c>
      <c r="AC34" s="263" t="e">
        <v>#NUM!</v>
      </c>
      <c r="AD34" s="262" t="e">
        <f>_xll.qlSimpleQuoteSetValue($AB34,$AC34/100,Trigger)</f>
        <v>#NUM!</v>
      </c>
      <c r="AE34" s="221"/>
      <c r="AF34" s="21"/>
      <c r="AG34" s="21"/>
      <c r="AH34" s="21"/>
      <c r="AI34" s="21"/>
      <c r="AJ34" s="21"/>
      <c r="AK34" s="296"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EURAB3E27Y_Quote#0000</v>
      </c>
      <c r="G35" s="34" t="str">
        <f>_xll.ohRangeRetrieveError(F35)</f>
        <v/>
      </c>
      <c r="H35" s="53"/>
      <c r="N35" s="126"/>
      <c r="O35" s="268" t="s">
        <v>90</v>
      </c>
      <c r="P35" s="387" t="str">
        <v>AB</v>
      </c>
      <c r="Q35" s="387" t="str">
        <v>3E</v>
      </c>
      <c r="R35" s="307" t="str">
        <f t="shared" si="0"/>
        <v>EURAB3E27Y</v>
      </c>
      <c r="S35" s="307" t="str">
        <v>EURAB3E27Y=ICAP</v>
      </c>
      <c r="T35" s="308" t="s">
        <v>259</v>
      </c>
      <c r="U35" s="308" t="s">
        <v>259</v>
      </c>
      <c r="V35" s="308" t="s">
        <v>259</v>
      </c>
      <c r="W35" s="308" t="s">
        <v>259</v>
      </c>
      <c r="X35" s="266" t="e">
        <f>_xll.qlMidSafe($T35,$U35)</f>
        <v>#NUM!</v>
      </c>
      <c r="Y35" s="257"/>
      <c r="Z35" s="265" t="e">
        <v>#NUM!</v>
      </c>
      <c r="AA35" s="257"/>
      <c r="AB35" s="264" t="str">
        <f t="shared" si="1"/>
        <v>EURAB3E27Y_Quote</v>
      </c>
      <c r="AC35" s="263" t="e">
        <v>#NUM!</v>
      </c>
      <c r="AD35" s="262" t="e">
        <f>_xll.qlSimpleQuoteSetValue($AB35,$AC35/100,Trigger)</f>
        <v>#NUM!</v>
      </c>
      <c r="AE35" s="221"/>
      <c r="AF35" s="21"/>
      <c r="AG35" s="21"/>
      <c r="AH35" s="21"/>
      <c r="AI35" s="21"/>
      <c r="AJ35" s="21"/>
      <c r="AK35" s="296"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EURAB3E28Y_Quote#0000</v>
      </c>
      <c r="G36" s="34" t="str">
        <f>_xll.ohRangeRetrieveError(F36)</f>
        <v/>
      </c>
      <c r="H36" s="53"/>
      <c r="N36" s="126"/>
      <c r="O36" s="268" t="s">
        <v>89</v>
      </c>
      <c r="P36" s="387" t="str">
        <v>AB</v>
      </c>
      <c r="Q36" s="387" t="str">
        <v>3E</v>
      </c>
      <c r="R36" s="307" t="str">
        <f t="shared" si="0"/>
        <v>EURAB3E28Y</v>
      </c>
      <c r="S36" s="307" t="str">
        <v>EURAB3E28Y=ICAP</v>
      </c>
      <c r="T36" s="308" t="s">
        <v>259</v>
      </c>
      <c r="U36" s="308" t="s">
        <v>259</v>
      </c>
      <c r="V36" s="308" t="s">
        <v>259</v>
      </c>
      <c r="W36" s="308" t="s">
        <v>259</v>
      </c>
      <c r="X36" s="266" t="e">
        <f>_xll.qlMidSafe($T36,$U36)</f>
        <v>#NUM!</v>
      </c>
      <c r="Y36" s="257"/>
      <c r="Z36" s="265" t="e">
        <v>#NUM!</v>
      </c>
      <c r="AA36" s="257"/>
      <c r="AB36" s="264" t="str">
        <f t="shared" si="1"/>
        <v>EURAB3E28Y_Quote</v>
      </c>
      <c r="AC36" s="263" t="e">
        <v>#NUM!</v>
      </c>
      <c r="AD36" s="262" t="e">
        <f>_xll.qlSimpleQuoteSetValue($AB36,$AC36/100,Trigger)</f>
        <v>#NUM!</v>
      </c>
      <c r="AE36" s="221"/>
      <c r="AF36" s="21"/>
      <c r="AG36" s="21"/>
      <c r="AH36" s="21"/>
      <c r="AI36" s="21"/>
      <c r="AJ36" s="21"/>
      <c r="AK36" s="296"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EURAB3E29Y_Quote#0000</v>
      </c>
      <c r="G37" s="34" t="str">
        <f>_xll.ohRangeRetrieveError(F37)</f>
        <v/>
      </c>
      <c r="H37" s="53"/>
      <c r="N37" s="126"/>
      <c r="O37" s="268" t="s">
        <v>88</v>
      </c>
      <c r="P37" s="387" t="str">
        <v>AB</v>
      </c>
      <c r="Q37" s="387" t="str">
        <v>3E</v>
      </c>
      <c r="R37" s="307" t="str">
        <f t="shared" si="0"/>
        <v>EURAB3E29Y</v>
      </c>
      <c r="S37" s="307" t="str">
        <v>EURAB3E29Y=ICAP</v>
      </c>
      <c r="T37" s="308" t="s">
        <v>259</v>
      </c>
      <c r="U37" s="308" t="s">
        <v>259</v>
      </c>
      <c r="V37" s="308" t="s">
        <v>259</v>
      </c>
      <c r="W37" s="308" t="s">
        <v>259</v>
      </c>
      <c r="X37" s="266" t="e">
        <f>_xll.qlMidSafe($T37,$U37)</f>
        <v>#NUM!</v>
      </c>
      <c r="Y37" s="257"/>
      <c r="Z37" s="265" t="e">
        <v>#NUM!</v>
      </c>
      <c r="AA37" s="257"/>
      <c r="AB37" s="264" t="str">
        <f t="shared" si="1"/>
        <v>EURAB3E29Y_Quote</v>
      </c>
      <c r="AC37" s="263" t="e">
        <v>#NUM!</v>
      </c>
      <c r="AD37" s="262" t="e">
        <f>_xll.qlSimpleQuoteSetValue($AB37,$AC37/100,Trigger)</f>
        <v>#NUM!</v>
      </c>
      <c r="AE37" s="221"/>
      <c r="AF37" s="21"/>
      <c r="AG37" s="21"/>
      <c r="AH37" s="21"/>
      <c r="AI37" s="21"/>
      <c r="AJ37" s="21"/>
      <c r="AK37" s="296"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EURAB3E30Y_Quote#0000</v>
      </c>
      <c r="G38" s="34" t="str">
        <f>_xll.ohRangeRetrieveError(F38)</f>
        <v/>
      </c>
      <c r="H38" s="53"/>
      <c r="N38" s="126"/>
      <c r="O38" s="268" t="s">
        <v>87</v>
      </c>
      <c r="P38" s="387" t="str">
        <v>AB</v>
      </c>
      <c r="Q38" s="387" t="str">
        <v>3E</v>
      </c>
      <c r="R38" s="307" t="str">
        <f t="shared" si="0"/>
        <v>EURAB3E30Y</v>
      </c>
      <c r="S38" s="307" t="str">
        <v>EURAB3E30Y=ICAP</v>
      </c>
      <c r="T38" s="308">
        <v>2.4060000000000001</v>
      </c>
      <c r="U38" s="308">
        <v>2.456</v>
      </c>
      <c r="V38" s="308">
        <v>0</v>
      </c>
      <c r="W38" s="308">
        <v>0</v>
      </c>
      <c r="X38" s="266">
        <f>_xll.qlMidSafe($T38,$U38)</f>
        <v>2.431</v>
      </c>
      <c r="Y38" s="257"/>
      <c r="Z38" s="265">
        <v>2.431</v>
      </c>
      <c r="AA38" s="257"/>
      <c r="AB38" s="264" t="str">
        <f t="shared" si="1"/>
        <v>EURAB3E30Y_Quote</v>
      </c>
      <c r="AC38" s="263">
        <v>2.431</v>
      </c>
      <c r="AD38" s="262" t="e">
        <f>_xll.qlSimpleQuoteSetValue($AB38,$AC38/100,Trigger)</f>
        <v>#NUM!</v>
      </c>
      <c r="AE38" s="221"/>
      <c r="AF38" s="21"/>
      <c r="AG38" s="21"/>
      <c r="AH38" s="21"/>
      <c r="AI38" s="21"/>
      <c r="AJ38" s="21"/>
      <c r="AK38" s="296">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EURAB3E35Y_Quote#0000</v>
      </c>
      <c r="G39" s="34" t="str">
        <f>_xll.ohRangeRetrieveError(F39)</f>
        <v/>
      </c>
      <c r="H39" s="53"/>
      <c r="N39" s="126"/>
      <c r="O39" s="268" t="s">
        <v>82</v>
      </c>
      <c r="P39" s="387" t="str">
        <v>AB</v>
      </c>
      <c r="Q39" s="387" t="str">
        <v>3E</v>
      </c>
      <c r="R39" s="307" t="str">
        <f t="shared" si="0"/>
        <v>EURAB3E35Y</v>
      </c>
      <c r="S39" s="307" t="str">
        <v>EURAB3E35Y=ICAP</v>
      </c>
      <c r="T39" s="308" t="s">
        <v>259</v>
      </c>
      <c r="U39" s="308" t="s">
        <v>259</v>
      </c>
      <c r="V39" s="308" t="s">
        <v>259</v>
      </c>
      <c r="W39" s="308" t="s">
        <v>259</v>
      </c>
      <c r="X39" s="266" t="e">
        <f>_xll.qlMidSafe($T39,$U39)</f>
        <v>#NUM!</v>
      </c>
      <c r="Y39" s="257"/>
      <c r="Z39" s="265" t="e">
        <v>#NUM!</v>
      </c>
      <c r="AA39" s="257"/>
      <c r="AB39" s="264" t="str">
        <f t="shared" si="1"/>
        <v>EURAB3E35Y_Quote</v>
      </c>
      <c r="AC39" s="263" t="e">
        <v>#NUM!</v>
      </c>
      <c r="AD39" s="262" t="e">
        <f>_xll.qlSimpleQuoteSetValue($AB39,$AC39/100,Trigger)</f>
        <v>#NUM!</v>
      </c>
      <c r="AE39" s="221"/>
      <c r="AF39" s="21"/>
      <c r="AG39" s="21"/>
      <c r="AH39" s="21"/>
      <c r="AI39" s="21"/>
      <c r="AJ39" s="21"/>
      <c r="AK39" s="296"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EURAB3E40Y_Quote#0000</v>
      </c>
      <c r="G40" s="34" t="str">
        <f>_xll.ohRangeRetrieveError(F40)</f>
        <v/>
      </c>
      <c r="H40" s="53"/>
      <c r="N40" s="126"/>
      <c r="O40" s="268" t="s">
        <v>77</v>
      </c>
      <c r="P40" s="387" t="str">
        <v>AB</v>
      </c>
      <c r="Q40" s="387" t="str">
        <v>3E</v>
      </c>
      <c r="R40" s="307" t="str">
        <f t="shared" si="0"/>
        <v>EURAB3E40Y</v>
      </c>
      <c r="S40" s="307" t="str">
        <v>EURAB3E40Y=ICAP</v>
      </c>
      <c r="T40" s="308">
        <v>2.456</v>
      </c>
      <c r="U40" s="308">
        <v>2.5059999999999998</v>
      </c>
      <c r="V40" s="308">
        <v>0</v>
      </c>
      <c r="W40" s="308">
        <v>0</v>
      </c>
      <c r="X40" s="266">
        <f>_xll.qlMidSafe($T40,$U40)</f>
        <v>2.4809999999999999</v>
      </c>
      <c r="Y40" s="257"/>
      <c r="Z40" s="265">
        <v>2.4809999999999999</v>
      </c>
      <c r="AA40" s="257"/>
      <c r="AB40" s="264" t="str">
        <f t="shared" si="1"/>
        <v>EURAB3E40Y_Quote</v>
      </c>
      <c r="AC40" s="263">
        <v>2.4809999999999999</v>
      </c>
      <c r="AD40" s="262" t="e">
        <f>_xll.qlSimpleQuoteSetValue($AB40,$AC40/100,Trigger)</f>
        <v>#NUM!</v>
      </c>
      <c r="AE40" s="221"/>
      <c r="AF40" s="21"/>
      <c r="AG40" s="21"/>
      <c r="AH40" s="21"/>
      <c r="AI40" s="21"/>
      <c r="AJ40" s="21"/>
      <c r="AK40" s="296">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EURAB3E50Y_Quote#0000</v>
      </c>
      <c r="G41" s="34" t="str">
        <f>_xll.ohRangeRetrieveError(F41)</f>
        <v/>
      </c>
      <c r="H41" s="53"/>
      <c r="N41" s="126"/>
      <c r="O41" s="268" t="s">
        <v>67</v>
      </c>
      <c r="P41" s="387" t="str">
        <v>AB</v>
      </c>
      <c r="Q41" s="387" t="str">
        <v>3E</v>
      </c>
      <c r="R41" s="307" t="str">
        <f t="shared" si="0"/>
        <v>EURAB3E50Y</v>
      </c>
      <c r="S41" s="307" t="str">
        <v>EURAB3E50Y=ICAP</v>
      </c>
      <c r="T41" s="308">
        <v>2.5049999999999999</v>
      </c>
      <c r="U41" s="308">
        <v>2.5550000000000002</v>
      </c>
      <c r="V41" s="308">
        <v>0</v>
      </c>
      <c r="W41" s="308">
        <v>0</v>
      </c>
      <c r="X41" s="266">
        <f>_xll.qlMidSafe($T41,$U41)</f>
        <v>2.5300000000000002</v>
      </c>
      <c r="Y41" s="257"/>
      <c r="Z41" s="265">
        <v>2.5300000000000002</v>
      </c>
      <c r="AA41" s="257"/>
      <c r="AB41" s="264" t="str">
        <f t="shared" si="1"/>
        <v>EURAB3E50Y_Quote</v>
      </c>
      <c r="AC41" s="263">
        <v>2.5300000000000002</v>
      </c>
      <c r="AD41" s="262" t="e">
        <f>_xll.qlSimpleQuoteSetValue($AB41,$AC41/100,Trigger)</f>
        <v>#NUM!</v>
      </c>
      <c r="AE41" s="221"/>
      <c r="AF41" s="21"/>
      <c r="AG41" s="21"/>
      <c r="AH41" s="21"/>
      <c r="AI41" s="21"/>
      <c r="AJ41" s="21"/>
      <c r="AK41" s="296">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EURAB3E60Y_Quote#0000</v>
      </c>
      <c r="G42" s="34" t="str">
        <f>_xll.ohRangeRetrieveError(F42)</f>
        <v/>
      </c>
      <c r="H42" s="53"/>
      <c r="N42" s="126"/>
      <c r="O42" s="261" t="s">
        <v>57</v>
      </c>
      <c r="P42" s="386" t="str">
        <v>AB</v>
      </c>
      <c r="Q42" s="386" t="str">
        <v>3E</v>
      </c>
      <c r="R42" s="312" t="str">
        <f t="shared" si="0"/>
        <v>EURAB3E60Y</v>
      </c>
      <c r="S42" s="312" t="str">
        <v>EURAB3E60Y=ICAP</v>
      </c>
      <c r="T42" s="313">
        <v>2.5390000000000001</v>
      </c>
      <c r="U42" s="313">
        <v>2.589</v>
      </c>
      <c r="V42" s="313">
        <v>0</v>
      </c>
      <c r="W42" s="313">
        <v>0</v>
      </c>
      <c r="X42" s="259">
        <f>_xll.qlMidSafe($T42,$U42)</f>
        <v>2.5640000000000001</v>
      </c>
      <c r="Y42" s="257"/>
      <c r="Z42" s="258">
        <v>2.5640000000000001</v>
      </c>
      <c r="AA42" s="257"/>
      <c r="AB42" s="256" t="str">
        <f t="shared" si="1"/>
        <v>EURAB3E60Y_Quote</v>
      </c>
      <c r="AC42" s="255">
        <v>2.5640000000000001</v>
      </c>
      <c r="AD42" s="254" t="e">
        <f>_xll.qlSimpleQuoteSetValue($AB42,$AC42/100,Trigger)</f>
        <v>#NUM!</v>
      </c>
      <c r="AE42" s="221"/>
      <c r="AF42" s="21"/>
      <c r="AG42" s="21"/>
      <c r="AH42" s="21"/>
      <c r="AI42" s="21"/>
      <c r="AJ42" s="21"/>
      <c r="AK42" s="296">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79"/>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17" width="9.140625" style="72"/>
    <col min="18" max="18" width="10.5703125" style="72" bestFit="1" customWidth="1"/>
    <col min="19" max="19" width="14.85546875" style="72" bestFit="1" customWidth="1"/>
    <col min="20" max="24" width="9.140625" style="72"/>
    <col min="25" max="25" width="2.7109375" style="72" customWidth="1"/>
    <col min="26" max="26" width="9.140625" style="72"/>
    <col min="27" max="27" width="2.7109375" style="72" customWidth="1"/>
    <col min="28" max="28" width="10.5703125" style="72" bestFit="1" customWidth="1"/>
    <col min="29" max="29" width="9.140625" style="72"/>
    <col min="30" max="31" width="2.7109375" style="72" customWidth="1"/>
    <col min="32" max="16384" width="9.140625" style="72"/>
  </cols>
  <sheetData>
    <row r="1" spans="1:36" ht="12" thickBot="1" x14ac:dyDescent="0.25">
      <c r="N1" s="327" t="s">
        <v>310</v>
      </c>
      <c r="O1" s="203"/>
      <c r="P1" s="203"/>
      <c r="Q1" s="203"/>
      <c r="R1" s="203"/>
      <c r="S1" s="203"/>
      <c r="T1" s="203"/>
      <c r="U1" s="203"/>
      <c r="V1" s="203"/>
      <c r="W1" s="203"/>
      <c r="X1" s="203"/>
      <c r="Y1" s="203"/>
      <c r="Z1" s="203"/>
      <c r="AA1" s="203"/>
      <c r="AB1" s="203"/>
      <c r="AC1" s="203"/>
      <c r="AD1" s="200"/>
      <c r="AE1" s="21"/>
      <c r="AF1" s="21"/>
      <c r="AG1" s="21"/>
      <c r="AH1" s="21"/>
      <c r="AI1" s="21"/>
      <c r="AJ1" s="21"/>
    </row>
    <row r="2" spans="1:36" ht="12" thickBot="1" x14ac:dyDescent="0.25">
      <c r="N2" s="293"/>
      <c r="O2" s="141"/>
      <c r="P2" s="292"/>
      <c r="Q2" s="292"/>
      <c r="R2" s="292"/>
      <c r="S2" s="148" t="s">
        <v>235</v>
      </c>
      <c r="T2" s="257"/>
      <c r="U2" s="257"/>
      <c r="V2" s="257"/>
      <c r="W2" s="257"/>
      <c r="X2" s="141"/>
      <c r="Y2" s="257"/>
      <c r="Z2" s="257"/>
      <c r="AA2" s="257"/>
      <c r="AB2" s="385" t="s">
        <v>254</v>
      </c>
      <c r="AC2" s="384" t="s">
        <v>147</v>
      </c>
      <c r="AD2" s="53"/>
      <c r="AE2" s="21"/>
      <c r="AF2" s="21"/>
      <c r="AG2" s="21"/>
      <c r="AH2" s="21"/>
      <c r="AI2" s="21"/>
      <c r="AJ2" s="21"/>
    </row>
    <row r="3" spans="1:36" ht="12" thickBot="1" x14ac:dyDescent="0.25">
      <c r="N3" s="126"/>
      <c r="O3" s="257"/>
      <c r="P3" s="141"/>
      <c r="Q3" s="141"/>
      <c r="R3" s="141"/>
      <c r="S3" s="141"/>
      <c r="T3" s="141"/>
      <c r="U3" s="141"/>
      <c r="V3" s="141"/>
      <c r="W3" s="141"/>
      <c r="X3" s="141"/>
      <c r="Y3" s="257"/>
      <c r="Z3" s="257"/>
      <c r="AA3" s="257"/>
      <c r="AB3" s="141"/>
      <c r="AC3" s="288">
        <f ca="1">_xll.ohTrigger(AC5:AC42)</f>
        <v>11</v>
      </c>
      <c r="AD3" s="221"/>
      <c r="AE3" s="21"/>
      <c r="AF3" s="21"/>
      <c r="AG3" s="21"/>
      <c r="AH3" s="21"/>
      <c r="AI3" s="21"/>
      <c r="AJ3" s="21"/>
    </row>
    <row r="4" spans="1:36" ht="23.25" thickBot="1" x14ac:dyDescent="0.25">
      <c r="A4" s="220" t="s">
        <v>206</v>
      </c>
      <c r="B4" s="203"/>
      <c r="C4" s="203"/>
      <c r="D4" s="203"/>
      <c r="E4" s="158"/>
      <c r="F4" s="219"/>
      <c r="G4" s="158"/>
      <c r="H4" s="200"/>
      <c r="N4" s="126"/>
      <c r="O4" s="391"/>
      <c r="P4" s="198"/>
      <c r="Q4" s="198"/>
      <c r="R4" s="198"/>
      <c r="S4" s="287" t="e">
        <f ca="1">_xll.RData(S5:S42,T4:W4,,ReutersRtMode,,T5)</f>
        <v>#NAME?</v>
      </c>
      <c r="T4" s="324" t="s">
        <v>258</v>
      </c>
      <c r="U4" s="324" t="s">
        <v>225</v>
      </c>
      <c r="V4" s="324" t="s">
        <v>240</v>
      </c>
      <c r="W4" s="324" t="s">
        <v>257</v>
      </c>
      <c r="X4" s="283" t="s">
        <v>256</v>
      </c>
      <c r="Y4" s="257"/>
      <c r="Z4" s="285" t="s">
        <v>252</v>
      </c>
      <c r="AA4" s="257"/>
      <c r="AB4" s="434" t="s">
        <v>250</v>
      </c>
      <c r="AC4" s="98" t="s">
        <v>249</v>
      </c>
      <c r="AD4" s="221"/>
      <c r="AE4" s="21"/>
      <c r="AF4" s="21"/>
      <c r="AG4" s="21"/>
      <c r="AH4" s="21"/>
      <c r="AI4" s="21"/>
      <c r="AJ4" s="321" t="s">
        <v>255</v>
      </c>
    </row>
    <row r="5" spans="1:36"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68" t="s">
        <v>40</v>
      </c>
      <c r="P5" s="307" t="str">
        <f t="array" ref="P5:P42">VLOOKUP(Currency,Conventions,2)</f>
        <v>AB</v>
      </c>
      <c r="Q5" s="307" t="str">
        <f t="array" ref="Q5:Q42">VLOOKUP(Currency,Conventions,3)</f>
        <v>6E</v>
      </c>
      <c r="R5" s="267" t="str">
        <f t="shared" ref="R5:R42" si="0">Currency&amp;$P5&amp;$Q5&amp;$O5</f>
        <v>EURAB6E6M</v>
      </c>
      <c r="S5" s="267" t="str">
        <f t="array" ref="S5:S42">Instruments&amp;"="&amp;VLOOKUP(Contributor,ContributorTable,2,FALSE)</f>
        <v>EURAB6E6M=ICAP</v>
      </c>
      <c r="T5" s="308" t="s">
        <v>259</v>
      </c>
      <c r="U5" s="308" t="s">
        <v>259</v>
      </c>
      <c r="V5" s="308" t="s">
        <v>259</v>
      </c>
      <c r="W5" s="308" t="s">
        <v>259</v>
      </c>
      <c r="X5" s="381" t="e">
        <f>_xll.qlMidSafe($T5,$U5)</f>
        <v>#NUM!</v>
      </c>
      <c r="Y5" s="257"/>
      <c r="Z5" s="265" t="e">
        <v>#NUM!</v>
      </c>
      <c r="AA5" s="257"/>
      <c r="AB5" s="336" t="e">
        <f t="array" ref="AB5:AB42">QuoteLive</f>
        <v>#NUM!</v>
      </c>
      <c r="AC5" s="262" t="e">
        <f ca="1">_xll.qlSimpleQuoteSetValue(F5,AB5/100,Trigger)</f>
        <v>#NUM!</v>
      </c>
      <c r="AD5" s="221"/>
      <c r="AE5" s="21"/>
      <c r="AF5" s="389" t="s">
        <v>137</v>
      </c>
      <c r="AG5" s="92" t="s">
        <v>201</v>
      </c>
      <c r="AH5" s="91" t="s">
        <v>132</v>
      </c>
      <c r="AI5" s="21"/>
      <c r="AJ5" s="296" t="e">
        <f t="shared" ref="AJ5:AJ42" si="1">(U5-X5)/50</f>
        <v>#VALUE!</v>
      </c>
    </row>
    <row r="6" spans="1:36" x14ac:dyDescent="0.2">
      <c r="A6" s="126"/>
      <c r="B6" s="215" t="s">
        <v>34</v>
      </c>
      <c r="C6" s="82" t="str">
        <f t="array" ref="C6:C42">VLOOKUP(Currency,SwapSecondarySetConventions,2)</f>
        <v>AB</v>
      </c>
      <c r="D6" s="82" t="str">
        <f t="array" ref="D6:D42">VLOOKUP(Currency,SwapSecondarySetConventions,3)</f>
        <v>6E</v>
      </c>
      <c r="E6" s="80" t="str">
        <f t="shared" ref="E6:E42" si="2">Currency&amp;$C6&amp;$D6&amp;$B6&amp;QuoteSuffix</f>
        <v>EURAB6E1Y_Quote</v>
      </c>
      <c r="F6" s="80" t="str">
        <f>_xll.qlSimpleQuote(Currency&amp;$C6&amp;$D6&amp;$B6&amp;QuoteSuffix,,RateTickValue,Permanent,Trigger,ObjectOverwrite)</f>
        <v>EURAB6E1Y_Quote#0000</v>
      </c>
      <c r="G6" s="79" t="str">
        <f>_xll.ohRangeRetrieveError(F6)</f>
        <v/>
      </c>
      <c r="H6" s="53"/>
      <c r="J6" s="209" t="s">
        <v>137</v>
      </c>
      <c r="K6" s="217" t="s">
        <v>201</v>
      </c>
      <c r="L6" s="216" t="s">
        <v>132</v>
      </c>
      <c r="N6" s="126"/>
      <c r="O6" s="268" t="s">
        <v>34</v>
      </c>
      <c r="P6" s="307" t="str">
        <v>AB</v>
      </c>
      <c r="Q6" s="307" t="str">
        <v>6E</v>
      </c>
      <c r="R6" s="267" t="str">
        <f t="shared" si="0"/>
        <v>EURAB6E1Y</v>
      </c>
      <c r="S6" s="267" t="str">
        <v>EURAB6E1Y=ICAP</v>
      </c>
      <c r="T6" s="308">
        <v>0.40699999999999997</v>
      </c>
      <c r="U6" s="308">
        <v>0.44700000000000001</v>
      </c>
      <c r="V6" s="308">
        <v>0</v>
      </c>
      <c r="W6" s="308">
        <v>0</v>
      </c>
      <c r="X6" s="381">
        <f>_xll.qlMidSafe($T6,$U6)</f>
        <v>0.42699999999999999</v>
      </c>
      <c r="Y6" s="257"/>
      <c r="Z6" s="265">
        <v>0.42699999999999999</v>
      </c>
      <c r="AA6" s="257"/>
      <c r="AB6" s="336">
        <v>0.42699999999999999</v>
      </c>
      <c r="AC6" s="262" t="e">
        <f>_xll.qlSimpleQuoteSetValue(F6,AB6/100,Trigger)</f>
        <v>#N/A</v>
      </c>
      <c r="AD6" s="221"/>
      <c r="AE6" s="21"/>
      <c r="AF6" s="209" t="s">
        <v>123</v>
      </c>
      <c r="AG6" s="89" t="s">
        <v>201</v>
      </c>
      <c r="AH6" s="88" t="s">
        <v>135</v>
      </c>
      <c r="AI6" s="21"/>
      <c r="AJ6" s="296">
        <f t="shared" si="1"/>
        <v>4.0000000000000034E-4</v>
      </c>
    </row>
    <row r="7" spans="1:36" x14ac:dyDescent="0.2">
      <c r="A7" s="126"/>
      <c r="B7" s="218" t="s">
        <v>140</v>
      </c>
      <c r="C7" s="82" t="str">
        <v>AB</v>
      </c>
      <c r="D7" s="82" t="str">
        <v>6E</v>
      </c>
      <c r="E7" s="80" t="str">
        <f t="shared" si="2"/>
        <v>EURAB6E15M_Quote</v>
      </c>
      <c r="F7" s="80" t="str">
        <f>_xll.qlSimpleQuote(Currency&amp;$C7&amp;$D7&amp;$B7&amp;QuoteSuffix,,RateTickValue,Permanent,Trigger,ObjectOverwrite)</f>
        <v>EURAB6E15M_Quote#0000</v>
      </c>
      <c r="G7" s="79" t="str">
        <f>_xll.ohRangeRetrieveError(F7)</f>
        <v/>
      </c>
      <c r="H7" s="53"/>
      <c r="J7" s="209" t="s">
        <v>123</v>
      </c>
      <c r="K7" s="89" t="s">
        <v>201</v>
      </c>
      <c r="L7" s="88" t="s">
        <v>135</v>
      </c>
      <c r="N7" s="126"/>
      <c r="O7" s="268" t="s">
        <v>140</v>
      </c>
      <c r="P7" s="307" t="str">
        <v>AB</v>
      </c>
      <c r="Q7" s="307" t="str">
        <v>6E</v>
      </c>
      <c r="R7" s="267" t="str">
        <f t="shared" si="0"/>
        <v>EURAB6E15M</v>
      </c>
      <c r="S7" s="267" t="str">
        <v>EURAB6E15M=ICAP</v>
      </c>
      <c r="T7" s="308">
        <v>0.42699999999999999</v>
      </c>
      <c r="U7" s="308">
        <v>0.47699999999999998</v>
      </c>
      <c r="V7" s="308">
        <v>0</v>
      </c>
      <c r="W7" s="308">
        <v>0</v>
      </c>
      <c r="X7" s="381">
        <f>_xll.qlMidEquivalent($T7,$U7,$V7,$W7)</f>
        <v>0.45199999999999996</v>
      </c>
      <c r="Y7" s="257"/>
      <c r="Z7" s="265">
        <v>0.45099999999999996</v>
      </c>
      <c r="AA7" s="257"/>
      <c r="AB7" s="336">
        <v>0.45199999999999996</v>
      </c>
      <c r="AC7" s="262" t="e">
        <f>_xll.qlSimpleQuoteSetValue(F7,AB7/100,Trigger)</f>
        <v>#N/A</v>
      </c>
      <c r="AD7" s="221"/>
      <c r="AE7" s="21"/>
      <c r="AF7" s="209" t="s">
        <v>134</v>
      </c>
      <c r="AG7" s="89" t="s">
        <v>200</v>
      </c>
      <c r="AH7" s="88" t="s">
        <v>132</v>
      </c>
      <c r="AI7" s="390"/>
      <c r="AJ7" s="296">
        <f t="shared" si="1"/>
        <v>5.0000000000000044E-4</v>
      </c>
    </row>
    <row r="8" spans="1:36" x14ac:dyDescent="0.2">
      <c r="A8" s="126"/>
      <c r="B8" s="218" t="s">
        <v>139</v>
      </c>
      <c r="C8" s="82" t="str">
        <v>AB</v>
      </c>
      <c r="D8" s="82" t="str">
        <v>6E</v>
      </c>
      <c r="E8" s="80" t="str">
        <f t="shared" si="2"/>
        <v>EURAB6E18M_Quote</v>
      </c>
      <c r="F8" s="80" t="str">
        <f>_xll.qlSimpleQuote(Currency&amp;$C8&amp;$D8&amp;$B8&amp;QuoteSuffix,,RateTickValue,Permanent,Trigger,ObjectOverwrite)</f>
        <v>EURAB6E18M_Quote#0000</v>
      </c>
      <c r="G8" s="79" t="str">
        <f>_xll.ohRangeRetrieveError(F8)</f>
        <v/>
      </c>
      <c r="H8" s="53"/>
      <c r="J8" s="209" t="s">
        <v>134</v>
      </c>
      <c r="K8" s="89" t="s">
        <v>200</v>
      </c>
      <c r="L8" s="88" t="s">
        <v>132</v>
      </c>
      <c r="N8" s="126"/>
      <c r="O8" s="268" t="s">
        <v>139</v>
      </c>
      <c r="P8" s="307" t="str">
        <v>AB</v>
      </c>
      <c r="Q8" s="307" t="str">
        <v>6E</v>
      </c>
      <c r="R8" s="267" t="str">
        <f t="shared" si="0"/>
        <v>EURAB6E18M</v>
      </c>
      <c r="S8" s="267" t="str">
        <v>EURAB6E18M=ICAP</v>
      </c>
      <c r="T8" s="308">
        <v>0.47899999999999998</v>
      </c>
      <c r="U8" s="308">
        <v>0.52900000000000003</v>
      </c>
      <c r="V8" s="308">
        <v>0</v>
      </c>
      <c r="W8" s="308">
        <v>0</v>
      </c>
      <c r="X8" s="381">
        <f>_xll.qlMidEquivalent($T8,$U8,$V8,$W8)</f>
        <v>0.504</v>
      </c>
      <c r="Y8" s="257"/>
      <c r="Z8" s="265">
        <v>0.503</v>
      </c>
      <c r="AA8" s="257"/>
      <c r="AB8" s="336">
        <v>0.504</v>
      </c>
      <c r="AC8" s="262" t="e">
        <f>_xll.qlSimpleQuoteSetValue(F8,AB8/100,Trigger)</f>
        <v>#N/A</v>
      </c>
      <c r="AD8" s="221"/>
      <c r="AE8" s="21"/>
      <c r="AF8" s="209" t="s">
        <v>133</v>
      </c>
      <c r="AG8" s="89" t="s">
        <v>200</v>
      </c>
      <c r="AH8" s="88" t="s">
        <v>132</v>
      </c>
      <c r="AI8" s="390"/>
      <c r="AJ8" s="296">
        <f t="shared" si="1"/>
        <v>5.0000000000000044E-4</v>
      </c>
    </row>
    <row r="9" spans="1:36" ht="12" thickBot="1" x14ac:dyDescent="0.25">
      <c r="A9" s="126"/>
      <c r="B9" s="218" t="s">
        <v>138</v>
      </c>
      <c r="C9" s="82" t="str">
        <v>AB</v>
      </c>
      <c r="D9" s="82" t="str">
        <v>6E</v>
      </c>
      <c r="E9" s="80" t="str">
        <f t="shared" si="2"/>
        <v>EURAB6E21M_Quote</v>
      </c>
      <c r="F9" s="80" t="str">
        <f>_xll.qlSimpleQuote(Currency&amp;$C9&amp;$D9&amp;$B9&amp;QuoteSuffix,,RateTickValue,Permanent,Trigger,ObjectOverwrite)</f>
        <v>EURAB6E21M_Quote#0000</v>
      </c>
      <c r="G9" s="79" t="str">
        <f>_xll.ohRangeRetrieveError(F9)</f>
        <v/>
      </c>
      <c r="H9" s="53"/>
      <c r="J9" s="209" t="s">
        <v>133</v>
      </c>
      <c r="K9" s="217" t="s">
        <v>200</v>
      </c>
      <c r="L9" s="216" t="s">
        <v>132</v>
      </c>
      <c r="N9" s="126"/>
      <c r="O9" s="268" t="s">
        <v>138</v>
      </c>
      <c r="P9" s="307" t="str">
        <v>AB</v>
      </c>
      <c r="Q9" s="307" t="str">
        <v>6E</v>
      </c>
      <c r="R9" s="267" t="str">
        <f t="shared" si="0"/>
        <v>EURAB6E21M</v>
      </c>
      <c r="S9" s="267" t="str">
        <v>EURAB6E21M=ICAP</v>
      </c>
      <c r="T9" s="308">
        <v>0.504</v>
      </c>
      <c r="U9" s="308">
        <v>0.55400000000000005</v>
      </c>
      <c r="V9" s="308">
        <v>0</v>
      </c>
      <c r="W9" s="308">
        <v>0</v>
      </c>
      <c r="X9" s="381">
        <f>_xll.qlMidEquivalent($T9,$U9,$V9,$W9)</f>
        <v>0.52900000000000003</v>
      </c>
      <c r="Y9" s="257"/>
      <c r="Z9" s="265">
        <v>0.52700000000000002</v>
      </c>
      <c r="AA9" s="257"/>
      <c r="AB9" s="336">
        <v>0.52900000000000003</v>
      </c>
      <c r="AC9" s="262" t="e">
        <f>_xll.qlSimpleQuoteSetValue(F9,AB9/100,Trigger)</f>
        <v>#N/A</v>
      </c>
      <c r="AD9" s="221"/>
      <c r="AE9" s="21"/>
      <c r="AF9" s="208" t="s">
        <v>131</v>
      </c>
      <c r="AG9" s="86" t="s">
        <v>199</v>
      </c>
      <c r="AH9" s="85" t="s">
        <v>132</v>
      </c>
      <c r="AI9" s="21"/>
      <c r="AJ9" s="296">
        <f t="shared" si="1"/>
        <v>5.0000000000000044E-4</v>
      </c>
    </row>
    <row r="10" spans="1:36" ht="12" thickBot="1" x14ac:dyDescent="0.25">
      <c r="A10" s="126"/>
      <c r="B10" s="215" t="s">
        <v>115</v>
      </c>
      <c r="C10" s="82" t="str">
        <v>AB</v>
      </c>
      <c r="D10" s="82" t="str">
        <v>6E</v>
      </c>
      <c r="E10" s="80" t="str">
        <f t="shared" si="2"/>
        <v>EURAB6E2Y_Quote</v>
      </c>
      <c r="F10" s="80" t="str">
        <f>_xll.qlSimpleQuote(Currency&amp;$C10&amp;$D10&amp;$B10&amp;QuoteSuffix,,RateTickValue,Permanent,Trigger,ObjectOverwrite)</f>
        <v>EURAB6E2Y_Quote#0000</v>
      </c>
      <c r="G10" s="79" t="str">
        <f>_xll.ohRangeRetrieveError(F10)</f>
        <v/>
      </c>
      <c r="H10" s="53"/>
      <c r="J10" s="208" t="s">
        <v>131</v>
      </c>
      <c r="K10" s="86" t="s">
        <v>199</v>
      </c>
      <c r="L10" s="85" t="s">
        <v>132</v>
      </c>
      <c r="N10" s="126"/>
      <c r="O10" s="268" t="s">
        <v>115</v>
      </c>
      <c r="P10" s="307" t="str">
        <v>AB</v>
      </c>
      <c r="Q10" s="307" t="str">
        <v>6E</v>
      </c>
      <c r="R10" s="267" t="str">
        <f t="shared" si="0"/>
        <v>EURAB6E2Y</v>
      </c>
      <c r="S10" s="267" t="str">
        <v>EURAB6E2Y=ICAP</v>
      </c>
      <c r="T10" s="308">
        <v>0.55600000000000005</v>
      </c>
      <c r="U10" s="308">
        <v>0.59599999999999997</v>
      </c>
      <c r="V10" s="308">
        <v>0</v>
      </c>
      <c r="W10" s="308">
        <v>0</v>
      </c>
      <c r="X10" s="381">
        <f>_xll.qlMidEquivalent($T10,$U10,$V10,$W10)</f>
        <v>0.57600000000000007</v>
      </c>
      <c r="Y10" s="257"/>
      <c r="Z10" s="265">
        <v>0.57600000000000007</v>
      </c>
      <c r="AA10" s="257"/>
      <c r="AB10" s="336">
        <v>0.57600000000000007</v>
      </c>
      <c r="AC10" s="262" t="e">
        <f>_xll.qlSimpleQuoteSetValue(F10,AB10/100,Trigger)</f>
        <v>#N/A</v>
      </c>
      <c r="AD10" s="221"/>
      <c r="AE10" s="21"/>
      <c r="AF10" s="21"/>
      <c r="AG10" s="21"/>
      <c r="AH10" s="21"/>
      <c r="AI10" s="21"/>
      <c r="AJ10" s="296">
        <f t="shared" si="1"/>
        <v>3.9999999999999812E-4</v>
      </c>
    </row>
    <row r="11" spans="1:36" x14ac:dyDescent="0.2">
      <c r="A11" s="126"/>
      <c r="B11" s="215" t="s">
        <v>114</v>
      </c>
      <c r="C11" s="82" t="str">
        <v>AB</v>
      </c>
      <c r="D11" s="82" t="str">
        <v>6E</v>
      </c>
      <c r="E11" s="80" t="str">
        <f t="shared" si="2"/>
        <v>EURAB6E3Y_Quote</v>
      </c>
      <c r="F11" s="80" t="str">
        <f>_xll.qlSimpleQuote(Currency&amp;$C11&amp;$D11&amp;$B11&amp;QuoteSuffix,,RateTickValue,Permanent,Trigger,ObjectOverwrite)</f>
        <v>EURAB6E3Y_Quote#0000</v>
      </c>
      <c r="G11" s="79" t="str">
        <f>_xll.ohRangeRetrieveError(F11)</f>
        <v/>
      </c>
      <c r="H11" s="53"/>
      <c r="N11" s="126"/>
      <c r="O11" s="268" t="s">
        <v>114</v>
      </c>
      <c r="P11" s="307" t="str">
        <v>AB</v>
      </c>
      <c r="Q11" s="307" t="str">
        <v>6E</v>
      </c>
      <c r="R11" s="267" t="str">
        <f t="shared" si="0"/>
        <v>EURAB6E3Y</v>
      </c>
      <c r="S11" s="267" t="str">
        <v>EURAB6E3Y=ICAP</v>
      </c>
      <c r="T11" s="308">
        <v>0.72499999999999998</v>
      </c>
      <c r="U11" s="308">
        <v>0.76500000000000001</v>
      </c>
      <c r="V11" s="308">
        <v>0</v>
      </c>
      <c r="W11" s="308">
        <v>0</v>
      </c>
      <c r="X11" s="381">
        <f>_xll.qlMidEquivalent($T11,$U11,$V11,$W11)</f>
        <v>0.745</v>
      </c>
      <c r="Y11" s="257"/>
      <c r="Z11" s="265">
        <v>0.745</v>
      </c>
      <c r="AA11" s="257"/>
      <c r="AB11" s="336">
        <v>0.745</v>
      </c>
      <c r="AC11" s="262" t="e">
        <f>_xll.qlSimpleQuoteSetValue(F11,AB11/100,Trigger)</f>
        <v>#N/A</v>
      </c>
      <c r="AD11" s="221"/>
      <c r="AE11" s="21"/>
      <c r="AF11" s="21"/>
      <c r="AG11" s="21"/>
      <c r="AH11" s="21"/>
      <c r="AI11" s="21"/>
      <c r="AJ11" s="296">
        <f t="shared" si="1"/>
        <v>4.0000000000000034E-4</v>
      </c>
    </row>
    <row r="12" spans="1:36" x14ac:dyDescent="0.2">
      <c r="A12" s="126"/>
      <c r="B12" s="215" t="s">
        <v>113</v>
      </c>
      <c r="C12" s="82" t="str">
        <v>AB</v>
      </c>
      <c r="D12" s="82" t="str">
        <v>6E</v>
      </c>
      <c r="E12" s="80" t="str">
        <f t="shared" si="2"/>
        <v>EURAB6E4Y_Quote</v>
      </c>
      <c r="F12" s="80" t="str">
        <f>_xll.qlSimpleQuote(Currency&amp;$C12&amp;$D12&amp;$B12&amp;QuoteSuffix,,RateTickValue,Permanent,Trigger,ObjectOverwrite)</f>
        <v>EURAB6E4Y_Quote#0000</v>
      </c>
      <c r="G12" s="79" t="str">
        <f>_xll.ohRangeRetrieveError(F12)</f>
        <v/>
      </c>
      <c r="H12" s="53"/>
      <c r="N12" s="126"/>
      <c r="O12" s="268" t="s">
        <v>113</v>
      </c>
      <c r="P12" s="307" t="str">
        <v>AB</v>
      </c>
      <c r="Q12" s="307" t="str">
        <v>6E</v>
      </c>
      <c r="R12" s="267" t="str">
        <f t="shared" si="0"/>
        <v>EURAB6E4Y</v>
      </c>
      <c r="S12" s="267" t="str">
        <v>EURAB6E4Y=ICAP</v>
      </c>
      <c r="T12" s="308">
        <v>0.94099999999999995</v>
      </c>
      <c r="U12" s="308">
        <v>0.98099999999999998</v>
      </c>
      <c r="V12" s="308">
        <v>0</v>
      </c>
      <c r="W12" s="308">
        <v>0</v>
      </c>
      <c r="X12" s="381">
        <f>_xll.qlMidEquivalent($T12,$U12,$V12,$W12)</f>
        <v>0.96099999999999997</v>
      </c>
      <c r="Y12" s="257"/>
      <c r="Z12" s="265">
        <v>0.96099999999999997</v>
      </c>
      <c r="AA12" s="257"/>
      <c r="AB12" s="336">
        <v>0.96099999999999997</v>
      </c>
      <c r="AC12" s="262" t="e">
        <f>_xll.qlSimpleQuoteSetValue(F12,AB12/100,Trigger)</f>
        <v>#N/A</v>
      </c>
      <c r="AD12" s="221"/>
      <c r="AE12" s="21"/>
      <c r="AF12" s="21"/>
      <c r="AG12" s="21"/>
      <c r="AH12" s="21"/>
      <c r="AI12" s="21"/>
      <c r="AJ12" s="296">
        <f t="shared" si="1"/>
        <v>4.0000000000000034E-4</v>
      </c>
    </row>
    <row r="13" spans="1:36" x14ac:dyDescent="0.2">
      <c r="A13" s="126"/>
      <c r="B13" s="215" t="s">
        <v>112</v>
      </c>
      <c r="C13" s="82" t="str">
        <v>AB</v>
      </c>
      <c r="D13" s="82" t="str">
        <v>6E</v>
      </c>
      <c r="E13" s="80" t="str">
        <f t="shared" si="2"/>
        <v>EURAB6E5Y_Quote</v>
      </c>
      <c r="F13" s="80" t="str">
        <f>_xll.qlSimpleQuote(Currency&amp;$C13&amp;$D13&amp;$B13&amp;QuoteSuffix,,RateTickValue,Permanent,Trigger,ObjectOverwrite)</f>
        <v>EURAB6E5Y_Quote#0000</v>
      </c>
      <c r="G13" s="79" t="str">
        <f>_xll.ohRangeRetrieveError(F13)</f>
        <v/>
      </c>
      <c r="H13" s="53"/>
      <c r="N13" s="126"/>
      <c r="O13" s="268" t="s">
        <v>112</v>
      </c>
      <c r="P13" s="307" t="str">
        <v>AB</v>
      </c>
      <c r="Q13" s="307" t="str">
        <v>6E</v>
      </c>
      <c r="R13" s="267" t="str">
        <f t="shared" si="0"/>
        <v>EURAB6E5Y</v>
      </c>
      <c r="S13" s="267" t="str">
        <v>EURAB6E5Y=ICAP</v>
      </c>
      <c r="T13" s="308">
        <v>1.165</v>
      </c>
      <c r="U13" s="308">
        <v>1.2050000000000001</v>
      </c>
      <c r="V13" s="308">
        <v>0</v>
      </c>
      <c r="W13" s="308">
        <v>0</v>
      </c>
      <c r="X13" s="381">
        <f>_xll.qlMidEquivalent($T13,$U13,$V13,$W13)</f>
        <v>1.1850000000000001</v>
      </c>
      <c r="Y13" s="257"/>
      <c r="Z13" s="265">
        <v>1.1850000000000001</v>
      </c>
      <c r="AA13" s="257"/>
      <c r="AB13" s="336">
        <v>1.1850000000000001</v>
      </c>
      <c r="AC13" s="262" t="e">
        <f>_xll.qlSimpleQuoteSetValue(F13,AB13/100,Trigger)</f>
        <v>#N/A</v>
      </c>
      <c r="AD13" s="221"/>
      <c r="AE13" s="21"/>
      <c r="AF13" s="21"/>
      <c r="AG13" s="21"/>
      <c r="AH13" s="21"/>
      <c r="AI13" s="21"/>
      <c r="AJ13" s="296">
        <f t="shared" si="1"/>
        <v>4.0000000000000034E-4</v>
      </c>
    </row>
    <row r="14" spans="1:36" x14ac:dyDescent="0.2">
      <c r="A14" s="126"/>
      <c r="B14" s="215" t="s">
        <v>111</v>
      </c>
      <c r="C14" s="82" t="str">
        <v>AB</v>
      </c>
      <c r="D14" s="82" t="str">
        <v>6E</v>
      </c>
      <c r="E14" s="80" t="str">
        <f t="shared" si="2"/>
        <v>EURAB6E6Y_Quote</v>
      </c>
      <c r="F14" s="80" t="str">
        <f>_xll.qlSimpleQuote(Currency&amp;$C14&amp;$D14&amp;$B14&amp;QuoteSuffix,,RateTickValue,Permanent,Trigger,ObjectOverwrite)</f>
        <v>EURAB6E6Y_Quote#0000</v>
      </c>
      <c r="G14" s="79" t="str">
        <f>_xll.ohRangeRetrieveError(F14)</f>
        <v/>
      </c>
      <c r="H14" s="53"/>
      <c r="N14" s="126"/>
      <c r="O14" s="268" t="s">
        <v>111</v>
      </c>
      <c r="P14" s="307" t="str">
        <v>AB</v>
      </c>
      <c r="Q14" s="307" t="str">
        <v>6E</v>
      </c>
      <c r="R14" s="267" t="str">
        <f t="shared" si="0"/>
        <v>EURAB6E6Y</v>
      </c>
      <c r="S14" s="267" t="str">
        <v>EURAB6E6Y=ICAP</v>
      </c>
      <c r="T14" s="308">
        <v>1.36</v>
      </c>
      <c r="U14" s="308">
        <v>1.4</v>
      </c>
      <c r="V14" s="308">
        <v>0</v>
      </c>
      <c r="W14" s="308">
        <v>0</v>
      </c>
      <c r="X14" s="381">
        <f>_xll.qlMidEquivalent($T14,$U14,$V14,$W14)</f>
        <v>1.38</v>
      </c>
      <c r="Y14" s="257"/>
      <c r="Z14" s="265">
        <v>1.38</v>
      </c>
      <c r="AA14" s="257"/>
      <c r="AB14" s="336">
        <v>1.38</v>
      </c>
      <c r="AC14" s="262" t="e">
        <f>_xll.qlSimpleQuoteSetValue(F14,AB14/100,Trigger)</f>
        <v>#N/A</v>
      </c>
      <c r="AD14" s="221"/>
      <c r="AE14" s="21"/>
      <c r="AF14" s="21"/>
      <c r="AG14" s="21"/>
      <c r="AH14" s="21"/>
      <c r="AI14" s="21"/>
      <c r="AJ14" s="296">
        <f t="shared" si="1"/>
        <v>4.0000000000000034E-4</v>
      </c>
    </row>
    <row r="15" spans="1:36" x14ac:dyDescent="0.2">
      <c r="A15" s="126"/>
      <c r="B15" s="215" t="s">
        <v>110</v>
      </c>
      <c r="C15" s="82" t="str">
        <v>AB</v>
      </c>
      <c r="D15" s="82" t="str">
        <v>6E</v>
      </c>
      <c r="E15" s="80" t="str">
        <f t="shared" si="2"/>
        <v>EURAB6E7Y_Quote</v>
      </c>
      <c r="F15" s="80" t="str">
        <f>_xll.qlSimpleQuote(Currency&amp;$C15&amp;$D15&amp;$B15&amp;QuoteSuffix,,RateTickValue,Permanent,Trigger,ObjectOverwrite)</f>
        <v>EURAB6E7Y_Quote#0000</v>
      </c>
      <c r="G15" s="79" t="str">
        <f>_xll.ohRangeRetrieveError(F15)</f>
        <v/>
      </c>
      <c r="H15" s="53"/>
      <c r="N15" s="126"/>
      <c r="O15" s="268" t="s">
        <v>110</v>
      </c>
      <c r="P15" s="307" t="str">
        <v>AB</v>
      </c>
      <c r="Q15" s="307" t="str">
        <v>6E</v>
      </c>
      <c r="R15" s="267" t="str">
        <f t="shared" si="0"/>
        <v>EURAB6E7Y</v>
      </c>
      <c r="S15" s="267" t="str">
        <v>EURAB6E7Y=ICAP</v>
      </c>
      <c r="T15" s="308">
        <v>1.5329999999999999</v>
      </c>
      <c r="U15" s="308">
        <v>1.573</v>
      </c>
      <c r="V15" s="308">
        <v>0</v>
      </c>
      <c r="W15" s="308">
        <v>0</v>
      </c>
      <c r="X15" s="381">
        <f>_xll.qlMidEquivalent($T15,$U15,$V15,$W15)</f>
        <v>1.5529999999999999</v>
      </c>
      <c r="Y15" s="257"/>
      <c r="Z15" s="265">
        <v>1.5529999999999999</v>
      </c>
      <c r="AA15" s="257"/>
      <c r="AB15" s="336">
        <v>1.5529999999999999</v>
      </c>
      <c r="AC15" s="262" t="e">
        <f>_xll.qlSimpleQuoteSetValue(F15,AB15/100,Trigger)</f>
        <v>#N/A</v>
      </c>
      <c r="AD15" s="221"/>
      <c r="AE15" s="21"/>
      <c r="AF15" s="21"/>
      <c r="AG15" s="21"/>
      <c r="AH15" s="21"/>
      <c r="AI15" s="21"/>
      <c r="AJ15" s="296">
        <f t="shared" si="1"/>
        <v>4.0000000000000034E-4</v>
      </c>
    </row>
    <row r="16" spans="1:36" x14ac:dyDescent="0.2">
      <c r="A16" s="126"/>
      <c r="B16" s="215" t="s">
        <v>109</v>
      </c>
      <c r="C16" s="82" t="str">
        <v>AB</v>
      </c>
      <c r="D16" s="82" t="str">
        <v>6E</v>
      </c>
      <c r="E16" s="80" t="str">
        <f t="shared" si="2"/>
        <v>EURAB6E8Y_Quote</v>
      </c>
      <c r="F16" s="80" t="str">
        <f>_xll.qlSimpleQuote(Currency&amp;$C16&amp;$D16&amp;$B16&amp;QuoteSuffix,,RateTickValue,Permanent,Trigger,ObjectOverwrite)</f>
        <v>EURAB6E8Y_Quote#0000</v>
      </c>
      <c r="G16" s="79" t="str">
        <f>_xll.ohRangeRetrieveError(F16)</f>
        <v/>
      </c>
      <c r="H16" s="53"/>
      <c r="N16" s="126"/>
      <c r="O16" s="268" t="s">
        <v>109</v>
      </c>
      <c r="P16" s="307" t="str">
        <v>AB</v>
      </c>
      <c r="Q16" s="307" t="str">
        <v>6E</v>
      </c>
      <c r="R16" s="267" t="str">
        <f t="shared" si="0"/>
        <v>EURAB6E8Y</v>
      </c>
      <c r="S16" s="267" t="str">
        <v>EURAB6E8Y=ICAP</v>
      </c>
      <c r="T16" s="308">
        <v>1.6859999999999999</v>
      </c>
      <c r="U16" s="308">
        <v>1.726</v>
      </c>
      <c r="V16" s="308">
        <v>0</v>
      </c>
      <c r="W16" s="308">
        <v>0</v>
      </c>
      <c r="X16" s="381">
        <f>_xll.qlMidEquivalent($T16,$U16,$V16,$W16)</f>
        <v>1.706</v>
      </c>
      <c r="Y16" s="257"/>
      <c r="Z16" s="265">
        <v>1.706</v>
      </c>
      <c r="AA16" s="257"/>
      <c r="AB16" s="336">
        <v>1.706</v>
      </c>
      <c r="AC16" s="262" t="e">
        <f>_xll.qlSimpleQuoteSetValue(F16,AB16/100,Trigger)</f>
        <v>#N/A</v>
      </c>
      <c r="AD16" s="221"/>
      <c r="AE16" s="21"/>
      <c r="AF16" s="21"/>
      <c r="AG16" s="21"/>
      <c r="AH16" s="21"/>
      <c r="AI16" s="21"/>
      <c r="AJ16" s="296">
        <f t="shared" si="1"/>
        <v>4.0000000000000034E-4</v>
      </c>
    </row>
    <row r="17" spans="1:36" x14ac:dyDescent="0.2">
      <c r="A17" s="126"/>
      <c r="B17" s="215" t="s">
        <v>108</v>
      </c>
      <c r="C17" s="82" t="str">
        <v>AB</v>
      </c>
      <c r="D17" s="82" t="str">
        <v>6E</v>
      </c>
      <c r="E17" s="80" t="str">
        <f t="shared" si="2"/>
        <v>EURAB6E9Y_Quote</v>
      </c>
      <c r="F17" s="80" t="str">
        <f>_xll.qlSimpleQuote(Currency&amp;$C17&amp;$D17&amp;$B17&amp;QuoteSuffix,,RateTickValue,Permanent,Trigger,ObjectOverwrite)</f>
        <v>EURAB6E9Y_Quote#0000</v>
      </c>
      <c r="G17" s="79" t="str">
        <f>_xll.ohRangeRetrieveError(F17)</f>
        <v/>
      </c>
      <c r="H17" s="53"/>
      <c r="N17" s="126"/>
      <c r="O17" s="268" t="s">
        <v>108</v>
      </c>
      <c r="P17" s="307" t="str">
        <v>AB</v>
      </c>
      <c r="Q17" s="307" t="str">
        <v>6E</v>
      </c>
      <c r="R17" s="267" t="str">
        <f t="shared" si="0"/>
        <v>EURAB6E9Y</v>
      </c>
      <c r="S17" s="267" t="str">
        <v>EURAB6E9Y=ICAP</v>
      </c>
      <c r="T17" s="308">
        <v>1.8260000000000001</v>
      </c>
      <c r="U17" s="308">
        <v>1.8660000000000001</v>
      </c>
      <c r="V17" s="308">
        <v>0</v>
      </c>
      <c r="W17" s="308">
        <v>0</v>
      </c>
      <c r="X17" s="381">
        <f>_xll.qlMidEquivalent($T17,$U17,$V17,$W17)</f>
        <v>1.8460000000000001</v>
      </c>
      <c r="Y17" s="257"/>
      <c r="Z17" s="265">
        <v>1.8460000000000001</v>
      </c>
      <c r="AA17" s="257"/>
      <c r="AB17" s="336">
        <v>1.8460000000000001</v>
      </c>
      <c r="AC17" s="262" t="e">
        <f>_xll.qlSimpleQuoteSetValue(F17,AB17/100,Trigger)</f>
        <v>#N/A</v>
      </c>
      <c r="AD17" s="221"/>
      <c r="AE17" s="21"/>
      <c r="AF17" s="21"/>
      <c r="AG17" s="21"/>
      <c r="AH17" s="21"/>
      <c r="AI17" s="21"/>
      <c r="AJ17" s="296">
        <f t="shared" si="1"/>
        <v>4.0000000000000034E-4</v>
      </c>
    </row>
    <row r="18" spans="1:36" x14ac:dyDescent="0.2">
      <c r="A18" s="126"/>
      <c r="B18" s="215" t="s">
        <v>107</v>
      </c>
      <c r="C18" s="82" t="str">
        <v>AB</v>
      </c>
      <c r="D18" s="82" t="str">
        <v>6E</v>
      </c>
      <c r="E18" s="80" t="str">
        <f t="shared" si="2"/>
        <v>EURAB6E10Y_Quote</v>
      </c>
      <c r="F18" s="80" t="str">
        <f>_xll.qlSimpleQuote(Currency&amp;$C18&amp;$D18&amp;$B18&amp;QuoteSuffix,,RateTickValue,Permanent,Trigger,ObjectOverwrite)</f>
        <v>EURAB6E10Y_Quote#0000</v>
      </c>
      <c r="G18" s="79" t="str">
        <f>_xll.ohRangeRetrieveError(F18)</f>
        <v/>
      </c>
      <c r="H18" s="53"/>
      <c r="N18" s="126"/>
      <c r="O18" s="268" t="s">
        <v>107</v>
      </c>
      <c r="P18" s="307" t="str">
        <v>AB</v>
      </c>
      <c r="Q18" s="307" t="str">
        <v>6E</v>
      </c>
      <c r="R18" s="267" t="str">
        <f t="shared" si="0"/>
        <v>EURAB6E10Y</v>
      </c>
      <c r="S18" s="267" t="str">
        <v>EURAB6E10Y=ICAP</v>
      </c>
      <c r="T18" s="308">
        <v>1.954</v>
      </c>
      <c r="U18" s="308">
        <v>1.994</v>
      </c>
      <c r="V18" s="308">
        <v>0</v>
      </c>
      <c r="W18" s="308">
        <v>0</v>
      </c>
      <c r="X18" s="381">
        <f>_xll.qlMidEquivalent($T18,$U18,$V18,$W18)</f>
        <v>1.974</v>
      </c>
      <c r="Y18" s="257"/>
      <c r="Z18" s="265">
        <v>1.974</v>
      </c>
      <c r="AA18" s="257"/>
      <c r="AB18" s="336">
        <v>1.974</v>
      </c>
      <c r="AC18" s="262" t="e">
        <f>_xll.qlSimpleQuoteSetValue(F18,AB18/100,Trigger)</f>
        <v>#N/A</v>
      </c>
      <c r="AD18" s="221"/>
      <c r="AE18" s="21"/>
      <c r="AF18" s="21"/>
      <c r="AG18" s="21"/>
      <c r="AH18" s="21"/>
      <c r="AI18" s="21"/>
      <c r="AJ18" s="296">
        <f t="shared" si="1"/>
        <v>4.0000000000000034E-4</v>
      </c>
    </row>
    <row r="19" spans="1:36" x14ac:dyDescent="0.2">
      <c r="A19" s="126"/>
      <c r="B19" s="215" t="s">
        <v>106</v>
      </c>
      <c r="C19" s="82" t="str">
        <v>AB</v>
      </c>
      <c r="D19" s="82" t="str">
        <v>6E</v>
      </c>
      <c r="E19" s="80" t="str">
        <f t="shared" si="2"/>
        <v>EURAB6E11Y_Quote</v>
      </c>
      <c r="F19" s="80" t="str">
        <f>_xll.qlSimpleQuote(Currency&amp;$C19&amp;$D19&amp;$B19&amp;QuoteSuffix,,RateTickValue,Permanent,Trigger,ObjectOverwrite)</f>
        <v>EURAB6E11Y_Quote#0000</v>
      </c>
      <c r="G19" s="79" t="str">
        <f>_xll.ohRangeRetrieveError(F19)</f>
        <v/>
      </c>
      <c r="H19" s="53"/>
      <c r="N19" s="126"/>
      <c r="O19" s="268" t="s">
        <v>106</v>
      </c>
      <c r="P19" s="307" t="str">
        <v>AB</v>
      </c>
      <c r="Q19" s="307" t="str">
        <v>6E</v>
      </c>
      <c r="R19" s="267" t="str">
        <f t="shared" si="0"/>
        <v>EURAB6E11Y</v>
      </c>
      <c r="S19" s="267" t="str">
        <v>EURAB6E11Y=ICAP</v>
      </c>
      <c r="T19" s="308">
        <v>2.0649999999999999</v>
      </c>
      <c r="U19" s="308">
        <v>2.105</v>
      </c>
      <c r="V19" s="308">
        <v>0</v>
      </c>
      <c r="W19" s="308">
        <v>0</v>
      </c>
      <c r="X19" s="381">
        <f>_xll.qlMidEquivalent($T19,$U19,$V19,$W19)</f>
        <v>2.085</v>
      </c>
      <c r="Y19" s="257"/>
      <c r="Z19" s="265">
        <v>2.085</v>
      </c>
      <c r="AA19" s="257"/>
      <c r="AB19" s="336">
        <v>2.085</v>
      </c>
      <c r="AC19" s="262" t="e">
        <f>_xll.qlSimpleQuoteSetValue(F19,AB19/100,Trigger)</f>
        <v>#N/A</v>
      </c>
      <c r="AD19" s="221"/>
      <c r="AE19" s="21"/>
      <c r="AF19" s="21"/>
      <c r="AG19" s="21"/>
      <c r="AH19" s="21"/>
      <c r="AI19" s="21"/>
      <c r="AJ19" s="296">
        <f t="shared" si="1"/>
        <v>4.0000000000000034E-4</v>
      </c>
    </row>
    <row r="20" spans="1:36" x14ac:dyDescent="0.2">
      <c r="A20" s="126"/>
      <c r="B20" s="215" t="s">
        <v>105</v>
      </c>
      <c r="C20" s="82" t="str">
        <v>AB</v>
      </c>
      <c r="D20" s="82" t="str">
        <v>6E</v>
      </c>
      <c r="E20" s="80" t="str">
        <f t="shared" si="2"/>
        <v>EURAB6E12Y_Quote</v>
      </c>
      <c r="F20" s="80" t="str">
        <f>_xll.qlSimpleQuote(Currency&amp;$C20&amp;$D20&amp;$B20&amp;QuoteSuffix,,RateTickValue,Permanent,Trigger,ObjectOverwrite)</f>
        <v>EURAB6E12Y_Quote#0000</v>
      </c>
      <c r="G20" s="79" t="str">
        <f>_xll.ohRangeRetrieveError(F20)</f>
        <v/>
      </c>
      <c r="H20" s="53"/>
      <c r="N20" s="126"/>
      <c r="O20" s="268" t="s">
        <v>105</v>
      </c>
      <c r="P20" s="307" t="str">
        <v>AB</v>
      </c>
      <c r="Q20" s="307" t="str">
        <v>6E</v>
      </c>
      <c r="R20" s="267" t="str">
        <f t="shared" si="0"/>
        <v>EURAB6E12Y</v>
      </c>
      <c r="S20" s="267" t="str">
        <v>EURAB6E12Y=ICAP</v>
      </c>
      <c r="T20" s="308">
        <v>2.16</v>
      </c>
      <c r="U20" s="308">
        <v>2.2000000000000002</v>
      </c>
      <c r="V20" s="308">
        <v>0</v>
      </c>
      <c r="W20" s="308">
        <v>0</v>
      </c>
      <c r="X20" s="381">
        <f>_xll.qlMidEquivalent($T20,$U20,$V20,$W20)</f>
        <v>2.1800000000000002</v>
      </c>
      <c r="Y20" s="257"/>
      <c r="Z20" s="265">
        <v>2.1800000000000002</v>
      </c>
      <c r="AA20" s="257"/>
      <c r="AB20" s="336">
        <v>2.1800000000000002</v>
      </c>
      <c r="AC20" s="262" t="e">
        <f>_xll.qlSimpleQuoteSetValue(F20,AB20/100,Trigger)</f>
        <v>#N/A</v>
      </c>
      <c r="AD20" s="221"/>
      <c r="AE20" s="21"/>
      <c r="AF20" s="21"/>
      <c r="AG20" s="21"/>
      <c r="AH20" s="21"/>
      <c r="AI20" s="21"/>
      <c r="AJ20" s="296">
        <f t="shared" si="1"/>
        <v>4.0000000000000034E-4</v>
      </c>
    </row>
    <row r="21" spans="1:36" x14ac:dyDescent="0.2">
      <c r="A21" s="126"/>
      <c r="B21" s="215" t="s">
        <v>104</v>
      </c>
      <c r="C21" s="82" t="str">
        <v>AB</v>
      </c>
      <c r="D21" s="82" t="str">
        <v>6E</v>
      </c>
      <c r="E21" s="80" t="str">
        <f t="shared" si="2"/>
        <v>EURAB6E13Y_Quote</v>
      </c>
      <c r="F21" s="80" t="str">
        <f>_xll.qlSimpleQuote(Currency&amp;$C21&amp;$D21&amp;$B21&amp;QuoteSuffix,,RateTickValue,Permanent,Trigger,ObjectOverwrite)</f>
        <v>EURAB6E13Y_Quote#0000</v>
      </c>
      <c r="G21" s="79" t="str">
        <f>_xll.ohRangeRetrieveError(F21)</f>
        <v/>
      </c>
      <c r="H21" s="53"/>
      <c r="N21" s="126"/>
      <c r="O21" s="268" t="s">
        <v>104</v>
      </c>
      <c r="P21" s="307" t="str">
        <v>AB</v>
      </c>
      <c r="Q21" s="307" t="str">
        <v>6E</v>
      </c>
      <c r="R21" s="267" t="str">
        <f t="shared" si="0"/>
        <v>EURAB6E13Y</v>
      </c>
      <c r="S21" s="267" t="str">
        <v>EURAB6E13Y=ICAP</v>
      </c>
      <c r="T21" s="308">
        <v>2.2400000000000002</v>
      </c>
      <c r="U21" s="308">
        <v>2.2799999999999998</v>
      </c>
      <c r="V21" s="308">
        <v>0</v>
      </c>
      <c r="W21" s="308">
        <v>0</v>
      </c>
      <c r="X21" s="381">
        <f>_xll.qlMidEquivalent($T21,$U21,$V21,$W21)</f>
        <v>2.2599999999999998</v>
      </c>
      <c r="Y21" s="257"/>
      <c r="Z21" s="265">
        <v>2.2599999999999998</v>
      </c>
      <c r="AA21" s="257"/>
      <c r="AB21" s="336">
        <v>2.2599999999999998</v>
      </c>
      <c r="AC21" s="262" t="e">
        <f>_xll.qlSimpleQuoteSetValue(F21,AB21/100,Trigger)</f>
        <v>#N/A</v>
      </c>
      <c r="AD21" s="221"/>
      <c r="AE21" s="21"/>
      <c r="AF21" s="21"/>
      <c r="AG21" s="21"/>
      <c r="AH21" s="21"/>
      <c r="AI21" s="21"/>
      <c r="AJ21" s="296">
        <f t="shared" si="1"/>
        <v>4.0000000000000034E-4</v>
      </c>
    </row>
    <row r="22" spans="1:36" x14ac:dyDescent="0.2">
      <c r="A22" s="126"/>
      <c r="B22" s="215" t="s">
        <v>103</v>
      </c>
      <c r="C22" s="82" t="str">
        <v>AB</v>
      </c>
      <c r="D22" s="82" t="str">
        <v>6E</v>
      </c>
      <c r="E22" s="80" t="str">
        <f t="shared" si="2"/>
        <v>EURAB6E14Y_Quote</v>
      </c>
      <c r="F22" s="80" t="str">
        <f>_xll.qlSimpleQuote(Currency&amp;$C22&amp;$D22&amp;$B22&amp;QuoteSuffix,,RateTickValue,Permanent,Trigger,ObjectOverwrite)</f>
        <v>EURAB6E14Y_Quote#0000</v>
      </c>
      <c r="G22" s="79" t="str">
        <f>_xll.ohRangeRetrieveError(F22)</f>
        <v/>
      </c>
      <c r="H22" s="53"/>
      <c r="N22" s="126"/>
      <c r="O22" s="268" t="s">
        <v>103</v>
      </c>
      <c r="P22" s="307" t="str">
        <v>AB</v>
      </c>
      <c r="Q22" s="307" t="str">
        <v>6E</v>
      </c>
      <c r="R22" s="267" t="str">
        <f t="shared" si="0"/>
        <v>EURAB6E14Y</v>
      </c>
      <c r="S22" s="267" t="str">
        <v>EURAB6E14Y=ICAP</v>
      </c>
      <c r="T22" s="308">
        <v>2.3050000000000002</v>
      </c>
      <c r="U22" s="308">
        <v>2.3450000000000002</v>
      </c>
      <c r="V22" s="308">
        <v>0</v>
      </c>
      <c r="W22" s="308">
        <v>0</v>
      </c>
      <c r="X22" s="381">
        <f>_xll.qlMidEquivalent($T22,$U22,$V22,$W22)</f>
        <v>2.3250000000000002</v>
      </c>
      <c r="Y22" s="257"/>
      <c r="Z22" s="265">
        <v>2.3250000000000002</v>
      </c>
      <c r="AA22" s="257"/>
      <c r="AB22" s="336">
        <v>2.3250000000000002</v>
      </c>
      <c r="AC22" s="262" t="e">
        <f>_xll.qlSimpleQuoteSetValue(F22,AB22/100,Trigger)</f>
        <v>#N/A</v>
      </c>
      <c r="AD22" s="221"/>
      <c r="AE22" s="21"/>
      <c r="AF22" s="21"/>
      <c r="AG22" s="21"/>
      <c r="AH22" s="21"/>
      <c r="AI22" s="21"/>
      <c r="AJ22" s="296">
        <f t="shared" si="1"/>
        <v>4.0000000000000034E-4</v>
      </c>
    </row>
    <row r="23" spans="1:36" x14ac:dyDescent="0.2">
      <c r="A23" s="126"/>
      <c r="B23" s="215" t="s">
        <v>102</v>
      </c>
      <c r="C23" s="82" t="str">
        <v>AB</v>
      </c>
      <c r="D23" s="82" t="str">
        <v>6E</v>
      </c>
      <c r="E23" s="80" t="str">
        <f t="shared" si="2"/>
        <v>EURAB6E15Y_Quote</v>
      </c>
      <c r="F23" s="80" t="str">
        <f>_xll.qlSimpleQuote(Currency&amp;$C23&amp;$D23&amp;$B23&amp;QuoteSuffix,,RateTickValue,Permanent,Trigger,ObjectOverwrite)</f>
        <v>EURAB6E15Y_Quote#0000</v>
      </c>
      <c r="G23" s="79" t="str">
        <f>_xll.ohRangeRetrieveError(F23)</f>
        <v/>
      </c>
      <c r="H23" s="53"/>
      <c r="N23" s="126"/>
      <c r="O23" s="268" t="s">
        <v>102</v>
      </c>
      <c r="P23" s="307" t="str">
        <v>AB</v>
      </c>
      <c r="Q23" s="307" t="str">
        <v>6E</v>
      </c>
      <c r="R23" s="267" t="str">
        <f t="shared" si="0"/>
        <v>EURAB6E15Y</v>
      </c>
      <c r="S23" s="267" t="str">
        <v>EURAB6E15Y=ICAP</v>
      </c>
      <c r="T23" s="308">
        <v>2.3559999999999999</v>
      </c>
      <c r="U23" s="308">
        <v>2.3959999999999999</v>
      </c>
      <c r="V23" s="308">
        <v>0</v>
      </c>
      <c r="W23" s="308">
        <v>0</v>
      </c>
      <c r="X23" s="381">
        <f>_xll.qlMidEquivalent($T23,$U23,$V23,$W23)</f>
        <v>2.3759999999999999</v>
      </c>
      <c r="Y23" s="257"/>
      <c r="Z23" s="265">
        <v>2.3759999999999999</v>
      </c>
      <c r="AA23" s="257"/>
      <c r="AB23" s="336">
        <v>2.3759999999999999</v>
      </c>
      <c r="AC23" s="262" t="e">
        <f>_xll.qlSimpleQuoteSetValue(F23,AB23/100,Trigger)</f>
        <v>#N/A</v>
      </c>
      <c r="AD23" s="221"/>
      <c r="AE23" s="21"/>
      <c r="AF23" s="21"/>
      <c r="AG23" s="21"/>
      <c r="AH23" s="21"/>
      <c r="AI23" s="21"/>
      <c r="AJ23" s="296">
        <f t="shared" si="1"/>
        <v>4.0000000000000034E-4</v>
      </c>
    </row>
    <row r="24" spans="1:36" x14ac:dyDescent="0.2">
      <c r="A24" s="126"/>
      <c r="B24" s="215" t="s">
        <v>101</v>
      </c>
      <c r="C24" s="82" t="str">
        <v>AB</v>
      </c>
      <c r="D24" s="82" t="str">
        <v>6E</v>
      </c>
      <c r="E24" s="80" t="str">
        <f t="shared" si="2"/>
        <v>EURAB6E16Y_Quote</v>
      </c>
      <c r="F24" s="80" t="str">
        <f>_xll.qlSimpleQuote(Currency&amp;$C24&amp;$D24&amp;$B24&amp;QuoteSuffix,,RateTickValue,Permanent,Trigger,ObjectOverwrite)</f>
        <v>EURAB6E16Y_Quote#0000</v>
      </c>
      <c r="G24" s="79" t="str">
        <f>_xll.ohRangeRetrieveError(F24)</f>
        <v/>
      </c>
      <c r="H24" s="53"/>
      <c r="N24" s="126"/>
      <c r="O24" s="268" t="s">
        <v>101</v>
      </c>
      <c r="P24" s="307" t="str">
        <v>AB</v>
      </c>
      <c r="Q24" s="307" t="str">
        <v>6E</v>
      </c>
      <c r="R24" s="267" t="str">
        <f t="shared" si="0"/>
        <v>EURAB6E16Y</v>
      </c>
      <c r="S24" s="267" t="str">
        <v>EURAB6E16Y=ICAP</v>
      </c>
      <c r="T24" s="308">
        <v>2.395</v>
      </c>
      <c r="U24" s="308">
        <v>2.4350000000000001</v>
      </c>
      <c r="V24" s="308">
        <v>0</v>
      </c>
      <c r="W24" s="308">
        <v>0</v>
      </c>
      <c r="X24" s="381">
        <f>_xll.qlMidEquivalent($T24,$U24,$V24,$W24)</f>
        <v>2.415</v>
      </c>
      <c r="Y24" s="257"/>
      <c r="Z24" s="265">
        <v>2.415</v>
      </c>
      <c r="AA24" s="257"/>
      <c r="AB24" s="336">
        <v>2.415</v>
      </c>
      <c r="AC24" s="262" t="e">
        <f>_xll.qlSimpleQuoteSetValue(F24,AB24/100,Trigger)</f>
        <v>#N/A</v>
      </c>
      <c r="AD24" s="221"/>
      <c r="AE24" s="21"/>
      <c r="AF24" s="21"/>
      <c r="AG24" s="21"/>
      <c r="AH24" s="21"/>
      <c r="AI24" s="21"/>
      <c r="AJ24" s="296">
        <f t="shared" si="1"/>
        <v>4.0000000000000034E-4</v>
      </c>
    </row>
    <row r="25" spans="1:36" x14ac:dyDescent="0.2">
      <c r="A25" s="126"/>
      <c r="B25" s="215" t="s">
        <v>100</v>
      </c>
      <c r="C25" s="82" t="str">
        <v>AB</v>
      </c>
      <c r="D25" s="82" t="str">
        <v>6E</v>
      </c>
      <c r="E25" s="80" t="str">
        <f t="shared" si="2"/>
        <v>EURAB6E17Y_Quote</v>
      </c>
      <c r="F25" s="80" t="str">
        <f>_xll.qlSimpleQuote(Currency&amp;$C25&amp;$D25&amp;$B25&amp;QuoteSuffix,,RateTickValue,Permanent,Trigger,ObjectOverwrite)</f>
        <v>EURAB6E17Y_Quote#0000</v>
      </c>
      <c r="G25" s="79" t="str">
        <f>_xll.ohRangeRetrieveError(F25)</f>
        <v/>
      </c>
      <c r="H25" s="53"/>
      <c r="N25" s="126"/>
      <c r="O25" s="268" t="s">
        <v>100</v>
      </c>
      <c r="P25" s="307" t="str">
        <v>AB</v>
      </c>
      <c r="Q25" s="307" t="str">
        <v>6E</v>
      </c>
      <c r="R25" s="267" t="str">
        <f t="shared" si="0"/>
        <v>EURAB6E17Y</v>
      </c>
      <c r="S25" s="267" t="str">
        <v>EURAB6E17Y=ICAP</v>
      </c>
      <c r="T25" s="308">
        <v>2.4239999999999999</v>
      </c>
      <c r="U25" s="308">
        <v>2.464</v>
      </c>
      <c r="V25" s="308">
        <v>0</v>
      </c>
      <c r="W25" s="308">
        <v>0</v>
      </c>
      <c r="X25" s="381">
        <f>_xll.qlMidEquivalent($T25,$U25,$V25,$W25)</f>
        <v>2.444</v>
      </c>
      <c r="Y25" s="257"/>
      <c r="Z25" s="265">
        <v>2.444</v>
      </c>
      <c r="AA25" s="257"/>
      <c r="AB25" s="336">
        <v>2.444</v>
      </c>
      <c r="AC25" s="262" t="e">
        <f>_xll.qlSimpleQuoteSetValue(F25,AB25/100,Trigger)</f>
        <v>#N/A</v>
      </c>
      <c r="AD25" s="221"/>
      <c r="AE25" s="21"/>
      <c r="AF25" s="21"/>
      <c r="AG25" s="21"/>
      <c r="AH25" s="21"/>
      <c r="AI25" s="21"/>
      <c r="AJ25" s="296">
        <f t="shared" si="1"/>
        <v>4.0000000000000034E-4</v>
      </c>
    </row>
    <row r="26" spans="1:36" x14ac:dyDescent="0.2">
      <c r="A26" s="126"/>
      <c r="B26" s="215" t="s">
        <v>99</v>
      </c>
      <c r="C26" s="82" t="str">
        <v>AB</v>
      </c>
      <c r="D26" s="82" t="str">
        <v>6E</v>
      </c>
      <c r="E26" s="80" t="str">
        <f t="shared" si="2"/>
        <v>EURAB6E18Y_Quote</v>
      </c>
      <c r="F26" s="80" t="str">
        <f>_xll.qlSimpleQuote(Currency&amp;$C26&amp;$D26&amp;$B26&amp;QuoteSuffix,,RateTickValue,Permanent,Trigger,ObjectOverwrite)</f>
        <v>EURAB6E18Y_Quote#0000</v>
      </c>
      <c r="G26" s="79" t="str">
        <f>_xll.ohRangeRetrieveError(F26)</f>
        <v/>
      </c>
      <c r="H26" s="53"/>
      <c r="N26" s="126"/>
      <c r="O26" s="268" t="s">
        <v>99</v>
      </c>
      <c r="P26" s="307" t="str">
        <v>AB</v>
      </c>
      <c r="Q26" s="307" t="str">
        <v>6E</v>
      </c>
      <c r="R26" s="267" t="str">
        <f t="shared" si="0"/>
        <v>EURAB6E18Y</v>
      </c>
      <c r="S26" s="267" t="str">
        <v>EURAB6E18Y=ICAP</v>
      </c>
      <c r="T26" s="308">
        <v>2.444</v>
      </c>
      <c r="U26" s="308">
        <v>2.484</v>
      </c>
      <c r="V26" s="308">
        <v>0</v>
      </c>
      <c r="W26" s="308">
        <v>0</v>
      </c>
      <c r="X26" s="381">
        <f>_xll.qlMidEquivalent($T26,$U26,$V26,$W26)</f>
        <v>2.464</v>
      </c>
      <c r="Y26" s="257"/>
      <c r="Z26" s="265">
        <v>2.464</v>
      </c>
      <c r="AA26" s="257"/>
      <c r="AB26" s="336">
        <v>2.464</v>
      </c>
      <c r="AC26" s="262" t="e">
        <f>_xll.qlSimpleQuoteSetValue(F26,AB26/100,Trigger)</f>
        <v>#N/A</v>
      </c>
      <c r="AD26" s="221"/>
      <c r="AE26" s="21"/>
      <c r="AF26" s="21"/>
      <c r="AG26" s="21"/>
      <c r="AH26" s="21"/>
      <c r="AI26" s="21"/>
      <c r="AJ26" s="296">
        <f t="shared" si="1"/>
        <v>4.0000000000000034E-4</v>
      </c>
    </row>
    <row r="27" spans="1:36" x14ac:dyDescent="0.2">
      <c r="A27" s="126"/>
      <c r="B27" s="215" t="s">
        <v>98</v>
      </c>
      <c r="C27" s="82" t="str">
        <v>AB</v>
      </c>
      <c r="D27" s="82" t="str">
        <v>6E</v>
      </c>
      <c r="E27" s="80" t="str">
        <f t="shared" si="2"/>
        <v>EURAB6E19Y_Quote</v>
      </c>
      <c r="F27" s="80" t="str">
        <f>_xll.qlSimpleQuote(Currency&amp;$C27&amp;$D27&amp;$B27&amp;QuoteSuffix,,RateTickValue,Permanent,Trigger,ObjectOverwrite)</f>
        <v>EURAB6E19Y_Quote#0000</v>
      </c>
      <c r="G27" s="79" t="str">
        <f>_xll.ohRangeRetrieveError(F27)</f>
        <v/>
      </c>
      <c r="H27" s="53"/>
      <c r="N27" s="126"/>
      <c r="O27" s="268" t="s">
        <v>98</v>
      </c>
      <c r="P27" s="307" t="str">
        <v>AB</v>
      </c>
      <c r="Q27" s="307" t="str">
        <v>6E</v>
      </c>
      <c r="R27" s="267" t="str">
        <f t="shared" si="0"/>
        <v>EURAB6E19Y</v>
      </c>
      <c r="S27" s="267" t="str">
        <v>EURAB6E19Y=ICAP</v>
      </c>
      <c r="T27" s="308">
        <v>2.4580000000000002</v>
      </c>
      <c r="U27" s="308">
        <v>2.4980000000000002</v>
      </c>
      <c r="V27" s="308">
        <v>0</v>
      </c>
      <c r="W27" s="308">
        <v>0</v>
      </c>
      <c r="X27" s="381">
        <f>_xll.qlMidEquivalent($T27,$U27,$V27,$W27)</f>
        <v>2.4780000000000002</v>
      </c>
      <c r="Y27" s="257"/>
      <c r="Z27" s="265">
        <v>2.4780000000000002</v>
      </c>
      <c r="AA27" s="257"/>
      <c r="AB27" s="336">
        <v>2.4780000000000002</v>
      </c>
      <c r="AC27" s="262" t="e">
        <f>_xll.qlSimpleQuoteSetValue(F27,AB27/100,Trigger)</f>
        <v>#N/A</v>
      </c>
      <c r="AD27" s="221"/>
      <c r="AE27" s="21"/>
      <c r="AF27" s="21"/>
      <c r="AG27" s="21"/>
      <c r="AH27" s="21"/>
      <c r="AI27" s="21"/>
      <c r="AJ27" s="296">
        <f t="shared" si="1"/>
        <v>4.0000000000000034E-4</v>
      </c>
    </row>
    <row r="28" spans="1:36" x14ac:dyDescent="0.2">
      <c r="A28" s="126"/>
      <c r="B28" s="215" t="s">
        <v>97</v>
      </c>
      <c r="C28" s="82" t="str">
        <v>AB</v>
      </c>
      <c r="D28" s="82" t="str">
        <v>6E</v>
      </c>
      <c r="E28" s="80" t="str">
        <f t="shared" si="2"/>
        <v>EURAB6E20Y_Quote</v>
      </c>
      <c r="F28" s="80" t="str">
        <f>_xll.qlSimpleQuote(Currency&amp;$C28&amp;$D28&amp;$B28&amp;QuoteSuffix,,RateTickValue,Permanent,Trigger,ObjectOverwrite)</f>
        <v>EURAB6E20Y_Quote#0000</v>
      </c>
      <c r="G28" s="79" t="str">
        <f>_xll.ohRangeRetrieveError(F28)</f>
        <v/>
      </c>
      <c r="H28" s="53"/>
      <c r="N28" s="126"/>
      <c r="O28" s="268" t="s">
        <v>97</v>
      </c>
      <c r="P28" s="307" t="str">
        <v>AB</v>
      </c>
      <c r="Q28" s="307" t="str">
        <v>6E</v>
      </c>
      <c r="R28" s="267" t="str">
        <f t="shared" si="0"/>
        <v>EURAB6E20Y</v>
      </c>
      <c r="S28" s="267" t="str">
        <v>EURAB6E20Y=ICAP</v>
      </c>
      <c r="T28" s="308">
        <v>2.4670000000000001</v>
      </c>
      <c r="U28" s="308">
        <v>2.5070000000000001</v>
      </c>
      <c r="V28" s="308">
        <v>0</v>
      </c>
      <c r="W28" s="308">
        <v>0</v>
      </c>
      <c r="X28" s="381">
        <f>_xll.qlMidEquivalent($T28,$U28,$V28,$W28)</f>
        <v>2.4870000000000001</v>
      </c>
      <c r="Y28" s="257"/>
      <c r="Z28" s="265">
        <v>2.4870000000000001</v>
      </c>
      <c r="AA28" s="257"/>
      <c r="AB28" s="336">
        <v>2.4870000000000001</v>
      </c>
      <c r="AC28" s="262" t="e">
        <f>_xll.qlSimpleQuoteSetValue(F28,AB28/100,Trigger)</f>
        <v>#N/A</v>
      </c>
      <c r="AD28" s="221"/>
      <c r="AE28" s="21"/>
      <c r="AF28" s="21"/>
      <c r="AG28" s="21"/>
      <c r="AH28" s="21"/>
      <c r="AI28" s="21"/>
      <c r="AJ28" s="296">
        <f t="shared" si="1"/>
        <v>4.0000000000000034E-4</v>
      </c>
    </row>
    <row r="29" spans="1:36" x14ac:dyDescent="0.2">
      <c r="A29" s="126"/>
      <c r="B29" s="215" t="s">
        <v>96</v>
      </c>
      <c r="C29" s="82" t="str">
        <v>AB</v>
      </c>
      <c r="D29" s="82" t="str">
        <v>6E</v>
      </c>
      <c r="E29" s="80" t="str">
        <f t="shared" si="2"/>
        <v>EURAB6E21Y_Quote</v>
      </c>
      <c r="F29" s="80" t="str">
        <f>_xll.qlSimpleQuote(Currency&amp;$C29&amp;$D29&amp;$B29&amp;QuoteSuffix,,RateTickValue,Permanent,Trigger,ObjectOverwrite)</f>
        <v>EURAB6E21Y_Quote#0000</v>
      </c>
      <c r="G29" s="79" t="str">
        <f>_xll.ohRangeRetrieveError(F29)</f>
        <v/>
      </c>
      <c r="H29" s="53"/>
      <c r="N29" s="126"/>
      <c r="O29" s="268" t="s">
        <v>96</v>
      </c>
      <c r="P29" s="307" t="str">
        <v>AB</v>
      </c>
      <c r="Q29" s="307" t="str">
        <v>6E</v>
      </c>
      <c r="R29" s="267" t="str">
        <f t="shared" si="0"/>
        <v>EURAB6E21Y</v>
      </c>
      <c r="S29" s="267" t="str">
        <v>EURAB6E21Y=ICAP</v>
      </c>
      <c r="T29" s="308">
        <v>2.4729999999999999</v>
      </c>
      <c r="U29" s="308">
        <v>2.5129999999999999</v>
      </c>
      <c r="V29" s="308">
        <v>0</v>
      </c>
      <c r="W29" s="308">
        <v>0</v>
      </c>
      <c r="X29" s="381">
        <f>_xll.qlMidEquivalent($T29,$U29,$V29,$W29)</f>
        <v>2.4929999999999999</v>
      </c>
      <c r="Y29" s="257"/>
      <c r="Z29" s="265">
        <v>2.4929999999999999</v>
      </c>
      <c r="AA29" s="257"/>
      <c r="AB29" s="336">
        <v>2.4929999999999999</v>
      </c>
      <c r="AC29" s="262" t="e">
        <f>_xll.qlSimpleQuoteSetValue(F29,AB29/100,Trigger)</f>
        <v>#N/A</v>
      </c>
      <c r="AD29" s="221"/>
      <c r="AE29" s="21"/>
      <c r="AF29" s="21"/>
      <c r="AG29" s="21"/>
      <c r="AH29" s="21"/>
      <c r="AI29" s="21"/>
      <c r="AJ29" s="296">
        <f t="shared" si="1"/>
        <v>4.0000000000000034E-4</v>
      </c>
    </row>
    <row r="30" spans="1:36" x14ac:dyDescent="0.2">
      <c r="A30" s="126"/>
      <c r="B30" s="215" t="s">
        <v>95</v>
      </c>
      <c r="C30" s="82" t="str">
        <v>AB</v>
      </c>
      <c r="D30" s="82" t="str">
        <v>6E</v>
      </c>
      <c r="E30" s="80" t="str">
        <f t="shared" si="2"/>
        <v>EURAB6E22Y_Quote</v>
      </c>
      <c r="F30" s="80" t="str">
        <f>_xll.qlSimpleQuote(Currency&amp;$C30&amp;$D30&amp;$B30&amp;QuoteSuffix,,RateTickValue,Permanent,Trigger,ObjectOverwrite)</f>
        <v>EURAB6E22Y_Quote#0000</v>
      </c>
      <c r="G30" s="79" t="str">
        <f>_xll.ohRangeRetrieveError(F30)</f>
        <v/>
      </c>
      <c r="H30" s="53"/>
      <c r="N30" s="126"/>
      <c r="O30" s="268" t="s">
        <v>95</v>
      </c>
      <c r="P30" s="307" t="str">
        <v>AB</v>
      </c>
      <c r="Q30" s="307" t="str">
        <v>6E</v>
      </c>
      <c r="R30" s="267" t="str">
        <f t="shared" si="0"/>
        <v>EURAB6E22Y</v>
      </c>
      <c r="S30" s="267" t="str">
        <v>EURAB6E22Y=ICAP</v>
      </c>
      <c r="T30" s="308">
        <v>2.4780000000000002</v>
      </c>
      <c r="U30" s="308">
        <v>2.5179999999999998</v>
      </c>
      <c r="V30" s="308">
        <v>0</v>
      </c>
      <c r="W30" s="308">
        <v>0</v>
      </c>
      <c r="X30" s="381">
        <f>_xll.qlMidEquivalent($T30,$U30,$V30,$W30)</f>
        <v>2.4980000000000002</v>
      </c>
      <c r="Y30" s="257"/>
      <c r="Z30" s="265">
        <v>2.4980000000000002</v>
      </c>
      <c r="AA30" s="257"/>
      <c r="AB30" s="336">
        <v>2.4980000000000002</v>
      </c>
      <c r="AC30" s="262" t="e">
        <f>_xll.qlSimpleQuoteSetValue(F30,AB30/100,Trigger)</f>
        <v>#N/A</v>
      </c>
      <c r="AD30" s="221"/>
      <c r="AE30" s="21"/>
      <c r="AF30" s="21"/>
      <c r="AG30" s="21"/>
      <c r="AH30" s="21"/>
      <c r="AI30" s="21"/>
      <c r="AJ30" s="296">
        <f t="shared" si="1"/>
        <v>3.9999999999999145E-4</v>
      </c>
    </row>
    <row r="31" spans="1:36" x14ac:dyDescent="0.2">
      <c r="A31" s="126"/>
      <c r="B31" s="215" t="s">
        <v>94</v>
      </c>
      <c r="C31" s="82" t="str">
        <v>AB</v>
      </c>
      <c r="D31" s="82" t="str">
        <v>6E</v>
      </c>
      <c r="E31" s="80" t="str">
        <f t="shared" si="2"/>
        <v>EURAB6E23Y_Quote</v>
      </c>
      <c r="F31" s="80" t="str">
        <f>_xll.qlSimpleQuote(Currency&amp;$C31&amp;$D31&amp;$B31&amp;QuoteSuffix,,RateTickValue,Permanent,Trigger,ObjectOverwrite)</f>
        <v>EURAB6E23Y_Quote#0000</v>
      </c>
      <c r="G31" s="79" t="str">
        <f>_xll.ohRangeRetrieveError(F31)</f>
        <v/>
      </c>
      <c r="H31" s="53"/>
      <c r="N31" s="126"/>
      <c r="O31" s="268" t="s">
        <v>94</v>
      </c>
      <c r="P31" s="307" t="str">
        <v>AB</v>
      </c>
      <c r="Q31" s="307" t="str">
        <v>6E</v>
      </c>
      <c r="R31" s="267" t="str">
        <f t="shared" si="0"/>
        <v>EURAB6E23Y</v>
      </c>
      <c r="S31" s="267" t="str">
        <v>EURAB6E23Y=ICAP</v>
      </c>
      <c r="T31" s="308">
        <v>2.4809999999999999</v>
      </c>
      <c r="U31" s="308">
        <v>2.5209999999999999</v>
      </c>
      <c r="V31" s="308">
        <v>0</v>
      </c>
      <c r="W31" s="308">
        <v>0</v>
      </c>
      <c r="X31" s="381">
        <f>_xll.qlMidEquivalent($T31,$U31,$V31,$W31)</f>
        <v>2.5009999999999999</v>
      </c>
      <c r="Y31" s="257"/>
      <c r="Z31" s="265">
        <v>2.5009999999999999</v>
      </c>
      <c r="AA31" s="257"/>
      <c r="AB31" s="336">
        <v>2.5009999999999999</v>
      </c>
      <c r="AC31" s="262" t="e">
        <f>_xll.qlSimpleQuoteSetValue(F31,AB31/100,Trigger)</f>
        <v>#N/A</v>
      </c>
      <c r="AD31" s="221"/>
      <c r="AE31" s="21"/>
      <c r="AF31" s="21"/>
      <c r="AG31" s="21"/>
      <c r="AH31" s="21"/>
      <c r="AI31" s="21"/>
      <c r="AJ31" s="296">
        <f t="shared" si="1"/>
        <v>4.0000000000000034E-4</v>
      </c>
    </row>
    <row r="32" spans="1:36" x14ac:dyDescent="0.2">
      <c r="A32" s="126"/>
      <c r="B32" s="215" t="s">
        <v>93</v>
      </c>
      <c r="C32" s="82" t="str">
        <v>AB</v>
      </c>
      <c r="D32" s="82" t="str">
        <v>6E</v>
      </c>
      <c r="E32" s="80" t="str">
        <f t="shared" si="2"/>
        <v>EURAB6E24Y_Quote</v>
      </c>
      <c r="F32" s="80" t="str">
        <f>_xll.qlSimpleQuote(Currency&amp;$C32&amp;$D32&amp;$B32&amp;QuoteSuffix,,RateTickValue,Permanent,Trigger,ObjectOverwrite)</f>
        <v>EURAB6E24Y_Quote#0000</v>
      </c>
      <c r="G32" s="79" t="str">
        <f>_xll.ohRangeRetrieveError(F32)</f>
        <v/>
      </c>
      <c r="H32" s="53"/>
      <c r="N32" s="126"/>
      <c r="O32" s="268" t="s">
        <v>93</v>
      </c>
      <c r="P32" s="307" t="str">
        <v>AB</v>
      </c>
      <c r="Q32" s="307" t="str">
        <v>6E</v>
      </c>
      <c r="R32" s="267" t="str">
        <f t="shared" si="0"/>
        <v>EURAB6E24Y</v>
      </c>
      <c r="S32" s="267" t="str">
        <v>EURAB6E24Y=ICAP</v>
      </c>
      <c r="T32" s="308">
        <v>2.4809999999999999</v>
      </c>
      <c r="U32" s="308">
        <v>2.5209999999999999</v>
      </c>
      <c r="V32" s="308">
        <v>0</v>
      </c>
      <c r="W32" s="308">
        <v>0</v>
      </c>
      <c r="X32" s="381">
        <f>_xll.qlMidEquivalent($T32,$U32,$V32,$W32)</f>
        <v>2.5009999999999999</v>
      </c>
      <c r="Y32" s="257"/>
      <c r="Z32" s="265">
        <v>2.5009999999999999</v>
      </c>
      <c r="AA32" s="257"/>
      <c r="AB32" s="336">
        <v>2.5009999999999999</v>
      </c>
      <c r="AC32" s="262" t="e">
        <f>_xll.qlSimpleQuoteSetValue(F32,AB32/100,Trigger)</f>
        <v>#N/A</v>
      </c>
      <c r="AD32" s="221"/>
      <c r="AE32" s="21"/>
      <c r="AF32" s="21"/>
      <c r="AG32" s="21"/>
      <c r="AH32" s="21"/>
      <c r="AI32" s="21"/>
      <c r="AJ32" s="296">
        <f t="shared" si="1"/>
        <v>4.0000000000000034E-4</v>
      </c>
    </row>
    <row r="33" spans="1:36" x14ac:dyDescent="0.2">
      <c r="A33" s="126"/>
      <c r="B33" s="215" t="s">
        <v>92</v>
      </c>
      <c r="C33" s="82" t="str">
        <v>AB</v>
      </c>
      <c r="D33" s="82" t="str">
        <v>6E</v>
      </c>
      <c r="E33" s="80" t="str">
        <f t="shared" si="2"/>
        <v>EURAB6E25Y_Quote</v>
      </c>
      <c r="F33" s="80" t="str">
        <f>_xll.qlSimpleQuote(Currency&amp;$C33&amp;$D33&amp;$B33&amp;QuoteSuffix,,RateTickValue,Permanent,Trigger,ObjectOverwrite)</f>
        <v>EURAB6E25Y_Quote#0000</v>
      </c>
      <c r="G33" s="79" t="str">
        <f>_xll.ohRangeRetrieveError(F33)</f>
        <v/>
      </c>
      <c r="H33" s="53"/>
      <c r="N33" s="126"/>
      <c r="O33" s="268" t="s">
        <v>92</v>
      </c>
      <c r="P33" s="307" t="str">
        <v>AB</v>
      </c>
      <c r="Q33" s="307" t="str">
        <v>6E</v>
      </c>
      <c r="R33" s="267" t="str">
        <f t="shared" si="0"/>
        <v>EURAB6E25Y</v>
      </c>
      <c r="S33" s="267" t="str">
        <v>EURAB6E25Y=ICAP</v>
      </c>
      <c r="T33" s="308">
        <v>2.4809999999999999</v>
      </c>
      <c r="U33" s="308">
        <v>2.5209999999999999</v>
      </c>
      <c r="V33" s="308">
        <v>0</v>
      </c>
      <c r="W33" s="308">
        <v>0</v>
      </c>
      <c r="X33" s="381">
        <f>_xll.qlMidEquivalent($T33,$U33,$V33,$W33)</f>
        <v>2.5009999999999999</v>
      </c>
      <c r="Y33" s="257"/>
      <c r="Z33" s="265">
        <v>2.5009999999999999</v>
      </c>
      <c r="AA33" s="257"/>
      <c r="AB33" s="336">
        <v>2.5009999999999999</v>
      </c>
      <c r="AC33" s="262" t="e">
        <f>_xll.qlSimpleQuoteSetValue(F33,AB33/100,Trigger)</f>
        <v>#N/A</v>
      </c>
      <c r="AD33" s="221"/>
      <c r="AE33" s="21"/>
      <c r="AF33" s="21"/>
      <c r="AG33" s="21"/>
      <c r="AH33" s="21"/>
      <c r="AI33" s="21"/>
      <c r="AJ33" s="296">
        <f t="shared" si="1"/>
        <v>4.0000000000000034E-4</v>
      </c>
    </row>
    <row r="34" spans="1:36" x14ac:dyDescent="0.2">
      <c r="A34" s="126"/>
      <c r="B34" s="215" t="s">
        <v>91</v>
      </c>
      <c r="C34" s="82" t="str">
        <v>AB</v>
      </c>
      <c r="D34" s="82" t="str">
        <v>6E</v>
      </c>
      <c r="E34" s="80" t="str">
        <f t="shared" si="2"/>
        <v>EURAB6E26Y_Quote</v>
      </c>
      <c r="F34" s="80" t="str">
        <f>_xll.qlSimpleQuote(Currency&amp;$C34&amp;$D34&amp;$B34&amp;QuoteSuffix,,RateTickValue,Permanent,Trigger,ObjectOverwrite)</f>
        <v>EURAB6E26Y_Quote#0000</v>
      </c>
      <c r="G34" s="79" t="str">
        <f>_xll.ohRangeRetrieveError(F34)</f>
        <v/>
      </c>
      <c r="H34" s="53"/>
      <c r="N34" s="126"/>
      <c r="O34" s="268" t="s">
        <v>91</v>
      </c>
      <c r="P34" s="307" t="str">
        <v>AB</v>
      </c>
      <c r="Q34" s="307" t="str">
        <v>6E</v>
      </c>
      <c r="R34" s="267" t="str">
        <f t="shared" si="0"/>
        <v>EURAB6E26Y</v>
      </c>
      <c r="S34" s="267" t="str">
        <v>EURAB6E26Y=ICAP</v>
      </c>
      <c r="T34" s="308">
        <v>2.48</v>
      </c>
      <c r="U34" s="308">
        <v>2.52</v>
      </c>
      <c r="V34" s="308">
        <v>0</v>
      </c>
      <c r="W34" s="308">
        <v>0</v>
      </c>
      <c r="X34" s="381">
        <f>_xll.qlMidEquivalent($T34,$U34,$V34,$W34)</f>
        <v>2.5</v>
      </c>
      <c r="Y34" s="257"/>
      <c r="Z34" s="265">
        <v>2.5</v>
      </c>
      <c r="AA34" s="257"/>
      <c r="AB34" s="336">
        <v>2.5</v>
      </c>
      <c r="AC34" s="262" t="e">
        <f>_xll.qlSimpleQuoteSetValue(F34,AB34/100,Trigger)</f>
        <v>#N/A</v>
      </c>
      <c r="AD34" s="221"/>
      <c r="AE34" s="21"/>
      <c r="AF34" s="21"/>
      <c r="AG34" s="21"/>
      <c r="AH34" s="21"/>
      <c r="AI34" s="21"/>
      <c r="AJ34" s="296">
        <f t="shared" si="1"/>
        <v>4.0000000000000034E-4</v>
      </c>
    </row>
    <row r="35" spans="1:36" x14ac:dyDescent="0.2">
      <c r="A35" s="126"/>
      <c r="B35" s="215" t="s">
        <v>90</v>
      </c>
      <c r="C35" s="82" t="str">
        <v>AB</v>
      </c>
      <c r="D35" s="82" t="str">
        <v>6E</v>
      </c>
      <c r="E35" s="80" t="str">
        <f t="shared" si="2"/>
        <v>EURAB6E27Y_Quote</v>
      </c>
      <c r="F35" s="80" t="str">
        <f>_xll.qlSimpleQuote(Currency&amp;$C35&amp;$D35&amp;$B35&amp;QuoteSuffix,,RateTickValue,Permanent,Trigger,ObjectOverwrite)</f>
        <v>EURAB6E27Y_Quote#0000</v>
      </c>
      <c r="G35" s="79" t="str">
        <f>_xll.ohRangeRetrieveError(F35)</f>
        <v/>
      </c>
      <c r="H35" s="53"/>
      <c r="N35" s="126"/>
      <c r="O35" s="268" t="s">
        <v>90</v>
      </c>
      <c r="P35" s="307" t="str">
        <v>AB</v>
      </c>
      <c r="Q35" s="307" t="str">
        <v>6E</v>
      </c>
      <c r="R35" s="267" t="str">
        <f t="shared" si="0"/>
        <v>EURAB6E27Y</v>
      </c>
      <c r="S35" s="267" t="str">
        <v>EURAB6E27Y=ICAP</v>
      </c>
      <c r="T35" s="308">
        <v>2.4780000000000002</v>
      </c>
      <c r="U35" s="308">
        <v>2.5179999999999998</v>
      </c>
      <c r="V35" s="308">
        <v>0</v>
      </c>
      <c r="W35" s="308">
        <v>0</v>
      </c>
      <c r="X35" s="381">
        <f>_xll.qlMidEquivalent($T35,$U35,$V35,$W35)</f>
        <v>2.4980000000000002</v>
      </c>
      <c r="Y35" s="257"/>
      <c r="Z35" s="265">
        <v>2.4980000000000002</v>
      </c>
      <c r="AA35" s="257"/>
      <c r="AB35" s="336">
        <v>2.4980000000000002</v>
      </c>
      <c r="AC35" s="262" t="e">
        <f>_xll.qlSimpleQuoteSetValue(F35,AB35/100,Trigger)</f>
        <v>#N/A</v>
      </c>
      <c r="AD35" s="221"/>
      <c r="AE35" s="21"/>
      <c r="AF35" s="21"/>
      <c r="AG35" s="21"/>
      <c r="AH35" s="21"/>
      <c r="AI35" s="21"/>
      <c r="AJ35" s="296">
        <f t="shared" si="1"/>
        <v>3.9999999999999145E-4</v>
      </c>
    </row>
    <row r="36" spans="1:36" x14ac:dyDescent="0.2">
      <c r="A36" s="126"/>
      <c r="B36" s="215" t="s">
        <v>89</v>
      </c>
      <c r="C36" s="82" t="str">
        <v>AB</v>
      </c>
      <c r="D36" s="82" t="str">
        <v>6E</v>
      </c>
      <c r="E36" s="80" t="str">
        <f t="shared" si="2"/>
        <v>EURAB6E28Y_Quote</v>
      </c>
      <c r="F36" s="80" t="str">
        <f>_xll.qlSimpleQuote(Currency&amp;$C36&amp;$D36&amp;$B36&amp;QuoteSuffix,,RateTickValue,Permanent,Trigger,ObjectOverwrite)</f>
        <v>EURAB6E28Y_Quote#0000</v>
      </c>
      <c r="G36" s="79" t="str">
        <f>_xll.ohRangeRetrieveError(F36)</f>
        <v/>
      </c>
      <c r="H36" s="53"/>
      <c r="N36" s="126"/>
      <c r="O36" s="268" t="s">
        <v>89</v>
      </c>
      <c r="P36" s="307" t="str">
        <v>AB</v>
      </c>
      <c r="Q36" s="307" t="str">
        <v>6E</v>
      </c>
      <c r="R36" s="267" t="str">
        <f t="shared" si="0"/>
        <v>EURAB6E28Y</v>
      </c>
      <c r="S36" s="267" t="str">
        <v>EURAB6E28Y=ICAP</v>
      </c>
      <c r="T36" s="308">
        <v>2.4750000000000001</v>
      </c>
      <c r="U36" s="308">
        <v>2.5150000000000001</v>
      </c>
      <c r="V36" s="308">
        <v>0</v>
      </c>
      <c r="W36" s="308">
        <v>0</v>
      </c>
      <c r="X36" s="381">
        <f>_xll.qlMidEquivalent($T36,$U36,$V36,$W36)</f>
        <v>2.4950000000000001</v>
      </c>
      <c r="Y36" s="257"/>
      <c r="Z36" s="265">
        <v>2.4950000000000001</v>
      </c>
      <c r="AA36" s="257"/>
      <c r="AB36" s="336">
        <v>2.4950000000000001</v>
      </c>
      <c r="AC36" s="262" t="e">
        <f>_xll.qlSimpleQuoteSetValue(F36,AB36/100,Trigger)</f>
        <v>#N/A</v>
      </c>
      <c r="AD36" s="221"/>
      <c r="AE36" s="21"/>
      <c r="AF36" s="21"/>
      <c r="AG36" s="21"/>
      <c r="AH36" s="21"/>
      <c r="AI36" s="21"/>
      <c r="AJ36" s="296">
        <f t="shared" si="1"/>
        <v>4.0000000000000034E-4</v>
      </c>
    </row>
    <row r="37" spans="1:36" x14ac:dyDescent="0.2">
      <c r="A37" s="126"/>
      <c r="B37" s="215" t="s">
        <v>88</v>
      </c>
      <c r="C37" s="82" t="str">
        <v>AB</v>
      </c>
      <c r="D37" s="82" t="str">
        <v>6E</v>
      </c>
      <c r="E37" s="80" t="str">
        <f t="shared" si="2"/>
        <v>EURAB6E29Y_Quote</v>
      </c>
      <c r="F37" s="80" t="str">
        <f>_xll.qlSimpleQuote(Currency&amp;$C37&amp;$D37&amp;$B37&amp;QuoteSuffix,,RateTickValue,Permanent,Trigger,ObjectOverwrite)</f>
        <v>EURAB6E29Y_Quote#0000</v>
      </c>
      <c r="G37" s="79" t="str">
        <f>_xll.ohRangeRetrieveError(F37)</f>
        <v/>
      </c>
      <c r="H37" s="53"/>
      <c r="N37" s="126"/>
      <c r="O37" s="268" t="s">
        <v>88</v>
      </c>
      <c r="P37" s="307" t="str">
        <v>AB</v>
      </c>
      <c r="Q37" s="307" t="str">
        <v>6E</v>
      </c>
      <c r="R37" s="267" t="str">
        <f t="shared" si="0"/>
        <v>EURAB6E29Y</v>
      </c>
      <c r="S37" s="267" t="str">
        <v>EURAB6E29Y=ICAP</v>
      </c>
      <c r="T37" s="308">
        <v>2.4740000000000002</v>
      </c>
      <c r="U37" s="308">
        <v>2.5139999999999998</v>
      </c>
      <c r="V37" s="308">
        <v>0</v>
      </c>
      <c r="W37" s="308">
        <v>0</v>
      </c>
      <c r="X37" s="381">
        <f>_xll.qlMidEquivalent($T37,$U37,$V37,$W37)</f>
        <v>2.4939999999999998</v>
      </c>
      <c r="Y37" s="257"/>
      <c r="Z37" s="265">
        <v>2.4939999999999998</v>
      </c>
      <c r="AA37" s="257"/>
      <c r="AB37" s="336">
        <v>2.4939999999999998</v>
      </c>
      <c r="AC37" s="262" t="e">
        <f>_xll.qlSimpleQuoteSetValue(F37,AB37/100,Trigger)</f>
        <v>#N/A</v>
      </c>
      <c r="AD37" s="221"/>
      <c r="AE37" s="21"/>
      <c r="AF37" s="21"/>
      <c r="AG37" s="21"/>
      <c r="AH37" s="21"/>
      <c r="AI37" s="21"/>
      <c r="AJ37" s="296">
        <f t="shared" si="1"/>
        <v>4.0000000000000034E-4</v>
      </c>
    </row>
    <row r="38" spans="1:36" x14ac:dyDescent="0.2">
      <c r="A38" s="126"/>
      <c r="B38" s="215" t="s">
        <v>87</v>
      </c>
      <c r="C38" s="82" t="str">
        <v>AB</v>
      </c>
      <c r="D38" s="82" t="str">
        <v>6E</v>
      </c>
      <c r="E38" s="80" t="str">
        <f t="shared" si="2"/>
        <v>EURAB6E30Y_Quote</v>
      </c>
      <c r="F38" s="80" t="str">
        <f>_xll.qlSimpleQuote(Currency&amp;$C38&amp;$D38&amp;$B38&amp;QuoteSuffix,,RateTickValue,Permanent,Trigger,ObjectOverwrite)</f>
        <v>EURAB6E30Y_Quote#0000</v>
      </c>
      <c r="G38" s="79" t="str">
        <f>_xll.ohRangeRetrieveError(F38)</f>
        <v/>
      </c>
      <c r="H38" s="53"/>
      <c r="N38" s="126"/>
      <c r="O38" s="268" t="s">
        <v>87</v>
      </c>
      <c r="P38" s="307" t="str">
        <v>AB</v>
      </c>
      <c r="Q38" s="307" t="str">
        <v>6E</v>
      </c>
      <c r="R38" s="267" t="str">
        <f t="shared" si="0"/>
        <v>EURAB6E30Y</v>
      </c>
      <c r="S38" s="267" t="str">
        <v>EURAB6E30Y=ICAP</v>
      </c>
      <c r="T38" s="308">
        <v>2.4729999999999999</v>
      </c>
      <c r="U38" s="308">
        <v>2.5129999999999999</v>
      </c>
      <c r="V38" s="308">
        <v>0</v>
      </c>
      <c r="W38" s="308">
        <v>0</v>
      </c>
      <c r="X38" s="381">
        <f>_xll.qlMidEquivalent($T38,$U38,$V38,$W38)</f>
        <v>2.4929999999999999</v>
      </c>
      <c r="Y38" s="257"/>
      <c r="Z38" s="265">
        <v>2.4929999999999999</v>
      </c>
      <c r="AA38" s="257"/>
      <c r="AB38" s="336">
        <v>2.4929999999999999</v>
      </c>
      <c r="AC38" s="262" t="e">
        <f>_xll.qlSimpleQuoteSetValue(F38,AB38/100,Trigger)</f>
        <v>#N/A</v>
      </c>
      <c r="AD38" s="221"/>
      <c r="AE38" s="21"/>
      <c r="AF38" s="21"/>
      <c r="AG38" s="21"/>
      <c r="AH38" s="21"/>
      <c r="AI38" s="21"/>
      <c r="AJ38" s="296">
        <f t="shared" si="1"/>
        <v>4.0000000000000034E-4</v>
      </c>
    </row>
    <row r="39" spans="1:36" x14ac:dyDescent="0.2">
      <c r="A39" s="126"/>
      <c r="B39" s="215" t="s">
        <v>82</v>
      </c>
      <c r="C39" s="82" t="str">
        <v>AB</v>
      </c>
      <c r="D39" s="82" t="str">
        <v>6E</v>
      </c>
      <c r="E39" s="80" t="str">
        <f t="shared" si="2"/>
        <v>EURAB6E35Y_Quote</v>
      </c>
      <c r="F39" s="80" t="str">
        <f>_xll.qlSimpleQuote(Currency&amp;$C39&amp;$D39&amp;$B39&amp;QuoteSuffix,,RateTickValue,Permanent,Trigger,ObjectOverwrite)</f>
        <v>EURAB6E35Y_Quote#0000</v>
      </c>
      <c r="G39" s="79" t="str">
        <f>_xll.ohRangeRetrieveError(F39)</f>
        <v/>
      </c>
      <c r="H39" s="53"/>
      <c r="N39" s="126"/>
      <c r="O39" s="268" t="s">
        <v>82</v>
      </c>
      <c r="P39" s="307" t="str">
        <v>AB</v>
      </c>
      <c r="Q39" s="307" t="str">
        <v>6E</v>
      </c>
      <c r="R39" s="267" t="str">
        <f t="shared" si="0"/>
        <v>EURAB6E35Y</v>
      </c>
      <c r="S39" s="267" t="str">
        <v>EURAB6E35Y=ICAP</v>
      </c>
      <c r="T39" s="308">
        <v>2.4870000000000001</v>
      </c>
      <c r="U39" s="308">
        <v>2.5270000000000001</v>
      </c>
      <c r="V39" s="308">
        <v>0</v>
      </c>
      <c r="W39" s="308">
        <v>0</v>
      </c>
      <c r="X39" s="381">
        <f>_xll.qlMidEquivalent($T39,$U39,$V39,$W39)</f>
        <v>2.5070000000000001</v>
      </c>
      <c r="Y39" s="257"/>
      <c r="Z39" s="265">
        <v>2.5070000000000001</v>
      </c>
      <c r="AA39" s="257"/>
      <c r="AB39" s="336">
        <v>2.5070000000000001</v>
      </c>
      <c r="AC39" s="262" t="e">
        <f>_xll.qlSimpleQuoteSetValue(F39,AB39/100,Trigger)</f>
        <v>#N/A</v>
      </c>
      <c r="AD39" s="221"/>
      <c r="AE39" s="21"/>
      <c r="AF39" s="21"/>
      <c r="AG39" s="21"/>
      <c r="AH39" s="21"/>
      <c r="AI39" s="21"/>
      <c r="AJ39" s="296">
        <f t="shared" si="1"/>
        <v>4.0000000000000034E-4</v>
      </c>
    </row>
    <row r="40" spans="1:36" x14ac:dyDescent="0.2">
      <c r="A40" s="126"/>
      <c r="B40" s="215" t="s">
        <v>77</v>
      </c>
      <c r="C40" s="82" t="str">
        <v>AB</v>
      </c>
      <c r="D40" s="82" t="str">
        <v>6E</v>
      </c>
      <c r="E40" s="80" t="str">
        <f t="shared" si="2"/>
        <v>EURAB6E40Y_Quote</v>
      </c>
      <c r="F40" s="80" t="str">
        <f>_xll.qlSimpleQuote(Currency&amp;$C40&amp;$D40&amp;$B40&amp;QuoteSuffix,,RateTickValue,Permanent,Trigger,ObjectOverwrite)</f>
        <v>EURAB6E40Y_Quote#0000</v>
      </c>
      <c r="G40" s="79" t="str">
        <f>_xll.ohRangeRetrieveError(F40)</f>
        <v/>
      </c>
      <c r="H40" s="53"/>
      <c r="N40" s="126"/>
      <c r="O40" s="268" t="s">
        <v>77</v>
      </c>
      <c r="P40" s="307" t="str">
        <v>AB</v>
      </c>
      <c r="Q40" s="307" t="str">
        <v>6E</v>
      </c>
      <c r="R40" s="267" t="str">
        <f t="shared" si="0"/>
        <v>EURAB6E40Y</v>
      </c>
      <c r="S40" s="267" t="str">
        <v>EURAB6E40Y=ICAP</v>
      </c>
      <c r="T40" s="308">
        <v>2.5150000000000001</v>
      </c>
      <c r="U40" s="308">
        <v>2.5550000000000002</v>
      </c>
      <c r="V40" s="308">
        <v>0</v>
      </c>
      <c r="W40" s="308">
        <v>0</v>
      </c>
      <c r="X40" s="381">
        <f>_xll.qlMidEquivalent($T40,$U40,$V40,$W40)</f>
        <v>2.5350000000000001</v>
      </c>
      <c r="Y40" s="257"/>
      <c r="Z40" s="265">
        <v>2.5350000000000001</v>
      </c>
      <c r="AA40" s="257"/>
      <c r="AB40" s="336">
        <v>2.5350000000000001</v>
      </c>
      <c r="AC40" s="262" t="e">
        <f>_xll.qlSimpleQuoteSetValue(F40,AB40/100,Trigger)</f>
        <v>#N/A</v>
      </c>
      <c r="AD40" s="221"/>
      <c r="AE40" s="21"/>
      <c r="AF40" s="21"/>
      <c r="AG40" s="21"/>
      <c r="AH40" s="21"/>
      <c r="AI40" s="21"/>
      <c r="AJ40" s="296">
        <f t="shared" si="1"/>
        <v>4.0000000000000034E-4</v>
      </c>
    </row>
    <row r="41" spans="1:36" x14ac:dyDescent="0.2">
      <c r="A41" s="126"/>
      <c r="B41" s="215" t="s">
        <v>67</v>
      </c>
      <c r="C41" s="82" t="str">
        <v>AB</v>
      </c>
      <c r="D41" s="82" t="str">
        <v>6E</v>
      </c>
      <c r="E41" s="80" t="str">
        <f t="shared" si="2"/>
        <v>EURAB6E50Y_Quote</v>
      </c>
      <c r="F41" s="80" t="str">
        <f>_xll.qlSimpleQuote(Currency&amp;$C41&amp;$D41&amp;$B41&amp;QuoteSuffix,,RateTickValue,Permanent,Trigger,ObjectOverwrite)</f>
        <v>EURAB6E50Y_Quote#0000</v>
      </c>
      <c r="G41" s="79" t="str">
        <f>_xll.ohRangeRetrieveError(F41)</f>
        <v/>
      </c>
      <c r="H41" s="53"/>
      <c r="N41" s="126"/>
      <c r="O41" s="268" t="s">
        <v>67</v>
      </c>
      <c r="P41" s="307" t="str">
        <v>AB</v>
      </c>
      <c r="Q41" s="307" t="str">
        <v>6E</v>
      </c>
      <c r="R41" s="267" t="str">
        <f t="shared" si="0"/>
        <v>EURAB6E50Y</v>
      </c>
      <c r="S41" s="267" t="str">
        <v>EURAB6E50Y=ICAP</v>
      </c>
      <c r="T41" s="308">
        <v>2.5590000000000002</v>
      </c>
      <c r="U41" s="308">
        <v>2.5990000000000002</v>
      </c>
      <c r="V41" s="308">
        <v>0</v>
      </c>
      <c r="W41" s="308">
        <v>0</v>
      </c>
      <c r="X41" s="381">
        <f>_xll.qlMidEquivalent($T41,$U41,$V41,$W41)</f>
        <v>2.5790000000000002</v>
      </c>
      <c r="Y41" s="257"/>
      <c r="Z41" s="265">
        <v>2.5790000000000002</v>
      </c>
      <c r="AA41" s="257"/>
      <c r="AB41" s="336">
        <v>2.5790000000000002</v>
      </c>
      <c r="AC41" s="262" t="e">
        <f>_xll.qlSimpleQuoteSetValue(F41,AB41/100,Trigger)</f>
        <v>#N/A</v>
      </c>
      <c r="AD41" s="221"/>
      <c r="AE41" s="21"/>
      <c r="AF41" s="21"/>
      <c r="AG41" s="21"/>
      <c r="AH41" s="21"/>
      <c r="AI41" s="21"/>
      <c r="AJ41" s="296">
        <f t="shared" si="1"/>
        <v>4.0000000000000034E-4</v>
      </c>
    </row>
    <row r="42" spans="1:36" x14ac:dyDescent="0.2">
      <c r="A42" s="126"/>
      <c r="B42" s="215" t="s">
        <v>57</v>
      </c>
      <c r="C42" s="82" t="str">
        <v>AB</v>
      </c>
      <c r="D42" s="82" t="str">
        <v>6E</v>
      </c>
      <c r="E42" s="80" t="str">
        <f t="shared" si="2"/>
        <v>EURAB6E60Y_Quote</v>
      </c>
      <c r="F42" s="80" t="str">
        <f>_xll.qlSimpleQuote(Currency&amp;$C42&amp;$D42&amp;$B42&amp;QuoteSuffix,,RateTickValue,Permanent,Trigger,ObjectOverwrite)</f>
        <v>EURAB6E60Y_Quote#0000</v>
      </c>
      <c r="G42" s="79" t="str">
        <f>_xll.ohRangeRetrieveError(F42)</f>
        <v/>
      </c>
      <c r="H42" s="53"/>
      <c r="N42" s="126"/>
      <c r="O42" s="261" t="s">
        <v>57</v>
      </c>
      <c r="P42" s="312" t="str">
        <v>AB</v>
      </c>
      <c r="Q42" s="312" t="str">
        <v>6E</v>
      </c>
      <c r="R42" s="260" t="str">
        <f t="shared" si="0"/>
        <v>EURAB6E60Y</v>
      </c>
      <c r="S42" s="260" t="str">
        <v>EURAB6E60Y=ICAP</v>
      </c>
      <c r="T42" s="313">
        <v>2.59</v>
      </c>
      <c r="U42" s="313">
        <v>2.63</v>
      </c>
      <c r="V42" s="313">
        <v>0</v>
      </c>
      <c r="W42" s="313">
        <v>0</v>
      </c>
      <c r="X42" s="380">
        <f>_xll.qlMidEquivalent($T42,$U42,$V42,$W42)</f>
        <v>2.61</v>
      </c>
      <c r="Y42" s="257"/>
      <c r="Z42" s="258">
        <v>2.61</v>
      </c>
      <c r="AA42" s="257"/>
      <c r="AB42" s="329">
        <v>2.61</v>
      </c>
      <c r="AC42" s="254" t="e">
        <f>_xll.qlSimpleQuoteSetValue(F42,AB42/100,Trigger)</f>
        <v>#N/A</v>
      </c>
      <c r="AD42" s="221"/>
      <c r="AE42" s="21"/>
      <c r="AF42" s="21"/>
      <c r="AG42" s="21"/>
      <c r="AH42" s="21"/>
      <c r="AI42" s="21"/>
      <c r="AJ42" s="296">
        <f t="shared" si="1"/>
        <v>4.0000000000000034E-4</v>
      </c>
    </row>
    <row r="43" spans="1:36"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379"/>
      <c r="AE43" s="21"/>
      <c r="AF43" s="21"/>
      <c r="AG43" s="21"/>
      <c r="AH43" s="21"/>
      <c r="AI43" s="21"/>
      <c r="AJ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EURTOY_SYNTHON_Quote#0000</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EURTOY2_SYNTHON_Quote#0000</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EUROND_SYNTH1M_Quote#0000</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EURTND_SYNTH1M_Quote#0000</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EURSND_SYNTH1M_Quote#0000</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EURSWD_SYNTH1M_Quote#0000</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EUR2WD_SYNTH1M_Quote#0000</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EUR3WD_SYNTH1M_Quote#0000</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EUR1MD_SYNTH1M_Quote#0000</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EURTOY_SYNTH1M_Quote#0000</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EURTOY2_SYNTH1M_Quote#0000</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EUROND_SYNTH3M_Quote#0000</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EURTND_SYNTH3M_Quote#0000</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EURSND_SYNTH3M_Quote#0000</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EURSWD_SYNTH3M_Quote#0000</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EUR2WD_SYNTH3M_Quote#0000</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EUR3WD_SYNTH3M_Quote#0000</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EUR1MD_SYNTH3M_Quote#0000</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EUR2MD_SYNTH3M_Quote#0000</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EUR3MD_SYNTH3M_Quote#0000</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EURTOY_SYNTH3M_Quote#0000</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EURTOY2_SYNTH3M_Quote#0000</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EUROND_SYNTH6M_Quote#0000</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EURTND_SYNTH6M_Quote#0000</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EURSND_SYNTH6M_Quote#0000</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EURSWD_SYNTH6M_Quote#0000</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EUR2WD_SYNTH6M_Quote#0000</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EUR3WD_SYNTH6M_Quote#0000</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EUR1MD_SYNTH6M_Quote#0000</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EUR2MD_SYNTH6M_Quote#0000</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EUR3MD_SYNTH6M_Quote#0000</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EUR4MD_SYNTH6M_Quote#0000</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EUR5MD_SYNTH6M_Quote#0000</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EUR6MD_SYNTH6M_Quote#0000</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EURTOY_SYNTH6M_Quote#0000</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EURTOY2_SYNTH6M_Quote#0000</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EUROND_SYNTH1Y_Quote#0000</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EURTND_SYNTH1Y_Quote#0000</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EURSND_SYNTH1Y_Quote#0000</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EURSWD_SYNTH1Y_Quote#0000</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EUR2WD_SYNTH1Y_Quote#0000</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EUR3WD_SYNTH1Y_Quote#0000</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EUR1MD_SYNTH1Y_Quote#0000</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EUR2MD_SYNTH1Y_Quote#0000</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EUR3MD_SYNTH1Y_Quote#0000</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EUR4MD_SYNTH1Y_Quote#0000</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EUR5MD_SYNTH1Y_Quote#0000</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EUR6MD_SYNTH1Y_Quote#0000</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EUR7MD_SYNTH1Y_Quote#0000</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EUR8MD_SYNTH1Y_Quote#0000</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EUR9MD_SYNTH1Y_Quote#0000</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EUR10MD_SYNTH1Y_Quote#0000</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EUR11MD_SYNTH1Y_Quote#0000</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EUR1YD_SYNTH1Y_Quote#0000</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EUR1x13F_SYNTH1Y_Quote#0000</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EUR2x14F_SYNTH1Y_Quote#0000</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EUR3x15F_SYNTH1Y_Quote#0000</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EUR4x16F_SYNTH1Y_Quote#0000</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EUR5x17F_SYNTH1Y_Quote#0000</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EUR6x18F_SYNTH1Y_Quote#0000</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EUR7x19F_SYNTH1Y_Quote#0000</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EUR8x20F_SYNTH1Y_Quote#0000</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EUR9x21F_SYNTH1Y_Quote#0000</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EUR10x22F_SYNTH1Y_Quote#0000</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EUR11x23F_SYNTH1Y_Quote#0000</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EUR13x25F_SYNTH1Y_Quote#0000</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EUR14x26F_SYNTH1Y_Quote#0000</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EUR15x27F_SYNTH1Y_Quote#0000</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EUR16x28F_SYNTH1Y_Quote#0000</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EUR17x29F_SYNTH1Y_Quote#0000</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EUR18x30F_SYNTH1Y_Quote#0000</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EUR19x31F_SYNTH1Y_Quote#0000</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EUR20x32F_SYNTH1Y_Quote#0000</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EUR21x33F_SYNTH1Y_Quote#0000</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EUR22x34F_SYNTH1Y_Quote#0000</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EUR23x35F_SYNTH1Y_Quote#0000</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EUR25x37F_SYNTH1Y_Quote#0000</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EUR26x38F_SYNTH1Y_Quote#0000</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EUR27x39F_SYNTH1Y_Quote#0000</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EUR28x40F_SYNTH1Y_Quote#0000</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EUR29x41F_SYNTH1Y_Quote#0000</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EUR30x42F_SYNTH1Y_Quote#0000</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EUR31x43F_SYNTH1Y_Quote#0000</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EUR32x44F_SYNTH1Y_Quote#0000</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EUR33x45F_SYNTH1Y_Quote#0000</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EUR34x46F_SYNTH1Y_Quote#0000</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EUR35x47F_SYNTH1Y_Quote#0000</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EUR37x49F_SYNTH1Y_Quote#0000</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EUR38x50F_SYNTH1Y_Quote#0000</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EUR39x51F_SYNTH1Y_Quote#0000</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EUR40x52F_SYNTH1Y_Quote#0000</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EUR41x53F_SYNTH1Y_Quote#0000</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EUR42x54F_SYNTH1Y_Quote#0000</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EUR43x55F_SYNTH1Y_Quote#0000</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EUR44x56F_SYNTH1Y_Quote#0000</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EUR45x57F_SYNTH1Y_Quote#0000</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EUR46x58F_SYNTH1Y_Quote#0000</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EUR47x59F_SYNTH1Y_Quote#0000</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4" width="2.71093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t="e">
        <f ca="1">IF(Serialize,_xll.ohObjectSave(K3:K36,SerializationPath&amp;J2,FileOverwrite,Serialize),"---")</f>
        <v>#NUM!</v>
      </c>
      <c r="L2" s="243" t="e">
        <f ca="1">_xll.ohRangeRetrieveError(K2)</f>
        <v>#NUM!</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e">
        <f>_xll.qlForwardSwapQuote(J4,I4,H4,E4,Permanent,Trigger,ObjectOverwrite)</f>
        <v>#NUM!</v>
      </c>
      <c r="L4" s="243" t="e">
        <f ca="1">_xll.ohRangeRetrieveError(K4)</f>
        <v>#NUM!</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e">
        <f>_xll.qlForwardSwapQuote(J5,I5,H5,E5,Permanent,Trigger,ObjectOverwrite)</f>
        <v>#NUM!</v>
      </c>
      <c r="L5" s="243" t="e">
        <f ca="1">_xll.ohRangeRetrieveError(K5)</f>
        <v>#NUM!</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e">
        <f>_xll.qlForwardSwapQuote(J6,I6,H6,E6,Permanent,Trigger,ObjectOverwrite)</f>
        <v>#NUM!</v>
      </c>
      <c r="L6" s="243" t="e">
        <f ca="1">_xll.ohRangeRetrieveError(K6)</f>
        <v>#NUM!</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e">
        <f>_xll.qlForwardSwapQuote(J7,I7,H7,E7,Permanent,Trigger,ObjectOverwrite)</f>
        <v>#NUM!</v>
      </c>
      <c r="L7" s="243" t="e">
        <f ca="1">_xll.ohRangeRetrieveError(K7)</f>
        <v>#NUM!</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e">
        <f>_xll.qlForwardSwapQuote(J8,I8,H8,E8,Permanent,Trigger,ObjectOverwrite)</f>
        <v>#NUM!</v>
      </c>
      <c r="L8" s="243" t="e">
        <f ca="1">_xll.ohRangeRetrieveError(K8)</f>
        <v>#NUM!</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e">
        <f>_xll.qlForwardSwapQuote(J9,I9,H9,E9,Permanent,Trigger,ObjectOverwrite)</f>
        <v>#NUM!</v>
      </c>
      <c r="L9" s="243" t="e">
        <f ca="1">_xll.ohRangeRetrieveError(K9)</f>
        <v>#NUM!</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e">
        <f>_xll.qlForwardSwapQuote(J10,I10,H10,E10,Permanent,Trigger,ObjectOverwrite)</f>
        <v>#NUM!</v>
      </c>
      <c r="L10" s="243" t="e">
        <f ca="1">_xll.ohRangeRetrieveError(K10)</f>
        <v>#NUM!</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e">
        <f>_xll.qlForwardSwapQuote(J11,I11,H11,E11,Permanent,Trigger,ObjectOverwrite)</f>
        <v>#NUM!</v>
      </c>
      <c r="L11" s="243" t="e">
        <f ca="1">_xll.ohRangeRetrieveError(K11)</f>
        <v>#NUM!</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e">
        <f>_xll.qlForwardSwapQuote(J12,I12,H12,E12,Permanent,Trigger,ObjectOverwrite)</f>
        <v>#NUM!</v>
      </c>
      <c r="L12" s="243" t="e">
        <f ca="1">_xll.ohRangeRetrieveError(K12)</f>
        <v>#NUM!</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e">
        <f>_xll.qlForwardSwapQuote(J13,I13,H13,E13,Permanent,Trigger,ObjectOverwrite)</f>
        <v>#NUM!</v>
      </c>
      <c r="L13" s="243" t="e">
        <f ca="1">_xll.ohRangeRetrieveError(K13)</f>
        <v>#NUM!</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e">
        <f>_xll.qlForwardSwapQuote(J14,I14,H14,E14,Permanent,Trigger,ObjectOverwrite)</f>
        <v>#NUM!</v>
      </c>
      <c r="L14" s="243" t="e">
        <f ca="1">_xll.ohRangeRetrieveError(K14)</f>
        <v>#NUM!</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e">
        <f>_xll.qlForwardSwapQuote(J15,I15,H15,E15,Permanent,Trigger,ObjectOverwrite)</f>
        <v>#NUM!</v>
      </c>
      <c r="L15" s="243" t="e">
        <f ca="1">_xll.ohRangeRetrieveError(K15)</f>
        <v>#NUM!</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e">
        <f>_xll.qlForwardSwapQuote(J16,I16,H16,E16,Permanent,Trigger,ObjectOverwrite)</f>
        <v>#NUM!</v>
      </c>
      <c r="L16" s="243" t="e">
        <f ca="1">_xll.ohRangeRetrieveError(K16)</f>
        <v>#NUM!</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e">
        <f>_xll.qlForwardSwapQuote(J17,I17,H17,E17,Permanent,Trigger,ObjectOverwrite)</f>
        <v>#NUM!</v>
      </c>
      <c r="L17" s="243" t="e">
        <f ca="1">_xll.ohRangeRetrieveError(K17)</f>
        <v>#NUM!</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e">
        <f>_xll.qlForwardSwapQuote(J18,I18,H18,E18,Permanent,Trigger,ObjectOverwrite)</f>
        <v>#NUM!</v>
      </c>
      <c r="L18" s="243" t="e">
        <f ca="1">_xll.ohRangeRetrieveError(K18)</f>
        <v>#NUM!</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e">
        <f>_xll.qlForwardSwapQuote(J19,I19,H19,E19,Permanent,Trigger,ObjectOverwrite)</f>
        <v>#NUM!</v>
      </c>
      <c r="L19" s="243" t="e">
        <f ca="1">_xll.ohRangeRetrieveError(K19)</f>
        <v>#NUM!</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e">
        <f>_xll.qlForwardSwapQuote(J20,I20,H20,E20,Permanent,Trigger,ObjectOverwrite)</f>
        <v>#NUM!</v>
      </c>
      <c r="L20" s="243" t="e">
        <f ca="1">_xll.ohRangeRetrieveError(K20)</f>
        <v>#NUM!</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e">
        <f>_xll.qlForwardSwapQuote(J21,I21,H21,E21,Permanent,Trigger,ObjectOverwrite)</f>
        <v>#NUM!</v>
      </c>
      <c r="L21" s="243" t="e">
        <f ca="1">_xll.ohRangeRetrieveError(K21)</f>
        <v>#NUM!</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e">
        <f>_xll.qlForwardSwapQuote(J22,I22,H22,E22,Permanent,Trigger,ObjectOverwrite)</f>
        <v>#NUM!</v>
      </c>
      <c r="L22" s="243" t="e">
        <f ca="1">_xll.ohRangeRetrieveError(K22)</f>
        <v>#NUM!</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e">
        <f>_xll.qlForwardSwapQuote(J23,I23,H23,E23,Permanent,Trigger,ObjectOverwrite)</f>
        <v>#NUM!</v>
      </c>
      <c r="L23" s="243" t="e">
        <f ca="1">_xll.ohRangeRetrieveError(K23)</f>
        <v>#NUM!</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e">
        <f>_xll.qlForwardSwapQuote(J24,I24,H24,E24,Permanent,Trigger,ObjectOverwrite)</f>
        <v>#NUM!</v>
      </c>
      <c r="L24" s="243" t="e">
        <f ca="1">_xll.ohRangeRetrieveError(K24)</f>
        <v>#NUM!</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e">
        <f>_xll.qlForwardSwapQuote(J25,I25,H25,E25,Permanent,Trigger,ObjectOverwrite)</f>
        <v>#NUM!</v>
      </c>
      <c r="L25" s="243" t="e">
        <f ca="1">_xll.ohRangeRetrieveError(K25)</f>
        <v>#NUM!</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e">
        <f>_xll.qlForwardSwapQuote(J26,I26,H26,E26,Permanent,Trigger,ObjectOverwrite)</f>
        <v>#NUM!</v>
      </c>
      <c r="L26" s="243" t="e">
        <f ca="1">_xll.ohRangeRetrieveError(K26)</f>
        <v>#NUM!</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e">
        <f>_xll.qlForwardSwapQuote(J27,I27,H27,E27,Permanent,Trigger,ObjectOverwrite)</f>
        <v>#NUM!</v>
      </c>
      <c r="L27" s="243" t="e">
        <f ca="1">_xll.ohRangeRetrieveError(K27)</f>
        <v>#NUM!</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e">
        <f>_xll.qlForwardSwapQuote(J28,I28,H28,E28,Permanent,Trigger,ObjectOverwrite)</f>
        <v>#NUM!</v>
      </c>
      <c r="L28" s="243" t="e">
        <f ca="1">_xll.ohRangeRetrieveError(K28)</f>
        <v>#NUM!</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e">
        <f>_xll.qlForwardSwapQuote(J29,I29,H29,E29,Permanent,Trigger,ObjectOverwrite)</f>
        <v>#NUM!</v>
      </c>
      <c r="L29" s="243" t="e">
        <f ca="1">_xll.ohRangeRetrieveError(K29)</f>
        <v>#NUM!</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e">
        <f>_xll.qlForwardSwapQuote(J30,I30,H30,E30,Permanent,Trigger,ObjectOverwrite)</f>
        <v>#NUM!</v>
      </c>
      <c r="L30" s="243" t="e">
        <f ca="1">_xll.ohRangeRetrieveError(K30)</f>
        <v>#NUM!</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e">
        <f>_xll.qlForwardSwapQuote(J31,I31,H31,E31,Permanent,Trigger,ObjectOverwrite)</f>
        <v>#NUM!</v>
      </c>
      <c r="L31" s="243" t="e">
        <f ca="1">_xll.ohRangeRetrieveError(K31)</f>
        <v>#NUM!</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e">
        <f>_xll.qlForwardSwapQuote(J32,I32,H32,E32,Permanent,Trigger,ObjectOverwrite)</f>
        <v>#NUM!</v>
      </c>
      <c r="L32" s="243" t="e">
        <f ca="1">_xll.ohRangeRetrieveError(K32)</f>
        <v>#NUM!</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e">
        <f>_xll.qlForwardSwapQuote(J33,I33,H33,E33,Permanent,Trigger,ObjectOverwrite)</f>
        <v>#NUM!</v>
      </c>
      <c r="L33" s="243" t="e">
        <f ca="1">_xll.ohRangeRetrieveError(K33)</f>
        <v>#NUM!</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e">
        <f>_xll.qlForwardSwapQuote(J34,I34,H34,E34,Permanent,Trigger,ObjectOverwrite)</f>
        <v>#NUM!</v>
      </c>
      <c r="L34" s="243" t="e">
        <f ca="1">_xll.ohRangeRetrieveError(K34)</f>
        <v>#NUM!</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e">
        <f>_xll.qlForwardSwapQuote(J35,I35,H35,E35,Permanent,Trigger,ObjectOverwrite)</f>
        <v>#NUM!</v>
      </c>
      <c r="L35" s="243" t="e">
        <f ca="1">_xll.ohRangeRetrieveError(K35)</f>
        <v>#NUM!</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e">
        <f>_xll.qlForwardSwapQuote(J36,I36,H36,E36,Permanent,Trigger,ObjectOverwrite)</f>
        <v>#NUM!</v>
      </c>
      <c r="L36" s="79" t="e">
        <f ca="1">_xll.ohRangeRetrieveError(K36)</f>
        <v>#NUM!</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e">
        <f>_xll.qlForwardSwapQuote(J4,I4,H4,E4,Permanent,Trigger,ObjectOverwrite)</f>
        <v>#NUM!</v>
      </c>
      <c r="L4" s="249" t="e">
        <f ca="1">_xll.ohRangeRetrieveError(K4)</f>
        <v>#NUM!</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e">
        <f>_xll.qlForwardSwapQuote(J5,I5,H5,E5,Permanent,Trigger,ObjectOverwrite)</f>
        <v>#NUM!</v>
      </c>
      <c r="L5" s="249" t="e">
        <f ca="1">_xll.ohRangeRetrieveError(K5)</f>
        <v>#NUM!</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e">
        <f>_xll.qlForwardSwapQuote(J6,I6,H6,E6,Permanent,Trigger,ObjectOverwrite)</f>
        <v>#NUM!</v>
      </c>
      <c r="L6" s="249" t="e">
        <f ca="1">_xll.ohRangeRetrieveError(K6)</f>
        <v>#NUM!</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e">
        <f>_xll.qlForwardSwapQuote(J7,I7,H7,E7,Permanent,Trigger,ObjectOverwrite)</f>
        <v>#NUM!</v>
      </c>
      <c r="L7" s="249" t="e">
        <f ca="1">_xll.ohRangeRetrieveError(K7)</f>
        <v>#NUM!</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e">
        <f>_xll.qlForwardSwapQuote(J8,I8,H8,E8,Permanent,Trigger,ObjectOverwrite)</f>
        <v>#NUM!</v>
      </c>
      <c r="L8" s="249" t="e">
        <f ca="1">_xll.ohRangeRetrieveError(K8)</f>
        <v>#NUM!</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e">
        <f>_xll.qlForwardSwapQuote(J9,I9,H9,E9,Permanent,Trigger,ObjectOverwrite)</f>
        <v>#NUM!</v>
      </c>
      <c r="L9" s="249" t="e">
        <f ca="1">_xll.ohRangeRetrieveError(K9)</f>
        <v>#NUM!</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e">
        <f>_xll.qlForwardSwapQuote(J10,I10,H10,E10,Permanent,Trigger,ObjectOverwrite)</f>
        <v>#NUM!</v>
      </c>
      <c r="L10" s="249" t="e">
        <f ca="1">_xll.ohRangeRetrieveError(K10)</f>
        <v>#NUM!</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e">
        <f>_xll.qlForwardSwapQuote(J11,I11,H11,E11,Permanent,Trigger,ObjectOverwrite)</f>
        <v>#NUM!</v>
      </c>
      <c r="L11" s="249" t="e">
        <f ca="1">_xll.ohRangeRetrieveError(K11)</f>
        <v>#NUM!</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e">
        <f>_xll.qlForwardSwapQuote(J12,I12,H12,E12,Permanent,Trigger,ObjectOverwrite)</f>
        <v>#NUM!</v>
      </c>
      <c r="L12" s="249" t="e">
        <f ca="1">_xll.ohRangeRetrieveError(K12)</f>
        <v>#NUM!</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e">
        <f>_xll.qlForwardSwapQuote(J13,I13,H13,E13,Permanent,Trigger,ObjectOverwrite)</f>
        <v>#NUM!</v>
      </c>
      <c r="L13" s="249" t="e">
        <f ca="1">_xll.ohRangeRetrieveError(K13)</f>
        <v>#NUM!</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e">
        <f>_xll.qlForwardSwapQuote(J14,I14,H14,E14,Permanent,Trigger,ObjectOverwrite)</f>
        <v>#NUM!</v>
      </c>
      <c r="L14" s="249" t="e">
        <f ca="1">_xll.ohRangeRetrieveError(K14)</f>
        <v>#NUM!</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e">
        <f>_xll.qlForwardSwapQuote(J15,I15,H15,E15,Permanent,Trigger,ObjectOverwrite)</f>
        <v>#NUM!</v>
      </c>
      <c r="L15" s="249" t="e">
        <f ca="1">_xll.ohRangeRetrieveError(K15)</f>
        <v>#NUM!</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e">
        <f>_xll.qlForwardSwapQuote(J16,I16,H16,E16,Permanent,Trigger,ObjectOverwrite)</f>
        <v>#NUM!</v>
      </c>
      <c r="L16" s="249" t="e">
        <f ca="1">_xll.ohRangeRetrieveError(K16)</f>
        <v>#NUM!</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e">
        <f>_xll.qlForwardSwapQuote(J17,I17,H17,E17,Permanent,Trigger,ObjectOverwrite)</f>
        <v>#NUM!</v>
      </c>
      <c r="L17" s="249" t="e">
        <f ca="1">_xll.ohRangeRetrieveError(K17)</f>
        <v>#NUM!</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e">
        <f>_xll.qlForwardSwapQuote(J18,I18,H18,E18,Permanent,Trigger,ObjectOverwrite)</f>
        <v>#NUM!</v>
      </c>
      <c r="L18" s="249" t="e">
        <f ca="1">_xll.ohRangeRetrieveError(K18)</f>
        <v>#NUM!</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e">
        <f>_xll.qlForwardSwapQuote(J19,I19,H19,E19,Permanent,Trigger,ObjectOverwrite)</f>
        <v>#NUM!</v>
      </c>
      <c r="L19" s="249" t="e">
        <f ca="1">_xll.ohRangeRetrieveError(K19)</f>
        <v>#NUM!</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e">
        <f>_xll.qlForwardSwapQuote(J20,I20,H20,E20,Permanent,Trigger,ObjectOverwrite)</f>
        <v>#NUM!</v>
      </c>
      <c r="L20" s="249" t="e">
        <f ca="1">_xll.ohRangeRetrieveError(K20)</f>
        <v>#NUM!</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e">
        <f>_xll.qlForwardSwapQuote(J21,I21,H21,E21,Permanent,Trigger,ObjectOverwrite)</f>
        <v>#NUM!</v>
      </c>
      <c r="L21" s="249" t="e">
        <f ca="1">_xll.ohRangeRetrieveError(K21)</f>
        <v>#NUM!</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e">
        <f>_xll.qlForwardSwapQuote(J22,I22,H22,E22,Permanent,Trigger,ObjectOverwrite)</f>
        <v>#NUM!</v>
      </c>
      <c r="L22" s="249" t="e">
        <f ca="1">_xll.ohRangeRetrieveError(K22)</f>
        <v>#NUM!</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e">
        <f>_xll.qlForwardSwapQuote(J23,I23,H23,E23,Permanent,Trigger,ObjectOverwrite)</f>
        <v>#NUM!</v>
      </c>
      <c r="L23" s="249" t="e">
        <f ca="1">_xll.ohRangeRetrieveError(K23)</f>
        <v>#NUM!</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e">
        <f>_xll.qlForwardSwapQuote(J24,I24,H24,E24,Permanent,Trigger,ObjectOverwrite)</f>
        <v>#NUM!</v>
      </c>
      <c r="L24" s="249" t="e">
        <f ca="1">_xll.ohRangeRetrieveError(K24)</f>
        <v>#NUM!</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e">
        <f>_xll.qlForwardSwapQuote(J25,I25,H25,E25,Permanent,Trigger,ObjectOverwrite)</f>
        <v>#NUM!</v>
      </c>
      <c r="L25" s="249" t="e">
        <f ca="1">_xll.ohRangeRetrieveError(K25)</f>
        <v>#NUM!</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e">
        <f>_xll.qlForwardSwapQuote(J26,I26,H26,E26,Permanent,Trigger,ObjectOverwrite)</f>
        <v>#NUM!</v>
      </c>
      <c r="L26" s="249" t="e">
        <f ca="1">_xll.ohRangeRetrieveError(K26)</f>
        <v>#NUM!</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e">
        <f>_xll.qlForwardSwapQuote(J27,I27,H27,E27,Permanent,Trigger,ObjectOverwrite)</f>
        <v>#NUM!</v>
      </c>
      <c r="L27" s="249" t="e">
        <f ca="1">_xll.ohRangeRetrieveError(K27)</f>
        <v>#NUM!</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e">
        <f>_xll.qlForwardSwapQuote(J28,I28,H28,E28,Permanent,Trigger,ObjectOverwrite)</f>
        <v>#NUM!</v>
      </c>
      <c r="L28" s="249" t="e">
        <f ca="1">_xll.ohRangeRetrieveError(K28)</f>
        <v>#NUM!</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e">
        <f>_xll.qlForwardSwapQuote(J29,I29,H29,E29,Permanent,Trigger,ObjectOverwrite)</f>
        <v>#NUM!</v>
      </c>
      <c r="L29" s="249" t="e">
        <f ca="1">_xll.ohRangeRetrieveError(K29)</f>
        <v>#NUM!</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e">
        <f>_xll.qlForwardSwapQuote(J30,I30,H30,E30,Permanent,Trigger,ObjectOverwrite)</f>
        <v>#NUM!</v>
      </c>
      <c r="L30" s="249" t="e">
        <f ca="1">_xll.ohRangeRetrieveError(K30)</f>
        <v>#NUM!</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e">
        <f>_xll.qlForwardSwapQuote(J31,I31,H31,E31,Permanent,Trigger,ObjectOverwrite)</f>
        <v>#NUM!</v>
      </c>
      <c r="L31" s="249" t="e">
        <f ca="1">_xll.ohRangeRetrieveError(K31)</f>
        <v>#NUM!</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e">
        <f>_xll.qlForwardSwapQuote(J32,I32,H32,E32,Permanent,Trigger,ObjectOverwrite)</f>
        <v>#NUM!</v>
      </c>
      <c r="L32" s="249" t="e">
        <f ca="1">_xll.ohRangeRetrieveError(K32)</f>
        <v>#NUM!</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e">
        <f>_xll.qlForwardSwapQuote(J33,I33,H33,E33,Permanent,Trigger,ObjectOverwrite)</f>
        <v>#NUM!</v>
      </c>
      <c r="L33" s="249" t="e">
        <f ca="1">_xll.ohRangeRetrieveError(K33)</f>
        <v>#NUM!</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e">
        <f>_xll.qlForwardSwapQuote(J34,I34,H34,E34,Permanent,Trigger,ObjectOverwrite)</f>
        <v>#NUM!</v>
      </c>
      <c r="L34" s="249" t="e">
        <f ca="1">_xll.ohRangeRetrieveError(K34)</f>
        <v>#NUM!</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e">
        <f>_xll.qlForwardSwapQuote(J35,I35,H35,E35,Permanent,Trigger,ObjectOverwrite)</f>
        <v>#NUM!</v>
      </c>
      <c r="L35" s="249" t="e">
        <f ca="1">_xll.ohRangeRetrieveError(K35)</f>
        <v>#NUM!</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e">
        <f>_xll.qlForwardSwapQuote(J36,I36,H36,E36,Permanent,Trigger,ObjectOverwrite)</f>
        <v>#NUM!</v>
      </c>
      <c r="L36" s="249" t="e">
        <f ca="1">_xll.ohRangeRetrieveError(K36)</f>
        <v>#NUM!</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e">
        <f>_xll.qlCompositeQuote(I3,F3,H3,G3,Permanent,Trigger,ObjectOverwrite)</f>
        <v>#NUM!</v>
      </c>
      <c r="K3" s="249" t="e">
        <f ca="1">_xll.ohRangeRetrieveError(J3)</f>
        <v>#NUM!</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e">
        <f>_xll.qlCompositeQuote(I4,F4,H4,G4,Permanent,Trigger,ObjectOverwrite)</f>
        <v>#NUM!</v>
      </c>
      <c r="K4" s="249" t="e">
        <f ca="1">_xll.ohRangeRetrieveError(J4)</f>
        <v>#NUM!</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e">
        <f>_xll.qlCompositeQuote(I5,F5,H5,G5,Permanent,Trigger,ObjectOverwrite)</f>
        <v>#NUM!</v>
      </c>
      <c r="K5" s="249" t="e">
        <f ca="1">_xll.ohRangeRetrieveError(J5)</f>
        <v>#NUM!</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e">
        <f>_xll.qlCompositeQuote(I6,F6,H6,G6,Permanent,Trigger,ObjectOverwrite)</f>
        <v>#NUM!</v>
      </c>
      <c r="K6" s="249" t="e">
        <f ca="1">_xll.ohRangeRetrieveError(J6)</f>
        <v>#NUM!</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e">
        <f>_xll.qlCompositeQuote(I7,F7,H7,G7,Permanent,Trigger,ObjectOverwrite)</f>
        <v>#NUM!</v>
      </c>
      <c r="K7" s="249" t="e">
        <f ca="1">_xll.ohRangeRetrieveError(J7)</f>
        <v>#NUM!</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e">
        <f>_xll.qlCompositeQuote(I8,F8,H8,G8,Permanent,Trigger,ObjectOverwrite)</f>
        <v>#NUM!</v>
      </c>
      <c r="K8" s="249" t="e">
        <f ca="1">_xll.ohRangeRetrieveError(J8)</f>
        <v>#NUM!</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e">
        <f>_xll.qlCompositeQuote(I3,F3,H3,G3,Permanent,Trigger,ObjectOverwrite)</f>
        <v>#NUM!</v>
      </c>
      <c r="K3" s="249" t="e">
        <f ca="1">_xll.ohRangeRetrieveError(J3)</f>
        <v>#NUM!</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e">
        <f>_xll.qlCompositeQuote(I4,F4,H4,G4,Permanent,Trigger,ObjectOverwrite)</f>
        <v>#NUM!</v>
      </c>
      <c r="K4" s="249" t="e">
        <f ca="1">_xll.ohRangeRetrieveError(J4)</f>
        <v>#NUM!</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e">
        <f>_xll.qlCompositeQuote(I5,F5,H5,G5,Permanent,Trigger,ObjectOverwrite)</f>
        <v>#NUM!</v>
      </c>
      <c r="K5" s="249" t="e">
        <f ca="1">_xll.ohRangeRetrieveError(J5)</f>
        <v>#NUM!</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e">
        <f>_xll.qlCompositeQuote(I6,F6,H6,G6,Permanent,Trigger,ObjectOverwrite)</f>
        <v>#NUM!</v>
      </c>
      <c r="K6" s="249" t="e">
        <f ca="1">_xll.ohRangeRetrieveError(J6)</f>
        <v>#NUM!</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e">
        <f>_xll.qlCompositeQuote(I7,F7,H7,G7,Permanent,Trigger,ObjectOverwrite)</f>
        <v>#NUM!</v>
      </c>
      <c r="K7" s="249" t="e">
        <f ca="1">_xll.ohRangeRetrieveError(J7)</f>
        <v>#NUM!</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e">
        <f>_xll.qlCompositeQuote(I8,F8,H8,G8,Permanent,Trigger,ObjectOverwrite)</f>
        <v>#NUM!</v>
      </c>
      <c r="K8" s="249" t="e">
        <f ca="1">_xll.ohRangeRetrieveError(J8)</f>
        <v>#NUM!</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e">
        <f>_xll.qlCompositeQuote(I3,F3,H3,G3,Permanent,Trigger,ObjectOverwrite)</f>
        <v>#NUM!</v>
      </c>
      <c r="K3" s="249" t="e">
        <f ca="1">_xll.ohRangeRetrieveError(J3)</f>
        <v>#NUM!</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e">
        <f>_xll.qlCompositeQuote(I4,F4,H4,G4,Permanent,Trigger,ObjectOverwrite)</f>
        <v>#NUM!</v>
      </c>
      <c r="K4" s="249" t="e">
        <f ca="1">_xll.ohRangeRetrieveError(J4)</f>
        <v>#NUM!</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e">
        <f>_xll.qlCompositeQuote(I5,F5,H5,G5,Permanent,Trigger,ObjectOverwrite)</f>
        <v>#NUM!</v>
      </c>
      <c r="K5" s="249" t="e">
        <f ca="1">_xll.ohRangeRetrieveError(J5)</f>
        <v>#NUM!</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e">
        <f>_xll.qlCompositeQuote(I6,F6,H6,G6,Permanent,Trigger,ObjectOverwrite)</f>
        <v>#NUM!</v>
      </c>
      <c r="K6" s="249" t="e">
        <f ca="1">_xll.ohRangeRetrieveError(J6)</f>
        <v>#NUM!</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e">
        <f>_xll.qlCompositeQuote(I7,F7,H7,G7,Permanent,Trigger,ObjectOverwrite)</f>
        <v>#NUM!</v>
      </c>
      <c r="K7" s="249" t="e">
        <f ca="1">_xll.ohRangeRetrieveError(J7)</f>
        <v>#NUM!</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e">
        <f>_xll.qlCompositeQuote(I8,F8,H8,G8,Permanent,Trigger,ObjectOverwrite)</f>
        <v>#NUM!</v>
      </c>
      <c r="K8" s="249" t="e">
        <f ca="1">_xll.ohRangeRetrieveError(J8)</f>
        <v>#NUM!</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e">
        <f>_xll.qlCompositeQuote(I3,F3,H3,G3,Permanent,Trigger,ObjectOverwrite)</f>
        <v>#NUM!</v>
      </c>
      <c r="K3" s="249" t="e">
        <f ca="1">_xll.ohRangeRetrieveError(J3)</f>
        <v>#NUM!</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e">
        <f>_xll.qlCompositeQuote(I4,F4,H4,G4,Permanent,Trigger,ObjectOverwrite)</f>
        <v>#NUM!</v>
      </c>
      <c r="K4" s="249" t="e">
        <f ca="1">_xll.ohRangeRetrieveError(J4)</f>
        <v>#NUM!</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e">
        <f>_xll.qlCompositeQuote(I5,F5,H5,G5,Permanent,Trigger,ObjectOverwrite)</f>
        <v>#NUM!</v>
      </c>
      <c r="K5" s="249" t="e">
        <f ca="1">_xll.ohRangeRetrieveError(J5)</f>
        <v>#NUM!</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e">
        <f>_xll.qlCompositeQuote(I6,F6,H6,G6,Permanent,Trigger,ObjectOverwrite)</f>
        <v>#NUM!</v>
      </c>
      <c r="K6" s="249" t="e">
        <f ca="1">_xll.ohRangeRetrieveError(J6)</f>
        <v>#NUM!</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e">
        <f>_xll.qlCompositeQuote(I7,F7,H7,G7,Permanent,Trigger,ObjectOverwrite)</f>
        <v>#NUM!</v>
      </c>
      <c r="K7" s="249" t="e">
        <f ca="1">_xll.ohRangeRetrieveError(J7)</f>
        <v>#NUM!</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e">
        <f>_xll.qlCompositeQuote(I8,F8,H8,G8,Permanent,Trigger,ObjectOverwrite)</f>
        <v>#NUM!</v>
      </c>
      <c r="K8" s="249" t="e">
        <f ca="1">_xll.ohRangeRetrieveError(J8)</f>
        <v>#NUM!</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111</vt:i4>
      </vt:variant>
    </vt:vector>
  </HeadingPairs>
  <TitlesOfParts>
    <vt:vector size="149"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2013-12-20T00:28:55Z</dcterms:modified>
</cp:coreProperties>
</file>
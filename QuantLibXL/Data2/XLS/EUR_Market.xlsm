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78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BasisSwap1MxM!$AF$5:$AH$9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Futures1M!$Z$4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Futures1M!$AC$6:$AD$10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BasisSwap1MxM!$AB$5:$AB$42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Futures1M!$Y$6:$Y$17</definedName>
    <definedName name="Quote" localSheetId="16">Futures3M!$Y$7:$Y$48</definedName>
    <definedName name="Quote" localSheetId="18">FuturesHWConvAdj!$P$5:$P$6</definedName>
    <definedName name="Quote" localSheetId="17">'ImmFra6M '!$Y$6:$Y$9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SwapsIMMDated!$X$5:$X$11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8" l="1" a="1"/>
  <c r="N7" i="38" s="1"/>
  <c r="N5" i="37" a="1"/>
  <c r="N5" i="37" s="1"/>
  <c r="N7" i="37"/>
  <c r="N9" i="37"/>
  <c r="N10" i="37"/>
  <c r="N11" i="37"/>
  <c r="N12" i="37"/>
  <c r="N5" i="36" a="1"/>
  <c r="N5" i="36" s="1"/>
  <c r="N5" i="35" a="1"/>
  <c r="N5" i="35" s="1"/>
  <c r="AB5" i="32" a="1"/>
  <c r="AB5" i="32" s="1"/>
  <c r="AB5" i="31" a="1"/>
  <c r="AB5" i="31" s="1"/>
  <c r="X5" i="30" a="1"/>
  <c r="X7" i="30" s="1"/>
  <c r="X5" i="29" a="1"/>
  <c r="X5" i="29" s="1"/>
  <c r="X9" i="29"/>
  <c r="X10" i="29"/>
  <c r="X11" i="29"/>
  <c r="X12" i="29"/>
  <c r="X5" i="28" a="1"/>
  <c r="X7" i="28" s="1"/>
  <c r="P5" i="26" a="1"/>
  <c r="P5" i="26" s="1"/>
  <c r="Y6" i="25" a="1"/>
  <c r="Y6" i="25" s="1"/>
  <c r="Y7" i="24" a="1"/>
  <c r="Y9" i="24" s="1"/>
  <c r="Y6" i="23" a="1"/>
  <c r="Y6" i="23" s="1"/>
  <c r="V5" i="22" a="1"/>
  <c r="V7" i="22" s="1"/>
  <c r="V5" i="22"/>
  <c r="V6" i="22"/>
  <c r="V12" i="22"/>
  <c r="V13" i="22"/>
  <c r="V14" i="22"/>
  <c r="V20" i="22"/>
  <c r="V21" i="22"/>
  <c r="V22" i="22"/>
  <c r="V28" i="22"/>
  <c r="V29" i="22"/>
  <c r="V30" i="22"/>
  <c r="O5" i="21" a="1"/>
  <c r="O7" i="21" s="1"/>
  <c r="AB5" i="19" a="1"/>
  <c r="AB7" i="19" s="1"/>
  <c r="AB5" i="19"/>
  <c r="AB6" i="19"/>
  <c r="AB12" i="19"/>
  <c r="AB13" i="19"/>
  <c r="AB14" i="19"/>
  <c r="AB20" i="19"/>
  <c r="AB21" i="19"/>
  <c r="AB22" i="19"/>
  <c r="AB28" i="19"/>
  <c r="AB29" i="19"/>
  <c r="AB30" i="19"/>
  <c r="AB36" i="19"/>
  <c r="AB37" i="19"/>
  <c r="AB38" i="19"/>
  <c r="AB5" i="18" a="1"/>
  <c r="AB6" i="18" s="1"/>
  <c r="AB5" i="17" a="1"/>
  <c r="AB5" i="17" s="1"/>
  <c r="N14" i="38" l="1"/>
  <c r="N6" i="38"/>
  <c r="N13" i="38"/>
  <c r="N5" i="38"/>
  <c r="N20" i="38"/>
  <c r="N12" i="38"/>
  <c r="N19" i="38"/>
  <c r="N18" i="38"/>
  <c r="N17" i="38"/>
  <c r="N16" i="38"/>
  <c r="N8" i="38"/>
  <c r="N11" i="38"/>
  <c r="N10" i="38"/>
  <c r="N9" i="38"/>
  <c r="N15" i="38"/>
  <c r="N8" i="37"/>
  <c r="N14" i="37"/>
  <c r="N6" i="37"/>
  <c r="N13" i="37"/>
  <c r="N11" i="36"/>
  <c r="N9" i="36"/>
  <c r="N6" i="36"/>
  <c r="N10" i="36"/>
  <c r="N8" i="36"/>
  <c r="N7" i="36"/>
  <c r="N9" i="35"/>
  <c r="N7" i="35"/>
  <c r="N6" i="35"/>
  <c r="N8" i="35"/>
  <c r="AB36" i="32"/>
  <c r="AB20" i="32"/>
  <c r="AB27" i="32"/>
  <c r="AB9" i="32"/>
  <c r="AB28" i="32"/>
  <c r="AB12" i="32"/>
  <c r="AB19" i="32"/>
  <c r="AB34" i="32"/>
  <c r="AB10" i="32"/>
  <c r="AB33" i="32"/>
  <c r="AB17" i="32"/>
  <c r="AB32" i="32"/>
  <c r="AB8" i="32"/>
  <c r="AB31" i="32"/>
  <c r="AB38" i="32"/>
  <c r="AB30" i="32"/>
  <c r="AB22" i="32"/>
  <c r="AB14" i="32"/>
  <c r="AB6" i="32"/>
  <c r="AB35" i="32"/>
  <c r="AB11" i="32"/>
  <c r="AB42" i="32"/>
  <c r="AB26" i="32"/>
  <c r="AB18" i="32"/>
  <c r="AB41" i="32"/>
  <c r="AB25" i="32"/>
  <c r="AB40" i="32"/>
  <c r="AB24" i="32"/>
  <c r="AB16" i="32"/>
  <c r="AB39" i="32"/>
  <c r="AB23" i="32"/>
  <c r="AB15" i="32"/>
  <c r="AB7" i="32"/>
  <c r="AB37" i="32"/>
  <c r="AB29" i="32"/>
  <c r="AB21" i="32"/>
  <c r="AB13" i="32"/>
  <c r="AB35" i="31"/>
  <c r="AB27" i="31"/>
  <c r="AB19" i="31"/>
  <c r="AB11" i="31"/>
  <c r="AB36" i="31"/>
  <c r="AB28" i="31"/>
  <c r="AB20" i="31"/>
  <c r="AB12" i="31"/>
  <c r="AB42" i="31"/>
  <c r="AB34" i="31"/>
  <c r="AB26" i="31"/>
  <c r="AB18" i="31"/>
  <c r="AB10" i="31"/>
  <c r="AB41" i="31"/>
  <c r="AB33" i="31"/>
  <c r="AB25" i="31"/>
  <c r="AB17" i="31"/>
  <c r="AB9" i="31"/>
  <c r="AB40" i="31"/>
  <c r="AB16" i="31"/>
  <c r="AB39" i="31"/>
  <c r="AB23" i="31"/>
  <c r="AB7" i="31"/>
  <c r="AB38" i="31"/>
  <c r="AB30" i="31"/>
  <c r="AB22" i="31"/>
  <c r="AB14" i="31"/>
  <c r="AB6" i="31"/>
  <c r="AB32" i="31"/>
  <c r="AB24" i="31"/>
  <c r="AB8" i="31"/>
  <c r="AB31" i="31"/>
  <c r="AB15" i="31"/>
  <c r="AB37" i="31"/>
  <c r="AB29" i="31"/>
  <c r="AB21" i="31"/>
  <c r="AB13" i="31"/>
  <c r="X6" i="30"/>
  <c r="X5" i="30"/>
  <c r="X11" i="30"/>
  <c r="X8" i="30"/>
  <c r="X10" i="30"/>
  <c r="X9" i="30"/>
  <c r="X8" i="29"/>
  <c r="X15" i="29"/>
  <c r="X7" i="29"/>
  <c r="X14" i="29"/>
  <c r="X6" i="29"/>
  <c r="X13" i="29"/>
  <c r="X38" i="28"/>
  <c r="X30" i="28"/>
  <c r="X22" i="28"/>
  <c r="X14" i="28"/>
  <c r="X6" i="28"/>
  <c r="X37" i="28"/>
  <c r="X29" i="28"/>
  <c r="X21" i="28"/>
  <c r="X13" i="28"/>
  <c r="X5" i="28"/>
  <c r="X36" i="28"/>
  <c r="X28" i="28"/>
  <c r="X20" i="28"/>
  <c r="X12" i="28"/>
  <c r="X35" i="28"/>
  <c r="X19" i="28"/>
  <c r="X34" i="28"/>
  <c r="X10" i="28"/>
  <c r="X17" i="28"/>
  <c r="X40" i="28"/>
  <c r="X32" i="28"/>
  <c r="X24" i="28"/>
  <c r="X16" i="28"/>
  <c r="X8" i="28"/>
  <c r="X27" i="28"/>
  <c r="X11" i="28"/>
  <c r="X26" i="28"/>
  <c r="X18" i="28"/>
  <c r="X33" i="28"/>
  <c r="X25" i="28"/>
  <c r="X9" i="28"/>
  <c r="X39" i="28"/>
  <c r="X31" i="28"/>
  <c r="X23" i="28"/>
  <c r="X15" i="28"/>
  <c r="P6" i="26"/>
  <c r="Y8" i="25"/>
  <c r="Y7" i="25"/>
  <c r="Y9" i="25"/>
  <c r="Y37" i="24"/>
  <c r="Y21" i="24"/>
  <c r="Y36" i="24"/>
  <c r="Y12" i="24"/>
  <c r="Y35" i="24"/>
  <c r="Y27" i="24"/>
  <c r="Y11" i="24"/>
  <c r="Y42" i="24"/>
  <c r="Y34" i="24"/>
  <c r="Y26" i="24"/>
  <c r="Y18" i="24"/>
  <c r="Y10" i="24"/>
  <c r="Y48" i="24"/>
  <c r="Y40" i="24"/>
  <c r="Y32" i="24"/>
  <c r="Y24" i="24"/>
  <c r="Y16" i="24"/>
  <c r="Y8" i="24"/>
  <c r="Y47" i="24"/>
  <c r="Y39" i="24"/>
  <c r="Y31" i="24"/>
  <c r="Y23" i="24"/>
  <c r="Y15" i="24"/>
  <c r="Y7" i="24"/>
  <c r="Y46" i="24"/>
  <c r="Y38" i="24"/>
  <c r="Y30" i="24"/>
  <c r="Y22" i="24"/>
  <c r="Y14" i="24"/>
  <c r="Y45" i="24"/>
  <c r="Y29" i="24"/>
  <c r="Y13" i="24"/>
  <c r="Y44" i="24"/>
  <c r="Y28" i="24"/>
  <c r="Y20" i="24"/>
  <c r="Y43" i="24"/>
  <c r="Y19" i="24"/>
  <c r="Y41" i="24"/>
  <c r="Y33" i="24"/>
  <c r="Y25" i="24"/>
  <c r="Y17" i="24"/>
  <c r="Y10" i="23"/>
  <c r="Y16" i="23"/>
  <c r="Y8" i="23"/>
  <c r="Y13" i="23"/>
  <c r="Y12" i="23"/>
  <c r="Y11" i="23"/>
  <c r="Y17" i="23"/>
  <c r="Y9" i="23"/>
  <c r="Y15" i="23"/>
  <c r="Y7" i="23"/>
  <c r="Y14" i="23"/>
  <c r="V27" i="22"/>
  <c r="V19" i="22"/>
  <c r="V11" i="22"/>
  <c r="V26" i="22"/>
  <c r="V18" i="22"/>
  <c r="V10" i="22"/>
  <c r="V33" i="22"/>
  <c r="V25" i="22"/>
  <c r="V17" i="22"/>
  <c r="V9" i="22"/>
  <c r="V32" i="22"/>
  <c r="V24" i="22"/>
  <c r="V16" i="22"/>
  <c r="V8" i="22"/>
  <c r="V31" i="22"/>
  <c r="V23" i="22"/>
  <c r="V15" i="22"/>
  <c r="O22" i="21"/>
  <c r="O14" i="21"/>
  <c r="O6" i="21"/>
  <c r="O21" i="21"/>
  <c r="O13" i="21"/>
  <c r="O5" i="21"/>
  <c r="O20" i="21"/>
  <c r="O12" i="21"/>
  <c r="O19" i="21"/>
  <c r="O18" i="21"/>
  <c r="O10" i="21"/>
  <c r="O17" i="21"/>
  <c r="O9" i="21"/>
  <c r="O16" i="21"/>
  <c r="O8" i="21"/>
  <c r="O11" i="21"/>
  <c r="O15" i="21"/>
  <c r="AB35" i="19"/>
  <c r="AB27" i="19"/>
  <c r="AB19" i="19"/>
  <c r="AB11" i="19"/>
  <c r="AB42" i="19"/>
  <c r="AB34" i="19"/>
  <c r="AB26" i="19"/>
  <c r="AB18" i="19"/>
  <c r="AB10" i="19"/>
  <c r="AB41" i="19"/>
  <c r="AB33" i="19"/>
  <c r="AB25" i="19"/>
  <c r="AB17" i="19"/>
  <c r="AB9" i="19"/>
  <c r="AB40" i="19"/>
  <c r="AB32" i="19"/>
  <c r="AB24" i="19"/>
  <c r="AB16" i="19"/>
  <c r="AB8" i="19"/>
  <c r="AB39" i="19"/>
  <c r="AB31" i="19"/>
  <c r="AB23" i="19"/>
  <c r="AB15" i="19"/>
  <c r="AB37" i="18"/>
  <c r="AB29" i="18"/>
  <c r="AB21" i="18"/>
  <c r="AB13" i="18"/>
  <c r="AB5" i="18"/>
  <c r="AB36" i="18"/>
  <c r="AB28" i="18"/>
  <c r="AB20" i="18"/>
  <c r="AB12" i="18"/>
  <c r="AB35" i="18"/>
  <c r="AB19" i="18"/>
  <c r="AB26" i="18"/>
  <c r="AB39" i="18"/>
  <c r="AB27" i="18"/>
  <c r="AB11" i="18"/>
  <c r="AB42" i="18"/>
  <c r="AB34" i="18"/>
  <c r="AB18" i="18"/>
  <c r="AB10" i="18"/>
  <c r="AB41" i="18"/>
  <c r="AB33" i="18"/>
  <c r="AB25" i="18"/>
  <c r="AB17" i="18"/>
  <c r="AB9" i="18"/>
  <c r="AB40" i="18"/>
  <c r="AB32" i="18"/>
  <c r="AB24" i="18"/>
  <c r="AB16" i="18"/>
  <c r="AB8" i="18"/>
  <c r="AB31" i="18"/>
  <c r="AB23" i="18"/>
  <c r="AB15" i="18"/>
  <c r="AB7" i="18"/>
  <c r="AB38" i="18"/>
  <c r="AB30" i="18"/>
  <c r="AB22" i="18"/>
  <c r="AB14" i="18"/>
  <c r="AB35" i="17"/>
  <c r="AB27" i="17"/>
  <c r="AB19" i="17"/>
  <c r="AB11" i="17"/>
  <c r="AB42" i="17"/>
  <c r="AB34" i="17"/>
  <c r="AB26" i="17"/>
  <c r="AB18" i="17"/>
  <c r="AB10" i="17"/>
  <c r="AB41" i="17"/>
  <c r="AB33" i="17"/>
  <c r="AB25" i="17"/>
  <c r="AB17" i="17"/>
  <c r="AB9" i="17"/>
  <c r="AB40" i="17"/>
  <c r="AB32" i="17"/>
  <c r="AB24" i="17"/>
  <c r="AB16" i="17"/>
  <c r="AB8" i="17"/>
  <c r="AB39" i="17"/>
  <c r="AB31" i="17"/>
  <c r="AB23" i="17"/>
  <c r="AB15" i="17"/>
  <c r="AB7" i="17"/>
  <c r="AB36" i="17"/>
  <c r="AB28" i="17"/>
  <c r="AB20" i="17"/>
  <c r="AB12" i="17"/>
  <c r="AB38" i="17"/>
  <c r="AB30" i="17"/>
  <c r="AB22" i="17"/>
  <c r="AB14" i="17"/>
  <c r="AB6" i="17"/>
  <c r="AB37" i="17"/>
  <c r="AB29" i="17"/>
  <c r="AB21" i="17"/>
  <c r="AB13" i="17"/>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I3" i="47" l="1"/>
  <c r="D5" i="6" l="1"/>
  <c r="D6" i="6"/>
  <c r="D7" i="6"/>
  <c r="D8" i="6"/>
  <c r="D9" i="6"/>
  <c r="D10" i="6"/>
  <c r="D11" i="6"/>
  <c r="D12" i="6"/>
  <c r="C13" i="6"/>
  <c r="D13" i="6" s="1"/>
  <c r="C14" i="6"/>
  <c r="D14" i="6" s="1"/>
  <c r="C15" i="6"/>
  <c r="D15" i="6" s="1"/>
  <c r="C16" i="6"/>
  <c r="D16" i="6" s="1"/>
  <c r="C17" i="6"/>
  <c r="D17" i="6" s="1"/>
  <c r="D18" i="6"/>
  <c r="D19" i="6"/>
  <c r="D20" i="6"/>
  <c r="D21" i="6"/>
  <c r="D22" i="6"/>
  <c r="E18" i="6"/>
  <c r="E21" i="6"/>
  <c r="E16" i="6"/>
  <c r="E17" i="6"/>
  <c r="E9" i="6"/>
  <c r="E15" i="6"/>
  <c r="E11" i="6"/>
  <c r="E22" i="6"/>
  <c r="E20" i="6"/>
  <c r="E8" i="6"/>
  <c r="E14" i="6"/>
  <c r="E19" i="6"/>
  <c r="E10" i="6"/>
  <c r="E6" i="6"/>
  <c r="E7" i="6"/>
  <c r="E13" i="6"/>
  <c r="E12" i="6"/>
  <c r="S2" i="6" l="1"/>
  <c r="S8" i="6" s="1"/>
  <c r="Y2" i="6"/>
  <c r="F21" i="6"/>
  <c r="V8" i="6"/>
  <c r="F11" i="6"/>
  <c r="J6" i="6"/>
  <c r="F6" i="6"/>
  <c r="F13" i="6"/>
  <c r="J7" i="6"/>
  <c r="F7" i="6"/>
  <c r="F18" i="6"/>
  <c r="F22" i="6"/>
  <c r="F15" i="6"/>
  <c r="F19" i="6"/>
  <c r="F20" i="6"/>
  <c r="F8" i="6"/>
  <c r="F9" i="6"/>
  <c r="F14" i="6"/>
  <c r="F17" i="6"/>
  <c r="F16" i="6"/>
  <c r="F12" i="6"/>
  <c r="F10"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7" i="73"/>
  <c r="G12" i="73"/>
  <c r="G13" i="73"/>
  <c r="G8" i="73"/>
  <c r="G11" i="73"/>
  <c r="G5" i="73"/>
  <c r="G4" i="73"/>
  <c r="G18" i="73"/>
  <c r="G10" i="73"/>
  <c r="G15" i="73"/>
  <c r="D9" i="67"/>
  <c r="G17" i="73"/>
  <c r="G6" i="73"/>
  <c r="G9" i="73"/>
  <c r="G16" i="73"/>
  <c r="G14"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0" i="72"/>
  <c r="K13" i="73"/>
  <c r="G9" i="72"/>
  <c r="K8" i="73"/>
  <c r="K17" i="73"/>
  <c r="K12" i="73"/>
  <c r="K4" i="73"/>
  <c r="K14" i="73"/>
  <c r="K11" i="73"/>
  <c r="G7" i="72"/>
  <c r="G15" i="72"/>
  <c r="K9" i="73"/>
  <c r="K5" i="73"/>
  <c r="G4" i="72"/>
  <c r="K10" i="73"/>
  <c r="G12" i="72"/>
  <c r="G18" i="72"/>
  <c r="G14" i="72"/>
  <c r="K15" i="73"/>
  <c r="G5" i="72"/>
  <c r="K6" i="73"/>
  <c r="G6" i="72"/>
  <c r="K16" i="73"/>
  <c r="G16" i="72"/>
  <c r="G11" i="72"/>
  <c r="K7" i="73"/>
  <c r="K18" i="73"/>
  <c r="G17" i="72"/>
  <c r="G8" i="72"/>
  <c r="G13"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5" i="71"/>
  <c r="H8" i="73"/>
  <c r="G12" i="71"/>
  <c r="K10" i="72"/>
  <c r="H4" i="73"/>
  <c r="H11" i="73"/>
  <c r="H16" i="73"/>
  <c r="K7" i="72"/>
  <c r="K8" i="72"/>
  <c r="G10" i="71"/>
  <c r="G8" i="71"/>
  <c r="K11" i="72"/>
  <c r="K15" i="72"/>
  <c r="H17" i="73"/>
  <c r="G4" i="71"/>
  <c r="K4" i="72"/>
  <c r="K14" i="72"/>
  <c r="H6" i="73"/>
  <c r="G7" i="71"/>
  <c r="H7" i="73"/>
  <c r="H18" i="73"/>
  <c r="G13" i="71"/>
  <c r="K6" i="72"/>
  <c r="G18" i="71"/>
  <c r="H9" i="73"/>
  <c r="G9" i="71"/>
  <c r="H15" i="73"/>
  <c r="G17" i="71"/>
  <c r="K9" i="72"/>
  <c r="H14" i="73"/>
  <c r="K17" i="72"/>
  <c r="K18" i="72"/>
  <c r="K13" i="72"/>
  <c r="H10" i="73"/>
  <c r="H13" i="73"/>
  <c r="G11" i="71"/>
  <c r="G15" i="71"/>
  <c r="K12" i="72"/>
  <c r="H12" i="73"/>
  <c r="G6" i="71"/>
  <c r="H5" i="73"/>
  <c r="K5" i="72"/>
  <c r="K16" i="72"/>
  <c r="G16" i="71"/>
  <c r="G14" i="71"/>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8" i="73"/>
  <c r="L16" i="73"/>
  <c r="L11" i="73"/>
  <c r="L12" i="73"/>
  <c r="L17" i="73"/>
  <c r="L15" i="73"/>
  <c r="L13" i="73"/>
  <c r="L7" i="73"/>
  <c r="L10" i="73"/>
  <c r="L5" i="73"/>
  <c r="L6" i="73"/>
  <c r="L4" i="73"/>
  <c r="L18" i="73"/>
  <c r="G9" i="70"/>
  <c r="K8" i="71"/>
  <c r="H18" i="72"/>
  <c r="N11" i="73"/>
  <c r="N9" i="73"/>
  <c r="G13" i="70"/>
  <c r="K6" i="71"/>
  <c r="G10" i="70"/>
  <c r="N6" i="73"/>
  <c r="H9" i="72"/>
  <c r="H13" i="72"/>
  <c r="G7" i="70"/>
  <c r="K4" i="71"/>
  <c r="G11" i="70"/>
  <c r="H5" i="72"/>
  <c r="N10" i="73"/>
  <c r="H17" i="72"/>
  <c r="N4" i="73"/>
  <c r="N8" i="73"/>
  <c r="K15" i="71"/>
  <c r="K10" i="71"/>
  <c r="K9" i="71"/>
  <c r="H11" i="72"/>
  <c r="K13" i="71"/>
  <c r="H16" i="72"/>
  <c r="H6" i="72"/>
  <c r="G18" i="70"/>
  <c r="G4" i="70"/>
  <c r="N18" i="73"/>
  <c r="N12" i="73"/>
  <c r="G12" i="70"/>
  <c r="K14" i="71"/>
  <c r="K17" i="71"/>
  <c r="G16" i="70"/>
  <c r="N14" i="73"/>
  <c r="K11" i="71"/>
  <c r="K12" i="71"/>
  <c r="K16" i="71"/>
  <c r="N16" i="73"/>
  <c r="H12" i="72"/>
  <c r="K18" i="71"/>
  <c r="H15" i="72"/>
  <c r="G5" i="70"/>
  <c r="K5" i="71"/>
  <c r="G6" i="70"/>
  <c r="N17" i="73"/>
  <c r="H10" i="72"/>
  <c r="H8" i="72"/>
  <c r="G8" i="70"/>
  <c r="G14" i="70"/>
  <c r="N13" i="73"/>
  <c r="H7" i="72"/>
  <c r="H4" i="72"/>
  <c r="N7" i="73"/>
  <c r="N15" i="73"/>
  <c r="H14" i="72"/>
  <c r="K7" i="71"/>
  <c r="N5" i="73"/>
  <c r="G17" i="70"/>
  <c r="G15" i="70"/>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5" i="72"/>
  <c r="L7" i="72"/>
  <c r="L17" i="72"/>
  <c r="L14" i="72"/>
  <c r="L18" i="72"/>
  <c r="L4" i="72"/>
  <c r="L6" i="72"/>
  <c r="L16" i="72"/>
  <c r="L8" i="72"/>
  <c r="L13" i="72"/>
  <c r="L12" i="72"/>
  <c r="L11" i="72"/>
  <c r="L5" i="72"/>
  <c r="L10" i="72"/>
  <c r="L9" i="72"/>
  <c r="G18" i="69"/>
  <c r="G8" i="69"/>
  <c r="N11" i="72"/>
  <c r="N17" i="70"/>
  <c r="N11" i="70"/>
  <c r="N15" i="72"/>
  <c r="K14" i="70"/>
  <c r="N5" i="72"/>
  <c r="G4" i="69"/>
  <c r="H17" i="71"/>
  <c r="H16" i="71"/>
  <c r="H7" i="71"/>
  <c r="K6" i="70"/>
  <c r="N17" i="72"/>
  <c r="N7" i="72"/>
  <c r="H5" i="71"/>
  <c r="H14" i="71"/>
  <c r="G16" i="69"/>
  <c r="G6" i="69"/>
  <c r="K5" i="70"/>
  <c r="G9" i="69"/>
  <c r="N6" i="70"/>
  <c r="G5" i="69"/>
  <c r="N6" i="72"/>
  <c r="H10" i="71"/>
  <c r="H8" i="71"/>
  <c r="G12" i="69"/>
  <c r="H6" i="71"/>
  <c r="H12" i="71"/>
  <c r="N9" i="72"/>
  <c r="K7" i="70"/>
  <c r="N15" i="70"/>
  <c r="G11" i="69"/>
  <c r="G17" i="69"/>
  <c r="N12" i="72"/>
  <c r="H18" i="71"/>
  <c r="K9" i="70"/>
  <c r="K17" i="70"/>
  <c r="K16" i="70"/>
  <c r="H13" i="71"/>
  <c r="G13" i="69"/>
  <c r="N8" i="72"/>
  <c r="N16" i="72"/>
  <c r="N16" i="70"/>
  <c r="H9" i="71"/>
  <c r="K13" i="70"/>
  <c r="N10" i="72"/>
  <c r="N4" i="72"/>
  <c r="K10" i="70"/>
  <c r="N14" i="70"/>
  <c r="K11" i="70"/>
  <c r="N13" i="70"/>
  <c r="N13" i="72"/>
  <c r="H15" i="71"/>
  <c r="K12" i="70"/>
  <c r="K4" i="70"/>
  <c r="K15" i="70"/>
  <c r="K8" i="70"/>
  <c r="H4" i="71"/>
  <c r="G14" i="69"/>
  <c r="K18" i="70"/>
  <c r="N10" i="70"/>
  <c r="N18" i="72"/>
  <c r="G15" i="69"/>
  <c r="G7" i="69"/>
  <c r="G10" i="69"/>
  <c r="N14" i="72"/>
  <c r="H11" i="71"/>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9" i="71"/>
  <c r="L4" i="71"/>
  <c r="L13" i="71"/>
  <c r="L16" i="71"/>
  <c r="L7" i="71"/>
  <c r="L8" i="71"/>
  <c r="L17" i="71"/>
  <c r="L15" i="71"/>
  <c r="L5" i="71"/>
  <c r="L10" i="71"/>
  <c r="L14" i="71"/>
  <c r="L6" i="71"/>
  <c r="L12" i="71"/>
  <c r="L11" i="71"/>
  <c r="N5" i="71"/>
  <c r="K18" i="69"/>
  <c r="N6" i="71"/>
  <c r="H9" i="70"/>
  <c r="H4" i="70"/>
  <c r="K14" i="69"/>
  <c r="K9" i="69"/>
  <c r="K10" i="69"/>
  <c r="K12" i="69"/>
  <c r="K15" i="69"/>
  <c r="K16" i="69"/>
  <c r="N12" i="71"/>
  <c r="H18" i="70"/>
  <c r="N4" i="71"/>
  <c r="N7" i="71"/>
  <c r="H12" i="70"/>
  <c r="K11" i="69"/>
  <c r="K6" i="69"/>
  <c r="N15" i="71"/>
  <c r="H5" i="70"/>
  <c r="N13" i="71"/>
  <c r="N14" i="71"/>
  <c r="N8" i="71"/>
  <c r="K5" i="69"/>
  <c r="N16" i="71"/>
  <c r="N10" i="71"/>
  <c r="H8" i="70"/>
  <c r="K17" i="69"/>
  <c r="H7" i="70"/>
  <c r="N9" i="71"/>
  <c r="K7" i="69"/>
  <c r="K8" i="69"/>
  <c r="N17" i="71"/>
  <c r="K13" i="69"/>
  <c r="N18" i="71"/>
  <c r="N11" i="71"/>
  <c r="K4"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8" i="70"/>
  <c r="L7" i="70"/>
  <c r="L18" i="70"/>
  <c r="L9" i="70"/>
  <c r="L4" i="70"/>
  <c r="L5" i="70"/>
  <c r="L12" i="70"/>
  <c r="H9" i="69"/>
  <c r="H5" i="69"/>
  <c r="H8" i="69"/>
  <c r="N18" i="70"/>
  <c r="N9" i="70"/>
  <c r="H15" i="69"/>
  <c r="H18" i="69"/>
  <c r="H12" i="69"/>
  <c r="H4" i="69"/>
  <c r="H10" i="69"/>
  <c r="H16" i="69"/>
  <c r="H6" i="69"/>
  <c r="N8" i="70"/>
  <c r="N5" i="70"/>
  <c r="N4" i="70"/>
  <c r="N12" i="70"/>
  <c r="H7" i="69"/>
  <c r="H17" i="69"/>
  <c r="N7" i="70"/>
  <c r="H14" i="69"/>
  <c r="H13" i="69"/>
  <c r="H11" i="69"/>
  <c r="M7" i="70" l="1"/>
  <c r="O7" i="70" s="1"/>
  <c r="M9" i="70"/>
  <c r="O9" i="70" s="1"/>
  <c r="M5" i="70"/>
  <c r="O5" i="70" s="1"/>
  <c r="M8" i="70"/>
  <c r="O8" i="70" s="1"/>
  <c r="M18" i="70"/>
  <c r="O18" i="70" s="1"/>
  <c r="M4" i="70"/>
  <c r="O4" i="70" s="1"/>
  <c r="M12" i="70"/>
  <c r="O12" i="70" s="1"/>
  <c r="M2" i="71"/>
  <c r="L17" i="69"/>
  <c r="L4" i="69"/>
  <c r="L10" i="69"/>
  <c r="L14" i="69"/>
  <c r="L8" i="69"/>
  <c r="L18" i="69"/>
  <c r="L15" i="69"/>
  <c r="L12" i="69"/>
  <c r="L11" i="69"/>
  <c r="L7" i="69"/>
  <c r="L16" i="69"/>
  <c r="L9" i="69"/>
  <c r="L6" i="69"/>
  <c r="L5" i="69"/>
  <c r="L13" i="69"/>
  <c r="N10" i="69"/>
  <c r="N18" i="69"/>
  <c r="N14" i="69"/>
  <c r="N17" i="69"/>
  <c r="N6" i="69"/>
  <c r="N12" i="69"/>
  <c r="N4" i="69"/>
  <c r="N9" i="69"/>
  <c r="N8" i="69"/>
  <c r="N5" i="69"/>
  <c r="N15" i="69"/>
  <c r="N11" i="69"/>
  <c r="N7" i="69"/>
  <c r="N16" i="69"/>
  <c r="N13"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J4" i="21"/>
  <c r="M4" i="22"/>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F6" i="23" l="1"/>
  <c r="N7" i="23"/>
  <c r="U7" i="23"/>
  <c r="AF7" i="23" l="1"/>
  <c r="N8" i="23"/>
  <c r="U8" i="23"/>
  <c r="AF8" i="23" l="1"/>
  <c r="N9" i="23"/>
  <c r="U9" i="23"/>
  <c r="AF9" i="23" l="1"/>
  <c r="N10" i="23"/>
  <c r="U10" i="23"/>
  <c r="AF10" i="23" l="1"/>
  <c r="N11" i="23"/>
  <c r="N12" i="23"/>
  <c r="N13" i="23"/>
  <c r="N14" i="23"/>
  <c r="N15" i="23"/>
  <c r="N16" i="23"/>
  <c r="N17" i="23"/>
  <c r="U15" i="23"/>
  <c r="U14" i="23"/>
  <c r="U12" i="23"/>
  <c r="U11" i="23"/>
  <c r="U13" i="23"/>
  <c r="U16" i="23"/>
  <c r="U17" i="23"/>
  <c r="AF15" i="23" l="1"/>
  <c r="AF14" i="23"/>
  <c r="AF12" i="23"/>
  <c r="AF11" i="23"/>
  <c r="AF16" i="23"/>
  <c r="AF13" i="23"/>
  <c r="AF17" i="23"/>
  <c r="N7" i="24" a="1"/>
  <c r="O6" i="24"/>
  <c r="N7" i="24" l="1"/>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6" i="24"/>
  <c r="U27" i="24"/>
  <c r="U48" i="24"/>
  <c r="U40" i="24"/>
  <c r="U36" i="24"/>
  <c r="U46" i="24"/>
  <c r="U23" i="24"/>
  <c r="U21" i="24"/>
  <c r="U37" i="24"/>
  <c r="U28" i="24"/>
  <c r="U43" i="24"/>
  <c r="U45" i="24"/>
  <c r="U30" i="24"/>
  <c r="U35" i="24"/>
  <c r="U32" i="24"/>
  <c r="U38" i="24"/>
  <c r="U22" i="24"/>
  <c r="U17" i="24"/>
  <c r="U33" i="24"/>
  <c r="U19" i="24"/>
  <c r="U31" i="24"/>
  <c r="U44" i="24"/>
  <c r="U13" i="24"/>
  <c r="U16" i="24"/>
  <c r="U39" i="24"/>
  <c r="U24" i="24"/>
  <c r="U29" i="24"/>
  <c r="U42" i="24"/>
  <c r="U20" i="24"/>
  <c r="U15" i="24"/>
  <c r="U34" i="24"/>
  <c r="U47" i="24"/>
  <c r="U25" i="24"/>
  <c r="U12" i="24"/>
  <c r="U14" i="24"/>
  <c r="U41" i="24"/>
  <c r="U18"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C6" i="25"/>
  <c r="AC7" i="25"/>
  <c r="AC8" i="25"/>
  <c r="U8" i="25"/>
  <c r="U9" i="25"/>
  <c r="U6" i="25"/>
  <c r="U7" i="25"/>
  <c r="N6" i="25" a="1"/>
  <c r="N8" i="25" l="1"/>
  <c r="N6" i="25"/>
  <c r="N7" i="25"/>
  <c r="N9" i="25"/>
  <c r="O9" i="25"/>
  <c r="O7" i="25"/>
  <c r="O8" i="25"/>
  <c r="AC9" i="25" l="1"/>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O5" i="29" l="1"/>
  <c r="O6" i="29"/>
  <c r="O7" i="29"/>
  <c r="O8" i="29"/>
  <c r="O9" i="29"/>
  <c r="O10" i="29"/>
  <c r="O11" i="29"/>
  <c r="O12" i="29"/>
  <c r="O13" i="29"/>
  <c r="O14" i="29"/>
  <c r="AB15" i="29" l="1"/>
  <c r="N5" i="30"/>
  <c r="T5" i="30"/>
  <c r="O4" i="30"/>
  <c r="AB5" i="30" l="1"/>
  <c r="N6" i="30"/>
  <c r="T6" i="30"/>
  <c r="AB6" i="30" l="1"/>
  <c r="N7" i="30"/>
  <c r="T7" i="30"/>
  <c r="AB7" i="30" l="1"/>
  <c r="N8" i="30"/>
  <c r="T8" i="30"/>
  <c r="AB8" i="30" l="1"/>
  <c r="N9" i="30"/>
  <c r="T9" i="30"/>
  <c r="AB9" i="30" l="1"/>
  <c r="N10" i="30"/>
  <c r="T10" i="30"/>
  <c r="AB10" i="30" l="1"/>
  <c r="N11" i="30"/>
  <c r="O5" i="30" s="1" a="1"/>
  <c r="O11" i="30" s="1"/>
  <c r="T11" i="30"/>
  <c r="O5" i="30" l="1"/>
  <c r="O6" i="30"/>
  <c r="O7" i="30"/>
  <c r="O8" i="30"/>
  <c r="O9" i="30"/>
  <c r="O10" i="30"/>
  <c r="AB11" i="30" l="1"/>
  <c r="P5" i="31" a="1"/>
  <c r="P5" i="31" s="1"/>
  <c r="Q5" i="31" a="1"/>
  <c r="Q5" i="31" s="1"/>
  <c r="X5" i="31"/>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0" i="31"/>
  <c r="X21"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S4" i="18"/>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R19" i="19" s="1"/>
  <c r="Q19" i="19"/>
  <c r="V19" i="19"/>
  <c r="W19" i="19" l="1"/>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1" i="28"/>
  <c r="Y50" i="28"/>
  <c r="Y54" i="28"/>
  <c r="Y55" i="28"/>
  <c r="Y52"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34" i="49"/>
  <c r="J9" i="49"/>
  <c r="J32" i="49"/>
  <c r="J37" i="49"/>
  <c r="J31" i="49"/>
  <c r="J4" i="49"/>
  <c r="J7" i="49"/>
  <c r="J15" i="49"/>
  <c r="J20" i="49"/>
  <c r="J13" i="49"/>
  <c r="J28" i="49"/>
  <c r="J36" i="49"/>
  <c r="J3" i="49"/>
  <c r="J26" i="49"/>
  <c r="J14" i="49"/>
  <c r="J21" i="49"/>
  <c r="J10" i="49"/>
  <c r="J12" i="49"/>
  <c r="J8" i="49"/>
  <c r="J30" i="49"/>
  <c r="J39" i="49"/>
  <c r="J6" i="49"/>
  <c r="J11" i="49"/>
  <c r="J17" i="49"/>
  <c r="J24" i="49"/>
  <c r="J5" i="49"/>
  <c r="J22" i="49"/>
  <c r="J35" i="49"/>
  <c r="J29" i="49"/>
  <c r="J19" i="49"/>
  <c r="J18" i="49"/>
  <c r="J23" i="49"/>
  <c r="J33" i="49"/>
  <c r="J16" i="49"/>
  <c r="J25" i="49"/>
  <c r="J38" i="49"/>
  <c r="J27"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9" i="42"/>
  <c r="L20" i="42"/>
  <c r="L14" i="42"/>
  <c r="L13" i="41"/>
  <c r="L29" i="41"/>
  <c r="L18" i="42"/>
  <c r="L18" i="41"/>
  <c r="L28" i="41"/>
  <c r="L20" i="41"/>
  <c r="L26" i="41"/>
  <c r="L5" i="42"/>
  <c r="L10" i="41"/>
  <c r="L7" i="42"/>
  <c r="L3" i="41"/>
  <c r="L3" i="43"/>
  <c r="L13" i="42"/>
  <c r="L12" i="42"/>
  <c r="L6" i="41"/>
  <c r="L17" i="42"/>
  <c r="L4" i="42"/>
  <c r="L9" i="41"/>
  <c r="L23" i="41"/>
  <c r="L23" i="42"/>
  <c r="L36" i="42"/>
  <c r="L15" i="41"/>
  <c r="L27" i="41"/>
  <c r="L34" i="42"/>
  <c r="L35" i="42"/>
  <c r="L10" i="42"/>
  <c r="L19" i="41"/>
  <c r="L28" i="42"/>
  <c r="L21" i="41"/>
  <c r="L25" i="41"/>
  <c r="L4" i="41"/>
  <c r="L7" i="41"/>
  <c r="L36" i="41"/>
  <c r="L35" i="41"/>
  <c r="L24" i="41"/>
  <c r="L31" i="42"/>
  <c r="L30" i="41"/>
  <c r="L26" i="42"/>
  <c r="L15" i="42"/>
  <c r="L22" i="41"/>
  <c r="L27" i="42"/>
  <c r="L3" i="40"/>
  <c r="L6" i="42"/>
  <c r="L24" i="42"/>
  <c r="L14" i="41"/>
  <c r="L34" i="41"/>
  <c r="L11" i="41"/>
  <c r="L21" i="42"/>
  <c r="L33" i="41"/>
  <c r="L8" i="42"/>
  <c r="L8" i="41"/>
  <c r="L9" i="42"/>
  <c r="L11" i="42"/>
  <c r="L33" i="42"/>
  <c r="L3" i="42"/>
  <c r="L5" i="41"/>
  <c r="L32" i="42"/>
  <c r="L16" i="41"/>
  <c r="L19" i="42"/>
  <c r="L25" i="42"/>
  <c r="L16" i="42"/>
  <c r="L30" i="42"/>
  <c r="L17" i="41"/>
  <c r="L31" i="41"/>
  <c r="L22" i="42"/>
  <c r="L32" i="41"/>
  <c r="L12" i="41"/>
  <c r="K13" i="49"/>
  <c r="K12" i="49"/>
  <c r="K39" i="49"/>
  <c r="K26" i="49"/>
  <c r="K30" i="49"/>
  <c r="K37" i="49"/>
  <c r="K8" i="49"/>
  <c r="K7" i="49"/>
  <c r="K15" i="49"/>
  <c r="K18" i="49"/>
  <c r="K10" i="49"/>
  <c r="K29" i="49"/>
  <c r="K6" i="49"/>
  <c r="K28" i="49"/>
  <c r="K19" i="49"/>
  <c r="K21" i="49"/>
  <c r="K27" i="49"/>
  <c r="K34" i="49"/>
  <c r="K16" i="49"/>
  <c r="K11" i="49"/>
  <c r="K35" i="49"/>
  <c r="K23" i="49"/>
  <c r="K24" i="49"/>
  <c r="K5" i="49"/>
  <c r="K33" i="49"/>
  <c r="K38" i="49"/>
  <c r="K32" i="49"/>
  <c r="K25" i="49"/>
  <c r="K9" i="49"/>
  <c r="K14" i="49"/>
  <c r="K20" i="49"/>
  <c r="K4" i="49"/>
  <c r="K17" i="49"/>
  <c r="K22" i="49"/>
  <c r="K31" i="49"/>
  <c r="K3" i="49"/>
  <c r="K36" i="49"/>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7" i="40"/>
  <c r="K34" i="43"/>
  <c r="K20" i="40"/>
  <c r="K13" i="40"/>
  <c r="K7" i="40"/>
  <c r="K25" i="40"/>
  <c r="K30" i="40"/>
  <c r="K23" i="43"/>
  <c r="K13" i="43"/>
  <c r="K6" i="40"/>
  <c r="K36" i="43"/>
  <c r="K20" i="43"/>
  <c r="K5" i="43"/>
  <c r="K7" i="43"/>
  <c r="K23" i="40"/>
  <c r="K10" i="40"/>
  <c r="K25" i="43"/>
  <c r="K29" i="40"/>
  <c r="K32" i="40"/>
  <c r="K15" i="43"/>
  <c r="K32" i="43"/>
  <c r="K26" i="43"/>
  <c r="K21" i="40"/>
  <c r="K4" i="40"/>
  <c r="K9" i="43"/>
  <c r="K17" i="43"/>
  <c r="K11" i="43"/>
  <c r="K33" i="43"/>
  <c r="K10" i="43"/>
  <c r="K14" i="43"/>
  <c r="K8" i="43"/>
  <c r="K5" i="40"/>
  <c r="K16" i="40"/>
  <c r="K19" i="43"/>
  <c r="K8" i="40"/>
  <c r="K9" i="40"/>
  <c r="K16" i="43"/>
  <c r="K31" i="43"/>
  <c r="K12" i="43"/>
  <c r="K29" i="43"/>
  <c r="K28" i="43"/>
  <c r="K31" i="40"/>
  <c r="K21" i="43"/>
  <c r="K26" i="40"/>
  <c r="K6" i="43"/>
  <c r="K12" i="40"/>
  <c r="K35" i="43"/>
  <c r="K15" i="40"/>
  <c r="K30" i="43"/>
  <c r="K18" i="40"/>
  <c r="K33" i="40"/>
  <c r="K27" i="43"/>
  <c r="K22" i="40"/>
  <c r="K36" i="40"/>
  <c r="K4" i="43"/>
  <c r="K24" i="40"/>
  <c r="K28" i="40"/>
  <c r="K17" i="40"/>
  <c r="K34" i="40"/>
  <c r="K18" i="43"/>
  <c r="K22" i="43"/>
  <c r="K35" i="40"/>
  <c r="K19" i="40"/>
  <c r="K11" i="40"/>
  <c r="K14" i="40"/>
  <c r="K24" i="43"/>
  <c r="K2" i="41"/>
  <c r="K2" i="40"/>
  <c r="J2" i="42" l="1"/>
  <c r="J2" i="43"/>
  <c r="C1" i="38"/>
  <c r="L11" i="43"/>
  <c r="L25" i="43"/>
  <c r="L13" i="43"/>
  <c r="L27" i="40"/>
  <c r="L23" i="43"/>
  <c r="L6" i="43"/>
  <c r="L16" i="40"/>
  <c r="L19" i="40"/>
  <c r="L8" i="40"/>
  <c r="L9" i="40"/>
  <c r="L18" i="40"/>
  <c r="L35" i="40"/>
  <c r="L5" i="40"/>
  <c r="L35" i="43"/>
  <c r="L18" i="43"/>
  <c r="L27" i="43"/>
  <c r="L22" i="40"/>
  <c r="L33" i="40"/>
  <c r="L11" i="40"/>
  <c r="L8" i="43"/>
  <c r="L30" i="43"/>
  <c r="L20" i="43"/>
  <c r="L12" i="40"/>
  <c r="L12" i="43"/>
  <c r="L17" i="40"/>
  <c r="L5" i="43"/>
  <c r="L34" i="40"/>
  <c r="L9" i="43"/>
  <c r="L7" i="43"/>
  <c r="L29" i="43"/>
  <c r="L14" i="43"/>
  <c r="L28" i="43"/>
  <c r="L21" i="43"/>
  <c r="L13" i="40"/>
  <c r="L26" i="40"/>
  <c r="L31" i="43"/>
  <c r="L10" i="43"/>
  <c r="L15" i="43"/>
  <c r="L28" i="40"/>
  <c r="L31" i="40"/>
  <c r="L4" i="40"/>
  <c r="L6" i="40"/>
  <c r="L32" i="40"/>
  <c r="L24" i="40"/>
  <c r="L7" i="40"/>
  <c r="L32" i="43"/>
  <c r="L22" i="43"/>
  <c r="L21" i="40"/>
  <c r="L24" i="43"/>
  <c r="L36" i="43"/>
  <c r="L30" i="40"/>
  <c r="L10" i="40"/>
  <c r="L26" i="43"/>
  <c r="L17" i="43"/>
  <c r="L29" i="40"/>
  <c r="L36" i="40"/>
  <c r="L25" i="40"/>
  <c r="L15" i="40"/>
  <c r="L4" i="43"/>
  <c r="L14" i="40"/>
  <c r="L34" i="43"/>
  <c r="L23" i="40"/>
  <c r="L16" i="43"/>
  <c r="L19" i="43"/>
  <c r="L20" i="40"/>
  <c r="L33" i="43"/>
  <c r="K2" i="42"/>
  <c r="L2" i="40"/>
  <c r="L2" i="41"/>
  <c r="K2"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4" i="38"/>
  <c r="D43" i="38"/>
  <c r="D15" i="38"/>
  <c r="D14" i="38"/>
  <c r="D11" i="38"/>
  <c r="D64" i="38"/>
  <c r="D5" i="38"/>
  <c r="D52" i="38"/>
  <c r="D31" i="38"/>
  <c r="D57" i="38"/>
  <c r="D54" i="38"/>
  <c r="D22" i="38"/>
  <c r="D33" i="38"/>
  <c r="D48" i="38"/>
  <c r="D21" i="38"/>
  <c r="D35" i="38"/>
  <c r="D36" i="38"/>
  <c r="D55" i="38"/>
  <c r="D63" i="38"/>
  <c r="D47" i="38"/>
  <c r="D10" i="38"/>
  <c r="D53" i="38"/>
  <c r="D42" i="38"/>
  <c r="D29" i="38"/>
  <c r="D58" i="38"/>
  <c r="D46" i="38"/>
  <c r="D51" i="38"/>
  <c r="D41" i="38"/>
  <c r="D38" i="38"/>
  <c r="D45" i="38"/>
  <c r="D8" i="38"/>
  <c r="D50" i="38"/>
  <c r="D6" i="38"/>
  <c r="D17" i="38"/>
  <c r="D62" i="38"/>
  <c r="D26" i="38"/>
  <c r="D39" i="38"/>
  <c r="D3" i="38"/>
  <c r="D13" i="38"/>
  <c r="D27" i="38"/>
  <c r="D49" i="38"/>
  <c r="D34" i="38"/>
  <c r="D61" i="38"/>
  <c r="D60" i="38"/>
  <c r="D16" i="38"/>
  <c r="D9" i="38"/>
  <c r="D40" i="38"/>
  <c r="D32" i="38"/>
  <c r="D7" i="38"/>
  <c r="D25" i="38"/>
  <c r="D28" i="38"/>
  <c r="D37" i="38"/>
  <c r="D4" i="38"/>
  <c r="D30" i="38"/>
  <c r="D44" i="38"/>
  <c r="D12" i="38"/>
  <c r="D23" i="38"/>
  <c r="D59" i="38"/>
  <c r="D19" i="38"/>
  <c r="D18" i="38"/>
  <c r="D20" i="38"/>
  <c r="D56" i="38"/>
  <c r="L2" i="43"/>
  <c r="L2" i="42"/>
  <c r="C2" i="37" l="1"/>
  <c r="C3" i="37"/>
  <c r="C4" i="37"/>
  <c r="C5" i="37"/>
  <c r="C6" i="37"/>
  <c r="C7" i="37"/>
  <c r="C8" i="37"/>
  <c r="C9" i="37"/>
  <c r="C10" i="37"/>
  <c r="C11" i="37"/>
  <c r="C12" i="37"/>
  <c r="C13" i="37"/>
  <c r="C14" i="37"/>
  <c r="C15" i="37"/>
  <c r="C16" i="37"/>
  <c r="C1" i="36"/>
  <c r="Y31" i="38"/>
  <c r="Y50" i="38"/>
  <c r="Y53" i="38"/>
  <c r="Y62" i="38"/>
  <c r="Y39" i="38"/>
  <c r="E47" i="38"/>
  <c r="D4" i="37"/>
  <c r="D12" i="37"/>
  <c r="E27" i="38"/>
  <c r="D5" i="37"/>
  <c r="Y36" i="38"/>
  <c r="E8" i="38"/>
  <c r="E4" i="38"/>
  <c r="E56" i="38"/>
  <c r="E42" i="38"/>
  <c r="E49" i="38"/>
  <c r="E52" i="38"/>
  <c r="Y44" i="38"/>
  <c r="E32" i="38"/>
  <c r="D15" i="37"/>
  <c r="Y43" i="38"/>
  <c r="Y35" i="38"/>
  <c r="E12" i="38"/>
  <c r="E5" i="38"/>
  <c r="Y22" i="38"/>
  <c r="Y63" i="38"/>
  <c r="Y45" i="38"/>
  <c r="E31" i="38"/>
  <c r="Y34" i="38"/>
  <c r="E14" i="38"/>
  <c r="E25" i="38"/>
  <c r="E55" i="38"/>
  <c r="E17" i="38"/>
  <c r="Y38" i="38"/>
  <c r="E41" i="38"/>
  <c r="D9" i="37"/>
  <c r="Y41" i="38"/>
  <c r="E50" i="38"/>
  <c r="Y23" i="38"/>
  <c r="E7" i="38"/>
  <c r="E44" i="38"/>
  <c r="E33" i="38"/>
  <c r="E22" i="38"/>
  <c r="E18" i="38"/>
  <c r="Y40" i="38"/>
  <c r="Y54" i="38"/>
  <c r="Y25" i="38"/>
  <c r="D8" i="37"/>
  <c r="E15" i="38"/>
  <c r="D14" i="37"/>
  <c r="E39" i="38"/>
  <c r="E54" i="38"/>
  <c r="E19" i="38"/>
  <c r="E58" i="38"/>
  <c r="E20" i="38"/>
  <c r="Y29" i="38"/>
  <c r="Y32" i="38"/>
  <c r="E40" i="38"/>
  <c r="E26" i="38"/>
  <c r="E60" i="38"/>
  <c r="E38" i="38"/>
  <c r="Y24" i="38"/>
  <c r="E59" i="38"/>
  <c r="D16" i="37"/>
  <c r="E34" i="38"/>
  <c r="Y52" i="38"/>
  <c r="E45" i="38"/>
  <c r="E63" i="38"/>
  <c r="Y49" i="38"/>
  <c r="E6" i="38"/>
  <c r="E35" i="38"/>
  <c r="E10" i="38"/>
  <c r="Y33" i="38"/>
  <c r="E16" i="38"/>
  <c r="Y57" i="38"/>
  <c r="Y64" i="38"/>
  <c r="Y46" i="38"/>
  <c r="E13" i="38"/>
  <c r="E51" i="38"/>
  <c r="E43" i="38"/>
  <c r="Y48" i="38"/>
  <c r="Y21" i="38"/>
  <c r="Y27" i="38"/>
  <c r="Y60" i="38"/>
  <c r="E46" i="38"/>
  <c r="E24" i="38"/>
  <c r="D3" i="37"/>
  <c r="D13" i="37"/>
  <c r="Y37" i="38"/>
  <c r="Y47" i="38"/>
  <c r="E23" i="38"/>
  <c r="Y61" i="38"/>
  <c r="E3" i="38"/>
  <c r="E61" i="38"/>
  <c r="Y51" i="38"/>
  <c r="D7" i="37"/>
  <c r="Y55" i="38"/>
  <c r="E64" i="38"/>
  <c r="Y42" i="38"/>
  <c r="D11" i="37"/>
  <c r="E57" i="38"/>
  <c r="D6" i="37"/>
  <c r="E9" i="38"/>
  <c r="Y58" i="38"/>
  <c r="D10" i="37"/>
  <c r="Y59" i="38"/>
  <c r="E30" i="38"/>
  <c r="E62" i="38"/>
  <c r="Y26" i="38"/>
  <c r="E37" i="38"/>
  <c r="E29" i="38"/>
  <c r="Y56" i="38"/>
  <c r="E53" i="38"/>
  <c r="E11" i="38"/>
  <c r="E21" i="38"/>
  <c r="E48" i="38"/>
  <c r="E28" i="38"/>
  <c r="E36" i="38"/>
  <c r="Y28" i="38"/>
  <c r="Y30" i="38"/>
  <c r="O18" i="38"/>
  <c r="O9" i="38"/>
  <c r="O10" i="38"/>
  <c r="O14" i="38"/>
  <c r="O12" i="38"/>
  <c r="O13" i="38"/>
  <c r="O17" i="38"/>
  <c r="O6" i="38"/>
  <c r="O5" i="38"/>
  <c r="O8" i="38"/>
  <c r="O15" i="38"/>
  <c r="O16" i="38"/>
  <c r="O19" i="38"/>
  <c r="O11" i="38"/>
  <c r="O7" i="38"/>
  <c r="O20" i="38"/>
  <c r="C2" i="36" l="1"/>
  <c r="C3" i="36"/>
  <c r="C4" i="36"/>
  <c r="C5" i="36"/>
  <c r="C6" i="36"/>
  <c r="C7" i="36"/>
  <c r="C8" i="36"/>
  <c r="C9" i="36"/>
  <c r="C10" i="36"/>
  <c r="C11" i="36"/>
  <c r="C12" i="36"/>
  <c r="C13" i="36"/>
  <c r="C1" i="35"/>
  <c r="D5" i="36"/>
  <c r="E6" i="37"/>
  <c r="E12" i="37"/>
  <c r="D12" i="36"/>
  <c r="E5" i="37"/>
  <c r="E10" i="37"/>
  <c r="E14" i="37"/>
  <c r="E7" i="37"/>
  <c r="E13" i="37"/>
  <c r="E8" i="37"/>
  <c r="D4" i="36"/>
  <c r="E4" i="37"/>
  <c r="D8" i="36"/>
  <c r="E11" i="37"/>
  <c r="D13" i="36"/>
  <c r="D6" i="36"/>
  <c r="E15" i="37"/>
  <c r="D10" i="36"/>
  <c r="E9" i="37"/>
  <c r="D3" i="36"/>
  <c r="D11" i="36"/>
  <c r="D7" i="36"/>
  <c r="E3" i="37"/>
  <c r="E16" i="37"/>
  <c r="D9" i="36"/>
  <c r="O6" i="37"/>
  <c r="O10" i="37"/>
  <c r="O13" i="37"/>
  <c r="O5" i="37"/>
  <c r="O11" i="37"/>
  <c r="O9" i="37"/>
  <c r="O8" i="37"/>
  <c r="O7" i="37"/>
  <c r="O12" i="37"/>
  <c r="O14" i="37"/>
  <c r="C2" i="35" l="1"/>
  <c r="C3" i="35"/>
  <c r="C4" i="35"/>
  <c r="C5" i="35"/>
  <c r="C6" i="35"/>
  <c r="C7" i="35"/>
  <c r="C8" i="35"/>
  <c r="C9" i="35"/>
  <c r="C10" i="35"/>
  <c r="C11" i="35"/>
  <c r="C2" i="34"/>
  <c r="C3" i="34"/>
  <c r="C4" i="34"/>
  <c r="E4" i="36"/>
  <c r="D3" i="35"/>
  <c r="D5" i="35"/>
  <c r="E12" i="36"/>
  <c r="D7" i="35"/>
  <c r="E6" i="36"/>
  <c r="E7" i="36"/>
  <c r="D3" i="34"/>
  <c r="D4" i="35"/>
  <c r="D9" i="35"/>
  <c r="D10" i="35"/>
  <c r="E8" i="36"/>
  <c r="D11" i="35"/>
  <c r="E9" i="36"/>
  <c r="E3" i="36"/>
  <c r="E13" i="36"/>
  <c r="E10" i="36"/>
  <c r="E5" i="36"/>
  <c r="D6" i="35"/>
  <c r="D4" i="34"/>
  <c r="E11" i="36"/>
  <c r="D8" i="35"/>
  <c r="O11" i="36"/>
  <c r="O9" i="36"/>
  <c r="O5" i="36"/>
  <c r="O6" i="36"/>
  <c r="O7" i="36"/>
  <c r="O10" i="36"/>
  <c r="O8" i="36"/>
  <c r="D2" i="38"/>
  <c r="D2" i="36"/>
  <c r="D2" i="35"/>
  <c r="D2" i="34"/>
  <c r="D2" i="37"/>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25" i="28"/>
  <c r="F32" i="28"/>
  <c r="F13" i="28"/>
  <c r="F20" i="28"/>
  <c r="E5" i="35"/>
  <c r="F29" i="28"/>
  <c r="F12" i="28"/>
  <c r="F12" i="29"/>
  <c r="E4" i="34"/>
  <c r="E10" i="35"/>
  <c r="F39" i="28"/>
  <c r="F33" i="28"/>
  <c r="F7" i="29"/>
  <c r="F8" i="30"/>
  <c r="F13" i="29"/>
  <c r="F34" i="28"/>
  <c r="F10" i="28"/>
  <c r="F10" i="29"/>
  <c r="F22" i="28"/>
  <c r="F5" i="29"/>
  <c r="E6" i="35"/>
  <c r="F36" i="28"/>
  <c r="E3" i="34"/>
  <c r="F8" i="29"/>
  <c r="F17" i="28"/>
  <c r="E8" i="35"/>
  <c r="F40" i="28"/>
  <c r="F24" i="28"/>
  <c r="F21" i="28"/>
  <c r="D42" i="28"/>
  <c r="E11" i="35"/>
  <c r="F18" i="28"/>
  <c r="F27" i="28"/>
  <c r="F15" i="28"/>
  <c r="E3" i="35"/>
  <c r="E4" i="35"/>
  <c r="F6" i="28"/>
  <c r="F11" i="30"/>
  <c r="F11" i="29"/>
  <c r="F9" i="28"/>
  <c r="F15" i="29"/>
  <c r="F14" i="28"/>
  <c r="E7" i="35"/>
  <c r="F38" i="28"/>
  <c r="F19" i="28"/>
  <c r="F28" i="28"/>
  <c r="F14" i="29"/>
  <c r="F31" i="28"/>
  <c r="F5" i="30"/>
  <c r="F6" i="30"/>
  <c r="F11" i="28"/>
  <c r="F5" i="28"/>
  <c r="F35" i="28"/>
  <c r="F37" i="28"/>
  <c r="F8" i="28"/>
  <c r="F9" i="30"/>
  <c r="F23" i="28"/>
  <c r="F7" i="30"/>
  <c r="F30" i="28"/>
  <c r="F10" i="30"/>
  <c r="E9" i="35"/>
  <c r="F6" i="29"/>
  <c r="F7" i="28"/>
  <c r="F9" i="29"/>
  <c r="F26" i="28"/>
  <c r="F16" i="28"/>
  <c r="O6" i="35"/>
  <c r="O8" i="35"/>
  <c r="O7" i="35"/>
  <c r="O9" i="35"/>
  <c r="O5" i="35"/>
  <c r="Y5" i="30"/>
  <c r="Y9" i="30"/>
  <c r="Y11" i="30"/>
  <c r="Y8" i="30"/>
  <c r="Y6" i="30"/>
  <c r="Y10" i="30"/>
  <c r="Y7" i="30"/>
  <c r="E2" i="35"/>
  <c r="E2" i="37"/>
  <c r="E2" i="38"/>
  <c r="E2" i="34"/>
  <c r="E2" i="36"/>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6" i="29"/>
  <c r="F38" i="32"/>
  <c r="F24" i="31"/>
  <c r="G32" i="28"/>
  <c r="G20" i="28"/>
  <c r="D43" i="28"/>
  <c r="G16" i="28"/>
  <c r="F30" i="32"/>
  <c r="G22" i="28"/>
  <c r="G23" i="28"/>
  <c r="G10" i="30"/>
  <c r="G13" i="29"/>
  <c r="G5" i="30"/>
  <c r="G31" i="28"/>
  <c r="F35" i="32"/>
  <c r="G13" i="28"/>
  <c r="G24" i="28"/>
  <c r="G11" i="29"/>
  <c r="F11" i="32"/>
  <c r="G7" i="30"/>
  <c r="F16" i="31"/>
  <c r="G36" i="28"/>
  <c r="G11" i="28"/>
  <c r="G26" i="28"/>
  <c r="G11" i="30"/>
  <c r="G40" i="28"/>
  <c r="G6" i="30"/>
  <c r="F27" i="31"/>
  <c r="F22" i="31"/>
  <c r="G34" i="28"/>
  <c r="G14" i="28"/>
  <c r="G8" i="28"/>
  <c r="G33" i="28"/>
  <c r="G6" i="28"/>
  <c r="G5" i="29"/>
  <c r="G7" i="28"/>
  <c r="G5" i="28"/>
  <c r="G37" i="28"/>
  <c r="F19" i="32"/>
  <c r="G15" i="29"/>
  <c r="F42" i="28"/>
  <c r="G21" i="28"/>
  <c r="G8" i="29"/>
  <c r="G9" i="30"/>
  <c r="G35" i="28"/>
  <c r="F19" i="31"/>
  <c r="F38" i="31"/>
  <c r="F30" i="31"/>
  <c r="G17" i="28"/>
  <c r="G9" i="28"/>
  <c r="G30" i="28"/>
  <c r="G15" i="28"/>
  <c r="G10" i="29"/>
  <c r="G38" i="28"/>
  <c r="G14" i="29"/>
  <c r="G29" i="28"/>
  <c r="G7" i="29"/>
  <c r="G39" i="28"/>
  <c r="G12" i="28"/>
  <c r="G12" i="29"/>
  <c r="G27" i="28"/>
  <c r="G8" i="30"/>
  <c r="G25" i="28"/>
  <c r="F32" i="31"/>
  <c r="F22" i="32"/>
  <c r="G10" i="28"/>
  <c r="F35" i="31"/>
  <c r="G19" i="28"/>
  <c r="G28" i="28"/>
  <c r="G9" i="29"/>
  <c r="G18" i="28"/>
  <c r="F27" i="32"/>
  <c r="Y14" i="29"/>
  <c r="Y11" i="29"/>
  <c r="Y7" i="29"/>
  <c r="Y8" i="29"/>
  <c r="Y10" i="29"/>
  <c r="Y12" i="29"/>
  <c r="Y13" i="29"/>
  <c r="Y15" i="29"/>
  <c r="Y6" i="29"/>
  <c r="Y5" i="29"/>
  <c r="Y9" i="29"/>
  <c r="Y38" i="28"/>
  <c r="Y31" i="28"/>
  <c r="Y15" i="28"/>
  <c r="Y9" i="28"/>
  <c r="Y6" i="28"/>
  <c r="Y36" i="28"/>
  <c r="Y18" i="28"/>
  <c r="Y20" i="28"/>
  <c r="Y17" i="28"/>
  <c r="Y27" i="28"/>
  <c r="Y14" i="28"/>
  <c r="Y13" i="28"/>
  <c r="Y26" i="28"/>
  <c r="Y8" i="28"/>
  <c r="Y7" i="28"/>
  <c r="Y35" i="28"/>
  <c r="Y10" i="28"/>
  <c r="Y34" i="28"/>
  <c r="Y5" i="28"/>
  <c r="Y28" i="28"/>
  <c r="Y39" i="28"/>
  <c r="Y29" i="28"/>
  <c r="Y32" i="28"/>
  <c r="Y37" i="28"/>
  <c r="Y24" i="28"/>
  <c r="Y33" i="28"/>
  <c r="Y30" i="28"/>
  <c r="Y19" i="28"/>
  <c r="Y12" i="28"/>
  <c r="Y23" i="28"/>
  <c r="Y16" i="28"/>
  <c r="Y11" i="28"/>
  <c r="Y25" i="28"/>
  <c r="Y21" i="28"/>
  <c r="Y40" i="28"/>
  <c r="Y22"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F42" i="32"/>
  <c r="F26" i="31"/>
  <c r="F43" i="28"/>
  <c r="F13" i="31"/>
  <c r="F8" i="31"/>
  <c r="F41" i="31"/>
  <c r="G42" i="28"/>
  <c r="F20" i="31"/>
  <c r="F40" i="32"/>
  <c r="F37" i="32"/>
  <c r="F14" i="31"/>
  <c r="D44" i="28"/>
  <c r="F13" i="32"/>
  <c r="G38" i="31"/>
  <c r="G22" i="31"/>
  <c r="F39" i="32"/>
  <c r="F18" i="32"/>
  <c r="F12" i="32"/>
  <c r="F32" i="32"/>
  <c r="G16" i="31"/>
  <c r="G24" i="31"/>
  <c r="F15" i="32"/>
  <c r="F17" i="31"/>
  <c r="F7" i="31"/>
  <c r="G35" i="31"/>
  <c r="F17" i="32"/>
  <c r="F11" i="31"/>
  <c r="F14" i="32"/>
  <c r="F23" i="31"/>
  <c r="F33" i="32"/>
  <c r="F34" i="31"/>
  <c r="G22" i="32"/>
  <c r="F23" i="32"/>
  <c r="F25" i="31"/>
  <c r="G27" i="31"/>
  <c r="F34" i="32"/>
  <c r="F9" i="32"/>
  <c r="F16" i="32"/>
  <c r="F21" i="32"/>
  <c r="G32" i="31"/>
  <c r="F25" i="32"/>
  <c r="F42" i="31"/>
  <c r="G38" i="32"/>
  <c r="G19" i="31"/>
  <c r="F41" i="32"/>
  <c r="F15" i="31"/>
  <c r="F28" i="32"/>
  <c r="F20" i="32"/>
  <c r="F33" i="31"/>
  <c r="F8" i="32"/>
  <c r="G30" i="32"/>
  <c r="F24" i="32"/>
  <c r="F6" i="31"/>
  <c r="F26" i="32"/>
  <c r="G19" i="32"/>
  <c r="F31" i="31"/>
  <c r="G27" i="32"/>
  <c r="G35" i="32"/>
  <c r="F9" i="31"/>
  <c r="F10" i="32"/>
  <c r="F28" i="31"/>
  <c r="F7" i="32"/>
  <c r="F36" i="31"/>
  <c r="G30" i="31"/>
  <c r="F10" i="31"/>
  <c r="G11" i="32"/>
  <c r="F37" i="31"/>
  <c r="F29" i="32"/>
  <c r="F39" i="31"/>
  <c r="F12" i="31"/>
  <c r="F6" i="32"/>
  <c r="F21" i="31"/>
  <c r="F36" i="32"/>
  <c r="F18" i="31"/>
  <c r="F31" i="32"/>
  <c r="F29" i="31"/>
  <c r="AC38" i="32"/>
  <c r="AC30" i="32"/>
  <c r="AC22" i="32"/>
  <c r="AC35" i="32"/>
  <c r="AC11" i="32"/>
  <c r="AC19" i="32"/>
  <c r="AC27" i="32"/>
  <c r="AC24" i="31"/>
  <c r="AC27" i="31"/>
  <c r="AC38" i="31"/>
  <c r="AC19" i="31"/>
  <c r="AC35" i="31"/>
  <c r="AC32" i="31"/>
  <c r="AC16" i="31"/>
  <c r="AC22" i="31"/>
  <c r="AC30"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42" i="31"/>
  <c r="G37" i="31"/>
  <c r="G29" i="32"/>
  <c r="G18" i="32"/>
  <c r="G11" i="31"/>
  <c r="G20" i="31"/>
  <c r="G21" i="32"/>
  <c r="G36" i="31"/>
  <c r="D45" i="28"/>
  <c r="G9" i="32"/>
  <c r="G26" i="31"/>
  <c r="G6" i="32"/>
  <c r="G40" i="32"/>
  <c r="G8" i="32"/>
  <c r="G23" i="31"/>
  <c r="G39" i="31"/>
  <c r="G15" i="32"/>
  <c r="G43" i="28"/>
  <c r="G10" i="32"/>
  <c r="G28" i="31"/>
  <c r="G24" i="32"/>
  <c r="F44" i="28"/>
  <c r="G34" i="32"/>
  <c r="G18" i="31"/>
  <c r="G14" i="32"/>
  <c r="G16" i="32"/>
  <c r="G34" i="31"/>
  <c r="G25" i="31"/>
  <c r="G9" i="31"/>
  <c r="G21" i="31"/>
  <c r="G39" i="32"/>
  <c r="G31" i="32"/>
  <c r="G20" i="32"/>
  <c r="G42" i="32"/>
  <c r="G10" i="31"/>
  <c r="G25" i="32"/>
  <c r="G12" i="32"/>
  <c r="G33" i="31"/>
  <c r="G12" i="31"/>
  <c r="G26" i="32"/>
  <c r="G17" i="31"/>
  <c r="G8" i="31"/>
  <c r="G32" i="32"/>
  <c r="G33" i="32"/>
  <c r="G7" i="31"/>
  <c r="G41" i="32"/>
  <c r="G28" i="32"/>
  <c r="G23" i="32"/>
  <c r="G40" i="31"/>
  <c r="G13" i="31"/>
  <c r="G31" i="31"/>
  <c r="G29" i="31"/>
  <c r="G36" i="32"/>
  <c r="G7" i="32"/>
  <c r="G37" i="32"/>
  <c r="G6" i="31"/>
  <c r="G41" i="31"/>
  <c r="G13" i="32"/>
  <c r="G15" i="31"/>
  <c r="G14" i="31"/>
  <c r="G17" i="32"/>
  <c r="AC8" i="32"/>
  <c r="AC14" i="32"/>
  <c r="AC31" i="32"/>
  <c r="AC13" i="32"/>
  <c r="AC28" i="32"/>
  <c r="AC25" i="32"/>
  <c r="AC36" i="32"/>
  <c r="AC26" i="32"/>
  <c r="AC6" i="32"/>
  <c r="AC29" i="32"/>
  <c r="AC18" i="32"/>
  <c r="AC12" i="32"/>
  <c r="AC39" i="32"/>
  <c r="AC17" i="32"/>
  <c r="AC7" i="32"/>
  <c r="AC10" i="32"/>
  <c r="AC20" i="32"/>
  <c r="AC41" i="32"/>
  <c r="AC33" i="32"/>
  <c r="AC15" i="32"/>
  <c r="AC23" i="32"/>
  <c r="AC34" i="32"/>
  <c r="AC9" i="32"/>
  <c r="AC40" i="32"/>
  <c r="AC24" i="32"/>
  <c r="AC37" i="32"/>
  <c r="AC42" i="32"/>
  <c r="AC16" i="32"/>
  <c r="AC21" i="32"/>
  <c r="AC32" i="32"/>
  <c r="AC29" i="31"/>
  <c r="AC12" i="31"/>
  <c r="AC11" i="31"/>
  <c r="AC14" i="31"/>
  <c r="AC21" i="31"/>
  <c r="AC7" i="31"/>
  <c r="AC17" i="31"/>
  <c r="AC9" i="31"/>
  <c r="AC8" i="31"/>
  <c r="AC36" i="31"/>
  <c r="AC15" i="31"/>
  <c r="AC39" i="31"/>
  <c r="AC18" i="31"/>
  <c r="AC40" i="31"/>
  <c r="AC37" i="31"/>
  <c r="AC42" i="31"/>
  <c r="AC34" i="31"/>
  <c r="AC26" i="31"/>
  <c r="AC6" i="31"/>
  <c r="AC23" i="31"/>
  <c r="AC31" i="31"/>
  <c r="AC33" i="31"/>
  <c r="AC25" i="31"/>
  <c r="AC20" i="31"/>
  <c r="AC13" i="31"/>
  <c r="AC28" i="31"/>
  <c r="AC10" i="31"/>
  <c r="AC41" i="31"/>
  <c r="E45" i="28" l="1"/>
  <c r="F45" i="28"/>
  <c r="G44" i="28"/>
  <c r="D46" i="28"/>
  <c r="E46" i="28" l="1"/>
  <c r="G45" i="28"/>
  <c r="D47" i="28"/>
  <c r="F46" i="28"/>
  <c r="E47" i="28" l="1"/>
  <c r="F47" i="28"/>
  <c r="G46" i="28"/>
  <c r="D48" i="28"/>
  <c r="E48" i="28" l="1"/>
  <c r="D49" i="28"/>
  <c r="F48" i="28"/>
  <c r="G47" i="28"/>
  <c r="E49" i="28" l="1"/>
  <c r="D50" i="28"/>
  <c r="G48" i="28"/>
  <c r="F49" i="28"/>
  <c r="E50" i="28" l="1"/>
  <c r="F50" i="28"/>
  <c r="D51" i="28"/>
  <c r="G49" i="28"/>
  <c r="E51" i="28" l="1"/>
  <c r="F51" i="28"/>
  <c r="G50" i="28"/>
  <c r="D52" i="28"/>
  <c r="E52" i="28" l="1"/>
  <c r="F52" i="28"/>
  <c r="G51" i="28"/>
  <c r="D53" i="28"/>
  <c r="E53" i="28" l="1"/>
  <c r="G52" i="28"/>
  <c r="D54" i="28"/>
  <c r="F53" i="28"/>
  <c r="E54" i="28" l="1"/>
  <c r="F54" i="28"/>
  <c r="D55" i="28"/>
  <c r="G54" i="28"/>
  <c r="G53" i="28"/>
  <c r="E55" i="28" l="1"/>
  <c r="F55" i="28"/>
  <c r="D56" i="28"/>
  <c r="G55" i="28"/>
  <c r="D57" i="28"/>
  <c r="E56" i="28" l="1"/>
  <c r="E57" i="28"/>
  <c r="F57" i="28"/>
  <c r="D58" i="28"/>
  <c r="F56" i="28"/>
  <c r="G56" i="28" s="1"/>
  <c r="G57" i="28"/>
  <c r="E58" i="28" l="1"/>
  <c r="F58" i="28"/>
  <c r="D59" i="28"/>
  <c r="G58" i="28"/>
  <c r="E59" i="28" l="1"/>
  <c r="F59" i="28"/>
  <c r="D60" i="28"/>
  <c r="G59" i="28"/>
  <c r="E60" i="28" l="1"/>
  <c r="D61" i="28"/>
  <c r="F60" i="28"/>
  <c r="G60" i="28"/>
  <c r="E61" i="28" l="1"/>
  <c r="D62" i="28"/>
  <c r="F61" i="28"/>
  <c r="G61" i="28"/>
  <c r="F4" i="29"/>
  <c r="F5" i="32"/>
  <c r="F4" i="30"/>
  <c r="F5" i="31"/>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6" i="25" a="1"/>
  <c r="D6" i="21"/>
  <c r="E22" i="22"/>
  <c r="D19" i="21"/>
  <c r="D6" i="23" a="1"/>
  <c r="E9" i="22"/>
  <c r="D17" i="21"/>
  <c r="E27" i="22"/>
  <c r="D11" i="21"/>
  <c r="D63" i="28"/>
  <c r="D5" i="21"/>
  <c r="D16" i="21"/>
  <c r="E24" i="22"/>
  <c r="E26" i="22"/>
  <c r="E6" i="22"/>
  <c r="E8" i="22"/>
  <c r="D22" i="21"/>
  <c r="C5" i="26"/>
  <c r="D14" i="21"/>
  <c r="E34" i="22"/>
  <c r="E35" i="22"/>
  <c r="C6" i="26"/>
  <c r="E11" i="22"/>
  <c r="E14" i="22"/>
  <c r="D9" i="21"/>
  <c r="E23" i="22"/>
  <c r="E30" i="22"/>
  <c r="D7" i="21"/>
  <c r="E32" i="22"/>
  <c r="E18" i="22"/>
  <c r="E21" i="22"/>
  <c r="E15" i="22"/>
  <c r="E13" i="22"/>
  <c r="E7" i="22"/>
  <c r="E28" i="22"/>
  <c r="D18" i="21"/>
  <c r="E10" i="22"/>
  <c r="E16" i="22"/>
  <c r="E20" i="22"/>
  <c r="E4" i="22"/>
  <c r="D21" i="21"/>
  <c r="E3" i="22"/>
  <c r="E25" i="22"/>
  <c r="D13" i="21"/>
  <c r="D10" i="21"/>
  <c r="E29" i="22"/>
  <c r="E19" i="22"/>
  <c r="E12" i="22"/>
  <c r="D8" i="21"/>
  <c r="D20" i="21"/>
  <c r="E17" i="22"/>
  <c r="D15" i="21"/>
  <c r="F62" i="28"/>
  <c r="D12" i="21"/>
  <c r="E33" i="22"/>
  <c r="E31" i="22"/>
  <c r="E5" i="22"/>
  <c r="G5" i="32"/>
  <c r="G62" i="28"/>
  <c r="AC5" i="32"/>
  <c r="G4" i="30"/>
  <c r="G5" i="31"/>
  <c r="G4" i="29"/>
  <c r="AC5" i="31"/>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29" i="23"/>
  <c r="F24" i="22"/>
  <c r="F90" i="25"/>
  <c r="F28" i="22"/>
  <c r="F89" i="25"/>
  <c r="F32" i="23"/>
  <c r="F6" i="23"/>
  <c r="F113" i="23"/>
  <c r="F55" i="23"/>
  <c r="E14" i="21"/>
  <c r="F18" i="25"/>
  <c r="F107" i="25"/>
  <c r="F33" i="25"/>
  <c r="F48" i="23"/>
  <c r="F104" i="25"/>
  <c r="D6" i="26"/>
  <c r="F67" i="23"/>
  <c r="F108" i="23"/>
  <c r="F44" i="23"/>
  <c r="E6" i="21"/>
  <c r="F14" i="23"/>
  <c r="F98" i="25"/>
  <c r="F117" i="23"/>
  <c r="F19" i="23"/>
  <c r="F6" i="22"/>
  <c r="F109" i="25"/>
  <c r="F9" i="23"/>
  <c r="F122" i="23"/>
  <c r="F83" i="25"/>
  <c r="F13" i="23"/>
  <c r="F58" i="23"/>
  <c r="F34" i="22"/>
  <c r="F21" i="25"/>
  <c r="F96" i="23"/>
  <c r="F111" i="25"/>
  <c r="F67" i="25"/>
  <c r="F39" i="25"/>
  <c r="F28" i="23"/>
  <c r="F90" i="23"/>
  <c r="F47" i="23"/>
  <c r="F12" i="25"/>
  <c r="F52" i="23"/>
  <c r="F65" i="23"/>
  <c r="F47" i="25"/>
  <c r="E8" i="21"/>
  <c r="F88" i="25"/>
  <c r="F46" i="23"/>
  <c r="D5" i="26"/>
  <c r="F72" i="25"/>
  <c r="F94" i="23"/>
  <c r="E19" i="21"/>
  <c r="F85" i="25"/>
  <c r="F8" i="25"/>
  <c r="F37" i="23"/>
  <c r="F19" i="22"/>
  <c r="F121" i="25"/>
  <c r="F122" i="25"/>
  <c r="F19" i="25"/>
  <c r="F25" i="22"/>
  <c r="F22" i="23"/>
  <c r="F29" i="25"/>
  <c r="F43" i="23"/>
  <c r="F10" i="23"/>
  <c r="F23" i="23"/>
  <c r="F71" i="23"/>
  <c r="F106" i="25"/>
  <c r="F58" i="25"/>
  <c r="F34" i="25"/>
  <c r="F76" i="25"/>
  <c r="F118" i="25"/>
  <c r="F31" i="25"/>
  <c r="F54" i="23"/>
  <c r="F73" i="25"/>
  <c r="F63" i="28"/>
  <c r="F16" i="23"/>
  <c r="F91" i="25"/>
  <c r="F6" i="25"/>
  <c r="F9" i="25"/>
  <c r="F73" i="23"/>
  <c r="E17" i="21"/>
  <c r="F68" i="23"/>
  <c r="F20" i="23"/>
  <c r="F87" i="25"/>
  <c r="F104" i="23"/>
  <c r="F23" i="22"/>
  <c r="F25" i="25"/>
  <c r="F40" i="25"/>
  <c r="F80" i="25"/>
  <c r="F26" i="23"/>
  <c r="F53" i="23"/>
  <c r="F79" i="25"/>
  <c r="F86" i="25"/>
  <c r="F13" i="25"/>
  <c r="F97" i="25"/>
  <c r="F5" i="22"/>
  <c r="F33" i="22"/>
  <c r="E16" i="21"/>
  <c r="F31" i="22"/>
  <c r="F3" i="22"/>
  <c r="F112" i="23"/>
  <c r="F74" i="23"/>
  <c r="F94" i="25"/>
  <c r="F80" i="23"/>
  <c r="F93" i="23"/>
  <c r="F59" i="25"/>
  <c r="F87" i="23"/>
  <c r="F97" i="23"/>
  <c r="F9" i="22"/>
  <c r="F85" i="23"/>
  <c r="E18" i="21"/>
  <c r="F70" i="25"/>
  <c r="F125" i="25"/>
  <c r="F37" i="25"/>
  <c r="F32" i="22"/>
  <c r="F106" i="23"/>
  <c r="F111" i="23"/>
  <c r="F93" i="25"/>
  <c r="F115" i="25"/>
  <c r="F69" i="23"/>
  <c r="F96" i="25"/>
  <c r="F114" i="25"/>
  <c r="F30" i="25"/>
  <c r="E20" i="21"/>
  <c r="F71" i="25"/>
  <c r="F35" i="23"/>
  <c r="F12" i="23"/>
  <c r="F108" i="25"/>
  <c r="F100" i="23"/>
  <c r="F53" i="25"/>
  <c r="F101" i="25"/>
  <c r="F64" i="25"/>
  <c r="F21" i="22"/>
  <c r="F59" i="23"/>
  <c r="F46" i="25"/>
  <c r="F102" i="25"/>
  <c r="F43" i="25"/>
  <c r="F10" i="22"/>
  <c r="F118" i="23"/>
  <c r="F110" i="23"/>
  <c r="F15" i="25"/>
  <c r="F124" i="23"/>
  <c r="F60" i="25"/>
  <c r="F49" i="25"/>
  <c r="E5" i="21"/>
  <c r="F84" i="25"/>
  <c r="E13" i="21"/>
  <c r="F27" i="23"/>
  <c r="F66" i="25"/>
  <c r="F124" i="25"/>
  <c r="F61" i="25"/>
  <c r="F107" i="23"/>
  <c r="E9" i="21"/>
  <c r="F57" i="25"/>
  <c r="F103" i="25"/>
  <c r="E11" i="21"/>
  <c r="F74" i="25"/>
  <c r="F35" i="25"/>
  <c r="E22" i="21"/>
  <c r="F84" i="23"/>
  <c r="F105" i="25"/>
  <c r="F41" i="25"/>
  <c r="F79" i="23"/>
  <c r="F11" i="25"/>
  <c r="F33" i="23"/>
  <c r="F24" i="23"/>
  <c r="F54" i="25"/>
  <c r="F123" i="25"/>
  <c r="F77" i="25"/>
  <c r="F20" i="25"/>
  <c r="E12" i="21"/>
  <c r="F40" i="23"/>
  <c r="F88" i="23"/>
  <c r="F14" i="22"/>
  <c r="F11" i="22"/>
  <c r="F102" i="23"/>
  <c r="F117" i="25"/>
  <c r="F51" i="23"/>
  <c r="F29" i="22"/>
  <c r="F101" i="23"/>
  <c r="F41" i="23"/>
  <c r="F34" i="23"/>
  <c r="F125" i="23"/>
  <c r="F86" i="23"/>
  <c r="F23" i="25"/>
  <c r="F17" i="22"/>
  <c r="F69" i="25"/>
  <c r="F63" i="25"/>
  <c r="F36" i="25"/>
  <c r="F61" i="23"/>
  <c r="F17" i="25"/>
  <c r="E15" i="21"/>
  <c r="F78" i="23"/>
  <c r="E21" i="21"/>
  <c r="F98" i="23"/>
  <c r="F18" i="22"/>
  <c r="F114" i="23"/>
  <c r="F123" i="23"/>
  <c r="F50" i="25"/>
  <c r="F11" i="23"/>
  <c r="F12" i="22"/>
  <c r="F110" i="25"/>
  <c r="F35" i="22"/>
  <c r="F120" i="23"/>
  <c r="F39" i="23"/>
  <c r="F7" i="23"/>
  <c r="F13" i="22"/>
  <c r="F89" i="23"/>
  <c r="F75" i="25"/>
  <c r="F113" i="25"/>
  <c r="E10" i="21"/>
  <c r="F7" i="25"/>
  <c r="F32" i="25"/>
  <c r="F70" i="23"/>
  <c r="F17" i="23"/>
  <c r="F66" i="23"/>
  <c r="F91" i="23"/>
  <c r="F51" i="25"/>
  <c r="F119" i="23"/>
  <c r="F45" i="23"/>
  <c r="F30" i="22"/>
  <c r="F14" i="25"/>
  <c r="F99" i="25"/>
  <c r="F50" i="23"/>
  <c r="E7" i="21"/>
  <c r="F82" i="23"/>
  <c r="F77" i="23"/>
  <c r="F121" i="23"/>
  <c r="F60" i="23"/>
  <c r="F112" i="25"/>
  <c r="F83" i="23"/>
  <c r="F25" i="23"/>
  <c r="F95" i="25"/>
  <c r="F72" i="23"/>
  <c r="F78" i="25"/>
  <c r="F45" i="25"/>
  <c r="F81" i="23"/>
  <c r="F65" i="25"/>
  <c r="F99" i="23"/>
  <c r="F28" i="25"/>
  <c r="F30" i="23"/>
  <c r="F62" i="25"/>
  <c r="F105" i="23"/>
  <c r="F38" i="25"/>
  <c r="F20" i="22"/>
  <c r="F15" i="23"/>
  <c r="F8" i="23"/>
  <c r="F38" i="23"/>
  <c r="F27" i="22"/>
  <c r="F119" i="25"/>
  <c r="F81" i="25"/>
  <c r="F92" i="23"/>
  <c r="D64" i="28"/>
  <c r="F82" i="25"/>
  <c r="F27" i="25"/>
  <c r="F116" i="23"/>
  <c r="F68" i="25"/>
  <c r="F22" i="22"/>
  <c r="F56" i="23"/>
  <c r="F42" i="25"/>
  <c r="F64" i="23"/>
  <c r="F49" i="23"/>
  <c r="F95" i="23"/>
  <c r="F4" i="22"/>
  <c r="F15" i="22"/>
  <c r="F8" i="22"/>
  <c r="F55" i="25"/>
  <c r="F109" i="23"/>
  <c r="F116" i="25"/>
  <c r="F63" i="23"/>
  <c r="F21" i="23"/>
  <c r="F52" i="25"/>
  <c r="F62" i="23"/>
  <c r="F10" i="25"/>
  <c r="F22" i="25"/>
  <c r="F26" i="25"/>
  <c r="F56" i="25"/>
  <c r="F16" i="25"/>
  <c r="F103" i="23"/>
  <c r="F42" i="23"/>
  <c r="F100" i="25"/>
  <c r="F24" i="25"/>
  <c r="F92" i="25"/>
  <c r="F18" i="23"/>
  <c r="F115" i="23"/>
  <c r="F26" i="22"/>
  <c r="F36" i="23"/>
  <c r="F120" i="25"/>
  <c r="F75" i="23"/>
  <c r="F76" i="23"/>
  <c r="F16" i="22"/>
  <c r="F7" i="22"/>
  <c r="F31" i="23"/>
  <c r="F57" i="23"/>
  <c r="F44" i="25"/>
  <c r="F48" i="25"/>
  <c r="Q6" i="26"/>
  <c r="Q5" i="26"/>
  <c r="Z7" i="25"/>
  <c r="Z8" i="25"/>
  <c r="Z9" i="25"/>
  <c r="Z6" i="25"/>
  <c r="Z7" i="23"/>
  <c r="Z10" i="23"/>
  <c r="Z8" i="23"/>
  <c r="Z14" i="23"/>
  <c r="Z16" i="23"/>
  <c r="Z6" i="23"/>
  <c r="Z13" i="23"/>
  <c r="Z11" i="23"/>
  <c r="Z9" i="23"/>
  <c r="Z12" i="23"/>
  <c r="Z17" i="23"/>
  <c r="Z15" i="23"/>
  <c r="W20" i="22"/>
  <c r="W11" i="22"/>
  <c r="W5" i="22"/>
  <c r="W15" i="22"/>
  <c r="W33" i="22"/>
  <c r="W12" i="22"/>
  <c r="W10" i="22"/>
  <c r="W31" i="22"/>
  <c r="W19" i="22"/>
  <c r="W25" i="22"/>
  <c r="W6" i="22"/>
  <c r="W28" i="22"/>
  <c r="W27" i="22"/>
  <c r="W24" i="22"/>
  <c r="W18" i="22"/>
  <c r="W21" i="22"/>
  <c r="W16" i="22"/>
  <c r="W14" i="22"/>
  <c r="W8" i="22"/>
  <c r="W13" i="22"/>
  <c r="W29" i="22"/>
  <c r="W7" i="22"/>
  <c r="W9" i="22"/>
  <c r="W26" i="22"/>
  <c r="W23" i="22"/>
  <c r="W30" i="22"/>
  <c r="W32" i="22"/>
  <c r="W22" i="22"/>
  <c r="W17" i="22"/>
  <c r="P19" i="21"/>
  <c r="P11" i="21"/>
  <c r="P8" i="21"/>
  <c r="P6" i="21"/>
  <c r="P22" i="21"/>
  <c r="P9" i="21"/>
  <c r="P5" i="21"/>
  <c r="P14" i="21"/>
  <c r="P16" i="21"/>
  <c r="P13" i="21"/>
  <c r="P10" i="21"/>
  <c r="P17" i="21"/>
  <c r="P20" i="21"/>
  <c r="P7" i="21"/>
  <c r="P21" i="21"/>
  <c r="P12" i="21"/>
  <c r="P15" i="21"/>
  <c r="P18" i="21"/>
  <c r="C4" i="26"/>
  <c r="D4" i="21"/>
  <c r="E2" i="22"/>
  <c r="F5" i="23"/>
  <c r="G63" i="28"/>
  <c r="F5" i="25"/>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68" i="23"/>
  <c r="G15" i="25"/>
  <c r="G93" i="25"/>
  <c r="G125" i="25"/>
  <c r="G75" i="23"/>
  <c r="G81" i="25"/>
  <c r="G98" i="25"/>
  <c r="G9" i="23"/>
  <c r="G114" i="25"/>
  <c r="G9" i="25"/>
  <c r="G41" i="23"/>
  <c r="G45" i="25"/>
  <c r="G51" i="23"/>
  <c r="G70" i="23"/>
  <c r="G81" i="23"/>
  <c r="G36" i="23"/>
  <c r="G62" i="25"/>
  <c r="G39" i="25"/>
  <c r="G40" i="25"/>
  <c r="G82" i="25"/>
  <c r="G19" i="25"/>
  <c r="G37" i="25"/>
  <c r="G85" i="23"/>
  <c r="G20" i="23"/>
  <c r="G20" i="25"/>
  <c r="G78" i="25"/>
  <c r="G71" i="23"/>
  <c r="G66" i="25"/>
  <c r="G123" i="23"/>
  <c r="G31" i="25"/>
  <c r="G52" i="23"/>
  <c r="G52" i="25"/>
  <c r="G72" i="23"/>
  <c r="G16" i="25"/>
  <c r="G66" i="23"/>
  <c r="G25" i="25"/>
  <c r="G57" i="25"/>
  <c r="G115" i="23"/>
  <c r="G110" i="25"/>
  <c r="G10" i="23"/>
  <c r="G14" i="23"/>
  <c r="G111" i="25"/>
  <c r="G90" i="25"/>
  <c r="G88" i="25"/>
  <c r="G7" i="25"/>
  <c r="G32" i="23"/>
  <c r="G50" i="23"/>
  <c r="G67" i="25"/>
  <c r="G91" i="23"/>
  <c r="G122" i="25"/>
  <c r="G123" i="25"/>
  <c r="G119" i="25"/>
  <c r="G60" i="25"/>
  <c r="G74" i="23"/>
  <c r="G12" i="25"/>
  <c r="G11" i="23"/>
  <c r="G121" i="25"/>
  <c r="G84" i="25"/>
  <c r="G113" i="25"/>
  <c r="G116" i="23"/>
  <c r="G35" i="23"/>
  <c r="D65" i="28"/>
  <c r="G63" i="25"/>
  <c r="G36" i="25"/>
  <c r="G115" i="25"/>
  <c r="G21" i="23"/>
  <c r="G86" i="25"/>
  <c r="G79" i="25"/>
  <c r="G109" i="23"/>
  <c r="G41" i="25"/>
  <c r="G90" i="23"/>
  <c r="G87" i="25"/>
  <c r="G114" i="23"/>
  <c r="G16" i="23"/>
  <c r="G96" i="25"/>
  <c r="G62" i="23"/>
  <c r="G24" i="25"/>
  <c r="G39" i="23"/>
  <c r="G110" i="23"/>
  <c r="G118" i="25"/>
  <c r="G88" i="23"/>
  <c r="G38" i="25"/>
  <c r="G38" i="23"/>
  <c r="G95" i="25"/>
  <c r="G28" i="25"/>
  <c r="G45" i="23"/>
  <c r="G34" i="23"/>
  <c r="G106" i="25"/>
  <c r="G101" i="23"/>
  <c r="G108" i="25"/>
  <c r="G53" i="23"/>
  <c r="G55" i="25"/>
  <c r="G65" i="25"/>
  <c r="G80" i="25"/>
  <c r="G44" i="23"/>
  <c r="G61" i="25"/>
  <c r="G99" i="25"/>
  <c r="G95" i="23"/>
  <c r="G55" i="23"/>
  <c r="G100" i="23"/>
  <c r="G105" i="25"/>
  <c r="G99" i="23"/>
  <c r="G23" i="25"/>
  <c r="G58" i="23"/>
  <c r="G43" i="25"/>
  <c r="G113" i="23"/>
  <c r="G75" i="25"/>
  <c r="G101" i="25"/>
  <c r="G27" i="25"/>
  <c r="G44" i="25"/>
  <c r="G91" i="25"/>
  <c r="G27" i="23"/>
  <c r="G102" i="25"/>
  <c r="G56" i="25"/>
  <c r="G103" i="25"/>
  <c r="G117" i="23"/>
  <c r="G117" i="25"/>
  <c r="G94" i="23"/>
  <c r="G122" i="23"/>
  <c r="G22" i="23"/>
  <c r="G46" i="25"/>
  <c r="G69" i="23"/>
  <c r="G116" i="25"/>
  <c r="G76" i="23"/>
  <c r="G94" i="25"/>
  <c r="G71" i="25"/>
  <c r="G29" i="23"/>
  <c r="G70" i="25"/>
  <c r="G61" i="23"/>
  <c r="G31" i="23"/>
  <c r="G11" i="25"/>
  <c r="G30" i="23"/>
  <c r="G42" i="25"/>
  <c r="G112" i="23"/>
  <c r="G85" i="25"/>
  <c r="G46" i="23"/>
  <c r="G47" i="23"/>
  <c r="G68" i="25"/>
  <c r="G89" i="23"/>
  <c r="G124" i="23"/>
  <c r="G26" i="23"/>
  <c r="G8" i="25"/>
  <c r="G73" i="23"/>
  <c r="G102" i="23"/>
  <c r="G7" i="23"/>
  <c r="G97" i="23"/>
  <c r="G6" i="23"/>
  <c r="G42" i="23"/>
  <c r="G32" i="25"/>
  <c r="G100" i="25"/>
  <c r="G124" i="25"/>
  <c r="G83" i="25"/>
  <c r="G109" i="25"/>
  <c r="G105" i="23"/>
  <c r="G125" i="23"/>
  <c r="G119" i="23"/>
  <c r="G92" i="25"/>
  <c r="G64" i="23"/>
  <c r="G28" i="23"/>
  <c r="G33" i="25"/>
  <c r="G118" i="23"/>
  <c r="G24" i="23"/>
  <c r="G93" i="23"/>
  <c r="G120" i="23"/>
  <c r="G12" i="23"/>
  <c r="G57" i="23"/>
  <c r="G87" i="23"/>
  <c r="G18" i="25"/>
  <c r="G19" i="23"/>
  <c r="G21" i="25"/>
  <c r="G120" i="25"/>
  <c r="G56" i="23"/>
  <c r="G48" i="23"/>
  <c r="G51" i="25"/>
  <c r="G6" i="25"/>
  <c r="G35" i="25"/>
  <c r="G17" i="23"/>
  <c r="G89" i="25"/>
  <c r="G107" i="23"/>
  <c r="G78" i="23"/>
  <c r="G63" i="23"/>
  <c r="G22" i="25"/>
  <c r="G121" i="23"/>
  <c r="G30" i="25"/>
  <c r="G82" i="23"/>
  <c r="G59" i="25"/>
  <c r="G14" i="25"/>
  <c r="G53" i="25"/>
  <c r="G92" i="23"/>
  <c r="G84" i="23"/>
  <c r="G107" i="25"/>
  <c r="G111" i="23"/>
  <c r="G79" i="23"/>
  <c r="G73" i="25"/>
  <c r="G60" i="23"/>
  <c r="G108" i="23"/>
  <c r="G33" i="23"/>
  <c r="F64" i="28"/>
  <c r="G83" i="23"/>
  <c r="G54" i="25"/>
  <c r="G69" i="25"/>
  <c r="G40" i="23"/>
  <c r="G77" i="23"/>
  <c r="G48" i="25"/>
  <c r="G23" i="23"/>
  <c r="G86" i="23"/>
  <c r="G25" i="23"/>
  <c r="G49" i="23"/>
  <c r="G17" i="25"/>
  <c r="G18" i="23"/>
  <c r="G49" i="25"/>
  <c r="G74" i="25"/>
  <c r="G103" i="23"/>
  <c r="G54" i="23"/>
  <c r="G112" i="25"/>
  <c r="G37" i="23"/>
  <c r="G64" i="25"/>
  <c r="G10" i="25"/>
  <c r="G104" i="25"/>
  <c r="G59" i="23"/>
  <c r="G47" i="25"/>
  <c r="G13" i="23"/>
  <c r="G8" i="23"/>
  <c r="G106" i="23"/>
  <c r="G98" i="23"/>
  <c r="G77" i="25"/>
  <c r="G29" i="25"/>
  <c r="G67" i="23"/>
  <c r="G15" i="23"/>
  <c r="G80" i="23"/>
  <c r="G26" i="25"/>
  <c r="G97" i="25"/>
  <c r="G65" i="23"/>
  <c r="G104" i="23"/>
  <c r="G34" i="25"/>
  <c r="G50" i="25"/>
  <c r="G72" i="25"/>
  <c r="G13" i="25"/>
  <c r="G43" i="23"/>
  <c r="G58" i="25"/>
  <c r="G96" i="23"/>
  <c r="G76" i="25"/>
  <c r="Q3" i="26"/>
  <c r="G5" i="23"/>
  <c r="G64" i="28"/>
  <c r="D4" i="26"/>
  <c r="G5" i="25"/>
  <c r="F2" i="22"/>
  <c r="E4" i="21"/>
  <c r="E65" i="28" l="1"/>
  <c r="E5" i="17"/>
  <c r="E5" i="19"/>
  <c r="C6" i="19"/>
  <c r="E5" i="18"/>
  <c r="E4" i="18"/>
  <c r="C7" i="18"/>
  <c r="E6" i="18"/>
  <c r="C6" i="17"/>
  <c r="F5" i="17"/>
  <c r="F6" i="18"/>
  <c r="D66" i="28"/>
  <c r="F65" i="28"/>
  <c r="F5" i="19"/>
  <c r="F5" i="18"/>
  <c r="G65" i="28"/>
  <c r="E66" i="28" l="1"/>
  <c r="H3" i="48"/>
  <c r="C7" i="19"/>
  <c r="E6" i="19"/>
  <c r="E7" i="18"/>
  <c r="C8" i="18"/>
  <c r="E4" i="17"/>
  <c r="C7" i="17"/>
  <c r="E6" i="17"/>
  <c r="F6" i="19"/>
  <c r="G6" i="18"/>
  <c r="G5" i="19"/>
  <c r="N3" i="48"/>
  <c r="G5" i="18"/>
  <c r="D67" i="28"/>
  <c r="F7" i="18"/>
  <c r="G5" i="17"/>
  <c r="J3" i="48"/>
  <c r="F66" i="28"/>
  <c r="F6" i="17"/>
  <c r="G66" i="28"/>
  <c r="E67" i="28" l="1"/>
  <c r="H3" i="50"/>
  <c r="H4" i="48"/>
  <c r="H3" i="47"/>
  <c r="E7" i="19"/>
  <c r="C8" i="19"/>
  <c r="E8" i="18"/>
  <c r="C9" i="18"/>
  <c r="C8" i="17"/>
  <c r="E7" i="17"/>
  <c r="F8" i="18"/>
  <c r="D68" i="28"/>
  <c r="J4" i="48"/>
  <c r="K3" i="48"/>
  <c r="F7" i="17"/>
  <c r="N3" i="50"/>
  <c r="F7" i="19"/>
  <c r="G6" i="19"/>
  <c r="G6" i="17"/>
  <c r="J3" i="50"/>
  <c r="J3" i="47"/>
  <c r="G7" i="18"/>
  <c r="F67" i="28"/>
  <c r="G67" i="28"/>
  <c r="E68" i="28" l="1"/>
  <c r="H4" i="50"/>
  <c r="H5" i="48"/>
  <c r="H4" i="47"/>
  <c r="E8" i="19"/>
  <c r="C9" i="19"/>
  <c r="C10" i="18"/>
  <c r="E9" i="18"/>
  <c r="E8" i="17"/>
  <c r="C9" i="17"/>
  <c r="G8" i="18"/>
  <c r="K3" i="47"/>
  <c r="G7" i="17"/>
  <c r="G7" i="19"/>
  <c r="F8" i="19"/>
  <c r="K3" i="50"/>
  <c r="J4" i="50"/>
  <c r="J4" i="47"/>
  <c r="F9" i="18"/>
  <c r="F68" i="28"/>
  <c r="J5" i="48"/>
  <c r="K4" i="48"/>
  <c r="F8" i="17"/>
  <c r="D69" i="28"/>
  <c r="G68" i="28"/>
  <c r="E69" i="28" l="1"/>
  <c r="H5" i="50"/>
  <c r="H6" i="48"/>
  <c r="H5" i="47"/>
  <c r="E4" i="19"/>
  <c r="C10" i="19"/>
  <c r="E9" i="19"/>
  <c r="E10" i="18"/>
  <c r="C11" i="18"/>
  <c r="C10" i="17"/>
  <c r="E9" i="17"/>
  <c r="G8" i="19"/>
  <c r="K4" i="47"/>
  <c r="D70" i="28"/>
  <c r="J5" i="47"/>
  <c r="F9" i="19"/>
  <c r="G9" i="18"/>
  <c r="G8" i="17"/>
  <c r="F9" i="17"/>
  <c r="J5" i="50"/>
  <c r="J6" i="48"/>
  <c r="F10" i="18"/>
  <c r="F69" i="28"/>
  <c r="K5" i="48"/>
  <c r="K4" i="50"/>
  <c r="G69" i="28"/>
  <c r="E70" i="28" l="1"/>
  <c r="H6" i="50"/>
  <c r="H7" i="48"/>
  <c r="H6" i="47"/>
  <c r="E10" i="19"/>
  <c r="C11" i="19"/>
  <c r="E11" i="18"/>
  <c r="C12" i="18"/>
  <c r="E10" i="17"/>
  <c r="C11" i="17"/>
  <c r="G10" i="18"/>
  <c r="F70" i="28"/>
  <c r="J7" i="48"/>
  <c r="G9" i="19"/>
  <c r="J6" i="47"/>
  <c r="K5" i="47"/>
  <c r="K6" i="48"/>
  <c r="D71" i="28"/>
  <c r="K5" i="50"/>
  <c r="F10" i="17"/>
  <c r="G9" i="17"/>
  <c r="F10" i="19"/>
  <c r="J6" i="50"/>
  <c r="F11" i="18"/>
  <c r="G70" i="28"/>
  <c r="E71" i="28" l="1"/>
  <c r="H7" i="50"/>
  <c r="H8" i="48"/>
  <c r="H7" i="47"/>
  <c r="C12" i="19"/>
  <c r="E11" i="19"/>
  <c r="C13" i="18"/>
  <c r="E12" i="18"/>
  <c r="C12" i="17"/>
  <c r="E11" i="17"/>
  <c r="J7" i="50"/>
  <c r="G11" i="18"/>
  <c r="K7" i="48"/>
  <c r="K6" i="50"/>
  <c r="F12" i="18"/>
  <c r="K6" i="47"/>
  <c r="D72" i="28"/>
  <c r="D73" i="28" s="1"/>
  <c r="F11" i="19"/>
  <c r="J7" i="47"/>
  <c r="F11" i="17"/>
  <c r="F71" i="28"/>
  <c r="J8" i="48"/>
  <c r="G10" i="19"/>
  <c r="G10" i="17"/>
  <c r="G71" i="28"/>
  <c r="E72" i="28" l="1"/>
  <c r="E73" i="28"/>
  <c r="H8" i="50"/>
  <c r="H9" i="48"/>
  <c r="H8" i="47"/>
  <c r="E12" i="19"/>
  <c r="C13" i="19"/>
  <c r="E13" i="18"/>
  <c r="C14" i="18"/>
  <c r="E12" i="17"/>
  <c r="C13" i="17"/>
  <c r="K8" i="48"/>
  <c r="G11" i="17"/>
  <c r="G11" i="19"/>
  <c r="J8" i="47"/>
  <c r="F12" i="17"/>
  <c r="F12" i="19"/>
  <c r="K7" i="47"/>
  <c r="D74" i="28"/>
  <c r="D75" i="28" s="1"/>
  <c r="K7" i="50"/>
  <c r="J8" i="50"/>
  <c r="F73" i="28"/>
  <c r="J9" i="48"/>
  <c r="G12" i="18"/>
  <c r="F72" i="28"/>
  <c r="F13" i="18"/>
  <c r="G73" i="28"/>
  <c r="G72" i="28"/>
  <c r="E74" i="28" l="1"/>
  <c r="E75" i="28"/>
  <c r="H9" i="50"/>
  <c r="H10" i="48"/>
  <c r="H9" i="47"/>
  <c r="E13" i="19"/>
  <c r="C14" i="19"/>
  <c r="C15" i="18"/>
  <c r="E14" i="18"/>
  <c r="E13" i="17"/>
  <c r="C14" i="17"/>
  <c r="F14" i="18"/>
  <c r="F74" i="28"/>
  <c r="G12" i="19"/>
  <c r="K9" i="48"/>
  <c r="F13" i="17"/>
  <c r="F13" i="19"/>
  <c r="J10" i="48"/>
  <c r="D76" i="28"/>
  <c r="K8" i="50"/>
  <c r="G13" i="18"/>
  <c r="J9" i="50"/>
  <c r="G12" i="17"/>
  <c r="K8" i="47"/>
  <c r="J9" i="47"/>
  <c r="F75" i="28"/>
  <c r="G75" i="28"/>
  <c r="G74" i="28"/>
  <c r="E76" i="28" l="1"/>
  <c r="H10" i="50"/>
  <c r="H11" i="48"/>
  <c r="H10" i="47"/>
  <c r="C15" i="19"/>
  <c r="E14" i="19"/>
  <c r="C16" i="18"/>
  <c r="E15" i="18"/>
  <c r="C15" i="17"/>
  <c r="E14" i="17"/>
  <c r="F76" i="28"/>
  <c r="G13" i="19"/>
  <c r="G14" i="18"/>
  <c r="F14" i="19"/>
  <c r="K9" i="50"/>
  <c r="F14" i="17"/>
  <c r="J10" i="47"/>
  <c r="J10" i="50"/>
  <c r="F15" i="18"/>
  <c r="K9" i="47"/>
  <c r="G13" i="17"/>
  <c r="J11" i="48"/>
  <c r="K10" i="48"/>
  <c r="D77" i="28"/>
  <c r="G76" i="28"/>
  <c r="E77" i="28" l="1"/>
  <c r="H11" i="50"/>
  <c r="H12" i="48"/>
  <c r="H11" i="47"/>
  <c r="E15" i="19"/>
  <c r="C16" i="19"/>
  <c r="C17" i="18"/>
  <c r="E16" i="18"/>
  <c r="E15" i="17"/>
  <c r="C16" i="17"/>
  <c r="J12" i="48"/>
  <c r="F15" i="17"/>
  <c r="F15" i="19"/>
  <c r="J11" i="47"/>
  <c r="K10" i="47"/>
  <c r="K10" i="50"/>
  <c r="K11" i="48"/>
  <c r="J11" i="50"/>
  <c r="G14" i="17"/>
  <c r="G14" i="19"/>
  <c r="F16" i="18"/>
  <c r="F77" i="28"/>
  <c r="G15" i="18"/>
  <c r="F4" i="28"/>
  <c r="G77" i="28"/>
  <c r="H12" i="50" l="1"/>
  <c r="H13" i="48"/>
  <c r="H12" i="47"/>
  <c r="E16" i="19"/>
  <c r="C17" i="19"/>
  <c r="C18" i="18"/>
  <c r="E17" i="18"/>
  <c r="E16" i="17"/>
  <c r="C17" i="17"/>
  <c r="G15" i="17"/>
  <c r="G15" i="19"/>
  <c r="J13" i="48"/>
  <c r="J12" i="50"/>
  <c r="G16" i="18"/>
  <c r="F16" i="17"/>
  <c r="K11" i="50"/>
  <c r="F16" i="19"/>
  <c r="F17" i="18"/>
  <c r="J12" i="47"/>
  <c r="K12" i="48"/>
  <c r="K11" i="47"/>
  <c r="G4" i="28"/>
  <c r="H13" i="50" l="1"/>
  <c r="H14" i="48"/>
  <c r="H13" i="47"/>
  <c r="C18" i="19"/>
  <c r="E17" i="19"/>
  <c r="E18" i="18"/>
  <c r="C19" i="18"/>
  <c r="C18" i="17"/>
  <c r="E17" i="17"/>
  <c r="F17" i="19"/>
  <c r="K12" i="50"/>
  <c r="F18" i="18"/>
  <c r="G16" i="17"/>
  <c r="F17" i="17"/>
  <c r="J14" i="48"/>
  <c r="G17" i="18"/>
  <c r="G16" i="19"/>
  <c r="K13" i="48"/>
  <c r="J13" i="47"/>
  <c r="K12" i="47"/>
  <c r="J13" i="50"/>
  <c r="H14" i="50" l="1"/>
  <c r="H15" i="48"/>
  <c r="H14" i="47"/>
  <c r="E18" i="19"/>
  <c r="C19" i="19"/>
  <c r="E19" i="18"/>
  <c r="C20" i="18"/>
  <c r="E18" i="17"/>
  <c r="C19" i="17"/>
  <c r="K13" i="47"/>
  <c r="G18" i="18"/>
  <c r="F19" i="18"/>
  <c r="J14" i="50"/>
  <c r="J14" i="47"/>
  <c r="J15" i="48"/>
  <c r="F18" i="17"/>
  <c r="K13" i="50"/>
  <c r="G17" i="19"/>
  <c r="G17" i="17"/>
  <c r="F18" i="19"/>
  <c r="K14" i="48"/>
  <c r="H15" i="50" l="1"/>
  <c r="H16" i="48"/>
  <c r="H15" i="47"/>
  <c r="C20" i="19"/>
  <c r="E19" i="19"/>
  <c r="C21" i="18"/>
  <c r="E20" i="18"/>
  <c r="C20" i="17"/>
  <c r="E19" i="17"/>
  <c r="J15" i="47"/>
  <c r="J16" i="48"/>
  <c r="F19" i="17"/>
  <c r="K14" i="47"/>
  <c r="G19" i="18"/>
  <c r="G18" i="17"/>
  <c r="F19" i="19"/>
  <c r="K14" i="50"/>
  <c r="F20" i="18"/>
  <c r="K15" i="48"/>
  <c r="J15" i="50"/>
  <c r="G18" i="19"/>
  <c r="H16" i="50" l="1"/>
  <c r="H17" i="48"/>
  <c r="H16" i="47"/>
  <c r="E20" i="19"/>
  <c r="C21" i="19"/>
  <c r="C22" i="18"/>
  <c r="E21" i="18"/>
  <c r="E20" i="17"/>
  <c r="C21" i="17"/>
  <c r="F21" i="18"/>
  <c r="J16" i="50"/>
  <c r="J17" i="48"/>
  <c r="F20" i="19"/>
  <c r="G19" i="17"/>
  <c r="K15" i="47"/>
  <c r="G20" i="18"/>
  <c r="K15" i="50"/>
  <c r="F20" i="17"/>
  <c r="G19" i="19"/>
  <c r="K16" i="48"/>
  <c r="J16" i="47"/>
  <c r="H17" i="50" l="1"/>
  <c r="H18" i="48"/>
  <c r="H17" i="47"/>
  <c r="E21" i="19"/>
  <c r="C22" i="19"/>
  <c r="E22" i="18"/>
  <c r="C23" i="18"/>
  <c r="E21" i="17"/>
  <c r="C22" i="17"/>
  <c r="G21" i="18"/>
  <c r="G20" i="19"/>
  <c r="G20" i="17"/>
  <c r="K16" i="50"/>
  <c r="J17" i="47"/>
  <c r="J18" i="48"/>
  <c r="F21" i="19"/>
  <c r="J17" i="50"/>
  <c r="F22" i="18"/>
  <c r="K16" i="47"/>
  <c r="F21" i="17"/>
  <c r="K17" i="48"/>
  <c r="H18" i="50" l="1"/>
  <c r="H19" i="48"/>
  <c r="H18" i="47"/>
  <c r="C23" i="19"/>
  <c r="E22" i="19"/>
  <c r="C24" i="18"/>
  <c r="E23" i="18"/>
  <c r="C23" i="17"/>
  <c r="E22" i="17"/>
  <c r="G21" i="19"/>
  <c r="G21" i="17"/>
  <c r="F22" i="17"/>
  <c r="J19" i="48"/>
  <c r="K18" i="48"/>
  <c r="J18" i="47"/>
  <c r="F22" i="19"/>
  <c r="G22" i="18"/>
  <c r="K17" i="50"/>
  <c r="J18" i="50"/>
  <c r="F23" i="18"/>
  <c r="K17" i="47"/>
  <c r="H19" i="50" l="1"/>
  <c r="H20" i="48"/>
  <c r="H19" i="47"/>
  <c r="E23" i="19"/>
  <c r="C24" i="19"/>
  <c r="C25" i="18"/>
  <c r="E24" i="18"/>
  <c r="E23" i="17"/>
  <c r="C24" i="17"/>
  <c r="J20" i="48"/>
  <c r="G23" i="18"/>
  <c r="J19" i="47"/>
  <c r="F23" i="19"/>
  <c r="J19" i="50"/>
  <c r="K18" i="50"/>
  <c r="K18" i="47"/>
  <c r="F23" i="17"/>
  <c r="F24" i="18"/>
  <c r="G22" i="17"/>
  <c r="G22" i="19"/>
  <c r="K19" i="48"/>
  <c r="H20" i="50" l="1"/>
  <c r="H21" i="48"/>
  <c r="H20" i="47"/>
  <c r="E24" i="19"/>
  <c r="C25" i="19"/>
  <c r="C26" i="18"/>
  <c r="E25" i="18"/>
  <c r="E24" i="17"/>
  <c r="C25" i="17"/>
  <c r="F24" i="17"/>
  <c r="G23" i="17"/>
  <c r="F25" i="18"/>
  <c r="G23" i="19"/>
  <c r="K20" i="48"/>
  <c r="J20" i="50"/>
  <c r="J21" i="48"/>
  <c r="G24" i="18"/>
  <c r="J20" i="47"/>
  <c r="K19" i="47"/>
  <c r="F24" i="19"/>
  <c r="K19" i="50"/>
  <c r="H21" i="50" l="1"/>
  <c r="H22" i="48"/>
  <c r="H21" i="47"/>
  <c r="C26" i="19"/>
  <c r="E25" i="19"/>
  <c r="E26" i="18"/>
  <c r="C27" i="18"/>
  <c r="C26" i="17"/>
  <c r="E25" i="17"/>
  <c r="K20" i="50"/>
  <c r="J22" i="48"/>
  <c r="G25" i="18"/>
  <c r="F26" i="18"/>
  <c r="G24" i="17"/>
  <c r="K20" i="47"/>
  <c r="J21" i="47"/>
  <c r="F25" i="17"/>
  <c r="F25" i="19"/>
  <c r="J21" i="50"/>
  <c r="K21" i="48"/>
  <c r="G24" i="19"/>
  <c r="H22" i="50" l="1"/>
  <c r="H23" i="48"/>
  <c r="H22" i="47"/>
  <c r="E26" i="19"/>
  <c r="C27" i="19"/>
  <c r="E27" i="18"/>
  <c r="C28" i="18"/>
  <c r="E26" i="17"/>
  <c r="C27" i="17"/>
  <c r="K21" i="50"/>
  <c r="J22" i="47"/>
  <c r="J22" i="50"/>
  <c r="F26" i="17"/>
  <c r="K21" i="47"/>
  <c r="G25" i="19"/>
  <c r="F26" i="19"/>
  <c r="K22" i="48"/>
  <c r="F27" i="18"/>
  <c r="G26" i="18"/>
  <c r="G25" i="17"/>
  <c r="J23" i="48"/>
  <c r="H23" i="50" l="1"/>
  <c r="H24" i="48"/>
  <c r="H23" i="47"/>
  <c r="C28" i="19"/>
  <c r="E27" i="19"/>
  <c r="C29" i="18"/>
  <c r="E28" i="18"/>
  <c r="C28" i="17"/>
  <c r="E27" i="17"/>
  <c r="K22" i="50"/>
  <c r="F28" i="18"/>
  <c r="G27" i="18"/>
  <c r="F27" i="17"/>
  <c r="F27" i="19"/>
  <c r="G26" i="17"/>
  <c r="J24" i="48"/>
  <c r="J23" i="47"/>
  <c r="K23" i="48"/>
  <c r="J23" i="50"/>
  <c r="G26" i="19"/>
  <c r="K22" i="47"/>
  <c r="H24" i="50" l="1"/>
  <c r="H25" i="48"/>
  <c r="H24" i="47"/>
  <c r="E28" i="19"/>
  <c r="C29" i="19"/>
  <c r="C30" i="18"/>
  <c r="E29" i="18"/>
  <c r="E28" i="17"/>
  <c r="C29" i="17"/>
  <c r="K23" i="47"/>
  <c r="G28" i="18"/>
  <c r="J24" i="50"/>
  <c r="J24" i="47"/>
  <c r="G27" i="17"/>
  <c r="F28" i="17"/>
  <c r="G27" i="19"/>
  <c r="K23" i="50"/>
  <c r="J25" i="48"/>
  <c r="F28" i="19"/>
  <c r="K24" i="48"/>
  <c r="F29" i="18"/>
  <c r="H25" i="50" l="1"/>
  <c r="H26" i="48"/>
  <c r="H25" i="47"/>
  <c r="E29" i="19"/>
  <c r="C30" i="19"/>
  <c r="E30" i="18"/>
  <c r="C31" i="18"/>
  <c r="E29" i="17"/>
  <c r="C30" i="17"/>
  <c r="F29" i="19"/>
  <c r="G28" i="17"/>
  <c r="G28" i="19"/>
  <c r="J26" i="48"/>
  <c r="F29" i="17"/>
  <c r="G29" i="18"/>
  <c r="K25" i="48"/>
  <c r="K24" i="50"/>
  <c r="F30" i="18"/>
  <c r="J25" i="50"/>
  <c r="K24" i="47"/>
  <c r="J25" i="47"/>
  <c r="H26" i="50" l="1"/>
  <c r="H27" i="48"/>
  <c r="H26" i="47"/>
  <c r="C31" i="19"/>
  <c r="E30" i="19"/>
  <c r="E31" i="18"/>
  <c r="C32" i="18"/>
  <c r="C31" i="17"/>
  <c r="E30" i="17"/>
  <c r="G29" i="17"/>
  <c r="F30" i="19"/>
  <c r="F30" i="17"/>
  <c r="G30" i="18"/>
  <c r="K25" i="47"/>
  <c r="J26" i="50"/>
  <c r="J26" i="47"/>
  <c r="F31" i="18"/>
  <c r="K25" i="50"/>
  <c r="K26" i="48"/>
  <c r="G29" i="19"/>
  <c r="J27" i="48"/>
  <c r="H27" i="50" l="1"/>
  <c r="H28" i="48"/>
  <c r="H27" i="47"/>
  <c r="E31" i="19"/>
  <c r="C32" i="19"/>
  <c r="C33" i="18"/>
  <c r="E32" i="18"/>
  <c r="C32" i="17"/>
  <c r="E31" i="17"/>
  <c r="F32" i="18"/>
  <c r="G31" i="18"/>
  <c r="K26" i="50"/>
  <c r="F31" i="19"/>
  <c r="K26" i="47"/>
  <c r="G30" i="19"/>
  <c r="K27" i="48"/>
  <c r="J28" i="48"/>
  <c r="J27" i="50"/>
  <c r="J27" i="47"/>
  <c r="G30" i="17"/>
  <c r="F31" i="17"/>
  <c r="H28" i="50" l="1"/>
  <c r="H29" i="48"/>
  <c r="H28" i="47"/>
  <c r="E32" i="19"/>
  <c r="C33" i="19"/>
  <c r="C34" i="18"/>
  <c r="E33" i="18"/>
  <c r="E32" i="17"/>
  <c r="C33" i="17"/>
  <c r="G31" i="17"/>
  <c r="J29" i="48"/>
  <c r="G32" i="18"/>
  <c r="J28" i="47"/>
  <c r="F32" i="19"/>
  <c r="F32" i="17"/>
  <c r="F33" i="18"/>
  <c r="K28" i="48"/>
  <c r="K27" i="47"/>
  <c r="K27" i="50"/>
  <c r="G31" i="19"/>
  <c r="J28" i="50"/>
  <c r="H29" i="50" l="1"/>
  <c r="H30" i="48"/>
  <c r="H29" i="47"/>
  <c r="C34" i="19"/>
  <c r="E33" i="19"/>
  <c r="E34" i="18"/>
  <c r="C35" i="18"/>
  <c r="C34" i="17"/>
  <c r="E33" i="17"/>
  <c r="F33" i="17"/>
  <c r="K28" i="47"/>
  <c r="J29" i="50"/>
  <c r="J29" i="47"/>
  <c r="J30" i="48"/>
  <c r="F34" i="18"/>
  <c r="F33" i="19"/>
  <c r="G32" i="19"/>
  <c r="K28" i="50"/>
  <c r="G33" i="18"/>
  <c r="K29" i="48"/>
  <c r="G32" i="17"/>
  <c r="H30" i="50" l="1"/>
  <c r="H31" i="48"/>
  <c r="H30" i="47"/>
  <c r="E34" i="19"/>
  <c r="C35" i="19"/>
  <c r="E35" i="18"/>
  <c r="C36" i="18"/>
  <c r="E34" i="17"/>
  <c r="C35" i="17"/>
  <c r="F34" i="17"/>
  <c r="K29" i="50"/>
  <c r="G33" i="19"/>
  <c r="J30" i="47"/>
  <c r="K29" i="47"/>
  <c r="K30" i="48"/>
  <c r="J30" i="50"/>
  <c r="F34" i="19"/>
  <c r="G33" i="17"/>
  <c r="G34" i="18"/>
  <c r="J31" i="48"/>
  <c r="F35" i="18"/>
  <c r="H31" i="50" l="1"/>
  <c r="H32" i="48"/>
  <c r="H31" i="47"/>
  <c r="C36" i="19"/>
  <c r="E35" i="19"/>
  <c r="C37" i="18"/>
  <c r="E36" i="18"/>
  <c r="C36" i="17"/>
  <c r="E35" i="17"/>
  <c r="F35" i="17"/>
  <c r="G34" i="19"/>
  <c r="J31" i="47"/>
  <c r="K31" i="48"/>
  <c r="J32" i="48"/>
  <c r="G35" i="18"/>
  <c r="K30" i="47"/>
  <c r="K30" i="50"/>
  <c r="F35" i="19"/>
  <c r="J31" i="50"/>
  <c r="G34" i="17"/>
  <c r="F36" i="18"/>
  <c r="H32" i="50" l="1"/>
  <c r="H33" i="48"/>
  <c r="H32" i="47"/>
  <c r="E36" i="19"/>
  <c r="C37" i="19"/>
  <c r="E37" i="18"/>
  <c r="C38" i="18"/>
  <c r="E36" i="17"/>
  <c r="C37" i="17"/>
  <c r="F36" i="17"/>
  <c r="J32" i="47"/>
  <c r="J32" i="50"/>
  <c r="F37" i="18"/>
  <c r="K31" i="47"/>
  <c r="K32" i="48"/>
  <c r="J33" i="48"/>
  <c r="F36" i="19"/>
  <c r="K31" i="50"/>
  <c r="G35" i="17"/>
  <c r="G35" i="19"/>
  <c r="G36" i="18"/>
  <c r="H33" i="50" l="1"/>
  <c r="H34" i="48"/>
  <c r="H33" i="47"/>
  <c r="E37" i="19"/>
  <c r="C38" i="19"/>
  <c r="E38" i="18"/>
  <c r="C39" i="18"/>
  <c r="E37" i="17"/>
  <c r="C38" i="17"/>
  <c r="K32" i="47"/>
  <c r="F37" i="19"/>
  <c r="K33" i="48"/>
  <c r="F37" i="17"/>
  <c r="G36" i="17"/>
  <c r="G36" i="19"/>
  <c r="G37" i="18"/>
  <c r="J33" i="47"/>
  <c r="J33" i="50"/>
  <c r="K32" i="50"/>
  <c r="F38" i="18"/>
  <c r="J34" i="48"/>
  <c r="H34" i="50" l="1"/>
  <c r="H35" i="48"/>
  <c r="H34" i="47"/>
  <c r="C39" i="19"/>
  <c r="E38" i="19"/>
  <c r="E39" i="18"/>
  <c r="C40" i="18"/>
  <c r="C39" i="17"/>
  <c r="E38" i="17"/>
  <c r="F38" i="17"/>
  <c r="G37" i="17"/>
  <c r="K33" i="47"/>
  <c r="K34" i="48"/>
  <c r="J34" i="50"/>
  <c r="F38" i="19"/>
  <c r="G38" i="18"/>
  <c r="G37" i="19"/>
  <c r="J34" i="47"/>
  <c r="J35" i="48"/>
  <c r="K33" i="50"/>
  <c r="F39" i="18"/>
  <c r="H35" i="50" l="1"/>
  <c r="H36" i="48"/>
  <c r="H35" i="47"/>
  <c r="E39" i="19"/>
  <c r="C40" i="19"/>
  <c r="E40" i="18"/>
  <c r="C41" i="18"/>
  <c r="C40" i="17"/>
  <c r="E39" i="17"/>
  <c r="J35" i="47"/>
  <c r="G38" i="19"/>
  <c r="J36" i="48"/>
  <c r="G38" i="17"/>
  <c r="F39" i="19"/>
  <c r="K35" i="48"/>
  <c r="J35" i="50"/>
  <c r="K34" i="50"/>
  <c r="F40" i="18"/>
  <c r="F39" i="17"/>
  <c r="K34" i="47"/>
  <c r="G39" i="18"/>
  <c r="H36" i="50" l="1"/>
  <c r="H37" i="48"/>
  <c r="H36" i="47"/>
  <c r="C41" i="19"/>
  <c r="E40" i="19"/>
  <c r="E41" i="18"/>
  <c r="C42" i="18"/>
  <c r="E42" i="18" s="1"/>
  <c r="E40" i="17"/>
  <c r="C41" i="17"/>
  <c r="K35" i="50"/>
  <c r="K35" i="47"/>
  <c r="F41" i="18"/>
  <c r="F40" i="19"/>
  <c r="G40" i="18"/>
  <c r="J36" i="50"/>
  <c r="J36" i="47"/>
  <c r="J37" i="48"/>
  <c r="F42" i="18"/>
  <c r="G39" i="19"/>
  <c r="G39" i="17"/>
  <c r="F40" i="17"/>
  <c r="K36" i="48"/>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58" i="13"/>
  <c r="G28" i="15"/>
  <c r="G50" i="13"/>
  <c r="G49" i="15"/>
  <c r="G48" i="15"/>
  <c r="G46" i="14"/>
  <c r="G47" i="13"/>
  <c r="G37" i="15"/>
  <c r="G39" i="15"/>
  <c r="F18" i="12"/>
  <c r="K36" i="47"/>
  <c r="G44" i="15"/>
  <c r="F8" i="12"/>
  <c r="G15" i="15"/>
  <c r="G33" i="14"/>
  <c r="G62" i="13"/>
  <c r="G45" i="14"/>
  <c r="G65" i="15"/>
  <c r="G56" i="15"/>
  <c r="G42" i="13"/>
  <c r="F12" i="12"/>
  <c r="G9" i="13"/>
  <c r="F17" i="12"/>
  <c r="G39" i="13"/>
  <c r="G10" i="13"/>
  <c r="G12" i="15"/>
  <c r="G13" i="14"/>
  <c r="G42" i="15"/>
  <c r="G64" i="15"/>
  <c r="G19" i="14"/>
  <c r="G64" i="14"/>
  <c r="G54" i="13"/>
  <c r="G44" i="14"/>
  <c r="G51" i="14"/>
  <c r="G29" i="13"/>
  <c r="G25" i="15"/>
  <c r="G53" i="14"/>
  <c r="G53" i="13"/>
  <c r="G19" i="13"/>
  <c r="G41" i="15"/>
  <c r="G27" i="14"/>
  <c r="F16" i="12"/>
  <c r="G14" i="15"/>
  <c r="G38" i="13"/>
  <c r="G65" i="13"/>
  <c r="G59" i="15"/>
  <c r="G11" i="14"/>
  <c r="G60" i="15"/>
  <c r="G7" i="15"/>
  <c r="G34" i="15"/>
  <c r="F11" i="12"/>
  <c r="G32" i="15"/>
  <c r="G35" i="13"/>
  <c r="G8" i="15"/>
  <c r="G20" i="13"/>
  <c r="G21" i="15"/>
  <c r="G27" i="15"/>
  <c r="G62" i="14"/>
  <c r="G52" i="15"/>
  <c r="G9" i="15"/>
  <c r="F9" i="12"/>
  <c r="G9" i="14"/>
  <c r="G11" i="15"/>
  <c r="G23" i="15"/>
  <c r="G35" i="14"/>
  <c r="F6" i="12"/>
  <c r="G29" i="15"/>
  <c r="G33" i="15"/>
  <c r="G24" i="15"/>
  <c r="G40" i="19"/>
  <c r="G8" i="13"/>
  <c r="F41" i="17"/>
  <c r="G36" i="14"/>
  <c r="G40" i="13"/>
  <c r="G14" i="14"/>
  <c r="F7" i="12"/>
  <c r="G12" i="13"/>
  <c r="G7" i="14"/>
  <c r="F19" i="12"/>
  <c r="G41" i="18"/>
  <c r="G16" i="14"/>
  <c r="G53" i="15"/>
  <c r="G15" i="13"/>
  <c r="G44" i="13"/>
  <c r="G23" i="13"/>
  <c r="G66" i="15"/>
  <c r="G40" i="15"/>
  <c r="G55" i="13"/>
  <c r="G64" i="13"/>
  <c r="G37" i="14"/>
  <c r="G56" i="13"/>
  <c r="G48" i="13"/>
  <c r="G45" i="13"/>
  <c r="G66" i="14"/>
  <c r="G33" i="13"/>
  <c r="G30" i="15"/>
  <c r="G42" i="18"/>
  <c r="F10" i="12"/>
  <c r="G17" i="14"/>
  <c r="G10" i="15"/>
  <c r="G47" i="14"/>
  <c r="J37" i="47"/>
  <c r="G56" i="14"/>
  <c r="G27" i="13"/>
  <c r="G62" i="15"/>
  <c r="G63" i="15"/>
  <c r="G24" i="14"/>
  <c r="G31" i="13"/>
  <c r="F14" i="12"/>
  <c r="G51" i="13"/>
  <c r="G43" i="13"/>
  <c r="G61" i="13"/>
  <c r="G61" i="14"/>
  <c r="K37" i="48"/>
  <c r="G61" i="15"/>
  <c r="G17" i="13"/>
  <c r="G59" i="13"/>
  <c r="G39" i="14"/>
  <c r="F41" i="19"/>
  <c r="G49" i="14"/>
  <c r="G30" i="14"/>
  <c r="G22" i="14"/>
  <c r="G65" i="14"/>
  <c r="G63" i="14"/>
  <c r="G58" i="14"/>
  <c r="J37" i="50"/>
  <c r="G60" i="13"/>
  <c r="G24" i="13"/>
  <c r="G25" i="13"/>
  <c r="G18" i="13"/>
  <c r="G54" i="15"/>
  <c r="G45" i="15"/>
  <c r="G49" i="13"/>
  <c r="G46" i="13"/>
  <c r="G51" i="15"/>
  <c r="G34" i="14"/>
  <c r="G19" i="15"/>
  <c r="G47" i="15"/>
  <c r="G31" i="15"/>
  <c r="G28" i="13"/>
  <c r="J38" i="48"/>
  <c r="G66" i="13"/>
  <c r="G58" i="15"/>
  <c r="G16" i="15"/>
  <c r="G43" i="14"/>
  <c r="G20" i="14"/>
  <c r="G43" i="15"/>
  <c r="G48" i="14"/>
  <c r="K36" i="50"/>
  <c r="G8" i="14"/>
  <c r="G20" i="15"/>
  <c r="F42" i="17"/>
  <c r="F15" i="12"/>
  <c r="G38" i="15"/>
  <c r="G60" i="14"/>
  <c r="G21" i="14"/>
  <c r="G13" i="13"/>
  <c r="G29" i="14"/>
  <c r="F13" i="12"/>
  <c r="G59" i="14"/>
  <c r="G34" i="13"/>
  <c r="G14" i="13"/>
  <c r="G22" i="13"/>
  <c r="G36" i="13"/>
  <c r="G28" i="14"/>
  <c r="G16" i="13"/>
  <c r="G32" i="14"/>
  <c r="G31" i="14"/>
  <c r="J39" i="48"/>
  <c r="G41" i="13"/>
  <c r="G18" i="14"/>
  <c r="G55" i="14"/>
  <c r="G15" i="14"/>
  <c r="G11" i="13"/>
  <c r="G25" i="14"/>
  <c r="G55" i="15"/>
  <c r="G23" i="14"/>
  <c r="G52" i="13"/>
  <c r="G21" i="13"/>
  <c r="G50" i="15"/>
  <c r="G35" i="15"/>
  <c r="G40" i="17"/>
  <c r="G37" i="13"/>
  <c r="G26" i="15"/>
  <c r="G36" i="15"/>
  <c r="F20" i="12"/>
  <c r="F42" i="19"/>
  <c r="G52" i="14"/>
  <c r="G26" i="14"/>
  <c r="G30" i="13"/>
  <c r="G41" i="14"/>
  <c r="G57" i="15"/>
  <c r="G42" i="14"/>
  <c r="G26" i="13"/>
  <c r="G38" i="14"/>
  <c r="G40" i="14"/>
  <c r="G12" i="14"/>
  <c r="G22" i="15"/>
  <c r="G57" i="13"/>
  <c r="G18" i="15"/>
  <c r="G10" i="14"/>
  <c r="G54" i="14"/>
  <c r="G57" i="14"/>
  <c r="G13" i="15"/>
  <c r="G17" i="15"/>
  <c r="G50" i="14"/>
  <c r="G32" i="13"/>
  <c r="G7" i="13"/>
  <c r="G63" i="13"/>
  <c r="G46" i="15"/>
  <c r="F4" i="17"/>
  <c r="G4" i="18"/>
  <c r="F4" i="19"/>
  <c r="G6" i="14"/>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G64" i="10"/>
  <c r="F20" i="7"/>
  <c r="G34" i="10"/>
  <c r="G53" i="9"/>
  <c r="H63" i="14"/>
  <c r="G52" i="9"/>
  <c r="G59" i="9"/>
  <c r="H14" i="15"/>
  <c r="H55" i="15"/>
  <c r="H41" i="14"/>
  <c r="H65" i="13"/>
  <c r="H13" i="15"/>
  <c r="H60" i="14"/>
  <c r="F8" i="7"/>
  <c r="F15" i="7"/>
  <c r="G7" i="10"/>
  <c r="H66" i="13"/>
  <c r="G54" i="8"/>
  <c r="H10" i="15"/>
  <c r="J39" i="50"/>
  <c r="H41" i="15"/>
  <c r="H48" i="13"/>
  <c r="G48" i="9"/>
  <c r="G25" i="9"/>
  <c r="G37" i="9"/>
  <c r="G62" i="10"/>
  <c r="H20" i="15"/>
  <c r="H30" i="15"/>
  <c r="G37" i="10"/>
  <c r="H42" i="15"/>
  <c r="G23" i="10"/>
  <c r="H50" i="14"/>
  <c r="G51" i="10"/>
  <c r="G14" i="12"/>
  <c r="G25" i="8"/>
  <c r="G16" i="12"/>
  <c r="G66" i="9"/>
  <c r="G27" i="10"/>
  <c r="H64" i="15"/>
  <c r="G63" i="8"/>
  <c r="H13" i="13"/>
  <c r="G62" i="9"/>
  <c r="H34" i="13"/>
  <c r="F17" i="7"/>
  <c r="H40" i="15"/>
  <c r="J14" i="6"/>
  <c r="G52" i="8"/>
  <c r="H49" i="14"/>
  <c r="H7" i="13"/>
  <c r="F16" i="7"/>
  <c r="G58" i="9"/>
  <c r="J16" i="6"/>
  <c r="G53" i="10"/>
  <c r="G40" i="8"/>
  <c r="J19" i="6"/>
  <c r="G14" i="8"/>
  <c r="G24" i="10"/>
  <c r="G24" i="8"/>
  <c r="G47" i="9"/>
  <c r="H28" i="14"/>
  <c r="G34" i="8"/>
  <c r="H35" i="15"/>
  <c r="G62" i="8"/>
  <c r="H22" i="15"/>
  <c r="H44" i="15"/>
  <c r="H61" i="13"/>
  <c r="G35" i="8"/>
  <c r="G12" i="8"/>
  <c r="H16" i="13"/>
  <c r="F19" i="7"/>
  <c r="H62" i="13"/>
  <c r="G21" i="8"/>
  <c r="F9" i="7"/>
  <c r="G37" i="8"/>
  <c r="G7" i="12"/>
  <c r="G8" i="8"/>
  <c r="G20" i="9"/>
  <c r="H44" i="14"/>
  <c r="G13" i="12"/>
  <c r="J12" i="6"/>
  <c r="H52" i="15"/>
  <c r="G30" i="10"/>
  <c r="G12" i="10"/>
  <c r="G35" i="10"/>
  <c r="Y48" i="28"/>
  <c r="G16" i="10"/>
  <c r="H37" i="13"/>
  <c r="G39" i="8"/>
  <c r="H16" i="14"/>
  <c r="H11" i="14"/>
  <c r="G22" i="9"/>
  <c r="H19" i="14"/>
  <c r="G18" i="9"/>
  <c r="G39" i="10"/>
  <c r="H29" i="14"/>
  <c r="G58" i="10"/>
  <c r="H26" i="13"/>
  <c r="K37" i="50"/>
  <c r="G65" i="9"/>
  <c r="H65" i="14"/>
  <c r="J9" i="6"/>
  <c r="H31" i="13"/>
  <c r="H45" i="13"/>
  <c r="G35" i="9"/>
  <c r="H15" i="14"/>
  <c r="H25" i="13"/>
  <c r="G66" i="8"/>
  <c r="H11" i="15"/>
  <c r="H36" i="14"/>
  <c r="H31" i="15"/>
  <c r="G45" i="8"/>
  <c r="H20" i="13"/>
  <c r="H56" i="14"/>
  <c r="H35" i="14"/>
  <c r="G17" i="8"/>
  <c r="G45" i="10"/>
  <c r="G43" i="10"/>
  <c r="G51" i="8"/>
  <c r="H61" i="14"/>
  <c r="H30" i="14"/>
  <c r="F13" i="7"/>
  <c r="H43" i="13"/>
  <c r="H59" i="13"/>
  <c r="H23" i="13"/>
  <c r="G32" i="10"/>
  <c r="G59" i="8"/>
  <c r="G39" i="9"/>
  <c r="G29" i="10"/>
  <c r="H21" i="13"/>
  <c r="H49" i="15"/>
  <c r="G19" i="12"/>
  <c r="J18" i="6"/>
  <c r="H65" i="15"/>
  <c r="H62" i="14"/>
  <c r="G26" i="9"/>
  <c r="H34" i="14"/>
  <c r="G56" i="9"/>
  <c r="G29" i="9"/>
  <c r="H19" i="15"/>
  <c r="G29" i="8"/>
  <c r="H44" i="13"/>
  <c r="H11" i="13"/>
  <c r="G55" i="9"/>
  <c r="G10" i="10"/>
  <c r="H43" i="14"/>
  <c r="G14" i="9"/>
  <c r="H64" i="14"/>
  <c r="G60" i="9"/>
  <c r="J13" i="6"/>
  <c r="G60" i="10"/>
  <c r="H46" i="13"/>
  <c r="G12" i="12"/>
  <c r="H22" i="13"/>
  <c r="G63" i="10"/>
  <c r="G21" i="10"/>
  <c r="J15" i="6"/>
  <c r="G16" i="8"/>
  <c r="G13" i="8"/>
  <c r="G17" i="9"/>
  <c r="H10" i="13"/>
  <c r="G14" i="10"/>
  <c r="H24" i="15"/>
  <c r="G53" i="8"/>
  <c r="H66" i="14"/>
  <c r="G30" i="9"/>
  <c r="G44" i="9"/>
  <c r="G42" i="9"/>
  <c r="G21" i="9"/>
  <c r="G42" i="10"/>
  <c r="H34" i="15"/>
  <c r="G58" i="8"/>
  <c r="G64" i="9"/>
  <c r="H18" i="14"/>
  <c r="G55" i="10"/>
  <c r="F12" i="7"/>
  <c r="H8" i="15"/>
  <c r="H39" i="14"/>
  <c r="G59" i="10"/>
  <c r="H23" i="15"/>
  <c r="G57" i="9"/>
  <c r="H17" i="14"/>
  <c r="G48" i="10"/>
  <c r="G27" i="9"/>
  <c r="J20" i="6"/>
  <c r="G61" i="8"/>
  <c r="G36" i="10"/>
  <c r="H54" i="15"/>
  <c r="G31" i="8"/>
  <c r="G11" i="12"/>
  <c r="H24" i="14"/>
  <c r="H45" i="14"/>
  <c r="H32" i="13"/>
  <c r="G38" i="10"/>
  <c r="H28" i="13"/>
  <c r="H66" i="15"/>
  <c r="H57" i="15"/>
  <c r="G51" i="9"/>
  <c r="G15" i="12"/>
  <c r="G13" i="9"/>
  <c r="G25" i="10"/>
  <c r="G42" i="8"/>
  <c r="G46" i="8"/>
  <c r="L6" i="6"/>
  <c r="G38" i="9"/>
  <c r="H41" i="13"/>
  <c r="H52" i="13"/>
  <c r="G26" i="8"/>
  <c r="G24" i="9"/>
  <c r="H22" i="14"/>
  <c r="H31" i="14"/>
  <c r="G10" i="8"/>
  <c r="G18" i="10"/>
  <c r="H60" i="15"/>
  <c r="G33" i="9"/>
  <c r="J17" i="6"/>
  <c r="H21" i="14"/>
  <c r="G17" i="12"/>
  <c r="J21" i="6"/>
  <c r="H33" i="14"/>
  <c r="G34" i="9"/>
  <c r="H26" i="14"/>
  <c r="F11" i="7"/>
  <c r="H18" i="13"/>
  <c r="H51" i="13"/>
  <c r="G42" i="19"/>
  <c r="H58" i="13"/>
  <c r="K37" i="47"/>
  <c r="G10" i="12"/>
  <c r="G41" i="9"/>
  <c r="H51" i="14"/>
  <c r="G38" i="8"/>
  <c r="H50" i="15"/>
  <c r="J39" i="47"/>
  <c r="G60" i="8"/>
  <c r="G49" i="8"/>
  <c r="G32" i="8"/>
  <c r="H56" i="15"/>
  <c r="F7" i="7"/>
  <c r="G28" i="10"/>
  <c r="G31" i="9"/>
  <c r="G41" i="19"/>
  <c r="G16" i="9"/>
  <c r="H36" i="13"/>
  <c r="H25" i="14"/>
  <c r="G36" i="9"/>
  <c r="H38" i="14"/>
  <c r="G43" i="8"/>
  <c r="G54" i="10"/>
  <c r="H17" i="13"/>
  <c r="H14" i="13"/>
  <c r="H12" i="15"/>
  <c r="H58" i="14"/>
  <c r="H46" i="14"/>
  <c r="H47" i="15"/>
  <c r="J10" i="6"/>
  <c r="H62" i="15"/>
  <c r="H64" i="13"/>
  <c r="H45" i="15"/>
  <c r="G20" i="8"/>
  <c r="G8" i="9"/>
  <c r="G47" i="10"/>
  <c r="H37" i="14"/>
  <c r="G44" i="8"/>
  <c r="G15" i="8"/>
  <c r="G41" i="10"/>
  <c r="G27" i="8"/>
  <c r="H59" i="15"/>
  <c r="H48" i="14"/>
  <c r="H9" i="13"/>
  <c r="G17" i="10"/>
  <c r="H47" i="14"/>
  <c r="H8" i="13"/>
  <c r="H18" i="15"/>
  <c r="G26" i="10"/>
  <c r="G40" i="9"/>
  <c r="G41" i="17"/>
  <c r="G11" i="10"/>
  <c r="G50" i="10"/>
  <c r="H29" i="15"/>
  <c r="G7" i="8"/>
  <c r="G42" i="17"/>
  <c r="J38" i="47"/>
  <c r="G19" i="9"/>
  <c r="G46" i="9"/>
  <c r="G13" i="10"/>
  <c r="H15" i="15"/>
  <c r="G63" i="9"/>
  <c r="H57" i="13"/>
  <c r="F14" i="7"/>
  <c r="G32" i="9"/>
  <c r="H17" i="15"/>
  <c r="G7" i="9"/>
  <c r="H48" i="15"/>
  <c r="H20" i="14"/>
  <c r="H60" i="13"/>
  <c r="H43" i="15"/>
  <c r="G18" i="8"/>
  <c r="G22" i="10"/>
  <c r="H15" i="13"/>
  <c r="G15" i="9"/>
  <c r="H61" i="15"/>
  <c r="J11" i="6"/>
  <c r="G30" i="8"/>
  <c r="G19" i="10"/>
  <c r="H49" i="13"/>
  <c r="H32" i="14"/>
  <c r="H27" i="14"/>
  <c r="G33" i="10"/>
  <c r="G43" i="9"/>
  <c r="H51" i="15"/>
  <c r="G56" i="10"/>
  <c r="G54" i="9"/>
  <c r="J22" i="6"/>
  <c r="H53" i="15"/>
  <c r="H42" i="13"/>
  <c r="H58" i="15"/>
  <c r="H10" i="14"/>
  <c r="H9" i="15"/>
  <c r="H27" i="13"/>
  <c r="G22" i="8"/>
  <c r="G56" i="8"/>
  <c r="H25" i="15"/>
  <c r="G40" i="10"/>
  <c r="H12" i="14"/>
  <c r="G9" i="10"/>
  <c r="H50" i="13"/>
  <c r="G33" i="8"/>
  <c r="G9" i="8"/>
  <c r="G11" i="8"/>
  <c r="J38" i="50"/>
  <c r="K39" i="48"/>
  <c r="H54" i="14"/>
  <c r="H53" i="13"/>
  <c r="H40" i="13"/>
  <c r="H26" i="15"/>
  <c r="H29" i="13"/>
  <c r="G12" i="9"/>
  <c r="G55" i="8"/>
  <c r="G61" i="10"/>
  <c r="G57" i="8"/>
  <c r="H33" i="13"/>
  <c r="H55" i="14"/>
  <c r="G49" i="10"/>
  <c r="H40" i="14"/>
  <c r="H38" i="13"/>
  <c r="H24" i="13"/>
  <c r="G46" i="10"/>
  <c r="H42" i="14"/>
  <c r="G47" i="8"/>
  <c r="H13" i="14"/>
  <c r="H55" i="13"/>
  <c r="H59" i="14"/>
  <c r="G45" i="9"/>
  <c r="G9" i="12"/>
  <c r="H36" i="15"/>
  <c r="H53" i="14"/>
  <c r="H56" i="13"/>
  <c r="H7" i="15"/>
  <c r="H23" i="14"/>
  <c r="H47" i="13"/>
  <c r="H14" i="14"/>
  <c r="G36" i="8"/>
  <c r="H7" i="14"/>
  <c r="H57" i="14"/>
  <c r="K38" i="48"/>
  <c r="G6" i="12"/>
  <c r="H39" i="15"/>
  <c r="G9" i="9"/>
  <c r="G31" i="10"/>
  <c r="G20" i="10"/>
  <c r="G23" i="8"/>
  <c r="G49" i="9"/>
  <c r="G50" i="8"/>
  <c r="G19" i="8"/>
  <c r="G10" i="9"/>
  <c r="G8" i="10"/>
  <c r="H19" i="13"/>
  <c r="H27" i="15"/>
  <c r="G50" i="9"/>
  <c r="G52" i="10"/>
  <c r="H32" i="15"/>
  <c r="G11" i="9"/>
  <c r="G18" i="12"/>
  <c r="H16" i="15"/>
  <c r="G15" i="10"/>
  <c r="H33" i="15"/>
  <c r="G41" i="8"/>
  <c r="H8" i="14"/>
  <c r="H35" i="13"/>
  <c r="G28" i="8"/>
  <c r="G8" i="12"/>
  <c r="G65" i="10"/>
  <c r="G65" i="8"/>
  <c r="H30" i="13"/>
  <c r="G28" i="9"/>
  <c r="H28" i="15"/>
  <c r="G61" i="9"/>
  <c r="J8" i="6"/>
  <c r="H63" i="15"/>
  <c r="F6" i="7"/>
  <c r="H39" i="13"/>
  <c r="H52" i="14"/>
  <c r="G57" i="10"/>
  <c r="H38" i="15"/>
  <c r="F10" i="7"/>
  <c r="G23" i="9"/>
  <c r="H21" i="15"/>
  <c r="H63" i="13"/>
  <c r="H54" i="13"/>
  <c r="H12" i="13"/>
  <c r="G48" i="8"/>
  <c r="G20" i="12"/>
  <c r="F18" i="7"/>
  <c r="H37" i="15"/>
  <c r="G66" i="10"/>
  <c r="H46" i="15"/>
  <c r="G64" i="8"/>
  <c r="G44" i="10"/>
  <c r="H9" i="14"/>
  <c r="Y3" i="28"/>
  <c r="G6" i="13"/>
  <c r="G4" i="17"/>
  <c r="G4" i="19"/>
  <c r="F5" i="7"/>
  <c r="H6" i="14"/>
  <c r="G6" i="15"/>
  <c r="F5" i="12"/>
  <c r="Y9" i="6" l="1"/>
  <c r="X5" i="19" a="1"/>
  <c r="H20" i="8"/>
  <c r="H16" i="9"/>
  <c r="H64" i="8"/>
  <c r="H25" i="8"/>
  <c r="H57" i="9"/>
  <c r="H30" i="9"/>
  <c r="H30" i="10"/>
  <c r="H18" i="10"/>
  <c r="H46" i="9"/>
  <c r="H12" i="10"/>
  <c r="H65" i="8"/>
  <c r="H55" i="9"/>
  <c r="H42" i="8"/>
  <c r="H53" i="9"/>
  <c r="H22" i="10"/>
  <c r="L14" i="6"/>
  <c r="H31" i="10"/>
  <c r="H34" i="8"/>
  <c r="H28" i="8"/>
  <c r="H60" i="10"/>
  <c r="H50" i="9"/>
  <c r="K11" i="6"/>
  <c r="H49" i="8"/>
  <c r="H14" i="9"/>
  <c r="H58" i="10"/>
  <c r="H45" i="9"/>
  <c r="H8" i="10"/>
  <c r="L19" i="6"/>
  <c r="H13" i="8"/>
  <c r="L13" i="6"/>
  <c r="H62" i="10"/>
  <c r="H25" i="10"/>
  <c r="H43" i="10"/>
  <c r="H41" i="9"/>
  <c r="H29" i="9"/>
  <c r="H31" i="9"/>
  <c r="H8" i="8"/>
  <c r="H43" i="9"/>
  <c r="H46" i="10"/>
  <c r="H16" i="8"/>
  <c r="H24" i="10"/>
  <c r="G7" i="7"/>
  <c r="H49" i="9"/>
  <c r="H64" i="10"/>
  <c r="H53" i="8"/>
  <c r="H28" i="9"/>
  <c r="H51" i="8"/>
  <c r="H42" i="10"/>
  <c r="H61" i="10"/>
  <c r="H48" i="9"/>
  <c r="H21" i="9"/>
  <c r="G15" i="7"/>
  <c r="H62" i="9"/>
  <c r="H37" i="8"/>
  <c r="K38" i="47"/>
  <c r="H16" i="10"/>
  <c r="H8" i="9"/>
  <c r="H37" i="10"/>
  <c r="H20" i="10"/>
  <c r="H59" i="10"/>
  <c r="H10" i="8"/>
  <c r="H29" i="8"/>
  <c r="H33" i="10"/>
  <c r="H24" i="9"/>
  <c r="H44" i="9"/>
  <c r="H14" i="8"/>
  <c r="H43" i="8"/>
  <c r="H52" i="10"/>
  <c r="H40" i="9"/>
  <c r="H9" i="10"/>
  <c r="K9" i="6"/>
  <c r="H15" i="8"/>
  <c r="H30" i="8"/>
  <c r="H56" i="9"/>
  <c r="H27" i="10"/>
  <c r="H64" i="9"/>
  <c r="L7" i="6"/>
  <c r="H23" i="8"/>
  <c r="K7" i="6"/>
  <c r="G19" i="7"/>
  <c r="G11" i="7"/>
  <c r="H19" i="8"/>
  <c r="H55" i="10"/>
  <c r="H42" i="9"/>
  <c r="H9" i="9"/>
  <c r="H50" i="8"/>
  <c r="H65" i="10"/>
  <c r="H32" i="10"/>
  <c r="G20" i="7"/>
  <c r="G16" i="7"/>
  <c r="H15" i="9"/>
  <c r="H51" i="9"/>
  <c r="H58" i="8"/>
  <c r="H34" i="9"/>
  <c r="H17" i="9"/>
  <c r="L11" i="6"/>
  <c r="G13" i="7"/>
  <c r="H21" i="8"/>
  <c r="H32" i="8"/>
  <c r="H63" i="9"/>
  <c r="H37" i="9"/>
  <c r="K39" i="50"/>
  <c r="K20" i="6"/>
  <c r="G6" i="7"/>
  <c r="H45" i="8"/>
  <c r="K39" i="47"/>
  <c r="H52" i="8"/>
  <c r="H35" i="10"/>
  <c r="H39" i="9"/>
  <c r="H39" i="10"/>
  <c r="H41" i="10"/>
  <c r="H23" i="10"/>
  <c r="H57" i="8"/>
  <c r="H54" i="9"/>
  <c r="G18" i="7"/>
  <c r="H40" i="8"/>
  <c r="H22" i="8"/>
  <c r="H26" i="9"/>
  <c r="L20" i="6"/>
  <c r="H66" i="10"/>
  <c r="H47" i="9"/>
  <c r="H27" i="9"/>
  <c r="H50" i="10"/>
  <c r="H63" i="8"/>
  <c r="H47" i="8"/>
  <c r="H47" i="10"/>
  <c r="H55" i="8"/>
  <c r="H66" i="9"/>
  <c r="H46" i="8"/>
  <c r="G14" i="7"/>
  <c r="H10" i="10"/>
  <c r="H66" i="8"/>
  <c r="H53" i="10"/>
  <c r="H13" i="9"/>
  <c r="H36" i="9"/>
  <c r="H62" i="8"/>
  <c r="H38" i="8"/>
  <c r="H24" i="8"/>
  <c r="H57" i="10"/>
  <c r="H54" i="10"/>
  <c r="H27" i="8"/>
  <c r="H31" i="8"/>
  <c r="H33" i="8"/>
  <c r="Z9" i="6"/>
  <c r="G9" i="7"/>
  <c r="H38" i="10"/>
  <c r="G8" i="7"/>
  <c r="H44" i="10"/>
  <c r="H35" i="9"/>
  <c r="H19" i="10"/>
  <c r="H7" i="9"/>
  <c r="K38" i="50"/>
  <c r="H49" i="10"/>
  <c r="H36" i="10"/>
  <c r="H17" i="8"/>
  <c r="H65" i="9"/>
  <c r="H61" i="8"/>
  <c r="H59" i="9"/>
  <c r="H9" i="8"/>
  <c r="H26" i="10"/>
  <c r="H28" i="10"/>
  <c r="H18" i="8"/>
  <c r="H22" i="9"/>
  <c r="H35" i="8"/>
  <c r="H19" i="9"/>
  <c r="H20" i="9"/>
  <c r="H33" i="9"/>
  <c r="H21" i="10"/>
  <c r="H7" i="8"/>
  <c r="K13" i="6"/>
  <c r="H15" i="10"/>
  <c r="H34" i="10"/>
  <c r="H36" i="8"/>
  <c r="H25" i="9"/>
  <c r="H54" i="8"/>
  <c r="G17" i="7"/>
  <c r="H40" i="10"/>
  <c r="H60" i="8"/>
  <c r="H45" i="10"/>
  <c r="H38" i="9"/>
  <c r="H60" i="9"/>
  <c r="H11" i="9"/>
  <c r="H23" i="9"/>
  <c r="H13" i="10"/>
  <c r="H12" i="9"/>
  <c r="H11" i="10"/>
  <c r="H63" i="10"/>
  <c r="H56" i="8"/>
  <c r="H39" i="8"/>
  <c r="H7" i="10"/>
  <c r="H11" i="8"/>
  <c r="G10" i="7"/>
  <c r="H52" i="9"/>
  <c r="H18" i="9"/>
  <c r="H48" i="10"/>
  <c r="G12" i="7"/>
  <c r="H58" i="9"/>
  <c r="H56" i="10"/>
  <c r="H10" i="9"/>
  <c r="L17" i="6"/>
  <c r="H17" i="10"/>
  <c r="H61" i="9"/>
  <c r="H29" i="10"/>
  <c r="H44" i="8"/>
  <c r="L9" i="6"/>
  <c r="H59" i="8"/>
  <c r="H48" i="8"/>
  <c r="H51" i="10"/>
  <c r="H32" i="9"/>
  <c r="H14" i="10"/>
  <c r="H12" i="8"/>
  <c r="H41" i="8"/>
  <c r="H26" i="8"/>
  <c r="K19" i="6"/>
  <c r="G6" i="9"/>
  <c r="G5" i="7"/>
  <c r="G5" i="12"/>
  <c r="G6" i="10"/>
  <c r="G6" i="8"/>
  <c r="H6" i="15"/>
  <c r="H6" i="13"/>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X5" i="18" a="1"/>
  <c r="L18" i="6"/>
  <c r="M7" i="6"/>
  <c r="K15" i="6"/>
  <c r="Z21" i="6"/>
  <c r="K8" i="6"/>
  <c r="L22" i="6"/>
  <c r="Z8" i="6"/>
  <c r="M13" i="6"/>
  <c r="K16" i="6"/>
  <c r="L15" i="6"/>
  <c r="Z17" i="6"/>
  <c r="L12" i="6"/>
  <c r="L10" i="6"/>
  <c r="Z19" i="6"/>
  <c r="Z16" i="6"/>
  <c r="Z10" i="6"/>
  <c r="Z18" i="6"/>
  <c r="L16" i="6"/>
  <c r="M20" i="6"/>
  <c r="L8" i="6"/>
  <c r="Z20" i="6"/>
  <c r="Z11" i="6"/>
  <c r="K14" i="6"/>
  <c r="K21" i="6"/>
  <c r="Z22" i="6"/>
  <c r="M11" i="6"/>
  <c r="Z12" i="6"/>
  <c r="Z13" i="6"/>
  <c r="K18" i="6"/>
  <c r="W9" i="6"/>
  <c r="M9" i="6"/>
  <c r="K10" i="6"/>
  <c r="Z15" i="6"/>
  <c r="M19" i="6"/>
  <c r="K17" i="6"/>
  <c r="L21" i="6"/>
  <c r="K22" i="6"/>
  <c r="Z14" i="6"/>
  <c r="K12" i="6"/>
  <c r="H6" i="8"/>
  <c r="J5" i="6"/>
  <c r="H6" i="10"/>
  <c r="H6" i="9"/>
  <c r="X8" i="18" l="1"/>
  <c r="X7" i="18"/>
  <c r="X5" i="18"/>
  <c r="X6" i="18"/>
  <c r="X9" i="18"/>
  <c r="X10" i="18"/>
  <c r="M15" i="6"/>
  <c r="M16" i="6"/>
  <c r="M18" i="6"/>
  <c r="M8" i="6"/>
  <c r="W15" i="6"/>
  <c r="W11" i="6"/>
  <c r="W18" i="6"/>
  <c r="M10" i="6"/>
  <c r="W17" i="6"/>
  <c r="W16" i="6"/>
  <c r="M12" i="6"/>
  <c r="W14" i="6"/>
  <c r="W19" i="6"/>
  <c r="M14" i="6"/>
  <c r="W12" i="6"/>
  <c r="W20" i="6"/>
  <c r="M21" i="6"/>
  <c r="W13" i="6"/>
  <c r="W21" i="6"/>
  <c r="M22" i="6"/>
  <c r="W8" i="6"/>
  <c r="M17" i="6"/>
  <c r="W22" i="6"/>
  <c r="AA9" i="6"/>
  <c r="W10" i="6"/>
  <c r="L5" i="6"/>
  <c r="AB9" i="6" l="1"/>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A17" i="6"/>
  <c r="AA20" i="6"/>
  <c r="AA14" i="6"/>
  <c r="AA8" i="6"/>
  <c r="AC9" i="6"/>
  <c r="AA10" i="6"/>
  <c r="AA19" i="6"/>
  <c r="AA18" i="6"/>
  <c r="AA16" i="6"/>
  <c r="AA11" i="6"/>
  <c r="AA15" i="6"/>
  <c r="AA12" i="6"/>
  <c r="AA21" i="6"/>
  <c r="AA22" i="6"/>
  <c r="AA13" i="6"/>
  <c r="AC15" i="6"/>
  <c r="AC7" i="19"/>
  <c r="AC40" i="19"/>
  <c r="AC37" i="19"/>
  <c r="AC8" i="19"/>
  <c r="AC42" i="19"/>
  <c r="AC29" i="19"/>
  <c r="AC28" i="19"/>
  <c r="AC34" i="19"/>
  <c r="AC17" i="19"/>
  <c r="AC31" i="19"/>
  <c r="AC11" i="19"/>
  <c r="AC15" i="19"/>
  <c r="AC18" i="19"/>
  <c r="AC14" i="19"/>
  <c r="AC30" i="19"/>
  <c r="AC24" i="19"/>
  <c r="AC21" i="19"/>
  <c r="AC35" i="19"/>
  <c r="AC20" i="19"/>
  <c r="AC38" i="19"/>
  <c r="AC6" i="19"/>
  <c r="AC27" i="19"/>
  <c r="AC39" i="19"/>
  <c r="AC5" i="19"/>
  <c r="AC32" i="19"/>
  <c r="AC36" i="19"/>
  <c r="AC19" i="19"/>
  <c r="AC41" i="19"/>
  <c r="AC10" i="19"/>
  <c r="AC16" i="19"/>
  <c r="AC22" i="19"/>
  <c r="AC26" i="19"/>
  <c r="AC12" i="19"/>
  <c r="AC25" i="19"/>
  <c r="AC9" i="19"/>
  <c r="AC23" i="19"/>
  <c r="AC13" i="19"/>
  <c r="AC33" i="19"/>
  <c r="AC3" i="19" s="1"/>
  <c r="AB10" i="6" l="1"/>
  <c r="AD10" i="6" s="1"/>
  <c r="AB11" i="6"/>
  <c r="AD11" i="6" s="1"/>
  <c r="AB13" i="6"/>
  <c r="AD13" i="6" s="1"/>
  <c r="AB21" i="6"/>
  <c r="AD21" i="6" s="1"/>
  <c r="AB14" i="6"/>
  <c r="AD14" i="6" s="1"/>
  <c r="AB16" i="6"/>
  <c r="AD16" i="6" s="1"/>
  <c r="AB17" i="6"/>
  <c r="AD17" i="6" s="1"/>
  <c r="AB20" i="6"/>
  <c r="AD20" i="6" s="1"/>
  <c r="AB22" i="6"/>
  <c r="AD22" i="6" s="1"/>
  <c r="AB19" i="6"/>
  <c r="AD19" i="6" s="1"/>
  <c r="AB8" i="6"/>
  <c r="AD8" i="6" s="1"/>
  <c r="AB12" i="6"/>
  <c r="AD12" i="6" s="1"/>
  <c r="AB15" i="6"/>
  <c r="AD15" i="6" s="1"/>
  <c r="AB18" i="6"/>
  <c r="AD18" i="6" s="1"/>
  <c r="Y40" i="18"/>
  <c r="Y41" i="18"/>
  <c r="AC19" i="6"/>
  <c r="AC22" i="6"/>
  <c r="AC20" i="6"/>
  <c r="AC16" i="6"/>
  <c r="AC14" i="6"/>
  <c r="AC18" i="6"/>
  <c r="AC11" i="6"/>
  <c r="AC10" i="6"/>
  <c r="AC8" i="6"/>
  <c r="AC13" i="6"/>
  <c r="AC21" i="6"/>
  <c r="AC17" i="6"/>
  <c r="AC12" i="6"/>
  <c r="AB2" i="6" l="1"/>
  <c r="Y42" i="18"/>
  <c r="X42" i="18" s="1"/>
  <c r="S3" i="17"/>
  <c r="AJ7" i="18" l="1"/>
  <c r="X5" i="17" a="1"/>
  <c r="AC34" i="18"/>
  <c r="AC42" i="18"/>
  <c r="AC35" i="18"/>
  <c r="AC24" i="18"/>
  <c r="AC29" i="18"/>
  <c r="AC23" i="18"/>
  <c r="AC28" i="18"/>
  <c r="AC41" i="18"/>
  <c r="AC10" i="18"/>
  <c r="AC36" i="18"/>
  <c r="AC16" i="18"/>
  <c r="AC7" i="18"/>
  <c r="AC11" i="18"/>
  <c r="AC18" i="18"/>
  <c r="AC12" i="18"/>
  <c r="AC19" i="18"/>
  <c r="AC17" i="18"/>
  <c r="AC5" i="18"/>
  <c r="AC33" i="18"/>
  <c r="AC21" i="18"/>
  <c r="AC6" i="18"/>
  <c r="AC22" i="18"/>
  <c r="AC30" i="18"/>
  <c r="AC8" i="18"/>
  <c r="AC26" i="18"/>
  <c r="AC15" i="18"/>
  <c r="AC40" i="18"/>
  <c r="AC20" i="18"/>
  <c r="AC9" i="18"/>
  <c r="AC14" i="18"/>
  <c r="AC37" i="18"/>
  <c r="AC39" i="18"/>
  <c r="AC13" i="18"/>
  <c r="AC38" i="18"/>
  <c r="AC25" i="18"/>
  <c r="AC32" i="18"/>
  <c r="AC31" i="18"/>
  <c r="AC27"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M6" i="25" a="1"/>
  <c r="Y3" i="30"/>
  <c r="Y3" i="29"/>
  <c r="AC3" i="31"/>
  <c r="AC3" i="32"/>
  <c r="M7" i="25" l="1"/>
  <c r="M6" i="25"/>
  <c r="M8" i="25"/>
  <c r="AC8" i="17"/>
  <c r="AC9" i="17"/>
  <c r="AC6" i="17"/>
  <c r="AC14" i="17"/>
  <c r="AC19" i="17"/>
  <c r="AC38" i="17"/>
  <c r="AC10" i="17"/>
  <c r="AC11" i="17"/>
  <c r="AC31" i="17"/>
  <c r="AC7" i="17"/>
  <c r="AC21" i="17"/>
  <c r="AC28" i="17"/>
  <c r="AC22" i="17"/>
  <c r="AC13" i="17"/>
  <c r="AC5" i="17"/>
  <c r="AC29" i="17"/>
  <c r="AC15" i="17"/>
  <c r="AC35" i="17"/>
  <c r="AC40" i="17"/>
  <c r="AC27" i="17"/>
  <c r="AC34" i="17"/>
  <c r="AC32" i="17"/>
  <c r="AC41" i="17"/>
  <c r="AC25" i="17"/>
  <c r="AC12" i="17"/>
  <c r="AC33" i="17"/>
  <c r="AC24" i="17"/>
  <c r="AC26" i="17"/>
  <c r="AC30" i="17"/>
  <c r="AC18" i="17"/>
  <c r="AC42" i="17"/>
  <c r="AC16" i="17"/>
  <c r="AC37" i="17"/>
  <c r="AC20" i="17"/>
  <c r="AC39" i="17"/>
  <c r="AC36" i="17"/>
  <c r="AC17" i="17"/>
  <c r="AC23" i="17"/>
  <c r="M9" i="25" l="1"/>
  <c r="M7" i="24" a="1"/>
  <c r="AC3" i="17"/>
  <c r="M7" i="24" l="1"/>
  <c r="M8" i="24"/>
  <c r="M9" i="24"/>
  <c r="M10" i="24"/>
  <c r="Z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W3" i="22"/>
  <c r="P3" i="21"/>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13" i="24"/>
  <c r="F29" i="24"/>
  <c r="AK7" i="24" a="1"/>
  <c r="F45" i="24"/>
  <c r="F16" i="24"/>
  <c r="F38" i="24"/>
  <c r="F36" i="24"/>
  <c r="F21" i="24"/>
  <c r="F9" i="24"/>
  <c r="F19" i="24"/>
  <c r="F20" i="24"/>
  <c r="F40" i="24"/>
  <c r="F24" i="24"/>
  <c r="F28" i="24"/>
  <c r="F25" i="24"/>
  <c r="F17" i="24"/>
  <c r="F43" i="24"/>
  <c r="F22" i="24"/>
  <c r="F14" i="24"/>
  <c r="F34" i="24"/>
  <c r="F10" i="24"/>
  <c r="F11" i="24"/>
  <c r="F30" i="24"/>
  <c r="F23" i="24"/>
  <c r="F18" i="24"/>
  <c r="F27" i="24"/>
  <c r="F35" i="24"/>
  <c r="F15" i="24"/>
  <c r="F8" i="24"/>
  <c r="F42" i="24"/>
  <c r="F37" i="24"/>
  <c r="F12" i="24"/>
  <c r="F31" i="24"/>
  <c r="F7" i="24"/>
  <c r="F39" i="24"/>
  <c r="F44" i="24"/>
  <c r="F26" i="24"/>
  <c r="F47" i="24"/>
  <c r="F41" i="24"/>
  <c r="F46" i="24"/>
  <c r="F33" i="24"/>
  <c r="F48" i="24"/>
  <c r="F32" i="24"/>
  <c r="Z4" i="23"/>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29" i="24"/>
  <c r="G21" i="24"/>
  <c r="G27" i="24"/>
  <c r="G43" i="24"/>
  <c r="G26" i="24"/>
  <c r="G32" i="24"/>
  <c r="G34" i="24"/>
  <c r="G8" i="24"/>
  <c r="G20" i="24"/>
  <c r="G47" i="24"/>
  <c r="G23" i="24"/>
  <c r="G28" i="24"/>
  <c r="G36" i="24"/>
  <c r="G9" i="24"/>
  <c r="G13" i="24"/>
  <c r="G31" i="24"/>
  <c r="G48" i="24"/>
  <c r="G22" i="24"/>
  <c r="G46" i="24"/>
  <c r="G45" i="24"/>
  <c r="G15" i="24"/>
  <c r="G30" i="24"/>
  <c r="G19" i="24"/>
  <c r="G39" i="24"/>
  <c r="G7" i="24"/>
  <c r="G16" i="24"/>
  <c r="G18" i="24"/>
  <c r="G17" i="24"/>
  <c r="G11" i="24"/>
  <c r="G24" i="24"/>
  <c r="G44" i="24"/>
  <c r="G38" i="24"/>
  <c r="G41" i="24"/>
  <c r="G40" i="24"/>
  <c r="G14" i="24"/>
  <c r="G33" i="24"/>
  <c r="G10" i="24"/>
  <c r="G42" i="24"/>
  <c r="G12" i="24"/>
  <c r="G35" i="24"/>
  <c r="G37" i="24"/>
  <c r="G25" i="24"/>
  <c r="Z28" i="24"/>
  <c r="Z30" i="24"/>
  <c r="Z10" i="24"/>
  <c r="Z19" i="24"/>
  <c r="Z15" i="24"/>
  <c r="Z37" i="24"/>
  <c r="Z23" i="24"/>
  <c r="Z9" i="24"/>
  <c r="Z26" i="24"/>
  <c r="Z40" i="24"/>
  <c r="Z48" i="24"/>
  <c r="Z38" i="24"/>
  <c r="Z13" i="24"/>
  <c r="Z44" i="24"/>
  <c r="Z16" i="24"/>
  <c r="Z36" i="24"/>
  <c r="Z32" i="24"/>
  <c r="Z27" i="24"/>
  <c r="Z47" i="24"/>
  <c r="Z7" i="24"/>
  <c r="Z34" i="24"/>
  <c r="Z8" i="24"/>
  <c r="Z12" i="24"/>
  <c r="Z45" i="24"/>
  <c r="Z18" i="24"/>
  <c r="Z25" i="24"/>
  <c r="Z43" i="24"/>
  <c r="Z35" i="24"/>
  <c r="Z17" i="24"/>
  <c r="Z21" i="24"/>
  <c r="Z29" i="24"/>
  <c r="Z22" i="24"/>
  <c r="Z41" i="24"/>
  <c r="Z42" i="24"/>
  <c r="Z46" i="24"/>
  <c r="Z31" i="24"/>
  <c r="Z24" i="24"/>
  <c r="Z33" i="24"/>
  <c r="Z39" i="24"/>
  <c r="Z11" i="24"/>
  <c r="Z20" i="24"/>
  <c r="Z14"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23" i="24"/>
  <c r="AN18" i="24"/>
  <c r="AN46" i="24"/>
  <c r="AN8" i="24"/>
  <c r="AN33" i="24"/>
  <c r="AN37" i="24"/>
  <c r="AN24" i="24"/>
  <c r="AN25" i="24"/>
  <c r="AN34" i="24"/>
  <c r="AN13" i="24"/>
  <c r="AO13" i="24" s="1"/>
  <c r="AN47" i="24"/>
  <c r="AN12" i="24"/>
  <c r="AN31" i="24"/>
  <c r="AN14" i="24"/>
  <c r="AN42" i="24"/>
  <c r="AN7" i="24"/>
  <c r="AN27" i="24"/>
  <c r="AO47" i="24"/>
  <c r="AN16" i="24"/>
  <c r="AO16" i="24" s="1"/>
  <c r="AN17" i="24"/>
  <c r="AO17" i="24" s="1"/>
  <c r="AO34" i="24"/>
  <c r="AN41" i="24"/>
  <c r="AO41" i="24" s="1"/>
  <c r="AN21" i="24"/>
  <c r="AO7" i="24"/>
  <c r="AO24" i="24"/>
  <c r="AN40" i="24"/>
  <c r="AN20" i="24"/>
  <c r="AN39" i="24"/>
  <c r="AO39" i="24" s="1"/>
  <c r="AO40" i="24"/>
  <c r="AN22" i="24"/>
  <c r="AN10" i="24"/>
  <c r="AO33" i="24"/>
  <c r="AN15" i="24"/>
  <c r="AN35" i="24"/>
  <c r="AN11" i="24"/>
  <c r="AO11" i="24" s="1"/>
  <c r="AN30" i="24"/>
  <c r="AO30" i="24" s="1"/>
  <c r="AN28" i="24"/>
  <c r="AN29" i="24"/>
  <c r="AO35" i="24"/>
  <c r="AO23" i="24"/>
  <c r="AO18" i="24"/>
  <c r="AN9" i="24"/>
  <c r="AO9" i="24" s="1"/>
  <c r="AO42" i="24"/>
  <c r="AN32" i="24"/>
  <c r="AN19" i="24"/>
  <c r="AN36" i="24"/>
  <c r="AN48" i="24"/>
  <c r="AO48" i="24" s="1"/>
  <c r="AN38" i="24"/>
  <c r="AN43" i="24"/>
  <c r="AN26" i="24"/>
  <c r="AO26" i="24" s="1"/>
  <c r="AN44" i="24"/>
  <c r="AN45" i="24"/>
  <c r="AO12" i="24"/>
  <c r="O3" i="36"/>
  <c r="O3" i="35"/>
  <c r="Z5" i="24"/>
  <c r="AN6" i="24"/>
  <c r="J2" i="47"/>
  <c r="J2" i="48"/>
  <c r="AO6" i="24"/>
  <c r="K2" i="47"/>
  <c r="D7" i="67"/>
  <c r="J2" i="50"/>
  <c r="K2" i="50" s="1"/>
  <c r="K2" i="48"/>
  <c r="AO45" i="24"/>
  <c r="AO28" i="24"/>
  <c r="AO31" i="24"/>
  <c r="AO44" i="24"/>
  <c r="AO15" i="24"/>
  <c r="AO25" i="24"/>
  <c r="AO43" i="24"/>
  <c r="AO10" i="24"/>
  <c r="AO37" i="24"/>
  <c r="AO38" i="24"/>
  <c r="AO22" i="24"/>
  <c r="AO8" i="24"/>
  <c r="AO36" i="24"/>
  <c r="AO20" i="24"/>
  <c r="AO46" i="24"/>
  <c r="AO19" i="24"/>
  <c r="AO21" i="24"/>
  <c r="AO32" i="24"/>
  <c r="AO27" i="24"/>
  <c r="AO29" i="24"/>
  <c r="AO14" i="24"/>
</calcChain>
</file>

<file path=xl/sharedStrings.xml><?xml version="1.0" encoding="utf-8"?>
<sst xmlns="http://schemas.openxmlformats.org/spreadsheetml/2006/main" count="4355" uniqueCount="404">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</sst>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1">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69" fontId="10"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5" fillId="3" borderId="16"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8" borderId="0" xfId="1" applyFill="1"/>
    <xf numFmtId="0" fontId="5" fillId="8" borderId="0" xfId="1" applyFont="1" applyFill="1" applyBorder="1"/>
    <xf numFmtId="0" fontId="10" fillId="0" borderId="16" xfId="1" applyFont="1" applyFill="1" applyBorder="1" applyAlignment="1">
      <alignment horizontal="center" vertical="center" wrapText="1"/>
    </xf>
    <xf numFmtId="170" fontId="5" fillId="9" borderId="17" xfId="4" applyNumberFormat="1" applyFont="1" applyFill="1" applyBorder="1" applyAlignment="1">
      <alignment horizontal="center"/>
    </xf>
    <xf numFmtId="170" fontId="5" fillId="9" borderId="22" xfId="4" applyNumberFormat="1" applyFont="1" applyFill="1" applyBorder="1" applyAlignment="1">
      <alignment horizontal="center"/>
    </xf>
    <xf numFmtId="170" fontId="5" fillId="9"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0" borderId="10" xfId="1" applyFont="1" applyFill="1" applyBorder="1"/>
    <xf numFmtId="0" fontId="12" fillId="10" borderId="9" xfId="1" applyFont="1" applyFill="1" applyBorder="1"/>
    <xf numFmtId="0" fontId="12" fillId="10" borderId="8" xfId="1" applyFont="1" applyFill="1" applyBorder="1"/>
    <xf numFmtId="0" fontId="12" fillId="10" borderId="7" xfId="1" applyFont="1" applyFill="1" applyBorder="1"/>
    <xf numFmtId="0" fontId="12" fillId="10" borderId="0" xfId="1" applyFont="1" applyFill="1" applyBorder="1"/>
    <xf numFmtId="0" fontId="12" fillId="10" borderId="5" xfId="1" applyFont="1" applyFill="1" applyBorder="1" applyAlignment="1">
      <alignment horizontal="center"/>
    </xf>
    <xf numFmtId="0" fontId="12" fillId="10" borderId="5" xfId="1" applyFont="1" applyFill="1" applyBorder="1"/>
    <xf numFmtId="0" fontId="23" fillId="10" borderId="4" xfId="1" applyFont="1" applyFill="1" applyBorder="1"/>
    <xf numFmtId="0" fontId="5" fillId="10" borderId="4" xfId="1" applyFont="1" applyFill="1" applyBorder="1"/>
    <xf numFmtId="0" fontId="12" fillId="10"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9"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9" borderId="22" xfId="11" quotePrefix="1" applyNumberFormat="1" applyFont="1" applyFill="1" applyBorder="1" applyAlignment="1"/>
    <xf numFmtId="170" fontId="19" fillId="9"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9" borderId="17" xfId="14" quotePrefix="1" applyNumberFormat="1" applyFont="1" applyFill="1" applyBorder="1"/>
    <xf numFmtId="170" fontId="19" fillId="9" borderId="22" xfId="14" quotePrefix="1" applyNumberFormat="1" applyFont="1" applyFill="1" applyBorder="1"/>
    <xf numFmtId="170" fontId="19" fillId="9"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80147968"/>
        <c:axId val="380154240"/>
      </c:scatterChart>
      <c:valAx>
        <c:axId val="38014796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0154240"/>
        <c:crosses val="autoZero"/>
        <c:crossBetween val="midCat"/>
      </c:valAx>
      <c:valAx>
        <c:axId val="38015424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014796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80753024"/>
        <c:axId val="380754944"/>
      </c:scatterChart>
      <c:valAx>
        <c:axId val="38075302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0754944"/>
        <c:crosses val="autoZero"/>
        <c:crossBetween val="midCat"/>
      </c:valAx>
      <c:valAx>
        <c:axId val="38075494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075302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06" customWidth="1"/>
    <col min="3" max="3" width="14.85546875" style="406" bestFit="1" customWidth="1"/>
    <col min="4" max="4" width="21.42578125" style="406" bestFit="1" customWidth="1"/>
    <col min="5" max="5" width="20.7109375" style="406" bestFit="1" customWidth="1"/>
    <col min="6" max="8" width="2.7109375" style="406" customWidth="1"/>
    <col min="9" max="9" width="12.140625" style="406" bestFit="1" customWidth="1"/>
    <col min="10" max="10" width="53.7109375" style="406" bestFit="1" customWidth="1"/>
    <col min="11" max="11" width="2.7109375" style="406" customWidth="1"/>
    <col min="12" max="16384" width="9.140625" style="406"/>
  </cols>
  <sheetData>
    <row r="1" spans="1:11" ht="13.5" thickBot="1" x14ac:dyDescent="0.25">
      <c r="A1" s="406" t="s">
        <v>293</v>
      </c>
      <c r="B1" s="406" t="str">
        <f>_xll.qlxlVersion(TRUE,Trigger)</f>
        <v>QuantLibXL 1.3.0 - MS VC++ 9.0 - Multithreaded Static Runtime library - Release Configuration - Dec  5 2013 11:03:51</v>
      </c>
    </row>
    <row r="2" spans="1:11" ht="15.75" x14ac:dyDescent="0.25">
      <c r="B2" s="586" t="s">
        <v>292</v>
      </c>
      <c r="C2" s="587"/>
      <c r="D2" s="587"/>
      <c r="E2" s="587"/>
      <c r="F2" s="588"/>
      <c r="H2" s="586" t="s">
        <v>20</v>
      </c>
      <c r="I2" s="587"/>
      <c r="J2" s="587"/>
      <c r="K2" s="588"/>
    </row>
    <row r="3" spans="1:11" x14ac:dyDescent="0.2">
      <c r="B3" s="391"/>
      <c r="C3" s="405"/>
      <c r="D3" s="405"/>
      <c r="E3" s="405"/>
      <c r="F3" s="404"/>
      <c r="H3" s="9"/>
      <c r="I3" s="12"/>
      <c r="J3" s="12"/>
      <c r="K3" s="5"/>
    </row>
    <row r="4" spans="1:11" x14ac:dyDescent="0.2">
      <c r="B4" s="391"/>
      <c r="C4" s="494" t="s">
        <v>13</v>
      </c>
      <c r="D4" s="497" t="s">
        <v>110</v>
      </c>
      <c r="E4" s="401"/>
      <c r="F4" s="393"/>
      <c r="H4" s="9"/>
      <c r="I4" s="15" t="s">
        <v>19</v>
      </c>
      <c r="J4" s="14">
        <v>41669.625439814816</v>
      </c>
      <c r="K4" s="13"/>
    </row>
    <row r="5" spans="1:11" x14ac:dyDescent="0.2">
      <c r="B5" s="391"/>
      <c r="C5" s="495" t="s">
        <v>19</v>
      </c>
      <c r="D5" s="498">
        <v>41479.711631944447</v>
      </c>
      <c r="E5" s="401"/>
      <c r="F5" s="393"/>
      <c r="H5" s="9"/>
      <c r="I5" s="15" t="s">
        <v>18</v>
      </c>
      <c r="J5" s="14" t="b">
        <v>1</v>
      </c>
      <c r="K5" s="13"/>
    </row>
    <row r="6" spans="1:11" x14ac:dyDescent="0.2">
      <c r="B6" s="391"/>
      <c r="C6" s="495" t="s">
        <v>291</v>
      </c>
      <c r="D6" s="499" t="s">
        <v>290</v>
      </c>
      <c r="E6" s="401"/>
      <c r="F6" s="393"/>
      <c r="H6" s="9"/>
      <c r="I6" s="15" t="s">
        <v>17</v>
      </c>
      <c r="J6" s="14" t="b">
        <v>0</v>
      </c>
      <c r="K6" s="13"/>
    </row>
    <row r="7" spans="1:11" x14ac:dyDescent="0.2">
      <c r="B7" s="391"/>
      <c r="C7" s="495" t="s">
        <v>289</v>
      </c>
      <c r="D7" s="500">
        <f ca="1">_xll.ohTrigger(Deposits!P3,FRA!W3,Futures3M!Z5,FuturesHWConvAdj!Q3,Swaps1M!Y3,Swap3M!AC3,SwapsIMMDated!Y3,Swap6M!AC3,BasisSwap1MxM!AC3,BasisSwap3M6M!AC3,BasisSwapxM12M!AC3,OIS!Y3)</f>
        <v>86</v>
      </c>
      <c r="E7" s="401"/>
      <c r="F7" s="393"/>
      <c r="H7" s="9"/>
      <c r="I7" s="15" t="s">
        <v>16</v>
      </c>
      <c r="J7" s="14" t="b">
        <v>1</v>
      </c>
      <c r="K7" s="13"/>
    </row>
    <row r="8" spans="1:11" x14ac:dyDescent="0.2">
      <c r="B8" s="391"/>
      <c r="C8" s="495" t="s">
        <v>288</v>
      </c>
      <c r="D8" s="500" t="s">
        <v>287</v>
      </c>
      <c r="E8" s="401"/>
      <c r="F8" s="393"/>
      <c r="H8" s="9"/>
      <c r="I8" s="15" t="s">
        <v>15</v>
      </c>
      <c r="J8" s="20" t="str">
        <f ca="1">SUBSTITUTE(LEFT(CELL("filename",A1),FIND("[",CELL("filename",A1),1)-1),"\XLS\","\XML\")</f>
        <v>C:\Users\erik\Documents\repos\quantlib_nando\QuantLibXL\Data2\XML\</v>
      </c>
      <c r="K8" s="13"/>
    </row>
    <row r="9" spans="1:11" x14ac:dyDescent="0.2">
      <c r="B9" s="391"/>
      <c r="C9" s="496" t="s">
        <v>316</v>
      </c>
      <c r="D9" s="501">
        <f>_xll.qlSettingsEvaluationDate(Trigger)</f>
        <v>41656</v>
      </c>
      <c r="E9" s="401"/>
      <c r="F9" s="393"/>
      <c r="H9" s="9"/>
      <c r="I9" s="15" t="s">
        <v>14</v>
      </c>
      <c r="J9" s="19" t="b">
        <v>1</v>
      </c>
      <c r="K9" s="13"/>
    </row>
    <row r="10" spans="1:11" x14ac:dyDescent="0.2">
      <c r="B10" s="391"/>
      <c r="C10" s="401"/>
      <c r="D10" s="314"/>
      <c r="E10" s="401"/>
      <c r="F10" s="393"/>
      <c r="H10" s="9"/>
      <c r="I10" s="15" t="s">
        <v>13</v>
      </c>
      <c r="J10" s="36" t="s">
        <v>110</v>
      </c>
      <c r="K10" s="13"/>
    </row>
    <row r="11" spans="1:11" ht="13.5" thickBot="1" x14ac:dyDescent="0.25">
      <c r="B11" s="391"/>
      <c r="C11" s="403" t="s">
        <v>235</v>
      </c>
      <c r="D11" s="402" t="s">
        <v>286</v>
      </c>
      <c r="E11" s="401"/>
      <c r="F11" s="393"/>
      <c r="H11" s="4"/>
      <c r="I11" s="3"/>
      <c r="J11" s="3"/>
      <c r="K11" s="2"/>
    </row>
    <row r="12" spans="1:11" ht="13.5" thickBot="1" x14ac:dyDescent="0.25">
      <c r="B12" s="391"/>
      <c r="C12" s="400" t="s">
        <v>225</v>
      </c>
      <c r="D12" s="399" t="str">
        <f>""</f>
        <v/>
      </c>
      <c r="E12" s="401"/>
      <c r="F12" s="393"/>
    </row>
    <row r="13" spans="1:11" ht="15.75" x14ac:dyDescent="0.25">
      <c r="B13" s="391"/>
      <c r="C13" s="400" t="s">
        <v>224</v>
      </c>
      <c r="D13" s="399" t="s">
        <v>223</v>
      </c>
      <c r="E13" s="396"/>
      <c r="F13" s="393"/>
      <c r="H13" s="586" t="s">
        <v>136</v>
      </c>
      <c r="I13" s="587"/>
      <c r="J13" s="587"/>
      <c r="K13" s="588"/>
    </row>
    <row r="14" spans="1:11" x14ac:dyDescent="0.2">
      <c r="B14" s="391"/>
      <c r="C14" s="400" t="s">
        <v>222</v>
      </c>
      <c r="D14" s="399" t="s">
        <v>222</v>
      </c>
      <c r="E14" s="396"/>
      <c r="F14" s="393"/>
      <c r="H14" s="9"/>
      <c r="I14" s="12"/>
      <c r="J14" s="12"/>
      <c r="K14" s="5"/>
    </row>
    <row r="15" spans="1:11" x14ac:dyDescent="0.2">
      <c r="B15" s="391"/>
      <c r="C15" s="400" t="s">
        <v>221</v>
      </c>
      <c r="D15" s="399" t="s">
        <v>220</v>
      </c>
      <c r="E15" s="396"/>
      <c r="F15" s="393"/>
      <c r="H15" s="9"/>
      <c r="I15" s="15" t="s">
        <v>135</v>
      </c>
      <c r="J15" s="19" t="s">
        <v>134</v>
      </c>
      <c r="K15" s="13"/>
    </row>
    <row r="16" spans="1:11" x14ac:dyDescent="0.2">
      <c r="B16" s="391"/>
      <c r="C16" s="400" t="s">
        <v>219</v>
      </c>
      <c r="D16" s="399" t="s">
        <v>218</v>
      </c>
      <c r="E16" s="396"/>
      <c r="F16" s="393"/>
      <c r="H16" s="9"/>
      <c r="I16" s="15" t="s">
        <v>133</v>
      </c>
      <c r="J16" s="102">
        <v>1E-4</v>
      </c>
      <c r="K16" s="13"/>
    </row>
    <row r="17" spans="2:11" x14ac:dyDescent="0.2">
      <c r="B17" s="391"/>
      <c r="C17" s="400" t="s">
        <v>217</v>
      </c>
      <c r="D17" s="399" t="s">
        <v>216</v>
      </c>
      <c r="E17" s="396"/>
      <c r="F17" s="393"/>
      <c r="H17" s="9"/>
      <c r="I17" s="15" t="s">
        <v>132</v>
      </c>
      <c r="J17" s="101">
        <v>-0.01</v>
      </c>
      <c r="K17" s="13"/>
    </row>
    <row r="18" spans="2:11" x14ac:dyDescent="0.2">
      <c r="B18" s="391"/>
      <c r="C18" s="398" t="s">
        <v>215</v>
      </c>
      <c r="D18" s="397" t="s">
        <v>213</v>
      </c>
      <c r="E18" s="396"/>
      <c r="F18" s="393"/>
      <c r="H18" s="9"/>
      <c r="I18" s="15" t="s">
        <v>41</v>
      </c>
      <c r="J18" s="14" t="s">
        <v>40</v>
      </c>
      <c r="K18" s="13"/>
    </row>
    <row r="19" spans="2:11" x14ac:dyDescent="0.2">
      <c r="B19" s="391"/>
      <c r="C19" s="390"/>
      <c r="D19" s="390"/>
      <c r="E19" s="390"/>
      <c r="F19" s="393"/>
      <c r="H19" s="9"/>
      <c r="I19" s="15" t="s">
        <v>106</v>
      </c>
      <c r="J19" s="14" t="s">
        <v>105</v>
      </c>
      <c r="K19" s="13"/>
    </row>
    <row r="20" spans="2:11" ht="13.5" thickBot="1" x14ac:dyDescent="0.25">
      <c r="B20" s="391"/>
      <c r="C20" s="390"/>
      <c r="D20" s="390"/>
      <c r="E20" s="390"/>
      <c r="F20" s="393"/>
      <c r="H20" s="4"/>
      <c r="I20" s="3"/>
      <c r="J20" s="3"/>
      <c r="K20" s="2"/>
    </row>
    <row r="21" spans="2:11" x14ac:dyDescent="0.2">
      <c r="B21" s="391"/>
      <c r="C21" s="390"/>
      <c r="D21" s="389" t="s">
        <v>285</v>
      </c>
      <c r="E21" s="395">
        <v>41479.71230324074</v>
      </c>
      <c r="F21" s="49"/>
    </row>
    <row r="22" spans="2:11" x14ac:dyDescent="0.2">
      <c r="B22" s="391"/>
      <c r="C22" s="390"/>
      <c r="D22" s="394"/>
      <c r="E22" s="392"/>
      <c r="F22" s="393"/>
    </row>
    <row r="23" spans="2:11" x14ac:dyDescent="0.2">
      <c r="B23" s="391"/>
      <c r="C23" s="390"/>
      <c r="D23" s="389"/>
      <c r="E23" s="392"/>
      <c r="F23" s="49"/>
    </row>
    <row r="24" spans="2:11" ht="11.25" customHeight="1" x14ac:dyDescent="0.2">
      <c r="B24" s="391"/>
      <c r="C24" s="390"/>
      <c r="D24" s="389" t="s">
        <v>284</v>
      </c>
      <c r="E24" s="388" t="b">
        <v>0</v>
      </c>
      <c r="F24" s="49"/>
    </row>
    <row r="25" spans="2:11" ht="13.5" thickBot="1" x14ac:dyDescent="0.25">
      <c r="B25" s="387"/>
      <c r="C25" s="47"/>
      <c r="D25" s="47"/>
      <c r="E25" s="47"/>
      <c r="F25" s="46"/>
    </row>
    <row r="26" spans="2:11" x14ac:dyDescent="0.2">
      <c r="C26" s="407"/>
      <c r="D26" s="407"/>
      <c r="E26" s="407"/>
      <c r="F26" s="407"/>
    </row>
    <row r="27" spans="2:11" x14ac:dyDescent="0.2">
      <c r="C27" s="407"/>
      <c r="D27" s="407"/>
      <c r="E27" s="407"/>
      <c r="F27" s="407"/>
    </row>
    <row r="28" spans="2:11" x14ac:dyDescent="0.2">
      <c r="C28" s="407"/>
      <c r="D28" s="407"/>
      <c r="E28" s="407"/>
      <c r="F28" s="407"/>
    </row>
    <row r="29" spans="2:11" x14ac:dyDescent="0.2">
      <c r="C29" s="407"/>
      <c r="D29" s="407"/>
      <c r="E29" s="407"/>
      <c r="F29" s="407"/>
    </row>
    <row r="30" spans="2:11" x14ac:dyDescent="0.2">
      <c r="C30" s="407"/>
      <c r="D30" s="407"/>
      <c r="E30" s="407"/>
      <c r="F30" s="407"/>
    </row>
    <row r="31" spans="2:11" x14ac:dyDescent="0.2">
      <c r="C31" s="407"/>
      <c r="D31" s="407"/>
      <c r="E31" s="407"/>
      <c r="F31" s="40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26" t="s">
        <v>317</v>
      </c>
      <c r="Q1" s="426"/>
      <c r="R1" s="426"/>
      <c r="S1" s="431"/>
      <c r="T1" s="439"/>
      <c r="U1" s="477"/>
      <c r="V1" s="477"/>
      <c r="W1" s="426"/>
      <c r="X1" s="431"/>
      <c r="Y1" s="426"/>
      <c r="Z1" s="426"/>
      <c r="AA1" s="426"/>
      <c r="AB1" s="426"/>
      <c r="AC1" s="426"/>
      <c r="AD1" s="426"/>
      <c r="AE1" s="426"/>
      <c r="AF1" s="426"/>
    </row>
    <row r="2" spans="1:32" s="21" customFormat="1" ht="19.5" x14ac:dyDescent="0.4">
      <c r="B2" s="41"/>
      <c r="C2" s="40"/>
      <c r="D2" s="40"/>
      <c r="E2" s="40"/>
      <c r="F2" s="40"/>
      <c r="G2" s="40"/>
      <c r="H2" s="40"/>
      <c r="I2" s="39"/>
      <c r="J2" s="38"/>
      <c r="K2" s="38"/>
      <c r="L2" s="38"/>
      <c r="M2" s="38"/>
      <c r="N2" s="37"/>
      <c r="P2" s="426"/>
      <c r="Q2" s="476"/>
      <c r="R2" s="470"/>
      <c r="S2" s="475" t="str">
        <f>VLOOKUP(Currency,Traits,2,FALSE)</f>
        <v>IBOR</v>
      </c>
      <c r="T2" s="474"/>
      <c r="U2" s="473"/>
      <c r="V2" s="473"/>
      <c r="W2" s="470"/>
      <c r="X2" s="470"/>
      <c r="Y2" s="472" t="str">
        <f>VLOOKUP(Currency,Traits,3,FALSE)</f>
        <v>ibor</v>
      </c>
      <c r="Z2" s="470"/>
      <c r="AA2" s="470"/>
      <c r="AB2" s="471">
        <f>MAX(AD8:AD22)</f>
        <v>0</v>
      </c>
      <c r="AC2" s="470"/>
      <c r="AD2" s="470"/>
      <c r="AE2" s="469"/>
      <c r="AF2" s="426"/>
    </row>
    <row r="3" spans="1:32" s="21" customFormat="1" ht="33.75" x14ac:dyDescent="0.2">
      <c r="B3" s="26"/>
      <c r="C3" s="12"/>
      <c r="D3" s="15" t="s">
        <v>13</v>
      </c>
      <c r="E3" s="14" t="s">
        <v>12</v>
      </c>
      <c r="F3" s="12"/>
      <c r="G3" s="35"/>
      <c r="H3" s="35"/>
      <c r="I3" s="15" t="s">
        <v>41</v>
      </c>
      <c r="J3" s="36" t="s">
        <v>40</v>
      </c>
      <c r="K3" s="34"/>
      <c r="L3" s="34"/>
      <c r="M3" s="34"/>
      <c r="N3" s="27"/>
      <c r="P3" s="426"/>
      <c r="Q3" s="455"/>
      <c r="R3" s="467" t="s">
        <v>39</v>
      </c>
      <c r="S3" s="466" t="e">
        <f ca="1">_xll.RData(S8:S22,T3:U3,,,,T8)</f>
        <v>#NAME?</v>
      </c>
      <c r="T3" s="466" t="s">
        <v>301</v>
      </c>
      <c r="U3" s="466" t="s">
        <v>227</v>
      </c>
      <c r="V3" s="466" t="s">
        <v>300</v>
      </c>
      <c r="W3" s="465" t="s">
        <v>299</v>
      </c>
      <c r="X3" s="468"/>
      <c r="Y3" s="467" t="s">
        <v>238</v>
      </c>
      <c r="Z3" s="466" t="s">
        <v>298</v>
      </c>
      <c r="AA3" s="466" t="s">
        <v>297</v>
      </c>
      <c r="AB3" s="466" t="s">
        <v>296</v>
      </c>
      <c r="AC3" s="465" t="s">
        <v>295</v>
      </c>
      <c r="AD3" s="464"/>
      <c r="AE3" s="445"/>
      <c r="AF3" s="426"/>
    </row>
    <row r="4" spans="1:32" s="21" customFormat="1" x14ac:dyDescent="0.2">
      <c r="B4" s="26"/>
      <c r="C4" s="12"/>
      <c r="D4" s="12"/>
      <c r="E4" s="12"/>
      <c r="F4" s="12"/>
      <c r="G4" s="35"/>
      <c r="H4" s="35"/>
      <c r="I4" s="34"/>
      <c r="J4" s="34"/>
      <c r="K4" s="34"/>
      <c r="L4" s="34"/>
      <c r="M4" s="34"/>
      <c r="N4" s="27"/>
      <c r="P4" s="426"/>
      <c r="Q4" s="455"/>
      <c r="R4" s="502"/>
      <c r="S4" s="503"/>
      <c r="T4" s="503"/>
      <c r="U4" s="503"/>
      <c r="V4" s="503"/>
      <c r="W4" s="504"/>
      <c r="X4" s="468"/>
      <c r="Y4" s="502"/>
      <c r="Z4" s="503"/>
      <c r="AA4" s="503"/>
      <c r="AB4" s="503"/>
      <c r="AC4" s="504"/>
      <c r="AD4" s="505"/>
      <c r="AE4" s="445"/>
      <c r="AF4" s="42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26"/>
      <c r="Q5" s="455"/>
      <c r="R5" s="502"/>
      <c r="S5" s="503"/>
      <c r="T5" s="503"/>
      <c r="U5" s="503"/>
      <c r="V5" s="503"/>
      <c r="W5" s="504"/>
      <c r="X5" s="468"/>
      <c r="Y5" s="502"/>
      <c r="Z5" s="503"/>
      <c r="AA5" s="503"/>
      <c r="AB5" s="503"/>
      <c r="AC5" s="504"/>
      <c r="AD5" s="505"/>
      <c r="AE5" s="445"/>
      <c r="AF5" s="426"/>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26"/>
      <c r="Q6" s="455"/>
      <c r="R6" s="502"/>
      <c r="S6" s="503"/>
      <c r="T6" s="503"/>
      <c r="U6" s="503"/>
      <c r="V6" s="503"/>
      <c r="W6" s="504"/>
      <c r="X6" s="468"/>
      <c r="Y6" s="502"/>
      <c r="Z6" s="503"/>
      <c r="AA6" s="503"/>
      <c r="AB6" s="503"/>
      <c r="AC6" s="504"/>
      <c r="AD6" s="505"/>
      <c r="AE6" s="445"/>
      <c r="AF6" s="426"/>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26"/>
      <c r="Q7" s="455"/>
      <c r="R7" s="502"/>
      <c r="S7" s="503"/>
      <c r="T7" s="503"/>
      <c r="U7" s="503"/>
      <c r="V7" s="503"/>
      <c r="W7" s="504"/>
      <c r="X7" s="468"/>
      <c r="Y7" s="502"/>
      <c r="Z7" s="503"/>
      <c r="AA7" s="503"/>
      <c r="AB7" s="503"/>
      <c r="AC7" s="504"/>
      <c r="AD7" s="505"/>
      <c r="AE7" s="445"/>
      <c r="AF7" s="426"/>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26"/>
      <c r="Q8" s="455"/>
      <c r="R8" s="463" t="s">
        <v>35</v>
      </c>
      <c r="S8" s="458" t="str">
        <f t="shared" ref="S8:S22" si="2">Currency&amp;$S$2&amp;$R8&amp;"D="</f>
        <v>EURIBORSWD=</v>
      </c>
      <c r="T8" s="462">
        <v>41479</v>
      </c>
      <c r="U8" s="461">
        <v>0.107</v>
      </c>
      <c r="V8" s="461" t="b">
        <f>IF(AND(ISNUMBER($U8),$U8&lt;&gt;0%,_xll.ohTrigger(Trigger)+1),TRUE,FALSE)</f>
        <v>1</v>
      </c>
      <c r="W8" s="460" t="b">
        <f>IF($V8,_xll.qlIndexAddFixings($Y8,$T8,$U8/100,TRUE,ISERROR($Z8)),NA())</f>
        <v>1</v>
      </c>
      <c r="X8" s="450"/>
      <c r="Y8" s="459" t="str">
        <f>J8</f>
        <v>EuriborSW#0000</v>
      </c>
      <c r="Z8" s="458" t="e">
        <f>_xll.qlIndexFixing($Y8,$T8,TRUE,$V8)</f>
        <v>#NUM!</v>
      </c>
      <c r="AA8" s="458">
        <f>IF($W8,_xll.qlIndexFixing($Y8,$T8,FALSE,$V8),"-")</f>
        <v>1.07E-3</v>
      </c>
      <c r="AB8" s="458" t="e">
        <f t="shared" ref="AB8:AB22" si="3">Z8-AA8</f>
        <v>#NUM!</v>
      </c>
      <c r="AC8" s="457">
        <f>_xll.qlIndexFixing($Y8,$T8,TRUE,$AA8)</f>
        <v>1.07E-3</v>
      </c>
      <c r="AD8" s="456">
        <f t="shared" ref="AD8:AD22" si="4">IF(ISERROR(AB8),0,ABS(AB8))</f>
        <v>0</v>
      </c>
      <c r="AE8" s="445"/>
      <c r="AF8" s="426"/>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26"/>
      <c r="Q9" s="455"/>
      <c r="R9" s="463" t="s">
        <v>34</v>
      </c>
      <c r="S9" s="458" t="str">
        <f t="shared" si="2"/>
        <v>EURIBOR2WD=</v>
      </c>
      <c r="T9" s="462">
        <v>41479</v>
      </c>
      <c r="U9" s="461">
        <v>0.113</v>
      </c>
      <c r="V9" s="461" t="b">
        <f>IF(AND(ISNUMBER($U9),$U9&lt;&gt;0%,_xll.ohTrigger(Trigger)+1),TRUE,FALSE)</f>
        <v>1</v>
      </c>
      <c r="W9" s="460" t="b">
        <f>IF($V9,_xll.qlIndexAddFixings($Y9,$T9,$U9/100,TRUE,ISERROR($Z9)),NA())</f>
        <v>1</v>
      </c>
      <c r="X9" s="450"/>
      <c r="Y9" s="459" t="str">
        <f t="shared" ref="Y9:Y22" si="5">J9</f>
        <v>Euribor2W#0000</v>
      </c>
      <c r="Z9" s="458" t="e">
        <f>_xll.qlIndexFixing($Y9,$T9,TRUE,$V9)</f>
        <v>#NUM!</v>
      </c>
      <c r="AA9" s="458">
        <f>IF($W9,_xll.qlIndexFixing($Y9,$T9,FALSE,$V9),"-")</f>
        <v>1.1299999999999999E-3</v>
      </c>
      <c r="AB9" s="458" t="e">
        <f t="shared" si="3"/>
        <v>#NUM!</v>
      </c>
      <c r="AC9" s="457">
        <f>_xll.qlIndexFixing($Y9,$T9,TRUE,$AA9)</f>
        <v>1.1299999999999999E-3</v>
      </c>
      <c r="AD9" s="456">
        <f t="shared" si="4"/>
        <v>0</v>
      </c>
      <c r="AE9" s="445"/>
      <c r="AF9" s="426"/>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26"/>
      <c r="Q10" s="455"/>
      <c r="R10" s="463" t="s">
        <v>33</v>
      </c>
      <c r="S10" s="458" t="str">
        <f t="shared" si="2"/>
        <v>EURIBOR3WD=</v>
      </c>
      <c r="T10" s="462">
        <v>41479</v>
      </c>
      <c r="U10" s="461">
        <v>0.121</v>
      </c>
      <c r="V10" s="461" t="b">
        <f>IF(AND(ISNUMBER($U10),$U10&lt;&gt;0%,_xll.ohTrigger(Trigger)+1),TRUE,FALSE)</f>
        <v>1</v>
      </c>
      <c r="W10" s="460" t="b">
        <f>IF($V10,_xll.qlIndexAddFixings($Y10,$T10,$U10/100,TRUE,ISERROR($Z10)),NA())</f>
        <v>1</v>
      </c>
      <c r="X10" s="450"/>
      <c r="Y10" s="459" t="str">
        <f t="shared" si="5"/>
        <v>Euribor3W#0000</v>
      </c>
      <c r="Z10" s="458" t="e">
        <f>_xll.qlIndexFixing($Y10,$T10,TRUE,$V10)</f>
        <v>#NUM!</v>
      </c>
      <c r="AA10" s="458">
        <f>IF($W10,_xll.qlIndexFixing($Y10,$T10,FALSE,$V10),"-")</f>
        <v>1.2099999999999999E-3</v>
      </c>
      <c r="AB10" s="458" t="e">
        <f t="shared" si="3"/>
        <v>#NUM!</v>
      </c>
      <c r="AC10" s="457">
        <f>_xll.qlIndexFixing($Y10,$T10,TRUE,$AA10)</f>
        <v>1.2099999999999999E-3</v>
      </c>
      <c r="AD10" s="456">
        <f t="shared" si="4"/>
        <v>0</v>
      </c>
      <c r="AE10" s="445"/>
      <c r="AF10" s="426"/>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26"/>
      <c r="Q11" s="455"/>
      <c r="R11" s="463" t="s">
        <v>32</v>
      </c>
      <c r="S11" s="458" t="str">
        <f t="shared" si="2"/>
        <v>EURIBOR1MD=</v>
      </c>
      <c r="T11" s="462">
        <v>41479</v>
      </c>
      <c r="U11" s="461">
        <v>0.13100000000000001</v>
      </c>
      <c r="V11" s="461" t="b">
        <f>IF(AND(ISNUMBER($U11),$U11&lt;&gt;0%,_xll.ohTrigger(Trigger)+1),TRUE,FALSE)</f>
        <v>1</v>
      </c>
      <c r="W11" s="460" t="b">
        <f>IF($V11,_xll.qlIndexAddFixings($Y11,$T11,$U11/100,TRUE,ISERROR($Z11)),NA())</f>
        <v>1</v>
      </c>
      <c r="X11" s="450"/>
      <c r="Y11" s="459" t="str">
        <f t="shared" si="5"/>
        <v>Euribor1M#0000</v>
      </c>
      <c r="Z11" s="458" t="e">
        <f>_xll.qlIndexFixing($Y11,$T11,TRUE,$V11)</f>
        <v>#NUM!</v>
      </c>
      <c r="AA11" s="458">
        <f>IF($W11,_xll.qlIndexFixing($Y11,$T11,FALSE,$V11),"-")</f>
        <v>1.31E-3</v>
      </c>
      <c r="AB11" s="458" t="e">
        <f t="shared" si="3"/>
        <v>#NUM!</v>
      </c>
      <c r="AC11" s="457">
        <f>_xll.qlIndexFixing($Y11,$T11,TRUE,$AA11)</f>
        <v>1.31E-3</v>
      </c>
      <c r="AD11" s="456">
        <f t="shared" si="4"/>
        <v>0</v>
      </c>
      <c r="AE11" s="445"/>
      <c r="AF11" s="426"/>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26"/>
      <c r="Q12" s="455"/>
      <c r="R12" s="463" t="s">
        <v>31</v>
      </c>
      <c r="S12" s="458" t="str">
        <f t="shared" si="2"/>
        <v>EURIBOR2MD=</v>
      </c>
      <c r="T12" s="462">
        <v>41479</v>
      </c>
      <c r="U12" s="461">
        <v>0.18099999999999999</v>
      </c>
      <c r="V12" s="461" t="b">
        <f>IF(AND(ISNUMBER($U12),$U12&lt;&gt;0%,_xll.ohTrigger(Trigger)+1),TRUE,FALSE)</f>
        <v>1</v>
      </c>
      <c r="W12" s="460" t="b">
        <f>IF($V12,_xll.qlIndexAddFixings($Y12,$T12,$U12/100,TRUE,ISERROR($Z12)),NA())</f>
        <v>1</v>
      </c>
      <c r="X12" s="450"/>
      <c r="Y12" s="459" t="str">
        <f t="shared" si="5"/>
        <v>Euribor2M#0000</v>
      </c>
      <c r="Z12" s="458" t="e">
        <f>_xll.qlIndexFixing($Y12,$T12,TRUE,$V12)</f>
        <v>#NUM!</v>
      </c>
      <c r="AA12" s="458">
        <f>IF($W12,_xll.qlIndexFixing($Y12,$T12,FALSE,$V12),"-")</f>
        <v>1.81E-3</v>
      </c>
      <c r="AB12" s="458" t="e">
        <f t="shared" si="3"/>
        <v>#NUM!</v>
      </c>
      <c r="AC12" s="457">
        <f>_xll.qlIndexFixing($Y12,$T12,TRUE,$AA12)</f>
        <v>1.81E-3</v>
      </c>
      <c r="AD12" s="456">
        <f t="shared" si="4"/>
        <v>0</v>
      </c>
      <c r="AE12" s="445"/>
      <c r="AF12" s="426"/>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26"/>
      <c r="Q13" s="455"/>
      <c r="R13" s="463" t="s">
        <v>30</v>
      </c>
      <c r="S13" s="458" t="str">
        <f t="shared" si="2"/>
        <v>EURIBOR3MD=</v>
      </c>
      <c r="T13" s="462">
        <v>41479</v>
      </c>
      <c r="U13" s="461">
        <v>0.22500000000000001</v>
      </c>
      <c r="V13" s="461" t="b">
        <f>IF(AND(ISNUMBER($U13),$U13&lt;&gt;0%,_xll.ohTrigger(Trigger)+1),TRUE,FALSE)</f>
        <v>1</v>
      </c>
      <c r="W13" s="460" t="b">
        <f>IF($V13,_xll.qlIndexAddFixings($Y13,$T13,$U13/100,TRUE,ISERROR($Z13)),NA())</f>
        <v>1</v>
      </c>
      <c r="X13" s="450"/>
      <c r="Y13" s="459" t="str">
        <f t="shared" si="5"/>
        <v>Euribor3M#0000</v>
      </c>
      <c r="Z13" s="458" t="e">
        <f>_xll.qlIndexFixing($Y13,$T13,TRUE,$V13)</f>
        <v>#NUM!</v>
      </c>
      <c r="AA13" s="458">
        <f>IF($W13,_xll.qlIndexFixing($Y13,$T13,FALSE,$V13),"-")</f>
        <v>2.2500000000000003E-3</v>
      </c>
      <c r="AB13" s="458" t="e">
        <f t="shared" si="3"/>
        <v>#NUM!</v>
      </c>
      <c r="AC13" s="457">
        <f>_xll.qlIndexFixing($Y13,$T13,TRUE,$AA13)</f>
        <v>2.2500000000000003E-3</v>
      </c>
      <c r="AD13" s="456">
        <f t="shared" si="4"/>
        <v>0</v>
      </c>
      <c r="AE13" s="445"/>
      <c r="AF13" s="426"/>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26"/>
      <c r="Q14" s="455"/>
      <c r="R14" s="463" t="s">
        <v>29</v>
      </c>
      <c r="S14" s="458" t="str">
        <f t="shared" si="2"/>
        <v>EURIBOR4MD=</v>
      </c>
      <c r="T14" s="462">
        <v>41479</v>
      </c>
      <c r="U14" s="461">
        <v>0.26500000000000001</v>
      </c>
      <c r="V14" s="461" t="b">
        <f>IF(AND(ISNUMBER($U14),$U14&lt;&gt;0%,_xll.ohTrigger(Trigger)+1),TRUE,FALSE)</f>
        <v>1</v>
      </c>
      <c r="W14" s="460" t="b">
        <f>IF($V14,_xll.qlIndexAddFixings($Y14,$T14,$U14/100,TRUE,ISERROR($Z14)),NA())</f>
        <v>1</v>
      </c>
      <c r="X14" s="450"/>
      <c r="Y14" s="459" t="str">
        <f t="shared" si="5"/>
        <v>Euribor4M#0000</v>
      </c>
      <c r="Z14" s="458" t="e">
        <f>_xll.qlIndexFixing($Y14,$T14,TRUE,$V14)</f>
        <v>#NUM!</v>
      </c>
      <c r="AA14" s="458">
        <f>IF($W14,_xll.qlIndexFixing($Y14,$T14,FALSE,$V14),"-")</f>
        <v>2.65E-3</v>
      </c>
      <c r="AB14" s="458" t="e">
        <f t="shared" si="3"/>
        <v>#NUM!</v>
      </c>
      <c r="AC14" s="457">
        <f>_xll.qlIndexFixing($Y14,$T14,TRUE,$AA14)</f>
        <v>2.65E-3</v>
      </c>
      <c r="AD14" s="456">
        <f t="shared" si="4"/>
        <v>0</v>
      </c>
      <c r="AE14" s="445"/>
      <c r="AF14" s="426"/>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26"/>
      <c r="Q15" s="455"/>
      <c r="R15" s="463" t="s">
        <v>28</v>
      </c>
      <c r="S15" s="458" t="str">
        <f t="shared" si="2"/>
        <v>EURIBOR5MD=</v>
      </c>
      <c r="T15" s="462">
        <v>41479</v>
      </c>
      <c r="U15" s="461">
        <v>0.29899999999999999</v>
      </c>
      <c r="V15" s="461" t="b">
        <f>IF(AND(ISNUMBER($U15),$U15&lt;&gt;0%,_xll.ohTrigger(Trigger)+1),TRUE,FALSE)</f>
        <v>1</v>
      </c>
      <c r="W15" s="460" t="b">
        <f>IF($V15,_xll.qlIndexAddFixings($Y15,$T15,$U15/100,TRUE,ISERROR($Z15)),NA())</f>
        <v>1</v>
      </c>
      <c r="X15" s="450"/>
      <c r="Y15" s="459" t="str">
        <f t="shared" si="5"/>
        <v>Euribor5M#0000</v>
      </c>
      <c r="Z15" s="458" t="e">
        <f>_xll.qlIndexFixing($Y15,$T15,TRUE,$V15)</f>
        <v>#NUM!</v>
      </c>
      <c r="AA15" s="458">
        <f>IF($W15,_xll.qlIndexFixing($Y15,$T15,FALSE,$V15),"-")</f>
        <v>2.99E-3</v>
      </c>
      <c r="AB15" s="458" t="e">
        <f t="shared" si="3"/>
        <v>#NUM!</v>
      </c>
      <c r="AC15" s="457">
        <f>_xll.qlIndexFixing($Y15,$T15,TRUE,$AA15)</f>
        <v>2.99E-3</v>
      </c>
      <c r="AD15" s="456">
        <f t="shared" si="4"/>
        <v>0</v>
      </c>
      <c r="AE15" s="445"/>
      <c r="AF15" s="426"/>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26"/>
      <c r="Q16" s="455"/>
      <c r="R16" s="463" t="s">
        <v>27</v>
      </c>
      <c r="S16" s="458" t="str">
        <f t="shared" si="2"/>
        <v>EURIBOR6MD=</v>
      </c>
      <c r="T16" s="462">
        <v>41479</v>
      </c>
      <c r="U16" s="461">
        <v>0.34300000000000003</v>
      </c>
      <c r="V16" s="461" t="b">
        <f>IF(AND(ISNUMBER($U16),$U16&lt;&gt;0%,_xll.ohTrigger(Trigger)+1),TRUE,FALSE)</f>
        <v>1</v>
      </c>
      <c r="W16" s="460" t="b">
        <f>IF($V16,_xll.qlIndexAddFixings($Y16,$T16,$U16/100,TRUE,ISERROR($Z16)),NA())</f>
        <v>1</v>
      </c>
      <c r="X16" s="450"/>
      <c r="Y16" s="459" t="str">
        <f t="shared" si="5"/>
        <v>Euribor6M#0000</v>
      </c>
      <c r="Z16" s="458" t="e">
        <f>_xll.qlIndexFixing($Y16,$T16,TRUE,$V16)</f>
        <v>#NUM!</v>
      </c>
      <c r="AA16" s="458">
        <f>IF($W16,_xll.qlIndexFixing($Y16,$T16,FALSE,$V16),"-")</f>
        <v>3.4300000000000003E-3</v>
      </c>
      <c r="AB16" s="458" t="e">
        <f t="shared" si="3"/>
        <v>#NUM!</v>
      </c>
      <c r="AC16" s="457">
        <f>_xll.qlIndexFixing($Y16,$T16,TRUE,$AA16)</f>
        <v>3.4300000000000003E-3</v>
      </c>
      <c r="AD16" s="456">
        <f t="shared" si="4"/>
        <v>0</v>
      </c>
      <c r="AE16" s="445"/>
      <c r="AF16" s="426"/>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26"/>
      <c r="Q17" s="455"/>
      <c r="R17" s="463" t="s">
        <v>26</v>
      </c>
      <c r="S17" s="458" t="str">
        <f t="shared" si="2"/>
        <v>EURIBOR7MD=</v>
      </c>
      <c r="T17" s="462">
        <v>41479</v>
      </c>
      <c r="U17" s="461">
        <v>0.377</v>
      </c>
      <c r="V17" s="461" t="b">
        <f>IF(AND(ISNUMBER($U17),$U17&lt;&gt;0%,_xll.ohTrigger(Trigger)+1),TRUE,FALSE)</f>
        <v>1</v>
      </c>
      <c r="W17" s="460" t="b">
        <f>IF($V17,_xll.qlIndexAddFixings($Y17,$T17,$U17/100,TRUE,ISERROR($Z17)),NA())</f>
        <v>1</v>
      </c>
      <c r="X17" s="450"/>
      <c r="Y17" s="459" t="str">
        <f t="shared" si="5"/>
        <v>Euribor7M#0000</v>
      </c>
      <c r="Z17" s="458" t="e">
        <f>_xll.qlIndexFixing($Y17,$T17,TRUE,$V17)</f>
        <v>#NUM!</v>
      </c>
      <c r="AA17" s="458">
        <f>IF($W17,_xll.qlIndexFixing($Y17,$T17,FALSE,$V17),"-")</f>
        <v>3.7699999999999999E-3</v>
      </c>
      <c r="AB17" s="458" t="e">
        <f t="shared" si="3"/>
        <v>#NUM!</v>
      </c>
      <c r="AC17" s="457">
        <f>_xll.qlIndexFixing($Y17,$T17,TRUE,$AA17)</f>
        <v>3.7699999999999999E-3</v>
      </c>
      <c r="AD17" s="456">
        <f t="shared" si="4"/>
        <v>0</v>
      </c>
      <c r="AE17" s="445"/>
      <c r="AF17" s="426"/>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26"/>
      <c r="Q18" s="455"/>
      <c r="R18" s="463" t="s">
        <v>25</v>
      </c>
      <c r="S18" s="458" t="str">
        <f t="shared" si="2"/>
        <v>EURIBOR8MD=</v>
      </c>
      <c r="T18" s="462">
        <v>41479</v>
      </c>
      <c r="U18" s="461">
        <v>0.41199999999999998</v>
      </c>
      <c r="V18" s="461" t="b">
        <f>IF(AND(ISNUMBER($U18),$U18&lt;&gt;0%,_xll.ohTrigger(Trigger)+1),TRUE,FALSE)</f>
        <v>1</v>
      </c>
      <c r="W18" s="460" t="b">
        <f>IF($V18,_xll.qlIndexAddFixings($Y18,$T18,$U18/100,TRUE,ISERROR($Z18)),NA())</f>
        <v>1</v>
      </c>
      <c r="X18" s="450"/>
      <c r="Y18" s="459" t="str">
        <f t="shared" si="5"/>
        <v>Euribor8M#0000</v>
      </c>
      <c r="Z18" s="458" t="e">
        <f>_xll.qlIndexFixing($Y18,$T18,TRUE,$V18)</f>
        <v>#NUM!</v>
      </c>
      <c r="AA18" s="458">
        <f>IF($W18,_xll.qlIndexFixing($Y18,$T18,FALSE,$V18),"-")</f>
        <v>4.1199999999999995E-3</v>
      </c>
      <c r="AB18" s="458" t="e">
        <f t="shared" si="3"/>
        <v>#NUM!</v>
      </c>
      <c r="AC18" s="457">
        <f>_xll.qlIndexFixing($Y18,$T18,TRUE,$AA18)</f>
        <v>4.1199999999999995E-3</v>
      </c>
      <c r="AD18" s="456">
        <f t="shared" si="4"/>
        <v>0</v>
      </c>
      <c r="AE18" s="445"/>
      <c r="AF18" s="426"/>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26"/>
      <c r="Q19" s="455"/>
      <c r="R19" s="463" t="s">
        <v>24</v>
      </c>
      <c r="S19" s="458" t="str">
        <f t="shared" si="2"/>
        <v>EURIBOR9MD=</v>
      </c>
      <c r="T19" s="462">
        <v>41479</v>
      </c>
      <c r="U19" s="461">
        <v>0.442</v>
      </c>
      <c r="V19" s="461" t="b">
        <f>IF(AND(ISNUMBER($U19),$U19&lt;&gt;0%,_xll.ohTrigger(Trigger)+1),TRUE,FALSE)</f>
        <v>1</v>
      </c>
      <c r="W19" s="460" t="b">
        <f>IF($V19,_xll.qlIndexAddFixings($Y19,$T19,$U19/100,TRUE,ISERROR($Z19)),NA())</f>
        <v>1</v>
      </c>
      <c r="X19" s="450"/>
      <c r="Y19" s="459" t="str">
        <f t="shared" si="5"/>
        <v>Euribor9M#0000</v>
      </c>
      <c r="Z19" s="458" t="e">
        <f>_xll.qlIndexFixing($Y19,$T19,TRUE,$V19)</f>
        <v>#NUM!</v>
      </c>
      <c r="AA19" s="458">
        <f>IF($W19,_xll.qlIndexFixing($Y19,$T19,FALSE,$V19),"-")</f>
        <v>4.4200000000000003E-3</v>
      </c>
      <c r="AB19" s="458" t="e">
        <f t="shared" si="3"/>
        <v>#NUM!</v>
      </c>
      <c r="AC19" s="457">
        <f>_xll.qlIndexFixing($Y19,$T19,TRUE,$AA19)</f>
        <v>4.4200000000000003E-3</v>
      </c>
      <c r="AD19" s="456">
        <f t="shared" si="4"/>
        <v>0</v>
      </c>
      <c r="AE19" s="445"/>
      <c r="AF19" s="426"/>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26"/>
      <c r="Q20" s="455"/>
      <c r="R20" s="463" t="s">
        <v>23</v>
      </c>
      <c r="S20" s="458" t="str">
        <f t="shared" si="2"/>
        <v>EURIBOR10MD=</v>
      </c>
      <c r="T20" s="462">
        <v>41479</v>
      </c>
      <c r="U20" s="461">
        <v>0.47299999999999998</v>
      </c>
      <c r="V20" s="461" t="b">
        <f>IF(AND(ISNUMBER($U20),$U20&lt;&gt;0%,_xll.ohTrigger(Trigger)+1),TRUE,FALSE)</f>
        <v>1</v>
      </c>
      <c r="W20" s="460" t="b">
        <f>IF($V20,_xll.qlIndexAddFixings($Y20,$T20,$U20/100,TRUE,ISERROR($Z20)),NA())</f>
        <v>1</v>
      </c>
      <c r="X20" s="450"/>
      <c r="Y20" s="459" t="str">
        <f t="shared" si="5"/>
        <v>Euribor10M#0000</v>
      </c>
      <c r="Z20" s="458" t="e">
        <f>_xll.qlIndexFixing($Y20,$T20,TRUE,$V20)</f>
        <v>#NUM!</v>
      </c>
      <c r="AA20" s="458">
        <f>IF($W20,_xll.qlIndexFixing($Y20,$T20,FALSE,$V20),"-")</f>
        <v>4.7299999999999998E-3</v>
      </c>
      <c r="AB20" s="458" t="e">
        <f t="shared" si="3"/>
        <v>#NUM!</v>
      </c>
      <c r="AC20" s="457">
        <f>_xll.qlIndexFixing($Y20,$T20,TRUE,$AA20)</f>
        <v>4.7299999999999998E-3</v>
      </c>
      <c r="AD20" s="456">
        <f t="shared" si="4"/>
        <v>0</v>
      </c>
      <c r="AE20" s="445"/>
      <c r="AF20" s="426"/>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26"/>
      <c r="Q21" s="455"/>
      <c r="R21" s="463" t="s">
        <v>22</v>
      </c>
      <c r="S21" s="458" t="str">
        <f t="shared" si="2"/>
        <v>EURIBOR11MD=</v>
      </c>
      <c r="T21" s="462">
        <v>41479</v>
      </c>
      <c r="U21" s="461">
        <v>0.503</v>
      </c>
      <c r="V21" s="461" t="b">
        <f>IF(AND(ISNUMBER($U21),$U21&lt;&gt;0%,_xll.ohTrigger(Trigger)+1),TRUE,FALSE)</f>
        <v>1</v>
      </c>
      <c r="W21" s="460" t="b">
        <f>IF($V21,_xll.qlIndexAddFixings($Y21,$T21,$U21/100,TRUE,ISERROR($Z21)),NA())</f>
        <v>1</v>
      </c>
      <c r="X21" s="450"/>
      <c r="Y21" s="459" t="str">
        <f t="shared" si="5"/>
        <v>Euribor11M#0000</v>
      </c>
      <c r="Z21" s="458" t="e">
        <f>_xll.qlIndexFixing($Y21,$T21,TRUE,$V21)</f>
        <v>#NUM!</v>
      </c>
      <c r="AA21" s="458">
        <f>IF($W21,_xll.qlIndexFixing($Y21,$T21,FALSE,$V21),"-")</f>
        <v>5.0299999999999997E-3</v>
      </c>
      <c r="AB21" s="458" t="e">
        <f t="shared" si="3"/>
        <v>#NUM!</v>
      </c>
      <c r="AC21" s="457">
        <f>_xll.qlIndexFixing($Y21,$T21,TRUE,$AA21)</f>
        <v>5.0299999999999997E-3</v>
      </c>
      <c r="AD21" s="456">
        <f t="shared" si="4"/>
        <v>0</v>
      </c>
      <c r="AE21" s="445"/>
      <c r="AF21" s="426"/>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26"/>
      <c r="Q22" s="455"/>
      <c r="R22" s="454" t="s">
        <v>21</v>
      </c>
      <c r="S22" s="448" t="str">
        <f t="shared" si="2"/>
        <v>EURIBOR1YD=</v>
      </c>
      <c r="T22" s="453">
        <v>41479</v>
      </c>
      <c r="U22" s="452">
        <v>0.53500000000000003</v>
      </c>
      <c r="V22" s="452" t="b">
        <f>IF(AND(ISNUMBER($U22),$U22&lt;&gt;0%,_xll.ohTrigger(Trigger)+1),TRUE,FALSE)</f>
        <v>1</v>
      </c>
      <c r="W22" s="451" t="b">
        <f>IF($V22,_xll.qlIndexAddFixings($Y22,$T22,$U22/100,TRUE,ISERROR($Z22)),NA())</f>
        <v>1</v>
      </c>
      <c r="X22" s="450"/>
      <c r="Y22" s="449" t="str">
        <f t="shared" si="5"/>
        <v>Euribor1Y#0000</v>
      </c>
      <c r="Z22" s="448" t="e">
        <f>_xll.qlIndexFixing($Y22,$T22,TRUE,$V22)</f>
        <v>#NUM!</v>
      </c>
      <c r="AA22" s="448">
        <f>IF($W22,_xll.qlIndexFixing($Y22,$T22,FALSE,$V22),"-")</f>
        <v>5.3500000000000006E-3</v>
      </c>
      <c r="AB22" s="448" t="e">
        <f t="shared" si="3"/>
        <v>#NUM!</v>
      </c>
      <c r="AC22" s="447">
        <f>_xll.qlIndexFixing($Y22,$T22,TRUE,$AA22)</f>
        <v>5.3500000000000006E-3</v>
      </c>
      <c r="AD22" s="446">
        <f t="shared" si="4"/>
        <v>0</v>
      </c>
      <c r="AE22" s="445"/>
      <c r="AF22" s="426"/>
    </row>
    <row r="23" spans="2:32" s="21" customFormat="1" ht="12" thickBot="1" x14ac:dyDescent="0.25">
      <c r="B23" s="4"/>
      <c r="C23" s="3"/>
      <c r="D23" s="3"/>
      <c r="E23" s="3"/>
      <c r="F23" s="3"/>
      <c r="G23" s="3"/>
      <c r="H23" s="3"/>
      <c r="I23" s="3"/>
      <c r="J23" s="3"/>
      <c r="K23" s="3"/>
      <c r="L23" s="3"/>
      <c r="M23" s="3"/>
      <c r="N23" s="2"/>
      <c r="P23" s="426"/>
      <c r="Q23" s="444"/>
      <c r="R23" s="441"/>
      <c r="S23" s="441"/>
      <c r="T23" s="443"/>
      <c r="U23" s="442"/>
      <c r="V23" s="442"/>
      <c r="W23" s="441"/>
      <c r="X23" s="441"/>
      <c r="Y23" s="441"/>
      <c r="Z23" s="441"/>
      <c r="AA23" s="441"/>
      <c r="AB23" s="441"/>
      <c r="AC23" s="441"/>
      <c r="AD23" s="441"/>
      <c r="AE23" s="440"/>
      <c r="AF23" s="426"/>
    </row>
    <row r="24" spans="2:32" s="21" customFormat="1" ht="12" thickBot="1" x14ac:dyDescent="0.25">
      <c r="P24" s="426"/>
      <c r="Q24" s="426"/>
      <c r="R24" s="426"/>
      <c r="S24" s="426"/>
      <c r="T24" s="439"/>
      <c r="U24" s="438"/>
      <c r="V24" s="438"/>
      <c r="W24" s="426"/>
      <c r="X24" s="426"/>
      <c r="Y24" s="426"/>
      <c r="Z24" s="426"/>
      <c r="AA24" s="426"/>
      <c r="AB24" s="426"/>
      <c r="AC24" s="426"/>
      <c r="AD24" s="426"/>
      <c r="AE24" s="426"/>
      <c r="AF24" s="426"/>
    </row>
    <row r="25" spans="2:32" x14ac:dyDescent="0.2">
      <c r="P25" s="426"/>
      <c r="Q25" s="426"/>
      <c r="R25" s="437" t="s">
        <v>124</v>
      </c>
      <c r="S25" s="436" t="s">
        <v>207</v>
      </c>
      <c r="T25" s="435" t="s">
        <v>207</v>
      </c>
      <c r="U25" s="434"/>
      <c r="V25" s="426"/>
      <c r="W25" s="426"/>
      <c r="X25" s="426"/>
      <c r="Y25" s="426"/>
      <c r="Z25" s="426"/>
      <c r="AA25" s="426"/>
      <c r="AB25" s="426"/>
      <c r="AC25" s="426"/>
      <c r="AD25" s="426"/>
      <c r="AE25" s="426"/>
      <c r="AF25" s="426"/>
    </row>
    <row r="26" spans="2:32" x14ac:dyDescent="0.2">
      <c r="P26" s="426"/>
      <c r="Q26" s="426"/>
      <c r="R26" s="432" t="s">
        <v>110</v>
      </c>
      <c r="S26" s="431" t="s">
        <v>230</v>
      </c>
      <c r="T26" s="430" t="s">
        <v>40</v>
      </c>
      <c r="U26" s="426"/>
      <c r="V26" s="426"/>
      <c r="W26" s="426"/>
      <c r="X26" s="426"/>
      <c r="Y26" s="433"/>
      <c r="Z26" s="426"/>
      <c r="AA26" s="426"/>
      <c r="AB26" s="426"/>
      <c r="AC26" s="426"/>
      <c r="AD26" s="426"/>
      <c r="AE26" s="426"/>
      <c r="AF26" s="426"/>
    </row>
    <row r="27" spans="2:32" x14ac:dyDescent="0.2">
      <c r="P27" s="426"/>
      <c r="Q27" s="426"/>
      <c r="R27" s="432" t="s">
        <v>266</v>
      </c>
      <c r="S27" s="431" t="s">
        <v>207</v>
      </c>
      <c r="T27" s="430" t="s">
        <v>207</v>
      </c>
      <c r="U27" s="426"/>
      <c r="V27" s="426"/>
      <c r="W27" s="426"/>
      <c r="X27" s="426"/>
      <c r="Y27" s="433"/>
      <c r="Z27" s="426"/>
      <c r="AA27" s="426"/>
      <c r="AB27" s="426"/>
      <c r="AC27" s="426"/>
      <c r="AD27" s="426"/>
      <c r="AE27" s="426"/>
      <c r="AF27" s="426"/>
    </row>
    <row r="28" spans="2:32" x14ac:dyDescent="0.2">
      <c r="P28" s="426"/>
      <c r="Q28" s="426"/>
      <c r="R28" s="432" t="s">
        <v>294</v>
      </c>
      <c r="S28" s="431" t="s">
        <v>207</v>
      </c>
      <c r="T28" s="430" t="s">
        <v>207</v>
      </c>
      <c r="U28" s="426"/>
      <c r="V28" s="426"/>
      <c r="W28" s="426"/>
      <c r="X28" s="426"/>
      <c r="Y28" s="433"/>
      <c r="Z28" s="426"/>
      <c r="AA28" s="426"/>
      <c r="AB28" s="426"/>
      <c r="AC28" s="426"/>
      <c r="AD28" s="426"/>
      <c r="AE28" s="426"/>
      <c r="AF28" s="426"/>
    </row>
    <row r="29" spans="2:32" x14ac:dyDescent="0.2">
      <c r="P29" s="426"/>
      <c r="Q29" s="426"/>
      <c r="R29" s="432" t="s">
        <v>121</v>
      </c>
      <c r="S29" s="431" t="s">
        <v>207</v>
      </c>
      <c r="T29" s="430" t="s">
        <v>207</v>
      </c>
      <c r="U29" s="426"/>
      <c r="V29" s="426"/>
      <c r="W29" s="426"/>
      <c r="X29" s="426"/>
      <c r="Y29" s="426"/>
      <c r="Z29" s="426"/>
      <c r="AA29" s="426"/>
      <c r="AB29" s="426"/>
      <c r="AC29" s="426"/>
      <c r="AD29" s="426"/>
      <c r="AE29" s="426"/>
      <c r="AF29" s="426"/>
    </row>
    <row r="30" spans="2:32" x14ac:dyDescent="0.2">
      <c r="P30" s="426"/>
      <c r="Q30" s="426"/>
      <c r="R30" s="432" t="s">
        <v>120</v>
      </c>
      <c r="S30" s="431" t="s">
        <v>207</v>
      </c>
      <c r="T30" s="430" t="s">
        <v>207</v>
      </c>
      <c r="U30" s="426"/>
      <c r="V30" s="426"/>
      <c r="W30" s="426"/>
      <c r="X30" s="426"/>
      <c r="Y30" s="426"/>
      <c r="Z30" s="426"/>
      <c r="AA30" s="426"/>
      <c r="AB30" s="426"/>
      <c r="AC30" s="426"/>
      <c r="AD30" s="426"/>
      <c r="AE30" s="426"/>
      <c r="AF30" s="426"/>
    </row>
    <row r="31" spans="2:32" ht="13.5" thickBot="1" x14ac:dyDescent="0.25">
      <c r="P31" s="426"/>
      <c r="Q31" s="426"/>
      <c r="R31" s="429" t="s">
        <v>118</v>
      </c>
      <c r="S31" s="428" t="s">
        <v>207</v>
      </c>
      <c r="T31" s="427" t="s">
        <v>207</v>
      </c>
      <c r="U31" s="426"/>
      <c r="V31" s="426"/>
      <c r="W31" s="426"/>
      <c r="X31" s="426"/>
      <c r="Y31" s="426"/>
      <c r="Z31" s="426"/>
      <c r="AA31" s="426"/>
      <c r="AB31" s="426"/>
      <c r="AC31" s="426"/>
      <c r="AD31" s="426"/>
      <c r="AE31" s="426"/>
      <c r="AF31" s="426"/>
    </row>
    <row r="32" spans="2:32" x14ac:dyDescent="0.2">
      <c r="P32" s="426"/>
      <c r="Q32" s="426"/>
      <c r="R32" s="426"/>
      <c r="S32" s="426"/>
      <c r="T32" s="426"/>
      <c r="U32" s="426"/>
      <c r="V32" s="426"/>
      <c r="W32" s="426"/>
      <c r="X32" s="426"/>
      <c r="Y32" s="426"/>
      <c r="Z32" s="426"/>
      <c r="AA32" s="426"/>
      <c r="AB32" s="426"/>
      <c r="AC32" s="426"/>
      <c r="AD32" s="426"/>
      <c r="AE32" s="426"/>
      <c r="AF32" s="42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workbookViewId="0">
      <selection activeCell="AB10" sqref="AB10"/>
    </sheetView>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9" width="9.140625" style="68"/>
    <col min="30" max="31" width="2.7109375" style="68" customWidth="1"/>
    <col min="32" max="16384" width="9.140625" style="68"/>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253"/>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6"/>
      <c r="F3" s="97"/>
      <c r="G3" s="96"/>
      <c r="H3" s="95"/>
      <c r="N3" s="122"/>
      <c r="O3" s="253"/>
      <c r="P3" s="137"/>
      <c r="Q3" s="137"/>
      <c r="R3" s="137"/>
      <c r="S3" s="137" t="str">
        <f>_xll.qlInterpolation(,InterpolationType,_xll.ohFilter(N5:N42,W5:W42),_xll.ohFilter(V5:V42,W5:W42))</f>
        <v>obj_0076a#0000</v>
      </c>
      <c r="T3" s="137"/>
      <c r="U3" s="137"/>
      <c r="V3" s="137"/>
      <c r="W3" s="137"/>
      <c r="X3" s="137"/>
      <c r="Y3" s="253"/>
      <c r="Z3" s="253"/>
      <c r="AA3" s="253"/>
      <c r="AB3" s="137"/>
      <c r="AC3" s="284">
        <f>_xll.ohTrigger(AC5:AC42)</f>
        <v>3</v>
      </c>
      <c r="AD3" s="217"/>
      <c r="AE3" s="17"/>
      <c r="AF3" s="17"/>
      <c r="AG3" s="17"/>
      <c r="AH3" s="17"/>
    </row>
    <row r="4" spans="1:34"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0">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79" t="s">
        <v>244</v>
      </c>
      <c r="U5" s="379" t="s">
        <v>244</v>
      </c>
      <c r="V5" s="379" t="e">
        <f>_xll.qlMidEquivalent(T5,U5)</f>
        <v>#NUM!</v>
      </c>
      <c r="W5" s="259" t="b">
        <f t="shared" ref="W5:W42" si="2">IF(ISNUMBER(V5),TRUE,FALSE)</f>
        <v>0</v>
      </c>
      <c r="X5" s="378" t="e">
        <f t="array" ref="X5:X42">_xll.qlInterpolationInterpolate(S3,N5:N42)</f>
        <v>#NUM!</v>
      </c>
      <c r="Y5" s="253"/>
      <c r="Z5" s="377" t="e">
        <v>#NUM!</v>
      </c>
      <c r="AA5" s="253"/>
      <c r="AB5" s="583" t="e">
        <f t="array" ref="AB5:AB42">QuoteStatic</f>
        <v>#NUM!</v>
      </c>
      <c r="AC5" s="258" t="e">
        <f>_xll.qlSimpleQuoteSetValue(F5,ROUND(AB5/10000,6),Trigger)</f>
        <v>#NUM!</v>
      </c>
      <c r="AD5" s="217"/>
      <c r="AE5" s="17"/>
      <c r="AF5" s="89" t="s">
        <v>124</v>
      </c>
      <c r="AG5" s="88" t="s">
        <v>116</v>
      </c>
      <c r="AH5" s="87" t="s">
        <v>119</v>
      </c>
    </row>
    <row r="6" spans="1:34" s="16" customFormat="1" ht="12.75" x14ac:dyDescent="0.2">
      <c r="A6" s="80"/>
      <c r="B6" s="90" t="s">
        <v>21</v>
      </c>
      <c r="C6" s="78" t="str">
        <f t="shared" ref="C6:C42" si="3">C5</f>
        <v>1E</v>
      </c>
      <c r="D6" s="77" t="str">
        <f t="shared" ref="D6:D42" si="4">D5</f>
        <v>6E</v>
      </c>
      <c r="E6" s="76" t="str">
        <f t="shared" si="0"/>
        <v>EUR1E6E1Y_Quote</v>
      </c>
      <c r="F6" s="76" t="str">
        <f>_xll.qlSimpleQuote(E6,,RateTickValue,Permanent,Trigger,ObjectOverwrite)</f>
        <v>EUR1E6E1Y_Quote#0000</v>
      </c>
      <c r="G6" s="75" t="str">
        <f>_xll.ohRangeRetrieveError(F6)</f>
        <v/>
      </c>
      <c r="H6" s="74"/>
      <c r="I6" s="68"/>
      <c r="J6" s="68"/>
      <c r="K6" s="68"/>
      <c r="L6" s="68"/>
      <c r="N6" s="380">
        <v>1</v>
      </c>
      <c r="O6" s="301" t="s">
        <v>21</v>
      </c>
      <c r="P6" s="300" t="str">
        <v>1E</v>
      </c>
      <c r="Q6" s="300" t="str">
        <v>6E</v>
      </c>
      <c r="R6" s="298" t="str">
        <f t="shared" si="1"/>
        <v>EUR1E6E1Y</v>
      </c>
      <c r="S6" s="263" t="str">
        <v>EUR1E6E1Y=ICAP</v>
      </c>
      <c r="T6" s="379">
        <v>22</v>
      </c>
      <c r="U6" s="379">
        <v>0</v>
      </c>
      <c r="V6" s="379">
        <f>_xll.qlMidEquivalent(T6,U6)</f>
        <v>22</v>
      </c>
      <c r="W6" s="259" t="b">
        <f t="shared" si="2"/>
        <v>1</v>
      </c>
      <c r="X6" s="378">
        <v>22</v>
      </c>
      <c r="Y6" s="253"/>
      <c r="Z6" s="377">
        <v>22</v>
      </c>
      <c r="AA6" s="253"/>
      <c r="AB6" s="583">
        <v>22</v>
      </c>
      <c r="AC6" s="258">
        <f>_xll.qlSimpleQuoteSetValue(F6,ROUND(AB6/10000,6),Trigger)</f>
        <v>0</v>
      </c>
      <c r="AD6" s="217"/>
      <c r="AE6" s="17"/>
      <c r="AF6" s="86" t="s">
        <v>110</v>
      </c>
      <c r="AG6" s="85" t="s">
        <v>123</v>
      </c>
      <c r="AH6" s="84" t="s">
        <v>122</v>
      </c>
    </row>
    <row r="7" spans="1:34" s="16" customFormat="1" ht="12.75" x14ac:dyDescent="0.2">
      <c r="A7" s="80"/>
      <c r="B7" s="90" t="s">
        <v>127</v>
      </c>
      <c r="C7" s="78" t="str">
        <f t="shared" si="3"/>
        <v>1E</v>
      </c>
      <c r="D7" s="77" t="str">
        <f t="shared" si="4"/>
        <v>6E</v>
      </c>
      <c r="E7" s="76" t="str">
        <f t="shared" si="0"/>
        <v>EUR1E6E15M_Quote</v>
      </c>
      <c r="F7" s="76" t="str">
        <f>_xll.qlSimpleQuote(E7,,RateTickValue,Permanent,Trigger,ObjectOverwrite)</f>
        <v>EUR1E6E15M_Quote#0000</v>
      </c>
      <c r="G7" s="75" t="str">
        <f>_xll.ohRangeRetrieveError(F7)</f>
        <v/>
      </c>
      <c r="H7" s="74"/>
      <c r="N7" s="380">
        <v>1.25</v>
      </c>
      <c r="O7" s="301" t="s">
        <v>127</v>
      </c>
      <c r="P7" s="300" t="str">
        <v>1E</v>
      </c>
      <c r="Q7" s="300" t="str">
        <v>6E</v>
      </c>
      <c r="R7" s="298" t="str">
        <f t="shared" si="1"/>
        <v>EUR1E6E15M</v>
      </c>
      <c r="S7" s="263" t="str">
        <v>EUR1E6E15M=ICAP</v>
      </c>
      <c r="T7" s="379" t="s">
        <v>244</v>
      </c>
      <c r="U7" s="379" t="s">
        <v>244</v>
      </c>
      <c r="V7" s="379" t="e">
        <f>_xll.qlMidEquivalent(T7,U7)</f>
        <v>#NUM!</v>
      </c>
      <c r="W7" s="259" t="b">
        <f t="shared" si="2"/>
        <v>0</v>
      </c>
      <c r="X7" s="378">
        <v>22.978821515415554</v>
      </c>
      <c r="Y7" s="253"/>
      <c r="Z7" s="377">
        <v>22.978630018969486</v>
      </c>
      <c r="AA7" s="253"/>
      <c r="AB7" s="583">
        <v>22.978630018969486</v>
      </c>
      <c r="AC7" s="258">
        <f>_xll.qlSimpleQuoteSetValue(F7,ROUND(AB7/10000,6),Trigger)</f>
        <v>0</v>
      </c>
      <c r="AD7" s="217"/>
      <c r="AE7" s="17"/>
      <c r="AF7" s="86" t="s">
        <v>121</v>
      </c>
      <c r="AG7" s="85" t="s">
        <v>116</v>
      </c>
      <c r="AH7" s="84" t="s">
        <v>119</v>
      </c>
    </row>
    <row r="8" spans="1:34" ht="12.75" x14ac:dyDescent="0.2">
      <c r="A8" s="80"/>
      <c r="B8" s="90" t="s">
        <v>126</v>
      </c>
      <c r="C8" s="78" t="str">
        <f t="shared" si="3"/>
        <v>1E</v>
      </c>
      <c r="D8" s="77" t="str">
        <f t="shared" si="4"/>
        <v>6E</v>
      </c>
      <c r="E8" s="76" t="str">
        <f t="shared" si="0"/>
        <v>EUR1E6E18M_Quote</v>
      </c>
      <c r="F8" s="76" t="str">
        <f>_xll.qlSimpleQuote(E8,,RateTickValue,Permanent,Trigger,ObjectOverwrite)</f>
        <v>EUR1E6E18M_Quote#0000</v>
      </c>
      <c r="G8" s="75" t="str">
        <f>_xll.ohRangeRetrieveError(F8)</f>
        <v/>
      </c>
      <c r="H8" s="74"/>
      <c r="I8" s="16"/>
      <c r="J8" s="16"/>
      <c r="K8" s="16"/>
      <c r="L8" s="16"/>
      <c r="N8" s="380">
        <v>1.5</v>
      </c>
      <c r="O8" s="301" t="s">
        <v>126</v>
      </c>
      <c r="P8" s="300" t="str">
        <v>1E</v>
      </c>
      <c r="Q8" s="300" t="str">
        <v>6E</v>
      </c>
      <c r="R8" s="298" t="str">
        <f t="shared" si="1"/>
        <v>EUR1E6E18M</v>
      </c>
      <c r="S8" s="263" t="str">
        <v>EUR1E6E18M=ICAP</v>
      </c>
      <c r="T8" s="379" t="s">
        <v>244</v>
      </c>
      <c r="U8" s="379" t="s">
        <v>244</v>
      </c>
      <c r="V8" s="379" t="e">
        <f>_xll.qlMidEquivalent(T8,U8)</f>
        <v>#NUM!</v>
      </c>
      <c r="W8" s="259" t="b">
        <f t="shared" si="2"/>
        <v>0</v>
      </c>
      <c r="X8" s="378">
        <v>23.906114424664885</v>
      </c>
      <c r="Y8" s="253"/>
      <c r="Z8" s="377">
        <v>23.905808030351182</v>
      </c>
      <c r="AA8" s="253"/>
      <c r="AB8" s="583">
        <v>23.905808030351182</v>
      </c>
      <c r="AC8" s="258">
        <f>_xll.qlSimpleQuoteSetValue(F8,ROUND(AB8/10000,6),Trigger)</f>
        <v>0</v>
      </c>
      <c r="AD8" s="217"/>
      <c r="AE8" s="17"/>
      <c r="AF8" s="86" t="s">
        <v>120</v>
      </c>
      <c r="AG8" s="85" t="s">
        <v>116</v>
      </c>
      <c r="AH8" s="84" t="s">
        <v>119</v>
      </c>
    </row>
    <row r="9" spans="1:34" ht="13.5" thickBot="1" x14ac:dyDescent="0.25">
      <c r="A9" s="80"/>
      <c r="B9" s="90" t="s">
        <v>125</v>
      </c>
      <c r="C9" s="78" t="str">
        <f t="shared" si="3"/>
        <v>1E</v>
      </c>
      <c r="D9" s="77" t="str">
        <f t="shared" si="4"/>
        <v>6E</v>
      </c>
      <c r="E9" s="76" t="str">
        <f t="shared" si="0"/>
        <v>EUR1E6E21M_Quote</v>
      </c>
      <c r="F9" s="76" t="str">
        <f>_xll.qlSimpleQuote(E9,,RateTickValue,Permanent,Trigger,ObjectOverwrite)</f>
        <v>EUR1E6E21M_Quote#0000</v>
      </c>
      <c r="G9" s="75" t="str">
        <f>_xll.ohRangeRetrieveError(F9)</f>
        <v/>
      </c>
      <c r="H9" s="74"/>
      <c r="I9" s="16"/>
      <c r="J9" s="16"/>
      <c r="K9" s="16"/>
      <c r="L9" s="16"/>
      <c r="N9" s="380">
        <v>1.75</v>
      </c>
      <c r="O9" s="301" t="s">
        <v>125</v>
      </c>
      <c r="P9" s="300" t="str">
        <v>1E</v>
      </c>
      <c r="Q9" s="300" t="str">
        <v>6E</v>
      </c>
      <c r="R9" s="298" t="str">
        <f t="shared" si="1"/>
        <v>EUR1E6E21M</v>
      </c>
      <c r="S9" s="263" t="str">
        <v>EUR1E6E21M=ICAP</v>
      </c>
      <c r="T9" s="379" t="s">
        <v>244</v>
      </c>
      <c r="U9" s="379" t="s">
        <v>244</v>
      </c>
      <c r="V9" s="379" t="e">
        <f>_xll.qlMidEquivalent(T9,U9)</f>
        <v>#NUM!</v>
      </c>
      <c r="W9" s="259" t="b">
        <f t="shared" si="2"/>
        <v>0</v>
      </c>
      <c r="X9" s="378">
        <v>24.730350121581775</v>
      </c>
      <c r="Y9" s="253"/>
      <c r="Z9" s="377">
        <v>24.730082026557284</v>
      </c>
      <c r="AA9" s="253"/>
      <c r="AB9" s="583">
        <v>24.730082026557284</v>
      </c>
      <c r="AC9" s="258">
        <f>_xll.qlSimpleQuoteSetValue(F9,ROUND(AB9/10000,6),Trigger)</f>
        <v>0</v>
      </c>
      <c r="AD9" s="217"/>
      <c r="AE9" s="17"/>
      <c r="AF9" s="83" t="s">
        <v>118</v>
      </c>
      <c r="AG9" s="82" t="s">
        <v>117</v>
      </c>
      <c r="AH9" s="81" t="s">
        <v>116</v>
      </c>
    </row>
    <row r="10" spans="1:34" x14ac:dyDescent="0.2">
      <c r="A10" s="80"/>
      <c r="B10" s="79" t="s">
        <v>102</v>
      </c>
      <c r="C10" s="78" t="str">
        <f t="shared" si="3"/>
        <v>1E</v>
      </c>
      <c r="D10" s="77" t="str">
        <f t="shared" si="4"/>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79">
        <v>25.4</v>
      </c>
      <c r="U10" s="379">
        <v>0</v>
      </c>
      <c r="V10" s="379">
        <f>_xll.qlMidEquivalent(T10,U10)</f>
        <v>25.4</v>
      </c>
      <c r="W10" s="259" t="b">
        <f t="shared" si="2"/>
        <v>1</v>
      </c>
      <c r="X10" s="378">
        <v>25.4</v>
      </c>
      <c r="Y10" s="253"/>
      <c r="Z10" s="377">
        <v>25.4</v>
      </c>
      <c r="AA10" s="253"/>
      <c r="AB10" s="583">
        <v>25.4</v>
      </c>
      <c r="AC10" s="258">
        <f>_xll.qlSimpleQuoteSetValue(F10,ROUND(AB10/10000,6),Trigger)</f>
        <v>0</v>
      </c>
      <c r="AD10" s="217"/>
      <c r="AE10" s="17"/>
      <c r="AF10" s="17"/>
      <c r="AG10" s="17"/>
      <c r="AH10" s="17"/>
    </row>
    <row r="11" spans="1:34" x14ac:dyDescent="0.2">
      <c r="A11" s="80"/>
      <c r="B11" s="79" t="s">
        <v>101</v>
      </c>
      <c r="C11" s="78" t="str">
        <f t="shared" si="3"/>
        <v>1E</v>
      </c>
      <c r="D11" s="77" t="str">
        <f t="shared" si="4"/>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79">
        <v>26.5</v>
      </c>
      <c r="U11" s="379">
        <v>0</v>
      </c>
      <c r="V11" s="379">
        <f>_xll.qlMidEquivalent(T11,U11)</f>
        <v>26.5</v>
      </c>
      <c r="W11" s="259" t="b">
        <f t="shared" si="2"/>
        <v>1</v>
      </c>
      <c r="X11" s="378">
        <v>26.5</v>
      </c>
      <c r="Y11" s="253"/>
      <c r="Z11" s="377">
        <v>26.5</v>
      </c>
      <c r="AA11" s="253"/>
      <c r="AB11" s="583">
        <v>26.5</v>
      </c>
      <c r="AC11" s="258">
        <f>_xll.qlSimpleQuoteSetValue(F11,ROUND(AB11/10000,6),Trigger)</f>
        <v>0</v>
      </c>
      <c r="AD11" s="217"/>
      <c r="AE11" s="17"/>
      <c r="AF11" s="17"/>
      <c r="AG11" s="17"/>
      <c r="AH11" s="17"/>
    </row>
    <row r="12" spans="1:34" x14ac:dyDescent="0.2">
      <c r="A12" s="80"/>
      <c r="B12" s="79" t="s">
        <v>100</v>
      </c>
      <c r="C12" s="78" t="str">
        <f t="shared" si="3"/>
        <v>1E</v>
      </c>
      <c r="D12" s="77" t="str">
        <f t="shared" si="4"/>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79">
        <v>26.6</v>
      </c>
      <c r="U12" s="379">
        <v>0</v>
      </c>
      <c r="V12" s="379">
        <f>_xll.qlMidEquivalent(T12,U12)</f>
        <v>26.6</v>
      </c>
      <c r="W12" s="259" t="b">
        <f t="shared" si="2"/>
        <v>1</v>
      </c>
      <c r="X12" s="378">
        <v>26.6</v>
      </c>
      <c r="Y12" s="253"/>
      <c r="Z12" s="377">
        <v>26.6</v>
      </c>
      <c r="AA12" s="253"/>
      <c r="AB12" s="583">
        <v>26.6</v>
      </c>
      <c r="AC12" s="258">
        <f>_xll.qlSimpleQuoteSetValue(F12,ROUND(AB12/10000,6),Trigger)</f>
        <v>0</v>
      </c>
      <c r="AD12" s="217"/>
      <c r="AE12" s="17"/>
      <c r="AF12" s="17"/>
      <c r="AG12" s="17"/>
      <c r="AH12" s="17"/>
    </row>
    <row r="13" spans="1:34" x14ac:dyDescent="0.2">
      <c r="A13" s="80"/>
      <c r="B13" s="79" t="s">
        <v>99</v>
      </c>
      <c r="C13" s="78" t="str">
        <f t="shared" si="3"/>
        <v>1E</v>
      </c>
      <c r="D13" s="77" t="str">
        <f t="shared" si="4"/>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79">
        <v>26.4</v>
      </c>
      <c r="U13" s="379">
        <v>0</v>
      </c>
      <c r="V13" s="379">
        <f>_xll.qlMidEquivalent(T13,U13)</f>
        <v>26.4</v>
      </c>
      <c r="W13" s="259" t="b">
        <f t="shared" si="2"/>
        <v>1</v>
      </c>
      <c r="X13" s="378">
        <v>26.4</v>
      </c>
      <c r="Y13" s="253"/>
      <c r="Z13" s="377">
        <v>26.4</v>
      </c>
      <c r="AA13" s="253"/>
      <c r="AB13" s="583">
        <v>26.4</v>
      </c>
      <c r="AC13" s="258">
        <f>_xll.qlSimpleQuoteSetValue(F13,ROUND(AB13/10000,6),Trigger)</f>
        <v>0</v>
      </c>
      <c r="AD13" s="217"/>
      <c r="AE13" s="17"/>
      <c r="AF13" s="17"/>
      <c r="AG13" s="17"/>
      <c r="AH13" s="17"/>
    </row>
    <row r="14" spans="1:34" ht="12" thickBot="1" x14ac:dyDescent="0.25">
      <c r="A14" s="80"/>
      <c r="B14" s="79" t="s">
        <v>98</v>
      </c>
      <c r="C14" s="78" t="str">
        <f t="shared" si="3"/>
        <v>1E</v>
      </c>
      <c r="D14" s="77" t="str">
        <f t="shared" si="4"/>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79">
        <v>26</v>
      </c>
      <c r="U14" s="379">
        <v>0</v>
      </c>
      <c r="V14" s="379">
        <f>_xll.qlMidEquivalent(T14,U14)</f>
        <v>26</v>
      </c>
      <c r="W14" s="259" t="b">
        <f t="shared" si="2"/>
        <v>1</v>
      </c>
      <c r="X14" s="378">
        <v>26</v>
      </c>
      <c r="Y14" s="253"/>
      <c r="Z14" s="377">
        <v>25.9</v>
      </c>
      <c r="AA14" s="253"/>
      <c r="AB14" s="583">
        <v>25.9</v>
      </c>
      <c r="AC14" s="258">
        <f>_xll.qlSimpleQuoteSetValue(F14,ROUND(AB14/10000,6),Trigger)</f>
        <v>-1.0000000000000026E-5</v>
      </c>
      <c r="AD14" s="217"/>
      <c r="AE14" s="17"/>
      <c r="AF14" s="17"/>
      <c r="AG14" s="17"/>
      <c r="AH14" s="17"/>
    </row>
    <row r="15" spans="1:34" x14ac:dyDescent="0.2">
      <c r="A15" s="80"/>
      <c r="B15" s="79" t="s">
        <v>97</v>
      </c>
      <c r="C15" s="78" t="str">
        <f t="shared" si="3"/>
        <v>1E</v>
      </c>
      <c r="D15" s="77" t="str">
        <f t="shared" si="4"/>
        <v>6E</v>
      </c>
      <c r="E15" s="76" t="str">
        <f t="shared" si="0"/>
        <v>EUR1E6E7Y_Quote</v>
      </c>
      <c r="F15" s="76" t="str">
        <f>_xll.qlSimpleQuote(E15,,RateTickValue,Permanent,Trigger,ObjectOverwrite)</f>
        <v>EUR1E6E7Y_Quote#0000</v>
      </c>
      <c r="G15" s="75" t="str">
        <f>_xll.ohRangeRetrieveError(F15)</f>
        <v/>
      </c>
      <c r="H15" s="74"/>
      <c r="N15" s="122">
        <v>7</v>
      </c>
      <c r="O15" s="301" t="s">
        <v>97</v>
      </c>
      <c r="P15" s="300" t="str">
        <v>1E</v>
      </c>
      <c r="Q15" s="300" t="str">
        <v>6E</v>
      </c>
      <c r="R15" s="298" t="str">
        <f t="shared" si="1"/>
        <v>EUR1E6E7Y</v>
      </c>
      <c r="S15" s="263" t="str">
        <v>EUR1E6E7Y=ICAP</v>
      </c>
      <c r="T15" s="379">
        <v>25.3</v>
      </c>
      <c r="U15" s="379">
        <v>0</v>
      </c>
      <c r="V15" s="379">
        <f>_xll.qlMidEquivalent(T15,U15)</f>
        <v>25.3</v>
      </c>
      <c r="W15" s="259" t="b">
        <f t="shared" si="2"/>
        <v>1</v>
      </c>
      <c r="X15" s="378">
        <v>25.3</v>
      </c>
      <c r="Y15" s="253"/>
      <c r="Z15" s="377">
        <v>25.3</v>
      </c>
      <c r="AA15" s="253"/>
      <c r="AB15" s="583">
        <v>25.3</v>
      </c>
      <c r="AC15" s="258">
        <f>_xll.qlSimpleQuoteSetValue(F15,ROUND(AB15/10000,6),Trigger)</f>
        <v>0</v>
      </c>
      <c r="AD15" s="217"/>
      <c r="AE15" s="17"/>
      <c r="AF15" s="17"/>
      <c r="AG15" s="17"/>
      <c r="AH15" s="17"/>
    </row>
    <row r="16" spans="1:34" x14ac:dyDescent="0.2">
      <c r="A16" s="80"/>
      <c r="B16" s="79" t="s">
        <v>96</v>
      </c>
      <c r="C16" s="78" t="str">
        <f t="shared" si="3"/>
        <v>1E</v>
      </c>
      <c r="D16" s="77" t="str">
        <f t="shared" si="4"/>
        <v>6E</v>
      </c>
      <c r="E16" s="76" t="str">
        <f t="shared" si="0"/>
        <v>EUR1E6E8Y_Quote</v>
      </c>
      <c r="F16" s="76" t="str">
        <f>_xll.qlSimpleQuote(E16,,RateTickValue,Permanent,Trigger,ObjectOverwrite)</f>
        <v>EUR1E6E8Y_Quote#0000</v>
      </c>
      <c r="G16" s="75" t="str">
        <f>_xll.ohRangeRetrieveError(F16)</f>
        <v/>
      </c>
      <c r="H16" s="74"/>
      <c r="N16" s="122">
        <v>8</v>
      </c>
      <c r="O16" s="301" t="s">
        <v>96</v>
      </c>
      <c r="P16" s="300" t="str">
        <v>1E</v>
      </c>
      <c r="Q16" s="300" t="str">
        <v>6E</v>
      </c>
      <c r="R16" s="298" t="str">
        <f t="shared" si="1"/>
        <v>EUR1E6E8Y</v>
      </c>
      <c r="S16" s="263" t="str">
        <v>EUR1E6E8Y=ICAP</v>
      </c>
      <c r="T16" s="379">
        <v>24.6</v>
      </c>
      <c r="U16" s="379">
        <v>0</v>
      </c>
      <c r="V16" s="379">
        <f>_xll.qlMidEquivalent(T16,U16)</f>
        <v>24.6</v>
      </c>
      <c r="W16" s="259" t="b">
        <f t="shared" si="2"/>
        <v>1</v>
      </c>
      <c r="X16" s="378">
        <v>24.6</v>
      </c>
      <c r="Y16" s="253"/>
      <c r="Z16" s="377">
        <v>24.6</v>
      </c>
      <c r="AA16" s="253"/>
      <c r="AB16" s="583">
        <v>24.6</v>
      </c>
      <c r="AC16" s="258">
        <f>_xll.qlSimpleQuoteSetValue(F16,ROUND(AB16/10000,6),Trigger)</f>
        <v>0</v>
      </c>
      <c r="AD16" s="217"/>
      <c r="AE16" s="17"/>
      <c r="AF16" s="17"/>
      <c r="AG16" s="17"/>
      <c r="AH16" s="17"/>
    </row>
    <row r="17" spans="1:34" x14ac:dyDescent="0.2">
      <c r="A17" s="80"/>
      <c r="B17" s="79" t="s">
        <v>95</v>
      </c>
      <c r="C17" s="78" t="str">
        <f t="shared" si="3"/>
        <v>1E</v>
      </c>
      <c r="D17" s="77" t="str">
        <f t="shared" si="4"/>
        <v>6E</v>
      </c>
      <c r="E17" s="76" t="str">
        <f t="shared" si="0"/>
        <v>EUR1E6E9Y_Quote</v>
      </c>
      <c r="F17" s="76" t="str">
        <f>_xll.qlSimpleQuote(E17,,RateTickValue,Permanent,Trigger,ObjectOverwrite)</f>
        <v>EUR1E6E9Y_Quote#0000</v>
      </c>
      <c r="G17" s="75" t="str">
        <f>_xll.ohRangeRetrieveError(F17)</f>
        <v/>
      </c>
      <c r="H17" s="74"/>
      <c r="N17" s="122">
        <v>9</v>
      </c>
      <c r="O17" s="301" t="s">
        <v>95</v>
      </c>
      <c r="P17" s="300" t="str">
        <v>1E</v>
      </c>
      <c r="Q17" s="300" t="str">
        <v>6E</v>
      </c>
      <c r="R17" s="298" t="str">
        <f t="shared" si="1"/>
        <v>EUR1E6E9Y</v>
      </c>
      <c r="S17" s="263" t="str">
        <v>EUR1E6E9Y=ICAP</v>
      </c>
      <c r="T17" s="379">
        <v>23.9</v>
      </c>
      <c r="U17" s="379">
        <v>0</v>
      </c>
      <c r="V17" s="379">
        <f>_xll.qlMidEquivalent(T17,U17)</f>
        <v>23.9</v>
      </c>
      <c r="W17" s="259" t="b">
        <f t="shared" si="2"/>
        <v>1</v>
      </c>
      <c r="X17" s="378">
        <v>23.9</v>
      </c>
      <c r="Y17" s="253"/>
      <c r="Z17" s="377">
        <v>23.8</v>
      </c>
      <c r="AA17" s="253"/>
      <c r="AB17" s="583">
        <v>23.8</v>
      </c>
      <c r="AC17" s="258">
        <f>_xll.qlSimpleQuoteSetValue(F17,ROUND(AB17/10000,6),Trigger)</f>
        <v>-1.0000000000000026E-5</v>
      </c>
      <c r="AD17" s="217"/>
      <c r="AE17" s="17"/>
      <c r="AF17" s="17"/>
      <c r="AG17" s="17"/>
      <c r="AH17" s="17"/>
    </row>
    <row r="18" spans="1:34" x14ac:dyDescent="0.2">
      <c r="A18" s="80"/>
      <c r="B18" s="79" t="s">
        <v>94</v>
      </c>
      <c r="C18" s="78" t="str">
        <f t="shared" si="3"/>
        <v>1E</v>
      </c>
      <c r="D18" s="77" t="str">
        <f t="shared" si="4"/>
        <v>6E</v>
      </c>
      <c r="E18" s="76" t="str">
        <f t="shared" si="0"/>
        <v>EUR1E6E10Y_Quote</v>
      </c>
      <c r="F18" s="76" t="str">
        <f>_xll.qlSimpleQuote(E18,,RateTickValue,Permanent,Trigger,ObjectOverwrite)</f>
        <v>EUR1E6E10Y_Quote#0000</v>
      </c>
      <c r="G18" s="75" t="str">
        <f>_xll.ohRangeRetrieveError(F18)</f>
        <v/>
      </c>
      <c r="H18" s="74"/>
      <c r="N18" s="122">
        <v>10</v>
      </c>
      <c r="O18" s="301" t="s">
        <v>94</v>
      </c>
      <c r="P18" s="300" t="str">
        <v>1E</v>
      </c>
      <c r="Q18" s="300" t="str">
        <v>6E</v>
      </c>
      <c r="R18" s="298" t="str">
        <f t="shared" si="1"/>
        <v>EUR1E6E10Y</v>
      </c>
      <c r="S18" s="263" t="str">
        <v>EUR1E6E10Y=ICAP</v>
      </c>
      <c r="T18" s="379">
        <v>23.1</v>
      </c>
      <c r="U18" s="379">
        <v>0</v>
      </c>
      <c r="V18" s="379">
        <f>_xll.qlMidEquivalent(T18,U18)</f>
        <v>23.1</v>
      </c>
      <c r="W18" s="259" t="b">
        <f t="shared" si="2"/>
        <v>1</v>
      </c>
      <c r="X18" s="378">
        <v>23.1</v>
      </c>
      <c r="Y18" s="253"/>
      <c r="Z18" s="377">
        <v>23</v>
      </c>
      <c r="AA18" s="253"/>
      <c r="AB18" s="583">
        <v>23</v>
      </c>
      <c r="AC18" s="258">
        <f>_xll.qlSimpleQuoteSetValue(F18,ROUND(AB18/10000,6),Trigger)</f>
        <v>-1.0000000000000026E-5</v>
      </c>
      <c r="AD18" s="217"/>
      <c r="AE18" s="17"/>
      <c r="AF18" s="17"/>
      <c r="AG18" s="17"/>
      <c r="AH18" s="17"/>
    </row>
    <row r="19" spans="1:34" x14ac:dyDescent="0.2">
      <c r="A19" s="80"/>
      <c r="B19" s="79" t="s">
        <v>93</v>
      </c>
      <c r="C19" s="78" t="str">
        <f t="shared" si="3"/>
        <v>1E</v>
      </c>
      <c r="D19" s="77" t="str">
        <f t="shared" si="4"/>
        <v>6E</v>
      </c>
      <c r="E19" s="76" t="str">
        <f t="shared" si="0"/>
        <v>EUR1E6E11Y_Quote</v>
      </c>
      <c r="F19" s="76" t="str">
        <f>_xll.qlSimpleQuote(E19,,RateTickValue,Permanent,Trigger,ObjectOverwrite)</f>
        <v>EUR1E6E11Y_Quote#0000</v>
      </c>
      <c r="G19" s="75" t="str">
        <f>_xll.ohRangeRetrieveError(F19)</f>
        <v/>
      </c>
      <c r="H19" s="74"/>
      <c r="N19" s="122">
        <v>11</v>
      </c>
      <c r="O19" s="301" t="s">
        <v>93</v>
      </c>
      <c r="P19" s="300" t="str">
        <v>1E</v>
      </c>
      <c r="Q19" s="300" t="str">
        <v>6E</v>
      </c>
      <c r="R19" s="298" t="str">
        <f t="shared" si="1"/>
        <v>EUR1E6E11Y</v>
      </c>
      <c r="S19" s="263" t="str">
        <v>EUR1E6E11Y=ICAP</v>
      </c>
      <c r="T19" s="379">
        <v>22.3</v>
      </c>
      <c r="U19" s="379">
        <v>0</v>
      </c>
      <c r="V19" s="379">
        <f>_xll.qlMidEquivalent(T19,U19)</f>
        <v>22.3</v>
      </c>
      <c r="W19" s="259" t="b">
        <f t="shared" si="2"/>
        <v>1</v>
      </c>
      <c r="X19" s="378">
        <v>22.3</v>
      </c>
      <c r="Y19" s="253"/>
      <c r="Z19" s="377">
        <v>22.3</v>
      </c>
      <c r="AA19" s="253"/>
      <c r="AB19" s="583">
        <v>22.3</v>
      </c>
      <c r="AC19" s="258">
        <f>_xll.qlSimpleQuoteSetValue(F19,ROUND(AB19/10000,6),Trigger)</f>
        <v>0</v>
      </c>
      <c r="AD19" s="217"/>
      <c r="AE19" s="17"/>
      <c r="AF19" s="17"/>
      <c r="AG19" s="17"/>
      <c r="AH19" s="17"/>
    </row>
    <row r="20" spans="1:34" x14ac:dyDescent="0.2">
      <c r="A20" s="80"/>
      <c r="B20" s="79" t="s">
        <v>92</v>
      </c>
      <c r="C20" s="78" t="str">
        <f t="shared" si="3"/>
        <v>1E</v>
      </c>
      <c r="D20" s="77" t="str">
        <f t="shared" si="4"/>
        <v>6E</v>
      </c>
      <c r="E20" s="76" t="str">
        <f t="shared" si="0"/>
        <v>EUR1E6E12Y_Quote</v>
      </c>
      <c r="F20" s="76" t="str">
        <f>_xll.qlSimpleQuote(E20,,RateTickValue,Permanent,Trigger,ObjectOverwrite)</f>
        <v>EUR1E6E12Y_Quote#0000</v>
      </c>
      <c r="G20" s="75" t="str">
        <f>_xll.ohRangeRetrieveError(F20)</f>
        <v/>
      </c>
      <c r="H20" s="74"/>
      <c r="N20" s="122">
        <v>12</v>
      </c>
      <c r="O20" s="301" t="s">
        <v>92</v>
      </c>
      <c r="P20" s="300" t="str">
        <v>1E</v>
      </c>
      <c r="Q20" s="300" t="str">
        <v>6E</v>
      </c>
      <c r="R20" s="298" t="str">
        <f t="shared" si="1"/>
        <v>EUR1E6E12Y</v>
      </c>
      <c r="S20" s="263" t="str">
        <v>EUR1E6E12Y=ICAP</v>
      </c>
      <c r="T20" s="379">
        <v>21.5</v>
      </c>
      <c r="U20" s="379">
        <v>0</v>
      </c>
      <c r="V20" s="379">
        <f>_xll.qlMidEquivalent(T20,U20)</f>
        <v>21.5</v>
      </c>
      <c r="W20" s="259" t="b">
        <f t="shared" si="2"/>
        <v>1</v>
      </c>
      <c r="X20" s="378">
        <v>21.5</v>
      </c>
      <c r="Y20" s="253"/>
      <c r="Z20" s="377">
        <v>21.5</v>
      </c>
      <c r="AA20" s="253"/>
      <c r="AB20" s="583">
        <v>21.5</v>
      </c>
      <c r="AC20" s="258">
        <f>_xll.qlSimpleQuoteSetValue(F20,ROUND(AB20/10000,6),Trigger)</f>
        <v>0</v>
      </c>
      <c r="AD20" s="217"/>
      <c r="AE20" s="17"/>
      <c r="AF20" s="17"/>
      <c r="AG20" s="17"/>
      <c r="AH20" s="17"/>
    </row>
    <row r="21" spans="1:34" x14ac:dyDescent="0.2">
      <c r="A21" s="80"/>
      <c r="B21" s="79" t="s">
        <v>91</v>
      </c>
      <c r="C21" s="78" t="str">
        <f t="shared" si="3"/>
        <v>1E</v>
      </c>
      <c r="D21" s="77" t="str">
        <f t="shared" si="4"/>
        <v>6E</v>
      </c>
      <c r="E21" s="76" t="str">
        <f t="shared" si="0"/>
        <v>EUR1E6E13Y_Quote</v>
      </c>
      <c r="F21" s="76" t="str">
        <f>_xll.qlSimpleQuote(E21,,RateTickValue,Permanent,Trigger,ObjectOverwrite)</f>
        <v>EUR1E6E13Y_Quote#0000</v>
      </c>
      <c r="G21" s="75" t="str">
        <f>_xll.ohRangeRetrieveError(F21)</f>
        <v/>
      </c>
      <c r="H21" s="74"/>
      <c r="N21" s="122">
        <v>13</v>
      </c>
      <c r="O21" s="301" t="s">
        <v>91</v>
      </c>
      <c r="P21" s="300" t="str">
        <v>1E</v>
      </c>
      <c r="Q21" s="300" t="str">
        <v>6E</v>
      </c>
      <c r="R21" s="298" t="str">
        <f t="shared" si="1"/>
        <v>EUR1E6E13Y</v>
      </c>
      <c r="S21" s="263" t="str">
        <v>EUR1E6E13Y=ICAP</v>
      </c>
      <c r="T21" s="379" t="s">
        <v>244</v>
      </c>
      <c r="U21" s="379" t="s">
        <v>244</v>
      </c>
      <c r="V21" s="379" t="e">
        <f>_xll.qlMidEquivalent(T21,U21)</f>
        <v>#NUM!</v>
      </c>
      <c r="W21" s="259" t="b">
        <f t="shared" si="2"/>
        <v>0</v>
      </c>
      <c r="X21" s="378">
        <v>20.767158961360217</v>
      </c>
      <c r="Y21" s="253"/>
      <c r="Z21" s="377">
        <v>20.754886144272987</v>
      </c>
      <c r="AA21" s="253"/>
      <c r="AB21" s="583">
        <v>20.754886144272987</v>
      </c>
      <c r="AC21" s="258">
        <f>_xll.qlSimpleQuoteSetValue(F21,ROUND(AB21/10000,6),Trigger)</f>
        <v>-1.9999999999998318E-6</v>
      </c>
      <c r="AD21" s="217"/>
      <c r="AE21" s="17"/>
      <c r="AF21" s="17"/>
      <c r="AG21" s="17"/>
      <c r="AH21" s="17"/>
    </row>
    <row r="22" spans="1:34" x14ac:dyDescent="0.2">
      <c r="A22" s="80"/>
      <c r="B22" s="79" t="s">
        <v>90</v>
      </c>
      <c r="C22" s="78" t="str">
        <f t="shared" si="3"/>
        <v>1E</v>
      </c>
      <c r="D22" s="77" t="str">
        <f t="shared" si="4"/>
        <v>6E</v>
      </c>
      <c r="E22" s="76" t="str">
        <f t="shared" si="0"/>
        <v>EUR1E6E14Y_Quote</v>
      </c>
      <c r="F22" s="76" t="str">
        <f>_xll.qlSimpleQuote(E22,,RateTickValue,Permanent,Trigger,ObjectOverwrite)</f>
        <v>EUR1E6E14Y_Quote#0000</v>
      </c>
      <c r="G22" s="75" t="str">
        <f>_xll.ohRangeRetrieveError(F22)</f>
        <v/>
      </c>
      <c r="H22" s="74"/>
      <c r="N22" s="122">
        <v>14</v>
      </c>
      <c r="O22" s="301" t="s">
        <v>90</v>
      </c>
      <c r="P22" s="300" t="str">
        <v>1E</v>
      </c>
      <c r="Q22" s="300" t="str">
        <v>6E</v>
      </c>
      <c r="R22" s="298" t="str">
        <f t="shared" si="1"/>
        <v>EUR1E6E14Y</v>
      </c>
      <c r="S22" s="263" t="str">
        <v>EUR1E6E14Y=ICAP</v>
      </c>
      <c r="T22" s="379" t="s">
        <v>244</v>
      </c>
      <c r="U22" s="379" t="s">
        <v>244</v>
      </c>
      <c r="V22" s="379" t="e">
        <f>_xll.qlMidEquivalent(T22,U22)</f>
        <v>#NUM!</v>
      </c>
      <c r="W22" s="259" t="b">
        <f t="shared" si="2"/>
        <v>0</v>
      </c>
      <c r="X22" s="378">
        <v>20.106819379057171</v>
      </c>
      <c r="Y22" s="253"/>
      <c r="Z22" s="377">
        <v>20.098240125294787</v>
      </c>
      <c r="AA22" s="253"/>
      <c r="AB22" s="583">
        <v>20.098240125294787</v>
      </c>
      <c r="AC22" s="258">
        <f>_xll.qlSimpleQuoteSetValue(F22,ROUND(AB22/10000,6),Trigger)</f>
        <v>-1.0000000000001327E-6</v>
      </c>
      <c r="AD22" s="217"/>
      <c r="AE22" s="17"/>
      <c r="AF22" s="17"/>
      <c r="AG22" s="17"/>
      <c r="AH22" s="17"/>
    </row>
    <row r="23" spans="1:34" x14ac:dyDescent="0.2">
      <c r="A23" s="80"/>
      <c r="B23" s="79" t="s">
        <v>89</v>
      </c>
      <c r="C23" s="78" t="str">
        <f t="shared" si="3"/>
        <v>1E</v>
      </c>
      <c r="D23" s="77" t="str">
        <f t="shared" si="4"/>
        <v>6E</v>
      </c>
      <c r="E23" s="76" t="str">
        <f t="shared" si="0"/>
        <v>EUR1E6E15Y_Quote</v>
      </c>
      <c r="F23" s="76" t="str">
        <f>_xll.qlSimpleQuote(E23,,RateTickValue,Permanent,Trigger,ObjectOverwrite)</f>
        <v>EUR1E6E15Y_Quote#0000</v>
      </c>
      <c r="G23" s="75" t="str">
        <f>_xll.ohRangeRetrieveError(F23)</f>
        <v/>
      </c>
      <c r="H23" s="74"/>
      <c r="N23" s="122">
        <v>15</v>
      </c>
      <c r="O23" s="301" t="s">
        <v>89</v>
      </c>
      <c r="P23" s="300" t="str">
        <v>1E</v>
      </c>
      <c r="Q23" s="300" t="str">
        <v>6E</v>
      </c>
      <c r="R23" s="298" t="str">
        <f t="shared" si="1"/>
        <v>EUR1E6E15Y</v>
      </c>
      <c r="S23" s="263" t="str">
        <v>EUR1E6E15Y=ICAP</v>
      </c>
      <c r="T23" s="379">
        <v>19.5</v>
      </c>
      <c r="U23" s="379">
        <v>0</v>
      </c>
      <c r="V23" s="379">
        <f>_xll.qlMidEquivalent(T23,U23)</f>
        <v>19.5</v>
      </c>
      <c r="W23" s="259" t="b">
        <f t="shared" si="2"/>
        <v>1</v>
      </c>
      <c r="X23" s="378">
        <v>19.5</v>
      </c>
      <c r="Y23" s="253"/>
      <c r="Z23" s="377">
        <v>19.5</v>
      </c>
      <c r="AA23" s="253"/>
      <c r="AB23" s="583">
        <v>19.5</v>
      </c>
      <c r="AC23" s="258">
        <f>_xll.qlSimpleQuoteSetValue(F23,ROUND(AB23/10000,6),Trigger)</f>
        <v>0</v>
      </c>
      <c r="AD23" s="217"/>
      <c r="AE23" s="17"/>
      <c r="AF23" s="17"/>
      <c r="AG23" s="17"/>
      <c r="AH23" s="17"/>
    </row>
    <row r="24" spans="1:34" x14ac:dyDescent="0.2">
      <c r="A24" s="80"/>
      <c r="B24" s="79" t="s">
        <v>88</v>
      </c>
      <c r="C24" s="78" t="str">
        <f t="shared" si="3"/>
        <v>1E</v>
      </c>
      <c r="D24" s="77" t="str">
        <f t="shared" si="4"/>
        <v>6E</v>
      </c>
      <c r="E24" s="76" t="str">
        <f t="shared" si="0"/>
        <v>EUR1E6E16Y_Quote</v>
      </c>
      <c r="F24" s="76" t="str">
        <f>_xll.qlSimpleQuote(E24,,RateTickValue,Permanent,Trigger,ObjectOverwrite)</f>
        <v>EUR1E6E16Y_Quote#0000</v>
      </c>
      <c r="G24" s="75" t="str">
        <f>_xll.ohRangeRetrieveError(F24)</f>
        <v/>
      </c>
      <c r="H24" s="74"/>
      <c r="N24" s="122">
        <v>16</v>
      </c>
      <c r="O24" s="301" t="s">
        <v>88</v>
      </c>
      <c r="P24" s="300" t="str">
        <v>1E</v>
      </c>
      <c r="Q24" s="300" t="str">
        <v>6E</v>
      </c>
      <c r="R24" s="298" t="str">
        <f t="shared" si="1"/>
        <v>EUR1E6E16Y</v>
      </c>
      <c r="S24" s="263" t="str">
        <v>EUR1E6E16Y=ICAP</v>
      </c>
      <c r="T24" s="379" t="s">
        <v>244</v>
      </c>
      <c r="U24" s="379" t="s">
        <v>244</v>
      </c>
      <c r="V24" s="379" t="e">
        <f>_xll.qlMidEquivalent(T24,U24)</f>
        <v>#NUM!</v>
      </c>
      <c r="W24" s="259" t="b">
        <f t="shared" si="2"/>
        <v>0</v>
      </c>
      <c r="X24" s="378">
        <v>18.930884672736056</v>
      </c>
      <c r="Y24" s="253"/>
      <c r="Z24" s="377">
        <v>18.935442067151328</v>
      </c>
      <c r="AA24" s="253"/>
      <c r="AB24" s="583">
        <v>18.935442067151328</v>
      </c>
      <c r="AC24" s="258">
        <f>_xll.qlSimpleQuoteSetValue(F24,ROUND(AB24/10000,6),Trigger)</f>
        <v>1.0000000000001327E-6</v>
      </c>
      <c r="AD24" s="217"/>
      <c r="AE24" s="17"/>
      <c r="AF24" s="17"/>
      <c r="AG24" s="17"/>
      <c r="AH24" s="17"/>
    </row>
    <row r="25" spans="1:34" x14ac:dyDescent="0.2">
      <c r="A25" s="80"/>
      <c r="B25" s="79" t="s">
        <v>87</v>
      </c>
      <c r="C25" s="78" t="str">
        <f t="shared" si="3"/>
        <v>1E</v>
      </c>
      <c r="D25" s="77" t="str">
        <f t="shared" si="4"/>
        <v>6E</v>
      </c>
      <c r="E25" s="76" t="str">
        <f t="shared" si="0"/>
        <v>EUR1E6E17Y_Quote</v>
      </c>
      <c r="F25" s="76" t="str">
        <f>_xll.qlSimpleQuote(E25,,RateTickValue,Permanent,Trigger,ObjectOverwrite)</f>
        <v>EUR1E6E17Y_Quote#0000</v>
      </c>
      <c r="G25" s="75" t="str">
        <f>_xll.ohRangeRetrieveError(F25)</f>
        <v/>
      </c>
      <c r="H25" s="74"/>
      <c r="N25" s="122">
        <v>17</v>
      </c>
      <c r="O25" s="301" t="s">
        <v>87</v>
      </c>
      <c r="P25" s="300" t="str">
        <v>1E</v>
      </c>
      <c r="Q25" s="300" t="str">
        <v>6E</v>
      </c>
      <c r="R25" s="298" t="str">
        <f t="shared" si="1"/>
        <v>EUR1E6E17Y</v>
      </c>
      <c r="S25" s="263" t="str">
        <v>EUR1E6E17Y=ICAP</v>
      </c>
      <c r="T25" s="379" t="s">
        <v>244</v>
      </c>
      <c r="U25" s="379" t="s">
        <v>244</v>
      </c>
      <c r="V25" s="379" t="e">
        <f>_xll.qlMidEquivalent(T25,U25)</f>
        <v>#NUM!</v>
      </c>
      <c r="W25" s="259" t="b">
        <f t="shared" si="2"/>
        <v>0</v>
      </c>
      <c r="X25" s="378">
        <v>18.396317652365603</v>
      </c>
      <c r="Y25" s="253"/>
      <c r="Z25" s="377">
        <v>18.401195592823832</v>
      </c>
      <c r="AA25" s="253"/>
      <c r="AB25" s="583">
        <v>18.401195592823832</v>
      </c>
      <c r="AC25" s="258">
        <f>_xll.qlSimpleQuoteSetValue(F25,ROUND(AB25/10000,6),Trigger)</f>
        <v>0</v>
      </c>
      <c r="AD25" s="217"/>
      <c r="AE25" s="17"/>
      <c r="AF25" s="17"/>
      <c r="AG25" s="17"/>
      <c r="AH25" s="17"/>
    </row>
    <row r="26" spans="1:34" x14ac:dyDescent="0.2">
      <c r="A26" s="80"/>
      <c r="B26" s="79" t="s">
        <v>86</v>
      </c>
      <c r="C26" s="78" t="str">
        <f t="shared" si="3"/>
        <v>1E</v>
      </c>
      <c r="D26" s="77" t="str">
        <f t="shared" si="4"/>
        <v>6E</v>
      </c>
      <c r="E26" s="76" t="str">
        <f t="shared" si="0"/>
        <v>EUR1E6E18Y_Quote</v>
      </c>
      <c r="F26" s="76" t="str">
        <f>_xll.qlSimpleQuote(E26,,RateTickValue,Permanent,Trigger,ObjectOverwrite)</f>
        <v>EUR1E6E18Y_Quote#0000</v>
      </c>
      <c r="G26" s="75" t="str">
        <f>_xll.ohRangeRetrieveError(F26)</f>
        <v/>
      </c>
      <c r="H26" s="74"/>
      <c r="N26" s="122">
        <v>18</v>
      </c>
      <c r="O26" s="301" t="s">
        <v>86</v>
      </c>
      <c r="P26" s="300" t="str">
        <v>1E</v>
      </c>
      <c r="Q26" s="300" t="str">
        <v>6E</v>
      </c>
      <c r="R26" s="298" t="str">
        <f t="shared" si="1"/>
        <v>EUR1E6E18Y</v>
      </c>
      <c r="S26" s="263" t="str">
        <v>EUR1E6E18Y=ICAP</v>
      </c>
      <c r="T26" s="379" t="s">
        <v>244</v>
      </c>
      <c r="U26" s="379" t="s">
        <v>244</v>
      </c>
      <c r="V26" s="379" t="e">
        <f>_xll.qlMidEquivalent(T26,U26)</f>
        <v>#NUM!</v>
      </c>
      <c r="W26" s="259" t="b">
        <f t="shared" si="2"/>
        <v>0</v>
      </c>
      <c r="X26" s="378">
        <v>17.896308295627119</v>
      </c>
      <c r="Y26" s="253"/>
      <c r="Z26" s="377">
        <v>17.899228084920672</v>
      </c>
      <c r="AA26" s="253"/>
      <c r="AB26" s="583">
        <v>17.899228084920672</v>
      </c>
      <c r="AC26" s="258">
        <f>_xll.qlSimpleQuoteSetValue(F26,ROUND(AB26/10000,6),Trigger)</f>
        <v>0</v>
      </c>
      <c r="AD26" s="217"/>
      <c r="AE26" s="17"/>
      <c r="AF26" s="17"/>
      <c r="AG26" s="17"/>
      <c r="AH26" s="17"/>
    </row>
    <row r="27" spans="1:34" x14ac:dyDescent="0.2">
      <c r="A27" s="80"/>
      <c r="B27" s="79" t="s">
        <v>85</v>
      </c>
      <c r="C27" s="78" t="str">
        <f t="shared" si="3"/>
        <v>1E</v>
      </c>
      <c r="D27" s="77" t="str">
        <f t="shared" si="4"/>
        <v>6E</v>
      </c>
      <c r="E27" s="76" t="str">
        <f t="shared" si="0"/>
        <v>EUR1E6E19Y_Quote</v>
      </c>
      <c r="F27" s="76" t="str">
        <f>_xll.qlSimpleQuote(E27,,RateTickValue,Permanent,Trigger,ObjectOverwrite)</f>
        <v>EUR1E6E19Y_Quote#0000</v>
      </c>
      <c r="G27" s="75" t="str">
        <f>_xll.ohRangeRetrieveError(F27)</f>
        <v/>
      </c>
      <c r="H27" s="74"/>
      <c r="N27" s="122">
        <v>19</v>
      </c>
      <c r="O27" s="301" t="s">
        <v>85</v>
      </c>
      <c r="P27" s="300" t="str">
        <v>1E</v>
      </c>
      <c r="Q27" s="300" t="str">
        <v>6E</v>
      </c>
      <c r="R27" s="298" t="str">
        <f t="shared" si="1"/>
        <v>EUR1E6E19Y</v>
      </c>
      <c r="S27" s="263" t="str">
        <v>EUR1E6E19Y=ICAP</v>
      </c>
      <c r="T27" s="379" t="s">
        <v>244</v>
      </c>
      <c r="U27" s="379" t="s">
        <v>244</v>
      </c>
      <c r="V27" s="379" t="e">
        <f>_xll.qlMidEquivalent(T27,U27)</f>
        <v>#NUM!</v>
      </c>
      <c r="W27" s="259" t="b">
        <f t="shared" si="2"/>
        <v>0</v>
      </c>
      <c r="X27" s="378">
        <v>17.430865959259091</v>
      </c>
      <c r="Y27" s="253"/>
      <c r="Z27" s="377">
        <v>17.431507051345008</v>
      </c>
      <c r="AA27" s="253"/>
      <c r="AB27" s="583">
        <v>17.431507051345008</v>
      </c>
      <c r="AC27" s="258">
        <f>_xll.qlSimpleQuoteSetValue(F27,ROUND(AB27/10000,6),Trigger)</f>
        <v>0</v>
      </c>
      <c r="AD27" s="217"/>
      <c r="AE27" s="17"/>
      <c r="AF27" s="17"/>
      <c r="AG27" s="17"/>
      <c r="AH27" s="17"/>
    </row>
    <row r="28" spans="1:34" x14ac:dyDescent="0.2">
      <c r="A28" s="80"/>
      <c r="B28" s="79" t="s">
        <v>84</v>
      </c>
      <c r="C28" s="78" t="str">
        <f t="shared" si="3"/>
        <v>1E</v>
      </c>
      <c r="D28" s="77" t="str">
        <f t="shared" si="4"/>
        <v>6E</v>
      </c>
      <c r="E28" s="76" t="str">
        <f t="shared" si="0"/>
        <v>EUR1E6E20Y_Quote</v>
      </c>
      <c r="F28" s="76" t="str">
        <f>_xll.qlSimpleQuote(E28,,RateTickValue,Permanent,Trigger,ObjectOverwrite)</f>
        <v>EUR1E6E20Y_Quote#0000</v>
      </c>
      <c r="G28" s="75" t="str">
        <f>_xll.ohRangeRetrieveError(F28)</f>
        <v/>
      </c>
      <c r="H28" s="74"/>
      <c r="N28" s="122">
        <v>20</v>
      </c>
      <c r="O28" s="301" t="s">
        <v>84</v>
      </c>
      <c r="P28" s="300" t="str">
        <v>1E</v>
      </c>
      <c r="Q28" s="300" t="str">
        <v>6E</v>
      </c>
      <c r="R28" s="298" t="str">
        <f t="shared" si="1"/>
        <v>EUR1E6E20Y</v>
      </c>
      <c r="S28" s="263" t="str">
        <v>EUR1E6E20Y=ICAP</v>
      </c>
      <c r="T28" s="379">
        <v>17</v>
      </c>
      <c r="U28" s="379">
        <v>0</v>
      </c>
      <c r="V28" s="379">
        <f>_xll.qlMidEquivalent(T28,U28)</f>
        <v>17</v>
      </c>
      <c r="W28" s="259" t="b">
        <f t="shared" si="2"/>
        <v>1</v>
      </c>
      <c r="X28" s="378">
        <v>17</v>
      </c>
      <c r="Y28" s="253"/>
      <c r="Z28" s="377">
        <v>17</v>
      </c>
      <c r="AA28" s="253"/>
      <c r="AB28" s="583">
        <v>17</v>
      </c>
      <c r="AC28" s="258">
        <f>_xll.qlSimpleQuoteSetValue(F28,ROUND(AB28/10000,6),Trigger)</f>
        <v>0</v>
      </c>
      <c r="AD28" s="217"/>
      <c r="AE28" s="17"/>
      <c r="AF28" s="17"/>
      <c r="AG28" s="17"/>
      <c r="AH28" s="17"/>
    </row>
    <row r="29" spans="1:34" x14ac:dyDescent="0.2">
      <c r="A29" s="80"/>
      <c r="B29" s="79" t="s">
        <v>83</v>
      </c>
      <c r="C29" s="78" t="str">
        <f t="shared" si="3"/>
        <v>1E</v>
      </c>
      <c r="D29" s="77" t="str">
        <f t="shared" si="4"/>
        <v>6E</v>
      </c>
      <c r="E29" s="76" t="str">
        <f t="shared" si="0"/>
        <v>EUR1E6E21Y_Quote</v>
      </c>
      <c r="F29" s="76" t="str">
        <f>_xll.qlSimpleQuote(E29,,RateTickValue,Permanent,Trigger,ObjectOverwrite)</f>
        <v>EUR1E6E21Y_Quote#0000</v>
      </c>
      <c r="G29" s="75" t="str">
        <f>_xll.ohRangeRetrieveError(F29)</f>
        <v/>
      </c>
      <c r="H29" s="74"/>
      <c r="N29" s="122">
        <v>21</v>
      </c>
      <c r="O29" s="301" t="s">
        <v>83</v>
      </c>
      <c r="P29" s="300" t="str">
        <v>1E</v>
      </c>
      <c r="Q29" s="300" t="str">
        <v>6E</v>
      </c>
      <c r="R29" s="298" t="str">
        <f t="shared" si="1"/>
        <v>EUR1E6E21Y</v>
      </c>
      <c r="S29" s="263" t="str">
        <v>EUR1E6E21Y=ICAP</v>
      </c>
      <c r="T29" s="379" t="s">
        <v>244</v>
      </c>
      <c r="U29" s="379" t="s">
        <v>244</v>
      </c>
      <c r="V29" s="379" t="e">
        <f>_xll.qlMidEquivalent(T29,U29)</f>
        <v>#NUM!</v>
      </c>
      <c r="W29" s="259" t="b">
        <f t="shared" si="2"/>
        <v>0</v>
      </c>
      <c r="X29" s="378">
        <v>16.603202627818849</v>
      </c>
      <c r="Y29" s="253"/>
      <c r="Z29" s="377">
        <v>16.60543814076204</v>
      </c>
      <c r="AA29" s="253"/>
      <c r="AB29" s="583">
        <v>16.60543814076204</v>
      </c>
      <c r="AC29" s="258">
        <f>_xll.qlSimpleQuoteSetValue(F29,ROUND(AB29/10000,6),Trigger)</f>
        <v>9.9999999999991589E-7</v>
      </c>
      <c r="AD29" s="217"/>
      <c r="AE29" s="17"/>
      <c r="AF29" s="17"/>
      <c r="AG29" s="17"/>
      <c r="AH29" s="17"/>
    </row>
    <row r="30" spans="1:34" x14ac:dyDescent="0.2">
      <c r="A30" s="80"/>
      <c r="B30" s="79" t="s">
        <v>82</v>
      </c>
      <c r="C30" s="78" t="str">
        <f t="shared" si="3"/>
        <v>1E</v>
      </c>
      <c r="D30" s="77" t="str">
        <f t="shared" si="4"/>
        <v>6E</v>
      </c>
      <c r="E30" s="76" t="str">
        <f t="shared" si="0"/>
        <v>EUR1E6E22Y_Quote</v>
      </c>
      <c r="F30" s="76" t="str">
        <f>_xll.qlSimpleQuote(E30,,RateTickValue,Permanent,Trigger,ObjectOverwrite)</f>
        <v>EUR1E6E22Y_Quote#0000</v>
      </c>
      <c r="G30" s="75" t="str">
        <f>_xll.ohRangeRetrieveError(F30)</f>
        <v/>
      </c>
      <c r="H30" s="74"/>
      <c r="N30" s="122">
        <v>22</v>
      </c>
      <c r="O30" s="301" t="s">
        <v>82</v>
      </c>
      <c r="P30" s="300" t="str">
        <v>1E</v>
      </c>
      <c r="Q30" s="300" t="str">
        <v>6E</v>
      </c>
      <c r="R30" s="298" t="str">
        <f t="shared" si="1"/>
        <v>EUR1E6E22Y</v>
      </c>
      <c r="S30" s="263" t="str">
        <v>EUR1E6E22Y=ICAP</v>
      </c>
      <c r="T30" s="379" t="s">
        <v>244</v>
      </c>
      <c r="U30" s="379" t="s">
        <v>244</v>
      </c>
      <c r="V30" s="379" t="e">
        <f>_xll.qlMidEquivalent(T30,U30)</f>
        <v>#NUM!</v>
      </c>
      <c r="W30" s="259" t="b">
        <f t="shared" si="2"/>
        <v>0</v>
      </c>
      <c r="X30" s="378">
        <v>16.237897465606693</v>
      </c>
      <c r="Y30" s="253"/>
      <c r="Z30" s="377">
        <v>16.243607491400475</v>
      </c>
      <c r="AA30" s="253"/>
      <c r="AB30" s="583">
        <v>16.243607491400475</v>
      </c>
      <c r="AC30" s="258">
        <f>_xll.qlSimpleQuoteSetValue(F30,ROUND(AB30/10000,6),Trigger)</f>
        <v>0</v>
      </c>
      <c r="AD30" s="217"/>
      <c r="AE30" s="17"/>
      <c r="AF30" s="17"/>
      <c r="AG30" s="17"/>
      <c r="AH30" s="17"/>
    </row>
    <row r="31" spans="1:34" x14ac:dyDescent="0.2">
      <c r="A31" s="80"/>
      <c r="B31" s="79" t="s">
        <v>81</v>
      </c>
      <c r="C31" s="78" t="str">
        <f t="shared" si="3"/>
        <v>1E</v>
      </c>
      <c r="D31" s="77" t="str">
        <f t="shared" si="4"/>
        <v>6E</v>
      </c>
      <c r="E31" s="76" t="str">
        <f t="shared" si="0"/>
        <v>EUR1E6E23Y_Quote</v>
      </c>
      <c r="F31" s="76" t="str">
        <f>_xll.qlSimpleQuote(E31,,RateTickValue,Permanent,Trigger,ObjectOverwrite)</f>
        <v>EUR1E6E23Y_Quote#0000</v>
      </c>
      <c r="G31" s="75" t="str">
        <f>_xll.ohRangeRetrieveError(F31)</f>
        <v/>
      </c>
      <c r="H31" s="74"/>
      <c r="N31" s="122">
        <v>23</v>
      </c>
      <c r="O31" s="301" t="s">
        <v>81</v>
      </c>
      <c r="P31" s="300" t="str">
        <v>1E</v>
      </c>
      <c r="Q31" s="300" t="str">
        <v>6E</v>
      </c>
      <c r="R31" s="298" t="str">
        <f t="shared" si="1"/>
        <v>EUR1E6E23Y</v>
      </c>
      <c r="S31" s="263" t="str">
        <v>EUR1E6E23Y=ICAP</v>
      </c>
      <c r="T31" s="379" t="s">
        <v>244</v>
      </c>
      <c r="U31" s="379" t="s">
        <v>244</v>
      </c>
      <c r="V31" s="379" t="e">
        <f>_xll.qlMidEquivalent(T31,U31)</f>
        <v>#NUM!</v>
      </c>
      <c r="W31" s="259" t="b">
        <f t="shared" si="2"/>
        <v>0</v>
      </c>
      <c r="X31" s="378">
        <v>15.900990989485116</v>
      </c>
      <c r="Y31" s="253"/>
      <c r="Z31" s="377">
        <v>15.909057771657892</v>
      </c>
      <c r="AA31" s="253"/>
      <c r="AB31" s="583">
        <v>15.909057771657892</v>
      </c>
      <c r="AC31" s="258">
        <f>_xll.qlSimpleQuoteSetValue(F31,ROUND(AB31/10000,6),Trigger)</f>
        <v>9.9999999999991589E-7</v>
      </c>
      <c r="AD31" s="217"/>
      <c r="AE31" s="17"/>
      <c r="AF31" s="17"/>
      <c r="AG31" s="17"/>
      <c r="AH31" s="17"/>
    </row>
    <row r="32" spans="1:34" x14ac:dyDescent="0.2">
      <c r="A32" s="80"/>
      <c r="B32" s="79" t="s">
        <v>80</v>
      </c>
      <c r="C32" s="78" t="str">
        <f t="shared" si="3"/>
        <v>1E</v>
      </c>
      <c r="D32" s="77" t="str">
        <f t="shared" si="4"/>
        <v>6E</v>
      </c>
      <c r="E32" s="76" t="str">
        <f t="shared" si="0"/>
        <v>EUR1E6E24Y_Quote</v>
      </c>
      <c r="F32" s="76" t="str">
        <f>_xll.qlSimpleQuote(E32,,RateTickValue,Permanent,Trigger,ObjectOverwrite)</f>
        <v>EUR1E6E24Y_Quote#0000</v>
      </c>
      <c r="G32" s="75" t="str">
        <f>_xll.ohRangeRetrieveError(F32)</f>
        <v/>
      </c>
      <c r="H32" s="74"/>
      <c r="N32" s="122">
        <v>24</v>
      </c>
      <c r="O32" s="301" t="s">
        <v>80</v>
      </c>
      <c r="P32" s="300" t="str">
        <v>1E</v>
      </c>
      <c r="Q32" s="300" t="str">
        <v>6E</v>
      </c>
      <c r="R32" s="298" t="str">
        <f t="shared" si="1"/>
        <v>EUR1E6E24Y</v>
      </c>
      <c r="S32" s="263" t="str">
        <v>EUR1E6E24Y=ICAP</v>
      </c>
      <c r="T32" s="379" t="s">
        <v>244</v>
      </c>
      <c r="U32" s="379" t="s">
        <v>244</v>
      </c>
      <c r="V32" s="379" t="e">
        <f>_xll.qlMidEquivalent(T32,U32)</f>
        <v>#NUM!</v>
      </c>
      <c r="W32" s="259" t="b">
        <f t="shared" si="2"/>
        <v>0</v>
      </c>
      <c r="X32" s="378">
        <v>15.589389675575694</v>
      </c>
      <c r="Y32" s="253"/>
      <c r="Z32" s="377">
        <v>15.596338701276871</v>
      </c>
      <c r="AA32" s="253"/>
      <c r="AB32" s="583">
        <v>15.596338701276871</v>
      </c>
      <c r="AC32" s="258">
        <f>_xll.qlSimpleQuoteSetValue(F32,ROUND(AB32/10000,6),Trigger)</f>
        <v>9.9999999999991589E-7</v>
      </c>
      <c r="AD32" s="217"/>
      <c r="AE32" s="17"/>
      <c r="AF32" s="17"/>
      <c r="AG32" s="17"/>
      <c r="AH32" s="17"/>
    </row>
    <row r="33" spans="1:34" x14ac:dyDescent="0.2">
      <c r="A33" s="80"/>
      <c r="B33" s="79" t="s">
        <v>79</v>
      </c>
      <c r="C33" s="78" t="str">
        <f t="shared" si="3"/>
        <v>1E</v>
      </c>
      <c r="D33" s="77" t="str">
        <f t="shared" si="4"/>
        <v>6E</v>
      </c>
      <c r="E33" s="76" t="str">
        <f t="shared" si="0"/>
        <v>EUR1E6E25Y_Quote</v>
      </c>
      <c r="F33" s="76" t="str">
        <f>_xll.qlSimpleQuote(E33,,RateTickValue,Permanent,Trigger,ObjectOverwrite)</f>
        <v>EUR1E6E25Y_Quote#0000</v>
      </c>
      <c r="G33" s="75" t="str">
        <f>_xll.ohRangeRetrieveError(F33)</f>
        <v/>
      </c>
      <c r="H33" s="74"/>
      <c r="N33" s="122">
        <v>25</v>
      </c>
      <c r="O33" s="301" t="s">
        <v>79</v>
      </c>
      <c r="P33" s="300" t="str">
        <v>1E</v>
      </c>
      <c r="Q33" s="300" t="str">
        <v>6E</v>
      </c>
      <c r="R33" s="298" t="str">
        <f t="shared" si="1"/>
        <v>EUR1E6E25Y</v>
      </c>
      <c r="S33" s="263" t="str">
        <v>EUR1E6E25Y=ICAP</v>
      </c>
      <c r="T33" s="379">
        <v>15.3</v>
      </c>
      <c r="U33" s="379">
        <v>0</v>
      </c>
      <c r="V33" s="379">
        <f>_xll.qlMidEquivalent(T33,U33)</f>
        <v>15.3</v>
      </c>
      <c r="W33" s="259" t="b">
        <f t="shared" si="2"/>
        <v>1</v>
      </c>
      <c r="X33" s="378">
        <v>15.3</v>
      </c>
      <c r="Y33" s="253"/>
      <c r="Z33" s="377">
        <v>15.3</v>
      </c>
      <c r="AA33" s="253"/>
      <c r="AB33" s="583">
        <v>15.3</v>
      </c>
      <c r="AC33" s="258">
        <f>_xll.qlSimpleQuoteSetValue(F33,ROUND(AB33/10000,6),Trigger)</f>
        <v>0</v>
      </c>
      <c r="AD33" s="217"/>
      <c r="AE33" s="17"/>
      <c r="AF33" s="17"/>
      <c r="AG33" s="17"/>
      <c r="AH33" s="17"/>
    </row>
    <row r="34" spans="1:34" x14ac:dyDescent="0.2">
      <c r="A34" s="80"/>
      <c r="B34" s="79" t="s">
        <v>78</v>
      </c>
      <c r="C34" s="78" t="str">
        <f t="shared" si="3"/>
        <v>1E</v>
      </c>
      <c r="D34" s="77" t="str">
        <f t="shared" si="4"/>
        <v>6E</v>
      </c>
      <c r="E34" s="76" t="str">
        <f t="shared" si="0"/>
        <v>EUR1E6E26Y_Quote</v>
      </c>
      <c r="F34" s="76" t="str">
        <f>_xll.qlSimpleQuote(E34,,RateTickValue,Permanent,Trigger,ObjectOverwrite)</f>
        <v>EUR1E6E26Y_Quote#0000</v>
      </c>
      <c r="G34" s="75" t="str">
        <f>_xll.ohRangeRetrieveError(F34)</f>
        <v/>
      </c>
      <c r="H34" s="74"/>
      <c r="N34" s="122">
        <v>26</v>
      </c>
      <c r="O34" s="301" t="s">
        <v>78</v>
      </c>
      <c r="P34" s="300" t="str">
        <v>1E</v>
      </c>
      <c r="Q34" s="300" t="str">
        <v>6E</v>
      </c>
      <c r="R34" s="298" t="str">
        <f t="shared" si="1"/>
        <v>EUR1E6E26Y</v>
      </c>
      <c r="S34" s="263" t="str">
        <v>EUR1E6E26Y=ICAP</v>
      </c>
      <c r="T34" s="379" t="s">
        <v>244</v>
      </c>
      <c r="U34" s="379" t="s">
        <v>244</v>
      </c>
      <c r="V34" s="379" t="e">
        <f>_xll.qlMidEquivalent(T34,U34)</f>
        <v>#NUM!</v>
      </c>
      <c r="W34" s="259" t="b">
        <f t="shared" si="2"/>
        <v>0</v>
      </c>
      <c r="X34" s="378">
        <v>15.029904815988555</v>
      </c>
      <c r="Y34" s="253"/>
      <c r="Z34" s="377">
        <v>15.015605369800516</v>
      </c>
      <c r="AA34" s="253"/>
      <c r="AB34" s="583">
        <v>15.015605369800516</v>
      </c>
      <c r="AC34" s="258">
        <f>_xll.qlSimpleQuoteSetValue(F34,ROUND(AB34/10000,6),Trigger)</f>
        <v>-9.9999999999991589E-7</v>
      </c>
      <c r="AD34" s="217"/>
      <c r="AE34" s="17"/>
      <c r="AF34" s="17"/>
      <c r="AG34" s="17"/>
      <c r="AH34" s="17"/>
    </row>
    <row r="35" spans="1:34" x14ac:dyDescent="0.2">
      <c r="A35" s="80"/>
      <c r="B35" s="79" t="s">
        <v>77</v>
      </c>
      <c r="C35" s="78" t="str">
        <f t="shared" si="3"/>
        <v>1E</v>
      </c>
      <c r="D35" s="77" t="str">
        <f t="shared" si="4"/>
        <v>6E</v>
      </c>
      <c r="E35" s="76" t="str">
        <f t="shared" si="0"/>
        <v>EUR1E6E27Y_Quote</v>
      </c>
      <c r="F35" s="76" t="str">
        <f>_xll.qlSimpleQuote(E35,,RateTickValue,Permanent,Trigger,ObjectOverwrite)</f>
        <v>EUR1E6E27Y_Quote#0000</v>
      </c>
      <c r="G35" s="75" t="str">
        <f>_xll.ohRangeRetrieveError(F35)</f>
        <v/>
      </c>
      <c r="H35" s="74"/>
      <c r="N35" s="122">
        <v>27</v>
      </c>
      <c r="O35" s="301" t="s">
        <v>77</v>
      </c>
      <c r="P35" s="300" t="str">
        <v>1E</v>
      </c>
      <c r="Q35" s="300" t="str">
        <v>6E</v>
      </c>
      <c r="R35" s="298" t="str">
        <f t="shared" si="1"/>
        <v>EUR1E6E27Y</v>
      </c>
      <c r="S35" s="263" t="str">
        <v>EUR1E6E27Y=ICAP</v>
      </c>
      <c r="T35" s="379" t="s">
        <v>244</v>
      </c>
      <c r="U35" s="379" t="s">
        <v>244</v>
      </c>
      <c r="V35" s="379" t="e">
        <f>_xll.qlMidEquivalent(T35,U35)</f>
        <v>#NUM!</v>
      </c>
      <c r="W35" s="259" t="b">
        <f t="shared" si="2"/>
        <v>0</v>
      </c>
      <c r="X35" s="378">
        <v>14.776892485207624</v>
      </c>
      <c r="Y35" s="253"/>
      <c r="Z35" s="377">
        <v>14.742774441574269</v>
      </c>
      <c r="AA35" s="253"/>
      <c r="AB35" s="583">
        <v>14.742774441574269</v>
      </c>
      <c r="AC35" s="258">
        <f>_xll.qlSimpleQuoteSetValue(F35,ROUND(AB35/10000,6),Trigger)</f>
        <v>-3.9999999999998804E-6</v>
      </c>
      <c r="AD35" s="217"/>
      <c r="AE35" s="17"/>
      <c r="AF35" s="17"/>
      <c r="AG35" s="17"/>
      <c r="AH35" s="17"/>
    </row>
    <row r="36" spans="1:34" x14ac:dyDescent="0.2">
      <c r="A36" s="80"/>
      <c r="B36" s="79" t="s">
        <v>76</v>
      </c>
      <c r="C36" s="78" t="str">
        <f t="shared" si="3"/>
        <v>1E</v>
      </c>
      <c r="D36" s="77" t="str">
        <f t="shared" si="4"/>
        <v>6E</v>
      </c>
      <c r="E36" s="76" t="str">
        <f t="shared" si="0"/>
        <v>EUR1E6E28Y_Quote</v>
      </c>
      <c r="F36" s="76" t="str">
        <f>_xll.qlSimpleQuote(E36,,RateTickValue,Permanent,Trigger,ObjectOverwrite)</f>
        <v>EUR1E6E28Y_Quote#0000</v>
      </c>
      <c r="G36" s="75" t="str">
        <f>_xll.ohRangeRetrieveError(F36)</f>
        <v/>
      </c>
      <c r="H36" s="74"/>
      <c r="N36" s="122">
        <v>28</v>
      </c>
      <c r="O36" s="301" t="s">
        <v>76</v>
      </c>
      <c r="P36" s="300" t="str">
        <v>1E</v>
      </c>
      <c r="Q36" s="300" t="str">
        <v>6E</v>
      </c>
      <c r="R36" s="298" t="str">
        <f t="shared" si="1"/>
        <v>EUR1E6E28Y</v>
      </c>
      <c r="S36" s="263" t="str">
        <v>EUR1E6E28Y=ICAP</v>
      </c>
      <c r="T36" s="379" t="s">
        <v>244</v>
      </c>
      <c r="U36" s="379" t="s">
        <v>244</v>
      </c>
      <c r="V36" s="379" t="e">
        <f>_xll.qlMidEquivalent(T36,U36)</f>
        <v>#NUM!</v>
      </c>
      <c r="W36" s="259" t="b">
        <f t="shared" si="2"/>
        <v>0</v>
      </c>
      <c r="X36" s="378">
        <v>14.538927746432416</v>
      </c>
      <c r="Y36" s="253"/>
      <c r="Z36" s="377">
        <v>14.482140828447765</v>
      </c>
      <c r="AA36" s="253"/>
      <c r="AB36" s="583">
        <v>14.482140828447765</v>
      </c>
      <c r="AC36" s="258">
        <f>_xll.qlSimpleQuoteSetValue(F36,ROUND(AB36/10000,6),Trigger)</f>
        <v>-5.999999999999929E-6</v>
      </c>
      <c r="AD36" s="217"/>
      <c r="AE36" s="17"/>
      <c r="AF36" s="17"/>
      <c r="AG36" s="17"/>
      <c r="AH36" s="17"/>
    </row>
    <row r="37" spans="1:34" x14ac:dyDescent="0.2">
      <c r="A37" s="80"/>
      <c r="B37" s="79" t="s">
        <v>75</v>
      </c>
      <c r="C37" s="78" t="str">
        <f t="shared" si="3"/>
        <v>1E</v>
      </c>
      <c r="D37" s="77" t="str">
        <f t="shared" si="4"/>
        <v>6E</v>
      </c>
      <c r="E37" s="76" t="str">
        <f t="shared" si="0"/>
        <v>EUR1E6E29Y_Quote</v>
      </c>
      <c r="F37" s="76" t="str">
        <f>_xll.qlSimpleQuote(E37,,RateTickValue,Permanent,Trigger,ObjectOverwrite)</f>
        <v>EUR1E6E29Y_Quote#0000</v>
      </c>
      <c r="G37" s="75" t="str">
        <f>_xll.ohRangeRetrieveError(F37)</f>
        <v/>
      </c>
      <c r="H37" s="74"/>
      <c r="N37" s="122">
        <v>29</v>
      </c>
      <c r="O37" s="301" t="s">
        <v>75</v>
      </c>
      <c r="P37" s="300" t="str">
        <v>1E</v>
      </c>
      <c r="Q37" s="300" t="str">
        <v>6E</v>
      </c>
      <c r="R37" s="298" t="str">
        <f t="shared" si="1"/>
        <v>EUR1E6E29Y</v>
      </c>
      <c r="S37" s="263" t="str">
        <v>EUR1E6E29Y=ICAP</v>
      </c>
      <c r="T37" s="379" t="s">
        <v>244</v>
      </c>
      <c r="U37" s="379" t="s">
        <v>244</v>
      </c>
      <c r="V37" s="379" t="e">
        <f>_xll.qlMidEquivalent(T37,U37)</f>
        <v>#NUM!</v>
      </c>
      <c r="W37" s="259" t="b">
        <f t="shared" si="2"/>
        <v>0</v>
      </c>
      <c r="X37" s="378">
        <v>14.313975338438139</v>
      </c>
      <c r="Y37" s="253"/>
      <c r="Z37" s="377">
        <v>14.234338143547507</v>
      </c>
      <c r="AA37" s="253"/>
      <c r="AB37" s="583">
        <v>14.234338143547507</v>
      </c>
      <c r="AC37" s="258">
        <f>_xll.qlSimpleQuoteSetValue(F37,ROUND(AB37/10000,6),Trigger)</f>
        <v>-7.9999999999999776E-6</v>
      </c>
      <c r="AD37" s="217"/>
      <c r="AE37" s="17"/>
      <c r="AF37" s="17"/>
      <c r="AG37" s="17"/>
      <c r="AH37" s="17"/>
    </row>
    <row r="38" spans="1:34" x14ac:dyDescent="0.2">
      <c r="A38" s="80"/>
      <c r="B38" s="79" t="s">
        <v>74</v>
      </c>
      <c r="C38" s="78" t="str">
        <f t="shared" si="3"/>
        <v>1E</v>
      </c>
      <c r="D38" s="77" t="str">
        <f t="shared" si="4"/>
        <v>6E</v>
      </c>
      <c r="E38" s="76" t="str">
        <f t="shared" si="0"/>
        <v>EUR1E6E30Y_Quote</v>
      </c>
      <c r="F38" s="76" t="str">
        <f>_xll.qlSimpleQuote(E38,,RateTickValue,Permanent,Trigger,ObjectOverwrite)</f>
        <v>EUR1E6E30Y_Quote#0000</v>
      </c>
      <c r="G38" s="75" t="str">
        <f>_xll.ohRangeRetrieveError(F38)</f>
        <v/>
      </c>
      <c r="H38" s="74"/>
      <c r="N38" s="122">
        <v>30</v>
      </c>
      <c r="O38" s="301" t="s">
        <v>74</v>
      </c>
      <c r="P38" s="300" t="str">
        <v>1E</v>
      </c>
      <c r="Q38" s="300" t="str">
        <v>6E</v>
      </c>
      <c r="R38" s="298" t="str">
        <f t="shared" si="1"/>
        <v>EUR1E6E30Y</v>
      </c>
      <c r="S38" s="263" t="str">
        <v>EUR1E6E30Y=ICAP</v>
      </c>
      <c r="T38" s="379">
        <v>14.1</v>
      </c>
      <c r="U38" s="379">
        <v>0</v>
      </c>
      <c r="V38" s="379">
        <f>_xll.qlMidEquivalent(T38,U38)</f>
        <v>14.1</v>
      </c>
      <c r="W38" s="259" t="b">
        <f t="shared" si="2"/>
        <v>1</v>
      </c>
      <c r="X38" s="378">
        <v>14.1</v>
      </c>
      <c r="Y38" s="253"/>
      <c r="Z38" s="377">
        <v>14</v>
      </c>
      <c r="AA38" s="253"/>
      <c r="AB38" s="583">
        <v>14</v>
      </c>
      <c r="AC38" s="258">
        <f>_xll.qlSimpleQuoteSetValue(F38,ROUND(AB38/10000,6),Trigger)</f>
        <v>-1.0000000000000026E-5</v>
      </c>
      <c r="AD38" s="217"/>
      <c r="AE38" s="17"/>
      <c r="AF38" s="17"/>
      <c r="AG38" s="17"/>
      <c r="AH38" s="17"/>
    </row>
    <row r="39" spans="1:34" x14ac:dyDescent="0.2">
      <c r="A39" s="80"/>
      <c r="B39" s="79" t="s">
        <v>69</v>
      </c>
      <c r="C39" s="78" t="str">
        <f t="shared" si="3"/>
        <v>1E</v>
      </c>
      <c r="D39" s="77" t="str">
        <f t="shared" si="4"/>
        <v>6E</v>
      </c>
      <c r="E39" s="76" t="str">
        <f t="shared" si="0"/>
        <v>EUR1E6E35Y_Quote</v>
      </c>
      <c r="F39" s="76" t="str">
        <f>_xll.qlSimpleQuote(E39,,RateTickValue,Permanent,Trigger,ObjectOverwrite)</f>
        <v>EUR1E6E35Y_Quote#0000</v>
      </c>
      <c r="G39" s="75" t="str">
        <f>_xll.ohRangeRetrieveError(F39)</f>
        <v/>
      </c>
      <c r="H39" s="74"/>
      <c r="N39" s="122">
        <v>35</v>
      </c>
      <c r="O39" s="301" t="s">
        <v>69</v>
      </c>
      <c r="P39" s="300" t="str">
        <v>1E</v>
      </c>
      <c r="Q39" s="300" t="str">
        <v>6E</v>
      </c>
      <c r="R39" s="298" t="str">
        <f t="shared" si="1"/>
        <v>EUR1E6E35Y</v>
      </c>
      <c r="S39" s="263" t="str">
        <v>EUR1E6E35Y=ICAP</v>
      </c>
      <c r="T39" s="379" t="s">
        <v>244</v>
      </c>
      <c r="U39" s="379" t="s">
        <v>244</v>
      </c>
      <c r="V39" s="379" t="e">
        <f>_xll.qlMidEquivalent(T39,U39)</f>
        <v>#NUM!</v>
      </c>
      <c r="W39" s="259" t="b">
        <f t="shared" si="2"/>
        <v>0</v>
      </c>
      <c r="X39" s="378">
        <v>13.159016711814663</v>
      </c>
      <c r="Y39" s="253"/>
      <c r="Z39" s="377">
        <v>13.022883458636743</v>
      </c>
      <c r="AA39" s="253"/>
      <c r="AB39" s="583">
        <v>13.022883458636743</v>
      </c>
      <c r="AC39" s="258">
        <f>_xll.qlSimpleQuoteSetValue(F39,ROUND(AB39/10000,6),Trigger)</f>
        <v>-1.3999999999999907E-5</v>
      </c>
      <c r="AD39" s="217"/>
      <c r="AE39" s="17"/>
      <c r="AF39" s="17"/>
      <c r="AG39" s="17"/>
      <c r="AH39" s="17"/>
    </row>
    <row r="40" spans="1:34" x14ac:dyDescent="0.2">
      <c r="A40" s="80"/>
      <c r="B40" s="79" t="s">
        <v>64</v>
      </c>
      <c r="C40" s="78" t="str">
        <f t="shared" si="3"/>
        <v>1E</v>
      </c>
      <c r="D40" s="77" t="str">
        <f t="shared" si="4"/>
        <v>6E</v>
      </c>
      <c r="E40" s="76" t="str">
        <f t="shared" si="0"/>
        <v>EUR1E6E40Y_Quote</v>
      </c>
      <c r="F40" s="76" t="str">
        <f>_xll.qlSimpleQuote(E40,,RateTickValue,Permanent,Trigger,ObjectOverwrite)</f>
        <v>EUR1E6E40Y_Quote#0000</v>
      </c>
      <c r="G40" s="75" t="str">
        <f>_xll.ohRangeRetrieveError(F40)</f>
        <v/>
      </c>
      <c r="H40" s="74"/>
      <c r="N40" s="122">
        <v>40</v>
      </c>
      <c r="O40" s="301" t="s">
        <v>64</v>
      </c>
      <c r="P40" s="300" t="str">
        <v>1E</v>
      </c>
      <c r="Q40" s="300" t="str">
        <v>6E</v>
      </c>
      <c r="R40" s="298" t="str">
        <f t="shared" si="1"/>
        <v>EUR1E6E40Y</v>
      </c>
      <c r="S40" s="263" t="str">
        <v>EUR1E6E40Y=ICAP</v>
      </c>
      <c r="T40" s="379">
        <v>12.4</v>
      </c>
      <c r="U40" s="379">
        <v>0</v>
      </c>
      <c r="V40" s="379">
        <f>_xll.qlMidEquivalent(T40,U40)</f>
        <v>12.4</v>
      </c>
      <c r="W40" s="259" t="b">
        <f t="shared" si="2"/>
        <v>1</v>
      </c>
      <c r="X40" s="378">
        <v>12.4</v>
      </c>
      <c r="Y40" s="253"/>
      <c r="Z40" s="377">
        <v>12.3</v>
      </c>
      <c r="AA40" s="253"/>
      <c r="AB40" s="583">
        <v>12.3</v>
      </c>
      <c r="AC40" s="258">
        <f>_xll.qlSimpleQuoteSetValue(F40,ROUND(AB40/10000,6),Trigger)</f>
        <v>-1.0000000000000026E-5</v>
      </c>
      <c r="AD40" s="217"/>
      <c r="AE40" s="17"/>
      <c r="AF40" s="17"/>
      <c r="AG40" s="17"/>
      <c r="AH40" s="17"/>
    </row>
    <row r="41" spans="1:34" x14ac:dyDescent="0.2">
      <c r="A41" s="80"/>
      <c r="B41" s="79" t="s">
        <v>54</v>
      </c>
      <c r="C41" s="78" t="str">
        <f t="shared" si="3"/>
        <v>1E</v>
      </c>
      <c r="D41" s="77" t="str">
        <f t="shared" si="4"/>
        <v>6E</v>
      </c>
      <c r="E41" s="76" t="str">
        <f t="shared" si="0"/>
        <v>EUR1E6E50Y_Quote</v>
      </c>
      <c r="F41" s="76" t="str">
        <f>_xll.qlSimpleQuote(E41,,RateTickValue,Permanent,Trigger,ObjectOverwrite)</f>
        <v>EUR1E6E50Y_Quote#0000</v>
      </c>
      <c r="G41" s="75" t="str">
        <f>_xll.ohRangeRetrieveError(F41)</f>
        <v/>
      </c>
      <c r="H41" s="74"/>
      <c r="N41" s="122">
        <v>50</v>
      </c>
      <c r="O41" s="301" t="s">
        <v>54</v>
      </c>
      <c r="P41" s="300" t="str">
        <v>1E</v>
      </c>
      <c r="Q41" s="300" t="str">
        <v>6E</v>
      </c>
      <c r="R41" s="298" t="str">
        <f t="shared" si="1"/>
        <v>EUR1E6E50Y</v>
      </c>
      <c r="S41" s="263" t="str">
        <v>EUR1E6E50Y=ICAP</v>
      </c>
      <c r="T41" s="379">
        <v>11.3</v>
      </c>
      <c r="U41" s="379">
        <v>0</v>
      </c>
      <c r="V41" s="379">
        <f>_xll.qlMidEquivalent(T41,U41)</f>
        <v>11.3</v>
      </c>
      <c r="W41" s="259" t="b">
        <f t="shared" si="2"/>
        <v>1</v>
      </c>
      <c r="X41" s="378">
        <v>11.3</v>
      </c>
      <c r="Y41" s="253"/>
      <c r="Z41" s="377">
        <v>11.3</v>
      </c>
      <c r="AA41" s="253"/>
      <c r="AB41" s="583">
        <v>11.3</v>
      </c>
      <c r="AC41" s="258">
        <f>_xll.qlSimpleQuoteSetValue(F41,ROUND(AB41/10000,6),Trigger)</f>
        <v>0</v>
      </c>
      <c r="AD41" s="217"/>
      <c r="AE41" s="17"/>
      <c r="AF41" s="17"/>
      <c r="AG41" s="17"/>
      <c r="AH41" s="17"/>
    </row>
    <row r="42" spans="1:34" x14ac:dyDescent="0.2">
      <c r="A42" s="80"/>
      <c r="B42" s="79" t="s">
        <v>44</v>
      </c>
      <c r="C42" s="78" t="str">
        <f t="shared" si="3"/>
        <v>1E</v>
      </c>
      <c r="D42" s="77" t="str">
        <f t="shared" si="4"/>
        <v>6E</v>
      </c>
      <c r="E42" s="76" t="str">
        <f t="shared" si="0"/>
        <v>EUR1E6E60Y_Quote</v>
      </c>
      <c r="F42" s="76" t="str">
        <f>_xll.qlSimpleQuote(E42,,RateTickValue,Permanent,Trigger,ObjectOverwrite)</f>
        <v>EUR1E6E60Y_Quote#0000</v>
      </c>
      <c r="G42" s="75" t="str">
        <f>_xll.ohRangeRetrieveError(F42)</f>
        <v/>
      </c>
      <c r="H42" s="74"/>
      <c r="N42" s="122">
        <v>60</v>
      </c>
      <c r="O42" s="301" t="s">
        <v>44</v>
      </c>
      <c r="P42" s="300" t="str">
        <v>1E</v>
      </c>
      <c r="Q42" s="300" t="str">
        <v>6E</v>
      </c>
      <c r="R42" s="298" t="str">
        <f t="shared" si="1"/>
        <v>EUR1E6E60Y</v>
      </c>
      <c r="S42" s="263" t="str">
        <v>EUR1E6E60Y=ICAP</v>
      </c>
      <c r="T42" s="379">
        <v>10.6</v>
      </c>
      <c r="U42" s="379">
        <v>0</v>
      </c>
      <c r="V42" s="379">
        <f>_xll.qlMidEquivalent(T42,U42)</f>
        <v>10.6</v>
      </c>
      <c r="W42" s="259" t="b">
        <f t="shared" si="2"/>
        <v>1</v>
      </c>
      <c r="X42" s="378">
        <v>10.6</v>
      </c>
      <c r="Y42" s="253"/>
      <c r="Z42" s="377">
        <v>10.6</v>
      </c>
      <c r="AA42" s="253"/>
      <c r="AB42" s="584">
        <v>10.6</v>
      </c>
      <c r="AC42" s="250">
        <f>_xll.qlSimpleQuoteSetValue(F42,ROUND(AB42/10000,6),Trigger)</f>
        <v>0</v>
      </c>
      <c r="AD42" s="217"/>
      <c r="AE42" s="17"/>
      <c r="AF42" s="17"/>
      <c r="AG42" s="17"/>
      <c r="AH42" s="17"/>
    </row>
    <row r="43" spans="1:34"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obj_00769#0000</v>
      </c>
      <c r="T3" s="137"/>
      <c r="U3" s="137"/>
      <c r="V3" s="137"/>
      <c r="W3" s="137"/>
      <c r="X3" s="137"/>
      <c r="Y3" s="253"/>
      <c r="Z3" s="253"/>
      <c r="AA3" s="253"/>
      <c r="AB3" s="137"/>
      <c r="AC3" s="284">
        <f>_xll.ohTrigger(AC5:AC42)</f>
        <v>3</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c r="AI4" s="17"/>
      <c r="AJ4" s="312" t="s">
        <v>269</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0">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79" t="s">
        <v>244</v>
      </c>
      <c r="U5" s="379" t="s">
        <v>244</v>
      </c>
      <c r="V5" s="379" t="e">
        <f>_xll.qlMidEquivalent(T5,U5)</f>
        <v>#NUM!</v>
      </c>
      <c r="W5" s="259" t="b">
        <f t="shared" ref="W5:W42" si="2">IF(ISNUMBER(V5),TRUE,FALSE)</f>
        <v>0</v>
      </c>
      <c r="X5" s="383" t="e">
        <f t="array" ref="X5:X41">_xll.qlInterpolationInterpolate(S3,N5:N42)</f>
        <v>#NUM!</v>
      </c>
      <c r="Y5" s="253"/>
      <c r="Z5" s="377" t="e">
        <v>#NUM!</v>
      </c>
      <c r="AA5" s="253"/>
      <c r="AB5" s="583" t="e">
        <f t="array" ref="AB5:AB42">QuoteStatic</f>
        <v>#NUM!</v>
      </c>
      <c r="AC5" s="258" t="e">
        <f>_xll.qlSimpleQuoteSetValue(F5,ROUND(AB5/10000,6),Trigger)</f>
        <v>#NUM!</v>
      </c>
      <c r="AD5" s="217"/>
      <c r="AE5" s="17"/>
      <c r="AF5" s="89" t="s">
        <v>124</v>
      </c>
      <c r="AG5" s="88" t="s">
        <v>117</v>
      </c>
      <c r="AH5" s="87" t="s">
        <v>119</v>
      </c>
      <c r="AI5" s="17" t="str">
        <f t="shared" ref="AI5:AI42" si="3">O5</f>
        <v>6M</v>
      </c>
      <c r="AJ5" s="376"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EUR3E6E1Y_Quote#0000</v>
      </c>
      <c r="G6" s="75" t="str">
        <f>_xll.ohRangeRetrieveError(F6)</f>
        <v/>
      </c>
      <c r="H6" s="74"/>
      <c r="N6" s="380">
        <v>1</v>
      </c>
      <c r="O6" s="301" t="s">
        <v>21</v>
      </c>
      <c r="P6" s="300" t="str">
        <v>3E</v>
      </c>
      <c r="Q6" s="300" t="str">
        <v>6E</v>
      </c>
      <c r="R6" s="298" t="str">
        <f t="shared" si="1"/>
        <v>EUR3E6E1Y</v>
      </c>
      <c r="S6" s="263" t="str">
        <v>EUR3E6E1Y=ICAP</v>
      </c>
      <c r="T6" s="379">
        <v>9.5</v>
      </c>
      <c r="U6" s="379">
        <v>10.5</v>
      </c>
      <c r="V6" s="379">
        <f>_xll.qlMidEquivalent(T6,U6)</f>
        <v>10</v>
      </c>
      <c r="W6" s="259" t="b">
        <f t="shared" si="2"/>
        <v>1</v>
      </c>
      <c r="X6" s="383">
        <v>10</v>
      </c>
      <c r="Y6" s="253"/>
      <c r="Z6" s="377">
        <v>11.35</v>
      </c>
      <c r="AA6" s="253"/>
      <c r="AB6" s="583">
        <v>11.35</v>
      </c>
      <c r="AC6" s="258">
        <f>_xll.qlSimpleQuoteSetValue(F6,ROUND(AB6/10000,6),Trigger)</f>
        <v>1.3499999999999992E-4</v>
      </c>
      <c r="AD6" s="217"/>
      <c r="AE6" s="17"/>
      <c r="AF6" s="86" t="s">
        <v>110</v>
      </c>
      <c r="AG6" s="85" t="s">
        <v>129</v>
      </c>
      <c r="AH6" s="84" t="s">
        <v>122</v>
      </c>
      <c r="AI6" s="17" t="str">
        <f t="shared" si="3"/>
        <v>1Y</v>
      </c>
      <c r="AJ6" s="376">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EUR3E6E15M_Quote#0000</v>
      </c>
      <c r="G7" s="75" t="str">
        <f>_xll.ohRangeRetrieveError(F7)</f>
        <v/>
      </c>
      <c r="H7" s="74"/>
      <c r="N7" s="380">
        <v>1.25</v>
      </c>
      <c r="O7" s="301" t="s">
        <v>127</v>
      </c>
      <c r="P7" s="300" t="str">
        <v>3E</v>
      </c>
      <c r="Q7" s="300" t="str">
        <v>6E</v>
      </c>
      <c r="R7" s="298" t="str">
        <f t="shared" si="1"/>
        <v>EUR3E6E15M</v>
      </c>
      <c r="S7" s="263" t="str">
        <v>EUR3E6E15M=ICAP</v>
      </c>
      <c r="T7" s="379" t="s">
        <v>244</v>
      </c>
      <c r="U7" s="379" t="s">
        <v>244</v>
      </c>
      <c r="V7" s="379" t="e">
        <f>_xll.qlMidEquivalent(T7,U7)</f>
        <v>#NUM!</v>
      </c>
      <c r="W7" s="259" t="b">
        <f t="shared" si="2"/>
        <v>0</v>
      </c>
      <c r="X7" s="383">
        <v>10.707205499281535</v>
      </c>
      <c r="Y7" s="253"/>
      <c r="Z7" s="377">
        <v>11.74</v>
      </c>
      <c r="AA7" s="253"/>
      <c r="AB7" s="583">
        <v>11.74</v>
      </c>
      <c r="AC7" s="258">
        <f>_xll.qlSimpleQuoteSetValue(F7,ROUND(AB7/10000,6),Trigger)</f>
        <v>1.0300000000000001E-4</v>
      </c>
      <c r="AD7" s="217"/>
      <c r="AE7" s="17"/>
      <c r="AF7" s="86" t="s">
        <v>121</v>
      </c>
      <c r="AG7" s="85" t="s">
        <v>117</v>
      </c>
      <c r="AH7" s="84" t="s">
        <v>119</v>
      </c>
      <c r="AI7" s="17" t="str">
        <f t="shared" si="3"/>
        <v>15M</v>
      </c>
      <c r="AJ7" s="376">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EUR3E6E18M_Quote#0000</v>
      </c>
      <c r="G8" s="75" t="str">
        <f>_xll.ohRangeRetrieveError(F8)</f>
        <v/>
      </c>
      <c r="H8" s="74"/>
      <c r="N8" s="380">
        <v>1.5</v>
      </c>
      <c r="O8" s="301" t="s">
        <v>126</v>
      </c>
      <c r="P8" s="300" t="str">
        <v>3E</v>
      </c>
      <c r="Q8" s="300" t="str">
        <v>6E</v>
      </c>
      <c r="R8" s="298" t="str">
        <f t="shared" si="1"/>
        <v>EUR3E6E18M</v>
      </c>
      <c r="S8" s="263" t="str">
        <v>EUR3E6E18M=ICAP</v>
      </c>
      <c r="T8" s="379">
        <v>10.8</v>
      </c>
      <c r="U8" s="379">
        <v>11.8</v>
      </c>
      <c r="V8" s="379">
        <f>_xll.qlMidEquivalent(T8,U8)</f>
        <v>11.3</v>
      </c>
      <c r="W8" s="259" t="b">
        <f t="shared" si="2"/>
        <v>1</v>
      </c>
      <c r="X8" s="383">
        <v>11.3</v>
      </c>
      <c r="Y8" s="253"/>
      <c r="Z8" s="377">
        <v>12.1</v>
      </c>
      <c r="AA8" s="253"/>
      <c r="AB8" s="583">
        <v>12.1</v>
      </c>
      <c r="AC8" s="258">
        <f>_xll.qlSimpleQuoteSetValue(F8,ROUND(AB8/10000,6),Trigger)</f>
        <v>7.9999999999999993E-5</v>
      </c>
      <c r="AD8" s="217"/>
      <c r="AE8" s="17"/>
      <c r="AF8" s="86" t="s">
        <v>120</v>
      </c>
      <c r="AG8" s="85" t="s">
        <v>117</v>
      </c>
      <c r="AH8" s="84" t="s">
        <v>119</v>
      </c>
      <c r="AI8" s="17" t="str">
        <f t="shared" si="3"/>
        <v>18M</v>
      </c>
      <c r="AJ8" s="376">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EUR3E6E21M_Quote#0000</v>
      </c>
      <c r="G9" s="75" t="str">
        <f>_xll.ohRangeRetrieveError(F9)</f>
        <v/>
      </c>
      <c r="H9" s="74"/>
      <c r="N9" s="380">
        <v>1.75</v>
      </c>
      <c r="O9" s="301" t="s">
        <v>125</v>
      </c>
      <c r="P9" s="300" t="str">
        <v>3E</v>
      </c>
      <c r="Q9" s="300" t="str">
        <v>6E</v>
      </c>
      <c r="R9" s="298" t="str">
        <f t="shared" si="1"/>
        <v>EUR3E6E21M</v>
      </c>
      <c r="S9" s="263" t="str">
        <v>EUR3E6E21M=ICAP</v>
      </c>
      <c r="T9" s="379" t="s">
        <v>244</v>
      </c>
      <c r="U9" s="379" t="s">
        <v>244</v>
      </c>
      <c r="V9" s="379" t="e">
        <f>_xll.qlMidEquivalent(T9,U9)</f>
        <v>#NUM!</v>
      </c>
      <c r="W9" s="259" t="b">
        <f t="shared" si="2"/>
        <v>0</v>
      </c>
      <c r="X9" s="383">
        <v>11.697133502155394</v>
      </c>
      <c r="Y9" s="253"/>
      <c r="Z9" s="377">
        <v>12.43</v>
      </c>
      <c r="AA9" s="253"/>
      <c r="AB9" s="583">
        <v>12.43</v>
      </c>
      <c r="AC9" s="258">
        <f>_xll.qlSimpleQuoteSetValue(F9,ROUND(AB9/10000,6),Trigger)</f>
        <v>7.2999999999999931E-5</v>
      </c>
      <c r="AD9" s="217"/>
      <c r="AE9" s="17"/>
      <c r="AF9" s="83" t="s">
        <v>118</v>
      </c>
      <c r="AG9" s="82" t="s">
        <v>119</v>
      </c>
      <c r="AH9" s="81" t="s">
        <v>117</v>
      </c>
      <c r="AI9" s="17" t="str">
        <f t="shared" si="3"/>
        <v>21M</v>
      </c>
      <c r="AJ9" s="376">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79">
        <v>11.45</v>
      </c>
      <c r="U10" s="379">
        <v>12.45</v>
      </c>
      <c r="V10" s="379">
        <f>_xll.qlMidEquivalent(T10,U10)</f>
        <v>11.95</v>
      </c>
      <c r="W10" s="259" t="b">
        <f t="shared" si="2"/>
        <v>1</v>
      </c>
      <c r="X10" s="383">
        <v>11.95</v>
      </c>
      <c r="Y10" s="253"/>
      <c r="Z10" s="377">
        <v>12.7</v>
      </c>
      <c r="AA10" s="253"/>
      <c r="AB10" s="583">
        <v>12.7</v>
      </c>
      <c r="AC10" s="258">
        <f>_xll.qlSimpleQuoteSetValue(F10,ROUND(AB10/10000,6),Trigger)</f>
        <v>7.499999999999998E-5</v>
      </c>
      <c r="AD10" s="217"/>
      <c r="AE10" s="17"/>
      <c r="AF10" s="17"/>
      <c r="AG10" s="17"/>
      <c r="AH10" s="17"/>
      <c r="AI10" s="17" t="str">
        <f t="shared" si="3"/>
        <v>2Y</v>
      </c>
      <c r="AJ10" s="376">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79">
        <v>11.9</v>
      </c>
      <c r="U11" s="379">
        <v>12.9</v>
      </c>
      <c r="V11" s="379">
        <f>_xll.qlMidEquivalent(T11,U11)</f>
        <v>12.4</v>
      </c>
      <c r="W11" s="259" t="b">
        <f t="shared" si="2"/>
        <v>1</v>
      </c>
      <c r="X11" s="383">
        <v>12.4</v>
      </c>
      <c r="Y11" s="253"/>
      <c r="Z11" s="377">
        <v>13.35</v>
      </c>
      <c r="AA11" s="253"/>
      <c r="AB11" s="583">
        <v>13.35</v>
      </c>
      <c r="AC11" s="258">
        <f>_xll.qlSimpleQuoteSetValue(F11,ROUND(AB11/10000,6),Trigger)</f>
        <v>9.5000000000000032E-5</v>
      </c>
      <c r="AD11" s="217"/>
      <c r="AE11" s="17"/>
      <c r="AF11" s="17"/>
      <c r="AG11" s="17"/>
      <c r="AH11" s="17"/>
      <c r="AI11" s="17" t="str">
        <f t="shared" si="3"/>
        <v>3Y</v>
      </c>
      <c r="AJ11" s="376">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79">
        <v>11.85</v>
      </c>
      <c r="U12" s="379">
        <v>12.85</v>
      </c>
      <c r="V12" s="379">
        <f>_xll.qlMidEquivalent(T12,U12)</f>
        <v>12.35</v>
      </c>
      <c r="W12" s="259" t="b">
        <f t="shared" si="2"/>
        <v>1</v>
      </c>
      <c r="X12" s="383">
        <v>12.35</v>
      </c>
      <c r="Y12" s="253"/>
      <c r="Z12" s="377">
        <v>13.8</v>
      </c>
      <c r="AA12" s="253"/>
      <c r="AB12" s="583">
        <v>13.8</v>
      </c>
      <c r="AC12" s="258">
        <f>_xll.qlSimpleQuoteSetValue(F12,ROUND(AB12/10000,6),Trigger)</f>
        <v>1.4499999999999995E-4</v>
      </c>
      <c r="AD12" s="217"/>
      <c r="AE12" s="17"/>
      <c r="AF12" s="17"/>
      <c r="AG12" s="17"/>
      <c r="AH12" s="17"/>
      <c r="AI12" s="17" t="str">
        <f t="shared" si="3"/>
        <v>4Y</v>
      </c>
      <c r="AJ12" s="376">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79">
        <v>11.5</v>
      </c>
      <c r="U13" s="379">
        <v>12.5</v>
      </c>
      <c r="V13" s="379">
        <f>_xll.qlMidEquivalent(T13,U13)</f>
        <v>12</v>
      </c>
      <c r="W13" s="259" t="b">
        <f t="shared" si="2"/>
        <v>1</v>
      </c>
      <c r="X13" s="383">
        <v>12</v>
      </c>
      <c r="Y13" s="253"/>
      <c r="Z13" s="377">
        <v>13.9</v>
      </c>
      <c r="AA13" s="253"/>
      <c r="AB13" s="583">
        <v>13.9</v>
      </c>
      <c r="AC13" s="258">
        <f>_xll.qlSimpleQuoteSetValue(F13,ROUND(AB13/10000,6),Trigger)</f>
        <v>1.9000000000000006E-4</v>
      </c>
      <c r="AD13" s="217"/>
      <c r="AE13" s="17"/>
      <c r="AF13" s="17"/>
      <c r="AG13" s="17"/>
      <c r="AH13" s="17"/>
      <c r="AI13" s="17" t="str">
        <f t="shared" si="3"/>
        <v>5Y</v>
      </c>
      <c r="AJ13" s="376">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79">
        <v>11.25</v>
      </c>
      <c r="U14" s="379">
        <v>12.25</v>
      </c>
      <c r="V14" s="379">
        <f>_xll.qlMidEquivalent(T14,U14)</f>
        <v>11.75</v>
      </c>
      <c r="W14" s="259" t="b">
        <f t="shared" si="2"/>
        <v>1</v>
      </c>
      <c r="X14" s="383">
        <v>11.75</v>
      </c>
      <c r="Y14" s="253"/>
      <c r="Z14" s="377">
        <v>13.8</v>
      </c>
      <c r="AA14" s="253"/>
      <c r="AB14" s="583">
        <v>13.8</v>
      </c>
      <c r="AC14" s="258">
        <f>_xll.qlSimpleQuoteSetValue(F14,ROUND(AB14/10000,6),Trigger)</f>
        <v>2.0499999999999989E-4</v>
      </c>
      <c r="AD14" s="217"/>
      <c r="AE14" s="17"/>
      <c r="AF14" s="17"/>
      <c r="AG14" s="17"/>
      <c r="AH14" s="17"/>
      <c r="AI14" s="17" t="str">
        <f t="shared" si="3"/>
        <v>6Y</v>
      </c>
      <c r="AJ14" s="376">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EUR3E6E7Y_Quote#0000</v>
      </c>
      <c r="G15" s="75" t="str">
        <f>_xll.ohRangeRetrieveError(F15)</f>
        <v/>
      </c>
      <c r="H15" s="74"/>
      <c r="N15" s="122">
        <v>7</v>
      </c>
      <c r="O15" s="301" t="s">
        <v>97</v>
      </c>
      <c r="P15" s="300" t="str">
        <v>3E</v>
      </c>
      <c r="Q15" s="300" t="str">
        <v>6E</v>
      </c>
      <c r="R15" s="298" t="str">
        <f t="shared" si="1"/>
        <v>EUR3E6E7Y</v>
      </c>
      <c r="S15" s="263" t="str">
        <v>EUR3E6E7Y=ICAP</v>
      </c>
      <c r="T15" s="379">
        <v>10.9</v>
      </c>
      <c r="U15" s="379">
        <v>11.9</v>
      </c>
      <c r="V15" s="379">
        <f>_xll.qlMidEquivalent(T15,U15)</f>
        <v>11.4</v>
      </c>
      <c r="W15" s="259" t="b">
        <f t="shared" si="2"/>
        <v>1</v>
      </c>
      <c r="X15" s="383">
        <v>11.4</v>
      </c>
      <c r="Y15" s="253"/>
      <c r="Z15" s="377">
        <v>13.45</v>
      </c>
      <c r="AA15" s="253"/>
      <c r="AB15" s="583">
        <v>13.45</v>
      </c>
      <c r="AC15" s="258">
        <f>_xll.qlSimpleQuoteSetValue(F15,ROUND(AB15/10000,6),Trigger)</f>
        <v>2.050000000000001E-4</v>
      </c>
      <c r="AD15" s="217"/>
      <c r="AE15" s="17"/>
      <c r="AF15" s="17"/>
      <c r="AG15" s="17"/>
      <c r="AH15" s="17"/>
      <c r="AI15" s="17" t="str">
        <f t="shared" si="3"/>
        <v>7Y</v>
      </c>
      <c r="AJ15" s="376">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EUR3E6E8Y_Quote#0000</v>
      </c>
      <c r="G16" s="75" t="str">
        <f>_xll.ohRangeRetrieveError(F16)</f>
        <v/>
      </c>
      <c r="H16" s="74"/>
      <c r="N16" s="122">
        <v>8</v>
      </c>
      <c r="O16" s="301" t="s">
        <v>96</v>
      </c>
      <c r="P16" s="300" t="str">
        <v>3E</v>
      </c>
      <c r="Q16" s="300" t="str">
        <v>6E</v>
      </c>
      <c r="R16" s="298" t="str">
        <f t="shared" si="1"/>
        <v>EUR3E6E8Y</v>
      </c>
      <c r="S16" s="263" t="str">
        <v>EUR3E6E8Y=ICAP</v>
      </c>
      <c r="T16" s="379">
        <v>10.6</v>
      </c>
      <c r="U16" s="379">
        <v>11.6</v>
      </c>
      <c r="V16" s="379">
        <f>_xll.qlMidEquivalent(T16,U16)</f>
        <v>11.1</v>
      </c>
      <c r="W16" s="259" t="b">
        <f t="shared" si="2"/>
        <v>1</v>
      </c>
      <c r="X16" s="383">
        <v>11.1</v>
      </c>
      <c r="Y16" s="253"/>
      <c r="Z16" s="377">
        <v>12.95</v>
      </c>
      <c r="AA16" s="253"/>
      <c r="AB16" s="583">
        <v>12.95</v>
      </c>
      <c r="AC16" s="258">
        <f>_xll.qlSimpleQuoteSetValue(F16,ROUND(AB16/10000,6),Trigger)</f>
        <v>1.8499999999999983E-4</v>
      </c>
      <c r="AD16" s="217"/>
      <c r="AE16" s="17"/>
      <c r="AF16" s="17"/>
      <c r="AG16" s="17"/>
      <c r="AH16" s="17"/>
      <c r="AI16" s="17" t="str">
        <f t="shared" si="3"/>
        <v>8Y</v>
      </c>
      <c r="AJ16" s="376">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EUR3E6E9Y_Quote#0000</v>
      </c>
      <c r="G17" s="75" t="str">
        <f>_xll.ohRangeRetrieveError(F17)</f>
        <v/>
      </c>
      <c r="H17" s="74"/>
      <c r="N17" s="122">
        <v>9</v>
      </c>
      <c r="O17" s="301" t="s">
        <v>95</v>
      </c>
      <c r="P17" s="300" t="str">
        <v>3E</v>
      </c>
      <c r="Q17" s="300" t="str">
        <v>6E</v>
      </c>
      <c r="R17" s="298" t="str">
        <f t="shared" si="1"/>
        <v>EUR3E6E9Y</v>
      </c>
      <c r="S17" s="263" t="str">
        <v>EUR3E6E9Y=ICAP</v>
      </c>
      <c r="T17" s="379">
        <v>10.15</v>
      </c>
      <c r="U17" s="379">
        <v>11.15</v>
      </c>
      <c r="V17" s="379">
        <f>_xll.qlMidEquivalent(T17,U17)</f>
        <v>10.65</v>
      </c>
      <c r="W17" s="259" t="b">
        <f t="shared" si="2"/>
        <v>1</v>
      </c>
      <c r="X17" s="383">
        <v>10.65</v>
      </c>
      <c r="Y17" s="253"/>
      <c r="Z17" s="377">
        <v>12.4</v>
      </c>
      <c r="AA17" s="253"/>
      <c r="AB17" s="583">
        <v>12.4</v>
      </c>
      <c r="AC17" s="258">
        <f>_xll.qlSimpleQuoteSetValue(F17,ROUND(AB17/10000,6),Trigger)</f>
        <v>1.7500000000000003E-4</v>
      </c>
      <c r="AD17" s="217"/>
      <c r="AE17" s="17"/>
      <c r="AF17" s="17"/>
      <c r="AG17" s="17"/>
      <c r="AH17" s="17"/>
      <c r="AI17" s="17" t="str">
        <f t="shared" si="3"/>
        <v>9Y</v>
      </c>
      <c r="AJ17" s="376">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EUR3E6E10Y_Quote#0000</v>
      </c>
      <c r="G18" s="75" t="str">
        <f>_xll.ohRangeRetrieveError(F18)</f>
        <v/>
      </c>
      <c r="H18" s="74"/>
      <c r="N18" s="122">
        <v>10</v>
      </c>
      <c r="O18" s="301" t="s">
        <v>94</v>
      </c>
      <c r="P18" s="300" t="str">
        <v>3E</v>
      </c>
      <c r="Q18" s="300" t="str">
        <v>6E</v>
      </c>
      <c r="R18" s="298" t="str">
        <f t="shared" si="1"/>
        <v>EUR3E6E10Y</v>
      </c>
      <c r="S18" s="263" t="str">
        <v>EUR3E6E10Y=ICAP</v>
      </c>
      <c r="T18" s="379">
        <v>9.6999999999999993</v>
      </c>
      <c r="U18" s="379">
        <v>10.7</v>
      </c>
      <c r="V18" s="379">
        <f>_xll.qlMidEquivalent(T18,U18)</f>
        <v>10.199999999999999</v>
      </c>
      <c r="W18" s="259" t="b">
        <f t="shared" si="2"/>
        <v>1</v>
      </c>
      <c r="X18" s="383">
        <v>10.199999999999999</v>
      </c>
      <c r="Y18" s="253"/>
      <c r="Z18" s="377">
        <v>11.85</v>
      </c>
      <c r="AA18" s="253"/>
      <c r="AB18" s="583">
        <v>11.85</v>
      </c>
      <c r="AC18" s="258">
        <f>_xll.qlSimpleQuoteSetValue(F18,ROUND(AB18/10000,6),Trigger)</f>
        <v>1.65E-4</v>
      </c>
      <c r="AD18" s="217"/>
      <c r="AE18" s="17"/>
      <c r="AF18" s="17"/>
      <c r="AG18" s="17"/>
      <c r="AH18" s="17"/>
      <c r="AI18" s="17" t="str">
        <f t="shared" si="3"/>
        <v>10Y</v>
      </c>
      <c r="AJ18" s="376">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EUR3E6E11Y_Quote#0000</v>
      </c>
      <c r="G19" s="75" t="str">
        <f>_xll.ohRangeRetrieveError(F19)</f>
        <v/>
      </c>
      <c r="H19" s="74"/>
      <c r="N19" s="122">
        <v>11</v>
      </c>
      <c r="O19" s="301" t="s">
        <v>93</v>
      </c>
      <c r="P19" s="300" t="str">
        <v>3E</v>
      </c>
      <c r="Q19" s="300" t="str">
        <v>6E</v>
      </c>
      <c r="R19" s="298" t="str">
        <f t="shared" si="1"/>
        <v>EUR3E6E11Y</v>
      </c>
      <c r="S19" s="263" t="str">
        <v>EUR3E6E11Y=ICAP</v>
      </c>
      <c r="T19" s="379">
        <v>9.35</v>
      </c>
      <c r="U19" s="379">
        <v>10.35</v>
      </c>
      <c r="V19" s="379">
        <f>_xll.qlMidEquivalent(T19,U19)</f>
        <v>9.85</v>
      </c>
      <c r="W19" s="259" t="b">
        <f t="shared" si="2"/>
        <v>1</v>
      </c>
      <c r="X19" s="383">
        <v>9.85</v>
      </c>
      <c r="Y19" s="253"/>
      <c r="Z19" s="377">
        <v>11.3</v>
      </c>
      <c r="AA19" s="253"/>
      <c r="AB19" s="583">
        <v>11.3</v>
      </c>
      <c r="AC19" s="258">
        <f>_xll.qlSimpleQuoteSetValue(F19,ROUND(AB19/10000,6),Trigger)</f>
        <v>1.4499999999999995E-4</v>
      </c>
      <c r="AD19" s="217"/>
      <c r="AE19" s="17"/>
      <c r="AF19" s="17"/>
      <c r="AG19" s="17"/>
      <c r="AH19" s="17"/>
      <c r="AI19" s="17" t="str">
        <f t="shared" si="3"/>
        <v>11Y</v>
      </c>
      <c r="AJ19" s="376">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EUR3E6E12Y_Quote#0000</v>
      </c>
      <c r="G20" s="75" t="str">
        <f>_xll.ohRangeRetrieveError(F20)</f>
        <v/>
      </c>
      <c r="H20" s="74"/>
      <c r="N20" s="122">
        <v>12</v>
      </c>
      <c r="O20" s="301" t="s">
        <v>92</v>
      </c>
      <c r="P20" s="300" t="str">
        <v>3E</v>
      </c>
      <c r="Q20" s="300" t="str">
        <v>6E</v>
      </c>
      <c r="R20" s="298" t="str">
        <f t="shared" si="1"/>
        <v>EUR3E6E12Y</v>
      </c>
      <c r="S20" s="263" t="str">
        <v>EUR3E6E12Y=ICAP</v>
      </c>
      <c r="T20" s="379">
        <v>9.0500000000000007</v>
      </c>
      <c r="U20" s="379">
        <v>10.050000000000001</v>
      </c>
      <c r="V20" s="379">
        <f>_xll.qlMidEquivalent(T20,U20)</f>
        <v>9.5500000000000007</v>
      </c>
      <c r="W20" s="259" t="b">
        <f t="shared" si="2"/>
        <v>1</v>
      </c>
      <c r="X20" s="383">
        <v>9.5500000000000007</v>
      </c>
      <c r="Y20" s="253"/>
      <c r="Z20" s="377">
        <v>10.75</v>
      </c>
      <c r="AA20" s="253"/>
      <c r="AB20" s="583">
        <v>10.75</v>
      </c>
      <c r="AC20" s="258">
        <f>_xll.qlSimpleQuoteSetValue(F20,ROUND(AB20/10000,6),Trigger)</f>
        <v>1.1999999999999999E-4</v>
      </c>
      <c r="AD20" s="217"/>
      <c r="AE20" s="17"/>
      <c r="AF20" s="17"/>
      <c r="AG20" s="17"/>
      <c r="AH20" s="17"/>
      <c r="AI20" s="17" t="str">
        <f t="shared" si="3"/>
        <v>12Y</v>
      </c>
      <c r="AJ20" s="376">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EUR3E6E13Y_Quote#0000</v>
      </c>
      <c r="G21" s="75" t="str">
        <f>_xll.ohRangeRetrieveError(F21)</f>
        <v/>
      </c>
      <c r="H21" s="74"/>
      <c r="N21" s="122">
        <v>13</v>
      </c>
      <c r="O21" s="301" t="s">
        <v>91</v>
      </c>
      <c r="P21" s="300" t="str">
        <v>3E</v>
      </c>
      <c r="Q21" s="300" t="str">
        <v>6E</v>
      </c>
      <c r="R21" s="298" t="str">
        <f t="shared" si="1"/>
        <v>EUR3E6E13Y</v>
      </c>
      <c r="S21" s="263" t="str">
        <v>EUR3E6E13Y=ICAP</v>
      </c>
      <c r="T21" s="379" t="s">
        <v>244</v>
      </c>
      <c r="U21" s="379" t="s">
        <v>244</v>
      </c>
      <c r="V21" s="379" t="e">
        <f>_xll.qlMidEquivalent(T21,U21)</f>
        <v>#NUM!</v>
      </c>
      <c r="W21" s="259" t="b">
        <f t="shared" si="2"/>
        <v>0</v>
      </c>
      <c r="X21" s="383">
        <v>9.2370385241899786</v>
      </c>
      <c r="Y21" s="253"/>
      <c r="Z21" s="377">
        <v>10.199999999999999</v>
      </c>
      <c r="AA21" s="253"/>
      <c r="AB21" s="583">
        <v>10.199999999999999</v>
      </c>
      <c r="AC21" s="258">
        <f>_xll.qlSimpleQuoteSetValue(F21,ROUND(AB21/10000,6),Trigger)</f>
        <v>9.6000000000000057E-5</v>
      </c>
      <c r="AD21" s="217"/>
      <c r="AE21" s="17"/>
      <c r="AF21" s="17"/>
      <c r="AG21" s="17"/>
      <c r="AH21" s="17"/>
      <c r="AI21" s="17" t="str">
        <f t="shared" si="3"/>
        <v>13Y</v>
      </c>
      <c r="AJ21" s="376"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EUR3E6E14Y_Quote#0000</v>
      </c>
      <c r="G22" s="75" t="str">
        <f>_xll.ohRangeRetrieveError(F22)</f>
        <v/>
      </c>
      <c r="H22" s="74"/>
      <c r="N22" s="122">
        <v>14</v>
      </c>
      <c r="O22" s="301" t="s">
        <v>90</v>
      </c>
      <c r="P22" s="300" t="str">
        <v>3E</v>
      </c>
      <c r="Q22" s="300" t="str">
        <v>6E</v>
      </c>
      <c r="R22" s="298" t="str">
        <f t="shared" si="1"/>
        <v>EUR3E6E14Y</v>
      </c>
      <c r="S22" s="263" t="str">
        <v>EUR3E6E14Y=ICAP</v>
      </c>
      <c r="T22" s="379" t="s">
        <v>244</v>
      </c>
      <c r="U22" s="379" t="s">
        <v>244</v>
      </c>
      <c r="V22" s="379" t="e">
        <f>_xll.qlMidEquivalent(T22,U22)</f>
        <v>#NUM!</v>
      </c>
      <c r="W22" s="259" t="b">
        <f t="shared" si="2"/>
        <v>0</v>
      </c>
      <c r="X22" s="383">
        <v>8.9139108863230252</v>
      </c>
      <c r="Y22" s="253"/>
      <c r="Z22" s="377">
        <v>9.68</v>
      </c>
      <c r="AA22" s="253"/>
      <c r="AB22" s="583">
        <v>9.68</v>
      </c>
      <c r="AC22" s="258">
        <f>_xll.qlSimpleQuoteSetValue(F22,ROUND(AB22/10000,6),Trigger)</f>
        <v>7.7000000000000028E-5</v>
      </c>
      <c r="AD22" s="217"/>
      <c r="AE22" s="17"/>
      <c r="AF22" s="17"/>
      <c r="AG22" s="17"/>
      <c r="AH22" s="17"/>
      <c r="AI22" s="17" t="str">
        <f t="shared" si="3"/>
        <v>14Y</v>
      </c>
      <c r="AJ22" s="376"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EUR3E6E15Y_Quote#0000</v>
      </c>
      <c r="G23" s="75" t="str">
        <f>_xll.ohRangeRetrieveError(F23)</f>
        <v/>
      </c>
      <c r="H23" s="74"/>
      <c r="N23" s="122">
        <v>15</v>
      </c>
      <c r="O23" s="301" t="s">
        <v>89</v>
      </c>
      <c r="P23" s="300" t="str">
        <v>3E</v>
      </c>
      <c r="Q23" s="300" t="str">
        <v>6E</v>
      </c>
      <c r="R23" s="298" t="str">
        <f t="shared" si="1"/>
        <v>EUR3E6E15Y</v>
      </c>
      <c r="S23" s="263" t="str">
        <v>EUR3E6E15Y=ICAP</v>
      </c>
      <c r="T23" s="379">
        <v>8.1</v>
      </c>
      <c r="U23" s="379">
        <v>9.1</v>
      </c>
      <c r="V23" s="379">
        <f>_xll.qlMidEquivalent(T23,U23)</f>
        <v>8.6</v>
      </c>
      <c r="W23" s="259" t="b">
        <f t="shared" si="2"/>
        <v>1</v>
      </c>
      <c r="X23" s="383">
        <v>8.6</v>
      </c>
      <c r="Y23" s="253"/>
      <c r="Z23" s="377">
        <v>9.1999999999999993</v>
      </c>
      <c r="AA23" s="253"/>
      <c r="AB23" s="583">
        <v>9.1999999999999993</v>
      </c>
      <c r="AC23" s="258">
        <f>_xll.qlSimpleQuoteSetValue(F23,ROUND(AB23/10000,6),Trigger)</f>
        <v>6.0000000000000049E-5</v>
      </c>
      <c r="AD23" s="217"/>
      <c r="AE23" s="17"/>
      <c r="AF23" s="17"/>
      <c r="AG23" s="17"/>
      <c r="AH23" s="17"/>
      <c r="AI23" s="17" t="str">
        <f t="shared" si="3"/>
        <v>15Y</v>
      </c>
      <c r="AJ23" s="376">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EUR3E6E16Y_Quote#0000</v>
      </c>
      <c r="G24" s="75" t="str">
        <f>_xll.ohRangeRetrieveError(F24)</f>
        <v/>
      </c>
      <c r="H24" s="74"/>
      <c r="N24" s="122">
        <v>16</v>
      </c>
      <c r="O24" s="301" t="s">
        <v>88</v>
      </c>
      <c r="P24" s="300" t="str">
        <v>3E</v>
      </c>
      <c r="Q24" s="300" t="str">
        <v>6E</v>
      </c>
      <c r="R24" s="298" t="str">
        <f t="shared" si="1"/>
        <v>EUR3E6E16Y</v>
      </c>
      <c r="S24" s="263" t="str">
        <v>EUR3E6E16Y=ICAP</v>
      </c>
      <c r="T24" s="379" t="s">
        <v>244</v>
      </c>
      <c r="U24" s="379" t="s">
        <v>244</v>
      </c>
      <c r="V24" s="379" t="e">
        <f>_xll.qlMidEquivalent(T24,U24)</f>
        <v>#NUM!</v>
      </c>
      <c r="W24" s="259" t="b">
        <f t="shared" si="2"/>
        <v>0</v>
      </c>
      <c r="X24" s="383">
        <v>8.311111988281171</v>
      </c>
      <c r="Y24" s="253"/>
      <c r="Z24" s="377">
        <v>8.7799999999999994</v>
      </c>
      <c r="AA24" s="253"/>
      <c r="AB24" s="583">
        <v>8.7799999999999994</v>
      </c>
      <c r="AC24" s="258">
        <f>_xll.qlSimpleQuoteSetValue(F24,ROUND(AB24/10000,6),Trigger)</f>
        <v>4.699999999999995E-5</v>
      </c>
      <c r="AD24" s="217"/>
      <c r="AE24" s="17"/>
      <c r="AF24" s="17"/>
      <c r="AG24" s="17"/>
      <c r="AH24" s="17"/>
      <c r="AI24" s="17" t="str">
        <f t="shared" si="3"/>
        <v>16Y</v>
      </c>
      <c r="AJ24" s="376"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EUR3E6E17Y_Quote#0000</v>
      </c>
      <c r="G25" s="75" t="str">
        <f>_xll.ohRangeRetrieveError(F25)</f>
        <v/>
      </c>
      <c r="H25" s="74"/>
      <c r="N25" s="122">
        <v>17</v>
      </c>
      <c r="O25" s="301" t="s">
        <v>87</v>
      </c>
      <c r="P25" s="300" t="str">
        <v>3E</v>
      </c>
      <c r="Q25" s="300" t="str">
        <v>6E</v>
      </c>
      <c r="R25" s="298" t="str">
        <f t="shared" si="1"/>
        <v>EUR3E6E17Y</v>
      </c>
      <c r="S25" s="263" t="str">
        <v>EUR3E6E17Y=ICAP</v>
      </c>
      <c r="T25" s="379" t="s">
        <v>244</v>
      </c>
      <c r="U25" s="379" t="s">
        <v>244</v>
      </c>
      <c r="V25" s="379" t="e">
        <f>_xll.qlMidEquivalent(T25,U25)</f>
        <v>#NUM!</v>
      </c>
      <c r="W25" s="259" t="b">
        <f t="shared" si="2"/>
        <v>0</v>
      </c>
      <c r="X25" s="383">
        <v>8.0487458120644462</v>
      </c>
      <c r="Y25" s="253"/>
      <c r="Z25" s="377">
        <v>8.43</v>
      </c>
      <c r="AA25" s="253"/>
      <c r="AB25" s="583">
        <v>8.43</v>
      </c>
      <c r="AC25" s="258">
        <f>_xll.qlSimpleQuoteSetValue(F25,ROUND(AB25/10000,6),Trigger)</f>
        <v>3.7999999999999948E-5</v>
      </c>
      <c r="AD25" s="217"/>
      <c r="AE25" s="17"/>
      <c r="AF25" s="17"/>
      <c r="AG25" s="17"/>
      <c r="AH25" s="17"/>
      <c r="AI25" s="17" t="str">
        <f t="shared" si="3"/>
        <v>17Y</v>
      </c>
      <c r="AJ25" s="376"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EUR3E6E18Y_Quote#0000</v>
      </c>
      <c r="G26" s="75" t="str">
        <f>_xll.ohRangeRetrieveError(F26)</f>
        <v/>
      </c>
      <c r="H26" s="74"/>
      <c r="N26" s="122">
        <v>18</v>
      </c>
      <c r="O26" s="301" t="s">
        <v>86</v>
      </c>
      <c r="P26" s="300" t="str">
        <v>3E</v>
      </c>
      <c r="Q26" s="300" t="str">
        <v>6E</v>
      </c>
      <c r="R26" s="298" t="str">
        <f t="shared" si="1"/>
        <v>EUR3E6E18Y</v>
      </c>
      <c r="S26" s="263" t="str">
        <v>EUR3E6E18Y=ICAP</v>
      </c>
      <c r="T26" s="379" t="s">
        <v>244</v>
      </c>
      <c r="U26" s="379" t="s">
        <v>244</v>
      </c>
      <c r="V26" s="379" t="e">
        <f>_xll.qlMidEquivalent(T26,U26)</f>
        <v>#NUM!</v>
      </c>
      <c r="W26" s="259" t="b">
        <f t="shared" si="2"/>
        <v>0</v>
      </c>
      <c r="X26" s="383">
        <v>7.8108236417071328</v>
      </c>
      <c r="Y26" s="253"/>
      <c r="Z26" s="377">
        <v>8.1199999999999992</v>
      </c>
      <c r="AA26" s="253"/>
      <c r="AB26" s="583">
        <v>8.1199999999999992</v>
      </c>
      <c r="AC26" s="258">
        <f>_xll.qlSimpleQuoteSetValue(F26,ROUND(AB26/10000,6),Trigger)</f>
        <v>3.0999999999999995E-5</v>
      </c>
      <c r="AD26" s="217"/>
      <c r="AE26" s="17"/>
      <c r="AF26" s="17"/>
      <c r="AG26" s="17"/>
      <c r="AH26" s="17"/>
      <c r="AI26" s="17" t="str">
        <f t="shared" si="3"/>
        <v>18Y</v>
      </c>
      <c r="AJ26" s="376"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EUR3E6E19Y_Quote#0000</v>
      </c>
      <c r="G27" s="75" t="str">
        <f>_xll.ohRangeRetrieveError(F27)</f>
        <v/>
      </c>
      <c r="H27" s="74"/>
      <c r="N27" s="122">
        <v>19</v>
      </c>
      <c r="O27" s="301" t="s">
        <v>85</v>
      </c>
      <c r="P27" s="300" t="str">
        <v>3E</v>
      </c>
      <c r="Q27" s="300" t="str">
        <v>6E</v>
      </c>
      <c r="R27" s="298" t="str">
        <f t="shared" si="1"/>
        <v>EUR3E6E19Y</v>
      </c>
      <c r="S27" s="263" t="str">
        <v>EUR3E6E19Y=ICAP</v>
      </c>
      <c r="T27" s="379" t="s">
        <v>244</v>
      </c>
      <c r="U27" s="379" t="s">
        <v>244</v>
      </c>
      <c r="V27" s="379" t="e">
        <f>_xll.qlMidEquivalent(T27,U27)</f>
        <v>#NUM!</v>
      </c>
      <c r="W27" s="259" t="b">
        <f t="shared" si="2"/>
        <v>0</v>
      </c>
      <c r="X27" s="383">
        <v>7.5952676475665477</v>
      </c>
      <c r="Y27" s="253"/>
      <c r="Z27" s="377">
        <v>7.84</v>
      </c>
      <c r="AA27" s="253"/>
      <c r="AB27" s="583">
        <v>7.84</v>
      </c>
      <c r="AC27" s="258">
        <f>_xll.qlSimpleQuoteSetValue(F27,ROUND(AB27/10000,6),Trigger)</f>
        <v>2.3999999999999933E-5</v>
      </c>
      <c r="AD27" s="217"/>
      <c r="AE27" s="17"/>
      <c r="AF27" s="17"/>
      <c r="AG27" s="17"/>
      <c r="AH27" s="17"/>
      <c r="AI27" s="17" t="str">
        <f t="shared" si="3"/>
        <v>19Y</v>
      </c>
      <c r="AJ27" s="376"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EUR3E6E20Y_Quote#0000</v>
      </c>
      <c r="G28" s="75" t="str">
        <f>_xll.ohRangeRetrieveError(F28)</f>
        <v/>
      </c>
      <c r="H28" s="74"/>
      <c r="N28" s="122">
        <v>20</v>
      </c>
      <c r="O28" s="301" t="s">
        <v>84</v>
      </c>
      <c r="P28" s="300" t="str">
        <v>3E</v>
      </c>
      <c r="Q28" s="300" t="str">
        <v>6E</v>
      </c>
      <c r="R28" s="298" t="str">
        <f t="shared" si="1"/>
        <v>EUR3E6E20Y</v>
      </c>
      <c r="S28" s="263" t="str">
        <v>EUR3E6E20Y=ICAP</v>
      </c>
      <c r="T28" s="379">
        <v>6.9</v>
      </c>
      <c r="U28" s="379">
        <v>7.9</v>
      </c>
      <c r="V28" s="379">
        <f>_xll.qlMidEquivalent(T28,U28)</f>
        <v>7.4</v>
      </c>
      <c r="W28" s="259" t="b">
        <f t="shared" si="2"/>
        <v>1</v>
      </c>
      <c r="X28" s="383">
        <v>7.4</v>
      </c>
      <c r="Y28" s="253"/>
      <c r="Z28" s="377">
        <v>7.6</v>
      </c>
      <c r="AA28" s="253"/>
      <c r="AB28" s="583">
        <v>7.6</v>
      </c>
      <c r="AC28" s="258">
        <f>_xll.qlSimpleQuoteSetValue(F28,ROUND(AB28/10000,6),Trigger)</f>
        <v>2.0000000000000052E-5</v>
      </c>
      <c r="AD28" s="217"/>
      <c r="AE28" s="17"/>
      <c r="AF28" s="17"/>
      <c r="AG28" s="17"/>
      <c r="AH28" s="17"/>
      <c r="AI28" s="17" t="str">
        <f t="shared" si="3"/>
        <v>20Y</v>
      </c>
      <c r="AJ28" s="376">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EUR3E6E21Y_Quote#0000</v>
      </c>
      <c r="G29" s="75" t="str">
        <f>_xll.ohRangeRetrieveError(F29)</f>
        <v/>
      </c>
      <c r="H29" s="74"/>
      <c r="N29" s="122">
        <v>21</v>
      </c>
      <c r="O29" s="301" t="s">
        <v>83</v>
      </c>
      <c r="P29" s="300" t="str">
        <v>3E</v>
      </c>
      <c r="Q29" s="300" t="str">
        <v>6E</v>
      </c>
      <c r="R29" s="298" t="str">
        <f t="shared" si="1"/>
        <v>EUR3E6E21Y</v>
      </c>
      <c r="S29" s="263" t="str">
        <v>EUR3E6E21Y=ICAP</v>
      </c>
      <c r="T29" s="379" t="s">
        <v>244</v>
      </c>
      <c r="U29" s="379" t="s">
        <v>244</v>
      </c>
      <c r="V29" s="379" t="e">
        <f>_xll.qlMidEquivalent(T29,U29)</f>
        <v>#NUM!</v>
      </c>
      <c r="W29" s="259" t="b">
        <f t="shared" si="2"/>
        <v>0</v>
      </c>
      <c r="X29" s="383">
        <v>7.222900765978534</v>
      </c>
      <c r="Y29" s="253"/>
      <c r="Z29" s="377">
        <v>7.38</v>
      </c>
      <c r="AA29" s="253"/>
      <c r="AB29" s="583">
        <v>7.38</v>
      </c>
      <c r="AC29" s="258">
        <f>_xll.qlSimpleQuoteSetValue(F29,ROUND(AB29/10000,6),Trigger)</f>
        <v>1.6000000000000064E-5</v>
      </c>
      <c r="AD29" s="217"/>
      <c r="AE29" s="17"/>
      <c r="AF29" s="17"/>
      <c r="AG29" s="17"/>
      <c r="AH29" s="17"/>
      <c r="AI29" s="17" t="str">
        <f t="shared" si="3"/>
        <v>21Y</v>
      </c>
      <c r="AJ29" s="376"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EUR3E6E22Y_Quote#0000</v>
      </c>
      <c r="G30" s="75" t="str">
        <f>_xll.ohRangeRetrieveError(F30)</f>
        <v/>
      </c>
      <c r="H30" s="74"/>
      <c r="N30" s="122">
        <v>22</v>
      </c>
      <c r="O30" s="301" t="s">
        <v>82</v>
      </c>
      <c r="P30" s="300" t="str">
        <v>3E</v>
      </c>
      <c r="Q30" s="300" t="str">
        <v>6E</v>
      </c>
      <c r="R30" s="298" t="str">
        <f t="shared" si="1"/>
        <v>EUR3E6E22Y</v>
      </c>
      <c r="S30" s="263" t="str">
        <v>EUR3E6E22Y=ICAP</v>
      </c>
      <c r="T30" s="379" t="s">
        <v>244</v>
      </c>
      <c r="U30" s="379" t="s">
        <v>244</v>
      </c>
      <c r="V30" s="379" t="e">
        <f>_xll.qlMidEquivalent(T30,U30)</f>
        <v>#NUM!</v>
      </c>
      <c r="W30" s="259" t="b">
        <f t="shared" si="2"/>
        <v>0</v>
      </c>
      <c r="X30" s="383">
        <v>7.0616815989281108</v>
      </c>
      <c r="Y30" s="253"/>
      <c r="Z30" s="377">
        <v>7.17</v>
      </c>
      <c r="AA30" s="253"/>
      <c r="AB30" s="583">
        <v>7.17</v>
      </c>
      <c r="AC30" s="258">
        <f>_xll.qlSimpleQuoteSetValue(F30,ROUND(AB30/10000,6),Trigger)</f>
        <v>1.0999999999999942E-5</v>
      </c>
      <c r="AD30" s="217"/>
      <c r="AE30" s="17"/>
      <c r="AF30" s="17"/>
      <c r="AG30" s="17"/>
      <c r="AH30" s="17"/>
      <c r="AI30" s="17" t="str">
        <f t="shared" si="3"/>
        <v>22Y</v>
      </c>
      <c r="AJ30" s="376"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EUR3E6E23Y_Quote#0000</v>
      </c>
      <c r="G31" s="75" t="str">
        <f>_xll.ohRangeRetrieveError(F31)</f>
        <v/>
      </c>
      <c r="H31" s="74"/>
      <c r="N31" s="122">
        <v>23</v>
      </c>
      <c r="O31" s="301" t="s">
        <v>81</v>
      </c>
      <c r="P31" s="300" t="str">
        <v>3E</v>
      </c>
      <c r="Q31" s="300" t="str">
        <v>6E</v>
      </c>
      <c r="R31" s="298" t="str">
        <f t="shared" si="1"/>
        <v>EUR3E6E23Y</v>
      </c>
      <c r="S31" s="263" t="str">
        <v>EUR3E6E23Y=ICAP</v>
      </c>
      <c r="T31" s="379" t="s">
        <v>244</v>
      </c>
      <c r="U31" s="379" t="s">
        <v>244</v>
      </c>
      <c r="V31" s="379" t="e">
        <f>_xll.qlMidEquivalent(T31,U31)</f>
        <v>#NUM!</v>
      </c>
      <c r="W31" s="259" t="b">
        <f t="shared" si="2"/>
        <v>0</v>
      </c>
      <c r="X31" s="383">
        <v>6.91401204888842</v>
      </c>
      <c r="Y31" s="253"/>
      <c r="Z31" s="377">
        <v>6.98</v>
      </c>
      <c r="AA31" s="253"/>
      <c r="AB31" s="583">
        <v>6.98</v>
      </c>
      <c r="AC31" s="258">
        <f>_xll.qlSimpleQuoteSetValue(F31,ROUND(AB31/10000,6),Trigger)</f>
        <v>7.0000000000000617E-6</v>
      </c>
      <c r="AD31" s="217"/>
      <c r="AE31" s="17"/>
      <c r="AF31" s="17"/>
      <c r="AG31" s="17"/>
      <c r="AH31" s="17"/>
      <c r="AI31" s="17" t="str">
        <f t="shared" si="3"/>
        <v>23Y</v>
      </c>
      <c r="AJ31" s="376"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EUR3E6E24Y_Quote#0000</v>
      </c>
      <c r="G32" s="75" t="str">
        <f>_xll.ohRangeRetrieveError(F32)</f>
        <v/>
      </c>
      <c r="H32" s="74"/>
      <c r="N32" s="122">
        <v>24</v>
      </c>
      <c r="O32" s="301" t="s">
        <v>80</v>
      </c>
      <c r="P32" s="300" t="str">
        <v>3E</v>
      </c>
      <c r="Q32" s="300" t="str">
        <v>6E</v>
      </c>
      <c r="R32" s="298" t="str">
        <f t="shared" si="1"/>
        <v>EUR3E6E24Y</v>
      </c>
      <c r="S32" s="263" t="str">
        <v>EUR3E6E24Y=ICAP</v>
      </c>
      <c r="T32" s="379" t="s">
        <v>244</v>
      </c>
      <c r="U32" s="379" t="s">
        <v>244</v>
      </c>
      <c r="V32" s="379" t="e">
        <f>_xll.qlMidEquivalent(T32,U32)</f>
        <v>#NUM!</v>
      </c>
      <c r="W32" s="259" t="b">
        <f t="shared" si="2"/>
        <v>0</v>
      </c>
      <c r="X32" s="383">
        <v>6.7775616658991531</v>
      </c>
      <c r="Y32" s="253"/>
      <c r="Z32" s="377">
        <v>6.81</v>
      </c>
      <c r="AA32" s="253"/>
      <c r="AB32" s="583">
        <v>6.81</v>
      </c>
      <c r="AC32" s="258">
        <f>_xll.qlSimpleQuoteSetValue(F32,ROUND(AB32/10000,6),Trigger)</f>
        <v>2.9999999999999645E-6</v>
      </c>
      <c r="AD32" s="217"/>
      <c r="AE32" s="17"/>
      <c r="AF32" s="17"/>
      <c r="AG32" s="17"/>
      <c r="AH32" s="17"/>
      <c r="AI32" s="17" t="str">
        <f t="shared" si="3"/>
        <v>24Y</v>
      </c>
      <c r="AJ32" s="376"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EUR3E6E25Y_Quote#0000</v>
      </c>
      <c r="G33" s="75" t="str">
        <f>_xll.ohRangeRetrieveError(F33)</f>
        <v/>
      </c>
      <c r="H33" s="74"/>
      <c r="N33" s="122">
        <v>25</v>
      </c>
      <c r="O33" s="301" t="s">
        <v>79</v>
      </c>
      <c r="P33" s="300" t="str">
        <v>3E</v>
      </c>
      <c r="Q33" s="300" t="str">
        <v>6E</v>
      </c>
      <c r="R33" s="298" t="str">
        <f t="shared" si="1"/>
        <v>EUR3E6E25Y</v>
      </c>
      <c r="S33" s="263" t="str">
        <v>EUR3E6E25Y=ICAP</v>
      </c>
      <c r="T33" s="379">
        <v>6.15</v>
      </c>
      <c r="U33" s="379">
        <v>7.15</v>
      </c>
      <c r="V33" s="379">
        <f>_xll.qlMidEquivalent(T33,U33)</f>
        <v>6.65</v>
      </c>
      <c r="W33" s="259" t="b">
        <f t="shared" si="2"/>
        <v>1</v>
      </c>
      <c r="X33" s="383">
        <v>6.65</v>
      </c>
      <c r="Y33" s="253"/>
      <c r="Z33" s="377">
        <v>6.65</v>
      </c>
      <c r="AA33" s="253"/>
      <c r="AB33" s="583">
        <v>6.65</v>
      </c>
      <c r="AC33" s="258">
        <f>_xll.qlSimpleQuoteSetValue(F33,ROUND(AB33/10000,6),Trigger)</f>
        <v>0</v>
      </c>
      <c r="AD33" s="217"/>
      <c r="AE33" s="17"/>
      <c r="AF33" s="17"/>
      <c r="AG33" s="17"/>
      <c r="AH33" s="17"/>
      <c r="AI33" s="17" t="str">
        <f t="shared" si="3"/>
        <v>25Y</v>
      </c>
      <c r="AJ33" s="376">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EUR3E6E26Y_Quote#0000</v>
      </c>
      <c r="G34" s="75" t="str">
        <f>_xll.ohRangeRetrieveError(F34)</f>
        <v/>
      </c>
      <c r="H34" s="74"/>
      <c r="N34" s="122">
        <v>26</v>
      </c>
      <c r="O34" s="301" t="s">
        <v>78</v>
      </c>
      <c r="P34" s="300" t="str">
        <v>3E</v>
      </c>
      <c r="Q34" s="300" t="str">
        <v>6E</v>
      </c>
      <c r="R34" s="298" t="str">
        <f t="shared" si="1"/>
        <v>EUR3E6E26Y</v>
      </c>
      <c r="S34" s="263" t="str">
        <v>EUR3E6E26Y=ICAP</v>
      </c>
      <c r="T34" s="379" t="s">
        <v>244</v>
      </c>
      <c r="U34" s="379" t="s">
        <v>244</v>
      </c>
      <c r="V34" s="379" t="e">
        <f>_xll.qlMidEquivalent(T34,U34)</f>
        <v>#NUM!</v>
      </c>
      <c r="W34" s="259" t="b">
        <f t="shared" si="2"/>
        <v>0</v>
      </c>
      <c r="X34" s="383">
        <v>6.529284947804693</v>
      </c>
      <c r="Y34" s="253"/>
      <c r="Z34" s="377">
        <v>6.51</v>
      </c>
      <c r="AA34" s="253"/>
      <c r="AB34" s="583">
        <v>6.51</v>
      </c>
      <c r="AC34" s="258">
        <f>_xll.qlSimpleQuoteSetValue(F34,ROUND(AB34/10000,6),Trigger)</f>
        <v>-2.0000000000000486E-6</v>
      </c>
      <c r="AD34" s="217"/>
      <c r="AE34" s="17"/>
      <c r="AF34" s="17"/>
      <c r="AG34" s="17"/>
      <c r="AH34" s="17"/>
      <c r="AI34" s="17" t="str">
        <f t="shared" si="3"/>
        <v>26Y</v>
      </c>
      <c r="AJ34" s="376"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EUR3E6E27Y_Quote#0000</v>
      </c>
      <c r="G35" s="75" t="str">
        <f>_xll.ohRangeRetrieveError(F35)</f>
        <v/>
      </c>
      <c r="H35" s="74"/>
      <c r="N35" s="122">
        <v>27</v>
      </c>
      <c r="O35" s="301" t="s">
        <v>77</v>
      </c>
      <c r="P35" s="300" t="str">
        <v>3E</v>
      </c>
      <c r="Q35" s="300" t="str">
        <v>6E</v>
      </c>
      <c r="R35" s="298" t="str">
        <f t="shared" si="1"/>
        <v>EUR3E6E27Y</v>
      </c>
      <c r="S35" s="263" t="str">
        <v>EUR3E6E27Y=ICAP</v>
      </c>
      <c r="T35" s="379" t="s">
        <v>244</v>
      </c>
      <c r="U35" s="379" t="s">
        <v>244</v>
      </c>
      <c r="V35" s="379" t="e">
        <f>_xll.qlMidEquivalent(T35,U35)</f>
        <v>#NUM!</v>
      </c>
      <c r="W35" s="259" t="b">
        <f t="shared" si="2"/>
        <v>0</v>
      </c>
      <c r="X35" s="383">
        <v>6.4145277922231152</v>
      </c>
      <c r="Y35" s="253"/>
      <c r="Z35" s="377">
        <v>6.38</v>
      </c>
      <c r="AA35" s="253"/>
      <c r="AB35" s="583">
        <v>6.38</v>
      </c>
      <c r="AC35" s="258">
        <f>_xll.qlSimpleQuoteSetValue(F35,ROUND(AB35/10000,6),Trigger)</f>
        <v>-2.9999999999999645E-6</v>
      </c>
      <c r="AD35" s="217"/>
      <c r="AE35" s="17"/>
      <c r="AF35" s="17"/>
      <c r="AG35" s="17"/>
      <c r="AH35" s="17"/>
      <c r="AI35" s="17" t="str">
        <f t="shared" si="3"/>
        <v>27Y</v>
      </c>
      <c r="AJ35" s="376"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EUR3E6E28Y_Quote#0000</v>
      </c>
      <c r="G36" s="75" t="str">
        <f>_xll.ohRangeRetrieveError(F36)</f>
        <v/>
      </c>
      <c r="H36" s="74"/>
      <c r="N36" s="122">
        <v>28</v>
      </c>
      <c r="O36" s="301" t="s">
        <v>76</v>
      </c>
      <c r="P36" s="300" t="str">
        <v>3E</v>
      </c>
      <c r="Q36" s="300" t="str">
        <v>6E</v>
      </c>
      <c r="R36" s="298" t="str">
        <f t="shared" si="1"/>
        <v>EUR3E6E28Y</v>
      </c>
      <c r="S36" s="263" t="str">
        <v>EUR3E6E28Y=ICAP</v>
      </c>
      <c r="T36" s="379" t="s">
        <v>244</v>
      </c>
      <c r="U36" s="379" t="s">
        <v>244</v>
      </c>
      <c r="V36" s="379" t="e">
        <f>_xll.qlMidEquivalent(T36,U36)</f>
        <v>#NUM!</v>
      </c>
      <c r="W36" s="259" t="b">
        <f t="shared" si="2"/>
        <v>0</v>
      </c>
      <c r="X36" s="383">
        <v>6.3051281627391909</v>
      </c>
      <c r="Y36" s="253"/>
      <c r="Z36" s="377">
        <v>6.26</v>
      </c>
      <c r="AA36" s="253"/>
      <c r="AB36" s="583">
        <v>6.26</v>
      </c>
      <c r="AC36" s="258">
        <f>_xll.qlSimpleQuoteSetValue(F36,ROUND(AB36/10000,6),Trigger)</f>
        <v>-5.0000000000000131E-6</v>
      </c>
      <c r="AD36" s="217"/>
      <c r="AE36" s="17"/>
      <c r="AF36" s="17"/>
      <c r="AG36" s="17"/>
      <c r="AH36" s="17"/>
      <c r="AI36" s="17" t="str">
        <f t="shared" si="3"/>
        <v>28Y</v>
      </c>
      <c r="AJ36" s="376"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EUR3E6E29Y_Quote#0000</v>
      </c>
      <c r="G37" s="75" t="str">
        <f>_xll.ohRangeRetrieveError(F37)</f>
        <v/>
      </c>
      <c r="H37" s="74"/>
      <c r="N37" s="122">
        <v>29</v>
      </c>
      <c r="O37" s="301" t="s">
        <v>75</v>
      </c>
      <c r="P37" s="300" t="str">
        <v>3E</v>
      </c>
      <c r="Q37" s="300" t="str">
        <v>6E</v>
      </c>
      <c r="R37" s="298" t="str">
        <f t="shared" si="1"/>
        <v>EUR3E6E29Y</v>
      </c>
      <c r="S37" s="263" t="str">
        <v>EUR3E6E29Y=ICAP</v>
      </c>
      <c r="T37" s="379" t="s">
        <v>244</v>
      </c>
      <c r="U37" s="379" t="s">
        <v>244</v>
      </c>
      <c r="V37" s="379" t="e">
        <f>_xll.qlMidEquivalent(T37,U37)</f>
        <v>#NUM!</v>
      </c>
      <c r="W37" s="259" t="b">
        <f t="shared" si="2"/>
        <v>0</v>
      </c>
      <c r="X37" s="383">
        <v>6.200485688836844</v>
      </c>
      <c r="Y37" s="253"/>
      <c r="Z37" s="377">
        <v>6.15</v>
      </c>
      <c r="AA37" s="253"/>
      <c r="AB37" s="583">
        <v>6.15</v>
      </c>
      <c r="AC37" s="258">
        <f>_xll.qlSimpleQuoteSetValue(F37,ROUND(AB37/10000,6),Trigger)</f>
        <v>-5.0000000000000131E-6</v>
      </c>
      <c r="AD37" s="217"/>
      <c r="AE37" s="17"/>
      <c r="AF37" s="17"/>
      <c r="AG37" s="17"/>
      <c r="AH37" s="17"/>
      <c r="AI37" s="17" t="str">
        <f t="shared" si="3"/>
        <v>29Y</v>
      </c>
      <c r="AJ37" s="376"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EUR3E6E30Y_Quote#0000</v>
      </c>
      <c r="G38" s="75" t="str">
        <f>_xll.ohRangeRetrieveError(F38)</f>
        <v/>
      </c>
      <c r="H38" s="74"/>
      <c r="N38" s="122">
        <v>30</v>
      </c>
      <c r="O38" s="301" t="s">
        <v>74</v>
      </c>
      <c r="P38" s="300" t="str">
        <v>3E</v>
      </c>
      <c r="Q38" s="300" t="str">
        <v>6E</v>
      </c>
      <c r="R38" s="298" t="str">
        <f t="shared" si="1"/>
        <v>EUR3E6E30Y</v>
      </c>
      <c r="S38" s="263" t="str">
        <v>EUR3E6E30Y=ICAP</v>
      </c>
      <c r="T38" s="379">
        <v>5.6</v>
      </c>
      <c r="U38" s="379">
        <v>6.6</v>
      </c>
      <c r="V38" s="379">
        <f>_xll.qlMidEquivalent(T38,U38)</f>
        <v>6.1</v>
      </c>
      <c r="W38" s="259" t="b">
        <f t="shared" si="2"/>
        <v>1</v>
      </c>
      <c r="X38" s="383">
        <v>6.1</v>
      </c>
      <c r="Y38" s="253"/>
      <c r="Z38" s="377">
        <v>6.05</v>
      </c>
      <c r="AA38" s="253"/>
      <c r="AB38" s="583">
        <v>6.05</v>
      </c>
      <c r="AC38" s="258">
        <f>_xll.qlSimpleQuoteSetValue(F38,ROUND(AB38/10000,6),Trigger)</f>
        <v>-5.0000000000000131E-6</v>
      </c>
      <c r="AD38" s="217"/>
      <c r="AE38" s="17"/>
      <c r="AF38" s="17"/>
      <c r="AG38" s="17"/>
      <c r="AH38" s="17"/>
      <c r="AI38" s="17" t="str">
        <f t="shared" si="3"/>
        <v>30Y</v>
      </c>
      <c r="AJ38" s="376">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EUR3E6E35Y_Quote#0000</v>
      </c>
      <c r="G39" s="75" t="str">
        <f>_xll.ohRangeRetrieveError(F39)</f>
        <v/>
      </c>
      <c r="H39" s="74"/>
      <c r="N39" s="122">
        <v>35</v>
      </c>
      <c r="O39" s="301" t="s">
        <v>69</v>
      </c>
      <c r="P39" s="300" t="str">
        <v>3E</v>
      </c>
      <c r="Q39" s="300" t="str">
        <v>6E</v>
      </c>
      <c r="R39" s="298" t="str">
        <f t="shared" si="1"/>
        <v>EUR3E6E35Y</v>
      </c>
      <c r="S39" s="263" t="str">
        <v>EUR3E6E35Y=ICAP</v>
      </c>
      <c r="T39" s="379" t="s">
        <v>244</v>
      </c>
      <c r="U39" s="379" t="s">
        <v>244</v>
      </c>
      <c r="V39" s="379" t="e">
        <f>_xll.qlMidEquivalent(T39,U39)</f>
        <v>#NUM!</v>
      </c>
      <c r="W39" s="259" t="b">
        <f t="shared" si="2"/>
        <v>0</v>
      </c>
      <c r="X39" s="383">
        <v>5.6524497666484645</v>
      </c>
      <c r="Y39" s="253"/>
      <c r="Z39" s="377">
        <v>5.6</v>
      </c>
      <c r="AA39" s="253"/>
      <c r="AB39" s="583">
        <v>5.6</v>
      </c>
      <c r="AC39" s="258">
        <f>_xll.qlSimpleQuoteSetValue(F39,ROUND(AB39/10000,6),Trigger)</f>
        <v>-5.0000000000000131E-6</v>
      </c>
      <c r="AD39" s="217"/>
      <c r="AE39" s="17"/>
      <c r="AF39" s="17"/>
      <c r="AG39" s="17"/>
      <c r="AH39" s="17"/>
      <c r="AI39" s="17" t="str">
        <f t="shared" si="3"/>
        <v>35Y</v>
      </c>
      <c r="AJ39" s="376"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EUR3E6E40Y_Quote#0000</v>
      </c>
      <c r="G40" s="75" t="str">
        <f>_xll.ohRangeRetrieveError(F40)</f>
        <v/>
      </c>
      <c r="H40" s="74"/>
      <c r="N40" s="122">
        <v>40</v>
      </c>
      <c r="O40" s="301" t="s">
        <v>64</v>
      </c>
      <c r="P40" s="300" t="str">
        <v>3E</v>
      </c>
      <c r="Q40" s="300" t="str">
        <v>6E</v>
      </c>
      <c r="R40" s="298" t="str">
        <f t="shared" si="1"/>
        <v>EUR3E6E40Y</v>
      </c>
      <c r="S40" s="263" t="str">
        <v>EUR3E6E40Y=ICAP</v>
      </c>
      <c r="T40" s="379">
        <v>4.8</v>
      </c>
      <c r="U40" s="379">
        <v>5.8</v>
      </c>
      <c r="V40" s="379">
        <f>_xll.qlMidEquivalent(T40,U40)</f>
        <v>5.3</v>
      </c>
      <c r="W40" s="259" t="b">
        <f t="shared" si="2"/>
        <v>1</v>
      </c>
      <c r="X40" s="383">
        <v>5.3</v>
      </c>
      <c r="Y40" s="381">
        <f>X38-X40</f>
        <v>0.79999999999999982</v>
      </c>
      <c r="Z40" s="377">
        <v>5.25</v>
      </c>
      <c r="AA40" s="253"/>
      <c r="AB40" s="583">
        <v>5.25</v>
      </c>
      <c r="AC40" s="258">
        <f>_xll.qlSimpleQuoteSetValue(F40,ROUND(AB40/10000,6),Trigger)</f>
        <v>-5.0000000000000131E-6</v>
      </c>
      <c r="AD40" s="217"/>
      <c r="AE40" s="17"/>
      <c r="AF40" s="17"/>
      <c r="AG40" s="17"/>
      <c r="AH40" s="17"/>
      <c r="AI40" s="17" t="str">
        <f t="shared" si="3"/>
        <v>40Y</v>
      </c>
      <c r="AJ40" s="376">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EUR3E6E50Y_Quote#0000</v>
      </c>
      <c r="G41" s="75" t="str">
        <f>_xll.ohRangeRetrieveError(F41)</f>
        <v/>
      </c>
      <c r="H41" s="74"/>
      <c r="N41" s="122">
        <v>50</v>
      </c>
      <c r="O41" s="301" t="s">
        <v>54</v>
      </c>
      <c r="P41" s="300" t="str">
        <v>3E</v>
      </c>
      <c r="Q41" s="300" t="str">
        <v>6E</v>
      </c>
      <c r="R41" s="298" t="str">
        <f t="shared" si="1"/>
        <v>EUR3E6E50Y</v>
      </c>
      <c r="S41" s="263" t="str">
        <v>EUR3E6E50Y=ICAP</v>
      </c>
      <c r="T41" s="379">
        <v>4.3499999999999996</v>
      </c>
      <c r="U41" s="379">
        <v>5.35</v>
      </c>
      <c r="V41" s="379">
        <f>_xll.qlMidEquivalent(T41,U41)</f>
        <v>4.8499999999999996</v>
      </c>
      <c r="W41" s="259" t="b">
        <f t="shared" si="2"/>
        <v>1</v>
      </c>
      <c r="X41" s="383">
        <v>4.8499999999999996</v>
      </c>
      <c r="Y41" s="381">
        <f>X40-X41</f>
        <v>0.45000000000000018</v>
      </c>
      <c r="Z41" s="377">
        <v>4.75</v>
      </c>
      <c r="AA41" s="253"/>
      <c r="AB41" s="583">
        <v>4.75</v>
      </c>
      <c r="AC41" s="258">
        <f>_xll.qlSimpleQuoteSetValue(F41,ROUND(AB41/10000,6),Trigger)</f>
        <v>-1.0000000000000026E-5</v>
      </c>
      <c r="AD41" s="217"/>
      <c r="AE41" s="17"/>
      <c r="AF41" s="17"/>
      <c r="AG41" s="17"/>
      <c r="AH41" s="17"/>
      <c r="AI41" s="17" t="str">
        <f t="shared" si="3"/>
        <v>50Y</v>
      </c>
      <c r="AJ41" s="376">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EUR3E6E60Y_Quote#0000</v>
      </c>
      <c r="G42" s="75" t="str">
        <f>_xll.ohRangeRetrieveError(F42)</f>
        <v/>
      </c>
      <c r="H42" s="74"/>
      <c r="N42" s="122">
        <v>60</v>
      </c>
      <c r="O42" s="301" t="s">
        <v>44</v>
      </c>
      <c r="P42" s="300" t="str">
        <v>3E</v>
      </c>
      <c r="Q42" s="300" t="str">
        <v>6E</v>
      </c>
      <c r="R42" s="298" t="str">
        <f t="shared" si="1"/>
        <v>EUR3E6E60Y</v>
      </c>
      <c r="S42" s="263" t="str">
        <v>EUR3E6E60Y=ICAP</v>
      </c>
      <c r="T42" s="379">
        <v>4.05</v>
      </c>
      <c r="U42" s="379">
        <v>5.05</v>
      </c>
      <c r="V42" s="379">
        <f>_xll.qlMidEquivalent(T42,U42)</f>
        <v>4.55</v>
      </c>
      <c r="W42" s="259" t="b">
        <f t="shared" si="2"/>
        <v>1</v>
      </c>
      <c r="X42" s="382">
        <f>X41-Y42</f>
        <v>4.5968749999999989</v>
      </c>
      <c r="Y42" s="381">
        <f>Y41/Y40*Y41</f>
        <v>0.25312500000000027</v>
      </c>
      <c r="Z42" s="377">
        <v>4.4400000000000004</v>
      </c>
      <c r="AA42" s="253"/>
      <c r="AB42" s="584">
        <v>4.4400000000000004</v>
      </c>
      <c r="AC42" s="250">
        <f>_xll.qlSimpleQuoteSetValue(F42,ROUND(AB42/10000,6),Trigger)</f>
        <v>-1.6000000000000009E-5</v>
      </c>
      <c r="AD42" s="217"/>
      <c r="AE42" s="17"/>
      <c r="AF42" s="17"/>
      <c r="AG42" s="17"/>
      <c r="AH42" s="17"/>
      <c r="AI42" s="17" t="str">
        <f t="shared" si="3"/>
        <v>60Y</v>
      </c>
      <c r="AJ42" s="376">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obj_00768#0000</v>
      </c>
      <c r="T3" s="137"/>
      <c r="U3" s="137"/>
      <c r="V3" s="137"/>
      <c r="W3" s="137"/>
      <c r="X3" s="137"/>
      <c r="Y3" s="253"/>
      <c r="Z3" s="253"/>
      <c r="AA3" s="253"/>
      <c r="AB3" s="137"/>
      <c r="AC3" s="284">
        <f>_xll.ohTrigger(AC5:AC42)</f>
        <v>3</v>
      </c>
      <c r="AD3" s="217"/>
      <c r="AE3" s="17"/>
      <c r="AF3" s="17"/>
      <c r="AG3" s="17"/>
      <c r="AH3" s="17"/>
    </row>
    <row r="4" spans="1:34"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0">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79" t="s">
        <v>244</v>
      </c>
      <c r="U5" s="379" t="s">
        <v>244</v>
      </c>
      <c r="V5" s="379" t="e">
        <f>_xll.qlMidEquivalent(T5,U5)</f>
        <v>#NUM!</v>
      </c>
      <c r="W5" s="259" t="b">
        <f t="shared" ref="W5:W42" si="2">IF(ISNUMBER(V5),TRUE,FALSE)</f>
        <v>0</v>
      </c>
      <c r="X5" s="383" t="e">
        <f t="array" ref="X5:X38">_xll.qlInterpolationInterpolate(S3,N5:N42)</f>
        <v>#NUM!</v>
      </c>
      <c r="Y5" s="253"/>
      <c r="Z5" s="377" t="e">
        <v>#NUM!</v>
      </c>
      <c r="AA5" s="253"/>
      <c r="AB5" s="583" t="e">
        <f t="array" ref="AB5:AB42">QuoteStatic</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EUR6E12E1Y_Quote#0000</v>
      </c>
      <c r="G6" s="75" t="str">
        <f>_xll.ohRangeRetrieveError(F6)</f>
        <v/>
      </c>
      <c r="H6" s="74"/>
      <c r="N6" s="380">
        <v>1</v>
      </c>
      <c r="O6" s="301" t="s">
        <v>21</v>
      </c>
      <c r="P6" s="300" t="str">
        <v>6E</v>
      </c>
      <c r="Q6" s="300" t="str">
        <v>12E</v>
      </c>
      <c r="R6" s="298" t="str">
        <f t="shared" si="1"/>
        <v>EUR6E12E1Y</v>
      </c>
      <c r="S6" s="263" t="str">
        <v>EUR6E12E1Y=ICAP</v>
      </c>
      <c r="T6" s="379">
        <v>11.5</v>
      </c>
      <c r="U6" s="379">
        <v>0</v>
      </c>
      <c r="V6" s="379">
        <f>_xll.qlMidEquivalent(T6,U6)</f>
        <v>11.5</v>
      </c>
      <c r="W6" s="259" t="b">
        <f t="shared" si="2"/>
        <v>1</v>
      </c>
      <c r="X6" s="383">
        <v>11.5</v>
      </c>
      <c r="Y6" s="253"/>
      <c r="Z6" s="377">
        <v>16.100000000000001</v>
      </c>
      <c r="AA6" s="253"/>
      <c r="AB6" s="583">
        <v>16.100000000000001</v>
      </c>
      <c r="AC6" s="258">
        <f>_xll.qlSimpleQuoteSetValue(F6,ROUND(AB6/10000,6),Trigger)</f>
        <v>4.6000000000000012E-4</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EUR6E12E15M_Quote#0000</v>
      </c>
      <c r="G7" s="75" t="str">
        <f>_xll.ohRangeRetrieveError(F7)</f>
        <v/>
      </c>
      <c r="H7" s="74"/>
      <c r="N7" s="380">
        <v>1.25</v>
      </c>
      <c r="O7" s="301" t="s">
        <v>127</v>
      </c>
      <c r="P7" s="300" t="str">
        <v>6E</v>
      </c>
      <c r="Q7" s="300" t="str">
        <v>12E</v>
      </c>
      <c r="R7" s="298" t="str">
        <f t="shared" si="1"/>
        <v>EUR6E12E15M</v>
      </c>
      <c r="S7" s="263" t="str">
        <v>EUR6E12E15M=ICAP</v>
      </c>
      <c r="T7" s="379" t="s">
        <v>244</v>
      </c>
      <c r="U7" s="379" t="s">
        <v>244</v>
      </c>
      <c r="V7" s="379" t="e">
        <f>_xll.qlMidEquivalent(T7,U7)</f>
        <v>#NUM!</v>
      </c>
      <c r="W7" s="259" t="b">
        <f t="shared" si="2"/>
        <v>0</v>
      </c>
      <c r="X7" s="383">
        <v>12.050187007852388</v>
      </c>
      <c r="Y7" s="253"/>
      <c r="Z7" s="377">
        <v>15.34</v>
      </c>
      <c r="AA7" s="253"/>
      <c r="AB7" s="583">
        <v>15.34</v>
      </c>
      <c r="AC7" s="258">
        <f>_xll.qlSimpleQuoteSetValue(F7,ROUND(AB7/10000,6),Trigger)</f>
        <v>3.2900000000000008E-4</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EUR6E12E18M_Quote#0000</v>
      </c>
      <c r="G8" s="75" t="str">
        <f>_xll.ohRangeRetrieveError(F8)</f>
        <v/>
      </c>
      <c r="H8" s="74"/>
      <c r="N8" s="380">
        <v>1.5</v>
      </c>
      <c r="O8" s="301" t="s">
        <v>126</v>
      </c>
      <c r="P8" s="300" t="str">
        <v>6E</v>
      </c>
      <c r="Q8" s="300" t="str">
        <v>12E</v>
      </c>
      <c r="R8" s="298" t="str">
        <f t="shared" si="1"/>
        <v>EUR6E12E18M</v>
      </c>
      <c r="S8" s="263" t="str">
        <v>EUR6E12E18M=ICAP</v>
      </c>
      <c r="T8" s="379" t="s">
        <v>244</v>
      </c>
      <c r="U8" s="379" t="s">
        <v>244</v>
      </c>
      <c r="V8" s="379" t="e">
        <f>_xll.qlMidEquivalent(T8,U8)</f>
        <v>#NUM!</v>
      </c>
      <c r="W8" s="259" t="b">
        <f t="shared" si="2"/>
        <v>0</v>
      </c>
      <c r="X8" s="383">
        <v>12.5779440069799</v>
      </c>
      <c r="Y8" s="253"/>
      <c r="Z8" s="377">
        <v>14.62</v>
      </c>
      <c r="AA8" s="253"/>
      <c r="AB8" s="583">
        <v>14.62</v>
      </c>
      <c r="AC8" s="258">
        <f>_xll.qlSimpleQuoteSetValue(F8,ROUND(AB8/10000,6),Trigger)</f>
        <v>2.0399999999999997E-4</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EUR6E12E21M_Quote#0000</v>
      </c>
      <c r="G9" s="75" t="str">
        <f>_xll.ohRangeRetrieveError(F9)</f>
        <v/>
      </c>
      <c r="H9" s="74"/>
      <c r="N9" s="380">
        <v>1.75</v>
      </c>
      <c r="O9" s="301" t="s">
        <v>125</v>
      </c>
      <c r="P9" s="300" t="str">
        <v>6E</v>
      </c>
      <c r="Q9" s="300" t="str">
        <v>12E</v>
      </c>
      <c r="R9" s="298" t="str">
        <f t="shared" si="1"/>
        <v>EUR6E12E21M</v>
      </c>
      <c r="S9" s="263" t="str">
        <v>EUR6E12E21M=ICAP</v>
      </c>
      <c r="T9" s="379" t="s">
        <v>244</v>
      </c>
      <c r="U9" s="379" t="s">
        <v>244</v>
      </c>
      <c r="V9" s="379" t="e">
        <f>_xll.qlMidEquivalent(T9,U9)</f>
        <v>#NUM!</v>
      </c>
      <c r="W9" s="259" t="b">
        <f t="shared" si="2"/>
        <v>0</v>
      </c>
      <c r="X9" s="383">
        <v>12.991729002617461</v>
      </c>
      <c r="Y9" s="253"/>
      <c r="Z9" s="377">
        <v>14.06</v>
      </c>
      <c r="AA9" s="253"/>
      <c r="AB9" s="583">
        <v>14.06</v>
      </c>
      <c r="AC9" s="258">
        <f>_xll.qlSimpleQuoteSetValue(F9,ROUND(AB9/10000,6),Trigger)</f>
        <v>1.0699999999999989E-4</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79">
        <v>13.2</v>
      </c>
      <c r="U10" s="379">
        <v>0</v>
      </c>
      <c r="V10" s="379">
        <f>_xll.qlMidEquivalent(T10,U10)</f>
        <v>13.2</v>
      </c>
      <c r="W10" s="259" t="b">
        <f t="shared" si="2"/>
        <v>1</v>
      </c>
      <c r="X10" s="383">
        <v>13.2</v>
      </c>
      <c r="Y10" s="253"/>
      <c r="Z10" s="377">
        <v>13.8</v>
      </c>
      <c r="AA10" s="253"/>
      <c r="AB10" s="583">
        <v>13.8</v>
      </c>
      <c r="AC10" s="258">
        <f>_xll.qlSimpleQuoteSetValue(F10,ROUND(AB10/10000,6),Trigger)</f>
        <v>5.9999999999999941E-5</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79">
        <v>13.3</v>
      </c>
      <c r="U11" s="379">
        <v>0</v>
      </c>
      <c r="V11" s="379">
        <f>_xll.qlMidEquivalent(T11,U11)</f>
        <v>13.3</v>
      </c>
      <c r="W11" s="259" t="b">
        <f t="shared" si="2"/>
        <v>1</v>
      </c>
      <c r="X11" s="383">
        <v>13.3</v>
      </c>
      <c r="Y11" s="253"/>
      <c r="Z11" s="377">
        <v>13.9</v>
      </c>
      <c r="AA11" s="253"/>
      <c r="AB11" s="583">
        <v>13.9</v>
      </c>
      <c r="AC11" s="258">
        <f>_xll.qlSimpleQuoteSetValue(F11,ROUND(AB11/10000,6),Trigger)</f>
        <v>5.9999999999999941E-5</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79">
        <v>13.3</v>
      </c>
      <c r="U12" s="379">
        <v>0</v>
      </c>
      <c r="V12" s="379">
        <f>_xll.qlMidEquivalent(T12,U12)</f>
        <v>13.3</v>
      </c>
      <c r="W12" s="259" t="b">
        <f t="shared" si="2"/>
        <v>1</v>
      </c>
      <c r="X12" s="383">
        <v>13.3</v>
      </c>
      <c r="Y12" s="253"/>
      <c r="Z12" s="377">
        <v>14</v>
      </c>
      <c r="AA12" s="253"/>
      <c r="AB12" s="583">
        <v>14</v>
      </c>
      <c r="AC12" s="258">
        <f>_xll.qlSimpleQuoteSetValue(F12,ROUND(AB12/10000,6),Trigger)</f>
        <v>6.9999999999999967E-5</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79">
        <v>13.2</v>
      </c>
      <c r="U13" s="379">
        <v>0</v>
      </c>
      <c r="V13" s="379">
        <f>_xll.qlMidEquivalent(T13,U13)</f>
        <v>13.2</v>
      </c>
      <c r="W13" s="259" t="b">
        <f t="shared" si="2"/>
        <v>1</v>
      </c>
      <c r="X13" s="383">
        <v>13.2</v>
      </c>
      <c r="Y13" s="253"/>
      <c r="Z13" s="377">
        <v>14.1</v>
      </c>
      <c r="AA13" s="253"/>
      <c r="AB13" s="583">
        <v>14.1</v>
      </c>
      <c r="AC13" s="258">
        <f>_xll.qlSimpleQuoteSetValue(F13,ROUND(AB13/10000,6),Trigger)</f>
        <v>9.0000000000000019E-5</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79">
        <v>13.1</v>
      </c>
      <c r="U14" s="379">
        <v>0</v>
      </c>
      <c r="V14" s="379">
        <f>_xll.qlMidEquivalent(T14,U14)</f>
        <v>13.1</v>
      </c>
      <c r="W14" s="259" t="b">
        <f t="shared" si="2"/>
        <v>1</v>
      </c>
      <c r="X14" s="383">
        <v>13.1</v>
      </c>
      <c r="Y14" s="253"/>
      <c r="Z14" s="377">
        <v>14</v>
      </c>
      <c r="AA14" s="253"/>
      <c r="AB14" s="583">
        <v>14</v>
      </c>
      <c r="AC14" s="258">
        <f>_xll.qlSimpleQuoteSetValue(F14,ROUND(AB14/10000,6),Trigger)</f>
        <v>9.0000000000000019E-5</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EUR6E12E7Y_Quote#0000</v>
      </c>
      <c r="G15" s="75" t="str">
        <f>_xll.ohRangeRetrieveError(F15)</f>
        <v/>
      </c>
      <c r="H15" s="74"/>
      <c r="N15" s="122">
        <v>7</v>
      </c>
      <c r="O15" s="301" t="s">
        <v>97</v>
      </c>
      <c r="P15" s="300" t="str">
        <v>6E</v>
      </c>
      <c r="Q15" s="300" t="str">
        <v>12E</v>
      </c>
      <c r="R15" s="298" t="str">
        <f t="shared" si="1"/>
        <v>EUR6E12E7Y</v>
      </c>
      <c r="S15" s="263" t="str">
        <v>EUR6E12E7Y=ICAP</v>
      </c>
      <c r="T15" s="379">
        <v>12.9</v>
      </c>
      <c r="U15" s="379">
        <v>0</v>
      </c>
      <c r="V15" s="379">
        <f>_xll.qlMidEquivalent(T15,U15)</f>
        <v>12.9</v>
      </c>
      <c r="W15" s="259" t="b">
        <f t="shared" si="2"/>
        <v>1</v>
      </c>
      <c r="X15" s="383">
        <v>12.9</v>
      </c>
      <c r="Y15" s="253"/>
      <c r="Z15" s="377">
        <v>13.8</v>
      </c>
      <c r="AA15" s="253"/>
      <c r="AB15" s="583">
        <v>13.8</v>
      </c>
      <c r="AC15" s="258">
        <f>_xll.qlSimpleQuoteSetValue(F15,ROUND(AB15/10000,6),Trigger)</f>
        <v>9.0000000000000019E-5</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EUR6E12E8Y_Quote#0000</v>
      </c>
      <c r="G16" s="75" t="str">
        <f>_xll.ohRangeRetrieveError(F16)</f>
        <v/>
      </c>
      <c r="H16" s="74"/>
      <c r="N16" s="122">
        <v>8</v>
      </c>
      <c r="O16" s="301" t="s">
        <v>96</v>
      </c>
      <c r="P16" s="300" t="str">
        <v>6E</v>
      </c>
      <c r="Q16" s="300" t="str">
        <v>12E</v>
      </c>
      <c r="R16" s="298" t="str">
        <f t="shared" si="1"/>
        <v>EUR6E12E8Y</v>
      </c>
      <c r="S16" s="263" t="str">
        <v>EUR6E12E8Y=ICAP</v>
      </c>
      <c r="T16" s="379">
        <v>12.6</v>
      </c>
      <c r="U16" s="379">
        <v>0</v>
      </c>
      <c r="V16" s="379">
        <f>_xll.qlMidEquivalent(T16,U16)</f>
        <v>12.6</v>
      </c>
      <c r="W16" s="259" t="b">
        <f t="shared" si="2"/>
        <v>1</v>
      </c>
      <c r="X16" s="383">
        <v>12.6</v>
      </c>
      <c r="Y16" s="253"/>
      <c r="Z16" s="377">
        <v>13.5</v>
      </c>
      <c r="AA16" s="253"/>
      <c r="AB16" s="583">
        <v>13.5</v>
      </c>
      <c r="AC16" s="258">
        <f>_xll.qlSimpleQuoteSetValue(F16,ROUND(AB16/10000,6),Trigger)</f>
        <v>9.0000000000000019E-5</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EUR6E12E9Y_Quote#0000</v>
      </c>
      <c r="G17" s="75" t="str">
        <f>_xll.ohRangeRetrieveError(F17)</f>
        <v/>
      </c>
      <c r="H17" s="74"/>
      <c r="N17" s="122">
        <v>9</v>
      </c>
      <c r="O17" s="301" t="s">
        <v>95</v>
      </c>
      <c r="P17" s="300" t="str">
        <v>6E</v>
      </c>
      <c r="Q17" s="300" t="str">
        <v>12E</v>
      </c>
      <c r="R17" s="298" t="str">
        <f t="shared" si="1"/>
        <v>EUR6E12E9Y</v>
      </c>
      <c r="S17" s="263" t="str">
        <v>EUR6E12E9Y=ICAP</v>
      </c>
      <c r="T17" s="379">
        <v>12.4</v>
      </c>
      <c r="U17" s="379">
        <v>0</v>
      </c>
      <c r="V17" s="379">
        <f>_xll.qlMidEquivalent(T17,U17)</f>
        <v>12.4</v>
      </c>
      <c r="W17" s="259" t="b">
        <f t="shared" si="2"/>
        <v>1</v>
      </c>
      <c r="X17" s="383">
        <v>12.4</v>
      </c>
      <c r="Y17" s="253"/>
      <c r="Z17" s="377">
        <v>13.2</v>
      </c>
      <c r="AA17" s="253"/>
      <c r="AB17" s="583">
        <v>13.2</v>
      </c>
      <c r="AC17" s="258">
        <f>_xll.qlSimpleQuoteSetValue(F17,ROUND(AB17/10000,6),Trigger)</f>
        <v>7.9999999999999993E-5</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EUR6E12E10Y_Quote#0000</v>
      </c>
      <c r="G18" s="75" t="str">
        <f>_xll.ohRangeRetrieveError(F18)</f>
        <v/>
      </c>
      <c r="H18" s="74"/>
      <c r="N18" s="122">
        <v>10</v>
      </c>
      <c r="O18" s="301" t="s">
        <v>94</v>
      </c>
      <c r="P18" s="300" t="str">
        <v>6E</v>
      </c>
      <c r="Q18" s="300" t="str">
        <v>12E</v>
      </c>
      <c r="R18" s="298" t="str">
        <f t="shared" si="1"/>
        <v>EUR6E12E10Y</v>
      </c>
      <c r="S18" s="263" t="str">
        <v>EUR6E12E10Y=ICAP</v>
      </c>
      <c r="T18" s="379">
        <v>12.1</v>
      </c>
      <c r="U18" s="379">
        <v>0</v>
      </c>
      <c r="V18" s="379">
        <f>_xll.qlMidEquivalent(T18,U18)</f>
        <v>12.1</v>
      </c>
      <c r="W18" s="259" t="b">
        <f t="shared" si="2"/>
        <v>1</v>
      </c>
      <c r="X18" s="383">
        <v>12.1</v>
      </c>
      <c r="Y18" s="253"/>
      <c r="Z18" s="377">
        <v>12.7</v>
      </c>
      <c r="AA18" s="253"/>
      <c r="AB18" s="583">
        <v>12.7</v>
      </c>
      <c r="AC18" s="258">
        <f>_xll.qlSimpleQuoteSetValue(F18,ROUND(AB18/10000,6),Trigger)</f>
        <v>6.0000000000000157E-5</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EUR6E12E11Y_Quote#0000</v>
      </c>
      <c r="G19" s="75" t="str">
        <f>_xll.ohRangeRetrieveError(F19)</f>
        <v/>
      </c>
      <c r="H19" s="74"/>
      <c r="N19" s="122">
        <v>11</v>
      </c>
      <c r="O19" s="301" t="s">
        <v>93</v>
      </c>
      <c r="P19" s="300" t="str">
        <v>6E</v>
      </c>
      <c r="Q19" s="300" t="str">
        <v>12E</v>
      </c>
      <c r="R19" s="298" t="str">
        <f t="shared" si="1"/>
        <v>EUR6E12E11Y</v>
      </c>
      <c r="S19" s="263" t="str">
        <v>EUR6E12E11Y=ICAP</v>
      </c>
      <c r="T19" s="379">
        <v>11.7</v>
      </c>
      <c r="U19" s="379">
        <v>0</v>
      </c>
      <c r="V19" s="379">
        <f>_xll.qlMidEquivalent(T19,U19)</f>
        <v>11.7</v>
      </c>
      <c r="W19" s="259" t="b">
        <f t="shared" si="2"/>
        <v>1</v>
      </c>
      <c r="X19" s="383">
        <v>11.7</v>
      </c>
      <c r="Y19" s="253"/>
      <c r="Z19" s="377">
        <v>12.2</v>
      </c>
      <c r="AA19" s="253"/>
      <c r="AB19" s="583">
        <v>12.2</v>
      </c>
      <c r="AC19" s="258">
        <f>_xll.qlSimpleQuoteSetValue(F19,ROUND(AB19/10000,6),Trigger)</f>
        <v>4.9999999999999914E-5</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EUR6E12E12Y_Quote#0000</v>
      </c>
      <c r="G20" s="75" t="str">
        <f>_xll.ohRangeRetrieveError(F20)</f>
        <v/>
      </c>
      <c r="H20" s="74"/>
      <c r="N20" s="122">
        <v>12</v>
      </c>
      <c r="O20" s="301" t="s">
        <v>92</v>
      </c>
      <c r="P20" s="300" t="str">
        <v>6E</v>
      </c>
      <c r="Q20" s="300" t="str">
        <v>12E</v>
      </c>
      <c r="R20" s="298" t="str">
        <f t="shared" si="1"/>
        <v>EUR6E12E12Y</v>
      </c>
      <c r="S20" s="263" t="str">
        <v>EUR6E12E12Y=ICAP</v>
      </c>
      <c r="T20" s="379">
        <v>11.3</v>
      </c>
      <c r="U20" s="379">
        <v>0</v>
      </c>
      <c r="V20" s="379">
        <f>_xll.qlMidEquivalent(T20,U20)</f>
        <v>11.3</v>
      </c>
      <c r="W20" s="259" t="b">
        <f t="shared" si="2"/>
        <v>1</v>
      </c>
      <c r="X20" s="383">
        <v>11.3</v>
      </c>
      <c r="Y20" s="253"/>
      <c r="Z20" s="377">
        <v>11.7</v>
      </c>
      <c r="AA20" s="253"/>
      <c r="AB20" s="583">
        <v>11.7</v>
      </c>
      <c r="AC20" s="258">
        <f>_xll.qlSimpleQuoteSetValue(F20,ROUND(AB20/10000,6),Trigger)</f>
        <v>4.0000000000000105E-5</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EUR6E12E13Y_Quote#0000</v>
      </c>
      <c r="G21" s="75" t="str">
        <f>_xll.ohRangeRetrieveError(F21)</f>
        <v/>
      </c>
      <c r="H21" s="74"/>
      <c r="N21" s="122">
        <v>13</v>
      </c>
      <c r="O21" s="301" t="s">
        <v>91</v>
      </c>
      <c r="P21" s="300" t="str">
        <v>6E</v>
      </c>
      <c r="Q21" s="300" t="str">
        <v>12E</v>
      </c>
      <c r="R21" s="298" t="str">
        <f t="shared" si="1"/>
        <v>EUR6E12E13Y</v>
      </c>
      <c r="S21" s="263" t="str">
        <v>EUR6E12E13Y=ICAP</v>
      </c>
      <c r="T21" s="379" t="s">
        <v>244</v>
      </c>
      <c r="U21" s="379" t="s">
        <v>244</v>
      </c>
      <c r="V21" s="379" t="e">
        <f>_xll.qlMidEquivalent(T21,U21)</f>
        <v>#NUM!</v>
      </c>
      <c r="W21" s="259" t="b">
        <f t="shared" si="2"/>
        <v>0</v>
      </c>
      <c r="X21" s="383">
        <v>10.934820884371806</v>
      </c>
      <c r="Y21" s="253"/>
      <c r="Z21" s="377">
        <v>11.22</v>
      </c>
      <c r="AA21" s="253"/>
      <c r="AB21" s="583">
        <v>11.22</v>
      </c>
      <c r="AC21" s="258">
        <f>_xll.qlSimpleQuoteSetValue(F21,ROUND(AB21/10000,6),Trigger)</f>
        <v>2.8999999999999946E-5</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EUR6E12E14Y_Quote#0000</v>
      </c>
      <c r="G22" s="75" t="str">
        <f>_xll.ohRangeRetrieveError(F22)</f>
        <v/>
      </c>
      <c r="H22" s="74"/>
      <c r="N22" s="122">
        <v>14</v>
      </c>
      <c r="O22" s="301" t="s">
        <v>90</v>
      </c>
      <c r="P22" s="300" t="str">
        <v>6E</v>
      </c>
      <c r="Q22" s="300" t="str">
        <v>12E</v>
      </c>
      <c r="R22" s="298" t="str">
        <f t="shared" si="1"/>
        <v>EUR6E12E14Y</v>
      </c>
      <c r="S22" s="263" t="str">
        <v>EUR6E12E14Y=ICAP</v>
      </c>
      <c r="T22" s="379" t="s">
        <v>244</v>
      </c>
      <c r="U22" s="379" t="s">
        <v>244</v>
      </c>
      <c r="V22" s="379" t="e">
        <f>_xll.qlMidEquivalent(T22,U22)</f>
        <v>#NUM!</v>
      </c>
      <c r="W22" s="259" t="b">
        <f t="shared" si="2"/>
        <v>0</v>
      </c>
      <c r="X22" s="383">
        <v>10.603393916008477</v>
      </c>
      <c r="Y22" s="253"/>
      <c r="Z22" s="377">
        <v>10.79</v>
      </c>
      <c r="AA22" s="253"/>
      <c r="AB22" s="583">
        <v>10.79</v>
      </c>
      <c r="AC22" s="258">
        <f>_xll.qlSimpleQuoteSetValue(F22,ROUND(AB22/10000,6),Trigger)</f>
        <v>1.9000000000000137E-5</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EUR6E12E15Y_Quote#0000</v>
      </c>
      <c r="G23" s="75" t="str">
        <f>_xll.ohRangeRetrieveError(F23)</f>
        <v/>
      </c>
      <c r="H23" s="74"/>
      <c r="N23" s="122">
        <v>15</v>
      </c>
      <c r="O23" s="301" t="s">
        <v>89</v>
      </c>
      <c r="P23" s="300" t="str">
        <v>6E</v>
      </c>
      <c r="Q23" s="300" t="str">
        <v>12E</v>
      </c>
      <c r="R23" s="298" t="str">
        <f t="shared" si="1"/>
        <v>EUR6E12E15Y</v>
      </c>
      <c r="S23" s="263" t="str">
        <v>EUR6E12E15Y=ICAP</v>
      </c>
      <c r="T23" s="379">
        <v>10.3</v>
      </c>
      <c r="U23" s="379">
        <v>0</v>
      </c>
      <c r="V23" s="379">
        <f>_xll.qlMidEquivalent(T23,U23)</f>
        <v>10.3</v>
      </c>
      <c r="W23" s="259" t="b">
        <f t="shared" si="2"/>
        <v>1</v>
      </c>
      <c r="X23" s="383">
        <v>10.3</v>
      </c>
      <c r="Y23" s="253"/>
      <c r="Z23" s="377">
        <v>10.4</v>
      </c>
      <c r="AA23" s="253"/>
      <c r="AB23" s="583">
        <v>10.4</v>
      </c>
      <c r="AC23" s="258">
        <f>_xll.qlSimpleQuoteSetValue(F23,ROUND(AB23/10000,6),Trigger)</f>
        <v>9.9999999999998094E-6</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EUR6E12E16Y_Quote#0000</v>
      </c>
      <c r="G24" s="75" t="str">
        <f>_xll.ohRangeRetrieveError(F24)</f>
        <v/>
      </c>
      <c r="H24" s="74"/>
      <c r="N24" s="122">
        <v>16</v>
      </c>
      <c r="O24" s="301" t="s">
        <v>88</v>
      </c>
      <c r="P24" s="300" t="str">
        <v>6E</v>
      </c>
      <c r="Q24" s="300" t="str">
        <v>12E</v>
      </c>
      <c r="R24" s="298" t="str">
        <f t="shared" si="1"/>
        <v>EUR6E12E16Y</v>
      </c>
      <c r="S24" s="263" t="str">
        <v>EUR6E12E16Y=ICAP</v>
      </c>
      <c r="T24" s="379" t="s">
        <v>244</v>
      </c>
      <c r="U24" s="379" t="s">
        <v>244</v>
      </c>
      <c r="V24" s="379" t="e">
        <f>_xll.qlMidEquivalent(T24,U24)</f>
        <v>#NUM!</v>
      </c>
      <c r="W24" s="259" t="b">
        <f t="shared" si="2"/>
        <v>0</v>
      </c>
      <c r="X24" s="383">
        <v>10.019693178368922</v>
      </c>
      <c r="Y24" s="253"/>
      <c r="Z24" s="377">
        <v>10.06</v>
      </c>
      <c r="AA24" s="253"/>
      <c r="AB24" s="583">
        <v>10.06</v>
      </c>
      <c r="AC24" s="258">
        <f>_xll.qlSimpleQuoteSetValue(F24,ROUND(AB24/10000,6),Trigger)</f>
        <v>3.9999999999998804E-6</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EUR6E12E17Y_Quote#0000</v>
      </c>
      <c r="G25" s="75" t="str">
        <f>_xll.ohRangeRetrieveError(F25)</f>
        <v/>
      </c>
      <c r="H25" s="74"/>
      <c r="N25" s="122">
        <v>17</v>
      </c>
      <c r="O25" s="301" t="s">
        <v>87</v>
      </c>
      <c r="P25" s="300" t="str">
        <v>6E</v>
      </c>
      <c r="Q25" s="300" t="str">
        <v>12E</v>
      </c>
      <c r="R25" s="298" t="str">
        <f t="shared" si="1"/>
        <v>EUR6E12E17Y</v>
      </c>
      <c r="S25" s="263" t="str">
        <v>EUR6E12E17Y=ICAP</v>
      </c>
      <c r="T25" s="379" t="s">
        <v>244</v>
      </c>
      <c r="U25" s="379" t="s">
        <v>244</v>
      </c>
      <c r="V25" s="379" t="e">
        <f>_xll.qlMidEquivalent(T25,U25)</f>
        <v>#NUM!</v>
      </c>
      <c r="W25" s="259" t="b">
        <f t="shared" si="2"/>
        <v>0</v>
      </c>
      <c r="X25" s="383">
        <v>9.7606200408680301</v>
      </c>
      <c r="Y25" s="253"/>
      <c r="Z25" s="377">
        <v>9.77</v>
      </c>
      <c r="AA25" s="253"/>
      <c r="AB25" s="583">
        <v>9.77</v>
      </c>
      <c r="AC25" s="258">
        <f>_xll.qlSimpleQuoteSetValue(F25,ROUND(AB25/10000,6),Trigger)</f>
        <v>1.0000000000000243E-6</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EUR6E12E18Y_Quote#0000</v>
      </c>
      <c r="G26" s="75" t="str">
        <f>_xll.ohRangeRetrieveError(F26)</f>
        <v/>
      </c>
      <c r="H26" s="74"/>
      <c r="N26" s="122">
        <v>18</v>
      </c>
      <c r="O26" s="301" t="s">
        <v>86</v>
      </c>
      <c r="P26" s="300" t="str">
        <v>6E</v>
      </c>
      <c r="Q26" s="300" t="str">
        <v>12E</v>
      </c>
      <c r="R26" s="298" t="str">
        <f t="shared" si="1"/>
        <v>EUR6E12E18Y</v>
      </c>
      <c r="S26" s="263" t="str">
        <v>EUR6E12E18Y=ICAP</v>
      </c>
      <c r="T26" s="379" t="s">
        <v>244</v>
      </c>
      <c r="U26" s="379" t="s">
        <v>244</v>
      </c>
      <c r="V26" s="379" t="e">
        <f>_xll.qlMidEquivalent(T26,U26)</f>
        <v>#NUM!</v>
      </c>
      <c r="W26" s="259" t="b">
        <f t="shared" si="2"/>
        <v>0</v>
      </c>
      <c r="X26" s="383">
        <v>9.5217003141826773</v>
      </c>
      <c r="Y26" s="253"/>
      <c r="Z26" s="377">
        <v>9.51</v>
      </c>
      <c r="AA26" s="253"/>
      <c r="AB26" s="583">
        <v>9.51</v>
      </c>
      <c r="AC26" s="258">
        <f>_xll.qlSimpleQuoteSetValue(F26,ROUND(AB26/10000,6),Trigger)</f>
        <v>-1.0000000000000243E-6</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EUR6E12E19Y_Quote#0000</v>
      </c>
      <c r="G27" s="75" t="str">
        <f>_xll.ohRangeRetrieveError(F27)</f>
        <v/>
      </c>
      <c r="H27" s="74"/>
      <c r="N27" s="122">
        <v>19</v>
      </c>
      <c r="O27" s="301" t="s">
        <v>85</v>
      </c>
      <c r="P27" s="300" t="str">
        <v>6E</v>
      </c>
      <c r="Q27" s="300" t="str">
        <v>12E</v>
      </c>
      <c r="R27" s="298" t="str">
        <f t="shared" si="1"/>
        <v>EUR6E12E19Y</v>
      </c>
      <c r="S27" s="263" t="str">
        <v>EUR6E12E19Y=ICAP</v>
      </c>
      <c r="T27" s="379" t="s">
        <v>244</v>
      </c>
      <c r="U27" s="379" t="s">
        <v>244</v>
      </c>
      <c r="V27" s="379" t="e">
        <f>_xll.qlMidEquivalent(T27,U27)</f>
        <v>#NUM!</v>
      </c>
      <c r="W27" s="259" t="b">
        <f t="shared" si="2"/>
        <v>0</v>
      </c>
      <c r="X27" s="383">
        <v>9.3018537249982174</v>
      </c>
      <c r="Y27" s="253"/>
      <c r="Z27" s="377">
        <v>9.2899999999999991</v>
      </c>
      <c r="AA27" s="253"/>
      <c r="AB27" s="583">
        <v>9.2899999999999991</v>
      </c>
      <c r="AC27" s="258">
        <f>_xll.qlSimpleQuoteSetValue(F27,ROUND(AB27/10000,6),Trigger)</f>
        <v>-1.0000000000000243E-6</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EUR6E12E20Y_Quote#0000</v>
      </c>
      <c r="G28" s="75" t="str">
        <f>_xll.ohRangeRetrieveError(F28)</f>
        <v/>
      </c>
      <c r="H28" s="74"/>
      <c r="N28" s="122">
        <v>20</v>
      </c>
      <c r="O28" s="301" t="s">
        <v>84</v>
      </c>
      <c r="P28" s="300" t="str">
        <v>6E</v>
      </c>
      <c r="Q28" s="300" t="str">
        <v>12E</v>
      </c>
      <c r="R28" s="298" t="str">
        <f t="shared" si="1"/>
        <v>EUR6E12E20Y</v>
      </c>
      <c r="S28" s="263" t="str">
        <v>EUR6E12E20Y=ICAP</v>
      </c>
      <c r="T28" s="379">
        <v>9.1</v>
      </c>
      <c r="U28" s="379">
        <v>0</v>
      </c>
      <c r="V28" s="379">
        <f>_xll.qlMidEquivalent(T28,U28)</f>
        <v>9.1</v>
      </c>
      <c r="W28" s="259" t="b">
        <f t="shared" si="2"/>
        <v>1</v>
      </c>
      <c r="X28" s="383">
        <v>9.1</v>
      </c>
      <c r="Y28" s="253"/>
      <c r="Z28" s="377">
        <v>9.1</v>
      </c>
      <c r="AA28" s="253"/>
      <c r="AB28" s="583">
        <v>9.1</v>
      </c>
      <c r="AC28" s="258">
        <f>_xll.qlSimpleQuoteSetValue(F28,ROUND(AB28/10000,6),Trigger)</f>
        <v>0</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EUR6E12E21Y_Quote#0000</v>
      </c>
      <c r="G29" s="75" t="str">
        <f>_xll.ohRangeRetrieveError(F29)</f>
        <v/>
      </c>
      <c r="H29" s="74"/>
      <c r="N29" s="122">
        <v>21</v>
      </c>
      <c r="O29" s="301" t="s">
        <v>83</v>
      </c>
      <c r="P29" s="300" t="str">
        <v>6E</v>
      </c>
      <c r="Q29" s="300" t="str">
        <v>12E</v>
      </c>
      <c r="R29" s="298" t="str">
        <f t="shared" si="1"/>
        <v>EUR6E12E21Y</v>
      </c>
      <c r="S29" s="263" t="str">
        <v>EUR6E12E21Y=ICAP</v>
      </c>
      <c r="T29" s="379" t="s">
        <v>244</v>
      </c>
      <c r="U29" s="379" t="s">
        <v>244</v>
      </c>
      <c r="V29" s="379" t="e">
        <f>_xll.qlMidEquivalent(T29,U29)</f>
        <v>#NUM!</v>
      </c>
      <c r="W29" s="259" t="b">
        <f t="shared" si="2"/>
        <v>0</v>
      </c>
      <c r="X29" s="383">
        <v>8.9148763476990585</v>
      </c>
      <c r="Y29" s="253"/>
      <c r="Z29" s="377">
        <v>8.93</v>
      </c>
      <c r="AA29" s="253"/>
      <c r="AB29" s="583">
        <v>8.93</v>
      </c>
      <c r="AC29" s="258">
        <f>_xll.qlSimpleQuoteSetValue(F29,ROUND(AB29/10000,6),Trigger)</f>
        <v>2.0000000000000486E-6</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EUR6E12E22Y_Quote#0000</v>
      </c>
      <c r="G30" s="75" t="str">
        <f>_xll.ohRangeRetrieveError(F30)</f>
        <v/>
      </c>
      <c r="H30" s="74"/>
      <c r="N30" s="122">
        <v>22</v>
      </c>
      <c r="O30" s="301" t="s">
        <v>82</v>
      </c>
      <c r="P30" s="300" t="str">
        <v>6E</v>
      </c>
      <c r="Q30" s="300" t="str">
        <v>12E</v>
      </c>
      <c r="R30" s="298" t="str">
        <f t="shared" si="1"/>
        <v>EUR6E12E22Y</v>
      </c>
      <c r="S30" s="263" t="str">
        <v>EUR6E12E22Y=ICAP</v>
      </c>
      <c r="T30" s="379" t="s">
        <v>244</v>
      </c>
      <c r="U30" s="379" t="s">
        <v>244</v>
      </c>
      <c r="V30" s="379" t="e">
        <f>_xll.qlMidEquivalent(T30,U30)</f>
        <v>#NUM!</v>
      </c>
      <c r="W30" s="259" t="b">
        <f t="shared" si="2"/>
        <v>0</v>
      </c>
      <c r="X30" s="383">
        <v>8.7444899039091517</v>
      </c>
      <c r="Y30" s="253"/>
      <c r="Z30" s="377">
        <v>8.7799999999999994</v>
      </c>
      <c r="AA30" s="253"/>
      <c r="AB30" s="583">
        <v>8.7799999999999994</v>
      </c>
      <c r="AC30" s="258">
        <f>_xll.qlSimpleQuoteSetValue(F30,ROUND(AB30/10000,6),Trigger)</f>
        <v>3.9999999999999888E-6</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EUR6E12E23Y_Quote#0000</v>
      </c>
      <c r="G31" s="75" t="str">
        <f>_xll.ohRangeRetrieveError(F31)</f>
        <v/>
      </c>
      <c r="H31" s="74"/>
      <c r="N31" s="122">
        <v>23</v>
      </c>
      <c r="O31" s="301" t="s">
        <v>81</v>
      </c>
      <c r="P31" s="300" t="str">
        <v>6E</v>
      </c>
      <c r="Q31" s="300" t="str">
        <v>12E</v>
      </c>
      <c r="R31" s="298" t="str">
        <f t="shared" si="1"/>
        <v>EUR6E12E23Y</v>
      </c>
      <c r="S31" s="263" t="str">
        <v>EUR6E12E23Y=ICAP</v>
      </c>
      <c r="T31" s="379" t="s">
        <v>244</v>
      </c>
      <c r="U31" s="379" t="s">
        <v>244</v>
      </c>
      <c r="V31" s="379" t="e">
        <f>_xll.qlMidEquivalent(T31,U31)</f>
        <v>#NUM!</v>
      </c>
      <c r="W31" s="259" t="b">
        <f t="shared" si="2"/>
        <v>0</v>
      </c>
      <c r="X31" s="383">
        <v>8.5866652862697137</v>
      </c>
      <c r="Y31" s="253"/>
      <c r="Z31" s="377">
        <v>8.64</v>
      </c>
      <c r="AA31" s="253"/>
      <c r="AB31" s="583">
        <v>8.64</v>
      </c>
      <c r="AC31" s="258">
        <f>_xll.qlSimpleQuoteSetValue(F31,ROUND(AB31/10000,6),Trigger)</f>
        <v>5.0000000000000131E-6</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EUR6E12E24Y_Quote#0000</v>
      </c>
      <c r="G32" s="75" t="str">
        <f>_xll.ohRangeRetrieveError(F32)</f>
        <v/>
      </c>
      <c r="H32" s="74"/>
      <c r="N32" s="122">
        <v>24</v>
      </c>
      <c r="O32" s="301" t="s">
        <v>80</v>
      </c>
      <c r="P32" s="300" t="str">
        <v>6E</v>
      </c>
      <c r="Q32" s="300" t="str">
        <v>12E</v>
      </c>
      <c r="R32" s="298" t="str">
        <f t="shared" si="1"/>
        <v>EUR6E12E24Y</v>
      </c>
      <c r="S32" s="263" t="str">
        <v>EUR6E12E24Y=ICAP</v>
      </c>
      <c r="T32" s="379" t="s">
        <v>244</v>
      </c>
      <c r="U32" s="379" t="s">
        <v>244</v>
      </c>
      <c r="V32" s="379" t="e">
        <f>_xll.qlMidEquivalent(T32,U32)</f>
        <v>#NUM!</v>
      </c>
      <c r="W32" s="259" t="b">
        <f t="shared" si="2"/>
        <v>0</v>
      </c>
      <c r="X32" s="383">
        <v>8.4392271124201841</v>
      </c>
      <c r="Y32" s="253"/>
      <c r="Z32" s="377">
        <v>8.52</v>
      </c>
      <c r="AA32" s="253"/>
      <c r="AB32" s="583">
        <v>8.52</v>
      </c>
      <c r="AC32" s="258">
        <f>_xll.qlSimpleQuoteSetValue(F32,ROUND(AB32/10000,6),Trigger)</f>
        <v>7.9999999999999776E-6</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EUR6E12E25Y_Quote#0000</v>
      </c>
      <c r="G33" s="75" t="str">
        <f>_xll.ohRangeRetrieveError(F33)</f>
        <v/>
      </c>
      <c r="H33" s="74"/>
      <c r="N33" s="122">
        <v>25</v>
      </c>
      <c r="O33" s="301" t="s">
        <v>79</v>
      </c>
      <c r="P33" s="300" t="str">
        <v>6E</v>
      </c>
      <c r="Q33" s="300" t="str">
        <v>12E</v>
      </c>
      <c r="R33" s="298" t="str">
        <f t="shared" si="1"/>
        <v>EUR6E12E25Y</v>
      </c>
      <c r="S33" s="263" t="str">
        <v>EUR6E12E25Y=ICAP</v>
      </c>
      <c r="T33" s="379">
        <v>8.3000000000000007</v>
      </c>
      <c r="U33" s="379">
        <v>0</v>
      </c>
      <c r="V33" s="379">
        <f>_xll.qlMidEquivalent(T33,U33)</f>
        <v>8.3000000000000007</v>
      </c>
      <c r="W33" s="259" t="b">
        <f t="shared" si="2"/>
        <v>1</v>
      </c>
      <c r="X33" s="383">
        <v>8.3000000000000007</v>
      </c>
      <c r="Y33" s="253"/>
      <c r="Z33" s="377">
        <v>8.4</v>
      </c>
      <c r="AA33" s="253"/>
      <c r="AB33" s="583">
        <v>8.4</v>
      </c>
      <c r="AC33" s="258">
        <f>_xll.qlSimpleQuoteSetValue(F33,ROUND(AB33/10000,6),Trigger)</f>
        <v>1.0000000000000026E-5</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EUR6E12E26Y_Quote#0000</v>
      </c>
      <c r="G34" s="75" t="str">
        <f>_xll.ohRangeRetrieveError(F34)</f>
        <v/>
      </c>
      <c r="H34" s="74"/>
      <c r="N34" s="122">
        <v>26</v>
      </c>
      <c r="O34" s="301" t="s">
        <v>78</v>
      </c>
      <c r="P34" s="300" t="str">
        <v>6E</v>
      </c>
      <c r="Q34" s="300" t="str">
        <v>12E</v>
      </c>
      <c r="R34" s="298" t="str">
        <f t="shared" si="1"/>
        <v>EUR6E12E26Y</v>
      </c>
      <c r="S34" s="263" t="str">
        <v>EUR6E12E26Y=ICAP</v>
      </c>
      <c r="T34" s="379" t="s">
        <v>244</v>
      </c>
      <c r="U34" s="379" t="s">
        <v>244</v>
      </c>
      <c r="V34" s="379" t="e">
        <f>_xll.qlMidEquivalent(T34,U34)</f>
        <v>#NUM!</v>
      </c>
      <c r="W34" s="259" t="b">
        <f t="shared" si="2"/>
        <v>0</v>
      </c>
      <c r="X34" s="383">
        <v>8.1672014308348437</v>
      </c>
      <c r="Y34" s="253"/>
      <c r="Z34" s="377">
        <v>8.2899999999999991</v>
      </c>
      <c r="AA34" s="253"/>
      <c r="AB34" s="583">
        <v>8.2899999999999991</v>
      </c>
      <c r="AC34" s="258">
        <f>_xll.qlSimpleQuoteSetValue(F34,ROUND(AB34/10000,6),Trigger)</f>
        <v>1.1999999999999966E-5</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EUR6E12E27Y_Quote#0000</v>
      </c>
      <c r="G35" s="75" t="str">
        <f>_xll.ohRangeRetrieveError(F35)</f>
        <v/>
      </c>
      <c r="H35" s="74"/>
      <c r="N35" s="122">
        <v>27</v>
      </c>
      <c r="O35" s="301" t="s">
        <v>77</v>
      </c>
      <c r="P35" s="300" t="str">
        <v>6E</v>
      </c>
      <c r="Q35" s="300" t="str">
        <v>12E</v>
      </c>
      <c r="R35" s="298" t="str">
        <f t="shared" si="1"/>
        <v>EUR6E12E27Y</v>
      </c>
      <c r="S35" s="263" t="str">
        <v>EUR6E12E27Y=ICAP</v>
      </c>
      <c r="T35" s="379" t="s">
        <v>244</v>
      </c>
      <c r="U35" s="379" t="s">
        <v>244</v>
      </c>
      <c r="V35" s="379" t="e">
        <f>_xll.qlMidEquivalent(T35,U35)</f>
        <v>#NUM!</v>
      </c>
      <c r="W35" s="259" t="b">
        <f t="shared" si="2"/>
        <v>0</v>
      </c>
      <c r="X35" s="383">
        <v>8.0406203434953678</v>
      </c>
      <c r="Y35" s="253"/>
      <c r="Z35" s="377">
        <v>8.19</v>
      </c>
      <c r="AA35" s="253"/>
      <c r="AB35" s="583">
        <v>8.19</v>
      </c>
      <c r="AC35" s="258">
        <f>_xll.qlSimpleQuoteSetValue(F35,ROUND(AB35/10000,6),Trigger)</f>
        <v>1.4999999999999931E-5</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EUR6E12E28Y_Quote#0000</v>
      </c>
      <c r="G36" s="75" t="str">
        <f>_xll.ohRangeRetrieveError(F36)</f>
        <v/>
      </c>
      <c r="H36" s="74"/>
      <c r="N36" s="122">
        <v>28</v>
      </c>
      <c r="O36" s="301" t="s">
        <v>76</v>
      </c>
      <c r="P36" s="300" t="str">
        <v>6E</v>
      </c>
      <c r="Q36" s="300" t="str">
        <v>12E</v>
      </c>
      <c r="R36" s="298" t="str">
        <f t="shared" si="1"/>
        <v>EUR6E12E28Y</v>
      </c>
      <c r="S36" s="263" t="str">
        <v>EUR6E12E28Y=ICAP</v>
      </c>
      <c r="T36" s="379" t="s">
        <v>244</v>
      </c>
      <c r="U36" s="379" t="s">
        <v>244</v>
      </c>
      <c r="V36" s="379" t="e">
        <f>_xll.qlMidEquivalent(T36,U36)</f>
        <v>#NUM!</v>
      </c>
      <c r="W36" s="259" t="b">
        <f t="shared" si="2"/>
        <v>0</v>
      </c>
      <c r="X36" s="383">
        <v>7.9204385407384699</v>
      </c>
      <c r="Y36" s="253"/>
      <c r="Z36" s="377">
        <v>8.09</v>
      </c>
      <c r="AA36" s="253"/>
      <c r="AB36" s="583">
        <v>8.09</v>
      </c>
      <c r="AC36" s="258">
        <f>_xll.qlSimpleQuoteSetValue(F36,ROUND(AB36/10000,6),Trigger)</f>
        <v>1.7000000000000088E-5</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EUR6E12E29Y_Quote#0000</v>
      </c>
      <c r="G37" s="75" t="str">
        <f>_xll.ohRangeRetrieveError(F37)</f>
        <v/>
      </c>
      <c r="H37" s="74"/>
      <c r="N37" s="122">
        <v>29</v>
      </c>
      <c r="O37" s="301" t="s">
        <v>75</v>
      </c>
      <c r="P37" s="300" t="str">
        <v>6E</v>
      </c>
      <c r="Q37" s="300" t="str">
        <v>12E</v>
      </c>
      <c r="R37" s="298" t="str">
        <f t="shared" si="1"/>
        <v>EUR6E12E29Y</v>
      </c>
      <c r="S37" s="263" t="str">
        <v>EUR6E12E29Y=ICAP</v>
      </c>
      <c r="T37" s="379" t="s">
        <v>244</v>
      </c>
      <c r="U37" s="379" t="s">
        <v>244</v>
      </c>
      <c r="V37" s="379" t="e">
        <f>_xll.qlMidEquivalent(T37,U37)</f>
        <v>#NUM!</v>
      </c>
      <c r="W37" s="259" t="b">
        <f t="shared" si="2"/>
        <v>0</v>
      </c>
      <c r="X37" s="383">
        <v>7.8068378253210478</v>
      </c>
      <c r="Y37" s="253"/>
      <c r="Z37" s="377">
        <v>7.99</v>
      </c>
      <c r="AA37" s="253"/>
      <c r="AB37" s="583">
        <v>7.99</v>
      </c>
      <c r="AC37" s="258">
        <f>_xll.qlSimpleQuoteSetValue(F37,ROUND(AB37/10000,6),Trigger)</f>
        <v>1.8000000000000004E-5</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EUR6E12E30Y_Quote#0000</v>
      </c>
      <c r="G38" s="75" t="str">
        <f>_xll.ohRangeRetrieveError(F38)</f>
        <v/>
      </c>
      <c r="H38" s="74"/>
      <c r="N38" s="122">
        <v>30</v>
      </c>
      <c r="O38" s="301" t="s">
        <v>74</v>
      </c>
      <c r="P38" s="300" t="str">
        <v>6E</v>
      </c>
      <c r="Q38" s="300" t="str">
        <v>12E</v>
      </c>
      <c r="R38" s="298" t="str">
        <f t="shared" si="1"/>
        <v>EUR6E12E30Y</v>
      </c>
      <c r="S38" s="263" t="str">
        <v>EUR6E12E30Y=ICAP</v>
      </c>
      <c r="T38" s="379">
        <v>7.7</v>
      </c>
      <c r="U38" s="379">
        <v>0</v>
      </c>
      <c r="V38" s="379">
        <f>_xll.qlMidEquivalent(T38,U38)</f>
        <v>7.7</v>
      </c>
      <c r="W38" s="259" t="b">
        <f t="shared" si="2"/>
        <v>1</v>
      </c>
      <c r="X38" s="383">
        <v>7.7</v>
      </c>
      <c r="Y38" s="381">
        <f>X28-X38</f>
        <v>1.3999999999999995</v>
      </c>
      <c r="Z38" s="377">
        <v>7.9</v>
      </c>
      <c r="AA38" s="253"/>
      <c r="AB38" s="583">
        <v>7.9</v>
      </c>
      <c r="AC38" s="258">
        <f>_xll.qlSimpleQuoteSetValue(F38,ROUND(AB38/10000,6),Trigger)</f>
        <v>2.0000000000000052E-5</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EUR6E12E35Y_Quote#0000</v>
      </c>
      <c r="G39" s="75" t="str">
        <f>_xll.ohRangeRetrieveError(F39)</f>
        <v/>
      </c>
      <c r="H39" s="74"/>
      <c r="N39" s="122">
        <v>35</v>
      </c>
      <c r="O39" s="301" t="s">
        <v>69</v>
      </c>
      <c r="P39" s="300" t="str">
        <v>6E</v>
      </c>
      <c r="Q39" s="300" t="str">
        <v>12E</v>
      </c>
      <c r="R39" s="298" t="str">
        <f t="shared" si="1"/>
        <v>EUR6E12E35Y</v>
      </c>
      <c r="S39" s="263" t="str">
        <v>EUR6E12E35Y=ICAP</v>
      </c>
      <c r="T39" s="379" t="s">
        <v>244</v>
      </c>
      <c r="U39" s="379" t="s">
        <v>244</v>
      </c>
      <c r="V39" s="379" t="e">
        <f>_xll.qlMidEquivalent(T39,U39)</f>
        <v>#NUM!</v>
      </c>
      <c r="W39" s="259" t="b">
        <f t="shared" si="2"/>
        <v>0</v>
      </c>
      <c r="X39" s="382">
        <f>X38</f>
        <v>7.7</v>
      </c>
      <c r="Y39" s="253"/>
      <c r="Z39" s="377">
        <v>7.9</v>
      </c>
      <c r="AA39" s="253"/>
      <c r="AB39" s="583">
        <v>7.9</v>
      </c>
      <c r="AC39" s="258">
        <f>_xll.qlSimpleQuoteSetValue(F39,ROUND(AB39/10000,6),Trigger)</f>
        <v>2.0000000000000052E-5</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EUR6E12E40Y_Quote#0000</v>
      </c>
      <c r="G40" s="75" t="str">
        <f>_xll.ohRangeRetrieveError(F40)</f>
        <v/>
      </c>
      <c r="H40" s="74"/>
      <c r="N40" s="122">
        <v>40</v>
      </c>
      <c r="O40" s="301" t="s">
        <v>64</v>
      </c>
      <c r="P40" s="300" t="str">
        <v>6E</v>
      </c>
      <c r="Q40" s="300" t="str">
        <v>12E</v>
      </c>
      <c r="R40" s="298" t="str">
        <f t="shared" si="1"/>
        <v>EUR6E12E40Y</v>
      </c>
      <c r="S40" s="263" t="str">
        <v>EUR6E12E40Y=ICAP</v>
      </c>
      <c r="T40" s="379">
        <v>6.9</v>
      </c>
      <c r="U40" s="379">
        <v>0</v>
      </c>
      <c r="V40" s="379">
        <f>_xll.qlMidEquivalent(T40,U40)</f>
        <v>6.9</v>
      </c>
      <c r="W40" s="259" t="b">
        <f t="shared" si="2"/>
        <v>1</v>
      </c>
      <c r="X40" s="382">
        <f>X39</f>
        <v>7.7</v>
      </c>
      <c r="Y40" s="253"/>
      <c r="Z40" s="377">
        <v>7.9</v>
      </c>
      <c r="AA40" s="253"/>
      <c r="AB40" s="583">
        <v>7.9</v>
      </c>
      <c r="AC40" s="258">
        <f>_xll.qlSimpleQuoteSetValue(F40,ROUND(AB40/10000,6),Trigger)</f>
        <v>2.0000000000000052E-5</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EUR6E12E50Y_Quote#0000</v>
      </c>
      <c r="G41" s="75" t="str">
        <f>_xll.ohRangeRetrieveError(F41)</f>
        <v/>
      </c>
      <c r="H41" s="74"/>
      <c r="N41" s="122">
        <v>50</v>
      </c>
      <c r="O41" s="301" t="s">
        <v>54</v>
      </c>
      <c r="P41" s="300" t="str">
        <v>6E</v>
      </c>
      <c r="Q41" s="300" t="str">
        <v>12E</v>
      </c>
      <c r="R41" s="298" t="str">
        <f t="shared" si="1"/>
        <v>EUR6E12E50Y</v>
      </c>
      <c r="S41" s="263" t="str">
        <v>EUR6E12E50Y=ICAP</v>
      </c>
      <c r="T41" s="379">
        <v>6.3</v>
      </c>
      <c r="U41" s="379">
        <v>0</v>
      </c>
      <c r="V41" s="379">
        <f>_xll.qlMidEquivalent(T41,U41)</f>
        <v>6.3</v>
      </c>
      <c r="W41" s="259" t="b">
        <f t="shared" si="2"/>
        <v>1</v>
      </c>
      <c r="X41" s="382">
        <f>X40</f>
        <v>7.7</v>
      </c>
      <c r="Y41" s="253"/>
      <c r="Z41" s="377">
        <v>7.9</v>
      </c>
      <c r="AA41" s="253"/>
      <c r="AB41" s="583">
        <v>7.9</v>
      </c>
      <c r="AC41" s="258">
        <f>_xll.qlSimpleQuoteSetValue(F41,ROUND(AB41/10000,6),Trigger)</f>
        <v>2.0000000000000052E-5</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EUR6E12E60Y_Quote#0000</v>
      </c>
      <c r="G42" s="75" t="str">
        <f>_xll.ohRangeRetrieveError(F42)</f>
        <v/>
      </c>
      <c r="H42" s="74"/>
      <c r="N42" s="122">
        <v>60</v>
      </c>
      <c r="O42" s="301" t="s">
        <v>44</v>
      </c>
      <c r="P42" s="300" t="str">
        <v>6E</v>
      </c>
      <c r="Q42" s="300" t="str">
        <v>12E</v>
      </c>
      <c r="R42" s="298" t="str">
        <f t="shared" si="1"/>
        <v>EUR6E12E60Y</v>
      </c>
      <c r="S42" s="263" t="str">
        <v>EUR6E12E60Y=ICAP</v>
      </c>
      <c r="T42" s="379">
        <v>6</v>
      </c>
      <c r="U42" s="379">
        <v>0</v>
      </c>
      <c r="V42" s="379">
        <f>_xll.qlMidEquivalent(T42,U42)</f>
        <v>6</v>
      </c>
      <c r="W42" s="259" t="b">
        <f t="shared" si="2"/>
        <v>1</v>
      </c>
      <c r="X42" s="382">
        <f>X41</f>
        <v>7.7</v>
      </c>
      <c r="Y42" s="253"/>
      <c r="Z42" s="377">
        <v>7.9</v>
      </c>
      <c r="AA42" s="253"/>
      <c r="AB42" s="584">
        <v>7.9</v>
      </c>
      <c r="AC42" s="250">
        <f>_xll.qlSimpleQuoteSetValue(F42,ROUND(AB42/10000,6),Trigger)</f>
        <v>2.0000000000000052E-5</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293</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3</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1">
        <f t="array" ref="O5:O22">QuoteStatic</f>
        <v>0.35</v>
      </c>
      <c r="P5" s="270">
        <f>_xll.qlSimpleQuoteSetValue(D5,O5/100,Trigger)</f>
        <v>2.4999999999999996E-3</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0.35</v>
      </c>
      <c r="N6" s="253"/>
      <c r="O6" s="324">
        <v>0.35</v>
      </c>
      <c r="P6" s="258">
        <f>_xll.qlSimpleQuoteSetValue(D6,O6/100,Trigger)</f>
        <v>2.4999999999999996E-3</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0.25</v>
      </c>
      <c r="N7" s="253"/>
      <c r="O7" s="324">
        <v>0.25</v>
      </c>
      <c r="P7" s="258">
        <f>_xll.qlSimpleQuoteSetValue(D7,O7/100,Trigger)</f>
        <v>1.5E-3</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0.25</v>
      </c>
      <c r="N8" s="253"/>
      <c r="O8" s="324">
        <v>0.25</v>
      </c>
      <c r="P8" s="258">
        <f>_xll.qlSimpleQuoteSetValue(D8,O8/100,Trigger)</f>
        <v>1.4E-3</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0.26</v>
      </c>
      <c r="N9" s="253"/>
      <c r="O9" s="324">
        <v>0.26</v>
      </c>
      <c r="P9" s="258">
        <f>_xll.qlSimpleQuoteSetValue(D9,O9/100,Trigger)</f>
        <v>1.4E-3</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0.26</v>
      </c>
      <c r="N10" s="253"/>
      <c r="O10" s="324">
        <v>0.26</v>
      </c>
      <c r="P10" s="258">
        <f>_xll.qlSimpleQuoteSetValue(D10,O10/100,Trigger)</f>
        <v>1.2999999999999999E-3</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0.27</v>
      </c>
      <c r="N11" s="253"/>
      <c r="O11" s="324">
        <v>0.27</v>
      </c>
      <c r="P11" s="258">
        <f>_xll.qlSimpleQuoteSetValue(D11,O11/100,Trigger)</f>
        <v>1.2999999999999999E-3</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0.28000000000000003</v>
      </c>
      <c r="N12" s="253"/>
      <c r="O12" s="324">
        <v>0.28000000000000003</v>
      </c>
      <c r="P12" s="258">
        <f>_xll.qlSimpleQuoteSetValue(D12,O12/100,Trigger)</f>
        <v>1.0000000000000005E-3</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0.31</v>
      </c>
      <c r="N13" s="253"/>
      <c r="O13" s="324">
        <v>0.31</v>
      </c>
      <c r="P13" s="258">
        <f>_xll.qlSimpleQuoteSetValue(D13,O13/100,Trigger)</f>
        <v>8.9999999999999976E-4</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0.33</v>
      </c>
      <c r="N14" s="253"/>
      <c r="O14" s="324">
        <v>0.33</v>
      </c>
      <c r="P14" s="258">
        <f>_xll.qlSimpleQuoteSetValue(D14,O14/100,Trigger)</f>
        <v>7.000000000000001E-4</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0.36</v>
      </c>
      <c r="N15" s="253"/>
      <c r="O15" s="324">
        <v>0.36</v>
      </c>
      <c r="P15" s="258">
        <f>_xll.qlSimpleQuoteSetValue(D15,O15/100,Trigger)</f>
        <v>5.9999999999999984E-4</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0.4</v>
      </c>
      <c r="N16" s="253"/>
      <c r="O16" s="324">
        <v>0.4</v>
      </c>
      <c r="P16" s="258">
        <f>_xll.qlSimpleQuoteSetValue(D16,O16/100,Trigger)</f>
        <v>5.9999999999999984E-4</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0.42</v>
      </c>
      <c r="N17" s="253"/>
      <c r="O17" s="324">
        <v>0.42</v>
      </c>
      <c r="P17" s="258">
        <f>_xll.qlSimpleQuoteSetValue(D17,O17/100,Trigger)</f>
        <v>4.9999999999999958E-4</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0.46</v>
      </c>
      <c r="N18" s="253"/>
      <c r="O18" s="324">
        <v>0.46</v>
      </c>
      <c r="P18" s="258">
        <f>_xll.qlSimpleQuoteSetValue(D18,O18/100,Trigger)</f>
        <v>5.0000000000000044E-4</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0.49</v>
      </c>
      <c r="N19" s="253"/>
      <c r="O19" s="324">
        <v>0.49</v>
      </c>
      <c r="P19" s="258">
        <f>_xll.qlSimpleQuoteSetValue(D19,O19/100,Trigger)</f>
        <v>4.9999999999999958E-4</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0.51</v>
      </c>
      <c r="N20" s="253"/>
      <c r="O20" s="324">
        <v>0.51</v>
      </c>
      <c r="P20" s="258">
        <f>_xll.qlSimpleQuoteSetValue(D20,O20/100,Trigger)</f>
        <v>4.0000000000000105E-4</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0.53</v>
      </c>
      <c r="N21" s="253"/>
      <c r="O21" s="324">
        <v>0.53</v>
      </c>
      <c r="P21" s="258">
        <f>_xll.qlSimpleQuoteSetValue(D21,O21/100,Trigger)</f>
        <v>2.9999999999999992E-4</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0.56999999999999995</v>
      </c>
      <c r="N22" s="253"/>
      <c r="O22" s="317">
        <v>0.56999999999999995</v>
      </c>
      <c r="P22" s="250">
        <f>_xll.qlSimpleQuoteSetValue(D22,O22/100,Trigger)</f>
        <v>3.9999999999999931E-4</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5" t="s">
        <v>293</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4"/>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3</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3" t="s">
        <v>243</v>
      </c>
      <c r="O4" s="313" t="s">
        <v>212</v>
      </c>
      <c r="P4" s="313" t="s">
        <v>227</v>
      </c>
      <c r="Q4" s="313" t="s">
        <v>242</v>
      </c>
      <c r="R4" s="279" t="s">
        <v>241</v>
      </c>
      <c r="S4" s="253"/>
      <c r="T4" s="281" t="s">
        <v>239</v>
      </c>
      <c r="U4" s="253"/>
      <c r="V4" s="536" t="s">
        <v>237</v>
      </c>
      <c r="W4" s="244" t="s">
        <v>236</v>
      </c>
      <c r="X4" s="217"/>
      <c r="Y4" s="17"/>
      <c r="Z4" s="312" t="s">
        <v>240</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1"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7"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4">
        <v>0.30599999999999999</v>
      </c>
      <c r="W7" s="258">
        <f>_xll.qlSimpleQuoteSetValue(E7,V7/100,Trigger)</f>
        <v>6.0999999999999987E-4</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4">
        <v>0.29699999999999999</v>
      </c>
      <c r="W8" s="258">
        <f>_xll.qlSimpleQuoteSetValue(E8,V8/100,Trigger)</f>
        <v>2.8999999999999989E-4</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4">
        <v>0.29399999999999998</v>
      </c>
      <c r="W9" s="258">
        <f>_xll.qlSimpleQuoteSetValue(E9,V9/100,Trigger)</f>
        <v>-4.3368086899420177E-19</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4">
        <v>0.29199999999999998</v>
      </c>
      <c r="W10" s="258">
        <f>_xll.qlSimpleQuoteSetValue(E10,V10/100,Trigger)</f>
        <v>-1.9000000000000006E-4</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4">
        <v>0.28999999999999998</v>
      </c>
      <c r="W11" s="258">
        <f>_xll.qlSimpleQuoteSetValue(E11,V11/100,Trigger)</f>
        <v>-4.199999999999998E-4</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4">
        <v>0.29199999999999998</v>
      </c>
      <c r="W12" s="258">
        <f>_xll.qlSimpleQuoteSetValue(E12,V12/100,Trigger)</f>
        <v>-5.9999999999999984E-4</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1"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7"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4">
        <v>0.40200000000000002</v>
      </c>
      <c r="W15" s="258">
        <f>_xll.qlSimpleQuoteSetValue(E15,V15/100,Trigger)</f>
        <v>3.0000000000000035E-4</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4">
        <v>0.4</v>
      </c>
      <c r="W16" s="258">
        <f>_xll.qlSimpleQuoteSetValue(E16,V16/100,Trigger)</f>
        <v>4.0000000000000105E-5</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4">
        <v>0.40100000000000002</v>
      </c>
      <c r="W17" s="258">
        <f>_xll.qlSimpleQuoteSetValue(E17,V17/100,Trigger)</f>
        <v>-2.7000000000000027E-4</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4">
        <v>0.40300000000000002</v>
      </c>
      <c r="W18" s="258">
        <f>_xll.qlSimpleQuoteSetValue(E18,V18/100,Trigger)</f>
        <v>-4.7999999999999866E-4</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4">
        <v>0.40500000000000003</v>
      </c>
      <c r="W19" s="258">
        <f>_xll.qlSimpleQuoteSetValue(E19,V19/100,Trigger)</f>
        <v>-7.1999999999999929E-4</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4">
        <v>0.41399999999999998</v>
      </c>
      <c r="W20" s="258">
        <f>_xll.qlSimpleQuoteSetValue(E20,V20/100,Trigger)</f>
        <v>-8.6000000000000052E-4</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4">
        <v>0.42099999999999999</v>
      </c>
      <c r="W21" s="258">
        <f>_xll.qlSimpleQuoteSetValue(E21,V21/100,Trigger)</f>
        <v>-1.0499999999999997E-3</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4">
        <v>0.43</v>
      </c>
      <c r="W22" s="258">
        <f>_xll.qlSimpleQuoteSetValue(E22,V22/100,Trigger)</f>
        <v>-1.2000000000000005E-3</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4">
        <v>0.443</v>
      </c>
      <c r="W23" s="258">
        <f>_xll.qlSimpleQuoteSetValue(E23,V23/100,Trigger)</f>
        <v>-1.32E-3</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4">
        <v>0.45700000000000002</v>
      </c>
      <c r="W24" s="258">
        <f>_xll.qlSimpleQuoteSetValue(E24,V24/100,Trigger)</f>
        <v>-1.3999999999999993E-3</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4">
        <v>0.47</v>
      </c>
      <c r="W25" s="258">
        <f>_xll.qlSimpleQuoteSetValue(E25,V25/100,Trigger)</f>
        <v>-1.530000000000001E-3</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4">
        <v>0.48799999999999999</v>
      </c>
      <c r="W26" s="258">
        <f>_xll.qlSimpleQuoteSetValue(E26,V26/100,Trigger)</f>
        <v>-1.5900000000000003E-3</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4">
        <v>0.50800000000000001</v>
      </c>
      <c r="W27" s="258">
        <f>_xll.qlSimpleQuoteSetValue(E27,V27/100,Trigger)</f>
        <v>-1.5900000000000003E-3</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4">
        <v>0.52500000000000002</v>
      </c>
      <c r="W28" s="258">
        <f>_xll.qlSimpleQuoteSetValue(E28,V28/100,Trigger)</f>
        <v>-1.6499999999999996E-3</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4">
        <v>0.54900000000000004</v>
      </c>
      <c r="W29" s="258">
        <f>_xll.qlSimpleQuoteSetValue(E29,V29/100,Trigger)</f>
        <v>-1.64E-3</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4">
        <v>0.57299999999999995</v>
      </c>
      <c r="W30" s="258">
        <f>_xll.qlSimpleQuoteSetValue(E30,V30/100,Trigger)</f>
        <v>-1.6199999999999999E-3</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4">
        <v>0.59799999999999998</v>
      </c>
      <c r="W31" s="258">
        <f>_xll.qlSimpleQuoteSetValue(E31,V31/100,Trigger)</f>
        <v>-1.6300000000000004E-3</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4">
        <v>0.629</v>
      </c>
      <c r="W32" s="258">
        <f>_xll.qlSimpleQuoteSetValue(E32,V32/100,Trigger)</f>
        <v>-1.5499999999999993E-3</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37">
        <v>0.67400000000000004</v>
      </c>
      <c r="W33" s="535">
        <f>_xll.qlSimpleQuoteSetValue(E35,V33/100,Trigger)</f>
        <v>-1.8999999999999998E-3</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R2" sqref="R2"/>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30" width="9.140625" style="68"/>
    <col min="31" max="31" width="2.7109375" style="68" customWidth="1"/>
    <col min="32" max="16384" width="9.140625" style="68"/>
  </cols>
  <sheetData>
    <row r="1" spans="1:32" x14ac:dyDescent="0.2">
      <c r="J1" s="288" t="s">
        <v>293</v>
      </c>
      <c r="K1" s="199"/>
      <c r="L1" s="199"/>
      <c r="M1" s="199"/>
      <c r="N1" s="199"/>
      <c r="O1" s="199"/>
      <c r="P1" s="199"/>
      <c r="Q1" s="199"/>
      <c r="R1" s="199"/>
      <c r="S1" s="199"/>
      <c r="T1" s="199"/>
      <c r="U1" s="199"/>
      <c r="V1" s="340"/>
      <c r="W1" s="340"/>
      <c r="X1" s="199"/>
      <c r="Y1" s="199"/>
      <c r="Z1" s="199"/>
      <c r="AA1" s="339"/>
      <c r="AB1" s="17"/>
      <c r="AC1" s="17"/>
      <c r="AD1" s="17"/>
      <c r="AE1" s="17"/>
      <c r="AF1" s="17"/>
    </row>
    <row r="2" spans="1:32" x14ac:dyDescent="0.2">
      <c r="J2" s="287"/>
      <c r="K2" s="137"/>
      <c r="L2" s="286"/>
      <c r="M2" s="286"/>
      <c r="N2" s="137"/>
      <c r="O2" s="137"/>
      <c r="P2" s="137"/>
      <c r="Q2" s="137"/>
      <c r="R2" s="137"/>
      <c r="S2" s="137"/>
      <c r="T2" s="137"/>
      <c r="U2" s="137"/>
      <c r="V2" s="253"/>
      <c r="W2" s="253"/>
      <c r="X2" s="137"/>
      <c r="Y2" s="253"/>
      <c r="Z2" s="137"/>
      <c r="AA2" s="338"/>
      <c r="AB2" s="17"/>
      <c r="AC2" s="17"/>
      <c r="AD2" s="17"/>
      <c r="AE2" s="17"/>
      <c r="AF2" s="17"/>
    </row>
    <row r="3" spans="1:32" ht="12" thickBot="1" x14ac:dyDescent="0.25">
      <c r="J3" s="287"/>
      <c r="K3" s="137"/>
      <c r="L3" s="137"/>
      <c r="M3" s="137"/>
      <c r="N3" s="137"/>
      <c r="O3" s="137"/>
      <c r="P3" s="137"/>
      <c r="Q3" s="137"/>
      <c r="R3" s="137"/>
      <c r="S3" s="137"/>
      <c r="T3" s="137"/>
      <c r="U3" s="137"/>
      <c r="V3" s="253"/>
      <c r="W3" s="253"/>
      <c r="X3" s="137"/>
      <c r="Y3" s="137"/>
      <c r="Z3" s="137"/>
      <c r="AA3" s="338"/>
      <c r="AB3" s="17"/>
      <c r="AC3" s="17"/>
      <c r="AD3" s="17"/>
      <c r="AE3" s="17"/>
      <c r="AF3" s="17"/>
    </row>
    <row r="4" spans="1:32"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137"/>
      <c r="Z4" s="284">
        <f>_xll.ohTrigger(Z6:Z17)</f>
        <v>3</v>
      </c>
      <c r="AA4" s="338"/>
      <c r="AB4" s="17"/>
      <c r="AC4" s="17"/>
      <c r="AD4" s="17"/>
      <c r="AE4" s="17"/>
      <c r="AF4" s="17"/>
    </row>
    <row r="5" spans="1:32"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7" t="s">
        <v>174</v>
      </c>
      <c r="L5" s="313" t="s">
        <v>173</v>
      </c>
      <c r="M5" s="313" t="s">
        <v>172</v>
      </c>
      <c r="N5" s="313" t="s">
        <v>249</v>
      </c>
      <c r="O5" s="283" t="e">
        <f ca="1">_xll.RData(O6:O17,P5:T5,,ReutersRtMode,,P6)</f>
        <v>#NAME?</v>
      </c>
      <c r="P5" s="313" t="s">
        <v>248</v>
      </c>
      <c r="Q5" s="313" t="s">
        <v>243</v>
      </c>
      <c r="R5" s="313" t="s">
        <v>212</v>
      </c>
      <c r="S5" s="313" t="s">
        <v>227</v>
      </c>
      <c r="T5" s="313" t="s">
        <v>242</v>
      </c>
      <c r="U5" s="279" t="s">
        <v>241</v>
      </c>
      <c r="V5" s="253"/>
      <c r="W5" s="281" t="s">
        <v>239</v>
      </c>
      <c r="X5" s="253"/>
      <c r="Y5" s="585" t="s">
        <v>237</v>
      </c>
      <c r="Z5" s="282" t="s">
        <v>236</v>
      </c>
      <c r="AA5" s="49"/>
      <c r="AB5" s="17"/>
      <c r="AC5" s="208" t="s">
        <v>247</v>
      </c>
      <c r="AD5" s="206" t="s">
        <v>246</v>
      </c>
      <c r="AE5" s="17"/>
      <c r="AF5" s="312" t="s">
        <v>240</v>
      </c>
    </row>
    <row r="6" spans="1:32"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EURFUT1MG4_Quote#0000</v>
      </c>
      <c r="G6" s="147" t="str">
        <f>_xll.ohRangeRetrieveError(F6)</f>
        <v/>
      </c>
      <c r="H6" s="141"/>
      <c r="J6" s="323"/>
      <c r="K6" s="336">
        <v>1</v>
      </c>
      <c r="L6" s="335" t="b">
        <v>0</v>
      </c>
      <c r="M6" s="271" t="str">
        <f t="array" ref="M6:M17">_xll.qlIMMcode(FuturesDates)</f>
        <v>G4</v>
      </c>
      <c r="N6" s="334">
        <f t="array" ref="N6:N17">_xll.qlIMMNextDates(_xll.qlSettingsEvaluationDate(Trigger)-1,$L6:$L17)</f>
        <v>41689</v>
      </c>
      <c r="O6" s="271" t="str">
        <f t="array" ref="O6:O17">VLOOKUP(Currency,LiffeCodes,2)&amp;FuturesCodes</f>
        <v>G4</v>
      </c>
      <c r="P6" s="333" t="s">
        <v>244</v>
      </c>
      <c r="Q6" s="271" t="s">
        <v>244</v>
      </c>
      <c r="R6" s="271" t="s">
        <v>244</v>
      </c>
      <c r="S6" s="271" t="s">
        <v>244</v>
      </c>
      <c r="T6" s="271" t="s">
        <v>244</v>
      </c>
      <c r="U6" s="274" t="e">
        <f>_xll.qlMidSafe($Q6,$R6)</f>
        <v>#NUM!</v>
      </c>
      <c r="V6" s="253"/>
      <c r="W6" s="332" t="e">
        <v>#NUM!</v>
      </c>
      <c r="X6" s="253"/>
      <c r="Y6" s="331" t="e">
        <f t="array" ref="Y6:Y17">QuoteStatic</f>
        <v>#NUM!</v>
      </c>
      <c r="Z6" s="274" t="e">
        <f>_xll.qlSimpleQuoteSetValue(F6,Y6,Trigger)</f>
        <v>#NUM!</v>
      </c>
      <c r="AA6" s="49"/>
      <c r="AB6" s="17"/>
      <c r="AC6" s="86" t="s">
        <v>124</v>
      </c>
      <c r="AD6" s="84"/>
      <c r="AE6" s="17"/>
      <c r="AF6" s="290" t="e">
        <f t="shared" ref="AF6:AF17" si="1">(R6-U6)/50</f>
        <v>#VALUE!</v>
      </c>
    </row>
    <row r="7" spans="1:32" x14ac:dyDescent="0.2">
      <c r="A7" s="146"/>
      <c r="B7" s="107">
        <v>2</v>
      </c>
      <c r="C7" s="145" t="b">
        <v>0</v>
      </c>
      <c r="D7" s="144" t="str">
        <v>H4</v>
      </c>
      <c r="E7" s="143" t="str">
        <f t="shared" si="0"/>
        <v>EURFUT1MH4_Quote</v>
      </c>
      <c r="F7" s="142" t="str">
        <f>_xll.qlSimpleQuote(E7,,PriceTickValue,Permanent,Trigger,ObjectOverwrite)</f>
        <v>EURFUT1MH4_Quote#0000</v>
      </c>
      <c r="G7" s="105" t="str">
        <f>_xll.ohRangeRetrieveError(F7)</f>
        <v/>
      </c>
      <c r="H7" s="141"/>
      <c r="J7" s="323"/>
      <c r="K7" s="329">
        <v>2</v>
      </c>
      <c r="L7" s="328" t="b">
        <v>0</v>
      </c>
      <c r="M7" s="259" t="str">
        <v>H4</v>
      </c>
      <c r="N7" s="327">
        <v>41717</v>
      </c>
      <c r="O7" s="259" t="str">
        <v>H4</v>
      </c>
      <c r="P7" s="326" t="s">
        <v>244</v>
      </c>
      <c r="Q7" s="259" t="s">
        <v>244</v>
      </c>
      <c r="R7" s="259" t="s">
        <v>244</v>
      </c>
      <c r="S7" s="259" t="s">
        <v>244</v>
      </c>
      <c r="T7" s="259" t="s">
        <v>244</v>
      </c>
      <c r="U7" s="262" t="e">
        <f>_xll.qlMidSafe($Q7,$R7)</f>
        <v>#NUM!</v>
      </c>
      <c r="V7" s="253"/>
      <c r="W7" s="330" t="e">
        <v>#NUM!</v>
      </c>
      <c r="X7" s="253"/>
      <c r="Y7" s="324" t="e">
        <v>#NUM!</v>
      </c>
      <c r="Z7" s="262" t="e">
        <f>_xll.qlSimpleQuoteSetValue(F7,Y7,Trigger)</f>
        <v>#NUM!</v>
      </c>
      <c r="AA7" s="49"/>
      <c r="AB7" s="17"/>
      <c r="AC7" s="86" t="s">
        <v>110</v>
      </c>
      <c r="AD7" s="84"/>
      <c r="AE7" s="17"/>
      <c r="AF7" s="290" t="e">
        <f t="shared" si="1"/>
        <v>#VALUE!</v>
      </c>
    </row>
    <row r="8" spans="1:32" x14ac:dyDescent="0.2">
      <c r="A8" s="146"/>
      <c r="B8" s="107">
        <v>3</v>
      </c>
      <c r="C8" s="145" t="b">
        <v>0</v>
      </c>
      <c r="D8" s="144" t="str">
        <v>J4</v>
      </c>
      <c r="E8" s="143" t="str">
        <f t="shared" si="0"/>
        <v>EURFUT1MJ4_Quote</v>
      </c>
      <c r="F8" s="142" t="str">
        <f>_xll.qlSimpleQuote(E8,,PriceTickValue,Permanent,Trigger,ObjectOverwrite)</f>
        <v>EURFUT1MJ4_Quote#0000</v>
      </c>
      <c r="G8" s="105" t="str">
        <f>_xll.ohRangeRetrieveError(F8)</f>
        <v/>
      </c>
      <c r="H8" s="141"/>
      <c r="J8" s="323"/>
      <c r="K8" s="329">
        <v>3</v>
      </c>
      <c r="L8" s="328" t="b">
        <v>0</v>
      </c>
      <c r="M8" s="259" t="str">
        <v>J4</v>
      </c>
      <c r="N8" s="327">
        <v>41745</v>
      </c>
      <c r="O8" s="259" t="str">
        <v>J4</v>
      </c>
      <c r="P8" s="326" t="s">
        <v>244</v>
      </c>
      <c r="Q8" s="259" t="s">
        <v>244</v>
      </c>
      <c r="R8" s="259" t="s">
        <v>244</v>
      </c>
      <c r="S8" s="259" t="s">
        <v>244</v>
      </c>
      <c r="T8" s="259" t="s">
        <v>244</v>
      </c>
      <c r="U8" s="262" t="e">
        <f>_xll.qlMidSafe($Q8,$R8)</f>
        <v>#NUM!</v>
      </c>
      <c r="V8" s="253"/>
      <c r="W8" s="330" t="e">
        <v>#NUM!</v>
      </c>
      <c r="X8" s="253"/>
      <c r="Y8" s="324" t="e">
        <v>#NUM!</v>
      </c>
      <c r="Z8" s="262" t="e">
        <f>_xll.qlSimpleQuoteSetValue(F8,Y8,Trigger)</f>
        <v>#NUM!</v>
      </c>
      <c r="AA8" s="49"/>
      <c r="AB8" s="17"/>
      <c r="AC8" s="86" t="s">
        <v>121</v>
      </c>
      <c r="AD8" s="84"/>
      <c r="AE8" s="17"/>
      <c r="AF8" s="290" t="e">
        <f t="shared" si="1"/>
        <v>#VALUE!</v>
      </c>
    </row>
    <row r="9" spans="1:32" x14ac:dyDescent="0.2">
      <c r="A9" s="146"/>
      <c r="B9" s="107">
        <v>4</v>
      </c>
      <c r="C9" s="145" t="b">
        <v>0</v>
      </c>
      <c r="D9" s="144" t="str">
        <v>K4</v>
      </c>
      <c r="E9" s="143" t="str">
        <f t="shared" si="0"/>
        <v>EURFUT1MK4_Quote</v>
      </c>
      <c r="F9" s="142" t="str">
        <f>_xll.qlSimpleQuote(E9,,PriceTickValue,Permanent,Trigger,ObjectOverwrite)</f>
        <v>EURFUT1MK4_Quote#0000</v>
      </c>
      <c r="G9" s="105" t="str">
        <f>_xll.ohRangeRetrieveError(F9)</f>
        <v/>
      </c>
      <c r="H9" s="141"/>
      <c r="J9" s="323"/>
      <c r="K9" s="329">
        <v>4</v>
      </c>
      <c r="L9" s="328" t="b">
        <v>0</v>
      </c>
      <c r="M9" s="259" t="str">
        <v>K4</v>
      </c>
      <c r="N9" s="327">
        <v>41780</v>
      </c>
      <c r="O9" s="259" t="str">
        <v>K4</v>
      </c>
      <c r="P9" s="326" t="s">
        <v>244</v>
      </c>
      <c r="Q9" s="259" t="s">
        <v>244</v>
      </c>
      <c r="R9" s="259" t="s">
        <v>244</v>
      </c>
      <c r="S9" s="259" t="s">
        <v>244</v>
      </c>
      <c r="T9" s="259" t="s">
        <v>244</v>
      </c>
      <c r="U9" s="262" t="e">
        <f>_xll.qlMidSafe($Q9,$R9)</f>
        <v>#NUM!</v>
      </c>
      <c r="V9" s="253"/>
      <c r="W9" s="330" t="e">
        <v>#NUM!</v>
      </c>
      <c r="X9" s="253"/>
      <c r="Y9" s="324" t="e">
        <v>#NUM!</v>
      </c>
      <c r="Z9" s="262" t="e">
        <f>_xll.qlSimpleQuoteSetValue(F9,Y9,Trigger)</f>
        <v>#NUM!</v>
      </c>
      <c r="AA9" s="49"/>
      <c r="AB9" s="17"/>
      <c r="AC9" s="86" t="s">
        <v>120</v>
      </c>
      <c r="AD9" s="84"/>
      <c r="AE9" s="17"/>
      <c r="AF9" s="290" t="e">
        <f t="shared" si="1"/>
        <v>#VALUE!</v>
      </c>
    </row>
    <row r="10" spans="1:32" ht="12" thickBot="1" x14ac:dyDescent="0.25">
      <c r="A10" s="146"/>
      <c r="B10" s="107">
        <v>5</v>
      </c>
      <c r="C10" s="145" t="b">
        <v>0</v>
      </c>
      <c r="D10" s="144" t="str">
        <v>M4</v>
      </c>
      <c r="E10" s="143" t="str">
        <f t="shared" si="0"/>
        <v>EURFUT1MM4_Quote</v>
      </c>
      <c r="F10" s="142" t="str">
        <f>_xll.qlSimpleQuote(E10,,PriceTickValue,Permanent,Trigger,ObjectOverwrite)</f>
        <v>EURFUT1MM4_Quote#0000</v>
      </c>
      <c r="G10" s="105" t="str">
        <f>_xll.ohRangeRetrieveError(F10)</f>
        <v/>
      </c>
      <c r="H10" s="141"/>
      <c r="J10" s="323"/>
      <c r="K10" s="329">
        <v>5</v>
      </c>
      <c r="L10" s="328" t="b">
        <v>0</v>
      </c>
      <c r="M10" s="259" t="str">
        <v>M4</v>
      </c>
      <c r="N10" s="327">
        <v>41808</v>
      </c>
      <c r="O10" s="259" t="str">
        <v>M4</v>
      </c>
      <c r="P10" s="326" t="s">
        <v>244</v>
      </c>
      <c r="Q10" s="259" t="s">
        <v>244</v>
      </c>
      <c r="R10" s="259" t="s">
        <v>244</v>
      </c>
      <c r="S10" s="259" t="s">
        <v>244</v>
      </c>
      <c r="T10" s="259" t="s">
        <v>244</v>
      </c>
      <c r="U10" s="262" t="e">
        <f>_xll.qlMidSafe($Q10,$R10)</f>
        <v>#NUM!</v>
      </c>
      <c r="V10" s="253"/>
      <c r="W10" s="325" t="e">
        <v>#NUM!</v>
      </c>
      <c r="X10" s="253"/>
      <c r="Y10" s="324" t="e">
        <v>#NUM!</v>
      </c>
      <c r="Z10" s="262" t="e">
        <f>_xll.qlSimpleQuoteSetValue(F10,Y10,Trigger)</f>
        <v>#NUM!</v>
      </c>
      <c r="AA10" s="49"/>
      <c r="AB10" s="17"/>
      <c r="AC10" s="83" t="s">
        <v>118</v>
      </c>
      <c r="AD10" s="81" t="s">
        <v>245</v>
      </c>
      <c r="AE10" s="17"/>
      <c r="AF10" s="290" t="e">
        <f t="shared" si="1"/>
        <v>#VALUE!</v>
      </c>
    </row>
    <row r="11" spans="1:32" x14ac:dyDescent="0.2">
      <c r="A11" s="146"/>
      <c r="B11" s="107">
        <v>6</v>
      </c>
      <c r="C11" s="145" t="b">
        <v>0</v>
      </c>
      <c r="D11" s="144" t="str">
        <v>N4</v>
      </c>
      <c r="E11" s="143" t="str">
        <f t="shared" si="0"/>
        <v>EURFUT1MN4_Quote</v>
      </c>
      <c r="F11" s="142" t="str">
        <f>_xll.qlSimpleQuote(E11,,PriceTickValue,Permanent,Trigger,ObjectOverwrite)</f>
        <v>EURFUT1MN4_Quote#0000</v>
      </c>
      <c r="G11" s="105" t="str">
        <f>_xll.ohRangeRetrieveError(F11)</f>
        <v/>
      </c>
      <c r="H11" s="141"/>
      <c r="J11" s="323"/>
      <c r="K11" s="329">
        <v>6</v>
      </c>
      <c r="L11" s="328" t="b">
        <v>0</v>
      </c>
      <c r="M11" s="259" t="str">
        <v>N4</v>
      </c>
      <c r="N11" s="327">
        <v>41836</v>
      </c>
      <c r="O11" s="259" t="str">
        <v>N4</v>
      </c>
      <c r="P11" s="326" t="s">
        <v>244</v>
      </c>
      <c r="Q11" s="259" t="s">
        <v>244</v>
      </c>
      <c r="R11" s="259" t="s">
        <v>244</v>
      </c>
      <c r="S11" s="259" t="s">
        <v>244</v>
      </c>
      <c r="T11" s="259" t="s">
        <v>244</v>
      </c>
      <c r="U11" s="262" t="e">
        <f>_xll.qlMidSafe($Q11,$R11)</f>
        <v>#NUM!</v>
      </c>
      <c r="V11" s="253"/>
      <c r="W11" s="325" t="e">
        <v>#NUM!</v>
      </c>
      <c r="X11" s="253"/>
      <c r="Y11" s="324" t="e">
        <v>#NUM!</v>
      </c>
      <c r="Z11" s="262" t="e">
        <f>_xll.qlSimpleQuoteSetValue(F11,Y11,Trigger)</f>
        <v>#NUM!</v>
      </c>
      <c r="AA11" s="49"/>
      <c r="AB11" s="17"/>
      <c r="AC11" s="17"/>
      <c r="AD11" s="17"/>
      <c r="AE11" s="17"/>
      <c r="AF11" s="290" t="e">
        <f t="shared" si="1"/>
        <v>#VALUE!</v>
      </c>
    </row>
    <row r="12" spans="1:32" x14ac:dyDescent="0.2">
      <c r="A12" s="146"/>
      <c r="B12" s="107">
        <v>7</v>
      </c>
      <c r="C12" s="145" t="b">
        <v>0</v>
      </c>
      <c r="D12" s="144" t="str">
        <v>Q4</v>
      </c>
      <c r="E12" s="143" t="str">
        <f t="shared" si="0"/>
        <v>EURFUT1MQ4_Quote</v>
      </c>
      <c r="F12" s="142" t="str">
        <f>_xll.qlSimpleQuote(E12,,PriceTickValue,Permanent,Trigger,ObjectOverwrite)</f>
        <v>EURFUT1MQ4_Quote#0000</v>
      </c>
      <c r="G12" s="105" t="str">
        <f>_xll.ohRangeRetrieveError(F12)</f>
        <v/>
      </c>
      <c r="H12" s="141"/>
      <c r="J12" s="323"/>
      <c r="K12" s="329">
        <v>7</v>
      </c>
      <c r="L12" s="328" t="b">
        <v>0</v>
      </c>
      <c r="M12" s="259" t="str">
        <v>Q4</v>
      </c>
      <c r="N12" s="327">
        <v>41871</v>
      </c>
      <c r="O12" s="259" t="str">
        <v>Q4</v>
      </c>
      <c r="P12" s="326" t="s">
        <v>244</v>
      </c>
      <c r="Q12" s="259" t="s">
        <v>244</v>
      </c>
      <c r="R12" s="259" t="s">
        <v>244</v>
      </c>
      <c r="S12" s="259" t="s">
        <v>244</v>
      </c>
      <c r="T12" s="259" t="s">
        <v>244</v>
      </c>
      <c r="U12" s="262" t="e">
        <f>_xll.qlMidSafe($Q12,$R12)</f>
        <v>#NUM!</v>
      </c>
      <c r="V12" s="253"/>
      <c r="W12" s="325" t="e">
        <v>#NUM!</v>
      </c>
      <c r="X12" s="253"/>
      <c r="Y12" s="324" t="e">
        <v>#NUM!</v>
      </c>
      <c r="Z12" s="262" t="e">
        <f>_xll.qlSimpleQuoteSetValue(F12,Y12,Trigger)</f>
        <v>#NUM!</v>
      </c>
      <c r="AA12" s="49"/>
      <c r="AB12" s="17"/>
      <c r="AC12" s="17"/>
      <c r="AD12" s="17"/>
      <c r="AE12" s="17"/>
      <c r="AF12" s="290" t="e">
        <f t="shared" si="1"/>
        <v>#VALUE!</v>
      </c>
    </row>
    <row r="13" spans="1:32" x14ac:dyDescent="0.2">
      <c r="A13" s="146"/>
      <c r="B13" s="107">
        <v>8</v>
      </c>
      <c r="C13" s="145" t="b">
        <v>0</v>
      </c>
      <c r="D13" s="144" t="str">
        <v>U4</v>
      </c>
      <c r="E13" s="143" t="str">
        <f t="shared" si="0"/>
        <v>EURFUT1MU4_Quote</v>
      </c>
      <c r="F13" s="142" t="str">
        <f>_xll.qlSimpleQuote(E13,,PriceTickValue,Permanent,Trigger,ObjectOverwrite)</f>
        <v>EURFUT1MU4_Quote#0000</v>
      </c>
      <c r="G13" s="105" t="str">
        <f>_xll.ohRangeRetrieveError(F13)</f>
        <v/>
      </c>
      <c r="H13" s="141"/>
      <c r="J13" s="323"/>
      <c r="K13" s="329">
        <v>8</v>
      </c>
      <c r="L13" s="328" t="b">
        <v>0</v>
      </c>
      <c r="M13" s="259" t="str">
        <v>U4</v>
      </c>
      <c r="N13" s="327">
        <v>41899</v>
      </c>
      <c r="O13" s="259" t="str">
        <v>U4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row>
    <row r="14" spans="1:32" x14ac:dyDescent="0.2">
      <c r="A14" s="146"/>
      <c r="B14" s="107">
        <v>9</v>
      </c>
      <c r="C14" s="145" t="b">
        <v>0</v>
      </c>
      <c r="D14" s="144" t="str">
        <v>V4</v>
      </c>
      <c r="E14" s="143" t="str">
        <f t="shared" si="0"/>
        <v>EURFUT1MV4_Quote</v>
      </c>
      <c r="F14" s="142" t="str">
        <f>_xll.qlSimpleQuote(E14,,PriceTickValue,Permanent,Trigger,ObjectOverwrite)</f>
        <v>EURFUT1MV4_Quote#0000</v>
      </c>
      <c r="G14" s="105" t="str">
        <f>_xll.ohRangeRetrieveError(F14)</f>
        <v/>
      </c>
      <c r="H14" s="141"/>
      <c r="J14" s="323"/>
      <c r="K14" s="329">
        <v>9</v>
      </c>
      <c r="L14" s="328" t="b">
        <v>0</v>
      </c>
      <c r="M14" s="259" t="str">
        <v>V4</v>
      </c>
      <c r="N14" s="327">
        <v>41927</v>
      </c>
      <c r="O14" s="259" t="str">
        <v>V4</v>
      </c>
      <c r="P14" s="326" t="s">
        <v>244</v>
      </c>
      <c r="Q14" s="259" t="s">
        <v>244</v>
      </c>
      <c r="R14" s="259" t="s">
        <v>244</v>
      </c>
      <c r="S14" s="259" t="s">
        <v>244</v>
      </c>
      <c r="T14" s="259" t="s">
        <v>244</v>
      </c>
      <c r="U14" s="262" t="e">
        <f>_xll.qlMidSafe($Q14,$R14)</f>
        <v>#NUM!</v>
      </c>
      <c r="V14" s="253"/>
      <c r="W14" s="325" t="e">
        <v>#NUM!</v>
      </c>
      <c r="X14" s="253"/>
      <c r="Y14" s="324" t="e">
        <v>#NUM!</v>
      </c>
      <c r="Z14" s="262" t="e">
        <f>_xll.qlSimpleQuoteSetValue(F14,Y14,Trigger)</f>
        <v>#NUM!</v>
      </c>
      <c r="AA14" s="49"/>
      <c r="AB14" s="17"/>
      <c r="AC14" s="17"/>
      <c r="AD14" s="17"/>
      <c r="AE14" s="17"/>
      <c r="AF14" s="290" t="e">
        <f t="shared" si="1"/>
        <v>#VALUE!</v>
      </c>
    </row>
    <row r="15" spans="1:32" x14ac:dyDescent="0.2">
      <c r="A15" s="146"/>
      <c r="B15" s="107">
        <v>10</v>
      </c>
      <c r="C15" s="145" t="b">
        <v>0</v>
      </c>
      <c r="D15" s="144" t="str">
        <v>X4</v>
      </c>
      <c r="E15" s="143" t="str">
        <f t="shared" si="0"/>
        <v>EURFUT1MX4_Quote</v>
      </c>
      <c r="F15" s="142" t="str">
        <f>_xll.qlSimpleQuote(E15,,PriceTickValue,Permanent,Trigger,ObjectOverwrite)</f>
        <v>EURFUT1MX4_Quote#0000</v>
      </c>
      <c r="G15" s="105" t="str">
        <f>_xll.ohRangeRetrieveError(F15)</f>
        <v/>
      </c>
      <c r="H15" s="141"/>
      <c r="J15" s="323"/>
      <c r="K15" s="329">
        <v>10</v>
      </c>
      <c r="L15" s="328" t="b">
        <v>0</v>
      </c>
      <c r="M15" s="259" t="str">
        <v>X4</v>
      </c>
      <c r="N15" s="327">
        <v>41962</v>
      </c>
      <c r="O15" s="259" t="str">
        <v>X4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row>
    <row r="16" spans="1:32" x14ac:dyDescent="0.2">
      <c r="A16" s="146"/>
      <c r="B16" s="107">
        <v>11</v>
      </c>
      <c r="C16" s="145" t="b">
        <v>0</v>
      </c>
      <c r="D16" s="144" t="str">
        <v>Z4</v>
      </c>
      <c r="E16" s="143" t="str">
        <f t="shared" si="0"/>
        <v>EURFUT1MZ4_Quote</v>
      </c>
      <c r="F16" s="142" t="str">
        <f>_xll.qlSimpleQuote(E16,,PriceTickValue,Permanent,Trigger,ObjectOverwrite)</f>
        <v>EURFUT1MZ4_Quote#0000</v>
      </c>
      <c r="G16" s="105" t="str">
        <f>_xll.ohRangeRetrieveError(F16)</f>
        <v/>
      </c>
      <c r="H16" s="141"/>
      <c r="J16" s="323"/>
      <c r="K16" s="329">
        <v>11</v>
      </c>
      <c r="L16" s="328" t="b">
        <v>0</v>
      </c>
      <c r="M16" s="259" t="str">
        <v>Z4</v>
      </c>
      <c r="N16" s="327">
        <v>41990</v>
      </c>
      <c r="O16" s="259" t="str">
        <v>Z4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row>
    <row r="17" spans="1:32" x14ac:dyDescent="0.2">
      <c r="A17" s="146"/>
      <c r="B17" s="107">
        <v>12</v>
      </c>
      <c r="C17" s="145" t="b">
        <v>0</v>
      </c>
      <c r="D17" s="144" t="str">
        <v>F5</v>
      </c>
      <c r="E17" s="143" t="str">
        <f t="shared" si="0"/>
        <v>EURFUT1MF5_Quote</v>
      </c>
      <c r="F17" s="142" t="str">
        <f>_xll.qlSimpleQuote(E17,,PriceTickValue,Permanent,Trigger,ObjectOverwrite)</f>
        <v>EURFUT1MF5_Quote#0000</v>
      </c>
      <c r="G17" s="105" t="str">
        <f>_xll.ohRangeRetrieveError(F17)</f>
        <v/>
      </c>
      <c r="H17" s="141"/>
      <c r="J17" s="323"/>
      <c r="K17" s="322">
        <v>12</v>
      </c>
      <c r="L17" s="321" t="b">
        <v>0</v>
      </c>
      <c r="M17" s="251" t="str">
        <v>F5</v>
      </c>
      <c r="N17" s="320">
        <v>42025</v>
      </c>
      <c r="O17" s="251" t="str">
        <v>F5</v>
      </c>
      <c r="P17" s="319" t="s">
        <v>244</v>
      </c>
      <c r="Q17" s="251" t="s">
        <v>244</v>
      </c>
      <c r="R17" s="251" t="s">
        <v>244</v>
      </c>
      <c r="S17" s="251" t="s">
        <v>244</v>
      </c>
      <c r="T17" s="251" t="s">
        <v>244</v>
      </c>
      <c r="U17" s="255" t="e">
        <f>_xll.qlMidSafe($Q17,$R17)</f>
        <v>#NUM!</v>
      </c>
      <c r="V17" s="253"/>
      <c r="W17" s="318" t="e">
        <v>#NUM!</v>
      </c>
      <c r="X17" s="253"/>
      <c r="Y17" s="317" t="e">
        <v>#NUM!</v>
      </c>
      <c r="Z17" s="255" t="e">
        <f>_xll.qlSimpleQuoteSetValue(F17,Y17,Trigger)</f>
        <v>#NUM!</v>
      </c>
      <c r="AA17" s="49"/>
      <c r="AB17" s="17"/>
      <c r="AC17" s="17"/>
      <c r="AD17" s="17"/>
      <c r="AE17" s="17"/>
      <c r="AF17" s="290" t="e">
        <f t="shared" si="1"/>
        <v>#VALUE!</v>
      </c>
    </row>
    <row r="18" spans="1:32" ht="12" thickBot="1" x14ac:dyDescent="0.25">
      <c r="A18" s="146"/>
      <c r="B18" s="107">
        <v>13</v>
      </c>
      <c r="C18" s="145" t="b">
        <v>0</v>
      </c>
      <c r="D18" s="144" t="str">
        <v>G5</v>
      </c>
      <c r="E18" s="143" t="str">
        <f t="shared" si="0"/>
        <v>EURFUT1MG5_Quote</v>
      </c>
      <c r="F18" s="142" t="str">
        <f>_xll.qlSimpleQuote(E18,,PriceTickValue,Permanent,Trigger,ObjectOverwrite)</f>
        <v>EURFUT1MG5_Quote#0000</v>
      </c>
      <c r="G18" s="105" t="str">
        <f>_xll.ohRangeRetrieveError(F18)</f>
        <v/>
      </c>
      <c r="H18" s="141"/>
      <c r="J18" s="316"/>
      <c r="K18" s="47"/>
      <c r="L18" s="47"/>
      <c r="M18" s="47"/>
      <c r="N18" s="47"/>
      <c r="O18" s="47"/>
      <c r="P18" s="47"/>
      <c r="Q18" s="47"/>
      <c r="R18" s="47"/>
      <c r="S18" s="47"/>
      <c r="T18" s="47"/>
      <c r="U18" s="47"/>
      <c r="V18" s="47"/>
      <c r="W18" s="47"/>
      <c r="X18" s="47"/>
      <c r="Y18" s="47"/>
      <c r="Z18" s="47"/>
      <c r="AA18" s="46"/>
      <c r="AB18" s="17"/>
      <c r="AC18" s="17"/>
      <c r="AD18" s="17"/>
      <c r="AE18" s="17"/>
      <c r="AF18" s="17"/>
    </row>
    <row r="19" spans="1:32" x14ac:dyDescent="0.2">
      <c r="A19" s="146"/>
      <c r="B19" s="107">
        <v>14</v>
      </c>
      <c r="C19" s="145" t="b">
        <v>0</v>
      </c>
      <c r="D19" s="144" t="str">
        <v>H5</v>
      </c>
      <c r="E19" s="143" t="str">
        <f t="shared" si="0"/>
        <v>EURFUT1MH5_Quote</v>
      </c>
      <c r="F19" s="142" t="str">
        <f>_xll.qlSimpleQuote(E19,,PriceTickValue,Permanent,Trigger,ObjectOverwrite)</f>
        <v>EURFUT1MH5_Quote#0000</v>
      </c>
      <c r="G19" s="105" t="str">
        <f>_xll.ohRangeRetrieveError(F19)</f>
        <v/>
      </c>
      <c r="H19" s="141"/>
    </row>
    <row r="20" spans="1:32" x14ac:dyDescent="0.2">
      <c r="A20" s="146"/>
      <c r="B20" s="107">
        <v>15</v>
      </c>
      <c r="C20" s="145" t="b">
        <v>0</v>
      </c>
      <c r="D20" s="144" t="str">
        <v>J5</v>
      </c>
      <c r="E20" s="143" t="str">
        <f t="shared" si="0"/>
        <v>EURFUT1MJ5_Quote</v>
      </c>
      <c r="F20" s="142" t="str">
        <f>_xll.qlSimpleQuote(E20,,PriceTickValue,Permanent,Trigger,ObjectOverwrite)</f>
        <v>EURFUT1MJ5_Quote#0000</v>
      </c>
      <c r="G20" s="105" t="str">
        <f>_xll.ohRangeRetrieveError(F20)</f>
        <v/>
      </c>
      <c r="H20" s="141"/>
    </row>
    <row r="21" spans="1:32" x14ac:dyDescent="0.2">
      <c r="A21" s="146"/>
      <c r="B21" s="107">
        <v>16</v>
      </c>
      <c r="C21" s="145" t="b">
        <v>0</v>
      </c>
      <c r="D21" s="144" t="str">
        <v>K5</v>
      </c>
      <c r="E21" s="143" t="str">
        <f t="shared" si="0"/>
        <v>EURFUT1MK5_Quote</v>
      </c>
      <c r="F21" s="142" t="str">
        <f>_xll.qlSimpleQuote(E21,,PriceTickValue,Permanent,Trigger,ObjectOverwrite)</f>
        <v>EURFUT1MK5_Quote#0000</v>
      </c>
      <c r="G21" s="105" t="str">
        <f>_xll.ohRangeRetrieveError(F21)</f>
        <v/>
      </c>
      <c r="H21" s="141"/>
    </row>
    <row r="22" spans="1:32" x14ac:dyDescent="0.2">
      <c r="A22" s="146"/>
      <c r="B22" s="107">
        <v>17</v>
      </c>
      <c r="C22" s="145" t="b">
        <v>0</v>
      </c>
      <c r="D22" s="144" t="str">
        <v>M5</v>
      </c>
      <c r="E22" s="143" t="str">
        <f t="shared" si="0"/>
        <v>EURFUT1MM5_Quote</v>
      </c>
      <c r="F22" s="142" t="str">
        <f>_xll.qlSimpleQuote(E22,,PriceTickValue,Permanent,Trigger,ObjectOverwrite)</f>
        <v>EURFUT1MM5_Quote#0000</v>
      </c>
      <c r="G22" s="105" t="str">
        <f>_xll.ohRangeRetrieveError(F22)</f>
        <v/>
      </c>
      <c r="H22" s="141"/>
    </row>
    <row r="23" spans="1:32" x14ac:dyDescent="0.2">
      <c r="A23" s="146"/>
      <c r="B23" s="107">
        <v>18</v>
      </c>
      <c r="C23" s="145" t="b">
        <v>0</v>
      </c>
      <c r="D23" s="144" t="str">
        <v>N5</v>
      </c>
      <c r="E23" s="143" t="str">
        <f t="shared" si="0"/>
        <v>EURFUT1MN5_Quote</v>
      </c>
      <c r="F23" s="142" t="str">
        <f>_xll.qlSimpleQuote(E23,,PriceTickValue,Permanent,Trigger,ObjectOverwrite)</f>
        <v>EURFUT1MN5_Quote#0000</v>
      </c>
      <c r="G23" s="105" t="str">
        <f>_xll.ohRangeRetrieveError(F23)</f>
        <v/>
      </c>
      <c r="H23" s="141"/>
    </row>
    <row r="24" spans="1:32" x14ac:dyDescent="0.2">
      <c r="A24" s="146"/>
      <c r="B24" s="107">
        <v>19</v>
      </c>
      <c r="C24" s="145" t="b">
        <v>0</v>
      </c>
      <c r="D24" s="144" t="str">
        <v>Q5</v>
      </c>
      <c r="E24" s="143" t="str">
        <f t="shared" si="0"/>
        <v>EURFUT1MQ5_Quote</v>
      </c>
      <c r="F24" s="142" t="str">
        <f>_xll.qlSimpleQuote(E24,,PriceTickValue,Permanent,Trigger,ObjectOverwrite)</f>
        <v>EURFUT1MQ5_Quote#0000</v>
      </c>
      <c r="G24" s="105" t="str">
        <f>_xll.ohRangeRetrieveError(F24)</f>
        <v/>
      </c>
      <c r="H24" s="141"/>
    </row>
    <row r="25" spans="1:32" x14ac:dyDescent="0.2">
      <c r="A25" s="146"/>
      <c r="B25" s="107">
        <v>20</v>
      </c>
      <c r="C25" s="145" t="b">
        <v>0</v>
      </c>
      <c r="D25" s="144" t="str">
        <v>U5</v>
      </c>
      <c r="E25" s="143" t="str">
        <f t="shared" si="0"/>
        <v>EURFUT1MU5_Quote</v>
      </c>
      <c r="F25" s="142" t="str">
        <f>_xll.qlSimpleQuote(E25,,PriceTickValue,Permanent,Trigger,ObjectOverwrite)</f>
        <v>EURFUT1MU5_Quote#0000</v>
      </c>
      <c r="G25" s="105" t="str">
        <f>_xll.ohRangeRetrieveError(F25)</f>
        <v/>
      </c>
      <c r="H25" s="141"/>
    </row>
    <row r="26" spans="1:32" x14ac:dyDescent="0.2">
      <c r="A26" s="146"/>
      <c r="B26" s="107">
        <v>21</v>
      </c>
      <c r="C26" s="145" t="b">
        <v>0</v>
      </c>
      <c r="D26" s="144" t="str">
        <v>V5</v>
      </c>
      <c r="E26" s="143" t="str">
        <f t="shared" si="0"/>
        <v>EURFUT1MV5_Quote</v>
      </c>
      <c r="F26" s="142" t="str">
        <f>_xll.qlSimpleQuote(E26,,PriceTickValue,Permanent,Trigger,ObjectOverwrite)</f>
        <v>EURFUT1MV5_Quote#0000</v>
      </c>
      <c r="G26" s="105" t="str">
        <f>_xll.ohRangeRetrieveError(F26)</f>
        <v/>
      </c>
      <c r="H26" s="141"/>
    </row>
    <row r="27" spans="1:32" x14ac:dyDescent="0.2">
      <c r="A27" s="146"/>
      <c r="B27" s="107">
        <v>22</v>
      </c>
      <c r="C27" s="145" t="b">
        <v>0</v>
      </c>
      <c r="D27" s="144" t="str">
        <v>X5</v>
      </c>
      <c r="E27" s="143" t="str">
        <f t="shared" si="0"/>
        <v>EURFUT1MX5_Quote</v>
      </c>
      <c r="F27" s="142" t="str">
        <f>_xll.qlSimpleQuote(E27,,PriceTickValue,Permanent,Trigger,ObjectOverwrite)</f>
        <v>EURFUT1MX5_Quote#0000</v>
      </c>
      <c r="G27" s="105" t="str">
        <f>_xll.ohRangeRetrieveError(F27)</f>
        <v/>
      </c>
      <c r="H27" s="141"/>
    </row>
    <row r="28" spans="1:32" x14ac:dyDescent="0.2">
      <c r="A28" s="146"/>
      <c r="B28" s="107">
        <v>23</v>
      </c>
      <c r="C28" s="145" t="b">
        <v>0</v>
      </c>
      <c r="D28" s="144" t="str">
        <v>Z5</v>
      </c>
      <c r="E28" s="143" t="str">
        <f t="shared" si="0"/>
        <v>EURFUT1MZ5_Quote</v>
      </c>
      <c r="F28" s="142" t="str">
        <f>_xll.qlSimpleQuote(E28,,PriceTickValue,Permanent,Trigger,ObjectOverwrite)</f>
        <v>EURFUT1MZ5_Quote#0000</v>
      </c>
      <c r="G28" s="105" t="str">
        <f>_xll.ohRangeRetrieveError(F28)</f>
        <v/>
      </c>
      <c r="H28" s="141"/>
    </row>
    <row r="29" spans="1:32" x14ac:dyDescent="0.2">
      <c r="A29" s="146"/>
      <c r="B29" s="107">
        <v>24</v>
      </c>
      <c r="C29" s="145" t="b">
        <v>0</v>
      </c>
      <c r="D29" s="144" t="str">
        <v>F6</v>
      </c>
      <c r="E29" s="143" t="str">
        <f t="shared" si="0"/>
        <v>EURFUT1MF6_Quote</v>
      </c>
      <c r="F29" s="142" t="str">
        <f>_xll.qlSimpleQuote(E29,,PriceTickValue,Permanent,Trigger,ObjectOverwrite)</f>
        <v>EURFUT1MF6_Quote#0000</v>
      </c>
      <c r="G29" s="105" t="str">
        <f>_xll.ohRangeRetrieveError(F29)</f>
        <v/>
      </c>
      <c r="H29" s="141"/>
    </row>
    <row r="30" spans="1:32" x14ac:dyDescent="0.2">
      <c r="A30" s="146"/>
      <c r="B30" s="107">
        <v>25</v>
      </c>
      <c r="C30" s="145" t="b">
        <v>0</v>
      </c>
      <c r="D30" s="144" t="str">
        <v>G6</v>
      </c>
      <c r="E30" s="143" t="str">
        <f t="shared" si="0"/>
        <v>EURFUT1MG6_Quote</v>
      </c>
      <c r="F30" s="142" t="str">
        <f>_xll.qlSimpleQuote(E30,,PriceTickValue,Permanent,Trigger,ObjectOverwrite)</f>
        <v>EURFUT1MG6_Quote#0000</v>
      </c>
      <c r="G30" s="105" t="str">
        <f>_xll.ohRangeRetrieveError(F30)</f>
        <v/>
      </c>
      <c r="H30" s="141"/>
    </row>
    <row r="31" spans="1:32" x14ac:dyDescent="0.2">
      <c r="A31" s="146"/>
      <c r="B31" s="107">
        <v>26</v>
      </c>
      <c r="C31" s="145" t="b">
        <v>0</v>
      </c>
      <c r="D31" s="144" t="str">
        <v>H6</v>
      </c>
      <c r="E31" s="143" t="str">
        <f t="shared" si="0"/>
        <v>EURFUT1MH6_Quote</v>
      </c>
      <c r="F31" s="142" t="str">
        <f>_xll.qlSimpleQuote(E31,,PriceTickValue,Permanent,Trigger,ObjectOverwrite)</f>
        <v>EURFUT1MH6_Quote#0000</v>
      </c>
      <c r="G31" s="105" t="str">
        <f>_xll.ohRangeRetrieveError(F31)</f>
        <v/>
      </c>
      <c r="H31" s="141"/>
    </row>
    <row r="32" spans="1:32" x14ac:dyDescent="0.2">
      <c r="A32" s="146"/>
      <c r="B32" s="107">
        <v>27</v>
      </c>
      <c r="C32" s="145" t="b">
        <v>0</v>
      </c>
      <c r="D32" s="144" t="str">
        <v>J6</v>
      </c>
      <c r="E32" s="143" t="str">
        <f t="shared" si="0"/>
        <v>EURFUT1MJ6_Quote</v>
      </c>
      <c r="F32" s="142" t="str">
        <f>_xll.qlSimpleQuote(E32,,PriceTickValue,Permanent,Trigger,ObjectOverwrite)</f>
        <v>EURFUT1MJ6_Quote#0000</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EURFUT1MK6_Quote#0000</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EURFUT1MM6_Quote#0000</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EURFUT1MN6_Quote#0000</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EURFUT1MQ6_Quote#0000</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EURFUT1MU6_Quote#0000</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EURFUT1MV6_Quote#0000</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EURFUT1MX6_Quote#0000</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EURFUT1MZ6_Quote#0000</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EURFUT1MF7_Quote#0000</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EURFUT1MG7_Quote#0000</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EURFUT1MH7_Quote#0000</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EURFUT1MJ7_Quote#0000</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EURFUT1MK7_Quote#0000</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EURFUT1MM7_Quote#0000</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EURFUT1MN7_Quote#0000</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EURFUT1MQ7_Quote#0000</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EURFUT1MU7_Quote#0000</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EURFUT1MV7_Quote#0000</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EURFUT1MX7_Quote#0000</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EURFUT1MZ7_Quote#0000</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EURFUT1MF8_Quote#0000</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EURFUT1MG8_Quote#0000</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EURFUT1MH8_Quote#0000</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EURFUT1MJ8_Quote#0000</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EURFUT1MK8_Quote#0000</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EURFUT1MM8_Quote#0000</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EURFUT1MN8_Quote#0000</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EURFUT1MQ8_Quote#0000</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EURFUT1MU8_Quote#0000</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EURFUT1MV8_Quote#0000</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EURFUT1MX8_Quote#0000</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EURFUT1MZ8_Quote#0000</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EURFUT1MF9_Quote#0000</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EURFUT1MG9_Quote#0000</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EURFUT1MH9_Quote#0000</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EURFUT1MJ9_Quote#0000</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EURFUT1MK9_Quote#0000</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EURFUT1MM9_Quote#0000</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EURFUT1MN9_Quote#0000</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EURFUT1MQ9_Quote#0000</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EURFUT1MU9_Quote#0000</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EURFUT1MV9_Quote#0000</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EURFUT1MX9_Quote#0000</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EURFUT1MZ9_Quote#0000</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EURFUT1MF0_Quote#0000</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EURFUT1MG0_Quote#0000</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EURFUT1MH0_Quote#0000</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EURFUT1MJ0_Quote#0000</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EURFUT1MK0_Quote#0000</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EURFUT1MM0_Quote#0000</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EURFUT1MN0_Quote#0000</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EURFUT1MQ0_Quote#0000</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EURFUT1MU0_Quote#0000</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EURFUT1MV0_Quote#0000</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EURFUT1MX0_Quote#0000</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EURFUT1MZ0_Quote#0000</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EURFUT1MF1_Quote#0000</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EURFUT1MG1_Quote#0000</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EURFUT1MH1_Quote#0000</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EURFUT1MJ1_Quote#0000</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EURFUT1MK1_Quote#0000</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EURFUT1MM1_Quote#0000</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EURFUT1MN1_Quote#0000</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EURFUT1MQ1_Quote#0000</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EURFUT1MU1_Quote#0000</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EURFUT1MV1_Quote#0000</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EURFUT1MX1_Quote#0000</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EURFUT1MZ1_Quote#0000</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EURFUT1MF2_Quote#0000</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EURFUT1MG2_Quote#0000</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EURFUT1MH2_Quote#0000</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EURFUT1MJ2_Quote#0000</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EURFUT1MK2_Quote#0000</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EURFUT1MM2_Quote#0000</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EURFUT1MN2_Quote#0000</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EURFUT1MQ2_Quote#0000</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EURFUT1MU2_Quote#0000</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EURFUT1MV2_Quote#0000</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EURFUT1MX2_Quote#0000</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EURFUT1MZ2_Quote#0000</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EURFUT1MF3_Quote#0000</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EURFUT1MG3_Quote#0000</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EURFUT1MH3_Quote#0000</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EURFUT1MJ3_Quote#0000</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EURFUT1MK3_Quote#0000</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EURFUT1MM3_Quote#0000</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EURFUT1MN3_Quote#0000</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EURFUT1MQ3_Quote#0000</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EURFUT1MU3_Quote#0000</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EURFUT1MV3_Quote#0000</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EURFUT1MX3_Quote#0000</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EURFUT1MZ3_Quote#0000</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15" t="s">
        <v>206</v>
      </c>
      <c r="AI1" s="416"/>
      <c r="AJ1" s="416"/>
      <c r="AK1" s="416"/>
      <c r="AL1" s="416"/>
      <c r="AM1" s="416"/>
      <c r="AN1" s="416"/>
      <c r="AO1" s="416"/>
      <c r="AP1" s="417"/>
      <c r="AQ1" s="414"/>
    </row>
    <row r="2" spans="1:43" x14ac:dyDescent="0.2">
      <c r="J2" s="288" t="s">
        <v>293</v>
      </c>
      <c r="K2" s="199"/>
      <c r="L2" s="199"/>
      <c r="M2" s="199"/>
      <c r="N2" s="199"/>
      <c r="O2" s="199"/>
      <c r="P2" s="199"/>
      <c r="Q2" s="199"/>
      <c r="R2" s="199"/>
      <c r="S2" s="199"/>
      <c r="T2" s="199"/>
      <c r="U2" s="199"/>
      <c r="V2" s="340"/>
      <c r="W2" s="340"/>
      <c r="X2" s="199"/>
      <c r="Y2" s="199"/>
      <c r="Z2" s="199"/>
      <c r="AA2" s="339"/>
      <c r="AB2" s="17"/>
      <c r="AC2" s="17"/>
      <c r="AD2" s="17"/>
      <c r="AE2" s="17"/>
      <c r="AF2" s="17"/>
      <c r="AH2" s="418"/>
      <c r="AI2" s="419"/>
      <c r="AJ2" s="419"/>
      <c r="AK2" s="419"/>
      <c r="AL2" s="420" t="s">
        <v>205</v>
      </c>
      <c r="AM2" s="421" t="str">
        <f>PROPER(Currency)&amp;"HW_Volatility_Quote"</f>
        <v>EurHW_Volatility_Quote</v>
      </c>
      <c r="AN2" s="419"/>
      <c r="AO2" s="419"/>
      <c r="AP2" s="422"/>
      <c r="AQ2" s="414"/>
    </row>
    <row r="3" spans="1:43" x14ac:dyDescent="0.2">
      <c r="J3" s="287"/>
      <c r="K3" s="137"/>
      <c r="L3" s="286"/>
      <c r="M3" s="286"/>
      <c r="N3" s="137"/>
      <c r="O3" s="137"/>
      <c r="P3" s="137"/>
      <c r="Q3" s="137"/>
      <c r="R3" s="137"/>
      <c r="S3" s="137"/>
      <c r="T3" s="137"/>
      <c r="U3" s="137"/>
      <c r="V3" s="253"/>
      <c r="W3" s="253"/>
      <c r="X3" s="137"/>
      <c r="Y3" s="253"/>
      <c r="Z3" s="253"/>
      <c r="AA3" s="338"/>
      <c r="AB3" s="17"/>
      <c r="AC3" s="17"/>
      <c r="AD3" s="17"/>
      <c r="AE3" s="17"/>
      <c r="AF3" s="17"/>
      <c r="AH3" s="418"/>
      <c r="AI3" s="419"/>
      <c r="AJ3" s="419"/>
      <c r="AK3" s="419"/>
      <c r="AL3" s="420" t="s">
        <v>204</v>
      </c>
      <c r="AM3" s="421" t="str">
        <f>PROPER(Currency)&amp;"HW_MeanReversion_Quote"</f>
        <v>EurHW_MeanReversion_Quote</v>
      </c>
      <c r="AN3" s="419"/>
      <c r="AO3" s="419"/>
      <c r="AP3" s="423"/>
    </row>
    <row r="4" spans="1:43" ht="12" thickBot="1" x14ac:dyDescent="0.25">
      <c r="J4" s="287"/>
      <c r="K4" s="137"/>
      <c r="L4" s="137"/>
      <c r="M4" s="137"/>
      <c r="N4" s="137"/>
      <c r="O4" s="137"/>
      <c r="P4" s="137"/>
      <c r="Q4" s="137"/>
      <c r="R4" s="137"/>
      <c r="S4" s="137"/>
      <c r="T4" s="137"/>
      <c r="U4" s="137"/>
      <c r="V4" s="253"/>
      <c r="W4" s="253"/>
      <c r="X4" s="137"/>
      <c r="Y4" s="137"/>
      <c r="Z4" s="137"/>
      <c r="AA4" s="338"/>
      <c r="AB4" s="17"/>
      <c r="AC4" s="17"/>
      <c r="AD4" s="17"/>
      <c r="AE4" s="17"/>
      <c r="AF4" s="17"/>
      <c r="AH4" s="418"/>
      <c r="AI4" s="419"/>
      <c r="AJ4" s="419"/>
      <c r="AK4" s="419"/>
      <c r="AL4" s="420" t="s">
        <v>203</v>
      </c>
      <c r="AM4" s="421" t="str">
        <f>PROPER(Currency)&amp;FamilyName&amp;$AN$4</f>
        <v>Euribor3M</v>
      </c>
      <c r="AN4" s="424" t="s">
        <v>30</v>
      </c>
      <c r="AO4" s="419"/>
      <c r="AP4" s="423"/>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254</v>
      </c>
      <c r="Z5" s="284">
        <f>_xll.ohTrigger(Z7:Z48)</f>
        <v>3</v>
      </c>
      <c r="AA5" s="338"/>
      <c r="AB5" s="17"/>
      <c r="AC5" s="17"/>
      <c r="AD5" s="17"/>
      <c r="AE5" s="17"/>
      <c r="AF5" s="17"/>
      <c r="AH5" s="418"/>
      <c r="AI5" s="419"/>
      <c r="AJ5" s="419"/>
      <c r="AK5" s="419"/>
      <c r="AL5" s="419"/>
      <c r="AM5" s="419"/>
      <c r="AN5" s="419"/>
      <c r="AO5" s="419"/>
      <c r="AP5" s="42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6" t="s">
        <v>174</v>
      </c>
      <c r="L6" s="342" t="s">
        <v>173</v>
      </c>
      <c r="M6" s="342" t="s">
        <v>172</v>
      </c>
      <c r="N6" s="342" t="s">
        <v>249</v>
      </c>
      <c r="O6" s="345" t="e">
        <f ca="1">_xll.RData(O7:O48,P6:T6,,ReutersRtMode,,P7)</f>
        <v>#NAME?</v>
      </c>
      <c r="P6" s="342" t="s">
        <v>248</v>
      </c>
      <c r="Q6" s="342" t="s">
        <v>243</v>
      </c>
      <c r="R6" s="342" t="s">
        <v>212</v>
      </c>
      <c r="S6" s="342" t="s">
        <v>227</v>
      </c>
      <c r="T6" s="342" t="s">
        <v>242</v>
      </c>
      <c r="U6" s="344" t="s">
        <v>241</v>
      </c>
      <c r="V6" s="253"/>
      <c r="W6" s="343" t="s">
        <v>239</v>
      </c>
      <c r="X6" s="253"/>
      <c r="Y6" s="346" t="s">
        <v>237</v>
      </c>
      <c r="Z6" s="341" t="s">
        <v>236</v>
      </c>
      <c r="AA6" s="49"/>
      <c r="AB6" s="17"/>
      <c r="AC6" s="208" t="s">
        <v>247</v>
      </c>
      <c r="AD6" s="206" t="s">
        <v>246</v>
      </c>
      <c r="AE6" s="17"/>
      <c r="AF6" s="312" t="s">
        <v>240</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EURFUT3MG4_Quote#0000</v>
      </c>
      <c r="G7" s="147" t="str">
        <f>_xll.ohRangeRetrieveError(F7)</f>
        <v/>
      </c>
      <c r="H7" s="141"/>
      <c r="J7" s="323"/>
      <c r="K7" s="336">
        <v>1</v>
      </c>
      <c r="L7" s="335" t="b">
        <v>0</v>
      </c>
      <c r="M7" s="271" t="str">
        <f t="array" ref="M7:M48">_xll.qlIMMcode(FuturesDates)</f>
        <v>G4</v>
      </c>
      <c r="N7" s="334">
        <f t="array" ref="N7:N48">_xll.qlIMMNextDates(_xll.qlSettingsEvaluationDate(Trigger)-1,$L7:$L48)</f>
        <v>41689</v>
      </c>
      <c r="O7" s="271" t="str">
        <f t="array" ref="O7:O48">VLOOKUP(Currency,LiffeCodes,2)&amp;FuturesCodes</f>
        <v>FEIG4</v>
      </c>
      <c r="P7" s="333">
        <v>41505</v>
      </c>
      <c r="Q7" s="271">
        <v>99.765000000000001</v>
      </c>
      <c r="R7" s="271">
        <v>99.77</v>
      </c>
      <c r="S7" s="271">
        <v>99.765000000000001</v>
      </c>
      <c r="T7" s="271">
        <v>99.765000000000001</v>
      </c>
      <c r="U7" s="274">
        <f>_xll.qlMidSafe($Q7,$R7)</f>
        <v>99.767499999999998</v>
      </c>
      <c r="V7" s="253"/>
      <c r="W7" s="332">
        <v>99.694999999999993</v>
      </c>
      <c r="X7" s="253"/>
      <c r="Y7" s="331">
        <f t="array" ref="Y7:Y48">QuoteStatic</f>
        <v>99.694999999999993</v>
      </c>
      <c r="Z7" s="274">
        <f>_xll.qlSimpleQuoteSetValue(F7,Y7,Trigger)</f>
        <v>-7.2500000000005116E-2</v>
      </c>
      <c r="AA7" s="49"/>
      <c r="AB7" s="17"/>
      <c r="AC7" s="86" t="s">
        <v>124</v>
      </c>
      <c r="AD7" s="84" t="s">
        <v>253</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EURFUT3MG4ConvAdj_Quote#0000</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EURFUT3MH4_Quote#0000</v>
      </c>
      <c r="G8" s="105" t="str">
        <f>_xll.ohRangeRetrieveError(F8)</f>
        <v/>
      </c>
      <c r="H8" s="141"/>
      <c r="J8" s="323"/>
      <c r="K8" s="329">
        <v>2</v>
      </c>
      <c r="L8" s="328" t="b">
        <v>0</v>
      </c>
      <c r="M8" s="259" t="str">
        <v>H4</v>
      </c>
      <c r="N8" s="327">
        <v>41717</v>
      </c>
      <c r="O8" s="259" t="str">
        <v>FEIH4</v>
      </c>
      <c r="P8" s="326">
        <v>41533</v>
      </c>
      <c r="Q8" s="259">
        <v>99.734999999999999</v>
      </c>
      <c r="R8" s="259">
        <v>99.74</v>
      </c>
      <c r="S8" s="259">
        <v>99.74</v>
      </c>
      <c r="T8" s="259">
        <v>99.734999999999999</v>
      </c>
      <c r="U8" s="262">
        <f>_xll.qlMidSafe($Q8,$R8)</f>
        <v>99.737499999999997</v>
      </c>
      <c r="V8" s="253"/>
      <c r="W8" s="330">
        <v>99.702500000000001</v>
      </c>
      <c r="X8" s="253"/>
      <c r="Y8" s="324">
        <v>99.702500000000001</v>
      </c>
      <c r="Z8" s="262">
        <f>_xll.qlSimpleQuoteSetValue(F8,Y8,Trigger)</f>
        <v>-3.4999999999996589E-2</v>
      </c>
      <c r="AA8" s="49"/>
      <c r="AB8" s="17"/>
      <c r="AC8" s="86" t="s">
        <v>110</v>
      </c>
      <c r="AD8" s="84" t="s">
        <v>252</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EURFUT3MH4ConvAdj_Quote#0000</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EURFUT3MJ4_Quote#0000</v>
      </c>
      <c r="G9" s="105" t="str">
        <f>_xll.ohRangeRetrieveError(F9)</f>
        <v/>
      </c>
      <c r="H9" s="141"/>
      <c r="J9" s="323"/>
      <c r="K9" s="329">
        <v>3</v>
      </c>
      <c r="L9" s="328" t="b">
        <v>0</v>
      </c>
      <c r="M9" s="259" t="str">
        <v>J4</v>
      </c>
      <c r="N9" s="327">
        <v>41745</v>
      </c>
      <c r="O9" s="259" t="str">
        <v>FEIJ4</v>
      </c>
      <c r="P9" s="326">
        <v>41561</v>
      </c>
      <c r="Q9" s="259">
        <v>99.71</v>
      </c>
      <c r="R9" s="259">
        <v>99.72</v>
      </c>
      <c r="S9" s="259">
        <v>0</v>
      </c>
      <c r="T9" s="259">
        <v>99.715000000000003</v>
      </c>
      <c r="U9" s="262">
        <f>_xll.qlMidSafe($Q9,$R9)</f>
        <v>99.715000000000003</v>
      </c>
      <c r="V9" s="253"/>
      <c r="W9" s="330">
        <v>99.704999999999998</v>
      </c>
      <c r="X9" s="253"/>
      <c r="Y9" s="324">
        <v>99.704999999999998</v>
      </c>
      <c r="Z9" s="262">
        <f>_xll.qlSimpleQuoteSetValue(F9,Y9,Trigger)</f>
        <v>-1.0000000000005116E-2</v>
      </c>
      <c r="AA9" s="49"/>
      <c r="AB9" s="17"/>
      <c r="AC9" s="86" t="s">
        <v>121</v>
      </c>
      <c r="AD9" s="84" t="s">
        <v>251</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EURFUT3MJ4ConvAdj_Quote#0000</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EURFUT3MK4_Quote#0000</v>
      </c>
      <c r="G10" s="105" t="str">
        <f>_xll.ohRangeRetrieveError(F10)</f>
        <v/>
      </c>
      <c r="H10" s="141"/>
      <c r="J10" s="323"/>
      <c r="K10" s="329">
        <v>4</v>
      </c>
      <c r="L10" s="328" t="b">
        <v>0</v>
      </c>
      <c r="M10" s="259" t="str">
        <v>K4</v>
      </c>
      <c r="N10" s="327">
        <v>41780</v>
      </c>
      <c r="O10" s="259" t="str">
        <v>FEIK4</v>
      </c>
      <c r="P10" s="326">
        <v>41596</v>
      </c>
      <c r="Q10" s="259">
        <v>0</v>
      </c>
      <c r="R10" s="259">
        <v>0</v>
      </c>
      <c r="S10" s="259">
        <v>0</v>
      </c>
      <c r="T10" s="259">
        <v>99.7</v>
      </c>
      <c r="U10" s="262" t="e">
        <f>_xll.qlMidSafe($Q10,$R10)</f>
        <v>#NUM!</v>
      </c>
      <c r="V10" s="253"/>
      <c r="W10" s="330" t="e">
        <v>#NUM!</v>
      </c>
      <c r="X10" s="253"/>
      <c r="Y10" s="324"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EURFUT3MK4ConvAdj_Quote#0000</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EURFUT3MM4_Quote#0000</v>
      </c>
      <c r="G11" s="105" t="str">
        <f>_xll.ohRangeRetrieveError(F11)</f>
        <v/>
      </c>
      <c r="H11" s="141"/>
      <c r="J11" s="323"/>
      <c r="K11" s="329">
        <v>5</v>
      </c>
      <c r="L11" s="328" t="b">
        <v>0</v>
      </c>
      <c r="M11" s="259" t="str">
        <v>M4</v>
      </c>
      <c r="N11" s="327">
        <v>41808</v>
      </c>
      <c r="O11" s="259" t="str">
        <v>FEIM4</v>
      </c>
      <c r="P11" s="326">
        <v>41624</v>
      </c>
      <c r="Q11" s="259">
        <v>99.674999999999997</v>
      </c>
      <c r="R11" s="259">
        <v>99.68</v>
      </c>
      <c r="S11" s="259">
        <v>99.674999999999997</v>
      </c>
      <c r="T11" s="259">
        <v>99.674999999999997</v>
      </c>
      <c r="U11" s="262">
        <f>_xll.qlMidSafe($Q11,$R11)</f>
        <v>99.677500000000009</v>
      </c>
      <c r="V11" s="253"/>
      <c r="W11" s="325">
        <v>99.707499999999996</v>
      </c>
      <c r="X11" s="253"/>
      <c r="Y11" s="324">
        <v>99.707499999999996</v>
      </c>
      <c r="Z11" s="262">
        <f>_xll.qlSimpleQuoteSetValue(F11,Y11,Trigger)</f>
        <v>2.9999999999986926E-2</v>
      </c>
      <c r="AA11" s="49"/>
      <c r="AB11" s="17"/>
      <c r="AC11" s="83" t="s">
        <v>118</v>
      </c>
      <c r="AD11" s="81" t="s">
        <v>250</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EURFUT3MM4ConvAdj_Quote#0000</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EURFUT3MN4_Quote#0000</v>
      </c>
      <c r="G12" s="105" t="str">
        <f>_xll.ohRangeRetrieveError(F12)</f>
        <v/>
      </c>
      <c r="H12" s="141"/>
      <c r="J12" s="323"/>
      <c r="K12" s="329">
        <v>6</v>
      </c>
      <c r="L12" s="328" t="b">
        <v>0</v>
      </c>
      <c r="M12" s="259" t="str">
        <v>N4</v>
      </c>
      <c r="N12" s="327">
        <v>41836</v>
      </c>
      <c r="O12" s="259" t="str">
        <v>FEIN4</v>
      </c>
      <c r="P12" s="326">
        <v>41652</v>
      </c>
      <c r="Q12" s="259">
        <v>0</v>
      </c>
      <c r="R12" s="259">
        <v>0</v>
      </c>
      <c r="S12" s="259">
        <v>0</v>
      </c>
      <c r="T12" s="259">
        <v>99.68</v>
      </c>
      <c r="U12" s="262" t="e">
        <f>_xll.qlMidSafe($Q12,$R12)</f>
        <v>#NUM!</v>
      </c>
      <c r="V12" s="253"/>
      <c r="W12" s="325" t="e">
        <v>#NUM!</v>
      </c>
      <c r="X12" s="253"/>
      <c r="Y12" s="324"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EURFUT3MN4ConvAdj_Quote#0000</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EURFUT3MQ4_Quote#0000</v>
      </c>
      <c r="G13" s="105" t="str">
        <f>_xll.ohRangeRetrieveError(F13)</f>
        <v/>
      </c>
      <c r="H13" s="141"/>
      <c r="J13" s="323"/>
      <c r="K13" s="329">
        <v>7</v>
      </c>
      <c r="L13" s="328" t="b">
        <v>0</v>
      </c>
      <c r="M13" s="259" t="str">
        <v>Q4</v>
      </c>
      <c r="N13" s="327">
        <v>41871</v>
      </c>
      <c r="O13" s="259" t="str">
        <v>FEIQ4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EURFUT3MQ4ConvAdj_Quote#0000</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EURFUT3MU4_Quote#0000</v>
      </c>
      <c r="G14" s="105" t="str">
        <f>_xll.ohRangeRetrieveError(F14)</f>
        <v/>
      </c>
      <c r="H14" s="141"/>
      <c r="J14" s="323"/>
      <c r="K14" s="329">
        <v>8</v>
      </c>
      <c r="L14" s="328" t="b">
        <v>0</v>
      </c>
      <c r="M14" s="259" t="str">
        <v>U4</v>
      </c>
      <c r="N14" s="327">
        <v>41899</v>
      </c>
      <c r="O14" s="259" t="str">
        <v>FEIU4</v>
      </c>
      <c r="P14" s="326">
        <v>41715</v>
      </c>
      <c r="Q14" s="259">
        <v>99.605000000000004</v>
      </c>
      <c r="R14" s="259">
        <v>99.61</v>
      </c>
      <c r="S14" s="259">
        <v>99.61</v>
      </c>
      <c r="T14" s="259">
        <v>99.61</v>
      </c>
      <c r="U14" s="262">
        <f>_xll.qlMidSafe($Q14,$R14)</f>
        <v>99.607500000000002</v>
      </c>
      <c r="V14" s="253"/>
      <c r="W14" s="325">
        <v>99.702500000000001</v>
      </c>
      <c r="X14" s="253"/>
      <c r="Y14" s="324">
        <v>99.702500000000001</v>
      </c>
      <c r="Z14" s="262">
        <f>_xll.qlSimpleQuoteSetValue(F14,Y14,Trigger)</f>
        <v>9.4999999999998863E-2</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EURFUT3MU4ConvAdj_Quote#0000</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EURFUT3MV4_Quote#0000</v>
      </c>
      <c r="G15" s="105" t="str">
        <f>_xll.ohRangeRetrieveError(F15)</f>
        <v/>
      </c>
      <c r="H15" s="141"/>
      <c r="J15" s="323"/>
      <c r="K15" s="329">
        <v>9</v>
      </c>
      <c r="L15" s="328" t="b">
        <v>0</v>
      </c>
      <c r="M15" s="259" t="str">
        <v>V4</v>
      </c>
      <c r="N15" s="327">
        <v>41927</v>
      </c>
      <c r="O15" s="259" t="str">
        <v>FEIV4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EURFUT3MV4ConvAdj_Quote#0000</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EURFUT3MX4_Quote#0000</v>
      </c>
      <c r="G16" s="105" t="str">
        <f>_xll.ohRangeRetrieveError(F16)</f>
        <v/>
      </c>
      <c r="H16" s="141"/>
      <c r="J16" s="323"/>
      <c r="K16" s="329">
        <v>10</v>
      </c>
      <c r="L16" s="328" t="b">
        <v>0</v>
      </c>
      <c r="M16" s="259" t="str">
        <v>X4</v>
      </c>
      <c r="N16" s="327">
        <v>41962</v>
      </c>
      <c r="O16" s="259" t="str">
        <v>FEIX4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EURFUT3MX4ConvAdj_Quote#0000</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EURFUT3MZ4_Quote#0000</v>
      </c>
      <c r="G17" s="105" t="str">
        <f>_xll.ohRangeRetrieveError(F17)</f>
        <v/>
      </c>
      <c r="H17" s="141"/>
      <c r="J17" s="323"/>
      <c r="K17" s="329">
        <v>11</v>
      </c>
      <c r="L17" s="328" t="b">
        <v>0</v>
      </c>
      <c r="M17" s="259" t="str">
        <v>Z4</v>
      </c>
      <c r="N17" s="327">
        <v>41990</v>
      </c>
      <c r="O17" s="259" t="str">
        <v>FEIZ4</v>
      </c>
      <c r="P17" s="326">
        <v>41806</v>
      </c>
      <c r="Q17" s="259">
        <v>99.545000000000002</v>
      </c>
      <c r="R17" s="259">
        <v>99.55</v>
      </c>
      <c r="S17" s="259">
        <v>99.55</v>
      </c>
      <c r="T17" s="259">
        <v>99.56</v>
      </c>
      <c r="U17" s="262">
        <f>_xll.qlMidSafe($Q17,$R17)</f>
        <v>99.547499999999999</v>
      </c>
      <c r="V17" s="253"/>
      <c r="W17" s="325">
        <v>99.682500000000005</v>
      </c>
      <c r="X17" s="253"/>
      <c r="Y17" s="324">
        <v>99.682500000000005</v>
      </c>
      <c r="Z17" s="262">
        <f>_xll.qlSimpleQuoteSetValue(F17,Y17,Trigger)</f>
        <v>0.13500000000000512</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EURFUT3MZ4ConvAdj_Quote#0000</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EURFUT3MF5_Quote#0000</v>
      </c>
      <c r="G18" s="105" t="str">
        <f>_xll.ohRangeRetrieveError(F18)</f>
        <v/>
      </c>
      <c r="H18" s="141"/>
      <c r="J18" s="323"/>
      <c r="K18" s="329">
        <v>12</v>
      </c>
      <c r="L18" s="328" t="b">
        <v>0</v>
      </c>
      <c r="M18" s="259" t="str">
        <v>F5</v>
      </c>
      <c r="N18" s="327">
        <v>42025</v>
      </c>
      <c r="O18" s="259" t="str">
        <v>FEIF5</v>
      </c>
      <c r="P18" s="326" t="s">
        <v>244</v>
      </c>
      <c r="Q18" s="259" t="s">
        <v>244</v>
      </c>
      <c r="R18" s="259" t="s">
        <v>244</v>
      </c>
      <c r="S18" s="259" t="s">
        <v>244</v>
      </c>
      <c r="T18" s="259" t="s">
        <v>244</v>
      </c>
      <c r="U18" s="262" t="e">
        <f>_xll.qlMidSafe($Q18,$R18)</f>
        <v>#NUM!</v>
      </c>
      <c r="V18" s="253"/>
      <c r="W18" s="325" t="e">
        <v>#NUM!</v>
      </c>
      <c r="X18" s="253"/>
      <c r="Y18" s="324"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3"/>
      <c r="K19" s="329">
        <v>13</v>
      </c>
      <c r="L19" s="328" t="b">
        <v>1</v>
      </c>
      <c r="M19" s="259" t="str">
        <v>H5</v>
      </c>
      <c r="N19" s="327">
        <v>42081</v>
      </c>
      <c r="O19" s="259" t="str">
        <v>FEIH5</v>
      </c>
      <c r="P19" s="326">
        <v>41897</v>
      </c>
      <c r="Q19" s="259">
        <v>99.484999999999999</v>
      </c>
      <c r="R19" s="259">
        <v>99.49</v>
      </c>
      <c r="S19" s="259">
        <v>99.484999999999999</v>
      </c>
      <c r="T19" s="259">
        <v>99.51</v>
      </c>
      <c r="U19" s="262">
        <f>_xll.qlMidSafe($Q19,$R19)</f>
        <v>99.487499999999997</v>
      </c>
      <c r="V19" s="253"/>
      <c r="W19" s="325">
        <v>99.642499999999998</v>
      </c>
      <c r="X19" s="253"/>
      <c r="Y19" s="324">
        <v>99.642499999999998</v>
      </c>
      <c r="Z19" s="262">
        <f>_xll.qlSimpleQuoteSetValue(F19,Y19,Trigger)</f>
        <v>0.15500000000000114</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3"/>
      <c r="K20" s="329">
        <v>14</v>
      </c>
      <c r="L20" s="328" t="b">
        <v>1</v>
      </c>
      <c r="M20" s="259" t="str">
        <v>M5</v>
      </c>
      <c r="N20" s="327">
        <v>42172</v>
      </c>
      <c r="O20" s="259" t="str">
        <v>FEIM5</v>
      </c>
      <c r="P20" s="326">
        <v>41988</v>
      </c>
      <c r="Q20" s="259">
        <v>99.415000000000006</v>
      </c>
      <c r="R20" s="259">
        <v>99.42</v>
      </c>
      <c r="S20" s="259">
        <v>99.42</v>
      </c>
      <c r="T20" s="259">
        <v>99.454999999999998</v>
      </c>
      <c r="U20" s="262">
        <f>_xll.qlMidSafe($Q20,$R20)</f>
        <v>99.417500000000004</v>
      </c>
      <c r="V20" s="253"/>
      <c r="W20" s="325">
        <v>99.587500000000006</v>
      </c>
      <c r="X20" s="253"/>
      <c r="Y20" s="324">
        <v>99.587500000000006</v>
      </c>
      <c r="Z20" s="262">
        <f>_xll.qlSimpleQuoteSetValue(F20,Y20,Trigger)</f>
        <v>0.17000000000000171</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3"/>
      <c r="K21" s="329">
        <v>15</v>
      </c>
      <c r="L21" s="328" t="b">
        <v>1</v>
      </c>
      <c r="M21" s="259" t="str">
        <v>U5</v>
      </c>
      <c r="N21" s="327">
        <v>42263</v>
      </c>
      <c r="O21" s="259" t="str">
        <v>FEIU5</v>
      </c>
      <c r="P21" s="326">
        <v>42079</v>
      </c>
      <c r="Q21" s="259">
        <v>99.344999999999999</v>
      </c>
      <c r="R21" s="259">
        <v>99.35</v>
      </c>
      <c r="S21" s="259">
        <v>99.35</v>
      </c>
      <c r="T21" s="259">
        <v>99.394999999999996</v>
      </c>
      <c r="U21" s="262">
        <f>_xll.qlMidSafe($Q21,$R21)</f>
        <v>99.347499999999997</v>
      </c>
      <c r="V21" s="253"/>
      <c r="W21" s="325">
        <v>99.507499999999993</v>
      </c>
      <c r="X21" s="253"/>
      <c r="Y21" s="324">
        <v>99.507499999999993</v>
      </c>
      <c r="Z21" s="262">
        <f>_xll.qlSimpleQuoteSetValue(F21,Y21,Trigger)</f>
        <v>0.15999999999999659</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3"/>
      <c r="K22" s="329">
        <v>16</v>
      </c>
      <c r="L22" s="328" t="b">
        <v>1</v>
      </c>
      <c r="M22" s="259" t="str">
        <v>Z5</v>
      </c>
      <c r="N22" s="327">
        <v>42354</v>
      </c>
      <c r="O22" s="259" t="str">
        <v>FEIZ5</v>
      </c>
      <c r="P22" s="326">
        <v>42170</v>
      </c>
      <c r="Q22" s="259">
        <v>99.265000000000001</v>
      </c>
      <c r="R22" s="259">
        <v>99.27</v>
      </c>
      <c r="S22" s="259">
        <v>99.27</v>
      </c>
      <c r="T22" s="259">
        <v>99.325000000000003</v>
      </c>
      <c r="U22" s="262">
        <f>_xll.qlMidSafe($Q22,$R22)</f>
        <v>99.267499999999998</v>
      </c>
      <c r="V22" s="253"/>
      <c r="W22" s="325">
        <v>99.412499999999994</v>
      </c>
      <c r="X22" s="253"/>
      <c r="Y22" s="324">
        <v>99.412499999999994</v>
      </c>
      <c r="Z22" s="262">
        <f>_xll.qlSimpleQuoteSetValue(F22,Y22,Trigger)</f>
        <v>0.14499999999999602</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3"/>
      <c r="K23" s="329">
        <v>17</v>
      </c>
      <c r="L23" s="328" t="b">
        <v>1</v>
      </c>
      <c r="M23" s="259" t="str">
        <v>H6</v>
      </c>
      <c r="N23" s="327">
        <v>42445</v>
      </c>
      <c r="O23" s="259" t="str">
        <v>FEIH6</v>
      </c>
      <c r="P23" s="326">
        <v>42261</v>
      </c>
      <c r="Q23" s="259">
        <v>99.18</v>
      </c>
      <c r="R23" s="259">
        <v>99.185000000000002</v>
      </c>
      <c r="S23" s="259">
        <v>99.185000000000002</v>
      </c>
      <c r="T23" s="259">
        <v>99.245000000000005</v>
      </c>
      <c r="U23" s="262">
        <f>_xll.qlMidSafe($Q23,$R23)</f>
        <v>99.182500000000005</v>
      </c>
      <c r="V23" s="253"/>
      <c r="W23" s="325">
        <v>99.292500000000004</v>
      </c>
      <c r="X23" s="253"/>
      <c r="Y23" s="324">
        <v>99.292500000000004</v>
      </c>
      <c r="Z23" s="262">
        <f>_xll.qlSimpleQuoteSetValue(F23,Y23,Trigger)</f>
        <v>0.10999999999999943</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3"/>
      <c r="K24" s="329">
        <v>18</v>
      </c>
      <c r="L24" s="328" t="b">
        <v>1</v>
      </c>
      <c r="M24" s="259" t="str">
        <v>M6</v>
      </c>
      <c r="N24" s="327">
        <v>42536</v>
      </c>
      <c r="O24" s="259" t="str">
        <v>FEIM6</v>
      </c>
      <c r="P24" s="326">
        <v>42352</v>
      </c>
      <c r="Q24" s="259">
        <v>99.07</v>
      </c>
      <c r="R24" s="259">
        <v>99.08</v>
      </c>
      <c r="S24" s="259">
        <v>99.075000000000003</v>
      </c>
      <c r="T24" s="259">
        <v>99.15</v>
      </c>
      <c r="U24" s="262">
        <f>_xll.qlMidSafe($Q24,$R24)</f>
        <v>99.074999999999989</v>
      </c>
      <c r="V24" s="253"/>
      <c r="W24" s="325">
        <v>99.16</v>
      </c>
      <c r="X24" s="253"/>
      <c r="Y24" s="324">
        <v>99.16</v>
      </c>
      <c r="Z24" s="262">
        <f>_xll.qlSimpleQuoteSetValue(F24,Y24,Trigger)</f>
        <v>8.5000000000007958E-2</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3"/>
      <c r="K25" s="329">
        <v>19</v>
      </c>
      <c r="L25" s="328" t="b">
        <v>1</v>
      </c>
      <c r="M25" s="259" t="str">
        <v>U6</v>
      </c>
      <c r="N25" s="327">
        <v>42634</v>
      </c>
      <c r="O25" s="259" t="str">
        <v>FEIU6</v>
      </c>
      <c r="P25" s="326">
        <v>42443</v>
      </c>
      <c r="Q25" s="259">
        <v>98.944999999999993</v>
      </c>
      <c r="R25" s="259">
        <v>98.954999999999998</v>
      </c>
      <c r="S25" s="259">
        <v>98.95</v>
      </c>
      <c r="T25" s="259">
        <v>99.034999999999997</v>
      </c>
      <c r="U25" s="262">
        <f>_xll.qlMidSafe($Q25,$R25)</f>
        <v>98.949999999999989</v>
      </c>
      <c r="V25" s="253"/>
      <c r="W25" s="325">
        <v>99.007499999999993</v>
      </c>
      <c r="X25" s="253"/>
      <c r="Y25" s="324">
        <v>99.007499999999993</v>
      </c>
      <c r="Z25" s="262">
        <f>_xll.qlSimpleQuoteSetValue(F25,Y25,Trigger)</f>
        <v>5.7500000000004547E-2</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3"/>
      <c r="K26" s="329">
        <v>20</v>
      </c>
      <c r="L26" s="328" t="b">
        <v>1</v>
      </c>
      <c r="M26" s="259" t="str">
        <v>Z6</v>
      </c>
      <c r="N26" s="327">
        <v>42725</v>
      </c>
      <c r="O26" s="259" t="str">
        <v>FEIZ6</v>
      </c>
      <c r="P26" s="326">
        <v>42534</v>
      </c>
      <c r="Q26" s="259">
        <v>98.8</v>
      </c>
      <c r="R26" s="259">
        <v>98.805000000000007</v>
      </c>
      <c r="S26" s="259">
        <v>98.81</v>
      </c>
      <c r="T26" s="259">
        <v>98.9</v>
      </c>
      <c r="U26" s="262">
        <f>_xll.qlMidSafe($Q26,$R26)</f>
        <v>98.802500000000009</v>
      </c>
      <c r="V26" s="253"/>
      <c r="W26" s="325">
        <v>98.844999999999999</v>
      </c>
      <c r="X26" s="253"/>
      <c r="Y26" s="324">
        <v>98.844999999999999</v>
      </c>
      <c r="Z26" s="262">
        <f>_xll.qlSimpleQuoteSetValue(F26,Y26,Trigger)</f>
        <v>4.2499999999989768E-2</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3"/>
      <c r="K27" s="329">
        <v>21</v>
      </c>
      <c r="L27" s="328" t="b">
        <v>1</v>
      </c>
      <c r="M27" s="259" t="str">
        <v>H7</v>
      </c>
      <c r="N27" s="327">
        <v>42809</v>
      </c>
      <c r="O27" s="259" t="str">
        <v>FEIH7</v>
      </c>
      <c r="P27" s="326">
        <v>42632</v>
      </c>
      <c r="Q27" s="259">
        <v>98.65</v>
      </c>
      <c r="R27" s="259">
        <v>98.66</v>
      </c>
      <c r="S27" s="259">
        <v>98.66</v>
      </c>
      <c r="T27" s="259">
        <v>98.765000000000001</v>
      </c>
      <c r="U27" s="262">
        <f>_xll.qlMidSafe($Q27,$R27)</f>
        <v>98.655000000000001</v>
      </c>
      <c r="V27" s="253"/>
      <c r="W27" s="325">
        <v>98.694999999999993</v>
      </c>
      <c r="X27" s="253"/>
      <c r="Y27" s="324">
        <v>98.694999999999993</v>
      </c>
      <c r="Z27" s="262">
        <f>_xll.qlSimpleQuoteSetValue(F27,Y27,Trigger)</f>
        <v>3.9999999999992042E-2</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3"/>
      <c r="K28" s="329">
        <v>22</v>
      </c>
      <c r="L28" s="328" t="b">
        <v>1</v>
      </c>
      <c r="M28" s="259" t="str">
        <v>M7</v>
      </c>
      <c r="N28" s="327">
        <v>42907</v>
      </c>
      <c r="O28" s="259" t="str">
        <v>FEIM7</v>
      </c>
      <c r="P28" s="326">
        <v>42723</v>
      </c>
      <c r="Q28" s="259">
        <v>98.51</v>
      </c>
      <c r="R28" s="259">
        <v>98.52</v>
      </c>
      <c r="S28" s="259">
        <v>98.525000000000006</v>
      </c>
      <c r="T28" s="259">
        <v>98.63</v>
      </c>
      <c r="U28" s="262">
        <f>_xll.qlMidSafe($Q28,$R28)</f>
        <v>98.515000000000001</v>
      </c>
      <c r="V28" s="253"/>
      <c r="W28" s="325">
        <v>98.54</v>
      </c>
      <c r="X28" s="253"/>
      <c r="Y28" s="324">
        <v>98.54</v>
      </c>
      <c r="Z28" s="262">
        <f>_xll.qlSimpleQuoteSetValue(F28,Y28,Trigger)</f>
        <v>2.5000000000005684E-2</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3"/>
      <c r="K29" s="329">
        <v>23</v>
      </c>
      <c r="L29" s="328" t="b">
        <v>1</v>
      </c>
      <c r="M29" s="259" t="str">
        <v>U7</v>
      </c>
      <c r="N29" s="327">
        <v>42998</v>
      </c>
      <c r="O29" s="259" t="str">
        <v>FEIU7</v>
      </c>
      <c r="P29" s="326">
        <v>42807</v>
      </c>
      <c r="Q29" s="259">
        <v>98.375</v>
      </c>
      <c r="R29" s="259">
        <v>98.385000000000005</v>
      </c>
      <c r="S29" s="259">
        <v>98.385000000000005</v>
      </c>
      <c r="T29" s="259">
        <v>98.5</v>
      </c>
      <c r="U29" s="262">
        <f>_xll.qlMidSafe($Q29,$R29)</f>
        <v>98.38</v>
      </c>
      <c r="V29" s="253"/>
      <c r="W29" s="325">
        <v>98.394999999999996</v>
      </c>
      <c r="X29" s="253"/>
      <c r="Y29" s="324">
        <v>98.394999999999996</v>
      </c>
      <c r="Z29" s="262">
        <f>_xll.qlSimpleQuoteSetValue(F29,Y29,Trigger)</f>
        <v>1.5000000000000568E-2</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3"/>
      <c r="K30" s="329">
        <v>24</v>
      </c>
      <c r="L30" s="328" t="b">
        <v>1</v>
      </c>
      <c r="M30" s="259" t="str">
        <v>Z7</v>
      </c>
      <c r="N30" s="327">
        <v>43089</v>
      </c>
      <c r="O30" s="259" t="str">
        <v>FEIZ7</v>
      </c>
      <c r="P30" s="326">
        <v>42905</v>
      </c>
      <c r="Q30" s="259">
        <v>98.24</v>
      </c>
      <c r="R30" s="259">
        <v>98.25</v>
      </c>
      <c r="S30" s="259">
        <v>98.254999999999995</v>
      </c>
      <c r="T30" s="259">
        <v>98.37</v>
      </c>
      <c r="U30" s="262">
        <f>_xll.qlMidSafe($Q30,$R30)</f>
        <v>98.245000000000005</v>
      </c>
      <c r="V30" s="253"/>
      <c r="W30" s="325">
        <v>98.257499999999993</v>
      </c>
      <c r="X30" s="253"/>
      <c r="Y30" s="324">
        <v>98.257499999999993</v>
      </c>
      <c r="Z30" s="262">
        <f>_xll.qlSimpleQuoteSetValue(F30,Y30,Trigger)</f>
        <v>1.2499999999988631E-2</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3"/>
      <c r="K31" s="329">
        <v>25</v>
      </c>
      <c r="L31" s="328" t="b">
        <v>1</v>
      </c>
      <c r="M31" s="259" t="str">
        <v>H8</v>
      </c>
      <c r="N31" s="327">
        <v>43180</v>
      </c>
      <c r="O31" s="259" t="str">
        <v>FEIH8</v>
      </c>
      <c r="P31" s="326">
        <v>42996</v>
      </c>
      <c r="Q31" s="259">
        <v>98.114999999999995</v>
      </c>
      <c r="R31" s="259">
        <v>98.13</v>
      </c>
      <c r="S31" s="259">
        <v>98.125</v>
      </c>
      <c r="T31" s="259">
        <v>98.245000000000005</v>
      </c>
      <c r="U31" s="262">
        <f>_xll.qlMidSafe($Q31,$R31)</f>
        <v>98.122500000000002</v>
      </c>
      <c r="V31" s="253"/>
      <c r="W31" s="325">
        <v>98.142499999999998</v>
      </c>
      <c r="X31" s="253"/>
      <c r="Y31" s="324">
        <v>98.142499999999998</v>
      </c>
      <c r="Z31" s="262">
        <f>_xll.qlSimpleQuoteSetValue(F31,Y31,Trigger)</f>
        <v>1.9999999999996021E-2</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3"/>
      <c r="K32" s="329">
        <v>26</v>
      </c>
      <c r="L32" s="328" t="b">
        <v>1</v>
      </c>
      <c r="M32" s="259" t="str">
        <v>M8</v>
      </c>
      <c r="N32" s="327">
        <v>43271</v>
      </c>
      <c r="O32" s="259" t="str">
        <v>FEIM8</v>
      </c>
      <c r="P32" s="326">
        <v>43087</v>
      </c>
      <c r="Q32" s="259">
        <v>97.995000000000005</v>
      </c>
      <c r="R32" s="259">
        <v>98.015000000000001</v>
      </c>
      <c r="S32" s="259">
        <v>98.045000000000002</v>
      </c>
      <c r="T32" s="259">
        <v>98.135000000000005</v>
      </c>
      <c r="U32" s="262">
        <f>_xll.qlMidSafe($Q32,$R32)</f>
        <v>98.004999999999995</v>
      </c>
      <c r="V32" s="253"/>
      <c r="W32" s="325">
        <v>98.025000000000006</v>
      </c>
      <c r="X32" s="253"/>
      <c r="Y32" s="324">
        <v>98.025000000000006</v>
      </c>
      <c r="Z32" s="262">
        <f>_xll.qlSimpleQuoteSetValue(F32,Y32,Trigger)</f>
        <v>2.0000000000010232E-2</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3"/>
      <c r="K33" s="329">
        <v>27</v>
      </c>
      <c r="L33" s="328" t="b">
        <v>1</v>
      </c>
      <c r="M33" s="259" t="str">
        <v>U8</v>
      </c>
      <c r="N33" s="327">
        <v>43362</v>
      </c>
      <c r="O33" s="259" t="str">
        <v>FEIU8</v>
      </c>
      <c r="P33" s="326">
        <v>43178</v>
      </c>
      <c r="Q33" s="259">
        <v>97.91</v>
      </c>
      <c r="R33" s="259">
        <v>97.924999999999997</v>
      </c>
      <c r="S33" s="259">
        <v>97.96</v>
      </c>
      <c r="T33" s="259">
        <v>98.045000000000002</v>
      </c>
      <c r="U33" s="262">
        <f>_xll.qlMidSafe($Q33,$R33)</f>
        <v>97.91749999999999</v>
      </c>
      <c r="V33" s="253"/>
      <c r="W33" s="325">
        <v>97.915000000000006</v>
      </c>
      <c r="X33" s="253"/>
      <c r="Y33" s="324">
        <v>97.915000000000006</v>
      </c>
      <c r="Z33" s="262">
        <f>_xll.qlSimpleQuoteSetValue(F33,Y33,Trigger)</f>
        <v>-2.4999999999835154E-3</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3"/>
      <c r="K34" s="329">
        <v>28</v>
      </c>
      <c r="L34" s="328" t="b">
        <v>1</v>
      </c>
      <c r="M34" s="259" t="str">
        <v>Z8</v>
      </c>
      <c r="N34" s="327">
        <v>43453</v>
      </c>
      <c r="O34" s="259" t="str">
        <v>FEIZ8</v>
      </c>
      <c r="P34" s="326">
        <v>43269</v>
      </c>
      <c r="Q34" s="259">
        <v>97.825000000000003</v>
      </c>
      <c r="R34" s="259">
        <v>97.84</v>
      </c>
      <c r="S34" s="259">
        <v>97.825000000000003</v>
      </c>
      <c r="T34" s="259">
        <v>97.954999999999998</v>
      </c>
      <c r="U34" s="262">
        <f>_xll.qlMidSafe($Q34,$R34)</f>
        <v>97.83250000000001</v>
      </c>
      <c r="V34" s="253"/>
      <c r="W34" s="325">
        <v>97.787499999999994</v>
      </c>
      <c r="X34" s="253"/>
      <c r="Y34" s="324">
        <v>97.787499999999994</v>
      </c>
      <c r="Z34" s="262">
        <f>_xll.qlSimpleQuoteSetValue(F34,Y34,Trigger)</f>
        <v>-4.5000000000015916E-2</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3"/>
      <c r="K35" s="329">
        <v>29</v>
      </c>
      <c r="L35" s="328" t="b">
        <v>1</v>
      </c>
      <c r="M35" s="259" t="str">
        <v>H9</v>
      </c>
      <c r="N35" s="327">
        <v>43544</v>
      </c>
      <c r="O35" s="259" t="str">
        <v>FEIH9</v>
      </c>
      <c r="P35" s="326">
        <v>43360</v>
      </c>
      <c r="Q35" s="259">
        <v>97.734999999999999</v>
      </c>
      <c r="R35" s="259">
        <v>97.78</v>
      </c>
      <c r="S35" s="259">
        <v>97.81</v>
      </c>
      <c r="T35" s="259">
        <v>97.875</v>
      </c>
      <c r="U35" s="262">
        <f>_xll.qlMidSafe($Q35,$R35)</f>
        <v>97.757499999999993</v>
      </c>
      <c r="V35" s="253"/>
      <c r="W35" s="325">
        <v>97.685000000000002</v>
      </c>
      <c r="X35" s="253"/>
      <c r="Y35" s="324">
        <v>97.685000000000002</v>
      </c>
      <c r="Z35" s="262">
        <f>_xll.qlSimpleQuoteSetValue(F35,Y35,Trigger)</f>
        <v>-7.2499999999990905E-2</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3"/>
      <c r="K36" s="329">
        <v>30</v>
      </c>
      <c r="L36" s="328" t="b">
        <v>1</v>
      </c>
      <c r="M36" s="259" t="str">
        <v>M9</v>
      </c>
      <c r="N36" s="327">
        <v>43635</v>
      </c>
      <c r="O36" s="259" t="str">
        <v>FEIM9</v>
      </c>
      <c r="P36" s="326">
        <v>43451</v>
      </c>
      <c r="Q36" s="259">
        <v>97.65</v>
      </c>
      <c r="R36" s="259">
        <v>97.69</v>
      </c>
      <c r="S36" s="259">
        <v>0</v>
      </c>
      <c r="T36" s="259">
        <v>97.795000000000002</v>
      </c>
      <c r="U36" s="262">
        <f>_xll.qlMidSafe($Q36,$R36)</f>
        <v>97.67</v>
      </c>
      <c r="V36" s="253"/>
      <c r="W36" s="325">
        <v>97.58</v>
      </c>
      <c r="X36" s="253"/>
      <c r="Y36" s="324">
        <v>97.58</v>
      </c>
      <c r="Z36" s="262">
        <f>_xll.qlSimpleQuoteSetValue(F36,Y36,Trigger)</f>
        <v>-9.0000000000003411E-2</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3"/>
      <c r="K37" s="329">
        <v>31</v>
      </c>
      <c r="L37" s="328" t="b">
        <v>1</v>
      </c>
      <c r="M37" s="259" t="str">
        <v>U9</v>
      </c>
      <c r="N37" s="327">
        <v>43726</v>
      </c>
      <c r="O37" s="259" t="str">
        <v>FEIU9</v>
      </c>
      <c r="P37" s="326">
        <v>43542</v>
      </c>
      <c r="Q37" s="259">
        <v>0</v>
      </c>
      <c r="R37" s="259">
        <v>0</v>
      </c>
      <c r="S37" s="259">
        <v>0</v>
      </c>
      <c r="T37" s="259">
        <v>97.715000000000003</v>
      </c>
      <c r="U37" s="262" t="e">
        <f>_xll.qlMidSafe($Q37,$R37)</f>
        <v>#NUM!</v>
      </c>
      <c r="V37" s="253"/>
      <c r="W37" s="325">
        <v>97.472499999999997</v>
      </c>
      <c r="X37" s="253"/>
      <c r="Y37" s="324">
        <v>97.472499999999997</v>
      </c>
      <c r="Z37" s="262">
        <f>_xll.qlSimpleQuoteSetValue(F37,Y37,Trigger)</f>
        <v>0</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3"/>
      <c r="K38" s="329">
        <v>32</v>
      </c>
      <c r="L38" s="328" t="b">
        <v>1</v>
      </c>
      <c r="M38" s="259" t="str">
        <v>Z9</v>
      </c>
      <c r="N38" s="327">
        <v>43817</v>
      </c>
      <c r="O38" s="259" t="str">
        <v>FEIZ9</v>
      </c>
      <c r="P38" s="326">
        <v>43633</v>
      </c>
      <c r="Q38" s="259">
        <v>0</v>
      </c>
      <c r="R38" s="259">
        <v>0</v>
      </c>
      <c r="S38" s="259">
        <v>0</v>
      </c>
      <c r="T38" s="259">
        <v>97.605000000000004</v>
      </c>
      <c r="U38" s="262" t="e">
        <f>_xll.qlMidSafe($Q38,$R38)</f>
        <v>#NUM!</v>
      </c>
      <c r="V38" s="253"/>
      <c r="W38" s="325">
        <v>97.39</v>
      </c>
      <c r="X38" s="253"/>
      <c r="Y38" s="324">
        <v>97.39</v>
      </c>
      <c r="Z38" s="262">
        <f>_xll.qlSimpleQuoteSetValue(F38,Y38,Trigger)</f>
        <v>0</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3"/>
      <c r="K39" s="329">
        <v>33</v>
      </c>
      <c r="L39" s="328" t="b">
        <v>1</v>
      </c>
      <c r="M39" s="259" t="str">
        <v>H0</v>
      </c>
      <c r="N39" s="327">
        <v>43908</v>
      </c>
      <c r="O39" s="259" t="str">
        <v>FEIH0</v>
      </c>
      <c r="P39" s="326" t="s">
        <v>244</v>
      </c>
      <c r="Q39" s="259" t="s">
        <v>244</v>
      </c>
      <c r="R39" s="259" t="s">
        <v>244</v>
      </c>
      <c r="S39" s="259" t="s">
        <v>244</v>
      </c>
      <c r="T39" s="259" t="s">
        <v>244</v>
      </c>
      <c r="U39" s="262" t="e">
        <f>_xll.qlMidSafe($Q39,$R39)</f>
        <v>#NUM!</v>
      </c>
      <c r="V39" s="253"/>
      <c r="W39" s="325" t="e">
        <v>#NUM!</v>
      </c>
      <c r="X39" s="253"/>
      <c r="Y39" s="324"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3"/>
      <c r="K40" s="329">
        <v>34</v>
      </c>
      <c r="L40" s="328" t="b">
        <v>1</v>
      </c>
      <c r="M40" s="259" t="str">
        <v>M0</v>
      </c>
      <c r="N40" s="327">
        <v>43999</v>
      </c>
      <c r="O40" s="259" t="str">
        <v>FEIM0</v>
      </c>
      <c r="P40" s="326" t="s">
        <v>244</v>
      </c>
      <c r="Q40" s="259" t="s">
        <v>244</v>
      </c>
      <c r="R40" s="259" t="s">
        <v>244</v>
      </c>
      <c r="S40" s="259" t="s">
        <v>244</v>
      </c>
      <c r="T40" s="259" t="s">
        <v>244</v>
      </c>
      <c r="U40" s="262" t="e">
        <f>_xll.qlMidSafe($Q40,$R40)</f>
        <v>#NUM!</v>
      </c>
      <c r="V40" s="253"/>
      <c r="W40" s="325" t="e">
        <v>#NUM!</v>
      </c>
      <c r="X40" s="253"/>
      <c r="Y40" s="324"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3"/>
      <c r="K41" s="329">
        <v>35</v>
      </c>
      <c r="L41" s="328" t="b">
        <v>1</v>
      </c>
      <c r="M41" s="259" t="str">
        <v>U0</v>
      </c>
      <c r="N41" s="327">
        <v>44090</v>
      </c>
      <c r="O41" s="259" t="str">
        <v>FEIU0</v>
      </c>
      <c r="P41" s="326" t="s">
        <v>244</v>
      </c>
      <c r="Q41" s="259" t="s">
        <v>244</v>
      </c>
      <c r="R41" s="259" t="s">
        <v>244</v>
      </c>
      <c r="S41" s="259" t="s">
        <v>244</v>
      </c>
      <c r="T41" s="259" t="s">
        <v>244</v>
      </c>
      <c r="U41" s="262" t="e">
        <f>_xll.qlMidSafe($Q41,$R41)</f>
        <v>#NUM!</v>
      </c>
      <c r="V41" s="253"/>
      <c r="W41" s="325" t="e">
        <v>#NUM!</v>
      </c>
      <c r="X41" s="253"/>
      <c r="Y41" s="324"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3"/>
      <c r="K42" s="329">
        <v>36</v>
      </c>
      <c r="L42" s="328" t="b">
        <v>1</v>
      </c>
      <c r="M42" s="259" t="str">
        <v>Z0</v>
      </c>
      <c r="N42" s="327">
        <v>44181</v>
      </c>
      <c r="O42" s="259" t="str">
        <v>FEIZ0</v>
      </c>
      <c r="P42" s="326" t="s">
        <v>244</v>
      </c>
      <c r="Q42" s="259" t="s">
        <v>244</v>
      </c>
      <c r="R42" s="259" t="s">
        <v>244</v>
      </c>
      <c r="S42" s="259" t="s">
        <v>244</v>
      </c>
      <c r="T42" s="259" t="s">
        <v>244</v>
      </c>
      <c r="U42" s="262" t="e">
        <f>_xll.qlMidSafe($Q42,$R42)</f>
        <v>#NUM!</v>
      </c>
      <c r="V42" s="253"/>
      <c r="W42" s="325" t="e">
        <v>#NUM!</v>
      </c>
      <c r="X42" s="253"/>
      <c r="Y42" s="324"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3"/>
      <c r="K43" s="329">
        <v>37</v>
      </c>
      <c r="L43" s="328" t="b">
        <v>1</v>
      </c>
      <c r="M43" s="259" t="str">
        <v>H1</v>
      </c>
      <c r="N43" s="327">
        <v>44272</v>
      </c>
      <c r="O43" s="259" t="str">
        <v>FEIH1</v>
      </c>
      <c r="P43" s="326" t="s">
        <v>244</v>
      </c>
      <c r="Q43" s="259" t="s">
        <v>244</v>
      </c>
      <c r="R43" s="259" t="s">
        <v>244</v>
      </c>
      <c r="S43" s="259" t="s">
        <v>244</v>
      </c>
      <c r="T43" s="259" t="s">
        <v>244</v>
      </c>
      <c r="U43" s="262" t="e">
        <f>_xll.qlMidSafe($Q43,$R43)</f>
        <v>#NUM!</v>
      </c>
      <c r="V43" s="253"/>
      <c r="W43" s="325" t="e">
        <v>#NUM!</v>
      </c>
      <c r="X43" s="253"/>
      <c r="Y43" s="324"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3"/>
      <c r="K44" s="329">
        <v>38</v>
      </c>
      <c r="L44" s="328" t="b">
        <v>1</v>
      </c>
      <c r="M44" s="259" t="str">
        <v>M1</v>
      </c>
      <c r="N44" s="327">
        <v>44363</v>
      </c>
      <c r="O44" s="259" t="str">
        <v>FEIM1</v>
      </c>
      <c r="P44" s="326" t="s">
        <v>244</v>
      </c>
      <c r="Q44" s="259" t="s">
        <v>244</v>
      </c>
      <c r="R44" s="259" t="s">
        <v>244</v>
      </c>
      <c r="S44" s="259" t="s">
        <v>244</v>
      </c>
      <c r="T44" s="259" t="s">
        <v>244</v>
      </c>
      <c r="U44" s="262" t="e">
        <f>_xll.qlMidSafe($Q44,$R44)</f>
        <v>#NUM!</v>
      </c>
      <c r="V44" s="253"/>
      <c r="W44" s="325" t="e">
        <v>#NUM!</v>
      </c>
      <c r="X44" s="253"/>
      <c r="Y44" s="324"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3"/>
      <c r="K45" s="329">
        <v>39</v>
      </c>
      <c r="L45" s="328" t="b">
        <v>1</v>
      </c>
      <c r="M45" s="259" t="str">
        <v>U1</v>
      </c>
      <c r="N45" s="327">
        <v>44454</v>
      </c>
      <c r="O45" s="259" t="str">
        <v>FEIU1</v>
      </c>
      <c r="P45" s="326" t="s">
        <v>244</v>
      </c>
      <c r="Q45" s="259" t="s">
        <v>244</v>
      </c>
      <c r="R45" s="259" t="s">
        <v>244</v>
      </c>
      <c r="S45" s="259" t="s">
        <v>244</v>
      </c>
      <c r="T45" s="259" t="s">
        <v>244</v>
      </c>
      <c r="U45" s="262" t="e">
        <f>_xll.qlMidSafe($Q45,$R45)</f>
        <v>#NUM!</v>
      </c>
      <c r="V45" s="253"/>
      <c r="W45" s="325" t="e">
        <v>#NUM!</v>
      </c>
      <c r="X45" s="253"/>
      <c r="Y45" s="324"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3"/>
      <c r="K46" s="329">
        <v>40</v>
      </c>
      <c r="L46" s="328" t="b">
        <v>1</v>
      </c>
      <c r="M46" s="259" t="str">
        <v>Z1</v>
      </c>
      <c r="N46" s="327">
        <v>44545</v>
      </c>
      <c r="O46" s="259" t="str">
        <v>FEIZ1</v>
      </c>
      <c r="P46" s="326" t="s">
        <v>244</v>
      </c>
      <c r="Q46" s="259" t="s">
        <v>244</v>
      </c>
      <c r="R46" s="259" t="s">
        <v>244</v>
      </c>
      <c r="S46" s="259" t="s">
        <v>244</v>
      </c>
      <c r="T46" s="259" t="s">
        <v>244</v>
      </c>
      <c r="U46" s="262" t="e">
        <f>_xll.qlMidSafe($Q46,$R46)</f>
        <v>#NUM!</v>
      </c>
      <c r="V46" s="253"/>
      <c r="W46" s="325" t="e">
        <v>#NUM!</v>
      </c>
      <c r="X46" s="253"/>
      <c r="Y46" s="324"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3"/>
      <c r="K47" s="329">
        <v>41</v>
      </c>
      <c r="L47" s="328" t="b">
        <v>1</v>
      </c>
      <c r="M47" s="259" t="str">
        <v>H2</v>
      </c>
      <c r="N47" s="327">
        <v>44636</v>
      </c>
      <c r="O47" s="259" t="str">
        <v>FEIH2</v>
      </c>
      <c r="P47" s="326" t="s">
        <v>244</v>
      </c>
      <c r="Q47" s="259" t="s">
        <v>244</v>
      </c>
      <c r="R47" s="259" t="s">
        <v>244</v>
      </c>
      <c r="S47" s="259" t="s">
        <v>244</v>
      </c>
      <c r="T47" s="259" t="s">
        <v>244</v>
      </c>
      <c r="U47" s="262" t="e">
        <f>_xll.qlMidSafe($Q47,$R47)</f>
        <v>#NUM!</v>
      </c>
      <c r="V47" s="253"/>
      <c r="W47" s="325" t="e">
        <v>#NUM!</v>
      </c>
      <c r="X47" s="253"/>
      <c r="Y47" s="324"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3"/>
      <c r="K48" s="322">
        <v>42</v>
      </c>
      <c r="L48" s="321" t="b">
        <v>1</v>
      </c>
      <c r="M48" s="251" t="str">
        <v>M2</v>
      </c>
      <c r="N48" s="320">
        <v>44727</v>
      </c>
      <c r="O48" s="251" t="str">
        <v>FEIM2</v>
      </c>
      <c r="P48" s="319" t="s">
        <v>244</v>
      </c>
      <c r="Q48" s="251" t="s">
        <v>244</v>
      </c>
      <c r="R48" s="251" t="s">
        <v>244</v>
      </c>
      <c r="S48" s="251" t="s">
        <v>244</v>
      </c>
      <c r="T48" s="251" t="s">
        <v>244</v>
      </c>
      <c r="U48" s="255" t="e">
        <f>_xll.qlMidSafe($Q48,$R48)</f>
        <v>#NUM!</v>
      </c>
      <c r="V48" s="253"/>
      <c r="W48" s="318" t="e">
        <v>#NUM!</v>
      </c>
      <c r="X48" s="253"/>
      <c r="Y48" s="317"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16"/>
      <c r="K49" s="47"/>
      <c r="L49" s="47"/>
      <c r="M49" s="47"/>
      <c r="N49" s="47"/>
      <c r="O49" s="47"/>
      <c r="P49" s="47"/>
      <c r="Q49" s="47"/>
      <c r="R49" s="47"/>
      <c r="S49" s="47"/>
      <c r="T49" s="47"/>
      <c r="U49" s="47"/>
      <c r="V49" s="47"/>
      <c r="W49" s="47"/>
      <c r="X49" s="47"/>
      <c r="Y49" s="47"/>
      <c r="Z49" s="47"/>
      <c r="AA49" s="46"/>
      <c r="AB49" s="17"/>
      <c r="AC49" s="17"/>
      <c r="AD49" s="17"/>
      <c r="AE49" s="17"/>
      <c r="AF49" s="17"/>
      <c r="AH49" s="316"/>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16384" width="9.140625" style="68"/>
  </cols>
  <sheetData>
    <row r="1" spans="1:29" x14ac:dyDescent="0.2">
      <c r="J1" s="288" t="s">
        <v>293</v>
      </c>
      <c r="K1" s="199"/>
      <c r="L1" s="199"/>
      <c r="M1" s="199"/>
      <c r="N1" s="199"/>
      <c r="O1" s="199"/>
      <c r="P1" s="199"/>
      <c r="Q1" s="199"/>
      <c r="R1" s="199"/>
      <c r="S1" s="199"/>
      <c r="T1" s="199"/>
      <c r="U1" s="199"/>
      <c r="V1" s="340"/>
      <c r="W1" s="340"/>
      <c r="X1" s="199"/>
      <c r="Y1" s="199"/>
      <c r="Z1" s="199"/>
      <c r="AA1" s="339"/>
      <c r="AB1" s="17"/>
      <c r="AC1" s="17"/>
    </row>
    <row r="2" spans="1:29" x14ac:dyDescent="0.2">
      <c r="J2" s="287"/>
      <c r="K2" s="137"/>
      <c r="L2" s="286"/>
      <c r="M2" s="286"/>
      <c r="N2" s="17"/>
      <c r="O2" s="144" t="s">
        <v>222</v>
      </c>
      <c r="P2" s="137"/>
      <c r="Q2" s="137"/>
      <c r="R2" s="137"/>
      <c r="S2" s="137"/>
      <c r="T2" s="137"/>
      <c r="U2" s="137"/>
      <c r="V2" s="253"/>
      <c r="W2" s="253"/>
      <c r="X2" s="137"/>
      <c r="Y2" s="253"/>
      <c r="Z2" s="137"/>
      <c r="AA2" s="338"/>
      <c r="AB2" s="17"/>
      <c r="AC2" s="17"/>
    </row>
    <row r="3" spans="1:29" ht="12" thickBot="1" x14ac:dyDescent="0.25">
      <c r="J3" s="287"/>
      <c r="K3" s="137"/>
      <c r="L3" s="137"/>
      <c r="M3" s="137"/>
      <c r="N3" s="137"/>
      <c r="O3" s="137"/>
      <c r="P3" s="137"/>
      <c r="Q3" s="137"/>
      <c r="R3" s="137"/>
      <c r="S3" s="137"/>
      <c r="T3" s="137"/>
      <c r="U3" s="137"/>
      <c r="V3" s="253"/>
      <c r="W3" s="253"/>
      <c r="X3" s="137"/>
      <c r="Y3" s="137"/>
      <c r="Z3" s="137"/>
      <c r="AA3" s="338"/>
      <c r="AB3" s="17"/>
      <c r="AC3" s="17"/>
    </row>
    <row r="4" spans="1:29" x14ac:dyDescent="0.2">
      <c r="A4" s="157" t="s">
        <v>177</v>
      </c>
      <c r="B4" s="156"/>
      <c r="C4" s="156"/>
      <c r="D4" s="155" t="s">
        <v>176</v>
      </c>
      <c r="E4" s="155" t="s">
        <v>27</v>
      </c>
      <c r="F4" s="154"/>
      <c r="G4" s="154"/>
      <c r="H4" s="153"/>
      <c r="J4" s="287"/>
      <c r="K4" s="137"/>
      <c r="L4" s="137"/>
      <c r="M4" s="137"/>
      <c r="N4" s="348">
        <f>_xll.qlCalendarEndOfMonth("TARGET",_xll.qlCalendarAdvance("TARGET",_xll.qlSettingsEvaluationDate(Trigger),"2d"))</f>
        <v>41670</v>
      </c>
      <c r="O4" s="137"/>
      <c r="P4" s="137"/>
      <c r="Q4" s="137"/>
      <c r="R4" s="137"/>
      <c r="S4" s="137"/>
      <c r="T4" s="137"/>
      <c r="U4" s="137"/>
      <c r="V4" s="253"/>
      <c r="W4" s="253"/>
      <c r="X4" s="137"/>
      <c r="Y4" s="137"/>
      <c r="Z4" s="284">
        <f>_xll.ohTrigger(Z6:Z9)</f>
        <v>3</v>
      </c>
      <c r="AA4" s="338"/>
      <c r="AB4" s="17"/>
      <c r="AC4" s="17"/>
    </row>
    <row r="5" spans="1:29"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6" t="s">
        <v>174</v>
      </c>
      <c r="L5" s="342" t="s">
        <v>173</v>
      </c>
      <c r="M5" s="342" t="s">
        <v>172</v>
      </c>
      <c r="N5" s="342" t="s">
        <v>249</v>
      </c>
      <c r="O5" s="345" t="e">
        <f ca="1">_xll.RData(O6:O9,P5:T5,,ReutersRtMode,,P6)</f>
        <v>#NAME?</v>
      </c>
      <c r="P5" s="342" t="s">
        <v>248</v>
      </c>
      <c r="Q5" s="342" t="s">
        <v>243</v>
      </c>
      <c r="R5" s="342" t="s">
        <v>212</v>
      </c>
      <c r="S5" s="342" t="s">
        <v>227</v>
      </c>
      <c r="T5" s="342" t="s">
        <v>242</v>
      </c>
      <c r="U5" s="344" t="s">
        <v>241</v>
      </c>
      <c r="V5" s="253"/>
      <c r="W5" s="343" t="s">
        <v>239</v>
      </c>
      <c r="X5" s="253"/>
      <c r="Y5" s="346" t="s">
        <v>237</v>
      </c>
      <c r="Z5" s="341" t="s">
        <v>236</v>
      </c>
      <c r="AA5" s="49"/>
      <c r="AB5" s="17"/>
      <c r="AC5" s="312" t="s">
        <v>240</v>
      </c>
    </row>
    <row r="6" spans="1:29"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EURIMMFRA6MG4_Quote#0000</v>
      </c>
      <c r="G6" s="147" t="str">
        <f>_xll.ohRangeRetrieveError(F6)</f>
        <v/>
      </c>
      <c r="H6" s="141"/>
      <c r="J6" s="323"/>
      <c r="K6" s="336">
        <v>1</v>
      </c>
      <c r="L6" s="335" t="b">
        <v>0</v>
      </c>
      <c r="M6" s="271" t="str">
        <f t="array" ref="M6:M9">_xll.qlIMMcode(FuturesDates)</f>
        <v>G4</v>
      </c>
      <c r="N6" s="334">
        <f t="array" ref="N6:N9">_xll.qlIMMNextDates(N4,$L6:$L9)</f>
        <v>41689</v>
      </c>
      <c r="O6" s="271" t="str">
        <f t="array" ref="O6:O9">Currency&amp;"6F"&amp;K6:K9&amp;"="&amp;VLOOKUP(Contributor,ContributorTable,2,FALSE)</f>
        <v>EUR6F1=ICAP</v>
      </c>
      <c r="P6" s="333" t="s">
        <v>255</v>
      </c>
      <c r="Q6" s="271">
        <v>0.34300000000000003</v>
      </c>
      <c r="R6" s="271">
        <v>0.39300000000000002</v>
      </c>
      <c r="S6" s="271">
        <v>0</v>
      </c>
      <c r="T6" s="271">
        <v>0</v>
      </c>
      <c r="U6" s="274">
        <f>100-_xll.qlMidSafe($Q6,$R6)</f>
        <v>99.632000000000005</v>
      </c>
      <c r="V6" s="253"/>
      <c r="W6" s="332">
        <v>99.632000000000005</v>
      </c>
      <c r="X6" s="253"/>
      <c r="Y6" s="331">
        <f t="array" ref="Y6:Y9">QuoteStatic</f>
        <v>99.632000000000005</v>
      </c>
      <c r="Z6" s="274">
        <f>_xll.qlSimpleQuoteSetValue(F6,Y6,Trigger)</f>
        <v>0</v>
      </c>
      <c r="AA6" s="49"/>
      <c r="AB6" s="17"/>
      <c r="AC6" s="290">
        <f>(R6-Q6)/100</f>
        <v>4.999999999999999E-4</v>
      </c>
    </row>
    <row r="7" spans="1:29" x14ac:dyDescent="0.2">
      <c r="A7" s="146"/>
      <c r="B7" s="107">
        <v>2</v>
      </c>
      <c r="C7" s="145" t="b">
        <v>0</v>
      </c>
      <c r="D7" s="144" t="str">
        <v>H4</v>
      </c>
      <c r="E7" s="143" t="str">
        <f t="shared" si="0"/>
        <v>EURIMMFRA6MH4_Quote</v>
      </c>
      <c r="F7" s="142" t="str">
        <f>_xll.qlSimpleQuote(E7,,PriceTickValue,Permanent,Trigger,ObjectOverwrite)</f>
        <v>EURIMMFRA6MH4_Quote#0000</v>
      </c>
      <c r="G7" s="105" t="str">
        <f>_xll.ohRangeRetrieveError(F7)</f>
        <v/>
      </c>
      <c r="H7" s="141"/>
      <c r="J7" s="323"/>
      <c r="K7" s="329">
        <v>2</v>
      </c>
      <c r="L7" s="328" t="b">
        <v>0</v>
      </c>
      <c r="M7" s="259" t="str">
        <v>H4</v>
      </c>
      <c r="N7" s="327">
        <v>41717</v>
      </c>
      <c r="O7" s="259" t="str">
        <v>EUR6F2=ICAP</v>
      </c>
      <c r="P7" s="326" t="s">
        <v>255</v>
      </c>
      <c r="Q7" s="259">
        <v>0.36199999999999999</v>
      </c>
      <c r="R7" s="259">
        <v>0.41199999999999998</v>
      </c>
      <c r="S7" s="259">
        <v>0</v>
      </c>
      <c r="T7" s="259">
        <v>0</v>
      </c>
      <c r="U7" s="262">
        <f>100-_xll.qlMidSafe($Q7,$R7)</f>
        <v>99.613</v>
      </c>
      <c r="V7" s="253"/>
      <c r="W7" s="330">
        <v>99.613</v>
      </c>
      <c r="X7" s="253"/>
      <c r="Y7" s="324">
        <v>99.613</v>
      </c>
      <c r="Z7" s="262">
        <f>_xll.qlSimpleQuoteSetValue(F7,Y7,Trigger)</f>
        <v>0</v>
      </c>
      <c r="AA7" s="49"/>
      <c r="AB7" s="17"/>
      <c r="AC7" s="290">
        <f>(R7-Q7)/100</f>
        <v>4.999999999999999E-4</v>
      </c>
    </row>
    <row r="8" spans="1:29" x14ac:dyDescent="0.2">
      <c r="A8" s="146"/>
      <c r="B8" s="107">
        <v>3</v>
      </c>
      <c r="C8" s="145" t="b">
        <v>0</v>
      </c>
      <c r="D8" s="144" t="str">
        <v>J4</v>
      </c>
      <c r="E8" s="143" t="str">
        <f t="shared" si="0"/>
        <v>EURIMMFRA6MJ4_Quote</v>
      </c>
      <c r="F8" s="142" t="str">
        <f>_xll.qlSimpleQuote(E8,,PriceTickValue,Permanent,Trigger,ObjectOverwrite)</f>
        <v>EURIMMFRA6MJ4_Quote#0000</v>
      </c>
      <c r="G8" s="105" t="str">
        <f>_xll.ohRangeRetrieveError(F8)</f>
        <v/>
      </c>
      <c r="H8" s="141"/>
      <c r="J8" s="323"/>
      <c r="K8" s="329">
        <v>3</v>
      </c>
      <c r="L8" s="328" t="b">
        <v>0</v>
      </c>
      <c r="M8" s="259" t="str">
        <v>J4</v>
      </c>
      <c r="N8" s="327">
        <v>41745</v>
      </c>
      <c r="O8" s="259" t="str">
        <v>EUR6F3=ICAP</v>
      </c>
      <c r="P8" s="326" t="s">
        <v>255</v>
      </c>
      <c r="Q8" s="259">
        <v>0.39300000000000002</v>
      </c>
      <c r="R8" s="259">
        <v>0.443</v>
      </c>
      <c r="S8" s="259">
        <v>0</v>
      </c>
      <c r="T8" s="259">
        <v>0</v>
      </c>
      <c r="U8" s="262">
        <f>100-_xll.qlMidSafe($Q8,$R8)</f>
        <v>99.581999999999994</v>
      </c>
      <c r="V8" s="253"/>
      <c r="W8" s="330">
        <v>99.581999999999994</v>
      </c>
      <c r="X8" s="253"/>
      <c r="Y8" s="324">
        <v>99.581999999999994</v>
      </c>
      <c r="Z8" s="262">
        <f>_xll.qlSimpleQuoteSetValue(F8,Y8,Trigger)</f>
        <v>0</v>
      </c>
      <c r="AA8" s="49"/>
      <c r="AB8" s="17"/>
      <c r="AC8" s="290">
        <f>(R8-Q8)/100</f>
        <v>4.999999999999999E-4</v>
      </c>
    </row>
    <row r="9" spans="1:29" x14ac:dyDescent="0.2">
      <c r="A9" s="146"/>
      <c r="B9" s="107">
        <v>4</v>
      </c>
      <c r="C9" s="145" t="b">
        <v>0</v>
      </c>
      <c r="D9" s="144" t="str">
        <v>K4</v>
      </c>
      <c r="E9" s="143" t="str">
        <f t="shared" si="0"/>
        <v>EURIMMFRA6MK4_Quote</v>
      </c>
      <c r="F9" s="142" t="str">
        <f>_xll.qlSimpleQuote(E9,,PriceTickValue,Permanent,Trigger,ObjectOverwrite)</f>
        <v>EURIMMFRA6MK4_Quote#0000</v>
      </c>
      <c r="G9" s="105" t="str">
        <f>_xll.ohRangeRetrieveError(F9)</f>
        <v/>
      </c>
      <c r="H9" s="141"/>
      <c r="J9" s="323"/>
      <c r="K9" s="322">
        <v>4</v>
      </c>
      <c r="L9" s="321" t="b">
        <v>0</v>
      </c>
      <c r="M9" s="251" t="str">
        <v>K4</v>
      </c>
      <c r="N9" s="320">
        <v>41780</v>
      </c>
      <c r="O9" s="251" t="str">
        <v>EUR6F4=ICAP</v>
      </c>
      <c r="P9" s="319" t="s">
        <v>255</v>
      </c>
      <c r="Q9" s="251">
        <v>0.42099999999999999</v>
      </c>
      <c r="R9" s="251">
        <v>0.47099999999999997</v>
      </c>
      <c r="S9" s="251">
        <v>0</v>
      </c>
      <c r="T9" s="251">
        <v>0</v>
      </c>
      <c r="U9" s="255">
        <f>100-_xll.qlMidSafe($Q9,$R9)</f>
        <v>99.554000000000002</v>
      </c>
      <c r="V9" s="253"/>
      <c r="W9" s="347">
        <v>99.554000000000002</v>
      </c>
      <c r="X9" s="253"/>
      <c r="Y9" s="317">
        <v>99.554000000000002</v>
      </c>
      <c r="Z9" s="255">
        <f>_xll.qlSimpleQuoteSetValue(F9,Y9,Trigger)</f>
        <v>0</v>
      </c>
      <c r="AA9" s="49"/>
      <c r="AB9" s="17"/>
      <c r="AC9" s="290">
        <f>(R9-Q9)/100</f>
        <v>4.999999999999999E-4</v>
      </c>
    </row>
    <row r="10" spans="1:29" ht="12" thickBot="1" x14ac:dyDescent="0.25">
      <c r="A10" s="146"/>
      <c r="B10" s="107">
        <v>5</v>
      </c>
      <c r="C10" s="145" t="b">
        <v>0</v>
      </c>
      <c r="D10" s="144" t="str">
        <v>M4</v>
      </c>
      <c r="E10" s="143" t="str">
        <f t="shared" si="0"/>
        <v>EURIMMFRA6MM4_Quote</v>
      </c>
      <c r="F10" s="142" t="str">
        <f>_xll.qlSimpleQuote(E10,,PriceTickValue,Permanent,Trigger,ObjectOverwrite)</f>
        <v>EURIMMFRA6MM4_Quote#0000</v>
      </c>
      <c r="G10" s="105" t="str">
        <f>_xll.ohRangeRetrieveError(F10)</f>
        <v/>
      </c>
      <c r="H10" s="141"/>
      <c r="J10" s="316"/>
      <c r="K10" s="47"/>
      <c r="L10" s="47"/>
      <c r="M10" s="47"/>
      <c r="N10" s="47"/>
      <c r="O10" s="47"/>
      <c r="P10" s="47"/>
      <c r="Q10" s="47"/>
      <c r="R10" s="47"/>
      <c r="S10" s="47"/>
      <c r="T10" s="47"/>
      <c r="U10" s="47"/>
      <c r="V10" s="47"/>
      <c r="W10" s="47"/>
      <c r="X10" s="47"/>
      <c r="Y10" s="47"/>
      <c r="Z10" s="47"/>
      <c r="AA10" s="46"/>
      <c r="AB10" s="17"/>
      <c r="AC10" s="17"/>
    </row>
    <row r="11" spans="1:29" x14ac:dyDescent="0.2">
      <c r="A11" s="146"/>
      <c r="B11" s="107">
        <v>6</v>
      </c>
      <c r="C11" s="145" t="b">
        <v>0</v>
      </c>
      <c r="D11" s="144" t="str">
        <v>N4</v>
      </c>
      <c r="E11" s="143" t="str">
        <f t="shared" si="0"/>
        <v>EURIMMFRA6MN4_Quote</v>
      </c>
      <c r="F11" s="142" t="str">
        <f>_xll.qlSimpleQuote(E11,,PriceTickValue,Permanent,Trigger,ObjectOverwrite)</f>
        <v>EURIMMFRA6MN4_Quote#0000</v>
      </c>
      <c r="G11" s="105" t="str">
        <f>_xll.ohRangeRetrieveError(F11)</f>
        <v/>
      </c>
      <c r="H11" s="141"/>
    </row>
    <row r="12" spans="1:29" x14ac:dyDescent="0.2">
      <c r="A12" s="146"/>
      <c r="B12" s="107">
        <v>7</v>
      </c>
      <c r="C12" s="145" t="b">
        <v>0</v>
      </c>
      <c r="D12" s="144" t="str">
        <v>Q4</v>
      </c>
      <c r="E12" s="143" t="str">
        <f t="shared" si="0"/>
        <v>EURIMMFRA6MQ4_Quote</v>
      </c>
      <c r="F12" s="142" t="str">
        <f>_xll.qlSimpleQuote(E12,,PriceTickValue,Permanent,Trigger,ObjectOverwrite)</f>
        <v>EURIMMFRA6MQ4_Quote#0000</v>
      </c>
      <c r="G12" s="105" t="str">
        <f>_xll.ohRangeRetrieveError(F12)</f>
        <v/>
      </c>
      <c r="H12" s="141"/>
    </row>
    <row r="13" spans="1:29" x14ac:dyDescent="0.2">
      <c r="A13" s="146"/>
      <c r="B13" s="107">
        <v>8</v>
      </c>
      <c r="C13" s="145" t="b">
        <v>0</v>
      </c>
      <c r="D13" s="144" t="str">
        <v>U4</v>
      </c>
      <c r="E13" s="143" t="str">
        <f t="shared" si="0"/>
        <v>EURIMMFRA6MU4_Quote</v>
      </c>
      <c r="F13" s="142" t="str">
        <f>_xll.qlSimpleQuote(E13,,PriceTickValue,Permanent,Trigger,ObjectOverwrite)</f>
        <v>EURIMMFRA6MU4_Quote#0000</v>
      </c>
      <c r="G13" s="105" t="str">
        <f>_xll.ohRangeRetrieveError(F13)</f>
        <v/>
      </c>
      <c r="H13" s="141"/>
    </row>
    <row r="14" spans="1:29" x14ac:dyDescent="0.2">
      <c r="A14" s="146"/>
      <c r="B14" s="107">
        <v>9</v>
      </c>
      <c r="C14" s="145" t="b">
        <v>0</v>
      </c>
      <c r="D14" s="144" t="str">
        <v>V4</v>
      </c>
      <c r="E14" s="143" t="str">
        <f t="shared" si="0"/>
        <v>EURIMMFRA6MV4_Quote</v>
      </c>
      <c r="F14" s="142" t="str">
        <f>_xll.qlSimpleQuote(E14,,PriceTickValue,Permanent,Trigger,ObjectOverwrite)</f>
        <v>EURIMMFRA6MV4_Quote#0000</v>
      </c>
      <c r="G14" s="105" t="str">
        <f>_xll.ohRangeRetrieveError(F14)</f>
        <v/>
      </c>
      <c r="H14" s="141"/>
    </row>
    <row r="15" spans="1:29" x14ac:dyDescent="0.2">
      <c r="A15" s="146"/>
      <c r="B15" s="107">
        <v>10</v>
      </c>
      <c r="C15" s="145" t="b">
        <v>0</v>
      </c>
      <c r="D15" s="144" t="str">
        <v>X4</v>
      </c>
      <c r="E15" s="143" t="str">
        <f t="shared" si="0"/>
        <v>EURIMMFRA6MX4_Quote</v>
      </c>
      <c r="F15" s="142" t="str">
        <f>_xll.qlSimpleQuote(E15,,PriceTickValue,Permanent,Trigger,ObjectOverwrite)</f>
        <v>EURIMMFRA6MX4_Quote#0000</v>
      </c>
      <c r="G15" s="105" t="str">
        <f>_xll.ohRangeRetrieveError(F15)</f>
        <v/>
      </c>
      <c r="H15" s="141"/>
    </row>
    <row r="16" spans="1:29" x14ac:dyDescent="0.2">
      <c r="A16" s="146"/>
      <c r="B16" s="107">
        <v>11</v>
      </c>
      <c r="C16" s="145" t="b">
        <v>0</v>
      </c>
      <c r="D16" s="144" t="str">
        <v>Z4</v>
      </c>
      <c r="E16" s="143" t="str">
        <f t="shared" si="0"/>
        <v>EURIMMFRA6MZ4_Quote</v>
      </c>
      <c r="F16" s="142" t="str">
        <f>_xll.qlSimpleQuote(E16,,PriceTickValue,Permanent,Trigger,ObjectOverwrite)</f>
        <v>EURIMMFRA6MZ4_Quote#0000</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EURIMMFRA6MF5_Quote#0000</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EURIMMFRA6MG5_Quote#0000</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EURIMMFRA6MH5_Quote#0000</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EURIMMFRA6MJ5_Quote#0000</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EURIMMFRA6MK5_Quote#0000</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EURIMMFRA6MM5_Quote#0000</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EURIMMFRA6MN5_Quote#0000</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EURIMMFRA6MQ5_Quote#0000</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EURIMMFRA6MU5_Quote#0000</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EURIMMFRA6MV5_Quote#0000</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EURIMMFRA6MX5_Quote#0000</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EURIMMFRA6MZ5_Quote#0000</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EURIMMFRA6MF6_Quote#0000</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EURIMMFRA6MG6_Quote#0000</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EURIMMFRA6MH6_Quote#0000</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EURIMMFRA6MJ6_Quote#0000</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EURIMMFRA6MK6_Quote#0000</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EURIMMFRA6MM6_Quote#0000</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EURIMMFRA6MN6_Quote#0000</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EURIMMFRA6MQ6_Quote#0000</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EURIMMFRA6MU6_Quote#0000</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EURIMMFRA6MV6_Quote#0000</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EURIMMFRA6MX6_Quote#0000</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EURIMMFRA6MZ6_Quote#0000</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EURIMMFRA6MF7_Quote#0000</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EURIMMFRA6MG7_Quote#0000</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EURIMMFRA6MH7_Quote#0000</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EURIMMFRA6MJ7_Quote#0000</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EURIMMFRA6MK7_Quote#0000</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EURIMMFRA6MM7_Quote#0000</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EURIMMFRA6MN7_Quote#0000</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EURIMMFRA6MQ7_Quote#0000</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EURIMMFRA6MU7_Quote#0000</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EURIMMFRA6MV7_Quote#0000</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EURIMMFRA6MX7_Quote#0000</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EURIMMFRA6MZ7_Quote#0000</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EURIMMFRA6MF8_Quote#0000</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EURIMMFRA6MG8_Quote#0000</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EURIMMFRA6MH8_Quote#0000</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EURIMMFRA6MJ8_Quote#0000</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EURIMMFRA6MK8_Quote#0000</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EURIMMFRA6MM8_Quote#0000</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EURIMMFRA6MN8_Quote#0000</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EURIMMFRA6MQ8_Quote#0000</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EURIMMFRA6MU8_Quote#0000</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EURIMMFRA6MV8_Quote#0000</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EURIMMFRA6MX8_Quote#0000</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EURIMMFRA6MZ8_Quote#0000</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EURIMMFRA6MF9_Quote#0000</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EURIMMFRA6MG9_Quote#0000</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EURIMMFRA6MH9_Quote#0000</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EURIMMFRA6MJ9_Quote#0000</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EURIMMFRA6MK9_Quote#0000</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EURIMMFRA6MM9_Quote#0000</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EURIMMFRA6MN9_Quote#0000</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EURIMMFRA6MQ9_Quote#0000</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EURIMMFRA6MU9_Quote#0000</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EURIMMFRA6MV9_Quote#0000</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EURIMMFRA6MX9_Quote#0000</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EURIMMFRA6MZ9_Quote#0000</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EURIMMFRA6MF0_Quote#0000</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EURIMMFRA6MG0_Quote#0000</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EURIMMFRA6MH0_Quote#0000</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EURIMMFRA6MJ0_Quote#0000</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EURIMMFRA6MK0_Quote#0000</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EURIMMFRA6MM0_Quote#0000</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EURIMMFRA6MN0_Quote#0000</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EURIMMFRA6MQ0_Quote#0000</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EURIMMFRA6MU0_Quote#0000</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EURIMMFRA6MV0_Quote#0000</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EURIMMFRA6MX0_Quote#0000</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EURIMMFRA6MZ0_Quote#0000</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EURIMMFRA6MF1_Quote#0000</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EURIMMFRA6MG1_Quote#0000</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EURIMMFRA6MH1_Quote#0000</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EURIMMFRA6MJ1_Quote#0000</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EURIMMFRA6MK1_Quote#0000</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EURIMMFRA6MM1_Quote#0000</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EURIMMFRA6MN1_Quote#0000</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EURIMMFRA6MQ1_Quote#0000</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EURIMMFRA6MU1_Quote#0000</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EURIMMFRA6MV1_Quote#0000</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EURIMMFRA6MX1_Quote#0000</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EURIMMFRA6MZ1_Quote#0000</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EURIMMFRA6MF2_Quote#0000</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EURIMMFRA6MG2_Quote#0000</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EURIMMFRA6MH2_Quote#0000</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EURIMMFRA6MJ2_Quote#0000</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EURIMMFRA6MK2_Quote#0000</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EURIMMFRA6MM2_Quote#0000</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EURIMMFRA6MN2_Quote#0000</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EURIMMFRA6MQ2_Quote#0000</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EURIMMFRA6MU2_Quote#0000</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EURIMMFRA6MV2_Quote#0000</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EURIMMFRA6MX2_Quote#0000</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EURIMMFRA6MZ2_Quote#0000</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EURIMMFRA6MF3_Quote#0000</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EURIMMFRA6MG3_Quote#0000</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EURIMMFRA6MH3_Quote#0000</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EURIMMFRA6MJ3_Quote#0000</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EURIMMFRA6MK3_Quote#0000</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EURIMMFRA6MM3_Quote#0000</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EURIMMFRA6MN3_Quote#0000</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EURIMMFRA6MQ3_Quote#0000</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EURIMMFRA6MU3_Quote#0000</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EURIMMFRA6MV3_Quote#0000</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EURIMMFRA6MX3_Quote#0000</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EURIMMFRA6MZ3_Quote#0000</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293</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5</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7" t="e">
        <f ca="1">_xll.RData(H5,I4,,ReutersRtMode,,I5)</f>
        <v>#NAME?</v>
      </c>
      <c r="I4" s="365" t="s">
        <v>243</v>
      </c>
      <c r="J4" s="356"/>
      <c r="K4" s="589" t="s">
        <v>263</v>
      </c>
      <c r="L4" s="590"/>
      <c r="M4" s="356"/>
      <c r="N4" s="281" t="s">
        <v>239</v>
      </c>
      <c r="O4" s="354"/>
      <c r="P4" s="41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7"/>
      <c r="H5" s="364" t="str">
        <f>VLOOKUP(Currency,$T$5:$V$9,2)&amp;U3&amp;VLOOKUP(Currency,$T$5:$V$9,3)&amp;"ATM="&amp;VLOOKUP(Contributor,ContributorTable,2,FALSE)</f>
        <v>EU4Y6LATM=ICAP</v>
      </c>
      <c r="I5" s="363">
        <v>65.53</v>
      </c>
      <c r="J5" s="356"/>
      <c r="K5" s="275" t="s">
        <v>262</v>
      </c>
      <c r="L5" s="361">
        <f>I5/100*IF(ISNUMBER(Swap3M4Y),Swap3M4Y/100,Swap6M4Y/100)*0</f>
        <v>0</v>
      </c>
      <c r="M5" s="356"/>
      <c r="N5" s="362">
        <v>0</v>
      </c>
      <c r="O5" s="354"/>
      <c r="P5" s="272">
        <f t="array" ref="P5:P6">QuoteStatic</f>
        <v>0</v>
      </c>
      <c r="Q5" s="361">
        <f>_xll.qlSimpleQuoteSetValue(C5,ROUND(P5,6),Trigger)</f>
        <v>0</v>
      </c>
      <c r="R5" s="49"/>
      <c r="S5" s="17"/>
      <c r="T5" s="89" t="s">
        <v>124</v>
      </c>
      <c r="U5" s="360" t="s">
        <v>261</v>
      </c>
      <c r="V5" s="359"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7"/>
      <c r="H6" s="353"/>
      <c r="I6" s="358"/>
      <c r="J6" s="356"/>
      <c r="K6" s="357" t="s">
        <v>260</v>
      </c>
      <c r="L6" s="352">
        <v>0.03</v>
      </c>
      <c r="M6" s="356"/>
      <c r="N6" s="355">
        <v>0.03</v>
      </c>
      <c r="O6" s="354"/>
      <c r="P6" s="413">
        <v>0.03</v>
      </c>
      <c r="Q6" s="352">
        <f>_xll.qlSimpleQuoteSetValue(C6,ROUND(P6,6),Trigger)</f>
        <v>0</v>
      </c>
      <c r="R6" s="49"/>
      <c r="S6" s="17"/>
      <c r="T6" s="86" t="s">
        <v>110</v>
      </c>
      <c r="U6" s="314" t="s">
        <v>259</v>
      </c>
      <c r="V6" s="351"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4" t="s">
        <v>258</v>
      </c>
      <c r="V7" s="351" t="s">
        <v>117</v>
      </c>
    </row>
    <row r="8" spans="1:22" x14ac:dyDescent="0.2">
      <c r="G8" s="17"/>
      <c r="H8" s="17"/>
      <c r="I8" s="17"/>
      <c r="J8" s="17"/>
      <c r="K8" s="17"/>
      <c r="L8" s="17"/>
      <c r="M8" s="17"/>
      <c r="N8" s="17"/>
      <c r="O8" s="17"/>
      <c r="P8" s="17"/>
      <c r="Q8" s="17"/>
      <c r="R8" s="17"/>
      <c r="S8" s="17"/>
      <c r="T8" s="86" t="s">
        <v>120</v>
      </c>
      <c r="U8" s="314" t="s">
        <v>257</v>
      </c>
      <c r="V8" s="351" t="s">
        <v>119</v>
      </c>
    </row>
    <row r="9" spans="1:22" ht="12" thickBot="1" x14ac:dyDescent="0.25">
      <c r="G9" s="17"/>
      <c r="H9" s="17"/>
      <c r="I9" s="17"/>
      <c r="J9" s="17"/>
      <c r="K9" s="17"/>
      <c r="L9" s="17"/>
      <c r="M9" s="17"/>
      <c r="N9" s="17"/>
      <c r="O9" s="17"/>
      <c r="P9" s="17"/>
      <c r="Q9" s="17"/>
      <c r="R9" s="17"/>
      <c r="S9" s="17"/>
      <c r="T9" s="83" t="s">
        <v>118</v>
      </c>
      <c r="U9" s="350" t="s">
        <v>256</v>
      </c>
      <c r="V9" s="349"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5" t="s">
        <v>403</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253"/>
      <c r="Y2" s="253"/>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3</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69"/>
      <c r="L4" s="194"/>
      <c r="M4" s="194"/>
      <c r="N4" s="194"/>
      <c r="O4" s="283" t="e">
        <f ca="1">_xll.RData(O5:O40,P4:S4,,ReutersRtMode,,P5)</f>
        <v>#NAME?</v>
      </c>
      <c r="P4" s="313" t="s">
        <v>243</v>
      </c>
      <c r="Q4" s="313" t="s">
        <v>212</v>
      </c>
      <c r="R4" s="313" t="s">
        <v>227</v>
      </c>
      <c r="S4" s="313" t="s">
        <v>242</v>
      </c>
      <c r="T4" s="279" t="s">
        <v>241</v>
      </c>
      <c r="U4" s="253"/>
      <c r="V4" s="281" t="s">
        <v>239</v>
      </c>
      <c r="W4" s="253"/>
      <c r="X4" s="40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84"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1">
        <f t="array" ref="X5:X40">QuoteStatic</f>
        <v>0.19900000000000001</v>
      </c>
      <c r="Y5" s="270">
        <f>_xll.qlSimpleQuoteSetValue(F5,X5/100,Trigger)</f>
        <v>9.1E-4</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84"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4">
        <v>0.21</v>
      </c>
      <c r="Y6" s="258">
        <f>_xll.qlSimpleQuoteSetValue(F6,X6/100,Trigger)</f>
        <v>1.0399999999999999E-3</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84"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4">
        <v>0.20399999999999999</v>
      </c>
      <c r="Y7" s="258">
        <f>_xll.qlSimpleQuoteSetValue(F7,X7/100,Trigger)</f>
        <v>9.7999999999999975E-4</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84"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4">
        <v>0.19600000000000001</v>
      </c>
      <c r="Y8" s="258">
        <f>_xll.qlSimpleQuoteSetValue(F8,X8/100,Trigger)</f>
        <v>8.9999999999999976E-4</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84"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4">
        <v>0.193</v>
      </c>
      <c r="Y9" s="258">
        <f>_xll.qlSimpleQuoteSetValue(F9,X9/100,Trigger)</f>
        <v>8.1999999999999998E-4</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84"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4">
        <v>0.19</v>
      </c>
      <c r="Y10" s="258">
        <f>_xll.qlSimpleQuoteSetValue(F10,X10/100,Trigger)</f>
        <v>7.5000000000000002E-4</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84"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4">
        <v>0.184</v>
      </c>
      <c r="Y11" s="258">
        <f>_xll.qlSimpleQuoteSetValue(F11,X11/100,Trigger)</f>
        <v>6.7000000000000002E-4</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84"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4">
        <v>0.17899999999999999</v>
      </c>
      <c r="Y12" s="258">
        <f>_xll.qlSimpleQuoteSetValue(F12,X12/100,Trigger)</f>
        <v>6.0000000000000006E-4</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84"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4">
        <v>0.17499999999999999</v>
      </c>
      <c r="Y13" s="258">
        <f>_xll.qlSimpleQuoteSetValue(F13,X13/100,Trigger)</f>
        <v>5.0999999999999982E-4</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84"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4">
        <v>0.17199999999999999</v>
      </c>
      <c r="Y14" s="258">
        <f>_xll.qlSimpleQuoteSetValue(F14,X14/100,Trigger)</f>
        <v>4.3999999999999985E-4</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84"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4">
        <v>0.16900000000000001</v>
      </c>
      <c r="Y15" s="258">
        <f>_xll.qlSimpleQuoteSetValue(F15,X15/100,Trigger)</f>
        <v>3.6000000000000008E-4</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84"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4">
        <v>0.16600000000000001</v>
      </c>
      <c r="Y16" s="258">
        <f>_xll.qlSimpleQuoteSetValue(F16,X16/100,Trigger)</f>
        <v>2.4999999999999979E-4</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84"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4">
        <v>0.16400000000000001</v>
      </c>
      <c r="Y17" s="258">
        <f>_xll.qlSimpleQuoteSetValue(F17,X17/100,Trigger)</f>
        <v>1.7000000000000001E-4</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84"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4">
        <v>0.16200000000000001</v>
      </c>
      <c r="Y18" s="258">
        <f>_xll.qlSimpleQuoteSetValue(F18,X18/100,Trigger)</f>
        <v>7.0000000000000184E-5</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84"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4">
        <v>0.161</v>
      </c>
      <c r="Y19" s="258">
        <f>_xll.qlSimpleQuoteSetValue(F19,X19/100,Trigger)</f>
        <v>-1.0000000000000026E-5</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84"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4">
        <v>0.161</v>
      </c>
      <c r="Y20" s="258">
        <f>_xll.qlSimpleQuoteSetValue(F20,X20/100,Trigger)</f>
        <v>-2.3999999999999998E-4</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84"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4">
        <v>0.16600000000000001</v>
      </c>
      <c r="Y21" s="258">
        <f>_xll.qlSimpleQuoteSetValue(F21,X21/100,Trigger)</f>
        <v>-4.3000000000000026E-4</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84"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4">
        <v>0.17699999999999999</v>
      </c>
      <c r="Y22" s="258">
        <f>_xll.qlSimpleQuoteSetValue(F22,X22/100,Trigger)</f>
        <v>-5.7999999999999979E-4</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84"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4">
        <v>0.19500000000000001</v>
      </c>
      <c r="Y23" s="258">
        <f>_xll.qlSimpleQuoteSetValue(F23,X23/100,Trigger)</f>
        <v>-6.7999999999999983E-4</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84"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4">
        <v>0.33200000000000002</v>
      </c>
      <c r="Y24" s="258">
        <f>_xll.qlSimpleQuoteSetValue(F24,X24/100,Trigger)</f>
        <v>-8.3000000000000001E-4</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84"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4">
        <v>0.53900000000000003</v>
      </c>
      <c r="Y25" s="258">
        <f>_xll.qlSimpleQuoteSetValue(F25,X25/100,Trigger)</f>
        <v>-8.4999999999999919E-4</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84"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4">
        <v>0.75900000000000001</v>
      </c>
      <c r="Y26" s="258">
        <f>_xll.qlSimpleQuoteSetValue(F26,X26/100,Trigger)</f>
        <v>-8.9999999999999889E-4</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84"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4">
        <v>0.97499999999999998</v>
      </c>
      <c r="Y27" s="258">
        <f>_xll.qlSimpleQuoteSetValue(F27,X27/100,Trigger)</f>
        <v>-7.0999999999999883E-4</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84"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4">
        <v>1.1779999999999999</v>
      </c>
      <c r="Y28" s="258">
        <f>_xll.qlSimpleQuoteSetValue(F28,X28/100,Trigger)</f>
        <v>-4.4999999999999901E-4</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84"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4">
        <v>1.3640000000000001</v>
      </c>
      <c r="Y29" s="258">
        <f>_xll.qlSimpleQuoteSetValue(F29,X29/100,Trigger)</f>
        <v>-1.6999999999999828E-4</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84"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4">
        <v>1.5309999999999999</v>
      </c>
      <c r="Y30" s="258">
        <f>_xll.qlSimpleQuoteSetValue(F30,X30/100,Trigger)</f>
        <v>1.9999999999999185E-5</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84"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4">
        <v>1.68</v>
      </c>
      <c r="Y31" s="258">
        <f>_xll.qlSimpleQuoteSetValue(F31,X31/100,Trigger)</f>
        <v>1.5999999999999695E-4</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84"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4">
        <v>1.81</v>
      </c>
      <c r="Y32" s="258">
        <f>_xll.qlSimpleQuoteSetValue(F32,X32/100,Trigger)</f>
        <v>2.8000000000000247E-4</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84"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4">
        <v>1.925</v>
      </c>
      <c r="Y33" s="258">
        <f>_xll.qlSimpleQuoteSetValue(F33,X33/100,Trigger)</f>
        <v>4.1000000000000064E-4</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84"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4">
        <v>2.1789999999999998</v>
      </c>
      <c r="Y34" s="258">
        <f>_xll.qlSimpleQuoteSetValue(F34,X34/100,Trigger)</f>
        <v>7.399999999999976E-4</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84"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4">
        <v>2.367</v>
      </c>
      <c r="Y35" s="258">
        <f>_xll.qlSimpleQuoteSetValue(F35,X35/100,Trigger)</f>
        <v>1.2199999999999989E-3</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84"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4">
        <v>2.431</v>
      </c>
      <c r="Y36" s="258">
        <f>_xll.qlSimpleQuoteSetValue(F36,X36/100,Trigger)</f>
        <v>1.5000000000000048E-3</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84"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4">
        <v>2.448</v>
      </c>
      <c r="Y37" s="258">
        <f>_xll.qlSimpleQuoteSetValue(F37,X37/100,Trigger)</f>
        <v>1.5900000000000011E-3</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84"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4">
        <v>2.4950000000000001</v>
      </c>
      <c r="Y38" s="258">
        <f>_xll.qlSimpleQuoteSetValue(F38,X38/100,Trigger)</f>
        <v>1.4299999999999972E-3</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84"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4">
        <v>2.528</v>
      </c>
      <c r="Y39" s="258">
        <f>_xll.qlSimpleQuoteSetValue(F39,X39/100,Trigger)</f>
        <v>1.1999999999999962E-3</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84"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7">
        <v>2.5510000000000002</v>
      </c>
      <c r="Y40" s="250">
        <f>_xll.qlSimpleQuoteSetValue(F40,X40/100,Trigger)</f>
        <v>1.0399999999999993E-3</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6"/>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EURECBOISFEB13_Quote#0000</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EURECBOISMAR13_Quote#0000</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EURECBOISAPR13_Quote#0000</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EURECBOISMAY13_Quote#0000</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EURECBOISJUN13_Quote#0000</v>
      </c>
      <c r="G46" s="172" t="str">
        <f>_xll.ohRangeRetrieveError(F46)</f>
        <v/>
      </c>
      <c r="H46" s="171"/>
      <c r="J46" s="315" t="s">
        <v>293</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EURECBOISJUL13_Quote#0000</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EURECBOISSEP13_Quote#0000</v>
      </c>
      <c r="G49" s="172" t="str">
        <f>_xll.ohRangeRetrieveError(F49)</f>
        <v/>
      </c>
      <c r="H49" s="171"/>
      <c r="J49" s="122"/>
      <c r="K49" s="369"/>
      <c r="L49" s="202"/>
      <c r="M49" s="194"/>
      <c r="N49" s="194"/>
      <c r="O49" s="283" t="e">
        <f ca="1">_xll.RData(O50:O55,P49:S49,,ReutersRtMode,,P50)</f>
        <v>#NAME?</v>
      </c>
      <c r="P49" s="313" t="s">
        <v>243</v>
      </c>
      <c r="Q49" s="313" t="s">
        <v>212</v>
      </c>
      <c r="R49" s="313"/>
      <c r="S49" s="313" t="s">
        <v>283</v>
      </c>
      <c r="T49" s="279" t="s">
        <v>241</v>
      </c>
      <c r="U49" s="253"/>
      <c r="V49" s="281" t="s">
        <v>239</v>
      </c>
      <c r="W49" s="253"/>
      <c r="X49" s="408"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EURECBOISOCT13_Quote#0000</v>
      </c>
      <c r="G50" s="172" t="str">
        <f>_xll.ohRangeRetrieveError(F50)</f>
        <v/>
      </c>
      <c r="H50" s="171"/>
      <c r="J50" s="122"/>
      <c r="K50" s="311" t="s">
        <v>282</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271</v>
      </c>
      <c r="S50" s="386" t="s">
        <v>281</v>
      </c>
      <c r="T50" s="262">
        <f t="shared" ref="T50:T55" si="6">AVERAGE($P50,$Q50)</f>
        <v>0.11000000000000001</v>
      </c>
      <c r="U50" s="253"/>
      <c r="V50" s="273">
        <v>0.11000000000000001</v>
      </c>
      <c r="W50" s="253"/>
      <c r="X50" s="331">
        <f t="array" ref="X50:X55">QuoteLive</f>
        <v>0.108</v>
      </c>
      <c r="Y50" s="409"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EURECBOISNOV13_Quote#0000</v>
      </c>
      <c r="G51" s="172" t="str">
        <f>_xll.ohRangeRetrieveError(F51)</f>
        <v/>
      </c>
      <c r="H51" s="171"/>
      <c r="J51" s="122"/>
      <c r="K51" s="301" t="s">
        <v>280</v>
      </c>
      <c r="L51" s="300" t="s">
        <v>179</v>
      </c>
      <c r="M51" s="300" t="s">
        <v>178</v>
      </c>
      <c r="N51" s="298" t="str">
        <f t="shared" si="5"/>
        <v>EURECBOISM2</v>
      </c>
      <c r="O51" s="298" t="str">
        <v>EURECBOISM2=ICAP</v>
      </c>
      <c r="P51" s="259">
        <v>9.7000000000000003E-2</v>
      </c>
      <c r="Q51" s="259">
        <v>0.14699999999999999</v>
      </c>
      <c r="R51" s="259" t="s">
        <v>271</v>
      </c>
      <c r="S51" s="386" t="s">
        <v>279</v>
      </c>
      <c r="T51" s="262">
        <f t="shared" si="6"/>
        <v>0.122</v>
      </c>
      <c r="U51" s="253"/>
      <c r="V51" s="261">
        <v>0.122</v>
      </c>
      <c r="W51" s="253"/>
      <c r="X51" s="324">
        <v>0.106</v>
      </c>
      <c r="Y51" s="410"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EURECBOISDEC13_Quote#0000</v>
      </c>
      <c r="G52" s="172" t="str">
        <f>_xll.ohRangeRetrieveError(F52)</f>
        <v/>
      </c>
      <c r="H52" s="171"/>
      <c r="J52" s="122"/>
      <c r="K52" s="301" t="s">
        <v>278</v>
      </c>
      <c r="L52" s="300" t="s">
        <v>179</v>
      </c>
      <c r="M52" s="300" t="s">
        <v>178</v>
      </c>
      <c r="N52" s="298" t="str">
        <f t="shared" si="5"/>
        <v>EURECBOISM3</v>
      </c>
      <c r="O52" s="298" t="str">
        <v>EURECBOISM3=ICAP</v>
      </c>
      <c r="P52" s="259">
        <v>9.5000000000000001E-2</v>
      </c>
      <c r="Q52" s="259">
        <v>0.14499999999999999</v>
      </c>
      <c r="R52" s="259" t="s">
        <v>271</v>
      </c>
      <c r="S52" s="386" t="s">
        <v>277</v>
      </c>
      <c r="T52" s="262">
        <f t="shared" si="6"/>
        <v>0.12</v>
      </c>
      <c r="U52" s="253"/>
      <c r="V52" s="261">
        <v>0.12</v>
      </c>
      <c r="W52" s="253"/>
      <c r="X52" s="324">
        <v>0.106</v>
      </c>
      <c r="Y52" s="410"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276</v>
      </c>
      <c r="L53" s="300" t="s">
        <v>179</v>
      </c>
      <c r="M53" s="300" t="s">
        <v>178</v>
      </c>
      <c r="N53" s="298" t="str">
        <f t="shared" si="5"/>
        <v>EURECBOISM4</v>
      </c>
      <c r="O53" s="298" t="str">
        <v>EURECBOISM4=ICAP</v>
      </c>
      <c r="P53" s="259">
        <v>9.8000000000000004E-2</v>
      </c>
      <c r="Q53" s="259">
        <v>0.14799999999999999</v>
      </c>
      <c r="R53" s="259" t="s">
        <v>271</v>
      </c>
      <c r="S53" s="386" t="s">
        <v>275</v>
      </c>
      <c r="T53" s="262">
        <f t="shared" si="6"/>
        <v>0.123</v>
      </c>
      <c r="U53" s="253"/>
      <c r="V53" s="261">
        <v>0.123</v>
      </c>
      <c r="W53" s="253"/>
      <c r="X53" s="324">
        <v>0.10600000000000001</v>
      </c>
      <c r="Y53" s="41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274</v>
      </c>
      <c r="L54" s="300" t="s">
        <v>179</v>
      </c>
      <c r="M54" s="300" t="s">
        <v>178</v>
      </c>
      <c r="N54" s="298" t="str">
        <f t="shared" si="5"/>
        <v>EURECBOISM5</v>
      </c>
      <c r="O54" s="298" t="str">
        <v>EURECBOISM5=ICAP</v>
      </c>
      <c r="P54" s="259">
        <v>0.12</v>
      </c>
      <c r="Q54" s="259">
        <v>0.17</v>
      </c>
      <c r="R54" s="259" t="s">
        <v>271</v>
      </c>
      <c r="S54" s="386" t="s">
        <v>273</v>
      </c>
      <c r="T54" s="262">
        <f t="shared" si="6"/>
        <v>0.14500000000000002</v>
      </c>
      <c r="U54" s="253"/>
      <c r="V54" s="261">
        <v>0.14500000000000002</v>
      </c>
      <c r="W54" s="253"/>
      <c r="X54" s="324">
        <v>0.111</v>
      </c>
      <c r="Y54" s="41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272</v>
      </c>
      <c r="L55" s="305" t="s">
        <v>179</v>
      </c>
      <c r="M55" s="305" t="s">
        <v>178</v>
      </c>
      <c r="N55" s="303" t="str">
        <f t="shared" si="5"/>
        <v>EURECBOISM6</v>
      </c>
      <c r="O55" s="303" t="str">
        <v>EURECBOISM6=ICAP</v>
      </c>
      <c r="P55" s="251">
        <v>0.11799999999999999</v>
      </c>
      <c r="Q55" s="251">
        <v>0.16800000000000001</v>
      </c>
      <c r="R55" s="251" t="s">
        <v>271</v>
      </c>
      <c r="S55" s="385" t="s">
        <v>270</v>
      </c>
      <c r="T55" s="255">
        <f t="shared" si="6"/>
        <v>0.14300000000000002</v>
      </c>
      <c r="U55" s="253"/>
      <c r="V55" s="254">
        <v>0.14300000000000002</v>
      </c>
      <c r="W55" s="253"/>
      <c r="X55" s="317">
        <v>0.115</v>
      </c>
      <c r="Y55" s="41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6"/>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253"/>
      <c r="Y2" s="253"/>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3</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69"/>
      <c r="L4" s="194"/>
      <c r="M4" s="194"/>
      <c r="N4" s="194"/>
      <c r="O4" s="283" t="e">
        <f ca="1">_xll.RData(O5:O15,P4:S4,,ReutersRtMode,,P5)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68">
        <f>_xll.qlMidSafe($P5,$Q5)</f>
        <v>0.13600000000000001</v>
      </c>
      <c r="U5" s="253"/>
      <c r="V5" s="261">
        <v>0.13600000000000001</v>
      </c>
      <c r="W5" s="253"/>
      <c r="X5" s="324">
        <f t="array" ref="X5:X15">QuoteStatic</f>
        <v>0.13600000000000001</v>
      </c>
      <c r="Y5" s="258">
        <f>_xll.qlSimpleQuoteSetValue(F5,X5/100,Trigger)</f>
        <v>0</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68">
        <f>_xll.qlMidSafe($P6,$Q6)</f>
        <v>0.14200000000000002</v>
      </c>
      <c r="U6" s="253"/>
      <c r="V6" s="261">
        <v>0.14200000000000002</v>
      </c>
      <c r="W6" s="253"/>
      <c r="X6" s="324">
        <v>0.14200000000000002</v>
      </c>
      <c r="Y6" s="258">
        <f>_xll.qlSimpleQuoteSetValue(F6,X6/100,Trigger)</f>
        <v>0</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68">
        <f>_xll.qlMidSafe($P7,$Q7)</f>
        <v>0.14600000000000002</v>
      </c>
      <c r="U7" s="253"/>
      <c r="V7" s="261">
        <v>0.14600000000000002</v>
      </c>
      <c r="W7" s="253"/>
      <c r="X7" s="324">
        <v>0.14600000000000002</v>
      </c>
      <c r="Y7" s="258">
        <f>_xll.qlSimpleQuoteSetValue(F7,X7/100,Trigger)</f>
        <v>0</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68">
        <f>_xll.qlMidSafe($P8,$Q8)</f>
        <v>0.151</v>
      </c>
      <c r="U8" s="253"/>
      <c r="V8" s="261">
        <v>0.151</v>
      </c>
      <c r="W8" s="253"/>
      <c r="X8" s="324">
        <v>0.151</v>
      </c>
      <c r="Y8" s="258">
        <f>_xll.qlSimpleQuoteSetValue(F8,X8/100,Trigger)</f>
        <v>0</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68">
        <f>_xll.qlMidSafe($P9,$Q9)</f>
        <v>0.158</v>
      </c>
      <c r="U9" s="253"/>
      <c r="V9" s="261">
        <v>0.158</v>
      </c>
      <c r="W9" s="253"/>
      <c r="X9" s="324">
        <v>0.158</v>
      </c>
      <c r="Y9" s="258">
        <f>_xll.qlSimpleQuoteSetValue(F9,X9/100,Trigger)</f>
        <v>0</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68">
        <f>_xll.qlMidSafe($P10,$Q10)</f>
        <v>0.16300000000000001</v>
      </c>
      <c r="U10" s="253"/>
      <c r="V10" s="261">
        <v>0.16300000000000001</v>
      </c>
      <c r="W10" s="253"/>
      <c r="X10" s="324">
        <v>0.16300000000000001</v>
      </c>
      <c r="Y10" s="258">
        <f>_xll.qlSimpleQuoteSetValue(F10,X10/100,Trigger)</f>
        <v>0</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68">
        <f>_xll.qlMidSafe($P11,$Q11)</f>
        <v>0.16899999999999998</v>
      </c>
      <c r="U11" s="253"/>
      <c r="V11" s="261">
        <v>0.16999999999999998</v>
      </c>
      <c r="W11" s="253"/>
      <c r="X11" s="324">
        <v>0.16999999999999998</v>
      </c>
      <c r="Y11" s="258">
        <f>_xll.qlSimpleQuoteSetValue(F11,X11/100,Trigger)</f>
        <v>1.0000000000000026E-5</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68">
        <f>_xll.qlMidSafe($P12,$Q12)</f>
        <v>0.17899999999999999</v>
      </c>
      <c r="U12" s="253"/>
      <c r="V12" s="261">
        <v>0.17899999999999999</v>
      </c>
      <c r="W12" s="253"/>
      <c r="X12" s="324">
        <v>0.17899999999999999</v>
      </c>
      <c r="Y12" s="258">
        <f>_xll.qlSimpleQuoteSetValue(F12,X12/100,Trigger)</f>
        <v>0</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68">
        <f>_xll.qlMidSafe($P13,$Q13)</f>
        <v>0.186</v>
      </c>
      <c r="U13" s="253"/>
      <c r="V13" s="261">
        <v>0.186</v>
      </c>
      <c r="W13" s="253"/>
      <c r="X13" s="324">
        <v>0.186</v>
      </c>
      <c r="Y13" s="258">
        <f>_xll.qlSimpleQuoteSetValue(F13,X13/100,Trigger)</f>
        <v>0</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68">
        <f>_xll.qlMidSafe($P14,$Q14)</f>
        <v>0.19500000000000001</v>
      </c>
      <c r="U14" s="253"/>
      <c r="V14" s="261">
        <v>0.19500000000000001</v>
      </c>
      <c r="W14" s="253"/>
      <c r="X14" s="324">
        <v>0.19500000000000001</v>
      </c>
      <c r="Y14" s="258">
        <f>_xll.qlSimpleQuoteSetValue(F14,X14/100,Trigger)</f>
        <v>0</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67">
        <f>_xll.qlMidSafe($P15,$Q15)</f>
        <v>0.20400000000000001</v>
      </c>
      <c r="U15" s="253"/>
      <c r="V15" s="254">
        <v>0.20400000000000001</v>
      </c>
      <c r="W15" s="253"/>
      <c r="X15" s="317">
        <v>0.20400000000000001</v>
      </c>
      <c r="Y15" s="250">
        <f>_xll.qlSimpleQuoteSetValue(F15,X15/100,Trigger)</f>
        <v>0</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6"/>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137"/>
      <c r="L2" s="253"/>
      <c r="M2" s="253"/>
      <c r="N2" s="253"/>
      <c r="O2" s="144" t="s">
        <v>222</v>
      </c>
      <c r="P2" s="253"/>
      <c r="Q2" s="253"/>
      <c r="R2" s="253"/>
      <c r="S2" s="253"/>
      <c r="T2" s="137"/>
      <c r="U2" s="253"/>
      <c r="V2" s="253"/>
      <c r="W2" s="253"/>
      <c r="X2" s="253"/>
      <c r="Y2" s="137"/>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_xll.ohTrigger(Y5:Y11)</f>
        <v>3</v>
      </c>
      <c r="Z3" s="217"/>
    </row>
    <row r="4" spans="1:28"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69"/>
      <c r="L4" s="194"/>
      <c r="M4" s="194"/>
      <c r="N4" s="194"/>
      <c r="O4" s="283" t="e">
        <f ca="1">_xll.RData(O5:O11,P4:S4,,ReutersRtMode,,P5)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68">
        <f>_xll.qlMidSafe($P5,$Q5)</f>
        <v>0.36</v>
      </c>
      <c r="U5" s="253"/>
      <c r="V5" s="261">
        <v>0.36</v>
      </c>
      <c r="W5" s="253"/>
      <c r="X5" s="324">
        <f t="array" ref="X5:X11">QuoteStatic</f>
        <v>0.36</v>
      </c>
      <c r="Y5" s="258">
        <f>_xll.qlSimpleQuoteSetValue(F5,X5/100,Trigger)</f>
        <v>0</v>
      </c>
      <c r="Z5" s="217"/>
      <c r="AB5" s="290">
        <f t="shared" ref="AB5:AB11" si="2">(Q5-T5)/50</f>
        <v>5.0000000000000044E-4</v>
      </c>
    </row>
    <row r="6" spans="1:28"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68">
        <f>_xll.qlMidSafe($P6,$Q6)</f>
        <v>0.42200000000000004</v>
      </c>
      <c r="U6" s="253"/>
      <c r="V6" s="261">
        <v>0.42200000000000004</v>
      </c>
      <c r="W6" s="253"/>
      <c r="X6" s="324">
        <v>0.42200000000000004</v>
      </c>
      <c r="Y6" s="258">
        <f>_xll.qlSimpleQuoteSetValue(F6,X6/100,Trigger)</f>
        <v>0</v>
      </c>
      <c r="Z6" s="217"/>
      <c r="AB6" s="290">
        <f t="shared" si="2"/>
        <v>4.9999999999999936E-4</v>
      </c>
    </row>
    <row r="7" spans="1:28"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68">
        <f>_xll.qlMidSafe($P7,$Q7)</f>
        <v>0.48599999999999999</v>
      </c>
      <c r="U7" s="253"/>
      <c r="V7" s="261">
        <v>0.48599999999999999</v>
      </c>
      <c r="W7" s="253"/>
      <c r="X7" s="324">
        <v>0.48599999999999999</v>
      </c>
      <c r="Y7" s="258">
        <f>_xll.qlSimpleQuoteSetValue(F7,X7/100,Trigger)</f>
        <v>0</v>
      </c>
      <c r="Z7" s="217"/>
      <c r="AB7" s="290">
        <f t="shared" si="2"/>
        <v>5.0000000000000044E-4</v>
      </c>
    </row>
    <row r="8" spans="1:28"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68">
        <f>_xll.qlMidSafe($P8,$Q8)</f>
        <v>0.55000000000000004</v>
      </c>
      <c r="U8" s="253"/>
      <c r="V8" s="261">
        <v>0.55000000000000004</v>
      </c>
      <c r="W8" s="253"/>
      <c r="X8" s="324">
        <v>0.55000000000000004</v>
      </c>
      <c r="Y8" s="258">
        <f>_xll.qlSimpleQuoteSetValue(F8,X8/100,Trigger)</f>
        <v>0</v>
      </c>
      <c r="Z8" s="217"/>
      <c r="AB8" s="290">
        <f t="shared" si="2"/>
        <v>4.9999999999999828E-4</v>
      </c>
    </row>
    <row r="9" spans="1:28"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68">
        <f>_xll.qlMidSafe($P9,$Q9)</f>
        <v>0.48899999999999999</v>
      </c>
      <c r="U9" s="253"/>
      <c r="V9" s="261">
        <v>0.48899999999999999</v>
      </c>
      <c r="W9" s="253"/>
      <c r="X9" s="324">
        <v>0.48899999999999999</v>
      </c>
      <c r="Y9" s="258">
        <f>_xll.qlSimpleQuoteSetValue(F9,X9/100,Trigger)</f>
        <v>0</v>
      </c>
      <c r="Z9" s="217"/>
      <c r="AB9" s="290">
        <f t="shared" si="2"/>
        <v>5.0000000000000044E-4</v>
      </c>
    </row>
    <row r="10" spans="1:28"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68">
        <f>_xll.qlMidSafe($P10,$Q10)</f>
        <v>0.55800000000000005</v>
      </c>
      <c r="U10" s="253"/>
      <c r="V10" s="261">
        <v>0.55899999999999994</v>
      </c>
      <c r="W10" s="253"/>
      <c r="X10" s="324">
        <v>0.55899999999999994</v>
      </c>
      <c r="Y10" s="258">
        <f>_xll.qlSimpleQuoteSetValue(F10,X10/100,Trigger)</f>
        <v>9.9999999999987252E-6</v>
      </c>
      <c r="Z10" s="217"/>
      <c r="AB10" s="290">
        <f t="shared" si="2"/>
        <v>4.9999999999999828E-4</v>
      </c>
    </row>
    <row r="11" spans="1:28"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67">
        <f>_xll.qlMidSafe($P11,$Q11)</f>
        <v>0.66100000000000003</v>
      </c>
      <c r="U11" s="253"/>
      <c r="V11" s="254">
        <v>0.66100000000000003</v>
      </c>
      <c r="W11" s="253"/>
      <c r="X11" s="317">
        <v>0.66100000000000003</v>
      </c>
      <c r="Y11" s="250">
        <f>_xll.qlSimpleQuoteSetValue(F11,X11/100,Trigger)</f>
        <v>0</v>
      </c>
      <c r="Z11" s="217"/>
      <c r="AB11" s="290">
        <f t="shared" si="2"/>
        <v>5.0000000000000044E-4</v>
      </c>
    </row>
    <row r="12" spans="1:28"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36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86</v>
      </c>
      <c r="AD3" s="217"/>
      <c r="AE3" s="17"/>
      <c r="AF3" s="17"/>
      <c r="AG3" s="17"/>
      <c r="AH3" s="17"/>
      <c r="AI3" s="17"/>
      <c r="AJ3" s="17"/>
    </row>
    <row r="4" spans="1:36" ht="23.25" thickBot="1" x14ac:dyDescent="0.25">
      <c r="A4" s="216" t="s">
        <v>193</v>
      </c>
      <c r="B4" s="199"/>
      <c r="C4" s="199"/>
      <c r="D4" s="199"/>
      <c r="E4" s="197"/>
      <c r="F4" s="198"/>
      <c r="G4" s="197"/>
      <c r="H4" s="196"/>
      <c r="N4" s="122"/>
      <c r="O4" s="369"/>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244</v>
      </c>
      <c r="U5" s="299" t="s">
        <v>244</v>
      </c>
      <c r="V5" s="299" t="s">
        <v>244</v>
      </c>
      <c r="W5" s="299" t="s">
        <v>244</v>
      </c>
      <c r="X5" s="262"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4">
        <v>0.30399999999999999</v>
      </c>
      <c r="AC6" s="258">
        <f>_xll.qlSimpleQuoteSetValue(F6,AB6/100,Trigger)</f>
        <v>-2.2999999999999974E-4</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4">
        <v>0.309</v>
      </c>
      <c r="AC7" s="258">
        <f>_xll.qlSimpleQuoteSetValue(F7,AB7/100,Trigger)</f>
        <v>-5.0000000000000001E-4</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4">
        <v>0.32100000000000001</v>
      </c>
      <c r="AC8" s="258">
        <f>_xll.qlSimpleQuoteSetValue(F8,AB8/100,Trigger)</f>
        <v>-7.0999999999999969E-4</v>
      </c>
      <c r="AD8" s="217"/>
      <c r="AE8" s="17"/>
      <c r="AF8" s="205" t="s">
        <v>266</v>
      </c>
      <c r="AG8" s="85" t="s">
        <v>265</v>
      </c>
      <c r="AH8" s="84" t="s">
        <v>264</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4">
        <v>0.34</v>
      </c>
      <c r="AC9" s="258">
        <f>_xll.qlSimpleQuoteSetValue(F9,AB9/100,Trigger)</f>
        <v>-8.3000000000000001E-4</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4">
        <v>0.36499999999999999</v>
      </c>
      <c r="AC10" s="258">
        <f>_xll.qlSimpleQuoteSetValue(F10,AB10/100,Trigger)</f>
        <v>-9.1999999999999938E-4</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1" t="str">
        <v>AB</v>
      </c>
      <c r="Q11" s="371"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4">
        <v>0.52700000000000002</v>
      </c>
      <c r="AC11" s="258">
        <f>_xll.qlSimpleQuoteSetValue(F11,AB11/100,Trigger)</f>
        <v>-9.3999999999999986E-4</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1" t="str">
        <v>AB</v>
      </c>
      <c r="Q12" s="371"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4">
        <v>0.749</v>
      </c>
      <c r="AC12" s="258">
        <f>_xll.qlSimpleQuoteSetValue(F12,AB12/100,Trigger)</f>
        <v>-8.9000000000000017E-4</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1" t="str">
        <v>AB</v>
      </c>
      <c r="Q13" s="371"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4">
        <v>0.98099999999999998</v>
      </c>
      <c r="AC13" s="258">
        <f>_xll.qlSimpleQuoteSetValue(F13,AB13/100,Trigger)</f>
        <v>-8.4000000000000047E-4</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1" t="str">
        <v>AB</v>
      </c>
      <c r="Q14" s="371"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4">
        <v>1.2010000000000001</v>
      </c>
      <c r="AC14" s="258">
        <f>_xll.qlSimpleQuoteSetValue(F14,AB14/100,Trigger)</f>
        <v>-6.1999999999999902E-4</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1" t="str">
        <v>AB</v>
      </c>
      <c r="Q15" s="371"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4">
        <v>1.405</v>
      </c>
      <c r="AC15" s="258">
        <f>_xll.qlSimpleQuoteSetValue(F15,AB15/100,Trigger)</f>
        <v>-3.4000000000000002E-4</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1" t="str">
        <v>AB</v>
      </c>
      <c r="Q16" s="371"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4">
        <v>1.59</v>
      </c>
      <c r="AC16" s="258">
        <f>_xll.qlSimpleQuoteSetValue(F16,AB16/100,Trigger)</f>
        <v>-5.0000000000001432E-5</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1" t="str">
        <v>AB</v>
      </c>
      <c r="Q17" s="371"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4">
        <v>1.7549999999999999</v>
      </c>
      <c r="AC17" s="258">
        <f>_xll.qlSimpleQuoteSetValue(F17,AB17/100,Trigger)</f>
        <v>1.5000000000000083E-4</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1" t="str">
        <v>AB</v>
      </c>
      <c r="Q18" s="371"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4">
        <v>1.9019999999999999</v>
      </c>
      <c r="AC18" s="258">
        <f>_xll.qlSimpleQuoteSetValue(F18,AB18/100,Trigger)</f>
        <v>3.0999999999999778E-4</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1" t="str">
        <v>AB</v>
      </c>
      <c r="Q19" s="371"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4">
        <v>2.0289999999999999</v>
      </c>
      <c r="AC19" s="258">
        <f>_xll.qlSimpleQuoteSetValue(F19,AB19/100,Trigger)</f>
        <v>4.2999999999999636E-4</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1" t="str">
        <v>AB</v>
      </c>
      <c r="Q20" s="371"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4">
        <v>2.14</v>
      </c>
      <c r="AC20" s="258">
        <f>_xll.qlSimpleQuoteSetValue(F20,AB20/100,Trigger)</f>
        <v>5.6000000000000147E-4</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1" t="str">
        <v>AB</v>
      </c>
      <c r="Q21" s="371" t="str">
        <v>3E</v>
      </c>
      <c r="R21" s="298" t="str">
        <f t="shared" si="0"/>
        <v>EURAB3E13Y</v>
      </c>
      <c r="S21" s="298" t="str">
        <v>EURAB3E13Y=ICAP</v>
      </c>
      <c r="T21" s="299" t="s">
        <v>244</v>
      </c>
      <c r="U21" s="299" t="s">
        <v>244</v>
      </c>
      <c r="V21" s="299" t="s">
        <v>244</v>
      </c>
      <c r="W21" s="299" t="s">
        <v>244</v>
      </c>
      <c r="X21" s="262" t="e">
        <f>_xll.qlMidSafe($T21,$U21)</f>
        <v>#NUM!</v>
      </c>
      <c r="Y21" s="253"/>
      <c r="Z21" s="261" t="e">
        <v>#NUM!</v>
      </c>
      <c r="AA21" s="253"/>
      <c r="AB21" s="324"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1" t="str">
        <v>AB</v>
      </c>
      <c r="Q22" s="371" t="str">
        <v>3E</v>
      </c>
      <c r="R22" s="298" t="str">
        <f t="shared" si="0"/>
        <v>EURAB3E14Y</v>
      </c>
      <c r="S22" s="298" t="str">
        <v>EURAB3E14Y=ICAP</v>
      </c>
      <c r="T22" s="299" t="s">
        <v>244</v>
      </c>
      <c r="U22" s="299" t="s">
        <v>244</v>
      </c>
      <c r="V22" s="299" t="s">
        <v>244</v>
      </c>
      <c r="W22" s="299" t="s">
        <v>244</v>
      </c>
      <c r="X22" s="262" t="e">
        <f>_xll.qlMidSafe($T22,$U22)</f>
        <v>#NUM!</v>
      </c>
      <c r="Y22" s="253"/>
      <c r="Z22" s="261" t="e">
        <v>#NUM!</v>
      </c>
      <c r="AA22" s="253"/>
      <c r="AB22" s="324"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1" t="str">
        <v>AB</v>
      </c>
      <c r="Q23" s="371"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4">
        <v>2.3780000000000001</v>
      </c>
      <c r="AC23" s="258">
        <f>_xll.qlSimpleQuoteSetValue(F23,AB23/100,Trigger)</f>
        <v>8.9000000000000537E-4</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1" t="str">
        <v>AB</v>
      </c>
      <c r="Q24" s="371" t="str">
        <v>3E</v>
      </c>
      <c r="R24" s="298" t="str">
        <f t="shared" si="0"/>
        <v>EURAB3E16Y</v>
      </c>
      <c r="S24" s="298" t="str">
        <v>EURAB3E16Y=ICAP</v>
      </c>
      <c r="T24" s="299" t="s">
        <v>244</v>
      </c>
      <c r="U24" s="299" t="s">
        <v>244</v>
      </c>
      <c r="V24" s="299" t="s">
        <v>244</v>
      </c>
      <c r="W24" s="299" t="s">
        <v>244</v>
      </c>
      <c r="X24" s="262" t="e">
        <f>_xll.qlMidSafe($T24,$U24)</f>
        <v>#NUM!</v>
      </c>
      <c r="Y24" s="253"/>
      <c r="Z24" s="261" t="e">
        <v>#NUM!</v>
      </c>
      <c r="AA24" s="253"/>
      <c r="AB24" s="324"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1" t="str">
        <v>AB</v>
      </c>
      <c r="Q25" s="371" t="str">
        <v>3E</v>
      </c>
      <c r="R25" s="298" t="str">
        <f t="shared" si="0"/>
        <v>EURAB3E17Y</v>
      </c>
      <c r="S25" s="298" t="str">
        <v>EURAB3E17Y=ICAP</v>
      </c>
      <c r="T25" s="299" t="s">
        <v>244</v>
      </c>
      <c r="U25" s="299" t="s">
        <v>244</v>
      </c>
      <c r="V25" s="299" t="s">
        <v>244</v>
      </c>
      <c r="W25" s="299" t="s">
        <v>244</v>
      </c>
      <c r="X25" s="262" t="e">
        <f>_xll.qlMidSafe($T25,$U25)</f>
        <v>#NUM!</v>
      </c>
      <c r="Y25" s="253"/>
      <c r="Z25" s="261" t="e">
        <v>#NUM!</v>
      </c>
      <c r="AA25" s="253"/>
      <c r="AB25" s="324"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1" t="str">
        <v>AB</v>
      </c>
      <c r="Q26" s="371" t="str">
        <v>3E</v>
      </c>
      <c r="R26" s="298" t="str">
        <f t="shared" si="0"/>
        <v>EURAB3E18Y</v>
      </c>
      <c r="S26" s="298" t="str">
        <v>EURAB3E18Y=ICAP</v>
      </c>
      <c r="T26" s="299" t="s">
        <v>244</v>
      </c>
      <c r="U26" s="299" t="s">
        <v>244</v>
      </c>
      <c r="V26" s="299" t="s">
        <v>244</v>
      </c>
      <c r="W26" s="299" t="s">
        <v>244</v>
      </c>
      <c r="X26" s="262" t="e">
        <f>_xll.qlMidSafe($T26,$U26)</f>
        <v>#NUM!</v>
      </c>
      <c r="Y26" s="253"/>
      <c r="Z26" s="261" t="e">
        <v>#NUM!</v>
      </c>
      <c r="AA26" s="253"/>
      <c r="AB26" s="324"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1" t="str">
        <v>AB</v>
      </c>
      <c r="Q27" s="371" t="str">
        <v>3E</v>
      </c>
      <c r="R27" s="298" t="str">
        <f t="shared" si="0"/>
        <v>EURAB3E19Y</v>
      </c>
      <c r="S27" s="298" t="str">
        <v>EURAB3E19Y=ICAP</v>
      </c>
      <c r="T27" s="299" t="s">
        <v>244</v>
      </c>
      <c r="U27" s="299" t="s">
        <v>244</v>
      </c>
      <c r="V27" s="299" t="s">
        <v>244</v>
      </c>
      <c r="W27" s="299" t="s">
        <v>244</v>
      </c>
      <c r="X27" s="262" t="e">
        <f>_xll.qlMidSafe($T27,$U27)</f>
        <v>#NUM!</v>
      </c>
      <c r="Y27" s="253"/>
      <c r="Z27" s="261" t="e">
        <v>#NUM!</v>
      </c>
      <c r="AA27" s="253"/>
      <c r="AB27" s="324"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1" t="str">
        <v>AB</v>
      </c>
      <c r="Q28" s="371"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4">
        <v>2.5449999999999999</v>
      </c>
      <c r="AC28" s="258">
        <f>_xll.qlSimpleQuoteSetValue(F28,AB28/100,Trigger)</f>
        <v>1.3300000000000013E-3</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72" t="str">
        <v>AB</v>
      </c>
      <c r="Q29" s="372" t="str">
        <v>3E</v>
      </c>
      <c r="R29" s="298" t="str">
        <f t="shared" si="0"/>
        <v>EURAB3E21Y</v>
      </c>
      <c r="S29" s="298" t="str">
        <v>EURAB3E21Y=ICAP</v>
      </c>
      <c r="T29" s="299" t="s">
        <v>244</v>
      </c>
      <c r="U29" s="299" t="s">
        <v>244</v>
      </c>
      <c r="V29" s="299" t="s">
        <v>244</v>
      </c>
      <c r="W29" s="299" t="s">
        <v>244</v>
      </c>
      <c r="X29" s="262" t="e">
        <f>_xll.qlMidSafe($T29,$U29)</f>
        <v>#NUM!</v>
      </c>
      <c r="Y29" s="253"/>
      <c r="Z29" s="261" t="e">
        <v>#NUM!</v>
      </c>
      <c r="AA29" s="253"/>
      <c r="AB29" s="324"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1" t="str">
        <v>AB</v>
      </c>
      <c r="Q30" s="371" t="str">
        <v>3E</v>
      </c>
      <c r="R30" s="298" t="str">
        <f t="shared" si="0"/>
        <v>EURAB3E22Y</v>
      </c>
      <c r="S30" s="298" t="str">
        <v>EURAB3E22Y=ICAP</v>
      </c>
      <c r="T30" s="299" t="s">
        <v>244</v>
      </c>
      <c r="U30" s="299" t="s">
        <v>244</v>
      </c>
      <c r="V30" s="299" t="s">
        <v>244</v>
      </c>
      <c r="W30" s="299" t="s">
        <v>244</v>
      </c>
      <c r="X30" s="262" t="e">
        <f>_xll.qlMidSafe($T30,$U30)</f>
        <v>#NUM!</v>
      </c>
      <c r="Y30" s="253"/>
      <c r="Z30" s="261" t="e">
        <v>#NUM!</v>
      </c>
      <c r="AA30" s="253"/>
      <c r="AB30" s="324"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1" t="str">
        <v>AB</v>
      </c>
      <c r="Q31" s="371" t="str">
        <v>3E</v>
      </c>
      <c r="R31" s="298" t="str">
        <f t="shared" si="0"/>
        <v>EURAB3E23Y</v>
      </c>
      <c r="S31" s="298" t="str">
        <v>EURAB3E23Y=ICAP</v>
      </c>
      <c r="T31" s="299" t="s">
        <v>244</v>
      </c>
      <c r="U31" s="299" t="s">
        <v>244</v>
      </c>
      <c r="V31" s="299" t="s">
        <v>244</v>
      </c>
      <c r="W31" s="299" t="s">
        <v>244</v>
      </c>
      <c r="X31" s="262" t="e">
        <f>_xll.qlMidSafe($T31,$U31)</f>
        <v>#NUM!</v>
      </c>
      <c r="Y31" s="253"/>
      <c r="Z31" s="261" t="e">
        <v>#NUM!</v>
      </c>
      <c r="AA31" s="253"/>
      <c r="AB31" s="324"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1" t="str">
        <v>AB</v>
      </c>
      <c r="Q32" s="371" t="str">
        <v>3E</v>
      </c>
      <c r="R32" s="298" t="str">
        <f t="shared" si="0"/>
        <v>EURAB3E24Y</v>
      </c>
      <c r="S32" s="298" t="str">
        <v>EURAB3E24Y=ICAP</v>
      </c>
      <c r="T32" s="299" t="s">
        <v>244</v>
      </c>
      <c r="U32" s="299" t="s">
        <v>244</v>
      </c>
      <c r="V32" s="299" t="s">
        <v>244</v>
      </c>
      <c r="W32" s="299" t="s">
        <v>244</v>
      </c>
      <c r="X32" s="262" t="e">
        <f>_xll.qlMidSafe($T32,$U32)</f>
        <v>#NUM!</v>
      </c>
      <c r="Y32" s="253"/>
      <c r="Z32" s="261" t="e">
        <v>#NUM!</v>
      </c>
      <c r="AA32" s="253"/>
      <c r="AB32" s="324"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1" t="str">
        <v>AB</v>
      </c>
      <c r="Q33" s="371"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4">
        <v>2.5939999999999999</v>
      </c>
      <c r="AC33" s="258">
        <f>_xll.qlSimpleQuoteSetValue(F33,AB33/100,Trigger)</f>
        <v>1.5999999999999973E-3</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1" t="str">
        <v>AB</v>
      </c>
      <c r="Q34" s="371" t="str">
        <v>3E</v>
      </c>
      <c r="R34" s="298" t="str">
        <f t="shared" si="0"/>
        <v>EURAB3E26Y</v>
      </c>
      <c r="S34" s="298" t="str">
        <v>EURAB3E26Y=ICAP</v>
      </c>
      <c r="T34" s="299" t="s">
        <v>244</v>
      </c>
      <c r="U34" s="299" t="s">
        <v>244</v>
      </c>
      <c r="V34" s="299" t="s">
        <v>244</v>
      </c>
      <c r="W34" s="299" t="s">
        <v>244</v>
      </c>
      <c r="X34" s="262" t="e">
        <f>_xll.qlMidSafe($T34,$U34)</f>
        <v>#NUM!</v>
      </c>
      <c r="Y34" s="253"/>
      <c r="Z34" s="261" t="e">
        <v>#NUM!</v>
      </c>
      <c r="AA34" s="253"/>
      <c r="AB34" s="324"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1" t="str">
        <v>AB</v>
      </c>
      <c r="Q35" s="371" t="str">
        <v>3E</v>
      </c>
      <c r="R35" s="298" t="str">
        <f t="shared" si="0"/>
        <v>EURAB3E27Y</v>
      </c>
      <c r="S35" s="298" t="str">
        <v>EURAB3E27Y=ICAP</v>
      </c>
      <c r="T35" s="299" t="s">
        <v>244</v>
      </c>
      <c r="U35" s="299" t="s">
        <v>244</v>
      </c>
      <c r="V35" s="299" t="s">
        <v>244</v>
      </c>
      <c r="W35" s="299" t="s">
        <v>244</v>
      </c>
      <c r="X35" s="262" t="e">
        <f>_xll.qlMidSafe($T35,$U35)</f>
        <v>#NUM!</v>
      </c>
      <c r="Y35" s="253"/>
      <c r="Z35" s="261" t="e">
        <v>#NUM!</v>
      </c>
      <c r="AA35" s="253"/>
      <c r="AB35" s="324"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1" t="str">
        <v>AB</v>
      </c>
      <c r="Q36" s="371" t="str">
        <v>3E</v>
      </c>
      <c r="R36" s="298" t="str">
        <f t="shared" si="0"/>
        <v>EURAB3E28Y</v>
      </c>
      <c r="S36" s="298" t="str">
        <v>EURAB3E28Y=ICAP</v>
      </c>
      <c r="T36" s="299" t="s">
        <v>244</v>
      </c>
      <c r="U36" s="299" t="s">
        <v>244</v>
      </c>
      <c r="V36" s="299" t="s">
        <v>244</v>
      </c>
      <c r="W36" s="299" t="s">
        <v>244</v>
      </c>
      <c r="X36" s="262" t="e">
        <f>_xll.qlMidSafe($T36,$U36)</f>
        <v>#NUM!</v>
      </c>
      <c r="Y36" s="253"/>
      <c r="Z36" s="261" t="e">
        <v>#NUM!</v>
      </c>
      <c r="AA36" s="253"/>
      <c r="AB36" s="324"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1" t="str">
        <v>AB</v>
      </c>
      <c r="Q37" s="371" t="str">
        <v>3E</v>
      </c>
      <c r="R37" s="298" t="str">
        <f t="shared" si="0"/>
        <v>EURAB3E29Y</v>
      </c>
      <c r="S37" s="298" t="str">
        <v>EURAB3E29Y=ICAP</v>
      </c>
      <c r="T37" s="299" t="s">
        <v>244</v>
      </c>
      <c r="U37" s="299" t="s">
        <v>244</v>
      </c>
      <c r="V37" s="299" t="s">
        <v>244</v>
      </c>
      <c r="W37" s="299" t="s">
        <v>244</v>
      </c>
      <c r="X37" s="262" t="e">
        <f>_xll.qlMidSafe($T37,$U37)</f>
        <v>#NUM!</v>
      </c>
      <c r="Y37" s="253"/>
      <c r="Z37" s="261" t="e">
        <v>#NUM!</v>
      </c>
      <c r="AA37" s="253"/>
      <c r="AB37" s="324"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1" t="str">
        <v>AB</v>
      </c>
      <c r="Q38" s="371"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4">
        <v>2.6</v>
      </c>
      <c r="AC38" s="258">
        <f>_xll.qlSimpleQuoteSetValue(F38,AB38/100,Trigger)</f>
        <v>1.6900000000000005E-3</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1" t="str">
        <v>AB</v>
      </c>
      <c r="Q39" s="371" t="str">
        <v>3E</v>
      </c>
      <c r="R39" s="298" t="str">
        <f t="shared" si="0"/>
        <v>EURAB3E35Y</v>
      </c>
      <c r="S39" s="298" t="str">
        <v>EURAB3E35Y=ICAP</v>
      </c>
      <c r="T39" s="299" t="s">
        <v>244</v>
      </c>
      <c r="U39" s="299" t="s">
        <v>244</v>
      </c>
      <c r="V39" s="299" t="s">
        <v>244</v>
      </c>
      <c r="W39" s="299" t="s">
        <v>244</v>
      </c>
      <c r="X39" s="262" t="e">
        <f>_xll.qlMidSafe($T39,$U39)</f>
        <v>#NUM!</v>
      </c>
      <c r="Y39" s="253"/>
      <c r="Z39" s="261" t="e">
        <v>#NUM!</v>
      </c>
      <c r="AA39" s="253"/>
      <c r="AB39" s="324"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1" t="str">
        <v>AB</v>
      </c>
      <c r="Q40" s="371"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4">
        <v>2.6320000000000001</v>
      </c>
      <c r="AC40" s="258">
        <f>_xll.qlSimpleQuoteSetValue(F40,AB40/100,Trigger)</f>
        <v>1.5100000000000009E-3</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1" t="str">
        <v>AB</v>
      </c>
      <c r="Q41" s="371"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4">
        <v>2.6560000000000001</v>
      </c>
      <c r="AC41" s="258">
        <f>_xll.qlSimpleQuoteSetValue(F41,AB41/100,Trigger)</f>
        <v>1.2599999999999972E-3</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0" t="str">
        <v>AB</v>
      </c>
      <c r="Q42" s="370"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7">
        <v>2.6720000000000002</v>
      </c>
      <c r="AC42" s="250">
        <f>_xll.qlSimpleQuoteSetValue(F42,AB42/100,Trigger)</f>
        <v>1.0800000000000011E-3</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86"/>
      <c r="Q2" s="286"/>
      <c r="R2" s="286"/>
      <c r="S2" s="144" t="s">
        <v>222</v>
      </c>
      <c r="T2" s="253"/>
      <c r="U2" s="253"/>
      <c r="V2" s="253"/>
      <c r="W2" s="253"/>
      <c r="X2" s="137"/>
      <c r="Y2" s="253"/>
      <c r="Z2" s="253"/>
      <c r="AA2" s="253"/>
      <c r="AB2" s="253"/>
      <c r="AC2" s="253"/>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86</v>
      </c>
      <c r="AD3" s="217"/>
      <c r="AE3" s="17"/>
      <c r="AF3" s="17"/>
      <c r="AG3" s="17"/>
      <c r="AH3" s="17"/>
      <c r="AI3" s="17"/>
      <c r="AJ3" s="17"/>
    </row>
    <row r="4" spans="1:36" ht="23.25" thickBot="1" x14ac:dyDescent="0.25">
      <c r="A4" s="216" t="s">
        <v>193</v>
      </c>
      <c r="B4" s="199"/>
      <c r="C4" s="199"/>
      <c r="D4" s="199"/>
      <c r="E4" s="154"/>
      <c r="F4" s="215"/>
      <c r="G4" s="154"/>
      <c r="H4" s="196"/>
      <c r="N4" s="122"/>
      <c r="O4" s="375"/>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244</v>
      </c>
      <c r="U5" s="299" t="s">
        <v>244</v>
      </c>
      <c r="V5" s="299" t="s">
        <v>244</v>
      </c>
      <c r="W5" s="299" t="s">
        <v>244</v>
      </c>
      <c r="X5" s="368"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68">
        <f>_xll.qlMidSafe($T6,$U6)</f>
        <v>0.42699999999999999</v>
      </c>
      <c r="Y6" s="253"/>
      <c r="Z6" s="261">
        <v>0.41699999999999998</v>
      </c>
      <c r="AA6" s="253"/>
      <c r="AB6" s="324">
        <v>0.41699999999999998</v>
      </c>
      <c r="AC6" s="258">
        <f>_xll.qlSimpleQuoteSetValue(F6,AB6/100,Trigger)</f>
        <v>-9.9999999999999395E-5</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68">
        <f>_xll.qlMidEquivalent($T7,$U7,$V7,$W7)</f>
        <v>0.45199999999999996</v>
      </c>
      <c r="Y7" s="253"/>
      <c r="Z7" s="261">
        <v>0.40300000000000002</v>
      </c>
      <c r="AA7" s="253"/>
      <c r="AB7" s="324">
        <v>0.40300000000000002</v>
      </c>
      <c r="AC7" s="258">
        <f>_xll.qlSimpleQuoteSetValue(F7,AB7/100,Trigger)</f>
        <v>-4.8999999999999912E-4</v>
      </c>
      <c r="AD7" s="217"/>
      <c r="AE7" s="17"/>
      <c r="AF7" s="205" t="s">
        <v>121</v>
      </c>
      <c r="AG7" s="85" t="s">
        <v>187</v>
      </c>
      <c r="AH7" s="84" t="s">
        <v>119</v>
      </c>
      <c r="AI7" s="374"/>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68">
        <f>_xll.qlMidEquivalent($T8,$U8,$V8,$W8)</f>
        <v>0.504</v>
      </c>
      <c r="Y8" s="253"/>
      <c r="Z8" s="261">
        <v>0.442</v>
      </c>
      <c r="AA8" s="253"/>
      <c r="AB8" s="324">
        <v>0.442</v>
      </c>
      <c r="AC8" s="258">
        <f>_xll.qlSimpleQuoteSetValue(F8,AB8/100,Trigger)</f>
        <v>-6.1999999999999989E-4</v>
      </c>
      <c r="AD8" s="217"/>
      <c r="AE8" s="17"/>
      <c r="AF8" s="205" t="s">
        <v>120</v>
      </c>
      <c r="AG8" s="85" t="s">
        <v>187</v>
      </c>
      <c r="AH8" s="84" t="s">
        <v>119</v>
      </c>
      <c r="AI8" s="374"/>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68">
        <f>_xll.qlMidEquivalent($T9,$U9,$V9,$W9)</f>
        <v>0.52900000000000003</v>
      </c>
      <c r="Y9" s="253"/>
      <c r="Z9" s="261">
        <v>0.44700000000000001</v>
      </c>
      <c r="AA9" s="253"/>
      <c r="AB9" s="324">
        <v>0.44700000000000001</v>
      </c>
      <c r="AC9" s="258">
        <f>_xll.qlSimpleQuoteSetValue(F9,AB9/100,Trigger)</f>
        <v>-8.2000000000000042E-4</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68">
        <f>_xll.qlMidEquivalent($T10,$U10,$V10,$W10)</f>
        <v>0.57600000000000007</v>
      </c>
      <c r="Y10" s="253"/>
      <c r="Z10" s="261">
        <v>0.49199999999999999</v>
      </c>
      <c r="AA10" s="253"/>
      <c r="AB10" s="324">
        <v>0.49199999999999999</v>
      </c>
      <c r="AC10" s="258">
        <f>_xll.qlSimpleQuoteSetValue(F10,AB10/100,Trigger)</f>
        <v>-8.4000000000000047E-4</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68">
        <f>_xll.qlMidEquivalent($T11,$U11,$V11,$W11)</f>
        <v>0.745</v>
      </c>
      <c r="Y11" s="253"/>
      <c r="Z11" s="261">
        <v>0.66</v>
      </c>
      <c r="AA11" s="253"/>
      <c r="AB11" s="324">
        <v>0.66</v>
      </c>
      <c r="AC11" s="258">
        <f>_xll.qlSimpleQuoteSetValue(F11,AB11/100,Trigger)</f>
        <v>-8.5000000000000006E-4</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68">
        <f>_xll.qlMidEquivalent($T12,$U12,$V12,$W12)</f>
        <v>0.96099999999999997</v>
      </c>
      <c r="Y12" s="253"/>
      <c r="Z12" s="261">
        <v>0.88700000000000001</v>
      </c>
      <c r="AA12" s="253"/>
      <c r="AB12" s="324">
        <v>0.88700000000000001</v>
      </c>
      <c r="AC12" s="258">
        <f>_xll.qlSimpleQuoteSetValue(F12,AB12/100,Trigger)</f>
        <v>-7.4000000000000107E-4</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68">
        <f>_xll.qlMidEquivalent($T13,$U13,$V13,$W13)</f>
        <v>1.1850000000000001</v>
      </c>
      <c r="Y13" s="253"/>
      <c r="Z13" s="261">
        <v>1.1200000000000001</v>
      </c>
      <c r="AA13" s="253"/>
      <c r="AB13" s="324">
        <v>1.1200000000000001</v>
      </c>
      <c r="AC13" s="258">
        <f>_xll.qlSimpleQuoteSetValue(F13,AB13/100,Trigger)</f>
        <v>-6.4999999999999954E-4</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68">
        <f>_xll.qlMidEquivalent($T14,$U14,$V14,$W14)</f>
        <v>1.38</v>
      </c>
      <c r="Y14" s="253"/>
      <c r="Z14" s="261">
        <v>1.339</v>
      </c>
      <c r="AA14" s="253"/>
      <c r="AB14" s="324">
        <v>1.339</v>
      </c>
      <c r="AC14" s="258">
        <f>_xll.qlSimpleQuoteSetValue(F14,AB14/100,Trigger)</f>
        <v>-4.1000000000000064E-4</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68">
        <f>_xll.qlMidEquivalent($T15,$U15,$V15,$W15)</f>
        <v>1.5529999999999999</v>
      </c>
      <c r="Y15" s="253"/>
      <c r="Z15" s="261">
        <v>1.5389999999999999</v>
      </c>
      <c r="AA15" s="253"/>
      <c r="AB15" s="324">
        <v>1.5389999999999999</v>
      </c>
      <c r="AC15" s="258">
        <f>_xll.qlSimpleQuoteSetValue(F15,AB15/100,Trigger)</f>
        <v>-1.399999999999995E-4</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68">
        <f>_xll.qlMidEquivalent($T16,$U16,$V16,$W16)</f>
        <v>1.706</v>
      </c>
      <c r="Y16" s="253"/>
      <c r="Z16" s="261">
        <v>1.7190000000000001</v>
      </c>
      <c r="AA16" s="253"/>
      <c r="AB16" s="324">
        <v>1.7190000000000001</v>
      </c>
      <c r="AC16" s="258">
        <f>_xll.qlSimpleQuoteSetValue(F16,AB16/100,Trigger)</f>
        <v>1.3000000000000164E-4</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68">
        <f>_xll.qlMidEquivalent($T17,$U17,$V17,$W17)</f>
        <v>1.8460000000000001</v>
      </c>
      <c r="Y17" s="253"/>
      <c r="Z17" s="261">
        <v>1.879</v>
      </c>
      <c r="AA17" s="253"/>
      <c r="AB17" s="324">
        <v>1.879</v>
      </c>
      <c r="AC17" s="258">
        <f>_xll.qlSimpleQuoteSetValue(F17,AB17/100,Trigger)</f>
        <v>3.3000000000000043E-4</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68">
        <f>_xll.qlMidEquivalent($T18,$U18,$V18,$W18)</f>
        <v>1.974</v>
      </c>
      <c r="Y18" s="253"/>
      <c r="Z18" s="261">
        <v>2.02</v>
      </c>
      <c r="AA18" s="253"/>
      <c r="AB18" s="324">
        <v>2.02</v>
      </c>
      <c r="AC18" s="258">
        <f>_xll.qlSimpleQuoteSetValue(F18,AB18/100,Trigger)</f>
        <v>4.599999999999986E-4</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68">
        <f>_xll.qlMidEquivalent($T19,$U19,$V19,$W19)</f>
        <v>2.085</v>
      </c>
      <c r="Y19" s="253"/>
      <c r="Z19" s="261">
        <v>2.1419999999999999</v>
      </c>
      <c r="AA19" s="253"/>
      <c r="AB19" s="324">
        <v>2.1419999999999999</v>
      </c>
      <c r="AC19" s="258">
        <f>_xll.qlSimpleQuoteSetValue(F19,AB19/100,Trigger)</f>
        <v>5.6999999999999759E-4</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68">
        <f>_xll.qlMidEquivalent($T20,$U20,$V20,$W20)</f>
        <v>2.1800000000000002</v>
      </c>
      <c r="Y20" s="253"/>
      <c r="Z20" s="261">
        <v>2.2469999999999999</v>
      </c>
      <c r="AA20" s="253"/>
      <c r="AB20" s="324">
        <v>2.2469999999999999</v>
      </c>
      <c r="AC20" s="258">
        <f>_xll.qlSimpleQuoteSetValue(F20,AB20/100,Trigger)</f>
        <v>6.7000000000000046E-4</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68">
        <f>_xll.qlMidEquivalent($T21,$U21,$V21,$W21)</f>
        <v>2.2599999999999998</v>
      </c>
      <c r="Y21" s="253"/>
      <c r="Z21" s="261">
        <v>2.3359999999999999</v>
      </c>
      <c r="AA21" s="253"/>
      <c r="AB21" s="324">
        <v>2.3359999999999999</v>
      </c>
      <c r="AC21" s="258">
        <f>_xll.qlSimpleQuoteSetValue(F21,AB21/100,Trigger)</f>
        <v>7.6000000000000026E-4</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68">
        <f>_xll.qlMidEquivalent($T22,$U22,$V22,$W22)</f>
        <v>2.3250000000000002</v>
      </c>
      <c r="Y22" s="253"/>
      <c r="Z22" s="261">
        <v>2.41</v>
      </c>
      <c r="AA22" s="253"/>
      <c r="AB22" s="324">
        <v>2.41</v>
      </c>
      <c r="AC22" s="258">
        <f>_xll.qlSimpleQuoteSetValue(F22,AB22/100,Trigger)</f>
        <v>8.4999999999999659E-4</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68">
        <f>_xll.qlMidEquivalent($T23,$U23,$V23,$W23)</f>
        <v>2.3759999999999999</v>
      </c>
      <c r="Y23" s="253"/>
      <c r="Z23" s="261">
        <v>2.4700000000000002</v>
      </c>
      <c r="AA23" s="253"/>
      <c r="AB23" s="324">
        <v>2.4700000000000002</v>
      </c>
      <c r="AC23" s="258">
        <f>_xll.qlSimpleQuoteSetValue(F23,AB23/100,Trigger)</f>
        <v>9.4000000000000333E-4</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68">
        <f>_xll.qlMidEquivalent($T24,$U24,$V24,$W24)</f>
        <v>2.415</v>
      </c>
      <c r="Y24" s="253"/>
      <c r="Z24" s="261">
        <v>2.5179999999999998</v>
      </c>
      <c r="AA24" s="253"/>
      <c r="AB24" s="324">
        <v>2.5179999999999998</v>
      </c>
      <c r="AC24" s="258">
        <f>_xll.qlSimpleQuoteSetValue(F24,AB24/100,Trigger)</f>
        <v>1.0299999999999962E-3</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68">
        <f>_xll.qlMidEquivalent($T25,$U25,$V25,$W25)</f>
        <v>2.444</v>
      </c>
      <c r="Y25" s="253"/>
      <c r="Z25" s="261">
        <v>2.5550000000000002</v>
      </c>
      <c r="AA25" s="253"/>
      <c r="AB25" s="324">
        <v>2.5550000000000002</v>
      </c>
      <c r="AC25" s="258">
        <f>_xll.qlSimpleQuoteSetValue(F25,AB25/100,Trigger)</f>
        <v>1.1100000000000033E-3</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68">
        <f>_xll.qlMidEquivalent($T26,$U26,$V26,$W26)</f>
        <v>2.464</v>
      </c>
      <c r="Y26" s="253"/>
      <c r="Z26" s="261">
        <v>2.5830000000000002</v>
      </c>
      <c r="AA26" s="253"/>
      <c r="AB26" s="324">
        <v>2.5830000000000002</v>
      </c>
      <c r="AC26" s="258">
        <f>_xll.qlSimpleQuoteSetValue(F26,AB26/100,Trigger)</f>
        <v>1.1900000000000036E-3</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68">
        <f>_xll.qlMidEquivalent($T27,$U27,$V27,$W27)</f>
        <v>2.4780000000000002</v>
      </c>
      <c r="Y27" s="253"/>
      <c r="Z27" s="261">
        <v>2.605</v>
      </c>
      <c r="AA27" s="253"/>
      <c r="AB27" s="324">
        <v>2.605</v>
      </c>
      <c r="AC27" s="258">
        <f>_xll.qlSimpleQuoteSetValue(F27,AB27/100,Trigger)</f>
        <v>1.2699999999999968E-3</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68">
        <f>_xll.qlMidEquivalent($T28,$U28,$V28,$W28)</f>
        <v>2.4870000000000001</v>
      </c>
      <c r="Y28" s="253"/>
      <c r="Z28" s="261">
        <v>2.621</v>
      </c>
      <c r="AA28" s="253"/>
      <c r="AB28" s="324">
        <v>2.621</v>
      </c>
      <c r="AC28" s="258">
        <f>_xll.qlSimpleQuoteSetValue(F28,AB28/100,Trigger)</f>
        <v>1.3400000000000009E-3</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68">
        <f>_xll.qlMidEquivalent($T29,$U29,$V29,$W29)</f>
        <v>2.4929999999999999</v>
      </c>
      <c r="Y29" s="253"/>
      <c r="Z29" s="261">
        <v>2.6349999999999998</v>
      </c>
      <c r="AA29" s="253"/>
      <c r="AB29" s="324">
        <v>2.6349999999999998</v>
      </c>
      <c r="AC29" s="258">
        <f>_xll.qlSimpleQuoteSetValue(F29,AB29/100,Trigger)</f>
        <v>1.4200000000000011E-3</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68">
        <f>_xll.qlMidEquivalent($T30,$U30,$V30,$W30)</f>
        <v>2.4980000000000002</v>
      </c>
      <c r="Y30" s="253"/>
      <c r="Z30" s="261">
        <v>2.6440000000000001</v>
      </c>
      <c r="AA30" s="253"/>
      <c r="AB30" s="324">
        <v>2.6440000000000001</v>
      </c>
      <c r="AC30" s="258">
        <f>_xll.qlSimpleQuoteSetValue(F30,AB30/100,Trigger)</f>
        <v>1.4599999999999995E-3</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68">
        <f>_xll.qlMidEquivalent($T31,$U31,$V31,$W31)</f>
        <v>2.5009999999999999</v>
      </c>
      <c r="Y31" s="253"/>
      <c r="Z31" s="261">
        <v>2.6520000000000001</v>
      </c>
      <c r="AA31" s="253"/>
      <c r="AB31" s="324">
        <v>2.6520000000000001</v>
      </c>
      <c r="AC31" s="258">
        <f>_xll.qlSimpleQuoteSetValue(F31,AB31/100,Trigger)</f>
        <v>1.5100000000000044E-3</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68">
        <f>_xll.qlMidEquivalent($T32,$U32,$V32,$W32)</f>
        <v>2.5009999999999999</v>
      </c>
      <c r="Y32" s="253"/>
      <c r="Z32" s="261">
        <v>2.657</v>
      </c>
      <c r="AA32" s="253"/>
      <c r="AB32" s="324">
        <v>2.657</v>
      </c>
      <c r="AC32" s="258">
        <f>_xll.qlSimpleQuoteSetValue(F32,AB32/100,Trigger)</f>
        <v>1.5600000000000024E-3</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68">
        <f>_xll.qlMidEquivalent($T33,$U33,$V33,$W33)</f>
        <v>2.5009999999999999</v>
      </c>
      <c r="Y33" s="253"/>
      <c r="Z33" s="261">
        <v>2.66</v>
      </c>
      <c r="AA33" s="253"/>
      <c r="AB33" s="324">
        <v>2.66</v>
      </c>
      <c r="AC33" s="258">
        <f>_xll.qlSimpleQuoteSetValue(F33,AB33/100,Trigger)</f>
        <v>1.5900000000000046E-3</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68">
        <f>_xll.qlMidEquivalent($T34,$U34,$V34,$W34)</f>
        <v>2.5</v>
      </c>
      <c r="Y34" s="253"/>
      <c r="Z34" s="261">
        <v>2.661</v>
      </c>
      <c r="AA34" s="253"/>
      <c r="AB34" s="324">
        <v>2.661</v>
      </c>
      <c r="AC34" s="258">
        <f>_xll.qlSimpleQuoteSetValue(F34,AB34/100,Trigger)</f>
        <v>1.6100000000000003E-3</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68">
        <f>_xll.qlMidEquivalent($T35,$U35,$V35,$W35)</f>
        <v>2.4980000000000002</v>
      </c>
      <c r="Y35" s="253"/>
      <c r="Z35" s="261">
        <v>2.6619999999999999</v>
      </c>
      <c r="AA35" s="253"/>
      <c r="AB35" s="324">
        <v>2.6619999999999999</v>
      </c>
      <c r="AC35" s="258">
        <f>_xll.qlSimpleQuoteSetValue(F35,AB35/100,Trigger)</f>
        <v>1.6399999999999956E-3</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68">
        <f>_xll.qlMidEquivalent($T36,$U36,$V36,$W36)</f>
        <v>2.4950000000000001</v>
      </c>
      <c r="Y36" s="253"/>
      <c r="Z36" s="261">
        <v>2.661</v>
      </c>
      <c r="AA36" s="253"/>
      <c r="AB36" s="324">
        <v>2.661</v>
      </c>
      <c r="AC36" s="258">
        <f>_xll.qlSimpleQuoteSetValue(F36,AB36/100,Trigger)</f>
        <v>1.6600000000000018E-3</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68">
        <f>_xll.qlMidEquivalent($T37,$U37,$V37,$W37)</f>
        <v>2.4939999999999998</v>
      </c>
      <c r="Y37" s="253"/>
      <c r="Z37" s="261">
        <v>2.66</v>
      </c>
      <c r="AA37" s="253"/>
      <c r="AB37" s="324">
        <v>2.66</v>
      </c>
      <c r="AC37" s="258">
        <f>_xll.qlSimpleQuoteSetValue(F37,AB37/100,Trigger)</f>
        <v>1.6600000000000052E-3</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68">
        <f>_xll.qlMidEquivalent($T38,$U38,$V38,$W38)</f>
        <v>2.4929999999999999</v>
      </c>
      <c r="Y38" s="253"/>
      <c r="Z38" s="261">
        <v>2.66</v>
      </c>
      <c r="AA38" s="253"/>
      <c r="AB38" s="324">
        <v>2.66</v>
      </c>
      <c r="AC38" s="258">
        <f>_xll.qlSimpleQuoteSetValue(F38,AB38/100,Trigger)</f>
        <v>1.6700000000000048E-3</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68">
        <f>_xll.qlMidEquivalent($T39,$U39,$V39,$W39)</f>
        <v>2.5070000000000001</v>
      </c>
      <c r="Y39" s="253"/>
      <c r="Z39" s="261">
        <v>2.6680000000000001</v>
      </c>
      <c r="AA39" s="253"/>
      <c r="AB39" s="324">
        <v>2.6680000000000001</v>
      </c>
      <c r="AC39" s="258">
        <f>_xll.qlSimpleQuoteSetValue(F39,AB39/100,Trigger)</f>
        <v>1.6100000000000003E-3</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68">
        <f>_xll.qlMidEquivalent($T40,$U40,$V40,$W40)</f>
        <v>2.5350000000000001</v>
      </c>
      <c r="Y40" s="253"/>
      <c r="Z40" s="261">
        <v>2.6840000000000002</v>
      </c>
      <c r="AA40" s="253"/>
      <c r="AB40" s="324">
        <v>2.6840000000000002</v>
      </c>
      <c r="AC40" s="258">
        <f>_xll.qlSimpleQuoteSetValue(F40,AB40/100,Trigger)</f>
        <v>1.4900000000000017E-3</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68">
        <f>_xll.qlMidEquivalent($T41,$U41,$V41,$W41)</f>
        <v>2.5790000000000002</v>
      </c>
      <c r="Y41" s="253"/>
      <c r="Z41" s="261">
        <v>2.7029999999999998</v>
      </c>
      <c r="AA41" s="253"/>
      <c r="AB41" s="324">
        <v>2.7029999999999998</v>
      </c>
      <c r="AC41" s="258">
        <f>_xll.qlSimpleQuoteSetValue(F41,AB41/100,Trigger)</f>
        <v>1.239999999999998E-3</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67">
        <f>_xll.qlMidEquivalent($T42,$U42,$V42,$W42)</f>
        <v>2.61</v>
      </c>
      <c r="Y42" s="253"/>
      <c r="Z42" s="254">
        <v>2.7160000000000002</v>
      </c>
      <c r="AA42" s="253"/>
      <c r="AB42" s="317">
        <v>2.7160000000000002</v>
      </c>
      <c r="AC42" s="250">
        <f>_xll.qlSimpleQuoteSetValue(F42,AB42/100,Trigger)</f>
        <v>1.0600000000000054E-3</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31" t="s">
        <v>324</v>
      </c>
      <c r="I1" s="530"/>
      <c r="J1" s="530"/>
      <c r="K1" s="530"/>
      <c r="L1" s="530"/>
      <c r="M1" s="530"/>
      <c r="N1" s="530"/>
      <c r="O1" s="530"/>
      <c r="P1" s="52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28"/>
      <c r="I2" s="527"/>
      <c r="J2" s="512"/>
      <c r="K2" s="526"/>
      <c r="L2" s="512"/>
      <c r="M2" s="512"/>
      <c r="N2" s="512"/>
      <c r="O2" s="512"/>
      <c r="P2" s="50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15"/>
      <c r="I3" s="525"/>
      <c r="J3" s="525"/>
      <c r="K3" s="512"/>
      <c r="L3" s="512"/>
      <c r="M3" s="512"/>
      <c r="N3" s="525"/>
      <c r="O3" s="524">
        <f>_xll.ohTrigger(O5:O8)</f>
        <v>3</v>
      </c>
      <c r="P3" s="509"/>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15"/>
      <c r="I4" s="521"/>
      <c r="J4" s="523" t="s">
        <v>318</v>
      </c>
      <c r="K4" s="512"/>
      <c r="L4" s="522" t="s">
        <v>239</v>
      </c>
      <c r="M4" s="512"/>
      <c r="N4" s="521" t="s">
        <v>237</v>
      </c>
      <c r="O4" s="520" t="s">
        <v>236</v>
      </c>
      <c r="P4" s="509"/>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15"/>
      <c r="I5" s="519" t="s">
        <v>153</v>
      </c>
      <c r="J5" s="543" t="s">
        <v>319</v>
      </c>
      <c r="K5" s="532" t="s">
        <v>271</v>
      </c>
      <c r="L5" s="518">
        <v>1.2500240082381178E-3</v>
      </c>
      <c r="M5" s="512"/>
      <c r="N5" s="517">
        <f t="array" ref="N5:N9">QuoteStatic</f>
        <v>1.2500240082381178E-3</v>
      </c>
      <c r="O5" s="516">
        <f>_xll.qlSimpleQuoteSetValue(D5,ROUND($N5,6),EvaluationDate)</f>
        <v>0</v>
      </c>
      <c r="P5" s="509"/>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15"/>
      <c r="I6" s="519" t="s">
        <v>152</v>
      </c>
      <c r="J6" s="543" t="s">
        <v>320</v>
      </c>
      <c r="K6" s="532" t="s">
        <v>271</v>
      </c>
      <c r="L6" s="518">
        <v>1.3300205707900835E-3</v>
      </c>
      <c r="M6" s="512"/>
      <c r="N6" s="517">
        <v>1.3300205707900835E-3</v>
      </c>
      <c r="O6" s="516">
        <f>_xll.qlSimpleQuoteSetValue(D6,ROUND($N6,6),EvaluationDate)</f>
        <v>0</v>
      </c>
      <c r="P6" s="509"/>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15"/>
      <c r="I7" s="519" t="s">
        <v>151</v>
      </c>
      <c r="J7" s="543" t="s">
        <v>321</v>
      </c>
      <c r="K7" s="532" t="s">
        <v>271</v>
      </c>
      <c r="L7" s="518">
        <v>1.3100145596491742E-3</v>
      </c>
      <c r="M7" s="512"/>
      <c r="N7" s="517">
        <v>1.3100145596491742E-3</v>
      </c>
      <c r="O7" s="516">
        <f>_xll.qlSimpleQuoteSetValue(D7,ROUND($N7,6),EvaluationDate)</f>
        <v>0</v>
      </c>
      <c r="P7" s="509"/>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15"/>
      <c r="I8" s="514" t="s">
        <v>150</v>
      </c>
      <c r="J8" s="544" t="s">
        <v>322</v>
      </c>
      <c r="K8" s="532" t="s">
        <v>271</v>
      </c>
      <c r="L8" s="513">
        <v>1.3100085588989415E-3</v>
      </c>
      <c r="M8" s="512"/>
      <c r="N8" s="511">
        <v>1.3100085588989415E-3</v>
      </c>
      <c r="O8" s="510">
        <f>_xll.qlSimpleQuoteSetValue(D8,ROUND($N8,6),EvaluationDate)</f>
        <v>0</v>
      </c>
      <c r="P8" s="509"/>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15"/>
      <c r="I9" s="514" t="s">
        <v>149</v>
      </c>
      <c r="J9" s="544" t="s">
        <v>323</v>
      </c>
      <c r="K9" s="532" t="s">
        <v>271</v>
      </c>
      <c r="L9" s="513">
        <v>1.31E-3</v>
      </c>
      <c r="M9" s="512"/>
      <c r="N9" s="511">
        <v>1.31E-3</v>
      </c>
      <c r="O9" s="510">
        <f>_xll.qlSimpleQuoteSetValue(D9,ROUND($N9,6),EvaluationDate)</f>
        <v>0</v>
      </c>
      <c r="P9" s="509"/>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08"/>
      <c r="I10" s="507"/>
      <c r="J10" s="507"/>
      <c r="K10" s="507"/>
      <c r="L10" s="507"/>
      <c r="M10" s="507"/>
      <c r="N10" s="507"/>
      <c r="O10" s="507"/>
      <c r="P10" s="506"/>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31" t="s">
        <v>324</v>
      </c>
      <c r="I1" s="530"/>
      <c r="J1" s="530"/>
      <c r="K1" s="530"/>
      <c r="L1" s="530"/>
      <c r="M1" s="530"/>
      <c r="N1" s="530"/>
      <c r="O1" s="530"/>
      <c r="P1" s="52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28"/>
      <c r="I2" s="527"/>
      <c r="J2" s="512"/>
      <c r="K2" s="526"/>
      <c r="L2" s="512"/>
      <c r="M2" s="512"/>
      <c r="N2" s="512"/>
      <c r="O2" s="512"/>
      <c r="P2" s="50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15"/>
      <c r="I3" s="525"/>
      <c r="J3" s="525"/>
      <c r="K3" s="512"/>
      <c r="L3" s="512"/>
      <c r="M3" s="512"/>
      <c r="N3" s="525"/>
      <c r="O3" s="524">
        <f>_xll.ohTrigger(O5:O10)</f>
        <v>3</v>
      </c>
      <c r="P3" s="509"/>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15"/>
      <c r="I4" s="521"/>
      <c r="J4" s="523" t="s">
        <v>318</v>
      </c>
      <c r="K4" s="512"/>
      <c r="L4" s="522" t="s">
        <v>239</v>
      </c>
      <c r="M4" s="512"/>
      <c r="N4" s="521" t="s">
        <v>237</v>
      </c>
      <c r="O4" s="520" t="s">
        <v>236</v>
      </c>
      <c r="P4" s="509"/>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15"/>
      <c r="I5" s="519" t="s">
        <v>153</v>
      </c>
      <c r="J5" s="543" t="s">
        <v>325</v>
      </c>
      <c r="K5" s="532" t="s">
        <v>271</v>
      </c>
      <c r="L5" s="518">
        <v>3.444E-3</v>
      </c>
      <c r="M5" s="512"/>
      <c r="N5" s="517">
        <f t="array" ref="N5:N11">QuoteStatic</f>
        <v>3.444E-3</v>
      </c>
      <c r="O5" s="516">
        <f>_xll.qlSimpleQuoteSetValue(D5,ROUND(N5,6),EvaluationDate)</f>
        <v>0</v>
      </c>
      <c r="P5" s="509"/>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15"/>
      <c r="I6" s="519" t="s">
        <v>152</v>
      </c>
      <c r="J6" s="543" t="s">
        <v>326</v>
      </c>
      <c r="K6" s="532" t="s">
        <v>271</v>
      </c>
      <c r="L6" s="518">
        <v>2.9459999999999998E-3</v>
      </c>
      <c r="M6" s="512"/>
      <c r="N6" s="517">
        <v>2.9459999999999998E-3</v>
      </c>
      <c r="O6" s="516">
        <f>_xll.qlSimpleQuoteSetValue(D6,ROUND(N6,6),EvaluationDate)</f>
        <v>0</v>
      </c>
      <c r="P6" s="509"/>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15"/>
      <c r="I7" s="519" t="s">
        <v>151</v>
      </c>
      <c r="J7" s="543" t="s">
        <v>327</v>
      </c>
      <c r="K7" s="532" t="s">
        <v>271</v>
      </c>
      <c r="L7" s="518">
        <v>3.0699999999999998E-3</v>
      </c>
      <c r="M7" s="512"/>
      <c r="N7" s="517">
        <v>3.0699999999999998E-3</v>
      </c>
      <c r="O7" s="516">
        <f>_xll.qlSimpleQuoteSetValue(D7,ROUND(N7,6),EvaluationDate)</f>
        <v>0</v>
      </c>
      <c r="P7" s="509"/>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15"/>
      <c r="I8" s="514" t="s">
        <v>150</v>
      </c>
      <c r="J8" s="544" t="s">
        <v>328</v>
      </c>
      <c r="K8" s="532" t="s">
        <v>271</v>
      </c>
      <c r="L8" s="513">
        <v>3.0240000000000002E-3</v>
      </c>
      <c r="M8" s="512"/>
      <c r="N8" s="511">
        <v>3.0240000000000002E-3</v>
      </c>
      <c r="O8" s="510">
        <f>_xll.qlSimpleQuoteSetValue(D8,ROUND(N8,6),EvaluationDate)</f>
        <v>0</v>
      </c>
      <c r="P8" s="509"/>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15"/>
      <c r="I9" s="519" t="s">
        <v>149</v>
      </c>
      <c r="J9" s="543" t="s">
        <v>329</v>
      </c>
      <c r="K9" s="532" t="s">
        <v>271</v>
      </c>
      <c r="L9" s="518">
        <v>2.967E-3</v>
      </c>
      <c r="M9" s="512"/>
      <c r="N9" s="517">
        <v>2.967E-3</v>
      </c>
      <c r="O9" s="516">
        <f>_xll.qlSimpleQuoteSetValue(D9,ROUND(N9,6),EvaluationDate)</f>
        <v>0</v>
      </c>
      <c r="P9" s="509"/>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15"/>
      <c r="I10" s="519" t="s">
        <v>148</v>
      </c>
      <c r="J10" s="543" t="s">
        <v>330</v>
      </c>
      <c r="K10" s="532" t="s">
        <v>271</v>
      </c>
      <c r="L10" s="518">
        <v>2.993E-3</v>
      </c>
      <c r="M10" s="512"/>
      <c r="N10" s="517">
        <v>2.993E-3</v>
      </c>
      <c r="O10" s="516">
        <f>_xll.qlSimpleQuoteSetValue(D10,ROUND(N10,6),EvaluationDate)</f>
        <v>0</v>
      </c>
      <c r="P10" s="509"/>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15"/>
      <c r="I11" s="514" t="s">
        <v>147</v>
      </c>
      <c r="J11" s="544" t="s">
        <v>331</v>
      </c>
      <c r="K11" s="532" t="s">
        <v>271</v>
      </c>
      <c r="L11" s="513">
        <v>3.0200000000000001E-3</v>
      </c>
      <c r="M11" s="512"/>
      <c r="N11" s="511">
        <v>3.0200000000000001E-3</v>
      </c>
      <c r="O11" s="510">
        <f>_xll.qlSimpleQuoteSetValue(D11,ROUND(N11,6),EvaluationDate)</f>
        <v>0</v>
      </c>
      <c r="P11" s="509"/>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34"/>
      <c r="I12" s="533"/>
      <c r="J12" s="533"/>
      <c r="K12" s="533"/>
      <c r="L12" s="533"/>
      <c r="M12" s="533"/>
      <c r="N12" s="533"/>
      <c r="O12" s="533"/>
      <c r="P12" s="506"/>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31" t="s">
        <v>324</v>
      </c>
      <c r="I1" s="530"/>
      <c r="J1" s="530"/>
      <c r="K1" s="530"/>
      <c r="L1" s="530"/>
      <c r="M1" s="530"/>
      <c r="N1" s="530"/>
      <c r="O1" s="530"/>
      <c r="P1" s="53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28"/>
      <c r="I2" s="539"/>
      <c r="J2" s="512"/>
      <c r="K2" s="512"/>
      <c r="L2" s="512"/>
      <c r="M2" s="512"/>
      <c r="N2" s="512"/>
      <c r="O2" s="525"/>
      <c r="P2" s="54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15"/>
      <c r="I3" s="525"/>
      <c r="J3" s="525"/>
      <c r="K3" s="512"/>
      <c r="L3" s="512"/>
      <c r="M3" s="512"/>
      <c r="N3" s="525"/>
      <c r="O3" s="524"/>
      <c r="P3" s="540"/>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28"/>
      <c r="I5" s="519" t="s">
        <v>153</v>
      </c>
      <c r="J5" s="543" t="s">
        <v>332</v>
      </c>
      <c r="K5" s="532" t="s">
        <v>271</v>
      </c>
      <c r="L5" s="541">
        <v>4.738E-3</v>
      </c>
      <c r="M5" s="512"/>
      <c r="N5" s="517">
        <f t="array" ref="N5:N14">QuoteStatic</f>
        <v>4.738E-3</v>
      </c>
      <c r="O5" s="516">
        <f>_xll.qlSimpleQuoteSetValue(D5,ROUND(N5,6),EvaluationDate)</f>
        <v>0</v>
      </c>
      <c r="P5" s="540"/>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28"/>
      <c r="I6" s="519" t="s">
        <v>152</v>
      </c>
      <c r="J6" s="543" t="s">
        <v>333</v>
      </c>
      <c r="K6" s="532" t="s">
        <v>271</v>
      </c>
      <c r="L6" s="518">
        <v>4.2310000000000004E-3</v>
      </c>
      <c r="M6" s="512"/>
      <c r="N6" s="517">
        <v>4.2310000000000004E-3</v>
      </c>
      <c r="O6" s="516">
        <f>_xll.qlSimpleQuoteSetValue(D6,ROUND(N6,6),EvaluationDate)</f>
        <v>0</v>
      </c>
      <c r="P6" s="540"/>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28"/>
      <c r="I7" s="519" t="s">
        <v>151</v>
      </c>
      <c r="J7" s="543" t="s">
        <v>334</v>
      </c>
      <c r="K7" s="532" t="s">
        <v>271</v>
      </c>
      <c r="L7" s="518">
        <v>4.3449999999999999E-3</v>
      </c>
      <c r="M7" s="512"/>
      <c r="N7" s="517">
        <v>4.3449999999999999E-3</v>
      </c>
      <c r="O7" s="516">
        <f>_xll.qlSimpleQuoteSetValue(D7,ROUND(N7,6),EvaluationDate)</f>
        <v>0</v>
      </c>
      <c r="P7" s="540"/>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28"/>
      <c r="I8" s="519" t="s">
        <v>150</v>
      </c>
      <c r="J8" s="543" t="s">
        <v>335</v>
      </c>
      <c r="K8" s="532" t="s">
        <v>271</v>
      </c>
      <c r="L8" s="518">
        <v>4.2880000000000001E-3</v>
      </c>
      <c r="M8" s="512"/>
      <c r="N8" s="517">
        <v>4.2880000000000001E-3</v>
      </c>
      <c r="O8" s="516">
        <f>_xll.qlSimpleQuoteSetValue(D8,ROUND(N8,6),EvaluationDate)</f>
        <v>0</v>
      </c>
      <c r="P8" s="540"/>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28"/>
      <c r="I9" s="519" t="s">
        <v>149</v>
      </c>
      <c r="J9" s="543" t="s">
        <v>336</v>
      </c>
      <c r="K9" s="532" t="s">
        <v>271</v>
      </c>
      <c r="L9" s="518">
        <v>4.2139999999999999E-3</v>
      </c>
      <c r="M9" s="512"/>
      <c r="N9" s="517">
        <v>4.2139999999999999E-3</v>
      </c>
      <c r="O9" s="516">
        <f>_xll.qlSimpleQuoteSetValue(D9,ROUND(N9,6),EvaluationDate)</f>
        <v>0</v>
      </c>
      <c r="P9" s="540"/>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28"/>
      <c r="I10" s="519" t="s">
        <v>148</v>
      </c>
      <c r="J10" s="543" t="s">
        <v>337</v>
      </c>
      <c r="K10" s="532" t="s">
        <v>271</v>
      </c>
      <c r="L10" s="518">
        <v>4.1989999999999996E-3</v>
      </c>
      <c r="M10" s="512"/>
      <c r="N10" s="517">
        <v>4.1989999999999996E-3</v>
      </c>
      <c r="O10" s="516">
        <f>_xll.qlSimpleQuoteSetValue(D10,ROUND(N10,6),EvaluationDate)</f>
        <v>0</v>
      </c>
      <c r="P10" s="540"/>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28"/>
      <c r="I11" s="519" t="s">
        <v>147</v>
      </c>
      <c r="J11" s="543" t="s">
        <v>338</v>
      </c>
      <c r="K11" s="532" t="s">
        <v>271</v>
      </c>
      <c r="L11" s="518">
        <v>4.1840000000000002E-3</v>
      </c>
      <c r="M11" s="512"/>
      <c r="N11" s="517">
        <v>4.1840000000000002E-3</v>
      </c>
      <c r="O11" s="516">
        <f>_xll.qlSimpleQuoteSetValue(D11,ROUND(N11,6),EvaluationDate)</f>
        <v>0</v>
      </c>
      <c r="P11" s="540"/>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28"/>
      <c r="I12" s="519" t="s">
        <v>146</v>
      </c>
      <c r="J12" s="543" t="s">
        <v>339</v>
      </c>
      <c r="K12" s="532" t="s">
        <v>271</v>
      </c>
      <c r="L12" s="518">
        <v>4.1390000000000003E-3</v>
      </c>
      <c r="M12" s="512"/>
      <c r="N12" s="517">
        <v>4.1390000000000003E-3</v>
      </c>
      <c r="O12" s="516">
        <f>_xll.qlSimpleQuoteSetValue(D12,ROUND(N12,6),EvaluationDate)</f>
        <v>0</v>
      </c>
      <c r="P12" s="540"/>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28"/>
      <c r="I13" s="519" t="s">
        <v>145</v>
      </c>
      <c r="J13" s="543" t="s">
        <v>340</v>
      </c>
      <c r="K13" s="532" t="s">
        <v>271</v>
      </c>
      <c r="L13" s="518">
        <v>4.1050000000000001E-3</v>
      </c>
      <c r="M13" s="512"/>
      <c r="N13" s="517">
        <v>4.1050000000000001E-3</v>
      </c>
      <c r="O13" s="516">
        <f>_xll.qlSimpleQuoteSetValue(D13,ROUND(N13,6),EvaluationDate)</f>
        <v>0</v>
      </c>
      <c r="P13" s="540"/>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28"/>
      <c r="I14" s="514" t="s">
        <v>144</v>
      </c>
      <c r="J14" s="544" t="s">
        <v>341</v>
      </c>
      <c r="K14" s="532" t="s">
        <v>271</v>
      </c>
      <c r="L14" s="513">
        <v>4.0800000000000003E-3</v>
      </c>
      <c r="M14" s="512"/>
      <c r="N14" s="511">
        <v>4.0800000000000003E-3</v>
      </c>
      <c r="O14" s="510">
        <f>_xll.qlSimpleQuoteSetValue(D14,ROUND(N14,6),EvaluationDate)</f>
        <v>0</v>
      </c>
      <c r="P14" s="540"/>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08"/>
      <c r="I15" s="507"/>
      <c r="J15" s="507"/>
      <c r="K15" s="507"/>
      <c r="L15" s="507"/>
      <c r="M15" s="507"/>
      <c r="N15" s="507"/>
      <c r="O15" s="507"/>
      <c r="P15" s="542"/>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31" t="s">
        <v>324</v>
      </c>
      <c r="I1" s="530"/>
      <c r="J1" s="530"/>
      <c r="K1" s="530"/>
      <c r="L1" s="530"/>
      <c r="M1" s="530"/>
      <c r="N1" s="530"/>
      <c r="O1" s="530"/>
      <c r="P1" s="53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28"/>
      <c r="I2" s="539"/>
      <c r="J2" s="512"/>
      <c r="K2" s="512"/>
      <c r="L2" s="512"/>
      <c r="M2" s="512"/>
      <c r="N2" s="512"/>
      <c r="O2" s="525"/>
      <c r="P2" s="54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15"/>
      <c r="I3" s="525"/>
      <c r="J3" s="525"/>
      <c r="K3" s="512"/>
      <c r="L3" s="512"/>
      <c r="M3" s="512"/>
      <c r="N3" s="525"/>
      <c r="O3" s="524"/>
      <c r="P3" s="540"/>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28"/>
      <c r="I5" s="546" t="s">
        <v>153</v>
      </c>
      <c r="J5" s="543" t="s">
        <v>342</v>
      </c>
      <c r="K5" s="532" t="s">
        <v>271</v>
      </c>
      <c r="L5" s="518">
        <v>6.411E-3</v>
      </c>
      <c r="M5" s="512"/>
      <c r="N5" s="517">
        <f t="array" ref="N5:N20">QuoteStatic</f>
        <v>6.411E-3</v>
      </c>
      <c r="O5" s="516">
        <f>_xll.qlSimpleQuoteSetValue(D5,ROUND(N5,6),EvaluationDate)</f>
        <v>0</v>
      </c>
      <c r="P5" s="540"/>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28"/>
      <c r="I6" s="546" t="s">
        <v>152</v>
      </c>
      <c r="J6" s="543" t="s">
        <v>343</v>
      </c>
      <c r="K6" s="532" t="s">
        <v>271</v>
      </c>
      <c r="L6" s="518">
        <v>5.9040000000000004E-3</v>
      </c>
      <c r="M6" s="512"/>
      <c r="N6" s="517">
        <v>5.9040000000000004E-3</v>
      </c>
      <c r="O6" s="516">
        <f>_xll.qlSimpleQuoteSetValue(D6,ROUND(N6,6),EvaluationDate)</f>
        <v>0</v>
      </c>
      <c r="P6" s="540"/>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28"/>
      <c r="I7" s="546" t="s">
        <v>151</v>
      </c>
      <c r="J7" s="543" t="s">
        <v>344</v>
      </c>
      <c r="K7" s="532" t="s">
        <v>271</v>
      </c>
      <c r="L7" s="518">
        <v>6.0169999999999998E-3</v>
      </c>
      <c r="M7" s="512"/>
      <c r="N7" s="517">
        <v>6.0169999999999998E-3</v>
      </c>
      <c r="O7" s="516">
        <f>_xll.qlSimpleQuoteSetValue(D7,ROUND(N7,6),EvaluationDate)</f>
        <v>0</v>
      </c>
      <c r="P7" s="540"/>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28"/>
      <c r="I8" s="546" t="s">
        <v>150</v>
      </c>
      <c r="J8" s="543" t="s">
        <v>345</v>
      </c>
      <c r="K8" s="532" t="s">
        <v>271</v>
      </c>
      <c r="L8" s="518">
        <v>5.9610000000000002E-3</v>
      </c>
      <c r="M8" s="512"/>
      <c r="N8" s="517">
        <v>5.9610000000000002E-3</v>
      </c>
      <c r="O8" s="516">
        <f>_xll.qlSimpleQuoteSetValue(D8,ROUND(N8,6),EvaluationDate)</f>
        <v>0</v>
      </c>
      <c r="P8" s="540"/>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28"/>
      <c r="I9" s="545" t="s">
        <v>149</v>
      </c>
      <c r="J9" s="544" t="s">
        <v>346</v>
      </c>
      <c r="K9" s="532" t="s">
        <v>271</v>
      </c>
      <c r="L9" s="513">
        <v>5.8869999999999999E-3</v>
      </c>
      <c r="M9" s="512"/>
      <c r="N9" s="511">
        <v>5.8869999999999999E-3</v>
      </c>
      <c r="O9" s="510">
        <f>_xll.qlSimpleQuoteSetValue(D9,ROUND(N9,6),EvaluationDate)</f>
        <v>0</v>
      </c>
      <c r="P9" s="540"/>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28"/>
      <c r="I10" s="546" t="s">
        <v>148</v>
      </c>
      <c r="J10" s="543" t="s">
        <v>347</v>
      </c>
      <c r="K10" s="532" t="s">
        <v>271</v>
      </c>
      <c r="L10" s="518">
        <v>5.8700000000000002E-3</v>
      </c>
      <c r="M10" s="512"/>
      <c r="N10" s="517">
        <v>5.8700000000000002E-3</v>
      </c>
      <c r="O10" s="516">
        <f>_xll.qlSimpleQuoteSetValue(D10,ROUND(N10,6),EvaluationDate)</f>
        <v>0</v>
      </c>
      <c r="P10" s="540"/>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15"/>
      <c r="I11" s="546" t="s">
        <v>147</v>
      </c>
      <c r="J11" s="543" t="s">
        <v>348</v>
      </c>
      <c r="K11" s="532" t="s">
        <v>271</v>
      </c>
      <c r="L11" s="518">
        <v>5.855E-3</v>
      </c>
      <c r="M11" s="512"/>
      <c r="N11" s="517">
        <v>5.855E-3</v>
      </c>
      <c r="O11" s="516">
        <f>_xll.qlSimpleQuoteSetValue(D11,ROUND(N11,6),EvaluationDate)</f>
        <v>0</v>
      </c>
      <c r="P11" s="540"/>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15"/>
      <c r="I12" s="546" t="s">
        <v>146</v>
      </c>
      <c r="J12" s="543" t="s">
        <v>349</v>
      </c>
      <c r="K12" s="532" t="s">
        <v>271</v>
      </c>
      <c r="L12" s="518">
        <v>5.8089999999999999E-3</v>
      </c>
      <c r="M12" s="512"/>
      <c r="N12" s="517">
        <v>5.8089999999999999E-3</v>
      </c>
      <c r="O12" s="516">
        <f>_xll.qlSimpleQuoteSetValue(D12,ROUND(N12,6),EvaluationDate)</f>
        <v>0</v>
      </c>
      <c r="P12" s="540"/>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15"/>
      <c r="I13" s="546" t="s">
        <v>145</v>
      </c>
      <c r="J13" s="543" t="s">
        <v>350</v>
      </c>
      <c r="K13" s="532" t="s">
        <v>271</v>
      </c>
      <c r="L13" s="518">
        <v>5.7749999999999998E-3</v>
      </c>
      <c r="M13" s="512"/>
      <c r="N13" s="517">
        <v>5.7749999999999998E-3</v>
      </c>
      <c r="O13" s="516">
        <f>_xll.qlSimpleQuoteSetValue(D13,ROUND(N13,6),EvaluationDate)</f>
        <v>0</v>
      </c>
      <c r="P13" s="540"/>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15"/>
      <c r="I14" s="546" t="s">
        <v>144</v>
      </c>
      <c r="J14" s="543" t="s">
        <v>351</v>
      </c>
      <c r="K14" s="532" t="s">
        <v>271</v>
      </c>
      <c r="L14" s="518">
        <v>5.7489999999999998E-3</v>
      </c>
      <c r="M14" s="512"/>
      <c r="N14" s="517">
        <v>5.7489999999999998E-3</v>
      </c>
      <c r="O14" s="516">
        <f>_xll.qlSimpleQuoteSetValue(D14,ROUND(N14,6),EvaluationDate)</f>
        <v>0</v>
      </c>
      <c r="P14" s="540"/>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15"/>
      <c r="I15" s="546" t="s">
        <v>143</v>
      </c>
      <c r="J15" s="543" t="s">
        <v>352</v>
      </c>
      <c r="K15" s="532" t="s">
        <v>271</v>
      </c>
      <c r="L15" s="518">
        <v>5.7349999999999996E-3</v>
      </c>
      <c r="M15" s="512"/>
      <c r="N15" s="517">
        <v>5.7349999999999996E-3</v>
      </c>
      <c r="O15" s="516">
        <f>_xll.qlSimpleQuoteSetValue(D15,ROUND(N15,6),EvaluationDate)</f>
        <v>0</v>
      </c>
      <c r="P15" s="540"/>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15"/>
      <c r="I16" s="546" t="s">
        <v>142</v>
      </c>
      <c r="J16" s="543" t="s">
        <v>353</v>
      </c>
      <c r="K16" s="532" t="s">
        <v>271</v>
      </c>
      <c r="L16" s="518">
        <v>5.7200000000000003E-3</v>
      </c>
      <c r="M16" s="512"/>
      <c r="N16" s="517">
        <v>5.7200000000000003E-3</v>
      </c>
      <c r="O16" s="516">
        <f>_xll.qlSimpleQuoteSetValue(D16,ROUND(N16,6),EvaluationDate)</f>
        <v>0</v>
      </c>
      <c r="P16" s="540"/>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15"/>
      <c r="I17" s="546" t="s">
        <v>141</v>
      </c>
      <c r="J17" s="543" t="s">
        <v>354</v>
      </c>
      <c r="K17" s="532" t="s">
        <v>271</v>
      </c>
      <c r="L17" s="518">
        <v>5.705E-3</v>
      </c>
      <c r="M17" s="512"/>
      <c r="N17" s="517">
        <v>5.705E-3</v>
      </c>
      <c r="O17" s="516">
        <f>_xll.qlSimpleQuoteSetValue(D17,ROUND(N17,6),EvaluationDate)</f>
        <v>0</v>
      </c>
      <c r="P17" s="540"/>
      <c r="R17" s="574" t="s">
        <v>402</v>
      </c>
      <c r="S17" s="573"/>
      <c r="T17" s="573"/>
      <c r="U17" s="573"/>
      <c r="V17" s="573"/>
      <c r="W17" s="573"/>
      <c r="X17" s="573"/>
      <c r="Y17" s="573"/>
      <c r="Z17" s="572"/>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15"/>
      <c r="I18" s="546" t="s">
        <v>140</v>
      </c>
      <c r="J18" s="543" t="s">
        <v>355</v>
      </c>
      <c r="K18" s="532" t="s">
        <v>271</v>
      </c>
      <c r="L18" s="518">
        <v>5.7010000000000003E-3</v>
      </c>
      <c r="M18" s="512"/>
      <c r="N18" s="517">
        <v>5.7010000000000003E-3</v>
      </c>
      <c r="O18" s="516">
        <f>_xll.qlSimpleQuoteSetValue(D18,ROUND(N18,6),EvaluationDate)</f>
        <v>0</v>
      </c>
      <c r="P18" s="540"/>
      <c r="R18" s="571"/>
      <c r="S18" s="570"/>
      <c r="T18" s="553"/>
      <c r="U18" s="553"/>
      <c r="V18" s="553"/>
      <c r="W18" s="553"/>
      <c r="X18" s="553"/>
      <c r="Y18" s="553"/>
      <c r="Z18" s="569"/>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15"/>
      <c r="I19" s="546" t="s">
        <v>139</v>
      </c>
      <c r="J19" s="543" t="s">
        <v>356</v>
      </c>
      <c r="K19" s="532" t="s">
        <v>271</v>
      </c>
      <c r="L19" s="518">
        <v>5.6950000000000004E-3</v>
      </c>
      <c r="M19" s="512"/>
      <c r="N19" s="517">
        <v>5.6950000000000004E-3</v>
      </c>
      <c r="O19" s="516">
        <f>_xll.qlSimpleQuoteSetValue(D19,ROUND(N19,6),EvaluationDate)</f>
        <v>0</v>
      </c>
      <c r="P19" s="540"/>
      <c r="R19" s="555"/>
      <c r="S19" s="553">
        <v>12</v>
      </c>
      <c r="T19" s="553"/>
      <c r="U19" s="553"/>
      <c r="V19" s="553"/>
      <c r="W19" s="553"/>
      <c r="X19" s="568"/>
      <c r="Y19" s="567"/>
      <c r="Z19" s="550"/>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15"/>
      <c r="I20" s="545" t="s">
        <v>138</v>
      </c>
      <c r="J20" s="544" t="s">
        <v>357</v>
      </c>
      <c r="K20" s="532" t="s">
        <v>271</v>
      </c>
      <c r="L20" s="513">
        <v>5.7000000000000002E-3</v>
      </c>
      <c r="M20" s="512"/>
      <c r="N20" s="511">
        <v>5.7000000000000002E-3</v>
      </c>
      <c r="O20" s="510">
        <f>_xll.qlSimpleQuoteSetValue(D20,ROUND(N20,6),EvaluationDate)</f>
        <v>0</v>
      </c>
      <c r="P20" s="540"/>
      <c r="R20" s="555"/>
      <c r="S20" s="566"/>
      <c r="T20" s="565" t="s">
        <v>318</v>
      </c>
      <c r="U20" s="553"/>
      <c r="V20" s="564" t="s">
        <v>239</v>
      </c>
      <c r="W20" s="553"/>
      <c r="X20" s="563" t="s">
        <v>237</v>
      </c>
      <c r="Y20" s="562" t="s">
        <v>236</v>
      </c>
      <c r="Z20" s="550"/>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08"/>
      <c r="I21" s="507"/>
      <c r="J21" s="507"/>
      <c r="K21" s="507"/>
      <c r="L21" s="507"/>
      <c r="M21" s="507"/>
      <c r="N21" s="507"/>
      <c r="O21" s="507"/>
      <c r="P21" s="542"/>
      <c r="R21" s="555">
        <v>1</v>
      </c>
      <c r="S21" s="560" t="str">
        <f t="shared" ref="S21:S64" si="2">R21&amp;"x"&amp;(R21+$S$19)&amp;"F"</f>
        <v>1x13F</v>
      </c>
      <c r="T21" s="576" t="s">
        <v>358</v>
      </c>
      <c r="U21" s="575" t="s">
        <v>271</v>
      </c>
      <c r="V21" s="561">
        <v>5.6839999999999998E-3</v>
      </c>
      <c r="W21" s="553"/>
      <c r="X21" s="579">
        <f t="array" ref="X21:X64">QuoteStatic2</f>
        <v>5.6839999999999998E-3</v>
      </c>
      <c r="Y21" s="559" t="e">
        <f>_xll.qlSimpleQuoteSetValue(D21,ROUND(X21,6),EvaluationDate)</f>
        <v>#N/A</v>
      </c>
      <c r="Z21" s="550"/>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55">
        <v>2</v>
      </c>
      <c r="S22" s="557" t="str">
        <f t="shared" si="2"/>
        <v>2x14F</v>
      </c>
      <c r="T22" s="577" t="s">
        <v>359</v>
      </c>
      <c r="U22" s="553" t="s">
        <v>271</v>
      </c>
      <c r="V22" s="558">
        <v>5.6810000000000003E-3</v>
      </c>
      <c r="W22" s="553"/>
      <c r="X22" s="580">
        <v>5.6810000000000003E-3</v>
      </c>
      <c r="Y22" s="556" t="e">
        <f>_xll.qlSimpleQuoteSetValue(D22,ROUND(X22,6),EvaluationDate)</f>
        <v>#N/A</v>
      </c>
      <c r="Z22" s="550"/>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55">
        <v>3</v>
      </c>
      <c r="S23" s="557" t="str">
        <f t="shared" si="2"/>
        <v>3x15F</v>
      </c>
      <c r="T23" s="577" t="s">
        <v>360</v>
      </c>
      <c r="U23" s="553" t="s">
        <v>271</v>
      </c>
      <c r="V23" s="558">
        <v>5.6899999999999997E-3</v>
      </c>
      <c r="W23" s="553"/>
      <c r="X23" s="581">
        <v>5.6899999999999997E-3</v>
      </c>
      <c r="Y23" s="556" t="e">
        <f>_xll.qlSimpleQuoteSetValue(D23,ROUND(X23,6),EvaluationDate)</f>
        <v>#N/A</v>
      </c>
      <c r="Z23" s="550"/>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55">
        <v>4</v>
      </c>
      <c r="S24" s="557" t="str">
        <f t="shared" si="2"/>
        <v>4x16F</v>
      </c>
      <c r="T24" s="577" t="s">
        <v>361</v>
      </c>
      <c r="U24" s="553" t="s">
        <v>271</v>
      </c>
      <c r="V24" s="558">
        <v>5.7210000000000004E-3</v>
      </c>
      <c r="W24" s="553"/>
      <c r="X24" s="580">
        <v>5.7210000000000004E-3</v>
      </c>
      <c r="Y24" s="556" t="e">
        <f>_xll.qlSimpleQuoteSetValue(D24,ROUND(X24,6),EvaluationDate)</f>
        <v>#N/A</v>
      </c>
      <c r="Z24" s="550"/>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55">
        <v>5</v>
      </c>
      <c r="S25" s="557" t="str">
        <f t="shared" si="2"/>
        <v>5x17F</v>
      </c>
      <c r="T25" s="577" t="s">
        <v>362</v>
      </c>
      <c r="U25" s="553" t="s">
        <v>271</v>
      </c>
      <c r="V25" s="558">
        <v>5.7720000000000002E-3</v>
      </c>
      <c r="W25" s="553"/>
      <c r="X25" s="580">
        <v>5.7720000000000002E-3</v>
      </c>
      <c r="Y25" s="556" t="e">
        <f>_xll.qlSimpleQuoteSetValue(D25,ROUND(X25,6),EvaluationDate)</f>
        <v>#N/A</v>
      </c>
      <c r="Z25" s="550"/>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55">
        <v>6</v>
      </c>
      <c r="S26" s="557" t="str">
        <f t="shared" si="2"/>
        <v>6x18F</v>
      </c>
      <c r="T26" s="577" t="s">
        <v>363</v>
      </c>
      <c r="U26" s="553" t="s">
        <v>271</v>
      </c>
      <c r="V26" s="558">
        <v>5.8389999999999996E-3</v>
      </c>
      <c r="W26" s="553"/>
      <c r="X26" s="581">
        <v>5.8389999999999996E-3</v>
      </c>
      <c r="Y26" s="556" t="e">
        <f>_xll.qlSimpleQuoteSetValue(D26,ROUND(X26,6),EvaluationDate)</f>
        <v>#N/A</v>
      </c>
      <c r="Z26" s="550"/>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55">
        <v>7</v>
      </c>
      <c r="S27" s="557" t="str">
        <f t="shared" si="2"/>
        <v>7x19F</v>
      </c>
      <c r="T27" s="577" t="s">
        <v>364</v>
      </c>
      <c r="U27" s="553" t="s">
        <v>271</v>
      </c>
      <c r="V27" s="558">
        <v>5.9329999999999999E-3</v>
      </c>
      <c r="W27" s="553"/>
      <c r="X27" s="580">
        <v>5.9329999999999999E-3</v>
      </c>
      <c r="Y27" s="556" t="e">
        <f>_xll.qlSimpleQuoteSetValue(D27,ROUND(X27,6),EvaluationDate)</f>
        <v>#N/A</v>
      </c>
      <c r="Z27" s="550"/>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55">
        <v>8</v>
      </c>
      <c r="S28" s="557" t="str">
        <f t="shared" si="2"/>
        <v>8x20F</v>
      </c>
      <c r="T28" s="577" t="s">
        <v>365</v>
      </c>
      <c r="U28" s="553" t="s">
        <v>271</v>
      </c>
      <c r="V28" s="558">
        <v>6.0419999999999996E-3</v>
      </c>
      <c r="W28" s="553"/>
      <c r="X28" s="580">
        <v>6.0419999999999996E-3</v>
      </c>
      <c r="Y28" s="556" t="e">
        <f>_xll.qlSimpleQuoteSetValue(D28,ROUND(X28,6),EvaluationDate)</f>
        <v>#N/A</v>
      </c>
      <c r="Z28" s="550"/>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55">
        <v>9</v>
      </c>
      <c r="S29" s="557" t="str">
        <f t="shared" si="2"/>
        <v>9x21F</v>
      </c>
      <c r="T29" s="577" t="s">
        <v>366</v>
      </c>
      <c r="U29" s="553" t="s">
        <v>271</v>
      </c>
      <c r="V29" s="558">
        <v>6.1720000000000004E-3</v>
      </c>
      <c r="W29" s="553"/>
      <c r="X29" s="581">
        <v>6.1720000000000004E-3</v>
      </c>
      <c r="Y29" s="556" t="e">
        <f>_xll.qlSimpleQuoteSetValue(D29,ROUND(X29,6),EvaluationDate)</f>
        <v>#N/A</v>
      </c>
      <c r="Z29" s="550"/>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55">
        <v>10</v>
      </c>
      <c r="S30" s="557" t="str">
        <f t="shared" si="2"/>
        <v>10x22F</v>
      </c>
      <c r="T30" s="577" t="s">
        <v>367</v>
      </c>
      <c r="U30" s="553" t="s">
        <v>271</v>
      </c>
      <c r="V30" s="558">
        <v>6.326E-3</v>
      </c>
      <c r="W30" s="553"/>
      <c r="X30" s="580">
        <v>6.326E-3</v>
      </c>
      <c r="Y30" s="556" t="e">
        <f>_xll.qlSimpleQuoteSetValue(D30,ROUND(X30,6),EvaluationDate)</f>
        <v>#N/A</v>
      </c>
      <c r="Z30" s="550"/>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55">
        <v>11</v>
      </c>
      <c r="S31" s="552" t="str">
        <f t="shared" si="2"/>
        <v>11x23F</v>
      </c>
      <c r="T31" s="578" t="s">
        <v>368</v>
      </c>
      <c r="U31" s="553" t="s">
        <v>271</v>
      </c>
      <c r="V31" s="554">
        <v>6.4809999999999998E-3</v>
      </c>
      <c r="W31" s="553"/>
      <c r="X31" s="582">
        <v>6.4809999999999998E-3</v>
      </c>
      <c r="Y31" s="551" t="e">
        <f>_xll.qlSimpleQuoteSetValue(D31,ROUND(X31,6),EvaluationDate)</f>
        <v>#N/A</v>
      </c>
      <c r="Z31" s="550"/>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55">
        <v>13</v>
      </c>
      <c r="S32" s="560" t="str">
        <f t="shared" si="2"/>
        <v>13x25F</v>
      </c>
      <c r="T32" s="576" t="s">
        <v>369</v>
      </c>
      <c r="U32" s="553" t="s">
        <v>271</v>
      </c>
      <c r="V32" s="561">
        <v>6.9760000000000004E-3</v>
      </c>
      <c r="W32" s="553"/>
      <c r="X32" s="579">
        <v>6.9760000000000004E-3</v>
      </c>
      <c r="Y32" s="559" t="e">
        <f>_xll.qlSimpleQuoteSetValue(D32,ROUND(X32,6),EvaluationDate)</f>
        <v>#N/A</v>
      </c>
      <c r="Z32" s="550"/>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55">
        <v>14</v>
      </c>
      <c r="S33" s="557" t="str">
        <f t="shared" si="2"/>
        <v>14x26F</v>
      </c>
      <c r="T33" s="577" t="s">
        <v>370</v>
      </c>
      <c r="U33" s="553" t="s">
        <v>271</v>
      </c>
      <c r="V33" s="558">
        <v>7.2179999999999996E-3</v>
      </c>
      <c r="W33" s="553"/>
      <c r="X33" s="580">
        <v>7.2179999999999996E-3</v>
      </c>
      <c r="Y33" s="556" t="e">
        <f>_xll.qlSimpleQuoteSetValue(D33,ROUND(X33,6),EvaluationDate)</f>
        <v>#N/A</v>
      </c>
      <c r="Z33" s="550"/>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55">
        <v>15</v>
      </c>
      <c r="S34" s="557" t="str">
        <f t="shared" si="2"/>
        <v>15x27F</v>
      </c>
      <c r="T34" s="577" t="s">
        <v>371</v>
      </c>
      <c r="U34" s="553" t="s">
        <v>271</v>
      </c>
      <c r="V34" s="558">
        <v>7.5030000000000001E-3</v>
      </c>
      <c r="W34" s="553"/>
      <c r="X34" s="580">
        <v>7.5030000000000001E-3</v>
      </c>
      <c r="Y34" s="556" t="e">
        <f>_xll.qlSimpleQuoteSetValue(D34,ROUND(X34,6),EvaluationDate)</f>
        <v>#N/A</v>
      </c>
      <c r="Z34" s="550"/>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55">
        <v>16</v>
      </c>
      <c r="S35" s="557" t="str">
        <f t="shared" si="2"/>
        <v>16x28F</v>
      </c>
      <c r="T35" s="577" t="s">
        <v>372</v>
      </c>
      <c r="U35" s="553" t="s">
        <v>271</v>
      </c>
      <c r="V35" s="558">
        <v>7.8230000000000001E-3</v>
      </c>
      <c r="W35" s="553"/>
      <c r="X35" s="580">
        <v>7.8230000000000001E-3</v>
      </c>
      <c r="Y35" s="556" t="e">
        <f>_xll.qlSimpleQuoteSetValue(D35,ROUND(X35,6),EvaluationDate)</f>
        <v>#N/A</v>
      </c>
      <c r="Z35" s="550"/>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55">
        <v>17</v>
      </c>
      <c r="S36" s="557" t="str">
        <f t="shared" si="2"/>
        <v>17x29F</v>
      </c>
      <c r="T36" s="577" t="s">
        <v>373</v>
      </c>
      <c r="U36" s="553" t="s">
        <v>271</v>
      </c>
      <c r="V36" s="558">
        <v>8.1709999999999994E-3</v>
      </c>
      <c r="W36" s="553"/>
      <c r="X36" s="580">
        <v>8.1709999999999994E-3</v>
      </c>
      <c r="Y36" s="556" t="e">
        <f>_xll.qlSimpleQuoteSetValue(D36,ROUND(X36,6),EvaluationDate)</f>
        <v>#N/A</v>
      </c>
      <c r="Z36" s="550"/>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55">
        <v>18</v>
      </c>
      <c r="S37" s="557" t="str">
        <f t="shared" si="2"/>
        <v>18x30F</v>
      </c>
      <c r="T37" s="577" t="s">
        <v>374</v>
      </c>
      <c r="U37" s="553" t="s">
        <v>271</v>
      </c>
      <c r="V37" s="558">
        <v>8.5360000000000002E-3</v>
      </c>
      <c r="W37" s="553"/>
      <c r="X37" s="580">
        <v>8.5360000000000002E-3</v>
      </c>
      <c r="Y37" s="556" t="e">
        <f>_xll.qlSimpleQuoteSetValue(D37,ROUND(X37,6),EvaluationDate)</f>
        <v>#N/A</v>
      </c>
      <c r="Z37" s="550"/>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55">
        <v>19</v>
      </c>
      <c r="S38" s="557" t="str">
        <f t="shared" si="2"/>
        <v>19x31F</v>
      </c>
      <c r="T38" s="577" t="s">
        <v>375</v>
      </c>
      <c r="U38" s="553" t="s">
        <v>271</v>
      </c>
      <c r="V38" s="558">
        <v>8.9610000000000002E-3</v>
      </c>
      <c r="W38" s="553"/>
      <c r="X38" s="580">
        <v>8.9610000000000002E-3</v>
      </c>
      <c r="Y38" s="556" t="e">
        <f>_xll.qlSimpleQuoteSetValue(D38,ROUND(X38,6),EvaluationDate)</f>
        <v>#N/A</v>
      </c>
      <c r="Z38" s="550"/>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55">
        <v>20</v>
      </c>
      <c r="S39" s="557" t="str">
        <f t="shared" si="2"/>
        <v>20x32F</v>
      </c>
      <c r="T39" s="577" t="s">
        <v>376</v>
      </c>
      <c r="U39" s="553" t="s">
        <v>271</v>
      </c>
      <c r="V39" s="558">
        <v>9.3559999999999997E-3</v>
      </c>
      <c r="W39" s="553"/>
      <c r="X39" s="580">
        <v>9.3559999999999997E-3</v>
      </c>
      <c r="Y39" s="556" t="e">
        <f>_xll.qlSimpleQuoteSetValue(D39,ROUND(X39,6),EvaluationDate)</f>
        <v>#N/A</v>
      </c>
      <c r="Z39" s="550"/>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55">
        <v>21</v>
      </c>
      <c r="S40" s="557" t="str">
        <f t="shared" si="2"/>
        <v>21x33F</v>
      </c>
      <c r="T40" s="577" t="s">
        <v>377</v>
      </c>
      <c r="U40" s="553" t="s">
        <v>271</v>
      </c>
      <c r="V40" s="558">
        <v>9.8040000000000002E-3</v>
      </c>
      <c r="W40" s="553"/>
      <c r="X40" s="580">
        <v>9.8040000000000002E-3</v>
      </c>
      <c r="Y40" s="556" t="e">
        <f>_xll.qlSimpleQuoteSetValue(D40,ROUND(X40,6),EvaluationDate)</f>
        <v>#N/A</v>
      </c>
      <c r="Z40" s="550"/>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55">
        <v>22</v>
      </c>
      <c r="S41" s="557" t="str">
        <f t="shared" si="2"/>
        <v>22x34F</v>
      </c>
      <c r="T41" s="577" t="s">
        <v>378</v>
      </c>
      <c r="U41" s="553" t="s">
        <v>271</v>
      </c>
      <c r="V41" s="558">
        <v>1.0279E-2</v>
      </c>
      <c r="W41" s="553"/>
      <c r="X41" s="580">
        <v>1.0279E-2</v>
      </c>
      <c r="Y41" s="556" t="e">
        <f>_xll.qlSimpleQuoteSetValue(D41,ROUND(X41,6),EvaluationDate)</f>
        <v>#N/A</v>
      </c>
      <c r="Z41" s="550"/>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55">
        <v>23</v>
      </c>
      <c r="S42" s="552" t="str">
        <f t="shared" si="2"/>
        <v>23x35F</v>
      </c>
      <c r="T42" s="578" t="s">
        <v>379</v>
      </c>
      <c r="U42" s="553" t="s">
        <v>271</v>
      </c>
      <c r="V42" s="554">
        <v>1.0742E-2</v>
      </c>
      <c r="W42" s="553"/>
      <c r="X42" s="582">
        <v>1.0742E-2</v>
      </c>
      <c r="Y42" s="551" t="e">
        <f>_xll.qlSimpleQuoteSetValue(D42,ROUND(X42,6),EvaluationDate)</f>
        <v>#N/A</v>
      </c>
      <c r="Z42" s="550"/>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55">
        <v>25</v>
      </c>
      <c r="S43" s="560" t="str">
        <f t="shared" si="2"/>
        <v>25x37F</v>
      </c>
      <c r="T43" s="576" t="s">
        <v>380</v>
      </c>
      <c r="U43" s="553" t="s">
        <v>271</v>
      </c>
      <c r="V43" s="561">
        <v>1.1686999999999999E-2</v>
      </c>
      <c r="W43" s="553"/>
      <c r="X43" s="579">
        <v>1.1686999999999999E-2</v>
      </c>
      <c r="Y43" s="559" t="e">
        <f>_xll.qlSimpleQuoteSetValue(D43,ROUND(X43,6),EvaluationDate)</f>
        <v>#N/A</v>
      </c>
      <c r="Z43" s="550"/>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55">
        <v>26</v>
      </c>
      <c r="S44" s="557" t="str">
        <f t="shared" si="2"/>
        <v>26x38F</v>
      </c>
      <c r="T44" s="577" t="s">
        <v>381</v>
      </c>
      <c r="U44" s="553" t="s">
        <v>271</v>
      </c>
      <c r="V44" s="558">
        <v>1.2154E-2</v>
      </c>
      <c r="W44" s="553"/>
      <c r="X44" s="580">
        <v>1.2154E-2</v>
      </c>
      <c r="Y44" s="556" t="e">
        <f>_xll.qlSimpleQuoteSetValue(D44,ROUND(X44,6),EvaluationDate)</f>
        <v>#N/A</v>
      </c>
      <c r="Z44" s="550"/>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55">
        <v>27</v>
      </c>
      <c r="S45" s="557" t="str">
        <f t="shared" si="2"/>
        <v>27x39F</v>
      </c>
      <c r="T45" s="577" t="s">
        <v>382</v>
      </c>
      <c r="U45" s="553" t="s">
        <v>271</v>
      </c>
      <c r="V45" s="558">
        <v>1.2678E-2</v>
      </c>
      <c r="W45" s="553"/>
      <c r="X45" s="580">
        <v>1.2678E-2</v>
      </c>
      <c r="Y45" s="556" t="e">
        <f>_xll.qlSimpleQuoteSetValue(D45,ROUND(X45,6),EvaluationDate)</f>
        <v>#N/A</v>
      </c>
      <c r="Z45" s="550"/>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55">
        <v>28</v>
      </c>
      <c r="S46" s="557" t="str">
        <f t="shared" si="2"/>
        <v>28x40F</v>
      </c>
      <c r="T46" s="577" t="s">
        <v>383</v>
      </c>
      <c r="U46" s="553" t="s">
        <v>271</v>
      </c>
      <c r="V46" s="558">
        <v>1.3167999999999999E-2</v>
      </c>
      <c r="W46" s="553"/>
      <c r="X46" s="580">
        <v>1.3167999999999999E-2</v>
      </c>
      <c r="Y46" s="556" t="e">
        <f>_xll.qlSimpleQuoteSetValue(D46,ROUND(X46,6),EvaluationDate)</f>
        <v>#N/A</v>
      </c>
      <c r="Z46" s="550"/>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55">
        <v>29</v>
      </c>
      <c r="S47" s="557" t="str">
        <f t="shared" si="2"/>
        <v>29x41F</v>
      </c>
      <c r="T47" s="577" t="s">
        <v>384</v>
      </c>
      <c r="U47" s="553" t="s">
        <v>271</v>
      </c>
      <c r="V47" s="558">
        <v>1.3656E-2</v>
      </c>
      <c r="W47" s="553"/>
      <c r="X47" s="580">
        <v>1.3656E-2</v>
      </c>
      <c r="Y47" s="556" t="e">
        <f>_xll.qlSimpleQuoteSetValue(D47,ROUND(X47,6),EvaluationDate)</f>
        <v>#N/A</v>
      </c>
      <c r="Z47" s="550"/>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55">
        <v>30</v>
      </c>
      <c r="S48" s="557" t="str">
        <f t="shared" si="2"/>
        <v>30x42F</v>
      </c>
      <c r="T48" s="577" t="s">
        <v>385</v>
      </c>
      <c r="U48" s="553" t="s">
        <v>271</v>
      </c>
      <c r="V48" s="558">
        <v>1.4158E-2</v>
      </c>
      <c r="W48" s="553"/>
      <c r="X48" s="580">
        <v>1.4158E-2</v>
      </c>
      <c r="Y48" s="556" t="e">
        <f>_xll.qlSimpleQuoteSetValue(D48,ROUND(X48,6),EvaluationDate)</f>
        <v>#N/A</v>
      </c>
      <c r="Z48" s="550"/>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55">
        <v>31</v>
      </c>
      <c r="S49" s="557" t="str">
        <f t="shared" si="2"/>
        <v>31x43F</v>
      </c>
      <c r="T49" s="577" t="s">
        <v>386</v>
      </c>
      <c r="U49" s="553" t="s">
        <v>271</v>
      </c>
      <c r="V49" s="558">
        <v>1.464E-2</v>
      </c>
      <c r="W49" s="553"/>
      <c r="X49" s="580">
        <v>1.464E-2</v>
      </c>
      <c r="Y49" s="556" t="e">
        <f>_xll.qlSimpleQuoteSetValue(D49,ROUND(X49,6),EvaluationDate)</f>
        <v>#N/A</v>
      </c>
      <c r="Z49" s="550"/>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55">
        <v>32</v>
      </c>
      <c r="S50" s="557" t="str">
        <f t="shared" si="2"/>
        <v>32x44F</v>
      </c>
      <c r="T50" s="577" t="s">
        <v>387</v>
      </c>
      <c r="U50" s="553" t="s">
        <v>271</v>
      </c>
      <c r="V50" s="558">
        <v>1.5132E-2</v>
      </c>
      <c r="W50" s="553"/>
      <c r="X50" s="580">
        <v>1.5132E-2</v>
      </c>
      <c r="Y50" s="556" t="e">
        <f>_xll.qlSimpleQuoteSetValue(D50,ROUND(X50,6),EvaluationDate)</f>
        <v>#N/A</v>
      </c>
      <c r="Z50" s="550"/>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55">
        <v>33</v>
      </c>
      <c r="S51" s="557" t="str">
        <f t="shared" si="2"/>
        <v>33x45F</v>
      </c>
      <c r="T51" s="577" t="s">
        <v>388</v>
      </c>
      <c r="U51" s="553" t="s">
        <v>271</v>
      </c>
      <c r="V51" s="558">
        <v>1.5635E-2</v>
      </c>
      <c r="W51" s="553"/>
      <c r="X51" s="580">
        <v>1.5635E-2</v>
      </c>
      <c r="Y51" s="556" t="e">
        <f>_xll.qlSimpleQuoteSetValue(D51,ROUND(X51,6),EvaluationDate)</f>
        <v>#N/A</v>
      </c>
      <c r="Z51" s="550"/>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55">
        <v>34</v>
      </c>
      <c r="S52" s="557" t="str">
        <f t="shared" si="2"/>
        <v>34x46F</v>
      </c>
      <c r="T52" s="577" t="s">
        <v>389</v>
      </c>
      <c r="U52" s="553" t="s">
        <v>271</v>
      </c>
      <c r="V52" s="558">
        <v>1.6084999999999999E-2</v>
      </c>
      <c r="W52" s="553"/>
      <c r="X52" s="580">
        <v>1.6084999999999999E-2</v>
      </c>
      <c r="Y52" s="556" t="e">
        <f>_xll.qlSimpleQuoteSetValue(D52,ROUND(X52,6),EvaluationDate)</f>
        <v>#N/A</v>
      </c>
      <c r="Z52" s="550"/>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55">
        <v>35</v>
      </c>
      <c r="S53" s="552" t="str">
        <f t="shared" si="2"/>
        <v>35x47F</v>
      </c>
      <c r="T53" s="578" t="s">
        <v>390</v>
      </c>
      <c r="U53" s="553" t="s">
        <v>271</v>
      </c>
      <c r="V53" s="554">
        <v>1.6542999999999999E-2</v>
      </c>
      <c r="W53" s="553"/>
      <c r="X53" s="582">
        <v>1.6542999999999999E-2</v>
      </c>
      <c r="Y53" s="551" t="e">
        <f>_xll.qlSimpleQuoteSetValue(D53,ROUND(X53,6),EvaluationDate)</f>
        <v>#N/A</v>
      </c>
      <c r="Z53" s="550"/>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55">
        <v>37</v>
      </c>
      <c r="S54" s="557" t="str">
        <f t="shared" si="2"/>
        <v>37x49F</v>
      </c>
      <c r="T54" s="577" t="s">
        <v>391</v>
      </c>
      <c r="U54" s="553" t="s">
        <v>271</v>
      </c>
      <c r="V54" s="558">
        <v>1.7462999999999999E-2</v>
      </c>
      <c r="W54" s="553"/>
      <c r="X54" s="580">
        <v>1.7462999999999999E-2</v>
      </c>
      <c r="Y54" s="556" t="e">
        <f>_xll.qlSimpleQuoteSetValue(D54,ROUND(X54,6),EvaluationDate)</f>
        <v>#N/A</v>
      </c>
      <c r="Z54" s="550"/>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55">
        <v>38</v>
      </c>
      <c r="S55" s="557" t="str">
        <f t="shared" si="2"/>
        <v>38x50F</v>
      </c>
      <c r="T55" s="577" t="s">
        <v>392</v>
      </c>
      <c r="U55" s="553" t="s">
        <v>271</v>
      </c>
      <c r="V55" s="558">
        <v>1.7867000000000001E-2</v>
      </c>
      <c r="W55" s="553"/>
      <c r="X55" s="580">
        <v>1.7867000000000001E-2</v>
      </c>
      <c r="Y55" s="556" t="e">
        <f>_xll.qlSimpleQuoteSetValue(D55,ROUND(X55,6),EvaluationDate)</f>
        <v>#N/A</v>
      </c>
      <c r="Z55" s="550"/>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55">
        <v>39</v>
      </c>
      <c r="S56" s="557" t="str">
        <f t="shared" si="2"/>
        <v>39x51F</v>
      </c>
      <c r="T56" s="577" t="s">
        <v>393</v>
      </c>
      <c r="U56" s="553" t="s">
        <v>271</v>
      </c>
      <c r="V56" s="558">
        <v>1.8335000000000001E-2</v>
      </c>
      <c r="W56" s="553"/>
      <c r="X56" s="580">
        <v>1.8335000000000001E-2</v>
      </c>
      <c r="Y56" s="556" t="e">
        <f>_xll.qlSimpleQuoteSetValue(D56,ROUND(X56,6),EvaluationDate)</f>
        <v>#N/A</v>
      </c>
      <c r="Z56" s="550"/>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55">
        <v>40</v>
      </c>
      <c r="S57" s="557" t="str">
        <f t="shared" si="2"/>
        <v>40x52F</v>
      </c>
      <c r="T57" s="577" t="s">
        <v>394</v>
      </c>
      <c r="U57" s="553" t="s">
        <v>271</v>
      </c>
      <c r="V57" s="558">
        <v>1.8724999999999999E-2</v>
      </c>
      <c r="W57" s="553"/>
      <c r="X57" s="580">
        <v>1.8724999999999999E-2</v>
      </c>
      <c r="Y57" s="556" t="e">
        <f>_xll.qlSimpleQuoteSetValue(D57,ROUND(X57,6),EvaluationDate)</f>
        <v>#N/A</v>
      </c>
      <c r="Z57" s="550"/>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55">
        <v>41</v>
      </c>
      <c r="S58" s="557" t="str">
        <f t="shared" si="2"/>
        <v>41x53F</v>
      </c>
      <c r="T58" s="577" t="s">
        <v>395</v>
      </c>
      <c r="U58" s="553" t="s">
        <v>271</v>
      </c>
      <c r="V58" s="558">
        <v>1.915E-2</v>
      </c>
      <c r="W58" s="553"/>
      <c r="X58" s="580">
        <v>1.915E-2</v>
      </c>
      <c r="Y58" s="556" t="e">
        <f>_xll.qlSimpleQuoteSetValue(D58,ROUND(X58,6),EvaluationDate)</f>
        <v>#N/A</v>
      </c>
      <c r="Z58" s="550"/>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55">
        <v>42</v>
      </c>
      <c r="S59" s="557" t="str">
        <f t="shared" si="2"/>
        <v>42x54F</v>
      </c>
      <c r="T59" s="577" t="s">
        <v>396</v>
      </c>
      <c r="U59" s="553" t="s">
        <v>271</v>
      </c>
      <c r="V59" s="558">
        <v>1.9581999999999999E-2</v>
      </c>
      <c r="W59" s="553"/>
      <c r="X59" s="580">
        <v>1.9581999999999999E-2</v>
      </c>
      <c r="Y59" s="556" t="e">
        <f>_xll.qlSimpleQuoteSetValue(D59,ROUND(X59,6),EvaluationDate)</f>
        <v>#N/A</v>
      </c>
      <c r="Z59" s="550"/>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55">
        <v>43</v>
      </c>
      <c r="S60" s="557" t="str">
        <f t="shared" si="2"/>
        <v>43x55F</v>
      </c>
      <c r="T60" s="577" t="s">
        <v>397</v>
      </c>
      <c r="U60" s="553" t="s">
        <v>271</v>
      </c>
      <c r="V60" s="558">
        <v>1.9968E-2</v>
      </c>
      <c r="W60" s="553"/>
      <c r="X60" s="580">
        <v>1.9968E-2</v>
      </c>
      <c r="Y60" s="556" t="e">
        <f>_xll.qlSimpleQuoteSetValue(D60,ROUND(X60,6),EvaluationDate)</f>
        <v>#N/A</v>
      </c>
      <c r="Z60" s="550"/>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55">
        <v>44</v>
      </c>
      <c r="S61" s="557" t="str">
        <f t="shared" si="2"/>
        <v>44x56F</v>
      </c>
      <c r="T61" s="577" t="s">
        <v>398</v>
      </c>
      <c r="U61" s="553" t="s">
        <v>271</v>
      </c>
      <c r="V61" s="558">
        <v>2.0389000000000001E-2</v>
      </c>
      <c r="W61" s="553"/>
      <c r="X61" s="580">
        <v>2.0389000000000001E-2</v>
      </c>
      <c r="Y61" s="556" t="e">
        <f>_xll.qlSimpleQuoteSetValue(D61,ROUND(X61,6),EvaluationDate)</f>
        <v>#N/A</v>
      </c>
      <c r="Z61" s="550"/>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55">
        <v>45</v>
      </c>
      <c r="S62" s="557" t="str">
        <f t="shared" si="2"/>
        <v>45x57F</v>
      </c>
      <c r="T62" s="577" t="s">
        <v>399</v>
      </c>
      <c r="U62" s="553" t="s">
        <v>271</v>
      </c>
      <c r="V62" s="558">
        <v>2.0778999999999999E-2</v>
      </c>
      <c r="W62" s="553"/>
      <c r="X62" s="580">
        <v>2.0778999999999999E-2</v>
      </c>
      <c r="Y62" s="556" t="e">
        <f>_xll.qlSimpleQuoteSetValue(D62,ROUND(X62,6),EvaluationDate)</f>
        <v>#N/A</v>
      </c>
      <c r="Z62" s="550"/>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55">
        <v>46</v>
      </c>
      <c r="S63" s="557" t="str">
        <f t="shared" si="2"/>
        <v>46x58F</v>
      </c>
      <c r="T63" s="577" t="s">
        <v>400</v>
      </c>
      <c r="U63" s="553" t="s">
        <v>271</v>
      </c>
      <c r="V63" s="558">
        <v>2.1166000000000001E-2</v>
      </c>
      <c r="W63" s="553"/>
      <c r="X63" s="580">
        <v>2.1166000000000001E-2</v>
      </c>
      <c r="Y63" s="556" t="e">
        <f>_xll.qlSimpleQuoteSetValue(D63,ROUND(X63,6),EvaluationDate)</f>
        <v>#N/A</v>
      </c>
      <c r="Z63" s="550"/>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55">
        <v>47</v>
      </c>
      <c r="S64" s="552" t="str">
        <f t="shared" si="2"/>
        <v>47x59F</v>
      </c>
      <c r="T64" s="578" t="s">
        <v>401</v>
      </c>
      <c r="U64" s="553" t="s">
        <v>271</v>
      </c>
      <c r="V64" s="554">
        <v>2.1562999999999999E-2</v>
      </c>
      <c r="W64" s="553"/>
      <c r="X64" s="582">
        <v>2.1562999999999999E-2</v>
      </c>
      <c r="Y64" s="551" t="e">
        <f>_xll.qlSimpleQuoteSetValue(D64,ROUND(X64,6),EvaluationDate)</f>
        <v>#N/A</v>
      </c>
      <c r="Z64" s="550"/>
    </row>
    <row r="65" spans="1:26" ht="12" thickBot="1" x14ac:dyDescent="0.25">
      <c r="A65" s="48"/>
      <c r="B65" s="47"/>
      <c r="C65" s="47"/>
      <c r="D65" s="47"/>
      <c r="E65" s="47"/>
      <c r="F65" s="46"/>
      <c r="R65" s="549"/>
      <c r="S65" s="548"/>
      <c r="T65" s="548"/>
      <c r="U65" s="548"/>
      <c r="V65" s="548"/>
      <c r="W65" s="548"/>
      <c r="X65" s="548"/>
      <c r="Y65" s="548"/>
      <c r="Z65" s="547"/>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4"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4"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4"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4"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4"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4"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4"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4"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4"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4"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4"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4"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25" customWidth="1"/>
    <col min="3" max="3" width="5.7109375" style="425" bestFit="1" customWidth="1"/>
    <col min="4" max="4" width="12.5703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12"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4.85546875" style="425" bestFit="1" customWidth="1"/>
    <col min="20" max="20" width="6.1406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IB365</v>
      </c>
      <c r="E2" s="474"/>
      <c r="F2" s="473"/>
      <c r="G2" s="473"/>
      <c r="H2" s="470"/>
      <c r="I2" s="470"/>
      <c r="J2" s="472" t="str">
        <f>VLOOKUP(Currency,Traits,3,FALSE)</f>
        <v>ibor365</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63" t="s">
        <v>35</v>
      </c>
      <c r="D4" s="458" t="str">
        <f t="shared" ref="D4:D18" si="0">Currency&amp;$D$2&amp;$C4&amp;"D="</f>
        <v>EURIB365SWD=</v>
      </c>
      <c r="E4" s="462">
        <v>41479</v>
      </c>
      <c r="F4" s="461">
        <v>0.108</v>
      </c>
      <c r="G4" s="461" t="b">
        <f>IF(AND(ISNUMBER($F4),$F4&lt;&gt;0%,_xll.ohTrigger(Trigger)+1),TRUE,FALSE)</f>
        <v>1</v>
      </c>
      <c r="H4" s="460" t="e">
        <f>IF($G4,_xll.qlIndexAddFixings($J4,$E4,$F4/100,TRUE,ISERROR($K4)),NA())</f>
        <v>#NUM!</v>
      </c>
      <c r="I4" s="450"/>
      <c r="J4" s="459" t="str">
        <f t="shared" ref="J4:J18" si="1">PROPER(Currency)&amp;$J$2&amp;$C4</f>
        <v>Euribor365SW</v>
      </c>
      <c r="K4" s="458" t="e">
        <f>_xll.qlIndexFixing($J4,$E4,TRUE,$G4)</f>
        <v>#NUM!</v>
      </c>
      <c r="L4" s="458" t="e">
        <f>IF($H4,_xll.qlIndexFixing($J4,$E4,FALSE,$G4),"-")</f>
        <v>#NUM!</v>
      </c>
      <c r="M4" s="458" t="e">
        <f t="shared" ref="M4:M18" si="2">K4-L4</f>
        <v>#NUM!</v>
      </c>
      <c r="N4" s="457" t="e">
        <f>_xll.qlIndexFixing($J4,$E4,TRUE,$L4)</f>
        <v>#NUM!</v>
      </c>
      <c r="O4" s="456">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34</v>
      </c>
      <c r="D5" s="458" t="str">
        <f t="shared" si="0"/>
        <v>EURIB3652WD=</v>
      </c>
      <c r="E5" s="462">
        <v>41479</v>
      </c>
      <c r="F5" s="461">
        <v>0.115</v>
      </c>
      <c r="G5" s="461" t="b">
        <f>IF(AND(ISNUMBER($F5),$F5&lt;&gt;0%,_xll.ohTrigger(Trigger)+1),TRUE,FALSE)</f>
        <v>1</v>
      </c>
      <c r="H5" s="460" t="e">
        <f>IF($G5,_xll.qlIndexAddFixings($J5,$E5,$F5/100,TRUE,ISERROR($K5)),NA())</f>
        <v>#NUM!</v>
      </c>
      <c r="I5" s="450"/>
      <c r="J5" s="459" t="str">
        <f t="shared" si="1"/>
        <v>Euribor3652W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33</v>
      </c>
      <c r="D6" s="458" t="str">
        <f t="shared" si="0"/>
        <v>EURIB3653WD=</v>
      </c>
      <c r="E6" s="462">
        <v>41479</v>
      </c>
      <c r="F6" s="461">
        <v>0.123</v>
      </c>
      <c r="G6" s="461" t="b">
        <f>IF(AND(ISNUMBER($F6),$F6&lt;&gt;0%,_xll.ohTrigger(Trigger)+1),TRUE,FALSE)</f>
        <v>1</v>
      </c>
      <c r="H6" s="460" t="e">
        <f>IF($G6,_xll.qlIndexAddFixings($J6,$E6,$F6/100,TRUE,ISERROR($K6)),NA())</f>
        <v>#NUM!</v>
      </c>
      <c r="I6" s="450"/>
      <c r="J6" s="459" t="str">
        <f t="shared" si="1"/>
        <v>Euribor3653W</v>
      </c>
      <c r="K6" s="458" t="e">
        <f>_xll.qlIndexFixing($J6,$E6,TRUE,$G6)</f>
        <v>#NUM!</v>
      </c>
      <c r="L6" s="458" t="e">
        <f>IF($H6,_xll.qlIndexFixing($J6,$E6,FALSE,$G6),"-")</f>
        <v>#NUM!</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EURIB3651MD=</v>
      </c>
      <c r="E7" s="462">
        <v>41479</v>
      </c>
      <c r="F7" s="461">
        <v>0.13300000000000001</v>
      </c>
      <c r="G7" s="461" t="b">
        <f>IF(AND(ISNUMBER($F7),$F7&lt;&gt;0%,_xll.ohTrigger(Trigger)+1),TRUE,FALSE)</f>
        <v>1</v>
      </c>
      <c r="H7" s="460" t="e">
        <f>IF($G7,_xll.qlIndexAddFixings($J7,$E7,$F7/100,TRUE,ISERROR($K7)),NA())</f>
        <v>#NUM!</v>
      </c>
      <c r="I7" s="450"/>
      <c r="J7" s="459" t="str">
        <f t="shared" si="1"/>
        <v>Euribor3651M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EURIB3652MD=</v>
      </c>
      <c r="E8" s="462">
        <v>41479</v>
      </c>
      <c r="F8" s="461">
        <v>0.184</v>
      </c>
      <c r="G8" s="461" t="b">
        <f>IF(AND(ISNUMBER($F8),$F8&lt;&gt;0%,_xll.ohTrigger(Trigger)+1),TRUE,FALSE)</f>
        <v>1</v>
      </c>
      <c r="H8" s="460" t="e">
        <f>IF($G8,_xll.qlIndexAddFixings($J8,$E8,$F8/100,TRUE,ISERROR($K8)),NA())</f>
        <v>#NUM!</v>
      </c>
      <c r="I8" s="450"/>
      <c r="J8" s="459" t="str">
        <f t="shared" si="1"/>
        <v>Euribor3652M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EURIB3653MD=</v>
      </c>
      <c r="E9" s="462">
        <v>41479</v>
      </c>
      <c r="F9" s="461">
        <v>0.22800000000000001</v>
      </c>
      <c r="G9" s="461" t="b">
        <f>IF(AND(ISNUMBER($F9),$F9&lt;&gt;0%,_xll.ohTrigger(Trigger)+1),TRUE,FALSE)</f>
        <v>1</v>
      </c>
      <c r="H9" s="460" t="e">
        <f>IF($G9,_xll.qlIndexAddFixings($J9,$E9,$F9/100,TRUE,ISERROR($K9)),NA())</f>
        <v>#NUM!</v>
      </c>
      <c r="I9" s="450"/>
      <c r="J9" s="459" t="str">
        <f t="shared" si="1"/>
        <v>Euribor3653M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EURIB3654MD=</v>
      </c>
      <c r="E10" s="462">
        <v>41479</v>
      </c>
      <c r="F10" s="461">
        <v>0.26900000000000002</v>
      </c>
      <c r="G10" s="461" t="b">
        <f>IF(AND(ISNUMBER($F10),$F10&lt;&gt;0%,_xll.ohTrigger(Trigger)+1),TRUE,FALSE)</f>
        <v>1</v>
      </c>
      <c r="H10" s="460" t="e">
        <f>IF($G10,_xll.qlIndexAddFixings($J10,$E10,$F10/100,TRUE,ISERROR($K10)),NA())</f>
        <v>#NUM!</v>
      </c>
      <c r="I10" s="450"/>
      <c r="J10" s="459" t="str">
        <f t="shared" si="1"/>
        <v>Euribor3654M</v>
      </c>
      <c r="K10" s="458" t="e">
        <f>_xll.qlIndexFixing($J10,$E10,TRUE,$G10)</f>
        <v>#NUM!</v>
      </c>
      <c r="L10" s="458" t="e">
        <f>IF($H10,_xll.qlIndexFixing($J10,$E10,FALSE,$G10),"-")</f>
        <v>#NUM!</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EURIB3655MD=</v>
      </c>
      <c r="E11" s="462">
        <v>41479</v>
      </c>
      <c r="F11" s="461">
        <v>0.30299999999999999</v>
      </c>
      <c r="G11" s="461" t="b">
        <f>IF(AND(ISNUMBER($F11),$F11&lt;&gt;0%,_xll.ohTrigger(Trigger)+1),TRUE,FALSE)</f>
        <v>1</v>
      </c>
      <c r="H11" s="460" t="e">
        <f>IF($G11,_xll.qlIndexAddFixings($J11,$E11,$F11/100,TRUE,ISERROR($K11)),NA())</f>
        <v>#NUM!</v>
      </c>
      <c r="I11" s="450"/>
      <c r="J11" s="459" t="str">
        <f t="shared" si="1"/>
        <v>Euribor3655M</v>
      </c>
      <c r="K11" s="458" t="e">
        <f>_xll.qlIndexFixing($J11,$E11,TRUE,$G11)</f>
        <v>#NUM!</v>
      </c>
      <c r="L11" s="458" t="e">
        <f>IF($H11,_xll.qlIndexFixing($J11,$E11,FALSE,$G11),"-")</f>
        <v>#NUM!</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EURIB3656MD=</v>
      </c>
      <c r="E12" s="462">
        <v>41479</v>
      </c>
      <c r="F12" s="461">
        <v>0.34799999999999998</v>
      </c>
      <c r="G12" s="461" t="b">
        <f>IF(AND(ISNUMBER($F12),$F12&lt;&gt;0%,_xll.ohTrigger(Trigger)+1),TRUE,FALSE)</f>
        <v>1</v>
      </c>
      <c r="H12" s="460" t="e">
        <f>IF($G12,_xll.qlIndexAddFixings($J12,$E12,$F12/100,TRUE,ISERROR($K12)),NA())</f>
        <v>#NUM!</v>
      </c>
      <c r="I12" s="450"/>
      <c r="J12" s="459" t="str">
        <f t="shared" si="1"/>
        <v>Euribor3656M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EURIB3657MD=</v>
      </c>
      <c r="E13" s="462">
        <v>41479</v>
      </c>
      <c r="F13" s="461">
        <v>0.38200000000000001</v>
      </c>
      <c r="G13" s="461" t="b">
        <f>IF(AND(ISNUMBER($F13),$F13&lt;&gt;0%,_xll.ohTrigger(Trigger)+1),TRUE,FALSE)</f>
        <v>1</v>
      </c>
      <c r="H13" s="460" t="e">
        <f>IF($G13,_xll.qlIndexAddFixings($J13,$E13,$F13/100,TRUE,ISERROR($K13)),NA())</f>
        <v>#NUM!</v>
      </c>
      <c r="I13" s="450"/>
      <c r="J13" s="459" t="str">
        <f t="shared" si="1"/>
        <v>Euribor3657M</v>
      </c>
      <c r="K13" s="458" t="e">
        <f>_xll.qlIndexFixing($J13,$E13,TRUE,$G13)</f>
        <v>#NUM!</v>
      </c>
      <c r="L13" s="458" t="e">
        <f>IF($H13,_xll.qlIndexFixing($J13,$E13,FALSE,$G13),"-")</f>
        <v>#NUM!</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EURIB3658MD=</v>
      </c>
      <c r="E14" s="462">
        <v>41479</v>
      </c>
      <c r="F14" s="461">
        <v>0.41799999999999998</v>
      </c>
      <c r="G14" s="461" t="b">
        <f>IF(AND(ISNUMBER($F14),$F14&lt;&gt;0%,_xll.ohTrigger(Trigger)+1),TRUE,FALSE)</f>
        <v>1</v>
      </c>
      <c r="H14" s="460" t="e">
        <f>IF($G14,_xll.qlIndexAddFixings($J14,$E14,$F14/100,TRUE,ISERROR($K14)),NA())</f>
        <v>#NUM!</v>
      </c>
      <c r="I14" s="450"/>
      <c r="J14" s="459" t="str">
        <f t="shared" si="1"/>
        <v>Euribor3658M</v>
      </c>
      <c r="K14" s="458" t="e">
        <f>_xll.qlIndexFixing($J14,$E14,TRUE,$G14)</f>
        <v>#NUM!</v>
      </c>
      <c r="L14" s="458" t="e">
        <f>IF($H14,_xll.qlIndexFixing($J14,$E14,FALSE,$G14),"-")</f>
        <v>#NUM!</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EURIB3659MD=</v>
      </c>
      <c r="E15" s="462">
        <v>41479</v>
      </c>
      <c r="F15" s="461">
        <v>0.44800000000000001</v>
      </c>
      <c r="G15" s="461" t="b">
        <f>IF(AND(ISNUMBER($F15),$F15&lt;&gt;0%,_xll.ohTrigger(Trigger)+1),TRUE,FALSE)</f>
        <v>1</v>
      </c>
      <c r="H15" s="460" t="e">
        <f>IF($G15,_xll.qlIndexAddFixings($J15,$E15,$F15/100,TRUE,ISERROR($K15)),NA())</f>
        <v>#NUM!</v>
      </c>
      <c r="I15" s="450"/>
      <c r="J15" s="459" t="str">
        <f t="shared" si="1"/>
        <v>Euribor3659M</v>
      </c>
      <c r="K15" s="458" t="e">
        <f>_xll.qlIndexFixing($J15,$E15,TRUE,$G15)</f>
        <v>#NUM!</v>
      </c>
      <c r="L15" s="458" t="e">
        <f>IF($H15,_xll.qlIndexFixing($J15,$E15,FALSE,$G15),"-")</f>
        <v>#NUM!</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EURIB36510MD=</v>
      </c>
      <c r="E16" s="462">
        <v>41479</v>
      </c>
      <c r="F16" s="461">
        <v>0.48</v>
      </c>
      <c r="G16" s="461" t="b">
        <f>IF(AND(ISNUMBER($F16),$F16&lt;&gt;0%,_xll.ohTrigger(Trigger)+1),TRUE,FALSE)</f>
        <v>1</v>
      </c>
      <c r="H16" s="460" t="e">
        <f>IF($G16,_xll.qlIndexAddFixings($J16,$E16,$F16/100,TRUE,ISERROR($K16)),NA())</f>
        <v>#NUM!</v>
      </c>
      <c r="I16" s="450"/>
      <c r="J16" s="459" t="str">
        <f t="shared" si="1"/>
        <v>Euribor36510M</v>
      </c>
      <c r="K16" s="458" t="e">
        <f>_xll.qlIndexFixing($J16,$E16,TRUE,$G16)</f>
        <v>#NUM!</v>
      </c>
      <c r="L16" s="458" t="e">
        <f>IF($H16,_xll.qlIndexFixing($J16,$E16,FALSE,$G16),"-")</f>
        <v>#NUM!</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EURIB36511MD=</v>
      </c>
      <c r="E17" s="462">
        <v>41479</v>
      </c>
      <c r="F17" s="461">
        <v>0.51</v>
      </c>
      <c r="G17" s="461" t="b">
        <f>IF(AND(ISNUMBER($F17),$F17&lt;&gt;0%,_xll.ohTrigger(Trigger)+1),TRUE,FALSE)</f>
        <v>1</v>
      </c>
      <c r="H17" s="460" t="e">
        <f>IF($G17,_xll.qlIndexAddFixings($J17,$E17,$F17/100,TRUE,ISERROR($K17)),NA())</f>
        <v>#NUM!</v>
      </c>
      <c r="I17" s="450"/>
      <c r="J17" s="459" t="str">
        <f t="shared" si="1"/>
        <v>Euribor36511M</v>
      </c>
      <c r="K17" s="458" t="e">
        <f>_xll.qlIndexFixing($J17,$E17,TRUE,$G17)</f>
        <v>#NUM!</v>
      </c>
      <c r="L17" s="458" t="e">
        <f>IF($H17,_xll.qlIndexFixing($J17,$E17,FALSE,$G17),"-")</f>
        <v>#NUM!</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EURIB3651YD=</v>
      </c>
      <c r="E18" s="453">
        <v>41479</v>
      </c>
      <c r="F18" s="452">
        <v>0.54200000000000004</v>
      </c>
      <c r="G18" s="452" t="b">
        <f>IF(AND(ISNUMBER($F18),$F18&lt;&gt;0%,_xll.ohTrigger(Trigger)+1),TRUE,FALSE)</f>
        <v>1</v>
      </c>
      <c r="H18" s="451" t="e">
        <f>IF($G18,_xll.qlIndexAddFixings($J18,$E18,$F18/100,TRUE,ISERROR($K18)),NA())</f>
        <v>#NUM!</v>
      </c>
      <c r="I18" s="450"/>
      <c r="J18" s="449" t="str">
        <f t="shared" si="1"/>
        <v>Euribor3651Y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c r="F21" s="434"/>
    </row>
    <row r="22" spans="1:30" s="426" customFormat="1" x14ac:dyDescent="0.2">
      <c r="C22" s="432" t="s">
        <v>110</v>
      </c>
      <c r="D22" s="431" t="s">
        <v>302</v>
      </c>
      <c r="E22" s="430" t="s">
        <v>43</v>
      </c>
      <c r="J22" s="433"/>
    </row>
    <row r="23" spans="1:30" s="426" customFormat="1" x14ac:dyDescent="0.2">
      <c r="C23" s="432" t="s">
        <v>266</v>
      </c>
      <c r="D23" s="431" t="s">
        <v>207</v>
      </c>
      <c r="E23" s="430" t="s">
        <v>207</v>
      </c>
      <c r="J23" s="433"/>
    </row>
    <row r="24" spans="1:30" s="426" customFormat="1" x14ac:dyDescent="0.2">
      <c r="C24" s="432" t="s">
        <v>294</v>
      </c>
      <c r="D24" s="431" t="s">
        <v>207</v>
      </c>
      <c r="E24" s="430" t="s">
        <v>207</v>
      </c>
      <c r="J24" s="433"/>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28" t="s">
        <v>207</v>
      </c>
      <c r="E27" s="427"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25" customWidth="1"/>
    <col min="3" max="3" width="5.7109375" style="425" bestFit="1" customWidth="1"/>
    <col min="4" max="4" width="10.42578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9.5703125"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3.85546875" style="425" bestFit="1" customWidth="1"/>
    <col min="20" max="20" width="4.425781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FSR</v>
      </c>
      <c r="E2" s="474"/>
      <c r="F2" s="473"/>
      <c r="G2" s="473"/>
      <c r="H2" s="470"/>
      <c r="I2" s="470"/>
      <c r="J2" s="472" t="str">
        <f>VLOOKUP(Currency,Traits,3,FALSE)</f>
        <v>Libor</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112</v>
      </c>
      <c r="D4" s="480" t="str">
        <f t="shared" ref="D4:D18" si="0">Currency&amp;$C4&amp;$D$2&amp;"="</f>
        <v>EURONFSR=</v>
      </c>
      <c r="E4" s="484">
        <v>41479</v>
      </c>
      <c r="F4" s="483">
        <v>4.4999999999999998E-2</v>
      </c>
      <c r="G4" s="461" t="b">
        <f>IF(AND(ISNUMBER($F4),$F4&lt;&gt;0%,_xll.ohTrigger(Trigger)+1),TRUE,FALSE)</f>
        <v>1</v>
      </c>
      <c r="H4" s="482" t="e">
        <f>IF($G4,_xll.qlIndexAddFixings($J4,$E4,$F4/100,TRUE,ISERROR($K4)),NA())</f>
        <v>#NUM!</v>
      </c>
      <c r="I4" s="450"/>
      <c r="J4" s="481" t="str">
        <f t="shared" ref="J4:J18" si="1">PROPER(Currency)&amp;$J$2&amp;$C4</f>
        <v>EurLiborON</v>
      </c>
      <c r="K4" s="480" t="e">
        <f>_xll.qlIndexFixing($J4,$E4,TRUE,$G4)</f>
        <v>#NUM!</v>
      </c>
      <c r="L4" s="480" t="e">
        <f>IF($H4,_xll.qlIndexFixing($J4,$E4,FALSE,$G4),"-")</f>
        <v>#NUM!</v>
      </c>
      <c r="M4" s="480" t="e">
        <f t="shared" ref="M4:M18" si="2">K4-L4</f>
        <v>#NUM!</v>
      </c>
      <c r="N4" s="479" t="e">
        <f>_xll.qlIndexFixing($J4,$E4,TRUE,$L4)</f>
        <v>#NUM!</v>
      </c>
      <c r="O4" s="478">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35</v>
      </c>
      <c r="D5" s="458" t="str">
        <f t="shared" si="0"/>
        <v>EURSWFSR=</v>
      </c>
      <c r="E5" s="462">
        <v>41479</v>
      </c>
      <c r="F5" s="461">
        <v>5.5710000000000003E-2</v>
      </c>
      <c r="G5" s="461" t="b">
        <f>IF(AND(ISNUMBER($F5),$F5&lt;&gt;0%,_xll.ohTrigger(Trigger)+1),TRUE,FALSE)</f>
        <v>1</v>
      </c>
      <c r="H5" s="460" t="e">
        <f>IF($G5,_xll.qlIndexAddFixings($J5,$E5,$F5/100,TRUE,ISERROR($K5)),NA())</f>
        <v>#NUM!</v>
      </c>
      <c r="I5" s="450"/>
      <c r="J5" s="459" t="str">
        <f t="shared" si="1"/>
        <v>EurLiborSW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34</v>
      </c>
      <c r="D6" s="458" t="str">
        <f t="shared" si="0"/>
        <v>EUR2WFSR=</v>
      </c>
      <c r="E6" s="462">
        <v>41428</v>
      </c>
      <c r="F6" s="461">
        <v>0</v>
      </c>
      <c r="G6" s="461" t="b">
        <f>IF(AND(ISNUMBER($F6),$F6&lt;&gt;0%,_xll.ohTrigger(Trigger)+1),TRUE,FALSE)</f>
        <v>0</v>
      </c>
      <c r="H6" s="460" t="e">
        <f>IF($G6,_xll.qlIndexAddFixings($J6,$E6,$F6/100,TRUE,ISERROR($K6)),NA())</f>
        <v>#N/A</v>
      </c>
      <c r="I6" s="450"/>
      <c r="J6" s="459" t="str">
        <f t="shared" si="1"/>
        <v>EurLibor2W</v>
      </c>
      <c r="K6" s="458" t="e">
        <f>_xll.qlIndexFixing($J6,$E6,TRUE,$G6)</f>
        <v>#NUM!</v>
      </c>
      <c r="L6" s="458" t="e">
        <f>IF($H6,_xll.qlIndexFixing($J6,$E6,FALSE,$G6),"-")</f>
        <v>#N/A</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EUR1MFSR=</v>
      </c>
      <c r="E7" s="462">
        <v>41479</v>
      </c>
      <c r="F7" s="461">
        <v>8.2860000000000003E-2</v>
      </c>
      <c r="G7" s="461" t="b">
        <f>IF(AND(ISNUMBER($F7),$F7&lt;&gt;0%,_xll.ohTrigger(Trigger)+1),TRUE,FALSE)</f>
        <v>1</v>
      </c>
      <c r="H7" s="460" t="e">
        <f>IF($G7,_xll.qlIndexAddFixings($J7,$E7,$F7/100,TRUE,ISERROR($K7)),NA())</f>
        <v>#NUM!</v>
      </c>
      <c r="I7" s="450"/>
      <c r="J7" s="459" t="str">
        <f t="shared" si="1"/>
        <v>EurLibor1M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EUR2MFSR=</v>
      </c>
      <c r="E8" s="462">
        <v>41479</v>
      </c>
      <c r="F8" s="461">
        <v>0.11286</v>
      </c>
      <c r="G8" s="461" t="b">
        <f>IF(AND(ISNUMBER($F8),$F8&lt;&gt;0%,_xll.ohTrigger(Trigger)+1),TRUE,FALSE)</f>
        <v>1</v>
      </c>
      <c r="H8" s="460" t="e">
        <f>IF($G8,_xll.qlIndexAddFixings($J8,$E8,$F8/100,TRUE,ISERROR($K8)),NA())</f>
        <v>#NUM!</v>
      </c>
      <c r="I8" s="450"/>
      <c r="J8" s="459" t="str">
        <f t="shared" si="1"/>
        <v>EurLibor2M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EUR3MFSR=</v>
      </c>
      <c r="E9" s="462">
        <v>41479</v>
      </c>
      <c r="F9" s="461">
        <v>0.15214</v>
      </c>
      <c r="G9" s="461" t="b">
        <f>IF(AND(ISNUMBER($F9),$F9&lt;&gt;0%,_xll.ohTrigger(Trigger)+1),TRUE,FALSE)</f>
        <v>1</v>
      </c>
      <c r="H9" s="460" t="e">
        <f>IF($G9,_xll.qlIndexAddFixings($J9,$E9,$F9/100,TRUE,ISERROR($K9)),NA())</f>
        <v>#NUM!</v>
      </c>
      <c r="I9" s="450"/>
      <c r="J9" s="459" t="str">
        <f t="shared" si="1"/>
        <v>EurLibor3M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EUR4MFSR=</v>
      </c>
      <c r="E10" s="462">
        <v>41428</v>
      </c>
      <c r="F10" s="461">
        <v>0</v>
      </c>
      <c r="G10" s="461" t="b">
        <f>IF(AND(ISNUMBER($F10),$F10&lt;&gt;0%,_xll.ohTrigger(Trigger)+1),TRUE,FALSE)</f>
        <v>0</v>
      </c>
      <c r="H10" s="460" t="e">
        <f>IF($G10,_xll.qlIndexAddFixings($J10,$E10,$F10/100,TRUE,ISERROR($K10)),NA())</f>
        <v>#N/A</v>
      </c>
      <c r="I10" s="450"/>
      <c r="J10" s="459" t="str">
        <f t="shared" si="1"/>
        <v>EurLibor4M</v>
      </c>
      <c r="K10" s="458" t="e">
        <f>_xll.qlIndexFixing($J10,$E10,TRUE,$G10)</f>
        <v>#NUM!</v>
      </c>
      <c r="L10" s="458" t="e">
        <f>IF($H10,_xll.qlIndexFixing($J10,$E10,FALSE,$G10),"-")</f>
        <v>#N/A</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EUR5MFSR=</v>
      </c>
      <c r="E11" s="462">
        <v>41428</v>
      </c>
      <c r="F11" s="461">
        <v>0</v>
      </c>
      <c r="G11" s="461" t="b">
        <f>IF(AND(ISNUMBER($F11),$F11&lt;&gt;0%,_xll.ohTrigger(Trigger)+1),TRUE,FALSE)</f>
        <v>0</v>
      </c>
      <c r="H11" s="460" t="e">
        <f>IF($G11,_xll.qlIndexAddFixings($J11,$E11,$F11/100,TRUE,ISERROR($K11)),NA())</f>
        <v>#N/A</v>
      </c>
      <c r="I11" s="450"/>
      <c r="J11" s="459" t="str">
        <f t="shared" si="1"/>
        <v>EurLibor5M</v>
      </c>
      <c r="K11" s="458" t="e">
        <f>_xll.qlIndexFixing($J11,$E11,TRUE,$G11)</f>
        <v>#NUM!</v>
      </c>
      <c r="L11" s="458" t="e">
        <f>IF($H11,_xll.qlIndexFixing($J11,$E11,FALSE,$G11),"-")</f>
        <v>#N/A</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EUR6MFSR=</v>
      </c>
      <c r="E12" s="462">
        <v>41479</v>
      </c>
      <c r="F12" s="461">
        <v>0.26357000000000003</v>
      </c>
      <c r="G12" s="461" t="b">
        <f>IF(AND(ISNUMBER($F12),$F12&lt;&gt;0%,_xll.ohTrigger(Trigger)+1),TRUE,FALSE)</f>
        <v>1</v>
      </c>
      <c r="H12" s="460" t="e">
        <f>IF($G12,_xll.qlIndexAddFixings($J12,$E12,$F12/100,TRUE,ISERROR($K12)),NA())</f>
        <v>#NUM!</v>
      </c>
      <c r="I12" s="450"/>
      <c r="J12" s="459" t="str">
        <f t="shared" si="1"/>
        <v>EurLibor6M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EUR7MFSR=</v>
      </c>
      <c r="E13" s="462">
        <v>41428</v>
      </c>
      <c r="F13" s="461">
        <v>0</v>
      </c>
      <c r="G13" s="461" t="b">
        <f>IF(AND(ISNUMBER($F13),$F13&lt;&gt;0%,_xll.ohTrigger(Trigger)+1),TRUE,FALSE)</f>
        <v>0</v>
      </c>
      <c r="H13" s="460" t="e">
        <f>IF($G13,_xll.qlIndexAddFixings($J13,$E13,$F13/100,TRUE,ISERROR($K13)),NA())</f>
        <v>#N/A</v>
      </c>
      <c r="I13" s="450"/>
      <c r="J13" s="459" t="str">
        <f t="shared" si="1"/>
        <v>EurLibor7M</v>
      </c>
      <c r="K13" s="458" t="e">
        <f>_xll.qlIndexFixing($J13,$E13,TRUE,$G13)</f>
        <v>#NUM!</v>
      </c>
      <c r="L13" s="458" t="e">
        <f>IF($H13,_xll.qlIndexFixing($J13,$E13,FALSE,$G13),"-")</f>
        <v>#N/A</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EUR8MFSR=</v>
      </c>
      <c r="E14" s="462">
        <v>41428</v>
      </c>
      <c r="F14" s="461">
        <v>0</v>
      </c>
      <c r="G14" s="461" t="b">
        <f>IF(AND(ISNUMBER($F14),$F14&lt;&gt;0%,_xll.ohTrigger(Trigger)+1),TRUE,FALSE)</f>
        <v>0</v>
      </c>
      <c r="H14" s="460" t="e">
        <f>IF($G14,_xll.qlIndexAddFixings($J14,$E14,$F14/100,TRUE,ISERROR($K14)),NA())</f>
        <v>#N/A</v>
      </c>
      <c r="I14" s="450"/>
      <c r="J14" s="459" t="str">
        <f t="shared" si="1"/>
        <v>EurLibor8M</v>
      </c>
      <c r="K14" s="458" t="e">
        <f>_xll.qlIndexFixing($J14,$E14,TRUE,$G14)</f>
        <v>#NUM!</v>
      </c>
      <c r="L14" s="458" t="e">
        <f>IF($H14,_xll.qlIndexFixing($J14,$E14,FALSE,$G14),"-")</f>
        <v>#N/A</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EUR9MFSR=</v>
      </c>
      <c r="E15" s="462">
        <v>41428</v>
      </c>
      <c r="F15" s="461">
        <v>0</v>
      </c>
      <c r="G15" s="461" t="b">
        <f>IF(AND(ISNUMBER($F15),$F15&lt;&gt;0%,_xll.ohTrigger(Trigger)+1),TRUE,FALSE)</f>
        <v>0</v>
      </c>
      <c r="H15" s="460" t="e">
        <f>IF($G15,_xll.qlIndexAddFixings($J15,$E15,$F15/100,TRUE,ISERROR($K15)),NA())</f>
        <v>#N/A</v>
      </c>
      <c r="I15" s="450"/>
      <c r="J15" s="459" t="str">
        <f t="shared" si="1"/>
        <v>EurLibor9M</v>
      </c>
      <c r="K15" s="458" t="e">
        <f>_xll.qlIndexFixing($J15,$E15,TRUE,$G15)</f>
        <v>#NUM!</v>
      </c>
      <c r="L15" s="458" t="e">
        <f>IF($H15,_xll.qlIndexFixing($J15,$E15,FALSE,$G15),"-")</f>
        <v>#N/A</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EUR10MFSR=</v>
      </c>
      <c r="E16" s="462">
        <v>41428</v>
      </c>
      <c r="F16" s="461">
        <v>0</v>
      </c>
      <c r="G16" s="461" t="b">
        <f>IF(AND(ISNUMBER($F16),$F16&lt;&gt;0%,_xll.ohTrigger(Trigger)+1),TRUE,FALSE)</f>
        <v>0</v>
      </c>
      <c r="H16" s="460" t="e">
        <f>IF($G16,_xll.qlIndexAddFixings($J16,$E16,$F16/100,TRUE,ISERROR($K16)),NA())</f>
        <v>#N/A</v>
      </c>
      <c r="I16" s="450"/>
      <c r="J16" s="459" t="str">
        <f t="shared" si="1"/>
        <v>EurLibor10M</v>
      </c>
      <c r="K16" s="458" t="e">
        <f>_xll.qlIndexFixing($J16,$E16,TRUE,$G16)</f>
        <v>#NUM!</v>
      </c>
      <c r="L16" s="458" t="e">
        <f>IF($H16,_xll.qlIndexFixing($J16,$E16,FALSE,$G16),"-")</f>
        <v>#N/A</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EUR11MFSR=</v>
      </c>
      <c r="E17" s="462">
        <v>41428</v>
      </c>
      <c r="F17" s="461">
        <v>0</v>
      </c>
      <c r="G17" s="461" t="b">
        <f>IF(AND(ISNUMBER($F17),$F17&lt;&gt;0%,_xll.ohTrigger(Trigger)+1),TRUE,FALSE)</f>
        <v>0</v>
      </c>
      <c r="H17" s="460" t="e">
        <f>IF($G17,_xll.qlIndexAddFixings($J17,$E17,$F17/100,TRUE,ISERROR($K17)),NA())</f>
        <v>#N/A</v>
      </c>
      <c r="I17" s="450"/>
      <c r="J17" s="459" t="str">
        <f t="shared" si="1"/>
        <v>EurLibor11M</v>
      </c>
      <c r="K17" s="458" t="e">
        <f>_xll.qlIndexFixing($J17,$E17,TRUE,$G17)</f>
        <v>#NUM!</v>
      </c>
      <c r="L17" s="458" t="e">
        <f>IF($H17,_xll.qlIndexFixing($J17,$E17,FALSE,$G17),"-")</f>
        <v>#N/A</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EUR1YFSR=</v>
      </c>
      <c r="E18" s="453">
        <v>41479</v>
      </c>
      <c r="F18" s="452">
        <v>0.47143000000000002</v>
      </c>
      <c r="G18" s="452" t="b">
        <f>IF(AND(ISNUMBER($F18),$F18&lt;&gt;0%,_xll.ohTrigger(Trigger)+1),TRUE,FALSE)</f>
        <v>1</v>
      </c>
      <c r="H18" s="451" t="e">
        <f>IF($G18,_xll.qlIndexAddFixings($J18,$E18,$F18/100,TRUE,ISERROR($K18)),NA())</f>
        <v>#NUM!</v>
      </c>
      <c r="I18" s="450"/>
      <c r="J18" s="449" t="str">
        <f t="shared" si="1"/>
        <v>EurLibor1Y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228</v>
      </c>
      <c r="E21" s="435" t="s">
        <v>113</v>
      </c>
      <c r="F21" s="434"/>
    </row>
    <row r="22" spans="1:30" s="426" customFormat="1" x14ac:dyDescent="0.2">
      <c r="C22" s="432" t="s">
        <v>110</v>
      </c>
      <c r="D22" s="431" t="s">
        <v>228</v>
      </c>
      <c r="E22" s="430" t="s">
        <v>113</v>
      </c>
      <c r="J22" s="433"/>
    </row>
    <row r="23" spans="1:30" s="426" customFormat="1" x14ac:dyDescent="0.2">
      <c r="C23" s="432" t="s">
        <v>266</v>
      </c>
      <c r="D23" s="431" t="s">
        <v>228</v>
      </c>
      <c r="E23" s="430" t="s">
        <v>113</v>
      </c>
      <c r="J23" s="433"/>
    </row>
    <row r="24" spans="1:30" s="426" customFormat="1" x14ac:dyDescent="0.2">
      <c r="C24" s="432" t="s">
        <v>294</v>
      </c>
      <c r="D24" s="431" t="s">
        <v>228</v>
      </c>
      <c r="E24" s="430" t="s">
        <v>113</v>
      </c>
      <c r="J24" s="433"/>
    </row>
    <row r="25" spans="1:30" s="426" customFormat="1" x14ac:dyDescent="0.2">
      <c r="C25" s="432" t="s">
        <v>121</v>
      </c>
      <c r="D25" s="431" t="s">
        <v>228</v>
      </c>
      <c r="E25" s="430" t="s">
        <v>113</v>
      </c>
    </row>
    <row r="26" spans="1:30" s="426" customFormat="1" x14ac:dyDescent="0.2">
      <c r="C26" s="432" t="s">
        <v>120</v>
      </c>
      <c r="D26" s="431" t="s">
        <v>228</v>
      </c>
      <c r="E26" s="430" t="s">
        <v>113</v>
      </c>
    </row>
    <row r="27" spans="1:30" s="426" customFormat="1" ht="12" thickBot="1" x14ac:dyDescent="0.25">
      <c r="C27" s="429" t="s">
        <v>118</v>
      </c>
      <c r="D27" s="428" t="s">
        <v>228</v>
      </c>
      <c r="E27" s="427" t="s">
        <v>113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25" customWidth="1"/>
    <col min="3" max="3" width="5.7109375" style="425" bestFit="1" customWidth="1"/>
    <col min="4" max="4" width="12" style="425" bestFit="1" customWidth="1"/>
    <col min="5" max="5" width="16" style="425" bestFit="1" customWidth="1"/>
    <col min="6" max="6" width="9.85546875" style="425" customWidth="1"/>
    <col min="7" max="7" width="6" style="425" bestFit="1" customWidth="1"/>
    <col min="8" max="8" width="5.5703125" style="425" bestFit="1" customWidth="1"/>
    <col min="9" max="9" width="3.5703125" style="425" customWidth="1"/>
    <col min="10" max="10" width="19.8554687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SFIXA</v>
      </c>
      <c r="E2" s="474"/>
      <c r="F2" s="473"/>
      <c r="G2" s="473"/>
      <c r="H2" s="470"/>
      <c r="I2" s="470"/>
      <c r="J2" s="472" t="str">
        <f>VLOOKUP(Currency,Traits,3,FALSE)</f>
        <v>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EURSFIXA1Y=</v>
      </c>
      <c r="E4" s="484">
        <v>41479</v>
      </c>
      <c r="F4" s="483">
        <v>0.32400000000000001</v>
      </c>
      <c r="G4" s="461" t="b">
        <f>IF(AND(ISNUMBER($F4),$F4&lt;&gt;0%,_xll.ohTrigger(Trigger)+1),TRUE,FALSE)</f>
        <v>1</v>
      </c>
      <c r="H4" s="482" t="e">
        <f>IF($G4,_xll.qlIndexAddFixings($J4,$E4,$F4/100,TRUE,ISERROR($K4)),NA())</f>
        <v>#NUM!</v>
      </c>
      <c r="I4" s="450"/>
      <c r="J4" s="481" t="str">
        <f t="shared" ref="J4:J18" si="1">PROPER(Currency)&amp;$J$2&amp;$C4</f>
        <v>EuriborSwapIsdaFixA1Y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EURSFIXA2Y=</v>
      </c>
      <c r="E5" s="462">
        <v>41479</v>
      </c>
      <c r="F5" s="461">
        <v>0.56399999999999995</v>
      </c>
      <c r="G5" s="461" t="b">
        <f>IF(AND(ISNUMBER($F5),$F5&lt;&gt;0%,_xll.ohTrigger(Trigger)+1),TRUE,FALSE)</f>
        <v>1</v>
      </c>
      <c r="H5" s="460" t="e">
        <f>IF($G5,_xll.qlIndexAddFixings($J5,$E5,$F5/100,TRUE,ISERROR($K5)),NA())</f>
        <v>#NUM!</v>
      </c>
      <c r="I5" s="450"/>
      <c r="J5" s="459" t="str">
        <f t="shared" si="1"/>
        <v>EuriborSwapIsdaFixA2Y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EURSFIXA3Y=</v>
      </c>
      <c r="E6" s="462">
        <v>41479</v>
      </c>
      <c r="F6" s="461">
        <v>0.72199999999999998</v>
      </c>
      <c r="G6" s="461" t="b">
        <f>IF(AND(ISNUMBER($F6),$F6&lt;&gt;0%,_xll.ohTrigger(Trigger)+1),TRUE,FALSE)</f>
        <v>1</v>
      </c>
      <c r="H6" s="460" t="e">
        <f>IF($G6,_xll.qlIndexAddFixings($J6,$E6,$F6/100,TRUE,ISERROR($K6)),NA())</f>
        <v>#NUM!</v>
      </c>
      <c r="I6" s="450"/>
      <c r="J6" s="459" t="str">
        <f t="shared" si="1"/>
        <v>EuriborSwapIsdaFixA3Y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EURSFIXA4Y=</v>
      </c>
      <c r="E7" s="462">
        <v>41479</v>
      </c>
      <c r="F7" s="461">
        <v>0.92500000000000004</v>
      </c>
      <c r="G7" s="461" t="b">
        <f>IF(AND(ISNUMBER($F7),$F7&lt;&gt;0%,_xll.ohTrigger(Trigger)+1),TRUE,FALSE)</f>
        <v>1</v>
      </c>
      <c r="H7" s="460" t="e">
        <f>IF($G7,_xll.qlIndexAddFixings($J7,$E7,$F7/100,TRUE,ISERROR($K7)),NA())</f>
        <v>#NUM!</v>
      </c>
      <c r="I7" s="450"/>
      <c r="J7" s="459" t="str">
        <f t="shared" si="1"/>
        <v>EuriborSwapIsdaFixA4Y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EURSFIXA5Y=</v>
      </c>
      <c r="E8" s="462">
        <v>41479</v>
      </c>
      <c r="F8" s="461">
        <v>1.139</v>
      </c>
      <c r="G8" s="461" t="b">
        <f>IF(AND(ISNUMBER($F8),$F8&lt;&gt;0%,_xll.ohTrigger(Trigger)+1),TRUE,FALSE)</f>
        <v>1</v>
      </c>
      <c r="H8" s="460" t="e">
        <f>IF($G8,_xll.qlIndexAddFixings($J8,$E8,$F8/100,TRUE,ISERROR($K8)),NA())</f>
        <v>#NUM!</v>
      </c>
      <c r="I8" s="450"/>
      <c r="J8" s="459" t="str">
        <f t="shared" si="1"/>
        <v>EuriborSwapIsdaFixA5Y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EURSFIXA6Y=</v>
      </c>
      <c r="E9" s="462">
        <v>41479</v>
      </c>
      <c r="F9" s="461">
        <v>1.329</v>
      </c>
      <c r="G9" s="461" t="b">
        <f>IF(AND(ISNUMBER($F9),$F9&lt;&gt;0%,_xll.ohTrigger(Trigger)+1),TRUE,FALSE)</f>
        <v>1</v>
      </c>
      <c r="H9" s="460" t="e">
        <f>IF($G9,_xll.qlIndexAddFixings($J9,$E9,$F9/100,TRUE,ISERROR($K9)),NA())</f>
        <v>#NUM!</v>
      </c>
      <c r="I9" s="450"/>
      <c r="J9" s="459" t="str">
        <f t="shared" si="1"/>
        <v>EuriborSwapIsdaFixA6Y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EURSFIXA7Y=</v>
      </c>
      <c r="E10" s="462">
        <v>41479</v>
      </c>
      <c r="F10" s="461">
        <v>1.4990000000000001</v>
      </c>
      <c r="G10" s="461" t="b">
        <f>IF(AND(ISNUMBER($F10),$F10&lt;&gt;0%,_xll.ohTrigger(Trigger)+1),TRUE,FALSE)</f>
        <v>1</v>
      </c>
      <c r="H10" s="460" t="e">
        <f>IF($G10,_xll.qlIndexAddFixings($J10,$E10,$F10/100,TRUE,ISERROR($K10)),NA())</f>
        <v>#NUM!</v>
      </c>
      <c r="I10" s="450"/>
      <c r="J10" s="459" t="str">
        <f t="shared" si="1"/>
        <v>EuriborSwapIsdaFixA7Y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EURSFIXA8Y=</v>
      </c>
      <c r="E11" s="462">
        <v>41479</v>
      </c>
      <c r="F11" s="461">
        <v>1.6519999999999999</v>
      </c>
      <c r="G11" s="461" t="b">
        <f>IF(AND(ISNUMBER($F11),$F11&lt;&gt;0%,_xll.ohTrigger(Trigger)+1),TRUE,FALSE)</f>
        <v>1</v>
      </c>
      <c r="H11" s="460" t="e">
        <f>IF($G11,_xll.qlIndexAddFixings($J11,$E11,$F11/100,TRUE,ISERROR($K11)),NA())</f>
        <v>#NUM!</v>
      </c>
      <c r="I11" s="450"/>
      <c r="J11" s="459" t="str">
        <f t="shared" si="1"/>
        <v>EuriborSwapIsdaFixA8Y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EURSFIXA9Y=</v>
      </c>
      <c r="E12" s="462">
        <v>41479</v>
      </c>
      <c r="F12" s="461">
        <v>1.792</v>
      </c>
      <c r="G12" s="461" t="b">
        <f>IF(AND(ISNUMBER($F12),$F12&lt;&gt;0%,_xll.ohTrigger(Trigger)+1),TRUE,FALSE)</f>
        <v>1</v>
      </c>
      <c r="H12" s="460" t="e">
        <f>IF($G12,_xll.qlIndexAddFixings($J12,$E12,$F12/100,TRUE,ISERROR($K12)),NA())</f>
        <v>#NUM!</v>
      </c>
      <c r="I12" s="450"/>
      <c r="J12" s="459" t="str">
        <f t="shared" si="1"/>
        <v>EuriborSwapIsdaFixA9Y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EURSFIXA10Y=</v>
      </c>
      <c r="E13" s="462">
        <v>41479</v>
      </c>
      <c r="F13" s="461">
        <v>1.92</v>
      </c>
      <c r="G13" s="461" t="b">
        <f>IF(AND(ISNUMBER($F13),$F13&lt;&gt;0%,_xll.ohTrigger(Trigger)+1),TRUE,FALSE)</f>
        <v>1</v>
      </c>
      <c r="H13" s="460" t="e">
        <f>IF($G13,_xll.qlIndexAddFixings($J13,$E13,$F13/100,TRUE,ISERROR($K13)),NA())</f>
        <v>#NUM!</v>
      </c>
      <c r="I13" s="450"/>
      <c r="J13" s="459" t="str">
        <f t="shared" si="1"/>
        <v>EuriborSwapIsdaFixA10Y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EURSFIXA12Y=</v>
      </c>
      <c r="E14" s="462">
        <v>41479</v>
      </c>
      <c r="F14" s="461">
        <v>2.1269999999999998</v>
      </c>
      <c r="G14" s="461" t="b">
        <f>IF(AND(ISNUMBER($F14),$F14&lt;&gt;0%,_xll.ohTrigger(Trigger)+1),TRUE,FALSE)</f>
        <v>1</v>
      </c>
      <c r="H14" s="460" t="e">
        <f>IF($G14,_xll.qlIndexAddFixings($J14,$E14,$F14/100,TRUE,ISERROR($K14)),NA())</f>
        <v>#NUM!</v>
      </c>
      <c r="I14" s="450"/>
      <c r="J14" s="459" t="str">
        <f t="shared" si="1"/>
        <v>EuriborSwapIsdaFixA12Y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EURSFIXA15Y=</v>
      </c>
      <c r="E15" s="462">
        <v>41479</v>
      </c>
      <c r="F15" s="461">
        <v>2.3279999999999998</v>
      </c>
      <c r="G15" s="461" t="b">
        <f>IF(AND(ISNUMBER($F15),$F15&lt;&gt;0%,_xll.ohTrigger(Trigger)+1),TRUE,FALSE)</f>
        <v>1</v>
      </c>
      <c r="H15" s="460" t="e">
        <f>IF($G15,_xll.qlIndexAddFixings($J15,$E15,$F15/100,TRUE,ISERROR($K15)),NA())</f>
        <v>#NUM!</v>
      </c>
      <c r="I15" s="450"/>
      <c r="J15" s="459" t="str">
        <f t="shared" si="1"/>
        <v>EuriborSwapIsdaFixA15Y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EURSFIXA20Y=</v>
      </c>
      <c r="E16" s="462">
        <v>41479</v>
      </c>
      <c r="F16" s="461">
        <v>2.4420000000000002</v>
      </c>
      <c r="G16" s="461" t="b">
        <f>IF(AND(ISNUMBER($F16),$F16&lt;&gt;0%,_xll.ohTrigger(Trigger)+1),TRUE,FALSE)</f>
        <v>1</v>
      </c>
      <c r="H16" s="460" t="e">
        <f>IF($G16,_xll.qlIndexAddFixings($J16,$E16,$F16/100,TRUE,ISERROR($K16)),NA())</f>
        <v>#NUM!</v>
      </c>
      <c r="I16" s="450"/>
      <c r="J16" s="459" t="str">
        <f t="shared" si="1"/>
        <v>EuriborSwapIsdaFixA20Y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EURSFIXA25Y=</v>
      </c>
      <c r="E17" s="462">
        <v>41479</v>
      </c>
      <c r="F17" s="461">
        <v>2.4590000000000001</v>
      </c>
      <c r="G17" s="461" t="b">
        <f>IF(AND(ISNUMBER($F17),$F17&lt;&gt;0%,_xll.ohTrigger(Trigger)+1),TRUE,FALSE)</f>
        <v>1</v>
      </c>
      <c r="H17" s="460" t="e">
        <f>IF($G17,_xll.qlIndexAddFixings($J17,$E17,$F17/100,TRUE,ISERROR($K17)),NA())</f>
        <v>#NUM!</v>
      </c>
      <c r="I17" s="450"/>
      <c r="J17" s="459" t="str">
        <f t="shared" si="1"/>
        <v>EuriborSwapIsdaFixA25Y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EURSFIXA30Y=</v>
      </c>
      <c r="E18" s="453">
        <v>41479</v>
      </c>
      <c r="F18" s="452">
        <v>2.452</v>
      </c>
      <c r="G18" s="452" t="b">
        <f>IF(AND(ISNUMBER($F18),$F18&lt;&gt;0%,_xll.ohTrigger(Trigger)+1),TRUE,FALSE)</f>
        <v>1</v>
      </c>
      <c r="H18" s="451" t="e">
        <f>IF($G18,_xll.qlIndexAddFixings($J18,$E18,$F18/100,TRUE,ISERROR($K18)),NA())</f>
        <v>#NUM!</v>
      </c>
      <c r="I18" s="450"/>
      <c r="J18" s="449" t="str">
        <f t="shared" si="1"/>
        <v>EuriborSwapIsdaFixA30Y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304</v>
      </c>
      <c r="E21" s="435" t="s">
        <v>305</v>
      </c>
    </row>
    <row r="22" spans="1:30" s="426" customFormat="1" x14ac:dyDescent="0.2">
      <c r="C22" s="432" t="s">
        <v>110</v>
      </c>
      <c r="D22" s="431" t="s">
        <v>307</v>
      </c>
      <c r="E22" s="430" t="s">
        <v>306</v>
      </c>
    </row>
    <row r="23" spans="1:30" s="426" customFormat="1" x14ac:dyDescent="0.2">
      <c r="C23" s="432" t="s">
        <v>266</v>
      </c>
      <c r="D23" s="431" t="s">
        <v>304</v>
      </c>
      <c r="E23" s="430" t="s">
        <v>303</v>
      </c>
    </row>
    <row r="24" spans="1:30" s="426" customFormat="1" x14ac:dyDescent="0.2">
      <c r="C24" s="432" t="s">
        <v>294</v>
      </c>
      <c r="D24" s="431" t="s">
        <v>304</v>
      </c>
      <c r="E24" s="430" t="s">
        <v>305</v>
      </c>
    </row>
    <row r="25" spans="1:30" s="426" customFormat="1" x14ac:dyDescent="0.2">
      <c r="C25" s="432" t="s">
        <v>121</v>
      </c>
      <c r="D25" s="431" t="s">
        <v>304</v>
      </c>
      <c r="E25" s="430" t="s">
        <v>305</v>
      </c>
    </row>
    <row r="26" spans="1:30" s="426" customFormat="1" x14ac:dyDescent="0.2">
      <c r="C26" s="432" t="s">
        <v>120</v>
      </c>
      <c r="D26" s="431" t="s">
        <v>304</v>
      </c>
      <c r="E26" s="430" t="s">
        <v>303</v>
      </c>
    </row>
    <row r="27" spans="1:30" s="426" customFormat="1" ht="12" thickBot="1" x14ac:dyDescent="0.25">
      <c r="C27" s="429" t="s">
        <v>118</v>
      </c>
      <c r="D27" s="487" t="s">
        <v>304</v>
      </c>
      <c r="E27" s="486" t="s">
        <v>303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25" customWidth="1"/>
    <col min="3" max="3" width="5.7109375" style="425" bestFit="1" customWidth="1"/>
    <col min="4" max="4" width="12.855468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6.140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SFIXLA</v>
      </c>
      <c r="E2" s="474"/>
      <c r="F2" s="473"/>
      <c r="G2" s="473"/>
      <c r="H2" s="470"/>
      <c r="I2" s="470"/>
      <c r="J2" s="472" t="str">
        <f>VLOOKUP(Currency,Traits,3,FALSE)</f>
        <v>LiborSwapIsdaFixA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EURSFIXLA1Y=</v>
      </c>
      <c r="E4" s="484">
        <v>41479</v>
      </c>
      <c r="F4" s="483">
        <v>0.26200000000000001</v>
      </c>
      <c r="G4" s="461" t="b">
        <f>IF(AND(ISNUMBER($F4),$F4&lt;&gt;0%,_xll.ohTrigger(Trigger)+1),TRUE,FALSE)</f>
        <v>1</v>
      </c>
      <c r="H4" s="482" t="e">
        <f>IF($G4,_xll.qlIndexAddFixings($J4,$E4,$F4/100,TRUE,ISERROR($K4)),NA())</f>
        <v>#NUM!</v>
      </c>
      <c r="I4" s="450"/>
      <c r="J4" s="481" t="str">
        <f t="shared" ref="J4:J18" si="1">PROPER(Currency)&amp;$J$2&amp;$C4</f>
        <v>EurLiborSwapIsdaFixA1Y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EURSFIXLA2Y=</v>
      </c>
      <c r="E5" s="462">
        <v>41479</v>
      </c>
      <c r="F5" s="461">
        <v>0.504</v>
      </c>
      <c r="G5" s="461" t="b">
        <f>IF(AND(ISNUMBER($F5),$F5&lt;&gt;0%,_xll.ohTrigger(Trigger)+1),TRUE,FALSE)</f>
        <v>1</v>
      </c>
      <c r="H5" s="460" t="e">
        <f>IF($G5,_xll.qlIndexAddFixings($J5,$E5,$F5/100,TRUE,ISERROR($K5)),NA())</f>
        <v>#NUM!</v>
      </c>
      <c r="I5" s="450"/>
      <c r="J5" s="459" t="str">
        <f t="shared" si="1"/>
        <v>EurLiborSwapIsdaFixA2Y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EURSFIXLA3Y=</v>
      </c>
      <c r="E6" s="462">
        <v>41479</v>
      </c>
      <c r="F6" s="461">
        <v>0.66700000000000004</v>
      </c>
      <c r="G6" s="461" t="b">
        <f>IF(AND(ISNUMBER($F6),$F6&lt;&gt;0%,_xll.ohTrigger(Trigger)+1),TRUE,FALSE)</f>
        <v>1</v>
      </c>
      <c r="H6" s="460" t="e">
        <f>IF($G6,_xll.qlIndexAddFixings($J6,$E6,$F6/100,TRUE,ISERROR($K6)),NA())</f>
        <v>#NUM!</v>
      </c>
      <c r="I6" s="450"/>
      <c r="J6" s="459" t="str">
        <f t="shared" si="1"/>
        <v>EurLiborSwapIsdaFixA3Y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EURSFIXLA4Y=</v>
      </c>
      <c r="E7" s="462">
        <v>41479</v>
      </c>
      <c r="F7" s="461">
        <v>0.873</v>
      </c>
      <c r="G7" s="461" t="b">
        <f>IF(AND(ISNUMBER($F7),$F7&lt;&gt;0%,_xll.ohTrigger(Trigger)+1),TRUE,FALSE)</f>
        <v>1</v>
      </c>
      <c r="H7" s="460" t="e">
        <f>IF($G7,_xll.qlIndexAddFixings($J7,$E7,$F7/100,TRUE,ISERROR($K7)),NA())</f>
        <v>#NUM!</v>
      </c>
      <c r="I7" s="450"/>
      <c r="J7" s="459" t="str">
        <f t="shared" si="1"/>
        <v>EurLiborSwapIsdaFixA4Y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EURSFIXLA5Y=</v>
      </c>
      <c r="E8" s="462">
        <v>41479</v>
      </c>
      <c r="F8" s="461">
        <v>1.089</v>
      </c>
      <c r="G8" s="461" t="b">
        <f>IF(AND(ISNUMBER($F8),$F8&lt;&gt;0%,_xll.ohTrigger(Trigger)+1),TRUE,FALSE)</f>
        <v>1</v>
      </c>
      <c r="H8" s="460" t="e">
        <f>IF($G8,_xll.qlIndexAddFixings($J8,$E8,$F8/100,TRUE,ISERROR($K8)),NA())</f>
        <v>#NUM!</v>
      </c>
      <c r="I8" s="450"/>
      <c r="J8" s="459" t="str">
        <f t="shared" si="1"/>
        <v>EurLiborSwapIsdaFixA5Y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EURSFIXLA6Y=</v>
      </c>
      <c r="E9" s="462">
        <v>41479</v>
      </c>
      <c r="F9" s="461">
        <v>1.282</v>
      </c>
      <c r="G9" s="461" t="b">
        <f>IF(AND(ISNUMBER($F9),$F9&lt;&gt;0%,_xll.ohTrigger(Trigger)+1),TRUE,FALSE)</f>
        <v>1</v>
      </c>
      <c r="H9" s="460" t="e">
        <f>IF($G9,_xll.qlIndexAddFixings($J9,$E9,$F9/100,TRUE,ISERROR($K9)),NA())</f>
        <v>#NUM!</v>
      </c>
      <c r="I9" s="450"/>
      <c r="J9" s="459" t="str">
        <f t="shared" si="1"/>
        <v>EurLiborSwapIsdaFixA6Y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EURSFIXLA7Y=</v>
      </c>
      <c r="E10" s="462">
        <v>41479</v>
      </c>
      <c r="F10" s="461">
        <v>1.454</v>
      </c>
      <c r="G10" s="461" t="b">
        <f>IF(AND(ISNUMBER($F10),$F10&lt;&gt;0%,_xll.ohTrigger(Trigger)+1),TRUE,FALSE)</f>
        <v>1</v>
      </c>
      <c r="H10" s="460" t="e">
        <f>IF($G10,_xll.qlIndexAddFixings($J10,$E10,$F10/100,TRUE,ISERROR($K10)),NA())</f>
        <v>#NUM!</v>
      </c>
      <c r="I10" s="450"/>
      <c r="J10" s="459" t="str">
        <f t="shared" si="1"/>
        <v>EurLiborSwapIsdaFixA7Y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EURSFIXLA8Y=</v>
      </c>
      <c r="E11" s="462">
        <v>41479</v>
      </c>
      <c r="F11" s="461">
        <v>1.609</v>
      </c>
      <c r="G11" s="461" t="b">
        <f>IF(AND(ISNUMBER($F11),$F11&lt;&gt;0%,_xll.ohTrigger(Trigger)+1),TRUE,FALSE)</f>
        <v>1</v>
      </c>
      <c r="H11" s="460" t="e">
        <f>IF($G11,_xll.qlIndexAddFixings($J11,$E11,$F11/100,TRUE,ISERROR($K11)),NA())</f>
        <v>#NUM!</v>
      </c>
      <c r="I11" s="450"/>
      <c r="J11" s="459" t="str">
        <f t="shared" si="1"/>
        <v>EurLiborSwapIsdaFixA8Y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EURSFIXLA9Y=</v>
      </c>
      <c r="E12" s="462">
        <v>41479</v>
      </c>
      <c r="F12" s="461">
        <v>1.752</v>
      </c>
      <c r="G12" s="461" t="b">
        <f>IF(AND(ISNUMBER($F12),$F12&lt;&gt;0%,_xll.ohTrigger(Trigger)+1),TRUE,FALSE)</f>
        <v>1</v>
      </c>
      <c r="H12" s="460" t="e">
        <f>IF($G12,_xll.qlIndexAddFixings($J12,$E12,$F12/100,TRUE,ISERROR($K12)),NA())</f>
        <v>#NUM!</v>
      </c>
      <c r="I12" s="450"/>
      <c r="J12" s="459" t="str">
        <f t="shared" si="1"/>
        <v>EurLiborSwapIsdaFixA9Y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EURSFIXLA10Y=</v>
      </c>
      <c r="E13" s="462">
        <v>41479</v>
      </c>
      <c r="F13" s="461">
        <v>1.88</v>
      </c>
      <c r="G13" s="461" t="b">
        <f>IF(AND(ISNUMBER($F13),$F13&lt;&gt;0%,_xll.ohTrigger(Trigger)+1),TRUE,FALSE)</f>
        <v>1</v>
      </c>
      <c r="H13" s="460" t="e">
        <f>IF($G13,_xll.qlIndexAddFixings($J13,$E13,$F13/100,TRUE,ISERROR($K13)),NA())</f>
        <v>#NUM!</v>
      </c>
      <c r="I13" s="450"/>
      <c r="J13" s="459" t="str">
        <f t="shared" si="1"/>
        <v>EurLiborSwapIsdaFixA10Y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EURSFIXLA12Y=</v>
      </c>
      <c r="E14" s="462">
        <v>41479</v>
      </c>
      <c r="F14" s="461">
        <v>2.089</v>
      </c>
      <c r="G14" s="461" t="b">
        <f>IF(AND(ISNUMBER($F14),$F14&lt;&gt;0%,_xll.ohTrigger(Trigger)+1),TRUE,FALSE)</f>
        <v>1</v>
      </c>
      <c r="H14" s="460" t="e">
        <f>IF($G14,_xll.qlIndexAddFixings($J14,$E14,$F14/100,TRUE,ISERROR($K14)),NA())</f>
        <v>#NUM!</v>
      </c>
      <c r="I14" s="450"/>
      <c r="J14" s="459" t="str">
        <f t="shared" si="1"/>
        <v>EurLiborSwapIsdaFixA12Y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EURSFIXLA15Y=</v>
      </c>
      <c r="E15" s="462">
        <v>41479</v>
      </c>
      <c r="F15" s="461">
        <v>2.294</v>
      </c>
      <c r="G15" s="461" t="b">
        <f>IF(AND(ISNUMBER($F15),$F15&lt;&gt;0%,_xll.ohTrigger(Trigger)+1),TRUE,FALSE)</f>
        <v>1</v>
      </c>
      <c r="H15" s="460" t="e">
        <f>IF($G15,_xll.qlIndexAddFixings($J15,$E15,$F15/100,TRUE,ISERROR($K15)),NA())</f>
        <v>#NUM!</v>
      </c>
      <c r="I15" s="450"/>
      <c r="J15" s="459" t="str">
        <f t="shared" si="1"/>
        <v>EurLiborSwapIsdaFixA15Y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EURSFIXLA20Y=</v>
      </c>
      <c r="E16" s="462">
        <v>41479</v>
      </c>
      <c r="F16" s="461">
        <v>2.4129999999999998</v>
      </c>
      <c r="G16" s="461" t="b">
        <f>IF(AND(ISNUMBER($F16),$F16&lt;&gt;0%,_xll.ohTrigger(Trigger)+1),TRUE,FALSE)</f>
        <v>1</v>
      </c>
      <c r="H16" s="460" t="e">
        <f>IF($G16,_xll.qlIndexAddFixings($J16,$E16,$F16/100,TRUE,ISERROR($K16)),NA())</f>
        <v>#NUM!</v>
      </c>
      <c r="I16" s="450"/>
      <c r="J16" s="459" t="str">
        <f t="shared" si="1"/>
        <v>EurLiborSwapIsdaFixA20Y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EURSFIXLA25Y=</v>
      </c>
      <c r="E17" s="462">
        <v>41479</v>
      </c>
      <c r="F17" s="461">
        <v>2.431</v>
      </c>
      <c r="G17" s="461" t="b">
        <f>IF(AND(ISNUMBER($F17),$F17&lt;&gt;0%,_xll.ohTrigger(Trigger)+1),TRUE,FALSE)</f>
        <v>1</v>
      </c>
      <c r="H17" s="460" t="e">
        <f>IF($G17,_xll.qlIndexAddFixings($J17,$E17,$F17/100,TRUE,ISERROR($K17)),NA())</f>
        <v>#NUM!</v>
      </c>
      <c r="I17" s="450"/>
      <c r="J17" s="459" t="str">
        <f t="shared" si="1"/>
        <v>EurLiborSwapIsdaFixA25Y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EURSFIXLA30Y=</v>
      </c>
      <c r="E18" s="453">
        <v>41479</v>
      </c>
      <c r="F18" s="452">
        <v>2.4260000000000002</v>
      </c>
      <c r="G18" s="452" t="b">
        <f>IF(AND(ISNUMBER($F18),$F18&lt;&gt;0%,_xll.ohTrigger(Trigger)+1),TRUE,FALSE)</f>
        <v>1</v>
      </c>
      <c r="H18" s="451" t="e">
        <f>IF($G18,_xll.qlIndexAddFixings($J18,$E18,$F18/100,TRUE,ISERROR($K18)),NA())</f>
        <v>#NUM!</v>
      </c>
      <c r="I18" s="450"/>
      <c r="J18" s="449" t="str">
        <f t="shared" si="1"/>
        <v>EurLiborSwapIsdaFixA30Y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93" t="s">
        <v>207</v>
      </c>
      <c r="E21" s="492" t="s">
        <v>207</v>
      </c>
    </row>
    <row r="22" spans="1:30" s="426" customFormat="1" x14ac:dyDescent="0.2">
      <c r="C22" s="432" t="s">
        <v>110</v>
      </c>
      <c r="D22" s="431" t="s">
        <v>312</v>
      </c>
      <c r="E22" s="430" t="s">
        <v>311</v>
      </c>
    </row>
    <row r="23" spans="1:30" s="426" customFormat="1" x14ac:dyDescent="0.2">
      <c r="C23" s="432" t="s">
        <v>266</v>
      </c>
      <c r="D23" s="431" t="s">
        <v>310</v>
      </c>
      <c r="E23" s="430" t="s">
        <v>309</v>
      </c>
    </row>
    <row r="24" spans="1:30" s="426" customFormat="1" x14ac:dyDescent="0.2">
      <c r="C24" s="432" t="s">
        <v>294</v>
      </c>
      <c r="D24" s="491" t="s">
        <v>207</v>
      </c>
      <c r="E24" s="490" t="s">
        <v>207</v>
      </c>
    </row>
    <row r="25" spans="1:30" s="426" customFormat="1" x14ac:dyDescent="0.2">
      <c r="C25" s="432" t="s">
        <v>121</v>
      </c>
      <c r="D25" s="491" t="s">
        <v>207</v>
      </c>
      <c r="E25" s="490" t="s">
        <v>207</v>
      </c>
    </row>
    <row r="26" spans="1:30" s="426" customFormat="1" x14ac:dyDescent="0.2">
      <c r="C26" s="432" t="s">
        <v>120</v>
      </c>
      <c r="D26" s="431" t="s">
        <v>310</v>
      </c>
      <c r="E26" s="430" t="s">
        <v>309</v>
      </c>
    </row>
    <row r="27" spans="1:30" s="426" customFormat="1" ht="12" thickBot="1" x14ac:dyDescent="0.25">
      <c r="C27" s="429" t="s">
        <v>118</v>
      </c>
      <c r="D27" s="487" t="s">
        <v>310</v>
      </c>
      <c r="E27" s="486" t="s">
        <v>309</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25" customWidth="1"/>
    <col min="3" max="3" width="5.7109375" style="425" bestFit="1" customWidth="1"/>
    <col min="4" max="4" width="12.71093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SFIXLB</v>
      </c>
      <c r="E2" s="474"/>
      <c r="F2" s="473"/>
      <c r="G2" s="473"/>
      <c r="H2" s="470"/>
      <c r="I2" s="470"/>
      <c r="J2" s="472" t="str">
        <f>VLOOKUP(Currency,Traits,3,FALSE)</f>
        <v>LiborSwapIsdaFixB</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t="s">
        <v>315</v>
      </c>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EURSFIXLB1Y=</v>
      </c>
      <c r="E4" s="484">
        <v>41479</v>
      </c>
      <c r="F4" s="483">
        <v>0.26400000000000001</v>
      </c>
      <c r="G4" s="461" t="b">
        <f>IF(AND(ISNUMBER($F4),$F4&lt;&gt;0%,_xll.ohTrigger(Trigger)+1),TRUE,FALSE)</f>
        <v>1</v>
      </c>
      <c r="H4" s="482" t="e">
        <f>IF($G4,_xll.qlIndexAddFixings($J4,$E4,$F4/100,TRUE,ISERROR($K4)),NA())</f>
        <v>#NUM!</v>
      </c>
      <c r="I4" s="450"/>
      <c r="J4" s="481" t="str">
        <f t="shared" ref="J4:J18" si="1">PROPER(Currency)&amp;$J$2&amp;$C4</f>
        <v>EurLiborSwapIsdaFixB1Y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EURSFIXLB2Y=</v>
      </c>
      <c r="E5" s="462">
        <v>41479</v>
      </c>
      <c r="F5" s="461">
        <v>0.51100000000000001</v>
      </c>
      <c r="G5" s="461" t="b">
        <f>IF(AND(ISNUMBER($F5),$F5&lt;&gt;0%,_xll.ohTrigger(Trigger)+1),TRUE,FALSE)</f>
        <v>1</v>
      </c>
      <c r="H5" s="460" t="e">
        <f>IF($G5,_xll.qlIndexAddFixings($J5,$E5,$F5/100,TRUE,ISERROR($K5)),NA())</f>
        <v>#NUM!</v>
      </c>
      <c r="I5" s="450"/>
      <c r="J5" s="459" t="str">
        <f t="shared" si="1"/>
        <v>EurLiborSwapIsdaFixB2Y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EURSFIXLB3Y=</v>
      </c>
      <c r="E6" s="462">
        <v>41479</v>
      </c>
      <c r="F6" s="461">
        <v>0.67600000000000005</v>
      </c>
      <c r="G6" s="461" t="b">
        <f>IF(AND(ISNUMBER($F6),$F6&lt;&gt;0%,_xll.ohTrigger(Trigger)+1),TRUE,FALSE)</f>
        <v>1</v>
      </c>
      <c r="H6" s="460" t="e">
        <f>IF($G6,_xll.qlIndexAddFixings($J6,$E6,$F6/100,TRUE,ISERROR($K6)),NA())</f>
        <v>#NUM!</v>
      </c>
      <c r="I6" s="450"/>
      <c r="J6" s="459" t="str">
        <f t="shared" si="1"/>
        <v>EurLiborSwapIsdaFixB3Y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EURSFIXLB4Y=</v>
      </c>
      <c r="E7" s="462">
        <v>41479</v>
      </c>
      <c r="F7" s="461">
        <v>0.88500000000000001</v>
      </c>
      <c r="G7" s="461" t="b">
        <f>IF(AND(ISNUMBER($F7),$F7&lt;&gt;0%,_xll.ohTrigger(Trigger)+1),TRUE,FALSE)</f>
        <v>1</v>
      </c>
      <c r="H7" s="460" t="e">
        <f>IF($G7,_xll.qlIndexAddFixings($J7,$E7,$F7/100,TRUE,ISERROR($K7)),NA())</f>
        <v>#NUM!</v>
      </c>
      <c r="I7" s="450"/>
      <c r="J7" s="459" t="str">
        <f t="shared" si="1"/>
        <v>EurLiborSwapIsdaFixB4Y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EURSFIXLB5Y=</v>
      </c>
      <c r="E8" s="462">
        <v>41479</v>
      </c>
      <c r="F8" s="461">
        <v>1.1020000000000001</v>
      </c>
      <c r="G8" s="461" t="b">
        <f>IF(AND(ISNUMBER($F8),$F8&lt;&gt;0%,_xll.ohTrigger(Trigger)+1),TRUE,FALSE)</f>
        <v>1</v>
      </c>
      <c r="H8" s="460" t="e">
        <f>IF($G8,_xll.qlIndexAddFixings($J8,$E8,$F8/100,TRUE,ISERROR($K8)),NA())</f>
        <v>#NUM!</v>
      </c>
      <c r="I8" s="450"/>
      <c r="J8" s="459" t="str">
        <f t="shared" si="1"/>
        <v>EurLiborSwapIsdaFixB5Y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EURSFIXLB6Y=</v>
      </c>
      <c r="E9" s="462">
        <v>41479</v>
      </c>
      <c r="F9" s="461">
        <v>1.2949999999999999</v>
      </c>
      <c r="G9" s="461" t="b">
        <f>IF(AND(ISNUMBER($F9),$F9&lt;&gt;0%,_xll.ohTrigger(Trigger)+1),TRUE,FALSE)</f>
        <v>1</v>
      </c>
      <c r="H9" s="460" t="e">
        <f>IF($G9,_xll.qlIndexAddFixings($J9,$E9,$F9/100,TRUE,ISERROR($K9)),NA())</f>
        <v>#NUM!</v>
      </c>
      <c r="I9" s="450"/>
      <c r="J9" s="459" t="str">
        <f t="shared" si="1"/>
        <v>EurLiborSwapIsdaFixB6Y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EURSFIXLB7Y=</v>
      </c>
      <c r="E10" s="462">
        <v>41479</v>
      </c>
      <c r="F10" s="461">
        <v>1.4670000000000001</v>
      </c>
      <c r="G10" s="461" t="b">
        <f>IF(AND(ISNUMBER($F10),$F10&lt;&gt;0%,_xll.ohTrigger(Trigger)+1),TRUE,FALSE)</f>
        <v>1</v>
      </c>
      <c r="H10" s="460" t="e">
        <f>IF($G10,_xll.qlIndexAddFixings($J10,$E10,$F10/100,TRUE,ISERROR($K10)),NA())</f>
        <v>#NUM!</v>
      </c>
      <c r="I10" s="450"/>
      <c r="J10" s="459" t="str">
        <f t="shared" si="1"/>
        <v>EurLiborSwapIsdaFixB7Y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EURSFIXLB8Y=</v>
      </c>
      <c r="E11" s="462">
        <v>41479</v>
      </c>
      <c r="F11" s="461">
        <v>1.623</v>
      </c>
      <c r="G11" s="461" t="b">
        <f>IF(AND(ISNUMBER($F11),$F11&lt;&gt;0%,_xll.ohTrigger(Trigger)+1),TRUE,FALSE)</f>
        <v>1</v>
      </c>
      <c r="H11" s="460" t="e">
        <f>IF($G11,_xll.qlIndexAddFixings($J11,$E11,$F11/100,TRUE,ISERROR($K11)),NA())</f>
        <v>#NUM!</v>
      </c>
      <c r="I11" s="450"/>
      <c r="J11" s="459" t="str">
        <f t="shared" si="1"/>
        <v>EurLiborSwapIsdaFixB8Y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EURSFIXLB9Y=</v>
      </c>
      <c r="E12" s="462">
        <v>41479</v>
      </c>
      <c r="F12" s="461">
        <v>1.7649999999999999</v>
      </c>
      <c r="G12" s="461" t="b">
        <f>IF(AND(ISNUMBER($F12),$F12&lt;&gt;0%,_xll.ohTrigger(Trigger)+1),TRUE,FALSE)</f>
        <v>1</v>
      </c>
      <c r="H12" s="460" t="e">
        <f>IF($G12,_xll.qlIndexAddFixings($J12,$E12,$F12/100,TRUE,ISERROR($K12)),NA())</f>
        <v>#NUM!</v>
      </c>
      <c r="I12" s="450"/>
      <c r="J12" s="459" t="str">
        <f t="shared" si="1"/>
        <v>EurLiborSwapIsdaFixB9Y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EURSFIXLB10Y=</v>
      </c>
      <c r="E13" s="462">
        <v>41479</v>
      </c>
      <c r="F13" s="461">
        <v>1.893</v>
      </c>
      <c r="G13" s="461" t="b">
        <f>IF(AND(ISNUMBER($F13),$F13&lt;&gt;0%,_xll.ohTrigger(Trigger)+1),TRUE,FALSE)</f>
        <v>1</v>
      </c>
      <c r="H13" s="460" t="e">
        <f>IF($G13,_xll.qlIndexAddFixings($J13,$E13,$F13/100,TRUE,ISERROR($K13)),NA())</f>
        <v>#NUM!</v>
      </c>
      <c r="I13" s="450"/>
      <c r="J13" s="459" t="str">
        <f t="shared" si="1"/>
        <v>EurLiborSwapIsdaFixB10Y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EURSFIXLB12Y=</v>
      </c>
      <c r="E14" s="462">
        <v>41479</v>
      </c>
      <c r="F14" s="461">
        <v>2.1</v>
      </c>
      <c r="G14" s="461" t="b">
        <f>IF(AND(ISNUMBER($F14),$F14&lt;&gt;0%,_xll.ohTrigger(Trigger)+1),TRUE,FALSE)</f>
        <v>1</v>
      </c>
      <c r="H14" s="460" t="e">
        <f>IF($G14,_xll.qlIndexAddFixings($J14,$E14,$F14/100,TRUE,ISERROR($K14)),NA())</f>
        <v>#NUM!</v>
      </c>
      <c r="I14" s="450"/>
      <c r="J14" s="459" t="str">
        <f t="shared" si="1"/>
        <v>EurLiborSwapIsdaFixB12Y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EURSFIXLB15Y=</v>
      </c>
      <c r="E15" s="462">
        <v>41479</v>
      </c>
      <c r="F15" s="461">
        <v>2.3010000000000002</v>
      </c>
      <c r="G15" s="461" t="b">
        <f>IF(AND(ISNUMBER($F15),$F15&lt;&gt;0%,_xll.ohTrigger(Trigger)+1),TRUE,FALSE)</f>
        <v>1</v>
      </c>
      <c r="H15" s="460" t="e">
        <f>IF($G15,_xll.qlIndexAddFixings($J15,$E15,$F15/100,TRUE,ISERROR($K15)),NA())</f>
        <v>#NUM!</v>
      </c>
      <c r="I15" s="450"/>
      <c r="J15" s="459" t="str">
        <f t="shared" si="1"/>
        <v>EurLiborSwapIsdaFixB15Y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EURSFIXLB20Y=</v>
      </c>
      <c r="E16" s="462">
        <v>41479</v>
      </c>
      <c r="F16" s="461">
        <v>2.415</v>
      </c>
      <c r="G16" s="461" t="b">
        <f>IF(AND(ISNUMBER($F16),$F16&lt;&gt;0%,_xll.ohTrigger(Trigger)+1),TRUE,FALSE)</f>
        <v>1</v>
      </c>
      <c r="H16" s="460" t="e">
        <f>IF($G16,_xll.qlIndexAddFixings($J16,$E16,$F16/100,TRUE,ISERROR($K16)),NA())</f>
        <v>#NUM!</v>
      </c>
      <c r="I16" s="450"/>
      <c r="J16" s="459" t="str">
        <f t="shared" si="1"/>
        <v>EurLiborSwapIsdaFixB20Y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EURSFIXLB25Y=</v>
      </c>
      <c r="E17" s="462">
        <v>41479</v>
      </c>
      <c r="F17" s="461">
        <v>2.4329999999999998</v>
      </c>
      <c r="G17" s="461" t="b">
        <f>IF(AND(ISNUMBER($F17),$F17&lt;&gt;0%,_xll.ohTrigger(Trigger)+1),TRUE,FALSE)</f>
        <v>1</v>
      </c>
      <c r="H17" s="460" t="e">
        <f>IF($G17,_xll.qlIndexAddFixings($J17,$E17,$F17/100,TRUE,ISERROR($K17)),NA())</f>
        <v>#NUM!</v>
      </c>
      <c r="I17" s="450"/>
      <c r="J17" s="459" t="str">
        <f t="shared" si="1"/>
        <v>EurLiborSwapIsdaFixB25Y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EURSFIXLB30Y=</v>
      </c>
      <c r="E18" s="453">
        <v>41479</v>
      </c>
      <c r="F18" s="452">
        <v>2.4279999999999999</v>
      </c>
      <c r="G18" s="452" t="b">
        <f>IF(AND(ISNUMBER($F18),$F18&lt;&gt;0%,_xll.ohTrigger(Trigger)+1),TRUE,FALSE)</f>
        <v>1</v>
      </c>
      <c r="H18" s="451" t="e">
        <f>IF($G18,_xll.qlIndexAddFixings($J18,$E18,$F18/100,TRUE,ISERROR($K18)),NA())</f>
        <v>#NUM!</v>
      </c>
      <c r="I18" s="450"/>
      <c r="J18" s="449" t="str">
        <f t="shared" si="1"/>
        <v>EurLiborSwapIsdaFixB30Y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row>
    <row r="22" spans="1:30" s="426" customFormat="1" x14ac:dyDescent="0.2">
      <c r="C22" s="432" t="s">
        <v>110</v>
      </c>
      <c r="D22" s="431" t="s">
        <v>314</v>
      </c>
      <c r="E22" s="430" t="s">
        <v>313</v>
      </c>
    </row>
    <row r="23" spans="1:30" s="426" customFormat="1" x14ac:dyDescent="0.2">
      <c r="C23" s="432" t="s">
        <v>266</v>
      </c>
      <c r="D23" s="431" t="s">
        <v>207</v>
      </c>
      <c r="E23" s="430" t="s">
        <v>207</v>
      </c>
    </row>
    <row r="24" spans="1:30" s="426" customFormat="1" x14ac:dyDescent="0.2">
      <c r="C24" s="432" t="s">
        <v>294</v>
      </c>
      <c r="D24" s="431" t="s">
        <v>207</v>
      </c>
      <c r="E24" s="430" t="s">
        <v>207</v>
      </c>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87" t="s">
        <v>207</v>
      </c>
      <c r="E27" s="486"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162</vt:i4>
      </vt:variant>
    </vt:vector>
  </HeadingPairs>
  <TitlesOfParts>
    <vt:vector size="20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2014-01-30T23:50:53Z</dcterms:modified>
</cp:coreProperties>
</file>
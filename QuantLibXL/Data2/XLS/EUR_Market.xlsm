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Futures3M!$AC$6:$AD$10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33" i="22"/>
  <c r="X7" i="22"/>
  <c r="X30" i="22"/>
  <c r="X5" i="22"/>
  <c r="X29" i="22"/>
  <c r="X15" i="22"/>
  <c r="X22" i="22"/>
  <c r="X28" i="22"/>
  <c r="X13" i="22"/>
  <c r="X6" i="22"/>
  <c r="X18" i="22"/>
  <c r="X27" i="22"/>
  <c r="X21" i="22"/>
  <c r="X25" i="22"/>
  <c r="X10" i="22"/>
  <c r="X9" i="22"/>
  <c r="X11" i="22"/>
  <c r="X17" i="22"/>
  <c r="X31" i="22"/>
  <c r="X26" i="22"/>
  <c r="X20" i="22"/>
  <c r="X12" i="22"/>
  <c r="X14" i="22"/>
  <c r="X16" i="22"/>
  <c r="X24" i="22"/>
  <c r="X32" i="22"/>
  <c r="X19" i="22"/>
  <c r="X23" i="22"/>
  <c r="X8" i="22"/>
  <c r="AG6" i="23" l="1"/>
  <c r="N7" i="23"/>
  <c r="U7" i="23"/>
  <c r="AG7" i="23" l="1"/>
  <c r="N8" i="23"/>
  <c r="U8" i="23"/>
  <c r="AG8" i="23" l="1"/>
  <c r="N9" i="23"/>
  <c r="U9" i="23"/>
  <c r="AG9" i="23" l="1"/>
  <c r="N10" i="23"/>
  <c r="U10" i="23"/>
  <c r="AG10" i="23" l="1"/>
  <c r="N11" i="23"/>
  <c r="N12" i="23"/>
  <c r="N13" i="23"/>
  <c r="N14" i="23"/>
  <c r="N15" i="23"/>
  <c r="N16" i="23"/>
  <c r="N17" i="23"/>
  <c r="U12" i="23"/>
  <c r="U14" i="23"/>
  <c r="U17" i="23"/>
  <c r="U13" i="23"/>
  <c r="U11" i="23"/>
  <c r="U16"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F6" i="24" l="1"/>
  <c r="N7" i="24"/>
  <c r="U7" i="24"/>
  <c r="AF7" i="24" l="1"/>
  <c r="N8" i="24"/>
  <c r="U8" i="24"/>
  <c r="AF8" i="24" l="1"/>
  <c r="N9" i="24"/>
  <c r="U9" i="24"/>
  <c r="AF9" i="24" l="1"/>
  <c r="N10" i="24"/>
  <c r="U10" i="24"/>
  <c r="AF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32" i="24"/>
  <c r="U41" i="24"/>
  <c r="U14" i="24"/>
  <c r="U34" i="24"/>
  <c r="U29" i="24"/>
  <c r="U30" i="24"/>
  <c r="U24" i="24"/>
  <c r="U15" i="24"/>
  <c r="U47" i="24"/>
  <c r="U42" i="24"/>
  <c r="U27" i="24"/>
  <c r="U45" i="24"/>
  <c r="U44" i="24"/>
  <c r="U23" i="24"/>
  <c r="U43" i="24"/>
  <c r="U46" i="24"/>
  <c r="U12" i="24"/>
  <c r="U22" i="24"/>
  <c r="U20" i="24"/>
  <c r="U39" i="24"/>
  <c r="U17" i="24"/>
  <c r="U40" i="24"/>
  <c r="U18" i="24"/>
  <c r="U25" i="24"/>
  <c r="U13" i="24"/>
  <c r="U35" i="24"/>
  <c r="U11" i="24"/>
  <c r="U19" i="24"/>
  <c r="U28" i="24"/>
  <c r="U16" i="24"/>
  <c r="U21" i="24"/>
  <c r="U36" i="24"/>
  <c r="U38" i="24"/>
  <c r="U37" i="24"/>
  <c r="U33" i="24"/>
  <c r="U31" i="24"/>
  <c r="U26" i="24"/>
  <c r="AF42" i="24" l="1"/>
  <c r="AF26" i="24"/>
  <c r="AF18" i="24"/>
  <c r="AF20" i="24"/>
  <c r="AF12" i="24"/>
  <c r="AF41" i="24"/>
  <c r="AF33" i="24"/>
  <c r="AF25" i="24"/>
  <c r="AF46" i="24"/>
  <c r="AF38" i="24"/>
  <c r="AF30" i="24"/>
  <c r="AF14" i="24"/>
  <c r="AF43" i="24"/>
  <c r="AF35" i="24"/>
  <c r="AF27" i="24"/>
  <c r="AF19" i="24"/>
  <c r="AF11" i="24"/>
  <c r="AF34" i="24"/>
  <c r="AF39" i="24"/>
  <c r="AF31" i="24"/>
  <c r="AF23" i="24"/>
  <c r="AF15" i="24"/>
  <c r="AF44" i="24"/>
  <c r="AF36" i="24"/>
  <c r="AF28" i="24"/>
  <c r="AF17" i="24"/>
  <c r="AF22" i="24"/>
  <c r="AF40" i="24"/>
  <c r="AF32" i="24"/>
  <c r="AF24" i="24"/>
  <c r="AF16" i="24"/>
  <c r="AF45" i="24"/>
  <c r="AF37" i="24"/>
  <c r="AF29" i="24"/>
  <c r="AF21" i="24"/>
  <c r="AF13" i="24"/>
  <c r="Y6" i="24" a="1"/>
  <c r="AF47" i="24"/>
  <c r="N4" i="25"/>
  <c r="O5" i="25"/>
  <c r="Y6" i="24" l="1"/>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O6" i="25" a="1"/>
  <c r="O6" i="25" s="1"/>
  <c r="AD6" i="25"/>
  <c r="AD7" i="25"/>
  <c r="AD8" i="25"/>
  <c r="U8" i="25"/>
  <c r="U9" i="25"/>
  <c r="U7" i="25"/>
  <c r="U6" i="25"/>
  <c r="N6" i="25" a="1"/>
  <c r="N8" i="25" l="1"/>
  <c r="N6" i="25"/>
  <c r="N7" i="25"/>
  <c r="N9" i="25"/>
  <c r="O9" i="25"/>
  <c r="O7" i="25"/>
  <c r="O8" i="25"/>
  <c r="Z6" i="25" a="1"/>
  <c r="Z9" i="25" s="1"/>
  <c r="Z6" i="25" l="1"/>
  <c r="Z7" i="25"/>
  <c r="Z8" i="25"/>
  <c r="AD9" i="25"/>
  <c r="H5"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12" i="29"/>
  <c r="Z11" i="29"/>
  <c r="Z6" i="29"/>
  <c r="Z7" i="29"/>
  <c r="Z14" i="29"/>
  <c r="Z13" i="29"/>
  <c r="Z8" i="29"/>
  <c r="Z5" i="29"/>
  <c r="Z10" i="29"/>
  <c r="Z9"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10" i="30"/>
  <c r="Z8" i="30"/>
  <c r="Z5" i="30"/>
  <c r="Z7" i="30"/>
  <c r="Z9"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6" i="31"/>
  <c r="X17" i="31"/>
  <c r="R16" i="31" l="1"/>
  <c r="AB16" i="31" s="1"/>
  <c r="R17" i="3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19" i="31"/>
  <c r="AD17" i="31"/>
  <c r="AD40" i="31"/>
  <c r="AD9" i="31"/>
  <c r="AD34" i="31"/>
  <c r="AD20" i="31"/>
  <c r="AD8" i="31"/>
  <c r="AD35" i="31"/>
  <c r="AD6" i="31"/>
  <c r="AD42" i="31"/>
  <c r="AD23" i="31"/>
  <c r="AD24" i="31"/>
  <c r="AD15" i="31"/>
  <c r="AD29" i="31"/>
  <c r="AD16" i="31"/>
  <c r="AD11" i="31"/>
  <c r="AD31" i="31"/>
  <c r="AD32" i="31"/>
  <c r="AD12" i="31"/>
  <c r="AD25" i="31"/>
  <c r="AD26" i="31"/>
  <c r="AD30" i="31"/>
  <c r="AD14" i="31"/>
  <c r="AD10" i="31"/>
  <c r="AD5" i="31"/>
  <c r="AD27" i="31"/>
  <c r="AD36" i="31"/>
  <c r="AD39" i="31"/>
  <c r="AD37" i="31"/>
  <c r="AD38" i="31"/>
  <c r="AD7" i="31"/>
  <c r="AD41" i="31"/>
  <c r="AD22" i="31"/>
  <c r="AD21" i="31"/>
  <c r="AD28" i="31"/>
  <c r="AD13" i="31"/>
  <c r="AD18" i="31"/>
  <c r="AD33"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S5" i="32" s="1" a="1"/>
  <c r="X42" i="32"/>
  <c r="AB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J42" i="32"/>
  <c r="S4" i="17"/>
  <c r="AB5" i="32" l="1"/>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1" i="28"/>
  <c r="Y50" i="28"/>
  <c r="Y54" i="28"/>
  <c r="Y55" i="28"/>
  <c r="Y53"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13" i="48"/>
  <c r="J36" i="47"/>
  <c r="J24" i="47"/>
  <c r="J14" i="47"/>
  <c r="J9" i="49"/>
  <c r="J34" i="47"/>
  <c r="J33" i="50"/>
  <c r="J17" i="49"/>
  <c r="J37" i="48"/>
  <c r="J26" i="50"/>
  <c r="J26" i="49"/>
  <c r="J15" i="48"/>
  <c r="J18" i="50"/>
  <c r="J35" i="50"/>
  <c r="J15" i="50"/>
  <c r="J19" i="49"/>
  <c r="J38" i="48"/>
  <c r="J37" i="49"/>
  <c r="J26" i="48"/>
  <c r="J6" i="48"/>
  <c r="J19" i="47"/>
  <c r="J35" i="47"/>
  <c r="J19" i="50"/>
  <c r="J24" i="49"/>
  <c r="J36" i="48"/>
  <c r="J17" i="48"/>
  <c r="J31" i="50"/>
  <c r="J4" i="49"/>
  <c r="J36" i="49"/>
  <c r="J28" i="48"/>
  <c r="J25" i="50"/>
  <c r="J15" i="49"/>
  <c r="J31" i="47"/>
  <c r="J17" i="50"/>
  <c r="J24" i="50"/>
  <c r="J29" i="49"/>
  <c r="J13" i="49"/>
  <c r="J39" i="47"/>
  <c r="J10" i="48"/>
  <c r="J31" i="49"/>
  <c r="J5" i="47"/>
  <c r="J16" i="49"/>
  <c r="J9" i="47"/>
  <c r="J10" i="47"/>
  <c r="J30" i="50"/>
  <c r="J27" i="49"/>
  <c r="J22" i="49"/>
  <c r="J38" i="47"/>
  <c r="J7" i="48"/>
  <c r="J21" i="48"/>
  <c r="J22" i="50"/>
  <c r="J37" i="47"/>
  <c r="J7" i="50"/>
  <c r="J30" i="49"/>
  <c r="J29" i="50"/>
  <c r="J38" i="50"/>
  <c r="J5" i="50"/>
  <c r="J26" i="47"/>
  <c r="J11" i="49"/>
  <c r="J29" i="48"/>
  <c r="J12" i="48"/>
  <c r="J32" i="49"/>
  <c r="J4" i="50"/>
  <c r="J16" i="47"/>
  <c r="J6" i="47"/>
  <c r="J27" i="48"/>
  <c r="J20" i="48"/>
  <c r="J13" i="47"/>
  <c r="J30" i="48"/>
  <c r="J29" i="47"/>
  <c r="J23" i="50"/>
  <c r="J34" i="48"/>
  <c r="J14" i="48"/>
  <c r="J28" i="50"/>
  <c r="J24" i="48"/>
  <c r="J31" i="48"/>
  <c r="J21" i="49"/>
  <c r="J6" i="50"/>
  <c r="J28" i="49"/>
  <c r="J33" i="48"/>
  <c r="J3" i="50"/>
  <c r="J12" i="49"/>
  <c r="J28" i="47"/>
  <c r="J17" i="47"/>
  <c r="J3" i="49"/>
  <c r="K11" i="50"/>
  <c r="J4" i="48"/>
  <c r="J8" i="50"/>
  <c r="J12" i="47"/>
  <c r="J12" i="50"/>
  <c r="J16" i="48"/>
  <c r="J8" i="48"/>
  <c r="J25" i="48"/>
  <c r="J20" i="47"/>
  <c r="J39" i="49"/>
  <c r="J22" i="48"/>
  <c r="J32" i="48"/>
  <c r="J14" i="50"/>
  <c r="J37" i="50"/>
  <c r="J7" i="47"/>
  <c r="J35" i="48"/>
  <c r="J34" i="49"/>
  <c r="J11" i="48"/>
  <c r="J5" i="49"/>
  <c r="J3" i="48"/>
  <c r="J22" i="47"/>
  <c r="J18" i="48"/>
  <c r="J35" i="49"/>
  <c r="J23" i="48"/>
  <c r="J10" i="49"/>
  <c r="J11" i="47"/>
  <c r="J27" i="47"/>
  <c r="J3" i="47"/>
  <c r="J34" i="50"/>
  <c r="J32" i="50"/>
  <c r="J19" i="48"/>
  <c r="J38" i="49"/>
  <c r="J8" i="47"/>
  <c r="J33" i="47"/>
  <c r="J16" i="50"/>
  <c r="J9" i="50"/>
  <c r="J27" i="50"/>
  <c r="J13" i="50"/>
  <c r="J21" i="50"/>
  <c r="J18" i="49"/>
  <c r="J14" i="49"/>
  <c r="K33" i="50"/>
  <c r="J23" i="47"/>
  <c r="J33" i="49"/>
  <c r="J39" i="48"/>
  <c r="J20" i="49"/>
  <c r="J9" i="48"/>
  <c r="J25" i="49"/>
  <c r="J5" i="48"/>
  <c r="J4" i="47"/>
  <c r="J7" i="49"/>
  <c r="J18" i="47"/>
  <c r="J30" i="47"/>
  <c r="J15" i="47"/>
  <c r="J32" i="47"/>
  <c r="J21" i="47"/>
  <c r="J39" i="50"/>
  <c r="J20" i="50"/>
  <c r="J8" i="49"/>
  <c r="J25" i="47"/>
  <c r="J6" i="49"/>
  <c r="J10" i="50"/>
  <c r="J36" i="50"/>
  <c r="J23" i="49"/>
  <c r="J2" i="48"/>
  <c r="F2" i="45" l="1"/>
  <c r="F3" i="45"/>
  <c r="F4" i="45"/>
  <c r="F6" i="45"/>
  <c r="K17" i="48"/>
  <c r="K4" i="48"/>
  <c r="K31" i="47"/>
  <c r="K16" i="47"/>
  <c r="K23" i="48"/>
  <c r="K23" i="50"/>
  <c r="K14" i="48"/>
  <c r="K17" i="50"/>
  <c r="K9" i="49"/>
  <c r="K39" i="49"/>
  <c r="K21" i="49"/>
  <c r="K13" i="48"/>
  <c r="K32" i="49"/>
  <c r="K11" i="49"/>
  <c r="K26" i="50"/>
  <c r="K27" i="50"/>
  <c r="K29" i="47"/>
  <c r="K7" i="47"/>
  <c r="K12" i="47"/>
  <c r="K3" i="49"/>
  <c r="K21" i="48"/>
  <c r="K9" i="47"/>
  <c r="K37" i="50"/>
  <c r="K39" i="47"/>
  <c r="K6" i="50"/>
  <c r="K30" i="47"/>
  <c r="K12" i="50"/>
  <c r="K38" i="50"/>
  <c r="K26" i="49"/>
  <c r="K39" i="48"/>
  <c r="K32" i="50"/>
  <c r="K13" i="49"/>
  <c r="K10" i="48"/>
  <c r="K11" i="47"/>
  <c r="K3" i="47"/>
  <c r="K30" i="50"/>
  <c r="K9" i="50"/>
  <c r="K32" i="47"/>
  <c r="K34" i="48"/>
  <c r="K39" i="50"/>
  <c r="K7" i="49"/>
  <c r="K19" i="49"/>
  <c r="K31" i="50"/>
  <c r="K4" i="47"/>
  <c r="K35" i="48"/>
  <c r="K25" i="50"/>
  <c r="K28" i="47"/>
  <c r="K13" i="47"/>
  <c r="K20" i="50"/>
  <c r="K22" i="47"/>
  <c r="K28" i="49"/>
  <c r="K37" i="48"/>
  <c r="K37" i="49"/>
  <c r="D7" i="45" a="1"/>
  <c r="K10" i="50"/>
  <c r="K9" i="48"/>
  <c r="K18" i="48"/>
  <c r="K14" i="50"/>
  <c r="K33" i="48"/>
  <c r="K29" i="48"/>
  <c r="K34" i="50"/>
  <c r="K26" i="48"/>
  <c r="K36" i="49"/>
  <c r="K19" i="48"/>
  <c r="K19" i="50"/>
  <c r="K10" i="49"/>
  <c r="K15" i="49"/>
  <c r="K30" i="49"/>
  <c r="K6" i="49"/>
  <c r="K27" i="48"/>
  <c r="K5" i="49"/>
  <c r="K16" i="50"/>
  <c r="K33" i="49"/>
  <c r="K13" i="50"/>
  <c r="K36" i="48"/>
  <c r="K18" i="47"/>
  <c r="K24" i="49"/>
  <c r="K33" i="47"/>
  <c r="K15" i="48"/>
  <c r="K12" i="48"/>
  <c r="K16" i="49"/>
  <c r="K15" i="47"/>
  <c r="K31" i="49"/>
  <c r="K18" i="50"/>
  <c r="K23" i="49"/>
  <c r="K5" i="50"/>
  <c r="K27" i="47"/>
  <c r="K29" i="49"/>
  <c r="K5" i="48"/>
  <c r="K35" i="50"/>
  <c r="K3" i="48"/>
  <c r="K27" i="49"/>
  <c r="K23" i="47"/>
  <c r="K20" i="48"/>
  <c r="K38" i="47"/>
  <c r="K7" i="48"/>
  <c r="K8" i="48"/>
  <c r="K38" i="49"/>
  <c r="K24" i="50"/>
  <c r="K8" i="49"/>
  <c r="K37" i="47"/>
  <c r="K7" i="50"/>
  <c r="K25" i="48"/>
  <c r="K5" i="47"/>
  <c r="K36" i="47"/>
  <c r="K12" i="49"/>
  <c r="K24" i="47"/>
  <c r="K14" i="47"/>
  <c r="K30" i="48"/>
  <c r="K25" i="47"/>
  <c r="K20" i="47"/>
  <c r="K36" i="50"/>
  <c r="K32" i="48"/>
  <c r="K3" i="50"/>
  <c r="K26" i="47"/>
  <c r="K28" i="48"/>
  <c r="K34" i="49"/>
  <c r="K38" i="48"/>
  <c r="K6" i="48"/>
  <c r="K18" i="49"/>
  <c r="K20" i="49"/>
  <c r="K22" i="50"/>
  <c r="K6" i="47"/>
  <c r="K10" i="47"/>
  <c r="K8" i="50"/>
  <c r="K17" i="47"/>
  <c r="K25" i="49"/>
  <c r="K17" i="49"/>
  <c r="K35" i="49"/>
  <c r="K31" i="48"/>
  <c r="K21" i="47"/>
  <c r="K4" i="49"/>
  <c r="K22" i="48"/>
  <c r="K19" i="47"/>
  <c r="K22" i="49"/>
  <c r="K28" i="50"/>
  <c r="K16" i="48"/>
  <c r="K15" i="50"/>
  <c r="K8" i="47"/>
  <c r="K34" i="47"/>
  <c r="K14" i="49"/>
  <c r="K35" i="47"/>
  <c r="K11" i="48"/>
  <c r="K4" i="50"/>
  <c r="K21" i="50"/>
  <c r="K29" i="50"/>
  <c r="K24" i="48"/>
  <c r="J2" i="49"/>
  <c r="J2" i="47"/>
  <c r="J2" i="50"/>
  <c r="K2" i="48"/>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50"/>
  <c r="K2" i="49"/>
  <c r="K2" i="47"/>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6" i="42"/>
  <c r="L29" i="41"/>
  <c r="L28" i="41"/>
  <c r="L35" i="42"/>
  <c r="L13" i="42"/>
  <c r="L31" i="42"/>
  <c r="L15" i="42"/>
  <c r="L30" i="42"/>
  <c r="L9" i="41"/>
  <c r="L23" i="42"/>
  <c r="L17" i="42"/>
  <c r="L3" i="43"/>
  <c r="L16" i="41"/>
  <c r="L32" i="41"/>
  <c r="L11" i="41"/>
  <c r="L31" i="41"/>
  <c r="L14" i="42"/>
  <c r="L13" i="41"/>
  <c r="L21" i="41"/>
  <c r="L10" i="41"/>
  <c r="L20" i="41"/>
  <c r="L25" i="42"/>
  <c r="L4" i="42"/>
  <c r="L34" i="42"/>
  <c r="L32" i="42"/>
  <c r="L9" i="42"/>
  <c r="L3" i="40"/>
  <c r="L28" i="42"/>
  <c r="L6" i="41"/>
  <c r="L5" i="41"/>
  <c r="L26" i="41"/>
  <c r="L8" i="42"/>
  <c r="L7" i="42"/>
  <c r="L22" i="42"/>
  <c r="L26" i="42"/>
  <c r="L29" i="42"/>
  <c r="L10" i="42"/>
  <c r="L12" i="41"/>
  <c r="L14" i="41"/>
  <c r="L3" i="41"/>
  <c r="L27" i="41"/>
  <c r="L22" i="41"/>
  <c r="L8" i="41"/>
  <c r="L34" i="41"/>
  <c r="L24" i="41"/>
  <c r="L17" i="41"/>
  <c r="L12" i="42"/>
  <c r="L36" i="41"/>
  <c r="L21" i="42"/>
  <c r="L30" i="41"/>
  <c r="L19" i="42"/>
  <c r="L20" i="42"/>
  <c r="L5" i="42"/>
  <c r="L15" i="41"/>
  <c r="L24" i="42"/>
  <c r="L27" i="42"/>
  <c r="L33" i="41"/>
  <c r="L3" i="42"/>
  <c r="L23" i="41"/>
  <c r="L19" i="41"/>
  <c r="L18" i="41"/>
  <c r="L25" i="41"/>
  <c r="L6" i="42"/>
  <c r="L36" i="42"/>
  <c r="L4" i="41"/>
  <c r="L33" i="42"/>
  <c r="L35" i="41"/>
  <c r="L7" i="41"/>
  <c r="L18" i="42"/>
  <c r="L11" i="42"/>
  <c r="G101" i="45"/>
  <c r="G51" i="45"/>
  <c r="G118" i="45"/>
  <c r="G116" i="45"/>
  <c r="G8" i="45"/>
  <c r="G52" i="45"/>
  <c r="G87" i="45"/>
  <c r="G108" i="45"/>
  <c r="G36" i="45"/>
  <c r="G78" i="45"/>
  <c r="G111" i="45"/>
  <c r="G26" i="45"/>
  <c r="G77" i="45"/>
  <c r="G67" i="45"/>
  <c r="G34" i="45"/>
  <c r="G105" i="45"/>
  <c r="G92" i="45"/>
  <c r="G79" i="45"/>
  <c r="G59" i="45"/>
  <c r="G114" i="45"/>
  <c r="G60" i="45"/>
  <c r="G45" i="45"/>
  <c r="G68" i="45"/>
  <c r="G104" i="45"/>
  <c r="G102" i="45"/>
  <c r="G93" i="45"/>
  <c r="G72" i="45"/>
  <c r="G53" i="45"/>
  <c r="G12" i="45"/>
  <c r="G33" i="45"/>
  <c r="G21" i="45"/>
  <c r="G18" i="45"/>
  <c r="G70" i="45"/>
  <c r="G86" i="45"/>
  <c r="G98" i="45"/>
  <c r="G97" i="45"/>
  <c r="G62" i="45"/>
  <c r="G20" i="45"/>
  <c r="G11" i="45"/>
  <c r="G91" i="45"/>
  <c r="G47" i="45"/>
  <c r="G103" i="45"/>
  <c r="G119" i="45"/>
  <c r="G81" i="45"/>
  <c r="G19" i="45"/>
  <c r="G31" i="45"/>
  <c r="G9" i="45"/>
  <c r="G95" i="45"/>
  <c r="G88" i="45"/>
  <c r="G65" i="45"/>
  <c r="G110" i="45"/>
  <c r="G123" i="45"/>
  <c r="G54" i="45"/>
  <c r="G61" i="45"/>
  <c r="G49" i="45"/>
  <c r="G120" i="45"/>
  <c r="G125" i="45"/>
  <c r="G57" i="45"/>
  <c r="G55" i="45"/>
  <c r="G83" i="45"/>
  <c r="G71" i="45"/>
  <c r="G124" i="45"/>
  <c r="G40" i="45"/>
  <c r="G112" i="45"/>
  <c r="G32" i="45"/>
  <c r="G28" i="45"/>
  <c r="G44" i="45"/>
  <c r="G24" i="45"/>
  <c r="G107" i="45"/>
  <c r="G80" i="45"/>
  <c r="G27" i="45"/>
  <c r="G50" i="45"/>
  <c r="G43" i="45"/>
  <c r="G35" i="45"/>
  <c r="G85" i="45"/>
  <c r="G14" i="45"/>
  <c r="G100" i="45"/>
  <c r="G48" i="45"/>
  <c r="G113" i="45"/>
  <c r="G13" i="45"/>
  <c r="G96" i="45"/>
  <c r="G10" i="45"/>
  <c r="G23" i="45"/>
  <c r="G15" i="45"/>
  <c r="G66" i="45"/>
  <c r="G58" i="45"/>
  <c r="G90" i="45"/>
  <c r="G117" i="45"/>
  <c r="G64" i="45"/>
  <c r="G37" i="45"/>
  <c r="G39" i="45"/>
  <c r="G16" i="45"/>
  <c r="G82" i="45"/>
  <c r="G41" i="45"/>
  <c r="G25" i="45"/>
  <c r="G74" i="45"/>
  <c r="G122" i="45"/>
  <c r="G7" i="45"/>
  <c r="G63" i="45"/>
  <c r="G126" i="45"/>
  <c r="G109" i="45"/>
  <c r="G75" i="45"/>
  <c r="G73" i="45"/>
  <c r="G106" i="45"/>
  <c r="G89" i="45"/>
  <c r="G29" i="45"/>
  <c r="G76" i="45"/>
  <c r="G69" i="45"/>
  <c r="G22" i="45"/>
  <c r="G115" i="45"/>
  <c r="G30" i="45"/>
  <c r="G84" i="45"/>
  <c r="G46" i="45"/>
  <c r="G99" i="45"/>
  <c r="G17" i="45"/>
  <c r="G38" i="45"/>
  <c r="G56" i="45"/>
  <c r="G121" i="45"/>
  <c r="G42" i="45"/>
  <c r="G94"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2" i="43"/>
  <c r="K7" i="40"/>
  <c r="K31" i="40"/>
  <c r="K9" i="43"/>
  <c r="K5" i="43"/>
  <c r="K35" i="43"/>
  <c r="K35" i="40"/>
  <c r="K33" i="43"/>
  <c r="H36" i="45"/>
  <c r="H14" i="45"/>
  <c r="H60" i="45"/>
  <c r="H45" i="45"/>
  <c r="H54" i="45"/>
  <c r="K25" i="43"/>
  <c r="K17" i="43"/>
  <c r="K21" i="43"/>
  <c r="K28" i="40"/>
  <c r="K13" i="40"/>
  <c r="K23" i="43"/>
  <c r="K29" i="43"/>
  <c r="K26" i="43"/>
  <c r="H16" i="45"/>
  <c r="H13" i="45"/>
  <c r="H30" i="45"/>
  <c r="H21" i="45"/>
  <c r="H90" i="45"/>
  <c r="K10" i="43"/>
  <c r="K30" i="43"/>
  <c r="K7" i="43"/>
  <c r="H99" i="45"/>
  <c r="H7" i="45"/>
  <c r="H69" i="45"/>
  <c r="H8" i="45"/>
  <c r="K20" i="43"/>
  <c r="K24" i="40"/>
  <c r="K13" i="43"/>
  <c r="K27" i="40"/>
  <c r="H108" i="45"/>
  <c r="H17" i="45"/>
  <c r="K6" i="43"/>
  <c r="H24" i="45"/>
  <c r="H9" i="45"/>
  <c r="K9" i="40"/>
  <c r="K34" i="40"/>
  <c r="H18" i="45"/>
  <c r="K17" i="40"/>
  <c r="K28" i="43"/>
  <c r="K31" i="43"/>
  <c r="K27" i="43"/>
  <c r="K19" i="43"/>
  <c r="K19" i="40"/>
  <c r="K15" i="40"/>
  <c r="K16" i="40"/>
  <c r="K14" i="40"/>
  <c r="H75" i="45"/>
  <c r="H33" i="45"/>
  <c r="H12" i="45"/>
  <c r="H93" i="45"/>
  <c r="H15" i="45"/>
  <c r="K8" i="43"/>
  <c r="K36" i="40"/>
  <c r="K24" i="43"/>
  <c r="K33" i="40"/>
  <c r="K34" i="43"/>
  <c r="K32" i="40"/>
  <c r="H66" i="45"/>
  <c r="K8" i="40"/>
  <c r="K25" i="40"/>
  <c r="K4" i="43"/>
  <c r="H48" i="45"/>
  <c r="H10" i="45"/>
  <c r="H102" i="45"/>
  <c r="H27" i="45"/>
  <c r="K30" i="40"/>
  <c r="K36" i="43"/>
  <c r="H72" i="45"/>
  <c r="K11" i="40"/>
  <c r="K6" i="40"/>
  <c r="K12" i="43"/>
  <c r="K18" i="43"/>
  <c r="K20" i="40"/>
  <c r="K23" i="40"/>
  <c r="K4" i="40"/>
  <c r="K21" i="40"/>
  <c r="H78" i="45"/>
  <c r="H57" i="45"/>
  <c r="H87" i="45"/>
  <c r="H39" i="45"/>
  <c r="H84" i="45"/>
  <c r="H105" i="45"/>
  <c r="K29" i="40"/>
  <c r="K12" i="40"/>
  <c r="K15" i="43"/>
  <c r="K16" i="43"/>
  <c r="K10" i="40"/>
  <c r="K14" i="43"/>
  <c r="K26" i="40"/>
  <c r="K11" i="43"/>
  <c r="H51" i="45"/>
  <c r="H96" i="45"/>
  <c r="H81" i="45"/>
  <c r="H42" i="45"/>
  <c r="H11" i="45"/>
  <c r="K22" i="40"/>
  <c r="K22" i="43"/>
  <c r="K18" i="40"/>
  <c r="K5" i="40"/>
  <c r="H63" i="45"/>
  <c r="H92" i="45"/>
  <c r="H86" i="45"/>
  <c r="H82" i="45"/>
  <c r="H114" i="45"/>
  <c r="H32" i="45"/>
  <c r="H37" i="45"/>
  <c r="H110" i="45"/>
  <c r="H100" i="45"/>
  <c r="H116" i="45"/>
  <c r="H83" i="45"/>
  <c r="H79" i="45"/>
  <c r="H119" i="45"/>
  <c r="H121" i="45"/>
  <c r="H124" i="45"/>
  <c r="H65" i="45"/>
  <c r="H73" i="45"/>
  <c r="H50" i="45"/>
  <c r="H26" i="45"/>
  <c r="H94" i="45"/>
  <c r="H95" i="45"/>
  <c r="H40" i="45"/>
  <c r="H52" i="45"/>
  <c r="H101" i="45"/>
  <c r="H61" i="45"/>
  <c r="H35" i="45"/>
  <c r="H77" i="45"/>
  <c r="H59" i="45"/>
  <c r="H85" i="45"/>
  <c r="H68" i="45"/>
  <c r="H88" i="45"/>
  <c r="H19" i="45"/>
  <c r="H38" i="45"/>
  <c r="H34" i="45"/>
  <c r="H98" i="45"/>
  <c r="H55" i="45"/>
  <c r="H126" i="45"/>
  <c r="K2" i="41"/>
  <c r="K2" i="40"/>
  <c r="H111" i="45"/>
  <c r="H120" i="45"/>
  <c r="H25" i="45"/>
  <c r="H44" i="45"/>
  <c r="H62" i="45"/>
  <c r="H118" i="45"/>
  <c r="H115" i="45"/>
  <c r="H70" i="45"/>
  <c r="H104" i="45"/>
  <c r="H117" i="45"/>
  <c r="H107" i="45"/>
  <c r="H53" i="45"/>
  <c r="H113" i="45"/>
  <c r="H43" i="45"/>
  <c r="H106" i="45"/>
  <c r="H49" i="45"/>
  <c r="H103" i="45"/>
  <c r="H112" i="45"/>
  <c r="H22" i="45"/>
  <c r="H91" i="45"/>
  <c r="H31" i="45"/>
  <c r="H20" i="45"/>
  <c r="H47" i="45"/>
  <c r="H64" i="45"/>
  <c r="H29" i="45"/>
  <c r="H71" i="45"/>
  <c r="H74" i="45"/>
  <c r="H122" i="45"/>
  <c r="H28" i="45"/>
  <c r="H125" i="45"/>
  <c r="H23" i="45"/>
  <c r="H56" i="45"/>
  <c r="H123" i="45"/>
  <c r="H109" i="45"/>
  <c r="H41" i="45"/>
  <c r="H58" i="45"/>
  <c r="H89" i="45"/>
  <c r="H80" i="45"/>
  <c r="H97" i="45"/>
  <c r="H67" i="45"/>
  <c r="H76" i="45"/>
  <c r="H46" i="45"/>
  <c r="J2" i="42" l="1"/>
  <c r="J2" i="43"/>
  <c r="C1" i="38"/>
  <c r="L26" i="40"/>
  <c r="L10" i="43"/>
  <c r="L33" i="40"/>
  <c r="L22" i="43"/>
  <c r="L25" i="43"/>
  <c r="L34" i="40"/>
  <c r="L32" i="43"/>
  <c r="L24" i="43"/>
  <c r="L23" i="40"/>
  <c r="L11" i="43"/>
  <c r="L10" i="40"/>
  <c r="L20" i="43"/>
  <c r="L6" i="40"/>
  <c r="L30" i="40"/>
  <c r="L21" i="43"/>
  <c r="L13" i="43"/>
  <c r="L25" i="40"/>
  <c r="L9" i="43"/>
  <c r="L32" i="40"/>
  <c r="L7" i="43"/>
  <c r="L34" i="43"/>
  <c r="L29" i="43"/>
  <c r="L6" i="43"/>
  <c r="L22" i="40"/>
  <c r="L36" i="40"/>
  <c r="L8" i="40"/>
  <c r="L35" i="40"/>
  <c r="L28" i="43"/>
  <c r="L18" i="40"/>
  <c r="L13" i="40"/>
  <c r="L20" i="40"/>
  <c r="L11" i="40"/>
  <c r="L18" i="43"/>
  <c r="L4" i="40"/>
  <c r="L26" i="43"/>
  <c r="L31" i="40"/>
  <c r="L24" i="40"/>
  <c r="L19" i="43"/>
  <c r="L15" i="40"/>
  <c r="L4" i="43"/>
  <c r="L27" i="43"/>
  <c r="L21" i="40"/>
  <c r="L14" i="40"/>
  <c r="L27" i="40"/>
  <c r="L8" i="43"/>
  <c r="L35" i="43"/>
  <c r="L29" i="40"/>
  <c r="L33" i="43"/>
  <c r="L36" i="43"/>
  <c r="L30" i="43"/>
  <c r="L5" i="43"/>
  <c r="L19" i="40"/>
  <c r="L17" i="40"/>
  <c r="L14" i="43"/>
  <c r="L7" i="40"/>
  <c r="L16" i="43"/>
  <c r="L23" i="43"/>
  <c r="L5" i="40"/>
  <c r="L9" i="40"/>
  <c r="L16" i="40"/>
  <c r="L28" i="40"/>
  <c r="L31" i="43"/>
  <c r="L15" i="43"/>
  <c r="L12" i="40"/>
  <c r="L17" i="43"/>
  <c r="L12" i="43"/>
  <c r="K2" i="43"/>
  <c r="L2" i="41"/>
  <c r="L2" i="40"/>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6" i="38"/>
  <c r="D61" i="38"/>
  <c r="D28" i="38"/>
  <c r="D49" i="38"/>
  <c r="D21" i="38"/>
  <c r="D33" i="38"/>
  <c r="D43" i="38"/>
  <c r="D42" i="38"/>
  <c r="D19" i="38"/>
  <c r="D13" i="38"/>
  <c r="D40" i="38"/>
  <c r="D25" i="38"/>
  <c r="D64" i="38"/>
  <c r="D50" i="38"/>
  <c r="D9" i="38"/>
  <c r="D41" i="38"/>
  <c r="D52" i="38"/>
  <c r="D34" i="38"/>
  <c r="D22" i="38"/>
  <c r="D53" i="38"/>
  <c r="D24" i="38"/>
  <c r="D32" i="38"/>
  <c r="D36" i="38"/>
  <c r="D27" i="38"/>
  <c r="D5" i="38"/>
  <c r="D30" i="38"/>
  <c r="D3" i="38"/>
  <c r="D8" i="38"/>
  <c r="D23" i="38"/>
  <c r="D37" i="38"/>
  <c r="D20" i="38"/>
  <c r="D54" i="38"/>
  <c r="D7" i="38"/>
  <c r="D45" i="38"/>
  <c r="D44" i="38"/>
  <c r="D12" i="38"/>
  <c r="D15" i="38"/>
  <c r="D55" i="38"/>
  <c r="D16" i="38"/>
  <c r="D11" i="38"/>
  <c r="D48" i="38"/>
  <c r="D60" i="38"/>
  <c r="D51" i="38"/>
  <c r="D4" i="38"/>
  <c r="D56" i="38"/>
  <c r="D17" i="38"/>
  <c r="D35" i="38"/>
  <c r="D14" i="38"/>
  <c r="D26" i="38"/>
  <c r="D63" i="38"/>
  <c r="D46" i="38"/>
  <c r="D62" i="38"/>
  <c r="D29" i="38"/>
  <c r="D38" i="38"/>
  <c r="D18" i="38"/>
  <c r="D58" i="38"/>
  <c r="D31" i="38"/>
  <c r="D57" i="38"/>
  <c r="D59" i="38"/>
  <c r="D39" i="38"/>
  <c r="D10" i="38"/>
  <c r="D47" i="38"/>
  <c r="L2" i="43"/>
  <c r="L2" i="42"/>
  <c r="C2" i="37" l="1"/>
  <c r="C3" i="37"/>
  <c r="C4" i="37"/>
  <c r="C5" i="37"/>
  <c r="C6" i="37"/>
  <c r="C7" i="37"/>
  <c r="C8" i="37"/>
  <c r="C9" i="37"/>
  <c r="C10" i="37"/>
  <c r="C11" i="37"/>
  <c r="C12" i="37"/>
  <c r="C13" i="37"/>
  <c r="C14" i="37"/>
  <c r="C15" i="37"/>
  <c r="C16" i="37"/>
  <c r="C1" i="36"/>
  <c r="E61" i="38"/>
  <c r="E16" i="38"/>
  <c r="E49" i="38"/>
  <c r="D14" i="37"/>
  <c r="E41" i="38"/>
  <c r="E63" i="38"/>
  <c r="E27" i="38"/>
  <c r="E35" i="38"/>
  <c r="D3" i="37"/>
  <c r="E17" i="38"/>
  <c r="E57" i="38"/>
  <c r="E19" i="38"/>
  <c r="E15" i="38"/>
  <c r="E37" i="38"/>
  <c r="E12" i="38"/>
  <c r="D9" i="37"/>
  <c r="E24" i="38"/>
  <c r="E7" i="38"/>
  <c r="E48" i="38"/>
  <c r="D12" i="37"/>
  <c r="E32" i="38"/>
  <c r="E59" i="38"/>
  <c r="D11" i="37"/>
  <c r="E51" i="38"/>
  <c r="E60" i="38"/>
  <c r="E46" i="38"/>
  <c r="E26" i="38"/>
  <c r="D4" i="37"/>
  <c r="E25" i="38"/>
  <c r="E62" i="38"/>
  <c r="E18" i="38"/>
  <c r="E10" i="38"/>
  <c r="D5" i="37"/>
  <c r="E52" i="38"/>
  <c r="E58" i="38"/>
  <c r="E5" i="38"/>
  <c r="E36" i="38"/>
  <c r="E14" i="38"/>
  <c r="E42" i="38"/>
  <c r="E38" i="38"/>
  <c r="E30" i="38"/>
  <c r="E44" i="38"/>
  <c r="E39" i="38"/>
  <c r="E64" i="38"/>
  <c r="E45" i="38"/>
  <c r="E34" i="38"/>
  <c r="E11" i="38"/>
  <c r="E33" i="38"/>
  <c r="E9" i="38"/>
  <c r="E23" i="38"/>
  <c r="E13" i="38"/>
  <c r="E28" i="38"/>
  <c r="E43" i="38"/>
  <c r="E54" i="38"/>
  <c r="E47" i="38"/>
  <c r="E21" i="38"/>
  <c r="D16" i="37"/>
  <c r="E55" i="38"/>
  <c r="E56" i="38"/>
  <c r="E22" i="38"/>
  <c r="D6" i="37"/>
  <c r="D13" i="37"/>
  <c r="E8" i="38"/>
  <c r="E29" i="38"/>
  <c r="D8" i="37"/>
  <c r="E6" i="38"/>
  <c r="E20" i="38"/>
  <c r="E4" i="38"/>
  <c r="E31" i="38"/>
  <c r="D10" i="37"/>
  <c r="D15" i="37"/>
  <c r="E53" i="38"/>
  <c r="E40" i="38"/>
  <c r="E3" i="38"/>
  <c r="E50" i="38"/>
  <c r="D7" i="37"/>
  <c r="C2" i="36" l="1"/>
  <c r="C3" i="36"/>
  <c r="C4" i="36"/>
  <c r="C5" i="36"/>
  <c r="C6" i="36"/>
  <c r="C7" i="36"/>
  <c r="C8" i="36"/>
  <c r="C9" i="36"/>
  <c r="C10" i="36"/>
  <c r="C11" i="36"/>
  <c r="C12" i="36"/>
  <c r="C13" i="36"/>
  <c r="C1" i="35"/>
  <c r="E16" i="37"/>
  <c r="D7" i="36"/>
  <c r="D3" i="36"/>
  <c r="E5" i="37"/>
  <c r="E7" i="37"/>
  <c r="D8" i="36"/>
  <c r="D5" i="36"/>
  <c r="E11" i="37"/>
  <c r="E14" i="37"/>
  <c r="D10" i="36"/>
  <c r="E15" i="37"/>
  <c r="E9" i="37"/>
  <c r="E4" i="37"/>
  <c r="E10" i="37"/>
  <c r="D11" i="36"/>
  <c r="D12" i="36"/>
  <c r="D9" i="36"/>
  <c r="E3" i="37"/>
  <c r="E8" i="37"/>
  <c r="E6" i="37"/>
  <c r="D4" i="36"/>
  <c r="D13" i="36"/>
  <c r="E13" i="37"/>
  <c r="E12" i="37"/>
  <c r="D6" i="36"/>
  <c r="C2" i="35" l="1"/>
  <c r="C3" i="35"/>
  <c r="C4" i="35"/>
  <c r="C5" i="35"/>
  <c r="C6" i="35"/>
  <c r="C7" i="35"/>
  <c r="C8" i="35"/>
  <c r="C9" i="35"/>
  <c r="C10" i="35"/>
  <c r="C11" i="35"/>
  <c r="C2" i="34"/>
  <c r="C3" i="34"/>
  <c r="C4" i="34"/>
  <c r="E4" i="36"/>
  <c r="E9" i="36"/>
  <c r="E11" i="36"/>
  <c r="D5" i="35"/>
  <c r="D7" i="35"/>
  <c r="D10" i="35"/>
  <c r="D4" i="34"/>
  <c r="E8" i="36"/>
  <c r="D11" i="35"/>
  <c r="E6" i="36"/>
  <c r="E10" i="36"/>
  <c r="E3" i="36"/>
  <c r="E7" i="36"/>
  <c r="E13" i="36"/>
  <c r="D3" i="35"/>
  <c r="D9" i="35"/>
  <c r="D6" i="35"/>
  <c r="E5" i="36"/>
  <c r="D3" i="34"/>
  <c r="E12" i="36"/>
  <c r="D4" i="35"/>
  <c r="D8" i="35"/>
  <c r="D2" i="38"/>
  <c r="D2" i="36"/>
  <c r="D2" i="35"/>
  <c r="D2" i="34"/>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5" i="28"/>
  <c r="F9" i="30"/>
  <c r="E4" i="34"/>
  <c r="F40" i="28"/>
  <c r="F14" i="28"/>
  <c r="F10" i="29"/>
  <c r="E5" i="35"/>
  <c r="F34" i="28"/>
  <c r="E6" i="35"/>
  <c r="F29" i="28"/>
  <c r="F39" i="28"/>
  <c r="F5" i="29"/>
  <c r="F35" i="28"/>
  <c r="E4" i="35"/>
  <c r="F20" i="28"/>
  <c r="F6" i="29"/>
  <c r="F21" i="28"/>
  <c r="F12" i="29"/>
  <c r="F11" i="28"/>
  <c r="F28" i="28"/>
  <c r="F5" i="28"/>
  <c r="F15" i="29"/>
  <c r="F24" i="28"/>
  <c r="F31" i="28"/>
  <c r="E3" i="34"/>
  <c r="F18" i="28"/>
  <c r="F6" i="30"/>
  <c r="E9" i="35"/>
  <c r="F36" i="28"/>
  <c r="E10" i="35"/>
  <c r="F22" i="28"/>
  <c r="D42" i="28"/>
  <c r="F32" i="28"/>
  <c r="F14" i="29"/>
  <c r="F19" i="28"/>
  <c r="F27" i="28"/>
  <c r="F17" i="28"/>
  <c r="F8" i="29"/>
  <c r="F11" i="29"/>
  <c r="F7" i="28"/>
  <c r="F8" i="28"/>
  <c r="E7" i="35"/>
  <c r="E3" i="35"/>
  <c r="F12" i="28"/>
  <c r="F6" i="28"/>
  <c r="F7" i="30"/>
  <c r="F15" i="28"/>
  <c r="F26" i="28"/>
  <c r="F11" i="30"/>
  <c r="F10" i="28"/>
  <c r="F38" i="28"/>
  <c r="E8" i="35"/>
  <c r="F16" i="28"/>
  <c r="F23" i="28"/>
  <c r="F30" i="28"/>
  <c r="F13" i="29"/>
  <c r="F37" i="28"/>
  <c r="F5" i="30"/>
  <c r="F10" i="30"/>
  <c r="F13" i="28"/>
  <c r="F9" i="29"/>
  <c r="E11" i="35"/>
  <c r="F7" i="29"/>
  <c r="F9" i="28"/>
  <c r="F8" i="30"/>
  <c r="F33" i="28"/>
  <c r="E2" i="35"/>
  <c r="E2" i="37"/>
  <c r="E2" i="34"/>
  <c r="E2" i="38"/>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22" i="31"/>
  <c r="Y8" i="28"/>
  <c r="F30" i="32"/>
  <c r="Y36" i="28"/>
  <c r="F24" i="31"/>
  <c r="F32" i="31"/>
  <c r="G9" i="29"/>
  <c r="G10" i="28"/>
  <c r="F42" i="28"/>
  <c r="Y25" i="28"/>
  <c r="D43" i="28"/>
  <c r="G33" i="28"/>
  <c r="G15" i="29"/>
  <c r="G25" i="28"/>
  <c r="F38" i="32"/>
  <c r="G12" i="28"/>
  <c r="F11" i="32"/>
  <c r="Y22" i="28"/>
  <c r="G27" i="28"/>
  <c r="G8" i="29"/>
  <c r="Y30" i="28"/>
  <c r="G8" i="28"/>
  <c r="G6" i="29"/>
  <c r="G10" i="29"/>
  <c r="G10" i="30"/>
  <c r="Y40" i="28"/>
  <c r="Y33" i="28"/>
  <c r="G23" i="28"/>
  <c r="G19" i="28"/>
  <c r="G14" i="28"/>
  <c r="Y24" i="28"/>
  <c r="G9" i="28"/>
  <c r="Y23" i="28"/>
  <c r="G28" i="28"/>
  <c r="G16" i="28"/>
  <c r="G5" i="29"/>
  <c r="F30" i="31"/>
  <c r="Y20" i="28"/>
  <c r="Y15" i="28"/>
  <c r="F38" i="31"/>
  <c r="Y5" i="28"/>
  <c r="G24" i="28"/>
  <c r="G18" i="28"/>
  <c r="G5" i="30"/>
  <c r="G20" i="28"/>
  <c r="Y28" i="28"/>
  <c r="Y12" i="28"/>
  <c r="G34" i="28"/>
  <c r="Y13" i="28"/>
  <c r="Y7" i="28"/>
  <c r="G7" i="30"/>
  <c r="Y26" i="28"/>
  <c r="G38" i="28"/>
  <c r="F22" i="32"/>
  <c r="G32" i="28"/>
  <c r="Y37" i="28"/>
  <c r="Y34" i="28"/>
  <c r="G14" i="29"/>
  <c r="G36" i="28"/>
  <c r="F16" i="31"/>
  <c r="G5" i="28"/>
  <c r="G9" i="30"/>
  <c r="G13" i="28"/>
  <c r="Y14" i="28"/>
  <c r="Y31" i="28"/>
  <c r="Y29" i="28"/>
  <c r="Y21" i="28"/>
  <c r="Y35" i="28"/>
  <c r="G26" i="28"/>
  <c r="G37" i="28"/>
  <c r="G35" i="28"/>
  <c r="G17" i="28"/>
  <c r="G12" i="29"/>
  <c r="G6" i="30"/>
  <c r="Y9" i="28"/>
  <c r="F27" i="32"/>
  <c r="G31" i="28"/>
  <c r="G8" i="30"/>
  <c r="F19" i="31"/>
  <c r="F35" i="32"/>
  <c r="G40" i="28"/>
  <c r="G22" i="28"/>
  <c r="Y19" i="28"/>
  <c r="G11" i="30"/>
  <c r="Y27" i="28"/>
  <c r="Y17" i="28"/>
  <c r="G11" i="28"/>
  <c r="G39" i="28"/>
  <c r="G7" i="29"/>
  <c r="F35" i="31"/>
  <c r="G29" i="28"/>
  <c r="G30" i="28"/>
  <c r="G7" i="28"/>
  <c r="G13" i="29"/>
  <c r="G15" i="28"/>
  <c r="Y38" i="28"/>
  <c r="F19" i="32"/>
  <c r="Y6" i="28"/>
  <c r="Y18" i="28"/>
  <c r="Y11" i="28"/>
  <c r="G21" i="28"/>
  <c r="Y39" i="28"/>
  <c r="Y10" i="28"/>
  <c r="Y32" i="28"/>
  <c r="Y16" i="28"/>
  <c r="G11" i="29"/>
  <c r="G6" i="28"/>
  <c r="F27" i="31"/>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12" i="31"/>
  <c r="G19" i="32"/>
  <c r="F28" i="32"/>
  <c r="F29" i="31"/>
  <c r="F31" i="32"/>
  <c r="AC27" i="32"/>
  <c r="F40" i="31"/>
  <c r="AC38" i="32"/>
  <c r="F26" i="32"/>
  <c r="F17" i="32"/>
  <c r="G22" i="32"/>
  <c r="F26" i="31"/>
  <c r="F18" i="32"/>
  <c r="F42" i="31"/>
  <c r="F21" i="32"/>
  <c r="F6" i="32"/>
  <c r="G30" i="32"/>
  <c r="F34" i="32"/>
  <c r="F13" i="31"/>
  <c r="F14" i="31"/>
  <c r="G38" i="32"/>
  <c r="G24" i="31"/>
  <c r="F20" i="31"/>
  <c r="F8" i="31"/>
  <c r="F7" i="31"/>
  <c r="F43" i="28"/>
  <c r="F33" i="31"/>
  <c r="AC30" i="32"/>
  <c r="AC11" i="32"/>
  <c r="G30" i="31"/>
  <c r="F41" i="31"/>
  <c r="G35" i="31"/>
  <c r="F31" i="31"/>
  <c r="F8" i="32"/>
  <c r="F41" i="32"/>
  <c r="F18" i="31"/>
  <c r="F24" i="32"/>
  <c r="G22" i="31"/>
  <c r="AC19" i="32"/>
  <c r="F25" i="31"/>
  <c r="F23" i="31"/>
  <c r="D44" i="28"/>
  <c r="F7" i="32"/>
  <c r="F15" i="31"/>
  <c r="G42" i="28"/>
  <c r="G35" i="32"/>
  <c r="F17" i="31"/>
  <c r="F10" i="32"/>
  <c r="F39" i="31"/>
  <c r="F25" i="32"/>
  <c r="G11" i="32"/>
  <c r="F23" i="32"/>
  <c r="F9" i="32"/>
  <c r="F21" i="31"/>
  <c r="F37" i="32"/>
  <c r="F6" i="31"/>
  <c r="F36" i="31"/>
  <c r="F39" i="32"/>
  <c r="G19" i="31"/>
  <c r="AC35" i="32"/>
  <c r="F11" i="31"/>
  <c r="F16" i="32"/>
  <c r="F14" i="32"/>
  <c r="F40" i="32"/>
  <c r="F28" i="31"/>
  <c r="F13" i="32"/>
  <c r="F36" i="32"/>
  <c r="F33" i="32"/>
  <c r="F9" i="31"/>
  <c r="F15" i="32"/>
  <c r="F42" i="32"/>
  <c r="G32" i="31"/>
  <c r="G38" i="31"/>
  <c r="F34" i="31"/>
  <c r="F37" i="31"/>
  <c r="G27" i="32"/>
  <c r="G27" i="31"/>
  <c r="F20" i="32"/>
  <c r="G16" i="31"/>
  <c r="F29" i="32"/>
  <c r="AC22" i="32"/>
  <c r="F32" i="32"/>
  <c r="F10" i="31"/>
  <c r="F12" i="32"/>
  <c r="E44" i="28" l="1"/>
  <c r="G33" i="32"/>
  <c r="G10" i="32"/>
  <c r="G43" i="28"/>
  <c r="G13" i="31"/>
  <c r="G6" i="31"/>
  <c r="G16" i="32"/>
  <c r="AC42" i="32"/>
  <c r="G13" i="32"/>
  <c r="G9" i="31"/>
  <c r="G37" i="32"/>
  <c r="AC33" i="32"/>
  <c r="G39" i="32"/>
  <c r="AC23" i="32"/>
  <c r="G39" i="31"/>
  <c r="G8" i="31"/>
  <c r="AC32" i="32"/>
  <c r="G23" i="32"/>
  <c r="G42" i="31"/>
  <c r="AC9" i="32"/>
  <c r="G18" i="32"/>
  <c r="AC14" i="32"/>
  <c r="AC15" i="32"/>
  <c r="AC10" i="32"/>
  <c r="G40" i="32"/>
  <c r="AC8" i="32"/>
  <c r="G41" i="32"/>
  <c r="G10" i="31"/>
  <c r="G14" i="31"/>
  <c r="G8" i="32"/>
  <c r="AC25" i="32"/>
  <c r="G15" i="31"/>
  <c r="AC12" i="32"/>
  <c r="AC28" i="32"/>
  <c r="AC41" i="32"/>
  <c r="G37" i="31"/>
  <c r="AC17" i="32"/>
  <c r="G36" i="32"/>
  <c r="G25" i="31"/>
  <c r="G41" i="31"/>
  <c r="G12" i="32"/>
  <c r="G26" i="31"/>
  <c r="G15" i="32"/>
  <c r="AC34" i="32"/>
  <c r="AC37" i="32"/>
  <c r="G28" i="31"/>
  <c r="G24" i="32"/>
  <c r="AC21" i="32"/>
  <c r="G25" i="32"/>
  <c r="F44" i="28"/>
  <c r="G28" i="32"/>
  <c r="D45" i="28"/>
  <c r="G23" i="31"/>
  <c r="AC24" i="32"/>
  <c r="G31" i="32"/>
  <c r="AC26" i="32"/>
  <c r="G21" i="31"/>
  <c r="G32" i="32"/>
  <c r="G12" i="31"/>
  <c r="AC29" i="32"/>
  <c r="G21" i="32"/>
  <c r="G26" i="32"/>
  <c r="G14" i="32"/>
  <c r="AC18" i="32"/>
  <c r="G20" i="32"/>
  <c r="G34" i="31"/>
  <c r="AC6" i="32"/>
  <c r="G6" i="32"/>
  <c r="AC16" i="32"/>
  <c r="G31" i="31"/>
  <c r="AC36" i="32"/>
  <c r="G40" i="31"/>
  <c r="G11" i="31"/>
  <c r="G29" i="32"/>
  <c r="G33" i="31"/>
  <c r="AC13" i="32"/>
  <c r="AC31" i="32"/>
  <c r="G29" i="31"/>
  <c r="G7" i="32"/>
  <c r="AC7" i="32"/>
  <c r="G20" i="31"/>
  <c r="G7" i="31"/>
  <c r="G36" i="31"/>
  <c r="AC39" i="32"/>
  <c r="G34" i="32"/>
  <c r="G17" i="31"/>
  <c r="AC20" i="32"/>
  <c r="G42" i="32"/>
  <c r="G18" i="31"/>
  <c r="AC40" i="32"/>
  <c r="G17" i="32"/>
  <c r="G9" i="32"/>
  <c r="E45" i="28" l="1"/>
  <c r="D46" i="28"/>
  <c r="G44" i="28"/>
  <c r="F45" i="28"/>
  <c r="E46" i="28" l="1"/>
  <c r="G45" i="28"/>
  <c r="F46" i="28"/>
  <c r="D47" i="28"/>
  <c r="E47" i="28" l="1"/>
  <c r="G46" i="28"/>
  <c r="F47" i="28"/>
  <c r="D48" i="28"/>
  <c r="D49" i="28" s="1"/>
  <c r="D50" i="28"/>
  <c r="E49" i="28" l="1"/>
  <c r="E48" i="28"/>
  <c r="E50" i="28"/>
  <c r="G47" i="28"/>
  <c r="F50" i="28"/>
  <c r="F49" i="28"/>
  <c r="G49" i="28"/>
  <c r="D51" i="28"/>
  <c r="F48" i="28"/>
  <c r="D52" i="28"/>
  <c r="E51" i="28" l="1"/>
  <c r="E52" i="28"/>
  <c r="G48" i="28"/>
  <c r="F52" i="28"/>
  <c r="F51" i="28"/>
  <c r="G50" i="28"/>
  <c r="G51" i="28"/>
  <c r="D53" i="28"/>
  <c r="D54" i="28"/>
  <c r="D55" i="28" s="1"/>
  <c r="E53" i="28" l="1"/>
  <c r="E54" i="28"/>
  <c r="E55" i="28"/>
  <c r="F53" i="28"/>
  <c r="G52" i="28"/>
  <c r="G53" i="28"/>
  <c r="F55" i="28"/>
  <c r="D56" i="28"/>
  <c r="F54" i="28"/>
  <c r="G54" i="28"/>
  <c r="G55" i="28"/>
  <c r="E56" i="28" l="1"/>
  <c r="F56" i="28"/>
  <c r="D57" i="28"/>
  <c r="G56" i="28"/>
  <c r="E57" i="28" l="1"/>
  <c r="F57" i="28"/>
  <c r="D58" i="28"/>
  <c r="G57" i="28"/>
  <c r="E58" i="28" l="1"/>
  <c r="D59" i="28"/>
  <c r="F58" i="28"/>
  <c r="D60" i="28"/>
  <c r="G58" i="28"/>
  <c r="E60" i="28" l="1"/>
  <c r="E59" i="28"/>
  <c r="F60" i="28"/>
  <c r="D61" i="28"/>
  <c r="D62" i="28" s="1"/>
  <c r="F59" i="28"/>
  <c r="G60" i="28"/>
  <c r="G59" i="28"/>
  <c r="E61" i="28" l="1"/>
  <c r="E62" i="28"/>
  <c r="F62" i="28"/>
  <c r="D63" i="28"/>
  <c r="F61" i="28"/>
  <c r="G62" i="28"/>
  <c r="G61" i="28"/>
  <c r="E63" i="28" l="1"/>
  <c r="D64" i="28"/>
  <c r="D65" i="28"/>
  <c r="F63" i="28"/>
  <c r="G63" i="28"/>
  <c r="E64" i="28" l="1"/>
  <c r="E65" i="28"/>
  <c r="F65" i="28"/>
  <c r="D66" i="28"/>
  <c r="F64" i="28"/>
  <c r="G64" i="28"/>
  <c r="G65" i="28"/>
  <c r="E66" i="28" l="1"/>
  <c r="F66" i="28"/>
  <c r="D67" i="28"/>
  <c r="G66" i="28"/>
  <c r="E67" i="28" l="1"/>
  <c r="D68" i="28"/>
  <c r="F67" i="28"/>
  <c r="G67" i="28"/>
  <c r="E68" i="28" l="1"/>
  <c r="D69" i="28"/>
  <c r="F68" i="28"/>
  <c r="F4" i="30"/>
  <c r="G68" i="28"/>
  <c r="F5" i="32"/>
  <c r="F4" i="29"/>
  <c r="F5" i="31"/>
  <c r="E69" i="28" l="1"/>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3" i="22"/>
  <c r="D5" i="21"/>
  <c r="E22" i="22"/>
  <c r="D8" i="21"/>
  <c r="E21" i="22"/>
  <c r="E17" i="22"/>
  <c r="D15" i="21"/>
  <c r="D18" i="21"/>
  <c r="E28" i="22"/>
  <c r="E30" i="22"/>
  <c r="D17" i="21"/>
  <c r="D9" i="21"/>
  <c r="E29" i="22"/>
  <c r="D12" i="21"/>
  <c r="D10" i="21"/>
  <c r="E27" i="22"/>
  <c r="E7" i="22"/>
  <c r="E12" i="22"/>
  <c r="D70" i="28"/>
  <c r="D7" i="21"/>
  <c r="D22" i="21"/>
  <c r="E34" i="22"/>
  <c r="D16" i="21"/>
  <c r="E31" i="22"/>
  <c r="C6" i="26"/>
  <c r="D14" i="21"/>
  <c r="E26" i="22"/>
  <c r="E9" i="22"/>
  <c r="D6" i="23" a="1"/>
  <c r="E15" i="22"/>
  <c r="E24" i="22"/>
  <c r="E8" i="22"/>
  <c r="D6" i="21"/>
  <c r="E32" i="22"/>
  <c r="E16" i="22"/>
  <c r="E5" i="22"/>
  <c r="E6" i="22"/>
  <c r="D19" i="21"/>
  <c r="D20" i="21"/>
  <c r="D11" i="21"/>
  <c r="C5" i="26"/>
  <c r="E18" i="22"/>
  <c r="E11" i="22"/>
  <c r="F69" i="28"/>
  <c r="E25" i="22"/>
  <c r="D21" i="21"/>
  <c r="E14" i="22"/>
  <c r="D13" i="21"/>
  <c r="E4" i="22"/>
  <c r="E10" i="22"/>
  <c r="E19" i="22"/>
  <c r="E33" i="22"/>
  <c r="E20" i="22"/>
  <c r="E13" i="22"/>
  <c r="E3" i="22"/>
  <c r="E35" i="22"/>
  <c r="D5" i="25" a="1"/>
  <c r="G5" i="32"/>
  <c r="AC5" i="32"/>
  <c r="G4" i="30"/>
  <c r="G4" i="29"/>
  <c r="G69" i="28"/>
  <c r="G5" i="31"/>
  <c r="E70"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D71" i="28"/>
  <c r="F7" i="25"/>
  <c r="F57" i="25"/>
  <c r="F103" i="25"/>
  <c r="P16" i="21"/>
  <c r="F14" i="25"/>
  <c r="F20" i="23"/>
  <c r="F29" i="25"/>
  <c r="F31" i="22"/>
  <c r="F96" i="25"/>
  <c r="P13" i="21"/>
  <c r="F113" i="25"/>
  <c r="F84" i="23"/>
  <c r="F102" i="23"/>
  <c r="F6" i="22"/>
  <c r="F123" i="23"/>
  <c r="F24" i="25"/>
  <c r="F59" i="23"/>
  <c r="F13" i="22"/>
  <c r="F76" i="25"/>
  <c r="F77" i="23"/>
  <c r="F41" i="25"/>
  <c r="P14" i="21"/>
  <c r="F15" i="23"/>
  <c r="Q6" i="26"/>
  <c r="P19" i="21"/>
  <c r="F65" i="23"/>
  <c r="F9" i="25"/>
  <c r="F33" i="22"/>
  <c r="P7" i="21"/>
  <c r="E18" i="21"/>
  <c r="F69" i="23"/>
  <c r="F28" i="22"/>
  <c r="F121" i="23"/>
  <c r="F123" i="25"/>
  <c r="F118" i="25"/>
  <c r="F68" i="25"/>
  <c r="F36" i="25"/>
  <c r="F23" i="25"/>
  <c r="F8" i="23"/>
  <c r="F40" i="23"/>
  <c r="F66" i="25"/>
  <c r="F124" i="23"/>
  <c r="F28" i="25"/>
  <c r="F93" i="23"/>
  <c r="F81" i="23"/>
  <c r="F120" i="23"/>
  <c r="F119" i="25"/>
  <c r="P21" i="21"/>
  <c r="F61" i="25"/>
  <c r="F37" i="23"/>
  <c r="E6" i="21"/>
  <c r="F10" i="25"/>
  <c r="F44" i="25"/>
  <c r="F66" i="23"/>
  <c r="F16" i="23"/>
  <c r="F70" i="25"/>
  <c r="F22" i="23"/>
  <c r="F98" i="25"/>
  <c r="F42" i="25"/>
  <c r="F107" i="25"/>
  <c r="F99" i="25"/>
  <c r="F94" i="23"/>
  <c r="F5" i="22"/>
  <c r="F19" i="22"/>
  <c r="F99" i="23"/>
  <c r="P9" i="21"/>
  <c r="F75" i="23"/>
  <c r="D5" i="26"/>
  <c r="F116" i="25"/>
  <c r="F79" i="23"/>
  <c r="F27" i="22"/>
  <c r="F51" i="23"/>
  <c r="E7" i="21"/>
  <c r="F83" i="25"/>
  <c r="F67" i="25"/>
  <c r="F15" i="25"/>
  <c r="F86" i="25"/>
  <c r="F11" i="25"/>
  <c r="F105" i="25"/>
  <c r="F93" i="25"/>
  <c r="F102" i="25"/>
  <c r="F8" i="22"/>
  <c r="F14" i="23"/>
  <c r="F95" i="25"/>
  <c r="F21" i="22"/>
  <c r="F87" i="23"/>
  <c r="F18" i="25"/>
  <c r="F52" i="25"/>
  <c r="F9" i="22"/>
  <c r="P22" i="21"/>
  <c r="D72" i="28"/>
  <c r="P6" i="21"/>
  <c r="F70" i="28"/>
  <c r="P5" i="21"/>
  <c r="F21" i="25"/>
  <c r="F49" i="25"/>
  <c r="F82" i="23"/>
  <c r="F17" i="25"/>
  <c r="F108" i="23"/>
  <c r="F35" i="22"/>
  <c r="F21" i="23"/>
  <c r="F38" i="23"/>
  <c r="F14" i="22"/>
  <c r="F58" i="25"/>
  <c r="P11" i="21"/>
  <c r="E21" i="21"/>
  <c r="D6" i="26"/>
  <c r="F60" i="23"/>
  <c r="F10" i="23"/>
  <c r="F34" i="22"/>
  <c r="F8" i="25"/>
  <c r="F120" i="25"/>
  <c r="F106" i="25"/>
  <c r="F87" i="25"/>
  <c r="P17" i="21"/>
  <c r="F27" i="25"/>
  <c r="F51" i="25"/>
  <c r="F76" i="23"/>
  <c r="F19" i="23"/>
  <c r="F52" i="23"/>
  <c r="F6" i="23"/>
  <c r="F89" i="25"/>
  <c r="E16" i="21"/>
  <c r="F111" i="25"/>
  <c r="F63" i="25"/>
  <c r="F34" i="25"/>
  <c r="F84" i="25"/>
  <c r="F54" i="25"/>
  <c r="E9" i="21"/>
  <c r="E11" i="21"/>
  <c r="F7" i="22"/>
  <c r="F24" i="23"/>
  <c r="F44" i="23"/>
  <c r="F75" i="25"/>
  <c r="F53" i="23"/>
  <c r="F36" i="23"/>
  <c r="F15" i="22"/>
  <c r="F24" i="22"/>
  <c r="F125" i="23"/>
  <c r="F41" i="23"/>
  <c r="F30" i="22"/>
  <c r="F19" i="25"/>
  <c r="F78" i="23"/>
  <c r="F96" i="23"/>
  <c r="F17" i="22"/>
  <c r="F25" i="22"/>
  <c r="F11" i="23"/>
  <c r="F104" i="25"/>
  <c r="F12" i="25"/>
  <c r="F86" i="23"/>
  <c r="F26" i="25"/>
  <c r="F18" i="22"/>
  <c r="F5" i="25"/>
  <c r="F112" i="25"/>
  <c r="F59" i="25"/>
  <c r="F13" i="23"/>
  <c r="F92" i="23"/>
  <c r="F115" i="23"/>
  <c r="F101" i="23"/>
  <c r="F95" i="23"/>
  <c r="F64" i="23"/>
  <c r="F117" i="23"/>
  <c r="F32" i="25"/>
  <c r="F65" i="25"/>
  <c r="F73" i="23"/>
  <c r="F20" i="25"/>
  <c r="F114" i="25"/>
  <c r="E22" i="21"/>
  <c r="F32" i="22"/>
  <c r="F113" i="23"/>
  <c r="P8" i="21"/>
  <c r="F109" i="25"/>
  <c r="F38" i="25"/>
  <c r="E19" i="21"/>
  <c r="F85" i="23"/>
  <c r="F29" i="22"/>
  <c r="F81" i="25"/>
  <c r="F100" i="25"/>
  <c r="F71" i="23"/>
  <c r="F90" i="23"/>
  <c r="F11" i="22"/>
  <c r="F23" i="22"/>
  <c r="F26" i="22"/>
  <c r="E17" i="21"/>
  <c r="Q5" i="26"/>
  <c r="F110" i="25"/>
  <c r="F71" i="25"/>
  <c r="F72" i="25"/>
  <c r="F91" i="25"/>
  <c r="F58" i="23"/>
  <c r="F55" i="23"/>
  <c r="F33" i="23"/>
  <c r="F122" i="23"/>
  <c r="F53" i="25"/>
  <c r="F25" i="25"/>
  <c r="F116" i="23"/>
  <c r="F16" i="25"/>
  <c r="F62" i="23"/>
  <c r="F98" i="23"/>
  <c r="F17" i="23"/>
  <c r="F35" i="25"/>
  <c r="F80" i="25"/>
  <c r="E12" i="21"/>
  <c r="F55" i="25"/>
  <c r="E5" i="21"/>
  <c r="F32" i="23"/>
  <c r="F39" i="25"/>
  <c r="F56" i="23"/>
  <c r="P20" i="21"/>
  <c r="F85" i="25"/>
  <c r="F9" i="23"/>
  <c r="F88" i="25"/>
  <c r="F26" i="23"/>
  <c r="F74" i="25"/>
  <c r="F62" i="25"/>
  <c r="F94" i="25"/>
  <c r="F6" i="25"/>
  <c r="F7" i="23"/>
  <c r="F72" i="23"/>
  <c r="F83" i="23"/>
  <c r="F124" i="25"/>
  <c r="F47" i="25"/>
  <c r="F13" i="25"/>
  <c r="F117" i="25"/>
  <c r="F121" i="25"/>
  <c r="F12" i="23"/>
  <c r="F48" i="25"/>
  <c r="E13" i="21"/>
  <c r="F43" i="23"/>
  <c r="F110" i="23"/>
  <c r="F22" i="22"/>
  <c r="F20" i="22"/>
  <c r="E15" i="21"/>
  <c r="F3" i="22"/>
  <c r="F40" i="25"/>
  <c r="F90" i="25"/>
  <c r="P18" i="21"/>
  <c r="F80" i="23"/>
  <c r="F78" i="25"/>
  <c r="F105" i="23"/>
  <c r="F104" i="23"/>
  <c r="F25" i="23"/>
  <c r="F28" i="23"/>
  <c r="F73" i="25"/>
  <c r="F103" i="23"/>
  <c r="F49" i="23"/>
  <c r="F108" i="25"/>
  <c r="F101" i="25"/>
  <c r="F29" i="23"/>
  <c r="F45" i="25"/>
  <c r="F42" i="23"/>
  <c r="F48" i="23"/>
  <c r="F30" i="23"/>
  <c r="F63" i="23"/>
  <c r="F109" i="23"/>
  <c r="F34" i="23"/>
  <c r="F46" i="25"/>
  <c r="F60" i="25"/>
  <c r="P10" i="21"/>
  <c r="F10" i="22"/>
  <c r="F122" i="25"/>
  <c r="F27" i="23"/>
  <c r="F77" i="25"/>
  <c r="F88" i="23"/>
  <c r="F74" i="23"/>
  <c r="F79" i="25"/>
  <c r="F50" i="23"/>
  <c r="F39" i="23"/>
  <c r="F111" i="23"/>
  <c r="F47" i="23"/>
  <c r="F12" i="22"/>
  <c r="F61" i="23"/>
  <c r="P12" i="21"/>
  <c r="F114" i="23"/>
  <c r="F115" i="25"/>
  <c r="F18" i="23"/>
  <c r="F97" i="23"/>
  <c r="E14" i="21"/>
  <c r="F23" i="23"/>
  <c r="E10" i="21"/>
  <c r="F54" i="23"/>
  <c r="F112" i="23"/>
  <c r="F119" i="23"/>
  <c r="F82" i="25"/>
  <c r="F92" i="25"/>
  <c r="F37" i="25"/>
  <c r="F91" i="23"/>
  <c r="F31" i="25"/>
  <c r="F106" i="23"/>
  <c r="E8" i="21"/>
  <c r="F68" i="23"/>
  <c r="F56" i="25"/>
  <c r="F16" i="22"/>
  <c r="E20" i="21"/>
  <c r="F70" i="23"/>
  <c r="F4" i="22"/>
  <c r="F22" i="25"/>
  <c r="F30" i="25"/>
  <c r="F43" i="25"/>
  <c r="F35" i="23"/>
  <c r="F50" i="25"/>
  <c r="F64" i="25"/>
  <c r="F97" i="25"/>
  <c r="F67" i="23"/>
  <c r="F69" i="25"/>
  <c r="F46" i="23"/>
  <c r="P15" i="21"/>
  <c r="F33" i="25"/>
  <c r="F89" i="23"/>
  <c r="F57" i="23"/>
  <c r="F31" i="23"/>
  <c r="F107" i="23"/>
  <c r="F118" i="23"/>
  <c r="F100" i="23"/>
  <c r="F45" i="23"/>
  <c r="F4" i="25"/>
  <c r="F5" i="23"/>
  <c r="C4" i="26"/>
  <c r="E2" i="22"/>
  <c r="G70" i="28"/>
  <c r="D4" i="21"/>
  <c r="E71" i="28" l="1"/>
  <c r="E72" i="28"/>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F71" i="28"/>
  <c r="G71" i="28" s="1"/>
  <c r="G18" i="25"/>
  <c r="G105" i="23"/>
  <c r="G82" i="23"/>
  <c r="G102" i="25"/>
  <c r="G41" i="23"/>
  <c r="G33" i="25"/>
  <c r="G22" i="25"/>
  <c r="G96" i="25"/>
  <c r="G71" i="25"/>
  <c r="G36" i="25"/>
  <c r="G113" i="25"/>
  <c r="G16" i="25"/>
  <c r="G110" i="23"/>
  <c r="G56" i="25"/>
  <c r="G37" i="25"/>
  <c r="G57" i="25"/>
  <c r="G62" i="25"/>
  <c r="G68" i="23"/>
  <c r="G72" i="23"/>
  <c r="G41" i="25"/>
  <c r="G69" i="25"/>
  <c r="G17" i="25"/>
  <c r="G97" i="25"/>
  <c r="G72" i="25"/>
  <c r="G88" i="23"/>
  <c r="G52" i="23"/>
  <c r="G78" i="25"/>
  <c r="G92" i="25"/>
  <c r="G44" i="23"/>
  <c r="G60" i="23"/>
  <c r="G6" i="25"/>
  <c r="G99" i="23"/>
  <c r="G29" i="25"/>
  <c r="G93" i="25"/>
  <c r="G15" i="25"/>
  <c r="G90" i="23"/>
  <c r="G54" i="23"/>
  <c r="G42" i="23"/>
  <c r="G65" i="25"/>
  <c r="G15" i="23"/>
  <c r="G106" i="23"/>
  <c r="G48" i="25"/>
  <c r="G119" i="25"/>
  <c r="G19" i="23"/>
  <c r="G80" i="25"/>
  <c r="G93" i="23"/>
  <c r="G26" i="25"/>
  <c r="G124" i="25"/>
  <c r="G7" i="23"/>
  <c r="G69" i="23"/>
  <c r="G27" i="23"/>
  <c r="G21" i="23"/>
  <c r="G89" i="23"/>
  <c r="G121" i="23"/>
  <c r="G79" i="23"/>
  <c r="G31" i="25"/>
  <c r="G33" i="23"/>
  <c r="G12" i="25"/>
  <c r="G101" i="23"/>
  <c r="G112" i="25"/>
  <c r="G24" i="25"/>
  <c r="G64" i="23"/>
  <c r="G16" i="23"/>
  <c r="G81" i="23"/>
  <c r="G78" i="23"/>
  <c r="G48" i="23"/>
  <c r="G45" i="23"/>
  <c r="D73" i="28"/>
  <c r="G17" i="23"/>
  <c r="G46" i="25"/>
  <c r="G125" i="23"/>
  <c r="G123" i="25"/>
  <c r="G12" i="23"/>
  <c r="G32" i="23"/>
  <c r="G9" i="25"/>
  <c r="G26" i="23"/>
  <c r="G97" i="23"/>
  <c r="G82" i="25"/>
  <c r="G35" i="23"/>
  <c r="G85" i="23"/>
  <c r="G74" i="25"/>
  <c r="G94" i="23"/>
  <c r="G58" i="25"/>
  <c r="G81" i="25"/>
  <c r="G116" i="25"/>
  <c r="G98" i="23"/>
  <c r="G67" i="25"/>
  <c r="G80" i="23"/>
  <c r="G75" i="25"/>
  <c r="G32" i="25"/>
  <c r="G11" i="23"/>
  <c r="G53" i="23"/>
  <c r="G25" i="23"/>
  <c r="G59" i="25"/>
  <c r="G73" i="25"/>
  <c r="G117" i="23"/>
  <c r="G49" i="25"/>
  <c r="G112" i="23"/>
  <c r="G100" i="25"/>
  <c r="G6" i="23"/>
  <c r="G70" i="25"/>
  <c r="G120" i="25"/>
  <c r="G74" i="23"/>
  <c r="G10" i="25"/>
  <c r="G95" i="23"/>
  <c r="G36" i="23"/>
  <c r="G101" i="25"/>
  <c r="G88" i="25"/>
  <c r="G103" i="25"/>
  <c r="G85" i="25"/>
  <c r="G27" i="25"/>
  <c r="G91" i="23"/>
  <c r="G110" i="25"/>
  <c r="G86" i="25"/>
  <c r="G43" i="25"/>
  <c r="G39" i="23"/>
  <c r="G94" i="25"/>
  <c r="G66" i="25"/>
  <c r="G83" i="25"/>
  <c r="G116" i="23"/>
  <c r="G43" i="23"/>
  <c r="G102" i="23"/>
  <c r="G22" i="23"/>
  <c r="G118" i="25"/>
  <c r="G84" i="25"/>
  <c r="G51" i="25"/>
  <c r="G90" i="25"/>
  <c r="G8" i="23"/>
  <c r="G11" i="25"/>
  <c r="G118" i="23"/>
  <c r="G10" i="23"/>
  <c r="G56" i="23"/>
  <c r="G96" i="23"/>
  <c r="G40" i="23"/>
  <c r="G61" i="23"/>
  <c r="G51" i="23"/>
  <c r="G21" i="25"/>
  <c r="G47" i="23"/>
  <c r="G76" i="25"/>
  <c r="G122" i="23"/>
  <c r="G5" i="25"/>
  <c r="G109" i="25"/>
  <c r="G13" i="25"/>
  <c r="G98" i="25"/>
  <c r="G103" i="23"/>
  <c r="G47" i="25"/>
  <c r="Q3" i="26"/>
  <c r="G121" i="25"/>
  <c r="G52" i="25"/>
  <c r="G67" i="23"/>
  <c r="G34" i="23"/>
  <c r="G95" i="25"/>
  <c r="G61" i="25"/>
  <c r="G79" i="25"/>
  <c r="G39" i="25"/>
  <c r="G114" i="25"/>
  <c r="G55" i="25"/>
  <c r="G23" i="23"/>
  <c r="G106" i="25"/>
  <c r="G100" i="23"/>
  <c r="G105" i="25"/>
  <c r="G104" i="25"/>
  <c r="G108" i="25"/>
  <c r="G87" i="23"/>
  <c r="G113" i="23"/>
  <c r="G60" i="25"/>
  <c r="G20" i="23"/>
  <c r="G45" i="25"/>
  <c r="G25" i="25"/>
  <c r="G65" i="23"/>
  <c r="G92" i="23"/>
  <c r="G119" i="23"/>
  <c r="G20" i="25"/>
  <c r="G53" i="25"/>
  <c r="G14" i="25"/>
  <c r="G77" i="25"/>
  <c r="G89" i="25"/>
  <c r="G42" i="25"/>
  <c r="G58" i="23"/>
  <c r="G24" i="23"/>
  <c r="G120" i="23"/>
  <c r="G50" i="23"/>
  <c r="G108" i="23"/>
  <c r="G31" i="23"/>
  <c r="G76" i="23"/>
  <c r="G111" i="25"/>
  <c r="G115" i="23"/>
  <c r="G62" i="23"/>
  <c r="G23" i="25"/>
  <c r="G99" i="25"/>
  <c r="G83" i="23"/>
  <c r="G50" i="25"/>
  <c r="G54" i="25"/>
  <c r="G63" i="23"/>
  <c r="G66" i="23"/>
  <c r="G14" i="23"/>
  <c r="G7" i="25"/>
  <c r="G30" i="25"/>
  <c r="G18" i="23"/>
  <c r="G107" i="23"/>
  <c r="G28" i="23"/>
  <c r="G114" i="23"/>
  <c r="G107" i="25"/>
  <c r="G87" i="25"/>
  <c r="G115" i="25"/>
  <c r="G35" i="25"/>
  <c r="G91" i="25"/>
  <c r="G55" i="23"/>
  <c r="G63" i="25"/>
  <c r="G57" i="23"/>
  <c r="G38" i="23"/>
  <c r="G71" i="23"/>
  <c r="G40" i="25"/>
  <c r="G59" i="23"/>
  <c r="G29" i="23"/>
  <c r="G109" i="23"/>
  <c r="G111" i="23"/>
  <c r="G49" i="23"/>
  <c r="G104" i="23"/>
  <c r="G34" i="25"/>
  <c r="G84" i="23"/>
  <c r="G122" i="25"/>
  <c r="G9" i="23"/>
  <c r="F72" i="28"/>
  <c r="G75" i="23"/>
  <c r="G123" i="23"/>
  <c r="G117" i="25"/>
  <c r="G124" i="23"/>
  <c r="G8" i="25"/>
  <c r="G73" i="23"/>
  <c r="G64" i="25"/>
  <c r="G19" i="25"/>
  <c r="G44" i="25"/>
  <c r="G30" i="23"/>
  <c r="G46" i="23"/>
  <c r="G38" i="25"/>
  <c r="G37" i="23"/>
  <c r="G77" i="23"/>
  <c r="G13" i="23"/>
  <c r="G86" i="23"/>
  <c r="G68" i="25"/>
  <c r="G28" i="25"/>
  <c r="G70" i="23"/>
  <c r="F2" i="22"/>
  <c r="D4" i="26"/>
  <c r="G4" i="25"/>
  <c r="G72" i="28"/>
  <c r="G5" i="23"/>
  <c r="E4" i="21"/>
  <c r="E73" i="28" l="1"/>
  <c r="E5" i="17"/>
  <c r="E5" i="19"/>
  <c r="C6" i="19"/>
  <c r="E5" i="18"/>
  <c r="E4" i="18"/>
  <c r="C7" i="18"/>
  <c r="E6" i="18"/>
  <c r="C6" i="17"/>
  <c r="D74" i="28"/>
  <c r="F6" i="18"/>
  <c r="F5" i="19"/>
  <c r="F5" i="17"/>
  <c r="F5" i="18"/>
  <c r="F73" i="28"/>
  <c r="G73" i="28"/>
  <c r="E74" i="28" l="1"/>
  <c r="C7" i="19"/>
  <c r="E6" i="19"/>
  <c r="E7" i="18"/>
  <c r="C8" i="18"/>
  <c r="E4" i="17"/>
  <c r="C7" i="17"/>
  <c r="E6" i="17"/>
  <c r="G5" i="19"/>
  <c r="G6" i="18"/>
  <c r="F7" i="18"/>
  <c r="F6" i="17"/>
  <c r="G5" i="17"/>
  <c r="D75" i="28"/>
  <c r="D76" i="28" s="1"/>
  <c r="F6" i="19"/>
  <c r="F74" i="28"/>
  <c r="G5" i="18"/>
  <c r="G74" i="28"/>
  <c r="E75" i="28" l="1"/>
  <c r="E76" i="28"/>
  <c r="E7" i="19"/>
  <c r="C8" i="19"/>
  <c r="E8" i="18"/>
  <c r="C9" i="18"/>
  <c r="C8" i="17"/>
  <c r="E7" i="17"/>
  <c r="F75" i="28"/>
  <c r="F76" i="28"/>
  <c r="F7" i="19"/>
  <c r="G6" i="17"/>
  <c r="F8" i="18"/>
  <c r="D77" i="28"/>
  <c r="G6" i="19"/>
  <c r="G7" i="18"/>
  <c r="F7" i="17"/>
  <c r="G75" i="28"/>
  <c r="G76" i="28"/>
  <c r="E77" i="28" l="1"/>
  <c r="E8" i="19"/>
  <c r="C9" i="19"/>
  <c r="C10" i="18"/>
  <c r="E9" i="18"/>
  <c r="E8" i="17"/>
  <c r="C9" i="17"/>
  <c r="G8" i="18"/>
  <c r="F8" i="19"/>
  <c r="G7" i="19"/>
  <c r="F8" i="17"/>
  <c r="G7" i="17"/>
  <c r="F9" i="18"/>
  <c r="F77" i="28"/>
  <c r="F4" i="28"/>
  <c r="G4" i="28" s="1"/>
  <c r="G77" i="28"/>
  <c r="E4" i="19" l="1"/>
  <c r="C10" i="19"/>
  <c r="E9" i="19"/>
  <c r="E10" i="18"/>
  <c r="C11" i="18"/>
  <c r="C10" i="17"/>
  <c r="E9" i="17"/>
  <c r="G8" i="17"/>
  <c r="F10" i="18"/>
  <c r="G9" i="18"/>
  <c r="F9" i="19"/>
  <c r="G8" i="19"/>
  <c r="F9" i="17"/>
  <c r="E10" i="19" l="1"/>
  <c r="C11" i="19"/>
  <c r="E11" i="18"/>
  <c r="C12" i="18"/>
  <c r="E10" i="17"/>
  <c r="C11" i="17"/>
  <c r="F11" i="18"/>
  <c r="F10" i="17"/>
  <c r="G9" i="19"/>
  <c r="G10" i="18"/>
  <c r="F10" i="19"/>
  <c r="G9" i="17"/>
  <c r="C12" i="19" l="1"/>
  <c r="E11" i="19"/>
  <c r="C13" i="18"/>
  <c r="E12" i="18"/>
  <c r="C12" i="17"/>
  <c r="E11" i="17"/>
  <c r="F11" i="17"/>
  <c r="F11" i="19"/>
  <c r="G11" i="18"/>
  <c r="F12" i="18"/>
  <c r="G10" i="19"/>
  <c r="G10" i="17"/>
  <c r="E12" i="19" l="1"/>
  <c r="C13" i="19"/>
  <c r="E13" i="18"/>
  <c r="C14" i="18"/>
  <c r="E12" i="17"/>
  <c r="C13" i="17"/>
  <c r="F13" i="18"/>
  <c r="G12" i="18"/>
  <c r="F12" i="19"/>
  <c r="G11" i="17"/>
  <c r="F12" i="17"/>
  <c r="G11" i="19"/>
  <c r="E13" i="19" l="1"/>
  <c r="C14" i="19"/>
  <c r="C15" i="18"/>
  <c r="E14" i="18"/>
  <c r="E13" i="17"/>
  <c r="C14" i="17"/>
  <c r="F13" i="17"/>
  <c r="G12" i="17"/>
  <c r="G13" i="18"/>
  <c r="G12" i="19"/>
  <c r="F14" i="18"/>
  <c r="F13" i="19"/>
  <c r="C15" i="19" l="1"/>
  <c r="E14" i="19"/>
  <c r="C16" i="18"/>
  <c r="E15" i="18"/>
  <c r="C15" i="17"/>
  <c r="E14" i="17"/>
  <c r="G14" i="18"/>
  <c r="F14" i="17"/>
  <c r="G13" i="17"/>
  <c r="G13" i="19"/>
  <c r="F14" i="19"/>
  <c r="F15" i="18"/>
  <c r="E15" i="19" l="1"/>
  <c r="C16" i="19"/>
  <c r="C17" i="18"/>
  <c r="E16" i="18"/>
  <c r="E15" i="17"/>
  <c r="C16" i="17"/>
  <c r="F16" i="18"/>
  <c r="G14" i="19"/>
  <c r="F15" i="19"/>
  <c r="G15" i="18"/>
  <c r="F15" i="17"/>
  <c r="G14" i="17"/>
  <c r="E16" i="19" l="1"/>
  <c r="C17" i="19"/>
  <c r="C18" i="18"/>
  <c r="E17" i="18"/>
  <c r="E16" i="17"/>
  <c r="C17" i="17"/>
  <c r="G16" i="18"/>
  <c r="G15" i="19"/>
  <c r="F17" i="18"/>
  <c r="F16" i="17"/>
  <c r="G15" i="17"/>
  <c r="F16" i="19"/>
  <c r="C18" i="19" l="1"/>
  <c r="E17" i="19"/>
  <c r="E18" i="18"/>
  <c r="C19" i="18"/>
  <c r="C18" i="17"/>
  <c r="E17" i="17"/>
  <c r="G16" i="19"/>
  <c r="F18" i="18"/>
  <c r="G17" i="18"/>
  <c r="F17" i="17"/>
  <c r="G16" i="17"/>
  <c r="F17" i="19"/>
  <c r="E18" i="19" l="1"/>
  <c r="C19" i="19"/>
  <c r="E19" i="18"/>
  <c r="C20" i="18"/>
  <c r="E18" i="17"/>
  <c r="C19" i="17"/>
  <c r="G17" i="17"/>
  <c r="F18" i="19"/>
  <c r="F18" i="17"/>
  <c r="F19" i="18"/>
  <c r="G17" i="19"/>
  <c r="G18" i="18"/>
  <c r="C20" i="19" l="1"/>
  <c r="E19" i="19"/>
  <c r="C21" i="18"/>
  <c r="E20" i="18"/>
  <c r="C20" i="17"/>
  <c r="E19" i="17"/>
  <c r="F20" i="18"/>
  <c r="G18" i="17"/>
  <c r="F19" i="19"/>
  <c r="G19" i="18"/>
  <c r="F19" i="17"/>
  <c r="G18" i="19"/>
  <c r="E20" i="19" l="1"/>
  <c r="C21" i="19"/>
  <c r="C22" i="18"/>
  <c r="E21" i="18"/>
  <c r="E20" i="17"/>
  <c r="C21" i="17"/>
  <c r="G20" i="18"/>
  <c r="G19" i="19"/>
  <c r="F20" i="19"/>
  <c r="F21" i="18"/>
  <c r="G19" i="17"/>
  <c r="F20" i="17"/>
  <c r="E21" i="19" l="1"/>
  <c r="C22" i="19"/>
  <c r="E22" i="18"/>
  <c r="C23" i="18"/>
  <c r="E21" i="17"/>
  <c r="C22" i="17"/>
  <c r="G20" i="19"/>
  <c r="F22" i="18"/>
  <c r="G20" i="17"/>
  <c r="F21" i="19"/>
  <c r="F21" i="17"/>
  <c r="G21" i="18"/>
  <c r="C23" i="19" l="1"/>
  <c r="E22" i="19"/>
  <c r="C24" i="18"/>
  <c r="E23" i="18"/>
  <c r="C23" i="17"/>
  <c r="E22" i="17"/>
  <c r="G21" i="17"/>
  <c r="F22" i="17"/>
  <c r="G22" i="18"/>
  <c r="F23" i="18"/>
  <c r="F22" i="19"/>
  <c r="G21" i="19"/>
  <c r="E23" i="19" l="1"/>
  <c r="C24" i="19"/>
  <c r="C25" i="18"/>
  <c r="E24" i="18"/>
  <c r="E23" i="17"/>
  <c r="C24" i="17"/>
  <c r="G23" i="18"/>
  <c r="G22" i="17"/>
  <c r="F23" i="19"/>
  <c r="G22" i="19"/>
  <c r="F24" i="18"/>
  <c r="F23" i="17"/>
  <c r="E24" i="19" l="1"/>
  <c r="C25" i="19"/>
  <c r="C26" i="18"/>
  <c r="E25" i="18"/>
  <c r="E24" i="17"/>
  <c r="C25" i="17"/>
  <c r="F25" i="18"/>
  <c r="G23" i="19"/>
  <c r="G24" i="18"/>
  <c r="F24" i="19"/>
  <c r="F24" i="17"/>
  <c r="G23" i="17"/>
  <c r="C26" i="19" l="1"/>
  <c r="E25" i="19"/>
  <c r="E26" i="18"/>
  <c r="C27" i="18"/>
  <c r="C26" i="17"/>
  <c r="E25" i="17"/>
  <c r="G25" i="18"/>
  <c r="F25" i="19"/>
  <c r="G24" i="19"/>
  <c r="F25" i="17"/>
  <c r="G24" i="17"/>
  <c r="F26" i="18"/>
  <c r="E26" i="19" l="1"/>
  <c r="C27" i="19"/>
  <c r="E27" i="18"/>
  <c r="C28" i="18"/>
  <c r="E26" i="17"/>
  <c r="C27" i="17"/>
  <c r="G25" i="19"/>
  <c r="G25" i="17"/>
  <c r="F26" i="17"/>
  <c r="G26" i="18"/>
  <c r="F26" i="19"/>
  <c r="F27" i="18"/>
  <c r="C28" i="19" l="1"/>
  <c r="E27" i="19"/>
  <c r="C29" i="18"/>
  <c r="E28" i="18"/>
  <c r="C28" i="17"/>
  <c r="E27" i="17"/>
  <c r="F27" i="19"/>
  <c r="G26" i="19"/>
  <c r="F28" i="18"/>
  <c r="G27" i="18"/>
  <c r="G26" i="17"/>
  <c r="F27" i="17"/>
  <c r="E28" i="19" l="1"/>
  <c r="C29" i="19"/>
  <c r="C30" i="18"/>
  <c r="E29" i="18"/>
  <c r="E28" i="17"/>
  <c r="C29" i="17"/>
  <c r="F28" i="19"/>
  <c r="G27" i="17"/>
  <c r="G28" i="18"/>
  <c r="G27" i="19"/>
  <c r="F28" i="17"/>
  <c r="F29" i="18"/>
  <c r="E29" i="19" l="1"/>
  <c r="C30" i="19"/>
  <c r="E30" i="18"/>
  <c r="C31" i="18"/>
  <c r="E29" i="17"/>
  <c r="C30" i="17"/>
  <c r="F29" i="19"/>
  <c r="G29" i="18"/>
  <c r="G28" i="19"/>
  <c r="F30" i="18"/>
  <c r="G28" i="17"/>
  <c r="F29" i="17"/>
  <c r="C31" i="19" l="1"/>
  <c r="E30" i="19"/>
  <c r="E31" i="18"/>
  <c r="C32" i="18"/>
  <c r="C31" i="17"/>
  <c r="E30" i="17"/>
  <c r="G30" i="18"/>
  <c r="F30" i="17"/>
  <c r="G29" i="19"/>
  <c r="G29" i="17"/>
  <c r="F31" i="18"/>
  <c r="F30" i="19"/>
  <c r="E31" i="19" l="1"/>
  <c r="C32" i="19"/>
  <c r="C33" i="18"/>
  <c r="E32" i="18"/>
  <c r="C32" i="17"/>
  <c r="E31" i="17"/>
  <c r="F31" i="19"/>
  <c r="G30" i="19"/>
  <c r="F32" i="18"/>
  <c r="G30" i="17"/>
  <c r="F31" i="17"/>
  <c r="G31" i="18"/>
  <c r="E32" i="19" l="1"/>
  <c r="C33" i="19"/>
  <c r="C34" i="18"/>
  <c r="E33" i="18"/>
  <c r="E32" i="17"/>
  <c r="C33" i="17"/>
  <c r="G32" i="18"/>
  <c r="F33" i="18"/>
  <c r="G31" i="19"/>
  <c r="F32" i="19"/>
  <c r="G31" i="17"/>
  <c r="F32" i="17"/>
  <c r="C34" i="19" l="1"/>
  <c r="E33" i="19"/>
  <c r="E34" i="18"/>
  <c r="C35" i="18"/>
  <c r="C34" i="17"/>
  <c r="E33" i="17"/>
  <c r="F33" i="17"/>
  <c r="F34" i="18"/>
  <c r="G33" i="18"/>
  <c r="G32" i="17"/>
  <c r="F33" i="19"/>
  <c r="G32" i="19"/>
  <c r="E34" i="19" l="1"/>
  <c r="C35" i="19"/>
  <c r="E35" i="18"/>
  <c r="C36" i="18"/>
  <c r="E34" i="17"/>
  <c r="C35" i="17"/>
  <c r="F34" i="19"/>
  <c r="G33" i="17"/>
  <c r="G34" i="18"/>
  <c r="F35" i="18"/>
  <c r="G33" i="19"/>
  <c r="F34" i="17"/>
  <c r="C36" i="19" l="1"/>
  <c r="E35" i="19"/>
  <c r="C37" i="18"/>
  <c r="E36" i="18"/>
  <c r="C36" i="17"/>
  <c r="E35" i="17"/>
  <c r="G34" i="17"/>
  <c r="G34" i="19"/>
  <c r="F35" i="19"/>
  <c r="G35" i="18"/>
  <c r="F36" i="18"/>
  <c r="F35" i="17"/>
  <c r="E36" i="19" l="1"/>
  <c r="C37" i="19"/>
  <c r="E37" i="18"/>
  <c r="C38" i="18"/>
  <c r="E36" i="17"/>
  <c r="C37" i="17"/>
  <c r="G35" i="19"/>
  <c r="F37" i="18"/>
  <c r="F36" i="19"/>
  <c r="G36" i="18"/>
  <c r="F36" i="17"/>
  <c r="G35" i="17"/>
  <c r="E37" i="19" l="1"/>
  <c r="C38" i="19"/>
  <c r="E38" i="18"/>
  <c r="C39" i="18"/>
  <c r="E37" i="17"/>
  <c r="C38" i="17"/>
  <c r="F37" i="19"/>
  <c r="G36" i="17"/>
  <c r="F38" i="18"/>
  <c r="G36" i="19"/>
  <c r="G37" i="18"/>
  <c r="F37" i="17"/>
  <c r="C39" i="19" l="1"/>
  <c r="E38" i="19"/>
  <c r="E39" i="18"/>
  <c r="C40" i="18"/>
  <c r="C39" i="17"/>
  <c r="E38" i="17"/>
  <c r="G38" i="18"/>
  <c r="G37" i="19"/>
  <c r="F38" i="17"/>
  <c r="F39" i="18"/>
  <c r="G37" i="17"/>
  <c r="F38" i="19"/>
  <c r="E39" i="19" l="1"/>
  <c r="C40" i="19"/>
  <c r="E40" i="18"/>
  <c r="C41" i="18"/>
  <c r="C40" i="17"/>
  <c r="E39" i="17"/>
  <c r="G38" i="17"/>
  <c r="G39" i="18"/>
  <c r="F40" i="18"/>
  <c r="F39" i="19"/>
  <c r="F39" i="17"/>
  <c r="G38" i="19"/>
  <c r="C41" i="19" l="1"/>
  <c r="E40" i="19"/>
  <c r="E41" i="18"/>
  <c r="C42" i="18"/>
  <c r="E42" i="18" s="1"/>
  <c r="E40" i="17"/>
  <c r="C41" i="17"/>
  <c r="G39" i="19"/>
  <c r="F41" i="18"/>
  <c r="F40" i="17"/>
  <c r="F42" i="18"/>
  <c r="G39" i="17"/>
  <c r="G40"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42" i="17"/>
  <c r="G16" i="15"/>
  <c r="G57" i="14"/>
  <c r="G54" i="14"/>
  <c r="G27" i="15"/>
  <c r="G44" i="13"/>
  <c r="G52" i="14"/>
  <c r="G24" i="14"/>
  <c r="G58" i="14"/>
  <c r="F14" i="12"/>
  <c r="G49" i="14"/>
  <c r="G13" i="14"/>
  <c r="G11" i="15"/>
  <c r="G11" i="13"/>
  <c r="G27" i="13"/>
  <c r="G18" i="15"/>
  <c r="G40" i="14"/>
  <c r="G14" i="15"/>
  <c r="G55" i="15"/>
  <c r="F12" i="12"/>
  <c r="G35" i="13"/>
  <c r="G29" i="13"/>
  <c r="G61" i="14"/>
  <c r="G20" i="15"/>
  <c r="G35" i="15"/>
  <c r="G61" i="15"/>
  <c r="H61" i="15" s="1"/>
  <c r="G44" i="15"/>
  <c r="G56" i="14"/>
  <c r="G18" i="13"/>
  <c r="G29" i="14"/>
  <c r="G12" i="13"/>
  <c r="G60" i="14"/>
  <c r="G59" i="13"/>
  <c r="G49" i="13"/>
  <c r="G10" i="13"/>
  <c r="G58" i="15"/>
  <c r="G42" i="14"/>
  <c r="G36" i="13"/>
  <c r="G26" i="14"/>
  <c r="G41" i="13"/>
  <c r="F8" i="12"/>
  <c r="G22" i="14"/>
  <c r="G38" i="14"/>
  <c r="G51" i="13"/>
  <c r="G10" i="14"/>
  <c r="G22" i="15"/>
  <c r="G47" i="15"/>
  <c r="G41" i="14"/>
  <c r="G45" i="14"/>
  <c r="F20" i="12"/>
  <c r="F19" i="12"/>
  <c r="G15" i="14"/>
  <c r="G62" i="13"/>
  <c r="G34" i="15"/>
  <c r="G45" i="15"/>
  <c r="G36" i="15"/>
  <c r="G64" i="13"/>
  <c r="G28" i="13"/>
  <c r="G55" i="13"/>
  <c r="G18" i="14"/>
  <c r="G40" i="13"/>
  <c r="G63" i="14"/>
  <c r="G13" i="15"/>
  <c r="G37" i="15"/>
  <c r="G9" i="14"/>
  <c r="G9" i="13"/>
  <c r="G43" i="13"/>
  <c r="G8" i="14"/>
  <c r="G9" i="15"/>
  <c r="G13" i="13"/>
  <c r="G7" i="13"/>
  <c r="G31" i="13"/>
  <c r="G8" i="15"/>
  <c r="G50" i="13"/>
  <c r="G32" i="14"/>
  <c r="G41" i="18"/>
  <c r="G31" i="14"/>
  <c r="G54" i="13"/>
  <c r="G59" i="14"/>
  <c r="G43" i="14"/>
  <c r="G37" i="14"/>
  <c r="G42" i="18"/>
  <c r="G53" i="13"/>
  <c r="G60" i="15"/>
  <c r="G66" i="14"/>
  <c r="F42" i="19"/>
  <c r="G66" i="13"/>
  <c r="G26" i="13"/>
  <c r="G24" i="15"/>
  <c r="G22" i="13"/>
  <c r="G14" i="14"/>
  <c r="G33" i="14"/>
  <c r="G66" i="15"/>
  <c r="G48" i="15"/>
  <c r="G38" i="13"/>
  <c r="G42" i="15"/>
  <c r="G51" i="15"/>
  <c r="G30" i="15"/>
  <c r="G65" i="15"/>
  <c r="G52" i="13"/>
  <c r="G55" i="14"/>
  <c r="G12" i="15"/>
  <c r="G26" i="15"/>
  <c r="G10" i="15"/>
  <c r="G39" i="13"/>
  <c r="G38" i="15"/>
  <c r="F6" i="12"/>
  <c r="G7" i="15"/>
  <c r="G53" i="14"/>
  <c r="G45" i="13"/>
  <c r="G19" i="13"/>
  <c r="G64" i="15"/>
  <c r="F18" i="12"/>
  <c r="G17" i="14"/>
  <c r="G65" i="13"/>
  <c r="G43" i="15"/>
  <c r="G20" i="14"/>
  <c r="G57" i="13"/>
  <c r="G47" i="14"/>
  <c r="G47" i="13"/>
  <c r="G27" i="14"/>
  <c r="G25" i="15"/>
  <c r="G44" i="14"/>
  <c r="F10" i="12"/>
  <c r="G56" i="15"/>
  <c r="G40" i="17"/>
  <c r="G32" i="13"/>
  <c r="G30" i="14"/>
  <c r="G50" i="14"/>
  <c r="F7" i="12"/>
  <c r="G15" i="13"/>
  <c r="H15" i="13" s="1"/>
  <c r="G41" i="15"/>
  <c r="G46" i="15"/>
  <c r="G23" i="13"/>
  <c r="G19" i="14"/>
  <c r="G8" i="13"/>
  <c r="G28" i="15"/>
  <c r="G48" i="14"/>
  <c r="G62" i="15"/>
  <c r="G50" i="15"/>
  <c r="F41" i="17"/>
  <c r="G64" i="14"/>
  <c r="G21" i="13"/>
  <c r="G7" i="14"/>
  <c r="G33" i="13"/>
  <c r="G39" i="14"/>
  <c r="G14" i="13"/>
  <c r="G56" i="13"/>
  <c r="G24" i="13"/>
  <c r="G32" i="15"/>
  <c r="G36" i="14"/>
  <c r="G61" i="13"/>
  <c r="G20" i="13"/>
  <c r="G17" i="15"/>
  <c r="F11" i="12"/>
  <c r="G35" i="14"/>
  <c r="G25" i="14"/>
  <c r="G46" i="14"/>
  <c r="F15" i="12"/>
  <c r="G48" i="13"/>
  <c r="G57" i="15"/>
  <c r="G62" i="14"/>
  <c r="G11" i="14"/>
  <c r="G33" i="15"/>
  <c r="G63" i="13"/>
  <c r="F9" i="12"/>
  <c r="G42" i="13"/>
  <c r="F16" i="12"/>
  <c r="G23" i="14"/>
  <c r="G52" i="15"/>
  <c r="G31" i="15"/>
  <c r="G19" i="15"/>
  <c r="G28" i="14"/>
  <c r="G17" i="13"/>
  <c r="G34" i="14"/>
  <c r="F41" i="19"/>
  <c r="G51" i="14"/>
  <c r="G49" i="15"/>
  <c r="G40" i="15"/>
  <c r="G21" i="14"/>
  <c r="G65" i="14"/>
  <c r="G34" i="13"/>
  <c r="G39" i="15"/>
  <c r="G30" i="13"/>
  <c r="G16" i="14"/>
  <c r="G40" i="19"/>
  <c r="G53" i="15"/>
  <c r="G37" i="13"/>
  <c r="G23" i="15"/>
  <c r="G63" i="15"/>
  <c r="G60" i="13"/>
  <c r="F13" i="12"/>
  <c r="G29" i="15"/>
  <c r="G21" i="15"/>
  <c r="G59" i="15"/>
  <c r="G46" i="13"/>
  <c r="H65" i="15"/>
  <c r="F17" i="12"/>
  <c r="G12" i="14"/>
  <c r="G54" i="15"/>
  <c r="G16" i="13"/>
  <c r="G58" i="13"/>
  <c r="G15" i="15"/>
  <c r="G25" i="13"/>
  <c r="G6" i="14"/>
  <c r="G4" i="18"/>
  <c r="F4" i="19"/>
  <c r="F4" i="17"/>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59" i="8"/>
  <c r="G53" i="8"/>
  <c r="G37" i="10"/>
  <c r="G31" i="10"/>
  <c r="G36" i="8"/>
  <c r="G20" i="8"/>
  <c r="G24" i="10"/>
  <c r="G47" i="10"/>
  <c r="G51" i="10"/>
  <c r="G63" i="9"/>
  <c r="F9" i="7"/>
  <c r="G58" i="8"/>
  <c r="G32" i="9"/>
  <c r="G56" i="8"/>
  <c r="G54" i="10"/>
  <c r="G26" i="10"/>
  <c r="G33" i="10"/>
  <c r="G38" i="8"/>
  <c r="G23" i="8"/>
  <c r="G65" i="8"/>
  <c r="G42" i="8"/>
  <c r="F13" i="7"/>
  <c r="G45" i="10"/>
  <c r="G45" i="8"/>
  <c r="G62" i="8"/>
  <c r="H29" i="15"/>
  <c r="H39" i="13"/>
  <c r="H7" i="15"/>
  <c r="H22" i="15"/>
  <c r="H36" i="14"/>
  <c r="H38" i="15"/>
  <c r="H8" i="14"/>
  <c r="H8" i="15"/>
  <c r="H27" i="14"/>
  <c r="H34" i="15"/>
  <c r="H49" i="14"/>
  <c r="H41" i="13"/>
  <c r="H18" i="14"/>
  <c r="H14" i="15"/>
  <c r="H37" i="14"/>
  <c r="H11" i="15"/>
  <c r="H26" i="13"/>
  <c r="H63" i="13"/>
  <c r="H51" i="13"/>
  <c r="H45" i="14"/>
  <c r="H20" i="15"/>
  <c r="H39" i="14"/>
  <c r="H50" i="15"/>
  <c r="H66" i="13"/>
  <c r="H41" i="15"/>
  <c r="G12" i="10"/>
  <c r="G66" i="8"/>
  <c r="G26" i="9"/>
  <c r="G31" i="8"/>
  <c r="G40" i="10"/>
  <c r="G24" i="8"/>
  <c r="F14" i="7"/>
  <c r="G28" i="9"/>
  <c r="H44" i="13"/>
  <c r="H55" i="15"/>
  <c r="H30" i="13"/>
  <c r="H33" i="14"/>
  <c r="G13" i="12"/>
  <c r="H26" i="15"/>
  <c r="G66" i="9"/>
  <c r="G29" i="10"/>
  <c r="G42" i="9"/>
  <c r="G22" i="8"/>
  <c r="G59" i="10"/>
  <c r="G44" i="8"/>
  <c r="G8" i="10"/>
  <c r="G63" i="8"/>
  <c r="H12" i="13"/>
  <c r="H50" i="14"/>
  <c r="H47" i="14"/>
  <c r="H7" i="13"/>
  <c r="H17" i="14"/>
  <c r="H42" i="13"/>
  <c r="H36" i="15"/>
  <c r="F12" i="7"/>
  <c r="G41" i="17"/>
  <c r="G41" i="9"/>
  <c r="G12" i="8"/>
  <c r="G58" i="10"/>
  <c r="G29" i="9"/>
  <c r="H58" i="15"/>
  <c r="H10" i="13"/>
  <c r="H56" i="13"/>
  <c r="H25" i="15"/>
  <c r="H43" i="15"/>
  <c r="H64" i="14"/>
  <c r="H10" i="14"/>
  <c r="H32" i="13"/>
  <c r="G7" i="8"/>
  <c r="G22" i="9"/>
  <c r="G57" i="9"/>
  <c r="G53" i="10"/>
  <c r="G45" i="9"/>
  <c r="F15" i="7"/>
  <c r="G14" i="10"/>
  <c r="F20" i="7"/>
  <c r="G64" i="10"/>
  <c r="G43" i="9"/>
  <c r="G30" i="9"/>
  <c r="G46" i="10"/>
  <c r="F10" i="7"/>
  <c r="G25" i="8"/>
  <c r="G8" i="9"/>
  <c r="G34" i="8"/>
  <c r="G18" i="9"/>
  <c r="G28" i="10"/>
  <c r="G34" i="9"/>
  <c r="F6" i="7"/>
  <c r="G39" i="8"/>
  <c r="G31" i="9"/>
  <c r="G64" i="9"/>
  <c r="G50" i="8"/>
  <c r="G51" i="8"/>
  <c r="H25" i="14"/>
  <c r="H40" i="14"/>
  <c r="H47" i="13"/>
  <c r="H29" i="14"/>
  <c r="G18" i="12"/>
  <c r="H65" i="13"/>
  <c r="G17" i="12"/>
  <c r="H39" i="15"/>
  <c r="H37" i="13"/>
  <c r="H63" i="14"/>
  <c r="H34" i="14"/>
  <c r="H8" i="13"/>
  <c r="H54" i="14"/>
  <c r="H48" i="14"/>
  <c r="H28" i="15"/>
  <c r="H46" i="15"/>
  <c r="H57" i="14"/>
  <c r="H56" i="15"/>
  <c r="H48" i="15"/>
  <c r="H31" i="15"/>
  <c r="H45" i="15"/>
  <c r="H11" i="13"/>
  <c r="H15" i="15"/>
  <c r="H9" i="14"/>
  <c r="G28" i="8"/>
  <c r="G25" i="10"/>
  <c r="G39" i="10"/>
  <c r="G52" i="10"/>
  <c r="G42" i="10"/>
  <c r="G64" i="8"/>
  <c r="G46" i="9"/>
  <c r="G10" i="8"/>
  <c r="H58" i="13"/>
  <c r="H28" i="13"/>
  <c r="H59" i="14"/>
  <c r="H62" i="14"/>
  <c r="H66" i="14"/>
  <c r="H40" i="15"/>
  <c r="H54" i="13"/>
  <c r="G52" i="9"/>
  <c r="G17" i="9"/>
  <c r="G38" i="9"/>
  <c r="G40" i="9"/>
  <c r="G10" i="10"/>
  <c r="G21" i="9"/>
  <c r="G13" i="9"/>
  <c r="G50" i="9"/>
  <c r="H55" i="14"/>
  <c r="H57" i="15"/>
  <c r="H58" i="14"/>
  <c r="H44" i="15"/>
  <c r="H59" i="13"/>
  <c r="H60" i="14"/>
  <c r="H62" i="15"/>
  <c r="H44" i="14"/>
  <c r="H24" i="15"/>
  <c r="H49" i="15"/>
  <c r="G43" i="8"/>
  <c r="G11" i="9"/>
  <c r="G16" i="8"/>
  <c r="G7" i="9"/>
  <c r="G30" i="8"/>
  <c r="G32" i="8"/>
  <c r="H20" i="14"/>
  <c r="H30" i="15"/>
  <c r="G9" i="12"/>
  <c r="H19" i="15"/>
  <c r="G56" i="9"/>
  <c r="G26" i="8"/>
  <c r="G56" i="10"/>
  <c r="G33" i="8"/>
  <c r="G19" i="10"/>
  <c r="G36" i="9"/>
  <c r="G14" i="8"/>
  <c r="F11" i="7"/>
  <c r="G54" i="8"/>
  <c r="G22" i="10"/>
  <c r="G36" i="10"/>
  <c r="G50" i="10"/>
  <c r="G41" i="19"/>
  <c r="G48" i="10"/>
  <c r="G62" i="9"/>
  <c r="G11" i="8"/>
  <c r="G60" i="9"/>
  <c r="G9" i="9"/>
  <c r="G13" i="10"/>
  <c r="F8" i="7"/>
  <c r="F18" i="7"/>
  <c r="G15" i="10"/>
  <c r="G63" i="10"/>
  <c r="G40" i="8"/>
  <c r="G61" i="10"/>
  <c r="G10" i="12"/>
  <c r="H27" i="15"/>
  <c r="G7" i="12"/>
  <c r="H23" i="14"/>
  <c r="G12" i="12"/>
  <c r="H64" i="13"/>
  <c r="H65" i="14"/>
  <c r="H34" i="13"/>
  <c r="H13" i="14"/>
  <c r="H52" i="13"/>
  <c r="H29" i="13"/>
  <c r="H14" i="13"/>
  <c r="H43" i="13"/>
  <c r="H35" i="14"/>
  <c r="H51" i="14"/>
  <c r="H22" i="14"/>
  <c r="H22" i="13"/>
  <c r="G16" i="12"/>
  <c r="H21" i="13"/>
  <c r="H32" i="15"/>
  <c r="H61" i="13"/>
  <c r="H42" i="15"/>
  <c r="H32" i="14"/>
  <c r="H27" i="13"/>
  <c r="G12" i="9"/>
  <c r="G57" i="8"/>
  <c r="G53" i="9"/>
  <c r="G10" i="9"/>
  <c r="G46" i="8"/>
  <c r="G65" i="9"/>
  <c r="G15" i="9"/>
  <c r="G9" i="8"/>
  <c r="G20" i="10"/>
  <c r="H55" i="13"/>
  <c r="H50" i="13"/>
  <c r="G19" i="12"/>
  <c r="H16" i="14"/>
  <c r="H59" i="15"/>
  <c r="H16" i="13"/>
  <c r="H52" i="15"/>
  <c r="H63" i="15"/>
  <c r="H24" i="14"/>
  <c r="H15" i="14"/>
  <c r="G55" i="8"/>
  <c r="G41" i="10"/>
  <c r="G11" i="10"/>
  <c r="G62" i="10"/>
  <c r="G9" i="10"/>
  <c r="F19" i="7"/>
  <c r="G35" i="8"/>
  <c r="G13" i="8"/>
  <c r="G44" i="9"/>
  <c r="H33" i="13"/>
  <c r="H33" i="15"/>
  <c r="H53" i="13"/>
  <c r="H35" i="13"/>
  <c r="H57" i="13"/>
  <c r="H17" i="15"/>
  <c r="H13" i="13"/>
  <c r="G11" i="12"/>
  <c r="H38" i="13"/>
  <c r="H54" i="15"/>
  <c r="G29" i="8"/>
  <c r="G27" i="9"/>
  <c r="G48" i="9"/>
  <c r="G37" i="9"/>
  <c r="G47" i="9"/>
  <c r="G60" i="8"/>
  <c r="H46" i="13"/>
  <c r="H11" i="14"/>
  <c r="H61" i="14"/>
  <c r="H62" i="13"/>
  <c r="H53" i="15"/>
  <c r="H9" i="15"/>
  <c r="H51" i="15"/>
  <c r="H42" i="14"/>
  <c r="G60" i="10"/>
  <c r="G8" i="8"/>
  <c r="G25" i="9"/>
  <c r="G61" i="8"/>
  <c r="F17" i="7"/>
  <c r="F6" i="6"/>
  <c r="G39" i="9"/>
  <c r="G44" i="10"/>
  <c r="G23" i="9"/>
  <c r="G66" i="10"/>
  <c r="G17" i="8"/>
  <c r="G54" i="9"/>
  <c r="G7" i="10"/>
  <c r="G55" i="9"/>
  <c r="G21" i="10"/>
  <c r="G18" i="10"/>
  <c r="G19" i="8"/>
  <c r="G47" i="8"/>
  <c r="G20" i="9"/>
  <c r="G48" i="8"/>
  <c r="G34" i="10"/>
  <c r="G42" i="17"/>
  <c r="G14" i="9"/>
  <c r="G18" i="8"/>
  <c r="G35" i="9"/>
  <c r="H48" i="13"/>
  <c r="H13" i="15"/>
  <c r="H37" i="15"/>
  <c r="H12" i="14"/>
  <c r="G14" i="12"/>
  <c r="H30" i="14"/>
  <c r="H41" i="14"/>
  <c r="H49" i="13"/>
  <c r="H19" i="14"/>
  <c r="G20" i="12"/>
  <c r="H38" i="14"/>
  <c r="H64" i="15"/>
  <c r="H25" i="13"/>
  <c r="H52" i="14"/>
  <c r="H28" i="14"/>
  <c r="H47" i="15"/>
  <c r="H23" i="15"/>
  <c r="H36" i="13"/>
  <c r="H53" i="14"/>
  <c r="H20" i="13"/>
  <c r="H40" i="13"/>
  <c r="G6" i="12"/>
  <c r="H24" i="13"/>
  <c r="H31" i="14"/>
  <c r="G52" i="8"/>
  <c r="H52" i="8" s="1"/>
  <c r="G51" i="9"/>
  <c r="G42" i="19"/>
  <c r="G35" i="10"/>
  <c r="G33" i="9"/>
  <c r="G15" i="8"/>
  <c r="G43" i="10"/>
  <c r="G59" i="9"/>
  <c r="G32" i="10"/>
  <c r="G49" i="9"/>
  <c r="G16" i="9"/>
  <c r="G55" i="10"/>
  <c r="G27" i="8"/>
  <c r="G17" i="10"/>
  <c r="G19" i="9"/>
  <c r="G49" i="10"/>
  <c r="G23" i="10"/>
  <c r="F7" i="7"/>
  <c r="G37" i="8"/>
  <c r="G57" i="10"/>
  <c r="G21" i="8"/>
  <c r="G24" i="9"/>
  <c r="G30" i="10"/>
  <c r="F16" i="7"/>
  <c r="G41" i="8"/>
  <c r="G15" i="12"/>
  <c r="H35" i="15"/>
  <c r="H16" i="15"/>
  <c r="H26" i="14"/>
  <c r="H12" i="15"/>
  <c r="H18" i="15"/>
  <c r="H10" i="15"/>
  <c r="H19" i="13"/>
  <c r="H23" i="13"/>
  <c r="H9" i="13"/>
  <c r="H46" i="14"/>
  <c r="H14" i="14"/>
  <c r="H21" i="15"/>
  <c r="H17" i="13"/>
  <c r="H21" i="14"/>
  <c r="H45" i="13"/>
  <c r="H60" i="15"/>
  <c r="H31" i="13"/>
  <c r="G8" i="12"/>
  <c r="H18" i="13"/>
  <c r="H56" i="14"/>
  <c r="G16" i="10"/>
  <c r="G61" i="9"/>
  <c r="G58" i="9"/>
  <c r="G65" i="10"/>
  <c r="G49" i="8"/>
  <c r="G38" i="10"/>
  <c r="G27" i="10"/>
  <c r="H43" i="14"/>
  <c r="H60" i="13"/>
  <c r="H7" i="14"/>
  <c r="H66" i="15"/>
  <c r="G4" i="17"/>
  <c r="H6" i="14"/>
  <c r="G6" i="13"/>
  <c r="F5" i="7"/>
  <c r="G4" i="19"/>
  <c r="F5" i="12"/>
  <c r="G6" i="15"/>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E15" i="4"/>
  <c r="E26" i="4"/>
  <c r="E14" i="4"/>
  <c r="G11" i="7"/>
  <c r="H40" i="10"/>
  <c r="H33" i="9"/>
  <c r="H37" i="9"/>
  <c r="H59" i="8"/>
  <c r="H58" i="9"/>
  <c r="H41" i="9"/>
  <c r="H8" i="8"/>
  <c r="H57" i="8"/>
  <c r="H32" i="10"/>
  <c r="H29" i="8"/>
  <c r="H30" i="10"/>
  <c r="H31" i="8"/>
  <c r="H7" i="10"/>
  <c r="G10" i="7"/>
  <c r="H25" i="10"/>
  <c r="H60" i="9"/>
  <c r="H25" i="9"/>
  <c r="H45" i="8"/>
  <c r="H34" i="10"/>
  <c r="H62" i="8"/>
  <c r="H14" i="10"/>
  <c r="H42" i="8"/>
  <c r="G15" i="7"/>
  <c r="H15" i="9"/>
  <c r="H22" i="10"/>
  <c r="F14" i="6"/>
  <c r="H54" i="8"/>
  <c r="G17" i="7"/>
  <c r="H24" i="10"/>
  <c r="H17" i="8"/>
  <c r="H43" i="9"/>
  <c r="H32" i="8"/>
  <c r="H27" i="8"/>
  <c r="H41" i="8"/>
  <c r="H60" i="10"/>
  <c r="H32" i="9"/>
  <c r="H27" i="10"/>
  <c r="H26" i="9"/>
  <c r="H57" i="10"/>
  <c r="H65" i="9"/>
  <c r="H33" i="8"/>
  <c r="H46" i="8"/>
  <c r="H23" i="9"/>
  <c r="H22" i="8"/>
  <c r="H13" i="8"/>
  <c r="H19" i="8"/>
  <c r="H27" i="9"/>
  <c r="H51" i="8"/>
  <c r="G18" i="7"/>
  <c r="E22" i="4"/>
  <c r="E12" i="4"/>
  <c r="E6" i="4"/>
  <c r="Y3" i="28"/>
  <c r="F12" i="4"/>
  <c r="H35" i="8"/>
  <c r="H64" i="9"/>
  <c r="H17" i="9"/>
  <c r="H54" i="9"/>
  <c r="H51" i="10"/>
  <c r="H23" i="10"/>
  <c r="H16" i="8"/>
  <c r="H56" i="9"/>
  <c r="H38" i="8"/>
  <c r="H6" i="6"/>
  <c r="H10" i="8"/>
  <c r="H37" i="10"/>
  <c r="H21" i="10"/>
  <c r="H44" i="9"/>
  <c r="H44" i="10"/>
  <c r="H50" i="8"/>
  <c r="H21" i="9"/>
  <c r="H36" i="9"/>
  <c r="H55" i="8"/>
  <c r="H43" i="8"/>
  <c r="H63" i="10"/>
  <c r="H47" i="8"/>
  <c r="H65" i="10"/>
  <c r="H11" i="8"/>
  <c r="F14" i="4"/>
  <c r="E17" i="4"/>
  <c r="E38" i="4"/>
  <c r="E7" i="4"/>
  <c r="E18" i="4"/>
  <c r="E9" i="4"/>
  <c r="E35" i="4"/>
  <c r="H34" i="8"/>
  <c r="H29" i="9"/>
  <c r="G12" i="7"/>
  <c r="H62" i="9"/>
  <c r="H31" i="10"/>
  <c r="H17" i="10"/>
  <c r="H26" i="8"/>
  <c r="H40" i="8"/>
  <c r="G6" i="7"/>
  <c r="H13" i="9"/>
  <c r="H39" i="9"/>
  <c r="H42" i="10"/>
  <c r="H14" i="9"/>
  <c r="H54" i="10"/>
  <c r="H64" i="10"/>
  <c r="H25" i="8"/>
  <c r="H44" i="8"/>
  <c r="H11" i="9"/>
  <c r="H38" i="9"/>
  <c r="H37" i="8"/>
  <c r="H50" i="10"/>
  <c r="H20" i="8"/>
  <c r="H35" i="10"/>
  <c r="E10" i="4"/>
  <c r="E32" i="4"/>
  <c r="H18" i="10"/>
  <c r="H55" i="9"/>
  <c r="H40" i="9"/>
  <c r="H9" i="10"/>
  <c r="H62" i="10"/>
  <c r="H51" i="9"/>
  <c r="F9" i="4"/>
  <c r="E33" i="4"/>
  <c r="Y48" i="28"/>
  <c r="G13" i="7"/>
  <c r="H60" i="8"/>
  <c r="H46" i="10"/>
  <c r="H28" i="9"/>
  <c r="H10" i="10"/>
  <c r="H12" i="9"/>
  <c r="H20" i="9"/>
  <c r="H58" i="10"/>
  <c r="H57" i="9"/>
  <c r="G19" i="7"/>
  <c r="E20" i="4"/>
  <c r="F20" i="6" s="1"/>
  <c r="E25" i="4"/>
  <c r="E31" i="4"/>
  <c r="H11" i="10"/>
  <c r="H48" i="9"/>
  <c r="H31" i="9"/>
  <c r="H22" i="9"/>
  <c r="H33" i="10"/>
  <c r="G16" i="7"/>
  <c r="H8" i="9"/>
  <c r="H36" i="8"/>
  <c r="E19" i="4"/>
  <c r="F19" i="6" s="1"/>
  <c r="E13" i="4"/>
  <c r="E21" i="4"/>
  <c r="E37" i="4"/>
  <c r="E34" i="4"/>
  <c r="E30" i="4"/>
  <c r="H7" i="8"/>
  <c r="H23" i="8"/>
  <c r="H36" i="10"/>
  <c r="H56" i="8"/>
  <c r="H28" i="10"/>
  <c r="H49" i="9"/>
  <c r="H45" i="9"/>
  <c r="H55" i="10"/>
  <c r="H26" i="10"/>
  <c r="H61" i="8"/>
  <c r="G20" i="7"/>
  <c r="H21" i="8"/>
  <c r="H66" i="9"/>
  <c r="H13" i="10"/>
  <c r="H39" i="10"/>
  <c r="H28" i="8"/>
  <c r="H48" i="10"/>
  <c r="H38" i="10"/>
  <c r="H52" i="9"/>
  <c r="H14" i="8"/>
  <c r="H15" i="10"/>
  <c r="H53" i="8"/>
  <c r="H63" i="9"/>
  <c r="H8" i="10"/>
  <c r="F13" i="4"/>
  <c r="H19" i="6"/>
  <c r="H14" i="6"/>
  <c r="E8" i="4"/>
  <c r="E11" i="4"/>
  <c r="H59" i="10"/>
  <c r="H59" i="9"/>
  <c r="H49" i="8"/>
  <c r="H16" i="9"/>
  <c r="G9" i="7"/>
  <c r="H47" i="10"/>
  <c r="H64" i="8"/>
  <c r="H46" i="9"/>
  <c r="H16" i="10"/>
  <c r="H58" i="8"/>
  <c r="H24" i="8"/>
  <c r="H34" i="9"/>
  <c r="H39" i="8"/>
  <c r="H30" i="8"/>
  <c r="H29" i="10"/>
  <c r="H9" i="8"/>
  <c r="H10" i="9"/>
  <c r="H65" i="8"/>
  <c r="H35" i="9"/>
  <c r="H30" i="9"/>
  <c r="H18" i="9"/>
  <c r="H9" i="9"/>
  <c r="H66" i="8"/>
  <c r="H61" i="9"/>
  <c r="F13" i="6"/>
  <c r="G19" i="6"/>
  <c r="G14" i="6"/>
  <c r="E36" i="4"/>
  <c r="H61" i="10"/>
  <c r="G7" i="7"/>
  <c r="G8" i="7"/>
  <c r="H7" i="9"/>
  <c r="H41" i="10"/>
  <c r="H24" i="9"/>
  <c r="H19" i="9"/>
  <c r="H12" i="8"/>
  <c r="H18" i="8"/>
  <c r="H56" i="10"/>
  <c r="H66" i="10"/>
  <c r="F10" i="4"/>
  <c r="F22" i="4"/>
  <c r="F17" i="4"/>
  <c r="H47" i="9"/>
  <c r="H49" i="10"/>
  <c r="H52" i="10"/>
  <c r="H20" i="10"/>
  <c r="H15" i="8"/>
  <c r="H42" i="9"/>
  <c r="H43" i="10"/>
  <c r="F9" i="6"/>
  <c r="E29" i="4"/>
  <c r="E16" i="4"/>
  <c r="H53" i="9"/>
  <c r="H19" i="10"/>
  <c r="H48" i="8"/>
  <c r="G14" i="7"/>
  <c r="H45" i="10"/>
  <c r="H53" i="10"/>
  <c r="H50" i="9"/>
  <c r="H12" i="10"/>
  <c r="H63" i="8"/>
  <c r="H6" i="13"/>
  <c r="G6" i="9"/>
  <c r="G6" i="45"/>
  <c r="G6" i="8"/>
  <c r="G5" i="7"/>
  <c r="H6" i="15"/>
  <c r="H6" i="8"/>
  <c r="G6" i="10"/>
  <c r="H6" i="10" s="1"/>
  <c r="E5" i="4"/>
  <c r="E28" i="4"/>
  <c r="G5" i="12"/>
  <c r="E24" i="4"/>
  <c r="F5" i="4"/>
  <c r="H20" i="6"/>
  <c r="G20" i="6"/>
  <c r="F7" i="6"/>
  <c r="H13" i="6"/>
  <c r="G13" i="6"/>
  <c r="H9" i="6"/>
  <c r="G9" i="6"/>
  <c r="G7" i="6"/>
  <c r="H7" i="6"/>
  <c r="X6" i="19" l="1"/>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I7" i="6"/>
  <c r="F12" i="6"/>
  <c r="F35" i="4"/>
  <c r="F8" i="4"/>
  <c r="F19" i="4"/>
  <c r="I19" i="6"/>
  <c r="I13" i="6"/>
  <c r="F38" i="4"/>
  <c r="F21" i="6"/>
  <c r="F6" i="4"/>
  <c r="I20" i="6"/>
  <c r="F18" i="6"/>
  <c r="F18" i="4"/>
  <c r="F17" i="6"/>
  <c r="F16" i="6"/>
  <c r="F22" i="6"/>
  <c r="F31" i="4"/>
  <c r="F11" i="4"/>
  <c r="F37" i="4"/>
  <c r="F32" i="4"/>
  <c r="F11" i="6"/>
  <c r="F26" i="4"/>
  <c r="F29" i="4"/>
  <c r="F21" i="4"/>
  <c r="I14" i="6"/>
  <c r="F20" i="4"/>
  <c r="F8" i="6"/>
  <c r="F15" i="6"/>
  <c r="I9" i="6"/>
  <c r="F25" i="4"/>
  <c r="F33" i="4"/>
  <c r="F7" i="4"/>
  <c r="F10" i="6"/>
  <c r="F36" i="4"/>
  <c r="F15" i="4"/>
  <c r="F34" i="4"/>
  <c r="F30" i="4"/>
  <c r="F16" i="4"/>
  <c r="F24" i="4"/>
  <c r="F28" i="4"/>
  <c r="H6" i="45"/>
  <c r="H6" i="9"/>
  <c r="H12" i="6"/>
  <c r="H21" i="6"/>
  <c r="G18" i="6"/>
  <c r="I18" i="6" s="1"/>
  <c r="G17" i="6"/>
  <c r="I17" i="6" s="1"/>
  <c r="H17" i="6"/>
  <c r="G16" i="6"/>
  <c r="I16" i="6" s="1"/>
  <c r="H16" i="6"/>
  <c r="G22" i="6"/>
  <c r="I22" i="6" s="1"/>
  <c r="H22" i="6"/>
  <c r="H11" i="6"/>
  <c r="G11" i="6"/>
  <c r="I11" i="6" s="1"/>
  <c r="G8" i="6"/>
  <c r="H8" i="6"/>
  <c r="G15" i="6"/>
  <c r="I15" i="6" s="1"/>
  <c r="H15" i="6"/>
  <c r="G10" i="6"/>
  <c r="I10" i="6" s="1"/>
  <c r="I8" i="6"/>
  <c r="Y38" i="19" l="1"/>
  <c r="AC5" i="19" a="1"/>
  <c r="AC42" i="19" s="1"/>
  <c r="S3" i="18"/>
  <c r="X5" i="18" a="1"/>
  <c r="H18" i="6"/>
  <c r="AD42" i="19"/>
  <c r="G21" i="6"/>
  <c r="I21" i="6" s="1"/>
  <c r="G12" i="6"/>
  <c r="H10" i="6"/>
  <c r="F5" i="6"/>
  <c r="H5" i="6" s="1"/>
  <c r="I12"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7" i="19"/>
  <c r="AD16" i="19"/>
  <c r="AD26" i="19"/>
  <c r="AD8" i="19"/>
  <c r="AD22" i="19"/>
  <c r="AD20" i="19"/>
  <c r="AD15" i="19"/>
  <c r="AD41" i="19"/>
  <c r="AD31" i="19"/>
  <c r="AD35" i="19"/>
  <c r="AD9" i="19"/>
  <c r="AD5" i="19"/>
  <c r="AD18" i="19"/>
  <c r="AD23" i="19"/>
  <c r="AD24" i="19"/>
  <c r="AD6" i="19"/>
  <c r="AD39" i="19"/>
  <c r="AD34" i="19"/>
  <c r="AD37" i="19"/>
  <c r="AD28" i="19"/>
  <c r="AD32" i="19"/>
  <c r="AD13" i="19"/>
  <c r="AD27" i="19"/>
  <c r="AD30" i="19"/>
  <c r="AD10" i="19"/>
  <c r="AD14" i="19"/>
  <c r="AD19" i="19"/>
  <c r="AD29" i="19"/>
  <c r="AD11" i="19"/>
  <c r="AD33" i="19"/>
  <c r="AD40" i="19"/>
  <c r="AD12" i="19"/>
  <c r="AD21" i="19"/>
  <c r="AD36" i="19"/>
  <c r="AD38" i="19"/>
  <c r="AD25" i="19"/>
  <c r="AD17" i="19"/>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23" i="18"/>
  <c r="AD37" i="18"/>
  <c r="AD29" i="18"/>
  <c r="AD6" i="18"/>
  <c r="AD38" i="18"/>
  <c r="AD35" i="18"/>
  <c r="AD15" i="18"/>
  <c r="AD30" i="18"/>
  <c r="AD19" i="18"/>
  <c r="AD25" i="18"/>
  <c r="AD8" i="18"/>
  <c r="AD41" i="18"/>
  <c r="AD16" i="18"/>
  <c r="AD40" i="18"/>
  <c r="AD42" i="18"/>
  <c r="AD10" i="18"/>
  <c r="AD34" i="18"/>
  <c r="AD5" i="18"/>
  <c r="AD14" i="18"/>
  <c r="AD12" i="18"/>
  <c r="AD21" i="18"/>
  <c r="AD22" i="18"/>
  <c r="AD31" i="18"/>
  <c r="AD28" i="18"/>
  <c r="AD27" i="18"/>
  <c r="AD9" i="18"/>
  <c r="AD39" i="18"/>
  <c r="AD11" i="18"/>
  <c r="AD32" i="18"/>
  <c r="AD33" i="18"/>
  <c r="AD26" i="18"/>
  <c r="AD24" i="18"/>
  <c r="AD13" i="18"/>
  <c r="AD18" i="18"/>
  <c r="AD36" i="18"/>
  <c r="AD20" i="18"/>
  <c r="AD17"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Z3" i="30"/>
  <c r="AD42" i="17"/>
  <c r="Z3" i="29"/>
  <c r="M6" i="25" a="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3" i="17"/>
  <c r="AD41" i="17"/>
  <c r="AD10" i="17"/>
  <c r="AD32" i="17"/>
  <c r="AD9" i="17"/>
  <c r="AD11" i="17"/>
  <c r="AD36" i="17"/>
  <c r="AD12" i="17"/>
  <c r="AD18" i="17"/>
  <c r="AD15" i="17"/>
  <c r="AD19" i="17"/>
  <c r="AD37" i="17"/>
  <c r="AD23" i="17"/>
  <c r="AD24" i="17"/>
  <c r="AD34" i="17"/>
  <c r="AD22" i="17"/>
  <c r="AD35" i="17"/>
  <c r="AD30" i="17"/>
  <c r="AD31" i="17"/>
  <c r="AD7" i="17"/>
  <c r="AD38" i="17"/>
  <c r="AD8" i="17"/>
  <c r="AD40" i="17"/>
  <c r="AD26" i="17"/>
  <c r="AD21" i="17"/>
  <c r="AD17" i="17"/>
  <c r="AD5" i="17"/>
  <c r="AD16" i="17"/>
  <c r="AD14" i="17"/>
  <c r="AD27" i="17"/>
  <c r="AD6" i="17"/>
  <c r="AD20" i="17"/>
  <c r="AD25" i="17"/>
  <c r="AD13" i="17"/>
  <c r="AD39" i="17"/>
  <c r="AD29" i="17"/>
  <c r="AD28" i="17"/>
  <c r="M9" i="25" l="1"/>
  <c r="Y6" i="25" s="1" a="1"/>
  <c r="AD3" i="17"/>
  <c r="Y9" i="25" l="1"/>
  <c r="Y6" i="25"/>
  <c r="Y7" i="25"/>
  <c r="Y8" i="25"/>
  <c r="AA8" i="25"/>
  <c r="AA6" i="25"/>
  <c r="M6" i="24" a="1"/>
  <c r="AA7" i="25"/>
  <c r="AA9"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O6" i="24" l="1"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7" i="23"/>
  <c r="AA9" i="23"/>
  <c r="X3" i="22"/>
  <c r="AA10" i="23"/>
  <c r="AA11" i="23"/>
  <c r="AA8" i="23"/>
  <c r="AA14" i="23"/>
  <c r="AA16" i="23"/>
  <c r="AA13" i="23"/>
  <c r="D6" i="24" a="1"/>
  <c r="AA6" i="23"/>
  <c r="AA12" i="23"/>
  <c r="AA15" i="23"/>
  <c r="AA17" i="23"/>
  <c r="D7" i="24" l="1"/>
  <c r="E7" i="24" s="1"/>
  <c r="D32" i="24"/>
  <c r="E32" i="24" s="1"/>
  <c r="D12" i="24"/>
  <c r="E12" i="24" s="1"/>
  <c r="D9" i="24"/>
  <c r="E9" i="24" s="1"/>
  <c r="D14" i="24"/>
  <c r="E14" i="24" s="1"/>
  <c r="D13" i="24"/>
  <c r="E13" i="24" s="1"/>
  <c r="D24" i="24"/>
  <c r="E24" i="24" s="1"/>
  <c r="D18" i="24"/>
  <c r="E18" i="24" s="1"/>
  <c r="D37" i="24"/>
  <c r="E37" i="24" s="1"/>
  <c r="D34" i="24"/>
  <c r="E34" i="24" s="1"/>
  <c r="D8" i="24"/>
  <c r="E8" i="24" s="1"/>
  <c r="D30" i="24"/>
  <c r="E30" i="24" s="1"/>
  <c r="D21" i="24"/>
  <c r="E21" i="24" s="1"/>
  <c r="D42" i="24"/>
  <c r="E42" i="24" s="1"/>
  <c r="D44" i="24"/>
  <c r="E44" i="24" s="1"/>
  <c r="D22" i="24"/>
  <c r="E22" i="24" s="1"/>
  <c r="D10" i="24"/>
  <c r="E10" i="24" s="1"/>
  <c r="D43" i="24"/>
  <c r="E43" i="24" s="1"/>
  <c r="D39" i="24"/>
  <c r="E39" i="24" s="1"/>
  <c r="D20" i="24"/>
  <c r="E20" i="24" s="1"/>
  <c r="D33" i="24"/>
  <c r="E33" i="24" s="1"/>
  <c r="D35" i="24"/>
  <c r="E35" i="24" s="1"/>
  <c r="D29" i="24"/>
  <c r="E29" i="24" s="1"/>
  <c r="D17" i="24"/>
  <c r="E17" i="24" s="1"/>
  <c r="D45" i="24"/>
  <c r="E45" i="24" s="1"/>
  <c r="D19" i="24"/>
  <c r="E19" i="24" s="1"/>
  <c r="D38" i="24"/>
  <c r="E38" i="24" s="1"/>
  <c r="D23" i="24"/>
  <c r="E23" i="24" s="1"/>
  <c r="D28" i="24"/>
  <c r="E28" i="24" s="1"/>
  <c r="D25" i="24"/>
  <c r="E25" i="24" s="1"/>
  <c r="D11" i="24"/>
  <c r="E11" i="24" s="1"/>
  <c r="D15" i="24"/>
  <c r="E15" i="24" s="1"/>
  <c r="D26" i="24"/>
  <c r="E26" i="24" s="1"/>
  <c r="D31" i="24"/>
  <c r="E31" i="24" s="1"/>
  <c r="D36" i="24"/>
  <c r="E36" i="24" s="1"/>
  <c r="D27" i="24"/>
  <c r="E27" i="24" s="1"/>
  <c r="D46" i="24"/>
  <c r="E46" i="24" s="1"/>
  <c r="D47" i="24"/>
  <c r="E47" i="24" s="1"/>
  <c r="D16" i="24"/>
  <c r="E16" i="24" s="1"/>
  <c r="D40" i="24"/>
  <c r="E40" i="24" s="1"/>
  <c r="D6" i="24"/>
  <c r="E6" i="24" s="1"/>
  <c r="D41" i="24"/>
  <c r="E41" i="24" s="1"/>
  <c r="F8" i="24"/>
  <c r="F32" i="24"/>
  <c r="Z32" i="24"/>
  <c r="F16" i="24"/>
  <c r="F42" i="24"/>
  <c r="G32" i="24"/>
  <c r="F27" i="24"/>
  <c r="F44" i="24"/>
  <c r="F9" i="24"/>
  <c r="F41" i="24"/>
  <c r="Z41" i="24" s="1"/>
  <c r="Z9" i="24"/>
  <c r="F47" i="24"/>
  <c r="Z47" i="24" s="1"/>
  <c r="F14" i="24"/>
  <c r="Z14" i="24" s="1"/>
  <c r="F17" i="24"/>
  <c r="F35" i="24"/>
  <c r="G14" i="24"/>
  <c r="F13" i="24"/>
  <c r="Z27" i="24"/>
  <c r="F12" i="24"/>
  <c r="G42" i="24"/>
  <c r="F43" i="24"/>
  <c r="F31" i="24"/>
  <c r="F29" i="24"/>
  <c r="Z8" i="24"/>
  <c r="G44" i="24"/>
  <c r="F30" i="24"/>
  <c r="G31" i="24"/>
  <c r="F34" i="24"/>
  <c r="G16" i="24"/>
  <c r="AA4" i="23"/>
  <c r="F6" i="24"/>
  <c r="Z6" i="24" s="1"/>
  <c r="F25" i="24"/>
  <c r="F19" i="24"/>
  <c r="F40" i="24"/>
  <c r="F22" i="24"/>
  <c r="F39" i="24"/>
  <c r="G39" i="24" s="1"/>
  <c r="F45" i="24"/>
  <c r="Z17" i="24"/>
  <c r="Z39" i="24"/>
  <c r="G47" i="24"/>
  <c r="Z42" i="24"/>
  <c r="F11" i="24"/>
  <c r="F18" i="24"/>
  <c r="Z18" i="24" s="1"/>
  <c r="G34" i="24"/>
  <c r="F24" i="24"/>
  <c r="G17" i="24"/>
  <c r="G6" i="24"/>
  <c r="F26" i="24"/>
  <c r="F46" i="24"/>
  <c r="Z24" i="24"/>
  <c r="Z35" i="24"/>
  <c r="Z19" i="24"/>
  <c r="Z13" i="24"/>
  <c r="G45" i="24"/>
  <c r="G41" i="24"/>
  <c r="F10" i="24"/>
  <c r="F36" i="24"/>
  <c r="G18" i="24"/>
  <c r="Z43" i="24"/>
  <c r="G13" i="24"/>
  <c r="F7" i="24"/>
  <c r="G7" i="24" s="1"/>
  <c r="F33" i="24"/>
  <c r="F21" i="24"/>
  <c r="F23" i="24"/>
  <c r="G23" i="24" s="1"/>
  <c r="F37" i="24"/>
  <c r="F20" i="24"/>
  <c r="Z7" i="24"/>
  <c r="F38" i="24"/>
  <c r="Z11" i="24"/>
  <c r="G9" i="24"/>
  <c r="Z23" i="24"/>
  <c r="G35" i="24"/>
  <c r="Z44" i="24"/>
  <c r="Z31" i="24"/>
  <c r="G27" i="24"/>
  <c r="F28" i="24"/>
  <c r="Z34" i="24"/>
  <c r="F15" i="24"/>
  <c r="G11" i="24"/>
  <c r="Z45" i="24"/>
  <c r="F5" i="24"/>
  <c r="G5" i="24"/>
  <c r="G12" i="24"/>
  <c r="Z12" i="24"/>
  <c r="G29" i="24"/>
  <c r="Z29" i="24"/>
  <c r="G30" i="24"/>
  <c r="Z30" i="24"/>
  <c r="Z25" i="24"/>
  <c r="G40" i="24"/>
  <c r="Z40" i="24"/>
  <c r="G22" i="24"/>
  <c r="G26" i="24"/>
  <c r="Z26" i="24"/>
  <c r="G46" i="24"/>
  <c r="G10" i="24"/>
  <c r="Z10" i="24"/>
  <c r="G36" i="24"/>
  <c r="Z36" i="24"/>
  <c r="Z33" i="24"/>
  <c r="G33" i="24"/>
  <c r="G21" i="24"/>
  <c r="Z21" i="24"/>
  <c r="G37" i="24"/>
  <c r="Z20" i="24"/>
  <c r="G38" i="24"/>
  <c r="Z38" i="24"/>
  <c r="G28" i="24"/>
  <c r="Z28" i="24"/>
  <c r="G15" i="24"/>
  <c r="Z15" i="24"/>
  <c r="G20" i="24"/>
  <c r="G43" i="24"/>
  <c r="Z16" i="24"/>
  <c r="Z46" i="24"/>
  <c r="G8" i="24"/>
  <c r="G24" i="24"/>
  <c r="Z22" i="24"/>
  <c r="G19" i="24"/>
  <c r="G25" i="24"/>
  <c r="Z37" i="24"/>
  <c r="Z4" i="24" s="1"/>
  <c r="D7" i="67" s="1"/>
</calcChain>
</file>

<file path=xl/sharedStrings.xml><?xml version="1.0" encoding="utf-8"?>
<sst xmlns="http://schemas.openxmlformats.org/spreadsheetml/2006/main" count="3894" uniqueCount="311">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</sst>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tabSelected="1" workbookViewId="0"/>
  </sheetViews>
  <sheetFormatPr defaultRowHeight="12.75" x14ac:dyDescent="0.2"/>
  <cols>
    <col min="1" max="2" width="2.7109375" style="435" customWidth="1"/>
    <col min="3" max="3" width="14.85546875" style="435" bestFit="1" customWidth="1"/>
    <col min="4" max="4" width="21.42578125" style="435" bestFit="1" customWidth="1"/>
    <col min="5" max="5" width="20.7109375" style="435" bestFit="1" customWidth="1"/>
    <col min="6" max="8" width="2.7109375" style="435" customWidth="1"/>
    <col min="9" max="9" width="12.140625" style="435" bestFit="1" customWidth="1"/>
    <col min="10" max="10" width="53.7109375" style="435" bestFit="1" customWidth="1"/>
    <col min="11" max="11" width="2.7109375" style="435" customWidth="1"/>
    <col min="12" max="16384" width="9.140625" style="435"/>
  </cols>
  <sheetData>
    <row r="1" spans="1:11" ht="13.5" thickBot="1" x14ac:dyDescent="0.25">
      <c r="A1" s="435" t="s">
        <v>310</v>
      </c>
      <c r="B1" s="435" t="str">
        <f>_xll.qlxlVersion(TRUE,Trigger)</f>
        <v>QuantLibXL 1.3.0 - MS VC++ 9.0 - Multithreaded Static Runtime library - Release Configuration - Dec  5 2013 11:03:51</v>
      </c>
    </row>
    <row r="2" spans="1:11" ht="15.75" x14ac:dyDescent="0.25">
      <c r="B2" s="443" t="s">
        <v>309</v>
      </c>
      <c r="C2" s="444"/>
      <c r="D2" s="444"/>
      <c r="E2" s="444"/>
      <c r="F2" s="445"/>
      <c r="H2" s="443" t="s">
        <v>32</v>
      </c>
      <c r="I2" s="444"/>
      <c r="J2" s="444"/>
      <c r="K2" s="445"/>
    </row>
    <row r="3" spans="1:11" x14ac:dyDescent="0.2">
      <c r="B3" s="412"/>
      <c r="C3" s="434"/>
      <c r="D3" s="434"/>
      <c r="E3" s="434"/>
      <c r="F3" s="433"/>
      <c r="H3" s="9"/>
      <c r="I3" s="13"/>
      <c r="J3" s="13"/>
      <c r="K3" s="5"/>
    </row>
    <row r="4" spans="1:11" x14ac:dyDescent="0.2">
      <c r="B4" s="412"/>
      <c r="C4" s="432" t="s">
        <v>25</v>
      </c>
      <c r="D4" s="431" t="s">
        <v>123</v>
      </c>
      <c r="E4" s="422"/>
      <c r="F4" s="414"/>
      <c r="H4" s="9"/>
      <c r="I4" s="16" t="s">
        <v>31</v>
      </c>
      <c r="J4" s="15"/>
      <c r="K4" s="14"/>
    </row>
    <row r="5" spans="1:11" x14ac:dyDescent="0.2">
      <c r="B5" s="412"/>
      <c r="C5" s="428" t="s">
        <v>31</v>
      </c>
      <c r="D5" s="430">
        <v>41479.711631944447</v>
      </c>
      <c r="E5" s="422"/>
      <c r="F5" s="414"/>
      <c r="H5" s="9"/>
      <c r="I5" s="16" t="s">
        <v>30</v>
      </c>
      <c r="J5" s="15" t="b">
        <v>1</v>
      </c>
      <c r="K5" s="14"/>
    </row>
    <row r="6" spans="1:11" x14ac:dyDescent="0.2">
      <c r="B6" s="412"/>
      <c r="C6" s="428" t="s">
        <v>308</v>
      </c>
      <c r="D6" s="429" t="s">
        <v>307</v>
      </c>
      <c r="E6" s="422"/>
      <c r="F6" s="414"/>
      <c r="H6" s="9"/>
      <c r="I6" s="16" t="s">
        <v>29</v>
      </c>
      <c r="J6" s="15" t="b">
        <v>0</v>
      </c>
      <c r="K6" s="14"/>
    </row>
    <row r="7" spans="1:11" x14ac:dyDescent="0.2">
      <c r="B7" s="412"/>
      <c r="C7" s="428" t="s">
        <v>306</v>
      </c>
      <c r="D7" s="427">
        <f ca="1">_xll.ohTrigger(Deposits!P3,FRA!X3,Futures3M!Z4,FuturesHWConvAdj!Q3,Swaps1M!Z3,Swap3M!AD3,SwapsIMMDated!Z3,Swap6M!AC3,BasisSwap1MxM!AD3,BasisSwap3M6M!AD3,BasisSwapxM12M!AD3,OIS!Y3)</f>
        <v>13</v>
      </c>
      <c r="E7" s="422"/>
      <c r="F7" s="414"/>
      <c r="H7" s="9"/>
      <c r="I7" s="16" t="s">
        <v>28</v>
      </c>
      <c r="J7" s="15" t="b">
        <v>1</v>
      </c>
      <c r="K7" s="14"/>
    </row>
    <row r="8" spans="1:11" x14ac:dyDescent="0.2">
      <c r="B8" s="412"/>
      <c r="C8" s="426" t="s">
        <v>305</v>
      </c>
      <c r="D8" s="425" t="s">
        <v>304</v>
      </c>
      <c r="E8" s="422"/>
      <c r="F8" s="414"/>
      <c r="H8" s="9"/>
      <c r="I8" s="16" t="s">
        <v>27</v>
      </c>
      <c r="J8" s="24" t="str">
        <f ca="1">SUBSTITUTE(LEFT(CELL("filename",A1),FIND("[",CELL("filename",A1),1)-1),"\XLS\","\XML\")</f>
        <v>C:\Users\erik\Documents\repos\quantlib_nando\QuantLibXL\Data2\XML\</v>
      </c>
      <c r="K8" s="14"/>
    </row>
    <row r="9" spans="1:11" x14ac:dyDescent="0.2">
      <c r="B9" s="412"/>
      <c r="C9" s="422"/>
      <c r="D9" s="329"/>
      <c r="E9" s="422"/>
      <c r="F9" s="414"/>
      <c r="H9" s="9"/>
      <c r="I9" s="16" t="s">
        <v>26</v>
      </c>
      <c r="J9" s="23" t="b">
        <v>1</v>
      </c>
      <c r="K9" s="14"/>
    </row>
    <row r="10" spans="1:11" x14ac:dyDescent="0.2">
      <c r="B10" s="412"/>
      <c r="C10" s="424" t="s">
        <v>248</v>
      </c>
      <c r="D10" s="423" t="s">
        <v>303</v>
      </c>
      <c r="E10" s="422"/>
      <c r="F10" s="414"/>
      <c r="H10" s="9"/>
      <c r="I10" s="16" t="s">
        <v>25</v>
      </c>
      <c r="J10" s="40" t="s">
        <v>123</v>
      </c>
      <c r="K10" s="14"/>
    </row>
    <row r="11" spans="1:11" ht="13.5" thickBot="1" x14ac:dyDescent="0.25">
      <c r="B11" s="412"/>
      <c r="C11" s="421" t="s">
        <v>238</v>
      </c>
      <c r="D11" s="420" t="str">
        <f>""</f>
        <v/>
      </c>
      <c r="E11" s="422"/>
      <c r="F11" s="414"/>
      <c r="H11" s="4"/>
      <c r="I11" s="3"/>
      <c r="J11" s="3"/>
      <c r="K11" s="2"/>
    </row>
    <row r="12" spans="1:11" ht="13.5" thickBot="1" x14ac:dyDescent="0.25">
      <c r="B12" s="412"/>
      <c r="C12" s="421" t="s">
        <v>237</v>
      </c>
      <c r="D12" s="420" t="s">
        <v>236</v>
      </c>
      <c r="E12" s="417"/>
      <c r="F12" s="414"/>
    </row>
    <row r="13" spans="1:11" ht="15.75" x14ac:dyDescent="0.25">
      <c r="B13" s="412"/>
      <c r="C13" s="421" t="s">
        <v>235</v>
      </c>
      <c r="D13" s="420" t="s">
        <v>235</v>
      </c>
      <c r="E13" s="417"/>
      <c r="F13" s="414"/>
      <c r="H13" s="443" t="s">
        <v>149</v>
      </c>
      <c r="I13" s="444"/>
      <c r="J13" s="444"/>
      <c r="K13" s="445"/>
    </row>
    <row r="14" spans="1:11" x14ac:dyDescent="0.2">
      <c r="B14" s="412"/>
      <c r="C14" s="421" t="s">
        <v>234</v>
      </c>
      <c r="D14" s="420" t="s">
        <v>233</v>
      </c>
      <c r="E14" s="417"/>
      <c r="F14" s="414"/>
      <c r="H14" s="9"/>
      <c r="I14" s="13"/>
      <c r="J14" s="13"/>
      <c r="K14" s="5"/>
    </row>
    <row r="15" spans="1:11" x14ac:dyDescent="0.2">
      <c r="B15" s="412"/>
      <c r="C15" s="421" t="s">
        <v>232</v>
      </c>
      <c r="D15" s="420" t="s">
        <v>231</v>
      </c>
      <c r="E15" s="417"/>
      <c r="F15" s="414"/>
      <c r="H15" s="9"/>
      <c r="I15" s="16" t="s">
        <v>148</v>
      </c>
      <c r="J15" s="23" t="s">
        <v>147</v>
      </c>
      <c r="K15" s="14"/>
    </row>
    <row r="16" spans="1:11" x14ac:dyDescent="0.2">
      <c r="B16" s="412"/>
      <c r="C16" s="421" t="s">
        <v>230</v>
      </c>
      <c r="D16" s="420" t="s">
        <v>229</v>
      </c>
      <c r="E16" s="417"/>
      <c r="F16" s="414"/>
      <c r="H16" s="9"/>
      <c r="I16" s="16" t="s">
        <v>146</v>
      </c>
      <c r="J16" s="106">
        <v>1E-4</v>
      </c>
      <c r="K16" s="14"/>
    </row>
    <row r="17" spans="2:11" x14ac:dyDescent="0.2">
      <c r="B17" s="412"/>
      <c r="C17" s="419" t="s">
        <v>228</v>
      </c>
      <c r="D17" s="418" t="s">
        <v>226</v>
      </c>
      <c r="E17" s="417"/>
      <c r="F17" s="414"/>
      <c r="H17" s="9"/>
      <c r="I17" s="16" t="s">
        <v>145</v>
      </c>
      <c r="J17" s="105">
        <v>-0.01</v>
      </c>
      <c r="K17" s="14"/>
    </row>
    <row r="18" spans="2:11" x14ac:dyDescent="0.2">
      <c r="B18" s="412"/>
      <c r="C18" s="411"/>
      <c r="D18" s="411"/>
      <c r="E18" s="411"/>
      <c r="F18" s="414"/>
      <c r="H18" s="9"/>
      <c r="I18" s="16" t="s">
        <v>54</v>
      </c>
      <c r="J18" s="15" t="s">
        <v>53</v>
      </c>
      <c r="K18" s="14"/>
    </row>
    <row r="19" spans="2:11" x14ac:dyDescent="0.2">
      <c r="B19" s="412"/>
      <c r="C19" s="411"/>
      <c r="D19" s="411"/>
      <c r="E19" s="411"/>
      <c r="F19" s="414"/>
      <c r="H19" s="9"/>
      <c r="I19" s="16" t="s">
        <v>119</v>
      </c>
      <c r="J19" s="15" t="s">
        <v>118</v>
      </c>
      <c r="K19" s="14"/>
    </row>
    <row r="20" spans="2:11" ht="13.5" thickBot="1" x14ac:dyDescent="0.25">
      <c r="B20" s="412"/>
      <c r="C20" s="411"/>
      <c r="D20" s="410" t="s">
        <v>302</v>
      </c>
      <c r="E20" s="416">
        <v>41479.71230324074</v>
      </c>
      <c r="F20" s="53"/>
      <c r="H20" s="4"/>
      <c r="I20" s="3"/>
      <c r="J20" s="3"/>
      <c r="K20" s="2"/>
    </row>
    <row r="21" spans="2:11" x14ac:dyDescent="0.2">
      <c r="B21" s="412"/>
      <c r="C21" s="411"/>
      <c r="D21" s="415"/>
      <c r="E21" s="413"/>
      <c r="F21" s="414"/>
    </row>
    <row r="22" spans="2:11" x14ac:dyDescent="0.2">
      <c r="B22" s="412"/>
      <c r="C22" s="411"/>
      <c r="D22" s="410"/>
      <c r="E22" s="413"/>
      <c r="F22" s="53"/>
    </row>
    <row r="23" spans="2:11" x14ac:dyDescent="0.2">
      <c r="B23" s="412"/>
      <c r="C23" s="411"/>
      <c r="D23" s="410" t="s">
        <v>301</v>
      </c>
      <c r="E23" s="409" t="b">
        <v>1</v>
      </c>
      <c r="F23" s="53"/>
    </row>
    <row r="24" spans="2:11" ht="11.25" customHeight="1" thickBot="1" x14ac:dyDescent="0.25">
      <c r="B24" s="408"/>
      <c r="C24" s="51"/>
      <c r="D24" s="51"/>
      <c r="E24" s="51"/>
      <c r="F24" s="50"/>
    </row>
    <row r="25" spans="2:11" x14ac:dyDescent="0.2">
      <c r="C25" s="436"/>
      <c r="D25" s="436"/>
      <c r="E25" s="436"/>
      <c r="F25" s="436"/>
    </row>
    <row r="26" spans="2:11" x14ac:dyDescent="0.2">
      <c r="C26" s="436"/>
      <c r="D26" s="436"/>
      <c r="E26" s="436"/>
      <c r="F26" s="436"/>
    </row>
    <row r="27" spans="2:11" x14ac:dyDescent="0.2">
      <c r="C27" s="436"/>
      <c r="D27" s="436"/>
      <c r="E27" s="436"/>
      <c r="F27" s="436"/>
    </row>
    <row r="28" spans="2:11" x14ac:dyDescent="0.2">
      <c r="C28" s="436"/>
      <c r="D28" s="436"/>
      <c r="E28" s="436"/>
      <c r="F28" s="436"/>
    </row>
    <row r="29" spans="2:11" x14ac:dyDescent="0.2">
      <c r="C29" s="436"/>
      <c r="D29" s="436"/>
      <c r="E29" s="436"/>
      <c r="F29" s="436"/>
    </row>
    <row r="30" spans="2:11" x14ac:dyDescent="0.2">
      <c r="C30" s="436"/>
      <c r="D30" s="436"/>
      <c r="E30" s="436"/>
      <c r="F30" s="436"/>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18</xdr:row>
                <xdr:rowOff>57150</xdr:rowOff>
              </from>
              <to>
                <xdr:col>3</xdr:col>
                <xdr:colOff>390525</xdr:colOff>
                <xdr:row>20</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election activeCell="E6" sqref="E6"/>
    </sheetView>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EurYC#0006</v>
      </c>
      <c r="F6" s="6" t="str">
        <f>_xll.ohRangeRetrieveError(E6)</f>
        <v/>
      </c>
      <c r="G6" s="5"/>
    </row>
    <row r="7" spans="1:7" x14ac:dyDescent="0.2">
      <c r="B7" s="9"/>
      <c r="C7" s="8" t="s">
        <v>22</v>
      </c>
      <c r="D7" s="8" t="str">
        <f t="shared" si="0"/>
        <v>EurYCSTD</v>
      </c>
      <c r="E7" s="7" t="str">
        <f>_xll.qlRelinkableHandleYieldTermStructure(D7,,Permanent,Trigger,ObjectOverwrite)</f>
        <v>EurYCSTD#0006</v>
      </c>
      <c r="F7" s="6" t="str">
        <f>_xll.ohRangeRetrieveError(E7)</f>
        <v/>
      </c>
      <c r="G7" s="5"/>
    </row>
    <row r="8" spans="1:7" x14ac:dyDescent="0.2">
      <c r="B8" s="9"/>
      <c r="C8" s="8" t="s">
        <v>21</v>
      </c>
      <c r="D8" s="8" t="str">
        <f t="shared" si="0"/>
        <v>EuriborYCON</v>
      </c>
      <c r="E8" s="7" t="str">
        <f>_xll.qlRelinkableHandleYieldTermStructure(D8,,Permanent,Trigger,ObjectOverwrite)</f>
        <v>EuriborYCON#0006</v>
      </c>
      <c r="F8" s="6" t="str">
        <f>_xll.ohRangeRetrieveError(E8)</f>
        <v/>
      </c>
      <c r="G8" s="5"/>
    </row>
    <row r="9" spans="1:7" x14ac:dyDescent="0.2">
      <c r="B9" s="9"/>
      <c r="C9" s="8" t="s">
        <v>20</v>
      </c>
      <c r="D9" s="8" t="str">
        <f t="shared" si="0"/>
        <v>EuriborYC1M</v>
      </c>
      <c r="E9" s="7" t="str">
        <f>_xll.qlRelinkableHandleYieldTermStructure(D9,,Permanent,Trigger,ObjectOverwrite)</f>
        <v>EuriborYC1M#0006</v>
      </c>
      <c r="F9" s="6" t="str">
        <f>_xll.ohRangeRetrieveError(E9)</f>
        <v/>
      </c>
      <c r="G9" s="5"/>
    </row>
    <row r="10" spans="1:7" x14ac:dyDescent="0.2">
      <c r="B10" s="9"/>
      <c r="C10" s="8" t="s">
        <v>19</v>
      </c>
      <c r="D10" s="8" t="str">
        <f t="shared" si="0"/>
        <v>EuriborYC3M</v>
      </c>
      <c r="E10" s="7" t="str">
        <f>_xll.qlRelinkableHandleYieldTermStructure(D10,,Permanent,Trigger,ObjectOverwrite)</f>
        <v>EuriborYC3M#0006</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EuriborYC6M#0006</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EuriborYC1Y#0006</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EuriborYCON-Mx#0006</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EuriborYC1M-Mx#0006</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EuriborYC3M-Mx#0006</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EuriborYC6M-Mx#0006</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EuriborYC1Y-Mx#0006</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EurLiborYCON#0006</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EurLiborYC1M#0006</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EurLiborYC3M#0006</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EurLiborYC6M#0006</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EurLiborYC1Y#0006</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EurSwaptionATMVol#0006</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EurSwaptionVol#0006</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Eur3MFutOptionVol#0006</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Eur1MCapletVol#0006</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Eur3MCapletVol#0006</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Eur6MCapletVol#0006</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Eur1YCapletVol#0006</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Eur3MFutOptionVolEx#0006</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Eur1MCapletVolEx#0006</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Eur3MCapletVolEx#0006</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Eur6MCapletVolEx#0006</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Eur1YCapletVolEx#0006</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Eonia2#0005</v>
      </c>
      <c r="G6" s="26"/>
      <c r="H6" s="7" t="str">
        <f>_xll.ohRangeRetrieveError(F6)</f>
        <v/>
      </c>
      <c r="I6" s="7" t="str">
        <f>_xll.ohRangeRetrieveError(G6)</f>
        <v/>
      </c>
      <c r="J6" s="31"/>
    </row>
    <row r="7" spans="1:10" s="25" customFormat="1" x14ac:dyDescent="0.2">
      <c r="B7" s="30"/>
      <c r="C7" s="29" t="s">
        <v>49</v>
      </c>
      <c r="D7" s="28" t="s">
        <v>21</v>
      </c>
      <c r="E7" s="32" t="s">
        <v>49</v>
      </c>
      <c r="F7" s="26" t="str">
        <f>_xll.qlEonia(C7,EUR!E8,Permanent,Trigger,ObjectOverwrite)</f>
        <v>Eonia#0006</v>
      </c>
      <c r="G7" s="26" t="str">
        <f>_xll.qlLastFixingQuote(E7&amp;"LastFixing_Quote",F7,Permanent,Trigger,ObjectOverwrite)</f>
        <v>EoniaLastFixing_Quote#0006</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_xll.qlEuribor(E8,C8,EUR!E8,Permanent,Trigger,ObjectOverwrite)</f>
        <v>EuriborSW#0006</v>
      </c>
      <c r="G8" s="26" t="str">
        <f>_xll.qlLastFixingQuote(E8&amp;"LastFixing_Quote",F8,Permanent,Trigger,ObjectOverwrite)</f>
        <v>EuriborSWLastFixing_Quote#0006</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_xll.qlEuribor(E9,C9,EUR!E9,Permanent,Trigger,ObjectOverwrite)</f>
        <v>Euribor2W#0006</v>
      </c>
      <c r="G9" s="26" t="str">
        <f>_xll.qlLastFixingQuote(E9&amp;"LastFixing_Quote",F9,Permanent,Trigger,ObjectOverwrite)</f>
        <v>Euribor2WLastFixing_Quote#0006</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_xll.qlEuribor(E10,C10,EUR!E10,Permanent,Trigger,ObjectOverwrite)</f>
        <v>Euribor3W#0006</v>
      </c>
      <c r="G10" s="26" t="str">
        <f>_xll.qlLastFixingQuote(E10&amp;"LastFixing_Quote",F10,Permanent,Trigger,ObjectOverwrite)</f>
        <v>Euribor3WLastFixing_Quote#0006</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_xll.qlEuribor(E11,C11,EUR!E11,Permanent,Trigger,ObjectOverwrite)</f>
        <v>Euribor1M#0006</v>
      </c>
      <c r="G11" s="26" t="str">
        <f>_xll.qlLastFixingQuote(E11&amp;"LastFixing_Quote",F11,Permanent,Trigger,ObjectOverwrite)</f>
        <v>Euribor1MLastFixing_Quote#0006</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_xll.qlEuribor(E12,C12,EUR!E12,Permanent,Trigger,ObjectOverwrite)</f>
        <v>Euribor2M#0006</v>
      </c>
      <c r="G12" s="26" t="str">
        <f>_xll.qlLastFixingQuote(E12&amp;"LastFixing_Quote",F12,Permanent,Trigger,ObjectOverwrite)</f>
        <v>Euribor2MLastFixing_Quote#0006</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_xll.qlEuribor(E13,C13,EUR!E13,Permanent,Trigger,ObjectOverwrite)</f>
        <v>Euribor3M#0006</v>
      </c>
      <c r="G13" s="26" t="str">
        <f>_xll.qlLastFixingQuote(E13&amp;"LastFixing_Quote",F13,Permanent,Trigger,ObjectOverwrite)</f>
        <v>Euribor3MLastFixing_Quote#0006</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_xll.qlEuribor(E14,C14,EUR!E14,Permanent,Trigger,ObjectOverwrite)</f>
        <v>Euribor4M#0006</v>
      </c>
      <c r="G14" s="26" t="str">
        <f>_xll.qlLastFixingQuote(E14&amp;"LastFixing_Quote",F14,Permanent,Trigger,ObjectOverwrite)</f>
        <v>Euribor4MLastFixing_Quote#0006</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_xll.qlEuribor(E15,C15,EUR!E15,Permanent,Trigger,ObjectOverwrite)</f>
        <v>Euribor5M#0006</v>
      </c>
      <c r="G15" s="26" t="str">
        <f>_xll.qlLastFixingQuote(E15&amp;"LastFixing_Quote",F15,Permanent,Trigger,ObjectOverwrite)</f>
        <v>Euribor5MLastFixing_Quote#0006</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_xll.qlEuribor(E16,C16,EUR!E16,Permanent,Trigger,ObjectOverwrite)</f>
        <v>Euribor6M#0006</v>
      </c>
      <c r="G16" s="26" t="str">
        <f>_xll.qlLastFixingQuote(E16&amp;"LastFixing_Quote",F16,Permanent,Trigger,ObjectOverwrite)</f>
        <v>Euribor6MLastFixing_Quote#0006</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_xll.qlEuribor(E17,C17,EUR!E17,Permanent,Trigger,ObjectOverwrite)</f>
        <v>Euribor7M#0006</v>
      </c>
      <c r="G17" s="26" t="str">
        <f>_xll.qlLastFixingQuote(E17&amp;"LastFixing_Quote",F17,Permanent,Trigger,ObjectOverwrite)</f>
        <v>Euribor7MLastFixing_Quote#0006</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_xll.qlEuribor(E18,C18,EUR!E18,Permanent,Trigger,ObjectOverwrite)</f>
        <v>Euribor8M#0006</v>
      </c>
      <c r="G18" s="26" t="str">
        <f>_xll.qlLastFixingQuote(E18&amp;"LastFixing_Quote",F18,Permanent,Trigger,ObjectOverwrite)</f>
        <v>Euribor8MLastFixing_Quote#0006</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_xll.qlEuribor(E19,C19,EUR!E19,Permanent,Trigger,ObjectOverwrite)</f>
        <v>Euribor9M#0006</v>
      </c>
      <c r="G19" s="26" t="str">
        <f>_xll.qlLastFixingQuote(E19&amp;"LastFixing_Quote",F19,Permanent,Trigger,ObjectOverwrite)</f>
        <v>Euribor9MLastFixing_Quote#0006</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_xll.qlEuribor(E20,C20,EUR!E20,Permanent,Trigger,ObjectOverwrite)</f>
        <v>Euribor10M#0006</v>
      </c>
      <c r="G20" s="26" t="str">
        <f>_xll.qlLastFixingQuote(E20&amp;"LastFixing_Quote",F20,Permanent,Trigger,ObjectOverwrite)</f>
        <v>Euribor10MLastFixing_Quote#0006</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_xll.qlEuribor(E21,C21,EUR!E21,Permanent,Trigger,ObjectOverwrite)</f>
        <v>Euribor11M#0006</v>
      </c>
      <c r="G21" s="26" t="str">
        <f>_xll.qlLastFixingQuote(E21&amp;"LastFixing_Quote",F21,Permanent,Trigger,ObjectOverwrite)</f>
        <v>Euribor11MLastFixing_Quote#0006</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_xll.qlEuribor(E22,C22,EUR!E22,Permanent,Trigger,ObjectOverwrite)</f>
        <v>Euribor1Y#0006</v>
      </c>
      <c r="G22" s="26" t="str">
        <f>_xll.qlLastFixingQuote(E22&amp;"LastFixing_Quote",F22,Permanent,Trigger,ObjectOverwrite)</f>
        <v>Euribor1YLastFixing_Quote#0006</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election activeCell="F6" sqref="F6"/>
    </sheetView>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Euribor365SW#0005</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Euribor3652W#0005</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Euribor3653W#0005</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Euribor3651M#0005</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Euribor3652M#0005</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Euribor3653M#0005</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Euribor3654M#0005</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Euribor3655M#0005</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Euribor3656M#0005</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Euribor3657M#0005</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Euribor3658M#0005</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Euribor3659M#0005</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Euribor36510M#0005</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Euribor36511M#0005</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EuriborSwapIsdaFixA1Y#0005</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EuriborSwapIsdaFixA2Y#0005</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EuriborSwapIsdaFixA3Y#0005</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EuriborSwapIsdaFixA4Y#0005</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EuriborSwapIsdaFixA5Y#0005</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EuriborSwapIsdaFixA6Y#0005</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EuriborSwapIsdaFixA7Y#0005</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EuriborSwapIsdaFixA8Y#0005</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EuriborSwapIsdaFixA9Y#0005</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EuriborSwapIsdaFixA10Y#0005</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EuriborSwapIsdaFixA11Y#0005</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EuriborSwapIsdaFixA12Y#0005</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EuriborSwapIsdaFixA13Y#0005</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EuriborSwapIsdaFixA14Y#0005</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EuriborSwapIsdaFixA15Y#0005</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EuriborSwapIsdaFixA16Y#0005</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EuriborSwapIsdaFixA17Y#0005</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EuriborSwapIsdaFixA18Y#0005</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EuriborSwapIsdaFixA19Y#0005</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EuriborSwapIsdaFixA20Y#0005</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EuriborSwapIsdaFixA21Y#0005</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EuriborSwapIsdaFixA22Y#0005</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EuriborSwapIsdaFixA23Y#0005</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EuriborSwapIsdaFixA24Y#0005</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EuriborSwapIsdaFixA25Y#0005</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EuriborSwapIsdaFixA26Y#0005</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EuriborSwapIsdaFixA27Y#0005</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EuriborSwapIsdaFixA28Y#0005</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EuriborSwapIsdaFixA29Y#0005</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EuriborSwapIsdaFixA30Y#0005</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EuriborSwapIsdaFixA31Y#0005</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EuriborSwapIsdaFixA33Y#0005</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EuriborSwapIsdaFixA34Y#0005</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EuriborSwapIsdaFixA35Y#0005</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EuriborSwapIsdaFixA36Y#0005</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EuriborSwapIsdaFixA37Y#0005</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EuriborSwapIsdaFixA38Y#0005</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EuriborSwapIsdaFixA39Y#0005</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EuriborSwapIsdaFixA40Y#0005</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EuriborSwapIsdaFixA41Y#0005</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EuriborSwapIsdaFixA42Y#0005</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EuriborSwapIsdaFixA43Y#0005</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EuriborSwapIsdaFixA44Y#0005</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EuriborSwapIsdaFixA45Y#0005</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EuriborSwapIsdaFixA46Y#0005</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EuriborSwapIsdaFixA47Y#0005</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EuriborSwapIsdaFixA48Y#0005</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EuriborSwapIsdaFixA49Y#0005</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EuriborSwapIsdaFixA50Y#0005</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EuriborSwapIsdaFixA51Y#0005</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EuriborSwapIsdaFixA52Y#0005</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EuriborSwapIsdaFixA53Y#0005</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EuriborSwapIsdaFixA54Y#0005</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EuriborSwapIsdaFixA55Y#0005</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EuriborSwapIsdaFixA56Y#0005</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EuriborSwapIsdaFixA57Y#0005</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EuriborSwapIsdaFixA58Y#0005</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EuriborSwapIsdaFixA59Y#0005</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EuriborSwapIsdaFixB1Y#0005</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EuriborSwapIsdaFixB2Y#0005</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EuriborSwapIsdaFixB3Y#0005</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EuriborSwapIsdaFixB4Y#0005</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EuriborSwapIsdaFixB5Y#0005</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EuriborSwapIsdaFixB6Y#0005</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EuriborSwapIsdaFixB7Y#0005</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EuriborSwapIsdaFixB8Y#0005</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EuriborSwapIsdaFixB9Y#0005</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EuriborSwapIsdaFixB10Y#0005</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EuriborSwapIsdaFixB11Y#0005</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EuriborSwapIsdaFixB12Y#0005</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EuriborSwapIsdaFixB13Y#0005</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EuriborSwapIsdaFixB14Y#0005</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EuriborSwapIsdaFixB15Y#0005</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EuriborSwapIsdaFixB16Y#0005</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EuriborSwapIsdaFixB17Y#0005</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EuriborSwapIsdaFixB18Y#0005</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EuriborSwapIsdaFixB19Y#0005</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EuriborSwapIsdaFixB20Y#0005</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EuriborSwapIsdaFixB21Y#0005</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EuriborSwapIsdaFixB22Y#0005</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EuriborSwapIsdaFixB23Y#0005</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EuriborSwapIsdaFixB24Y#0005</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EuriborSwapIsdaFixB25Y#0005</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EuriborSwapIsdaFixB26Y#0005</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EuriborSwapIsdaFixB27Y#0005</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EuriborSwapIsdaFixB28Y#0005</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EuriborSwapIsdaFixB29Y#0005</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EuriborSwapIsdaFixB30Y#0005</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EuriborSwapIsdaFixB31Y#0005</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EuriborSwapIsdaFixB33Y#0005</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EuriborSwapIsdaFixB34Y#0005</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EuriborSwapIsdaFixB35Y#0005</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EuriborSwapIsdaFixB36Y#0005</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EuriborSwapIsdaFixB37Y#0005</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EuriborSwapIsdaFixB38Y#0005</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EuriborSwapIsdaFixB39Y#0005</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EuriborSwapIsdaFixB40Y#0005</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EuriborSwapIsdaFixB41Y#0005</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EuriborSwapIsdaFixB42Y#0005</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EuriborSwapIsdaFixB43Y#0005</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EuriborSwapIsdaFixB44Y#0005</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EuriborSwapIsdaFixB45Y#0005</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EuriborSwapIsdaFixB46Y#0005</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EuriborSwapIsdaFixB47Y#0005</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EuriborSwapIsdaFixB48Y#0005</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EuriborSwapIsdaFixB49Y#0005</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EuriborSwapIsdaFixB50Y#0005</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EuriborSwapIsdaFixB51Y#0005</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EuriborSwapIsdaFixB52Y#0005</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EuriborSwapIsdaFixB53Y#0005</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EuriborSwapIsdaFixB54Y#0005</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EuriborSwapIsdaFixB55Y#0005</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EuriborSwapIsdaFixB56Y#0005</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EuriborSwapIsdaFixB57Y#0005</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EuriborSwapIsdaFixB58Y#0005</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EuriborSwapIsdaFixB59Y#0005</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EuriborSwapIfrFix1Y#0005</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EuriborSwapIfrFix2Y#0005</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EuriborSwapIfrFix3Y#0005</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EuriborSwapIfrFix4Y#0005</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EuriborSwapIfrFix5Y#0005</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EuriborSwapIfrFix6Y#0005</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EuriborSwapIfrFix7Y#0005</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EuriborSwapIfrFix8Y#0005</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EuriborSwapIfrFix9Y#0005</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EuriborSwapIfrFix10Y#0005</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EuriborSwapIfrFix11Y#0005</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EuriborSwapIfrFix12Y#0005</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EuriborSwapIfrFix13Y#0005</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EuriborSwapIfrFix14Y#0005</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EuriborSwapIfrFix15Y#0005</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EuriborSwapIfrFix16Y#0005</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EuriborSwapIfrFix17Y#0005</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EuriborSwapIfrFix18Y#0005</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EuriborSwapIfrFix19Y#0005</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EuriborSwapIfrFix20Y#0005</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EuriborSwapIfrFix21Y#0005</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EuriborSwapIfrFix22Y#0005</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EuriborSwapIfrFix23Y#0005</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EuriborSwapIfrFix24Y#0005</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EuriborSwapIfrFix25Y#0005</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EuriborSwapIfrFix26Y#0005</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EuriborSwapIfrFix27Y#0005</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EuriborSwapIfrFix28Y#0005</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EuriborSwapIfrFix29Y#0005</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EuriborSwapIfrFix30Y#0005</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EuriborSwapIfrFix31Y#0005</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EuriborSwapIfrFix33Y#0005</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EuriborSwapIfrFix34Y#0005</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EuriborSwapIfrFix35Y#0005</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EuriborSwapIfrFix36Y#0005</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EuriborSwapIfrFix37Y#0005</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EuriborSwapIfrFix38Y#0005</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EuriborSwapIfrFix39Y#0005</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EuriborSwapIfrFix40Y#0005</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EuriborSwapIfrFix41Y#0005</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EuriborSwapIfrFix42Y#0005</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EuriborSwapIfrFix43Y#0005</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EuriborSwapIfrFix44Y#0005</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EuriborSwapIfrFix45Y#0005</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EuriborSwapIfrFix46Y#0005</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EuriborSwapIfrFix47Y#0005</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EuriborSwapIfrFix48Y#0005</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EuriborSwapIfrFix49Y#0005</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EuriborSwapIfrFix50Y#0005</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EuriborSwapIfrFix51Y#0005</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EuriborSwapIfrFix52Y#0005</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EuriborSwapIfrFix53Y#0005</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EuriborSwapIfrFix54Y#0005</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EuriborSwapIfrFix55Y#0005</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EuriborSwapIfrFix56Y#0005</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EuriborSwapIfrFix57Y#0005</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EuriborSwapIfrFix58Y#0005</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EuriborSwapIfrFix59Y#0005</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EurLiborON#0005</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EurLiborSW#0005</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EurLibor2W#0005</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EurLibor1M#0005</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EurLibor2M#0005</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EurLibor3M#0005</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EurLibor4M#0005</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EurLibor5M#0005</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EurLibor6M#0005</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EurLibor7M#0005</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EurLibor8M#0005</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EurLibor9M#0005</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EurLibor10M#0005</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EurLibor11M#0005</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EurLiborSwapIsdaFixA1Y#0005</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EurLiborSwapIsdaFixA2Y#0005</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EurLiborSwapIsdaFixA3Y#0005</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EurLiborSwapIsdaFixA4Y#0005</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EurLiborSwapIsdaFixA5Y#0005</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EurLiborSwapIsdaFixA6Y#0005</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EurLiborSwapIsdaFixA7Y#0005</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EurLiborSwapIsdaFixA8Y#0005</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EurLiborSwapIsdaFixA9Y#0005</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EurLiborSwapIsdaFixA10Y#0005</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EurLiborSwapIsdaFixA11Y#0005</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EurLiborSwapIsdaFixA12Y#0005</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EurLiborSwapIsdaFixA13Y#0005</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EurLiborSwapIsdaFixA14Y#0005</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EurLiborSwapIsdaFixA15Y#0005</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EurLiborSwapIsdaFixA16Y#0005</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EurLiborSwapIsdaFixA17Y#0005</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EurLiborSwapIsdaFixA18Y#0005</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EurLiborSwapIsdaFixA19Y#0005</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EurLiborSwapIsdaFixA20Y#0005</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EurLiborSwapIsdaFixA21Y#0005</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EurLiborSwapIsdaFixA22Y#0005</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EurLiborSwapIsdaFixA23Y#0005</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EurLiborSwapIsdaFixA24Y#0005</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EurLiborSwapIsdaFixA25Y#0005</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EurLiborSwapIsdaFixA26Y#0005</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EurLiborSwapIsdaFixA27Y#0005</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EurLiborSwapIsdaFixA28Y#0005</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EurLiborSwapIsdaFixA29Y#0005</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EurLiborSwapIsdaFixA30Y#0005</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EurLiborSwapIsdaFixA31Y#0005</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EurLiborSwapIsdaFixA33Y#0005</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EurLiborSwapIsdaFixA34Y#0005</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EurLiborSwapIsdaFixA35Y#0005</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EurLiborSwapIsdaFixA36Y#0005</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EurLiborSwapIsdaFixA37Y#0005</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EurLiborSwapIsdaFixA38Y#0005</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EurLiborSwapIsdaFixA39Y#0005</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EurLiborSwapIsdaFixA40Y#0005</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EurLiborSwapIsdaFixA41Y#0005</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EurLiborSwapIsdaFixA42Y#0005</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EurLiborSwapIsdaFixA43Y#0005</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EurLiborSwapIsdaFixA44Y#0005</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EurLiborSwapIsdaFixA45Y#0005</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EurLiborSwapIsdaFixA46Y#0005</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EurLiborSwapIsdaFixA47Y#0005</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EurLiborSwapIsdaFixA48Y#0005</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EurLiborSwapIsdaFixA49Y#0005</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EurLiborSwapIsdaFixA50Y#0005</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EurLiborSwapIsdaFixA51Y#0005</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EurLiborSwapIsdaFixA52Y#0005</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EurLiborSwapIsdaFixA53Y#0005</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EurLiborSwapIsdaFixA54Y#0005</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EurLiborSwapIsdaFixA55Y#0005</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EurLiborSwapIsdaFixA56Y#0005</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EurLiborSwapIsdaFixA57Y#0005</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EurLiborSwapIsdaFixA58Y#0005</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EurLiborSwapIsdaFixA59Y#0005</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EurLiborSwapIsdaFixB1Y#0005</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EurLiborSwapIsdaFixB2Y#0005</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EurLiborSwapIsdaFixB3Y#0005</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EurLiborSwapIsdaFixB4Y#0005</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EurLiborSwapIsdaFixB5Y#0005</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EurLiborSwapIsdaFixB6Y#0005</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EurLiborSwapIsdaFixB7Y#0005</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EurLiborSwapIsdaFixB8Y#0005</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EurLiborSwapIsdaFixB9Y#0005</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EurLiborSwapIsdaFixB10Y#0005</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EurLiborSwapIsdaFixB11Y#0005</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EurLiborSwapIsdaFixB12Y#0005</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EurLiborSwapIsdaFixB13Y#0005</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EurLiborSwapIsdaFixB14Y#0005</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EurLiborSwapIsdaFixB15Y#0005</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EurLiborSwapIsdaFixB16Y#0005</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EurLiborSwapIsdaFixB17Y#0005</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EurLiborSwapIsdaFixB18Y#0005</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EurLiborSwapIsdaFixB19Y#0005</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EurLiborSwapIsdaFixB20Y#0005</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EurLiborSwapIsdaFixB21Y#0005</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EurLiborSwapIsdaFixB22Y#0005</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EurLiborSwapIsdaFixB23Y#0005</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EurLiborSwapIsdaFixB24Y#0005</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EurLiborSwapIsdaFixB25Y#0005</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EurLiborSwapIsdaFixB26Y#0005</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EurLiborSwapIsdaFixB27Y#0005</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EurLiborSwapIsdaFixB28Y#0005</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EurLiborSwapIsdaFixB29Y#0005</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EurLiborSwapIsdaFixB30Y#0005</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EurLiborSwapIsdaFixB31Y#0005</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EurLiborSwapIsdaFixB33Y#0005</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EurLiborSwapIsdaFixB34Y#0005</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EurLiborSwapIsdaFixB35Y#0005</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EurLiborSwapIsdaFixB36Y#0005</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EurLiborSwapIsdaFixB37Y#0005</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EurLiborSwapIsdaFixB38Y#0005</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EurLiborSwapIsdaFixB39Y#0005</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EurLiborSwapIsdaFixB40Y#0005</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EurLiborSwapIsdaFixB41Y#0005</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EurLiborSwapIsdaFixB42Y#0005</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EurLiborSwapIsdaFixB43Y#0005</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EurLiborSwapIsdaFixB44Y#0005</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EurLiborSwapIsdaFixB45Y#0005</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EurLiborSwapIsdaFixB46Y#0005</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EurLiborSwapIsdaFixB47Y#0005</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EurLiborSwapIsdaFixB48Y#0005</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EurLiborSwapIsdaFixB49Y#0005</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EurLiborSwapIsdaFixB50Y#0005</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EurLiborSwapIsdaFixB51Y#0005</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EurLiborSwapIsdaFixB52Y#0005</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EurLiborSwapIsdaFixB53Y#0005</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EurLiborSwapIsdaFixB54Y#0005</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EurLiborSwapIsdaFixB55Y#0005</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EurLiborSwapIsdaFixB56Y#0005</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EurLiborSwapIsdaFixB57Y#0005</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EurLiborSwapIsdaFixB58Y#0005</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EurLiborSwapIsdaFixB59Y#0005</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EurLiborSwapIfrFix1Y#0005</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EurLiborSwapIfrFix2Y#0005</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EurLiborSwapIfrFix3Y#0005</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EurLiborSwapIfrFix4Y#0005</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EurLiborSwapIfrFix5Y#0005</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EurLiborSwapIfrFix6Y#0005</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EurLiborSwapIfrFix7Y#0005</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EurLiborSwapIfrFix8Y#0005</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EurLiborSwapIfrFix9Y#0005</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EurLiborSwapIfrFix10Y#0005</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EurLiborSwapIfrFix11Y#0005</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EurLiborSwapIfrFix12Y#0005</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EurLiborSwapIfrFix13Y#0005</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EurLiborSwapIfrFix14Y#0005</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EurLiborSwapIfrFix15Y#0005</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EurLiborSwapIfrFix16Y#0005</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EurLiborSwapIfrFix17Y#0005</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EurLiborSwapIfrFix18Y#0005</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EurLiborSwapIfrFix19Y#0005</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EurLiborSwapIfrFix20Y#0005</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EurLiborSwapIfrFix21Y#0005</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EurLiborSwapIfrFix22Y#0005</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EurLiborSwapIfrFix23Y#0005</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EurLiborSwapIfrFix24Y#0005</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EurLiborSwapIfrFix25Y#0005</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EurLiborSwapIfrFix26Y#0005</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EurLiborSwapIfrFix27Y#0005</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EurLiborSwapIfrFix28Y#0005</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EurLiborSwapIfrFix29Y#0005</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EurLiborSwapIfrFix30Y#0005</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EurLiborSwapIfrFix31Y#0005</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EurLiborSwapIfrFix33Y#0005</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EurLiborSwapIfrFix34Y#0005</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EurLiborSwapIfrFix35Y#0005</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EurLiborSwapIfrFix36Y#0005</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EurLiborSwapIfrFix37Y#0005</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EurLiborSwapIfrFix38Y#0005</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EurLiborSwapIfrFix39Y#0005</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EurLiborSwapIfrFix40Y#0005</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EurLiborSwapIfrFix41Y#0005</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EurLiborSwapIfrFix42Y#0005</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EurLiborSwapIfrFix43Y#0005</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EurLiborSwapIfrFix44Y#0005</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EurLiborSwapIfrFix45Y#0005</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EurLiborSwapIfrFix46Y#0005</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EurLiborSwapIfrFix47Y#0005</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EurLiborSwapIfrFix48Y#0005</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EurLiborSwapIfrFix49Y#0005</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EurLiborSwapIfrFix50Y#0005</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EurLiborSwapIfrFix51Y#0005</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EurLiborSwapIfrFix52Y#0005</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EurLiborSwapIfrFix53Y#0005</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EurLiborSwapIfrFix54Y#0005</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EurLiborSwapIfrFix55Y#0005</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EurLiborSwapIfrFix56Y#0005</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EurLiborSwapIfrFix57Y#0005</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EurLiborSwapIfrFix58Y#0005</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EurLiborSwapIfrFix59Y#0005</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1"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obj_005d9#0004</v>
      </c>
      <c r="T3" s="141"/>
      <c r="U3" s="141"/>
      <c r="V3" s="141"/>
      <c r="W3" s="141"/>
      <c r="X3" s="141"/>
      <c r="Y3" s="260"/>
      <c r="Z3" s="260"/>
      <c r="AA3" s="260"/>
      <c r="AB3" s="141"/>
      <c r="AC3" s="141"/>
      <c r="AD3" s="291">
        <f>_xll.ohTrigger(AD5:AD42)</f>
        <v>6</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EUR1E6E6M_Quote#0006</v>
      </c>
      <c r="G5" s="79" t="str">
        <f>_xll.ohRangeRetrieveError(F5)</f>
        <v/>
      </c>
      <c r="H5" s="78"/>
      <c r="I5" s="72"/>
      <c r="J5" s="72"/>
      <c r="K5" s="72"/>
      <c r="L5" s="72"/>
      <c r="N5" s="400">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399" t="s">
        <v>259</v>
      </c>
      <c r="U5" s="399" t="s">
        <v>259</v>
      </c>
      <c r="V5" s="399" t="e">
        <f>_xll.qlMidEquivalent(T5,U5)</f>
        <v>#NUM!</v>
      </c>
      <c r="W5" s="266" t="b">
        <f t="shared" ref="W5:W42" si="2">IF(ISNUMBER(V5),TRUE,FALSE)</f>
        <v>0</v>
      </c>
      <c r="X5" s="398" t="e">
        <f t="array" ref="X5:X42">_xll.qlInterpolationInterpolate(S3,N5:N42)</f>
        <v>#NUM!</v>
      </c>
      <c r="Y5" s="260"/>
      <c r="Z5" s="397" t="e">
        <v>#NUM!</v>
      </c>
      <c r="AA5" s="260"/>
      <c r="AB5" s="267" t="str">
        <f t="shared" ref="AB5:AB42" si="3">$R5&amp;$AC$2</f>
        <v>EUR1E6E6M_Quote</v>
      </c>
      <c r="AC5" s="396"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EUR1E6E1Y_Quote#0006</v>
      </c>
      <c r="G6" s="79" t="str">
        <f>_xll.ohRangeRetrieveError(F6)</f>
        <v/>
      </c>
      <c r="H6" s="78"/>
      <c r="I6" s="72"/>
      <c r="J6" s="72"/>
      <c r="K6" s="72"/>
      <c r="L6" s="72"/>
      <c r="N6" s="400">
        <v>1</v>
      </c>
      <c r="O6" s="313" t="s">
        <v>34</v>
      </c>
      <c r="P6" s="312" t="str">
        <v>1E</v>
      </c>
      <c r="Q6" s="312" t="str">
        <v>6E</v>
      </c>
      <c r="R6" s="310" t="str">
        <f t="shared" si="1"/>
        <v>EUR1E6E1Y</v>
      </c>
      <c r="S6" s="270" t="str">
        <v>EUR1E6E1Y=ICAP</v>
      </c>
      <c r="T6" s="399">
        <v>22</v>
      </c>
      <c r="U6" s="399">
        <v>0</v>
      </c>
      <c r="V6" s="399">
        <f>_xll.qlMidEquivalent(T6,U6)</f>
        <v>22</v>
      </c>
      <c r="W6" s="266" t="b">
        <f t="shared" si="2"/>
        <v>1</v>
      </c>
      <c r="X6" s="398">
        <v>22</v>
      </c>
      <c r="Y6" s="260"/>
      <c r="Z6" s="397">
        <v>22</v>
      </c>
      <c r="AA6" s="260"/>
      <c r="AB6" s="267" t="str">
        <f t="shared" si="3"/>
        <v>EUR1E6E1Y_Quote</v>
      </c>
      <c r="AC6" s="396">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EUR1E6E15M_Quote#0006</v>
      </c>
      <c r="G7" s="79" t="str">
        <f>_xll.ohRangeRetrieveError(F7)</f>
        <v/>
      </c>
      <c r="H7" s="78"/>
      <c r="N7" s="400">
        <v>1.25</v>
      </c>
      <c r="O7" s="313" t="s">
        <v>140</v>
      </c>
      <c r="P7" s="312" t="str">
        <v>1E</v>
      </c>
      <c r="Q7" s="312" t="str">
        <v>6E</v>
      </c>
      <c r="R7" s="310" t="str">
        <f t="shared" si="1"/>
        <v>EUR1E6E15M</v>
      </c>
      <c r="S7" s="270" t="str">
        <v>EUR1E6E15M=ICAP</v>
      </c>
      <c r="T7" s="399" t="s">
        <v>259</v>
      </c>
      <c r="U7" s="399" t="s">
        <v>259</v>
      </c>
      <c r="V7" s="399" t="e">
        <f>_xll.qlMidEquivalent(T7,U7)</f>
        <v>#NUM!</v>
      </c>
      <c r="W7" s="266" t="b">
        <f t="shared" si="2"/>
        <v>0</v>
      </c>
      <c r="X7" s="398">
        <v>22.978821515415554</v>
      </c>
      <c r="Y7" s="260"/>
      <c r="Z7" s="397">
        <v>22.978630018969486</v>
      </c>
      <c r="AA7" s="260"/>
      <c r="AB7" s="267" t="str">
        <f t="shared" si="3"/>
        <v>EUR1E6E15M_Quote</v>
      </c>
      <c r="AC7" s="396">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EUR1E6E18M_Quote#0006</v>
      </c>
      <c r="G8" s="79" t="str">
        <f>_xll.ohRangeRetrieveError(F8)</f>
        <v/>
      </c>
      <c r="H8" s="78"/>
      <c r="I8" s="20"/>
      <c r="J8" s="20"/>
      <c r="K8" s="20"/>
      <c r="L8" s="20"/>
      <c r="N8" s="400">
        <v>1.5</v>
      </c>
      <c r="O8" s="313" t="s">
        <v>139</v>
      </c>
      <c r="P8" s="312" t="str">
        <v>1E</v>
      </c>
      <c r="Q8" s="312" t="str">
        <v>6E</v>
      </c>
      <c r="R8" s="310" t="str">
        <f t="shared" si="1"/>
        <v>EUR1E6E18M</v>
      </c>
      <c r="S8" s="270" t="str">
        <v>EUR1E6E18M=ICAP</v>
      </c>
      <c r="T8" s="399" t="s">
        <v>259</v>
      </c>
      <c r="U8" s="399" t="s">
        <v>259</v>
      </c>
      <c r="V8" s="399" t="e">
        <f>_xll.qlMidEquivalent(T8,U8)</f>
        <v>#NUM!</v>
      </c>
      <c r="W8" s="266" t="b">
        <f t="shared" si="2"/>
        <v>0</v>
      </c>
      <c r="X8" s="398">
        <v>23.906114424664885</v>
      </c>
      <c r="Y8" s="260"/>
      <c r="Z8" s="397">
        <v>23.905808030351182</v>
      </c>
      <c r="AA8" s="260"/>
      <c r="AB8" s="267" t="str">
        <f t="shared" si="3"/>
        <v>EUR1E6E18M_Quote</v>
      </c>
      <c r="AC8" s="396">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EUR1E6E21M_Quote#0006</v>
      </c>
      <c r="G9" s="79" t="str">
        <f>_xll.ohRangeRetrieveError(F9)</f>
        <v/>
      </c>
      <c r="H9" s="78"/>
      <c r="I9" s="20"/>
      <c r="J9" s="20"/>
      <c r="K9" s="20"/>
      <c r="L9" s="20"/>
      <c r="N9" s="400">
        <v>1.75</v>
      </c>
      <c r="O9" s="313" t="s">
        <v>138</v>
      </c>
      <c r="P9" s="312" t="str">
        <v>1E</v>
      </c>
      <c r="Q9" s="312" t="str">
        <v>6E</v>
      </c>
      <c r="R9" s="310" t="str">
        <f t="shared" si="1"/>
        <v>EUR1E6E21M</v>
      </c>
      <c r="S9" s="270" t="str">
        <v>EUR1E6E21M=ICAP</v>
      </c>
      <c r="T9" s="399" t="s">
        <v>259</v>
      </c>
      <c r="U9" s="399" t="s">
        <v>259</v>
      </c>
      <c r="V9" s="399" t="e">
        <f>_xll.qlMidEquivalent(T9,U9)</f>
        <v>#NUM!</v>
      </c>
      <c r="W9" s="266" t="b">
        <f t="shared" si="2"/>
        <v>0</v>
      </c>
      <c r="X9" s="398">
        <v>24.730350121581775</v>
      </c>
      <c r="Y9" s="260"/>
      <c r="Z9" s="397">
        <v>24.730082026557284</v>
      </c>
      <c r="AA9" s="260"/>
      <c r="AB9" s="267" t="str">
        <f t="shared" si="3"/>
        <v>EUR1E6E21M_Quote</v>
      </c>
      <c r="AC9" s="396">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EUR1E6E2Y_Quote#0006</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399">
        <v>25.4</v>
      </c>
      <c r="U10" s="399">
        <v>0</v>
      </c>
      <c r="V10" s="399">
        <f>_xll.qlMidEquivalent(T10,U10)</f>
        <v>25.4</v>
      </c>
      <c r="W10" s="266" t="b">
        <f t="shared" si="2"/>
        <v>1</v>
      </c>
      <c r="X10" s="398">
        <v>25.4</v>
      </c>
      <c r="Y10" s="260"/>
      <c r="Z10" s="397">
        <v>25.4</v>
      </c>
      <c r="AA10" s="260"/>
      <c r="AB10" s="267" t="str">
        <f t="shared" si="3"/>
        <v>EUR1E6E2Y_Quote</v>
      </c>
      <c r="AC10" s="396">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EUR1E6E3Y_Quote#0006</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399">
        <v>26.5</v>
      </c>
      <c r="U11" s="399">
        <v>0</v>
      </c>
      <c r="V11" s="399">
        <f>_xll.qlMidEquivalent(T11,U11)</f>
        <v>26.5</v>
      </c>
      <c r="W11" s="266" t="b">
        <f t="shared" si="2"/>
        <v>1</v>
      </c>
      <c r="X11" s="398">
        <v>26.5</v>
      </c>
      <c r="Y11" s="260"/>
      <c r="Z11" s="397">
        <v>26.5</v>
      </c>
      <c r="AA11" s="260"/>
      <c r="AB11" s="267" t="str">
        <f t="shared" si="3"/>
        <v>EUR1E6E3Y_Quote</v>
      </c>
      <c r="AC11" s="396">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EUR1E6E4Y_Quote#0006</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399">
        <v>26.6</v>
      </c>
      <c r="U12" s="399">
        <v>0</v>
      </c>
      <c r="V12" s="399">
        <f>_xll.qlMidEquivalent(T12,U12)</f>
        <v>26.6</v>
      </c>
      <c r="W12" s="266" t="b">
        <f t="shared" si="2"/>
        <v>1</v>
      </c>
      <c r="X12" s="398">
        <v>26.6</v>
      </c>
      <c r="Y12" s="260"/>
      <c r="Z12" s="397">
        <v>26.6</v>
      </c>
      <c r="AA12" s="260"/>
      <c r="AB12" s="267" t="str">
        <f t="shared" si="3"/>
        <v>EUR1E6E4Y_Quote</v>
      </c>
      <c r="AC12" s="396">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EUR1E6E5Y_Quote#0006</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399">
        <v>26.4</v>
      </c>
      <c r="U13" s="399">
        <v>0</v>
      </c>
      <c r="V13" s="399">
        <f>_xll.qlMidEquivalent(T13,U13)</f>
        <v>26.4</v>
      </c>
      <c r="W13" s="266" t="b">
        <f t="shared" si="2"/>
        <v>1</v>
      </c>
      <c r="X13" s="398">
        <v>26.4</v>
      </c>
      <c r="Y13" s="260"/>
      <c r="Z13" s="397">
        <v>26.4</v>
      </c>
      <c r="AA13" s="260"/>
      <c r="AB13" s="267" t="str">
        <f t="shared" si="3"/>
        <v>EUR1E6E5Y_Quote</v>
      </c>
      <c r="AC13" s="396">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EUR1E6E6Y_Quote#0006</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399">
        <v>26</v>
      </c>
      <c r="U14" s="399">
        <v>0</v>
      </c>
      <c r="V14" s="399">
        <f>_xll.qlMidEquivalent(T14,U14)</f>
        <v>26</v>
      </c>
      <c r="W14" s="266" t="b">
        <f t="shared" si="2"/>
        <v>1</v>
      </c>
      <c r="X14" s="398">
        <v>26</v>
      </c>
      <c r="Y14" s="260"/>
      <c r="Z14" s="397">
        <v>25.9</v>
      </c>
      <c r="AA14" s="260"/>
      <c r="AB14" s="267" t="str">
        <f t="shared" si="3"/>
        <v>EUR1E6E6Y_Quote</v>
      </c>
      <c r="AC14" s="396">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EUR1E6E7Y_Quote#0006</v>
      </c>
      <c r="G15" s="79" t="str">
        <f>_xll.ohRangeRetrieveError(F15)</f>
        <v/>
      </c>
      <c r="H15" s="78"/>
      <c r="N15" s="126">
        <v>7</v>
      </c>
      <c r="O15" s="313" t="s">
        <v>110</v>
      </c>
      <c r="P15" s="312" t="str">
        <v>1E</v>
      </c>
      <c r="Q15" s="312" t="str">
        <v>6E</v>
      </c>
      <c r="R15" s="310" t="str">
        <f t="shared" si="1"/>
        <v>EUR1E6E7Y</v>
      </c>
      <c r="S15" s="270" t="str">
        <v>EUR1E6E7Y=ICAP</v>
      </c>
      <c r="T15" s="399">
        <v>25.3</v>
      </c>
      <c r="U15" s="399">
        <v>0</v>
      </c>
      <c r="V15" s="399">
        <f>_xll.qlMidEquivalent(T15,U15)</f>
        <v>25.3</v>
      </c>
      <c r="W15" s="266" t="b">
        <f t="shared" si="2"/>
        <v>1</v>
      </c>
      <c r="X15" s="398">
        <v>25.3</v>
      </c>
      <c r="Y15" s="260"/>
      <c r="Z15" s="397">
        <v>25.3</v>
      </c>
      <c r="AA15" s="260"/>
      <c r="AB15" s="267" t="str">
        <f t="shared" si="3"/>
        <v>EUR1E6E7Y_Quote</v>
      </c>
      <c r="AC15" s="396">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EUR1E6E8Y_Quote#0006</v>
      </c>
      <c r="G16" s="79" t="str">
        <f>_xll.ohRangeRetrieveError(F16)</f>
        <v/>
      </c>
      <c r="H16" s="78"/>
      <c r="N16" s="126">
        <v>8</v>
      </c>
      <c r="O16" s="313" t="s">
        <v>109</v>
      </c>
      <c r="P16" s="312" t="str">
        <v>1E</v>
      </c>
      <c r="Q16" s="312" t="str">
        <v>6E</v>
      </c>
      <c r="R16" s="310" t="str">
        <f t="shared" si="1"/>
        <v>EUR1E6E8Y</v>
      </c>
      <c r="S16" s="270" t="str">
        <v>EUR1E6E8Y=ICAP</v>
      </c>
      <c r="T16" s="399">
        <v>24.6</v>
      </c>
      <c r="U16" s="399">
        <v>0</v>
      </c>
      <c r="V16" s="399">
        <f>_xll.qlMidEquivalent(T16,U16)</f>
        <v>24.6</v>
      </c>
      <c r="W16" s="266" t="b">
        <f t="shared" si="2"/>
        <v>1</v>
      </c>
      <c r="X16" s="398">
        <v>24.6</v>
      </c>
      <c r="Y16" s="260"/>
      <c r="Z16" s="397">
        <v>24.6</v>
      </c>
      <c r="AA16" s="260"/>
      <c r="AB16" s="267" t="str">
        <f t="shared" si="3"/>
        <v>EUR1E6E8Y_Quote</v>
      </c>
      <c r="AC16" s="396">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EUR1E6E9Y_Quote#0006</v>
      </c>
      <c r="G17" s="79" t="str">
        <f>_xll.ohRangeRetrieveError(F17)</f>
        <v/>
      </c>
      <c r="H17" s="78"/>
      <c r="N17" s="126">
        <v>9</v>
      </c>
      <c r="O17" s="313" t="s">
        <v>108</v>
      </c>
      <c r="P17" s="312" t="str">
        <v>1E</v>
      </c>
      <c r="Q17" s="312" t="str">
        <v>6E</v>
      </c>
      <c r="R17" s="310" t="str">
        <f t="shared" si="1"/>
        <v>EUR1E6E9Y</v>
      </c>
      <c r="S17" s="270" t="str">
        <v>EUR1E6E9Y=ICAP</v>
      </c>
      <c r="T17" s="399">
        <v>23.9</v>
      </c>
      <c r="U17" s="399">
        <v>0</v>
      </c>
      <c r="V17" s="399">
        <f>_xll.qlMidEquivalent(T17,U17)</f>
        <v>23.9</v>
      </c>
      <c r="W17" s="266" t="b">
        <f t="shared" si="2"/>
        <v>1</v>
      </c>
      <c r="X17" s="398">
        <v>23.9</v>
      </c>
      <c r="Y17" s="260"/>
      <c r="Z17" s="397">
        <v>23.8</v>
      </c>
      <c r="AA17" s="260"/>
      <c r="AB17" s="267" t="str">
        <f t="shared" si="3"/>
        <v>EUR1E6E9Y_Quote</v>
      </c>
      <c r="AC17" s="396">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EUR1E6E10Y_Quote#0006</v>
      </c>
      <c r="G18" s="79" t="str">
        <f>_xll.ohRangeRetrieveError(F18)</f>
        <v/>
      </c>
      <c r="H18" s="78"/>
      <c r="N18" s="126">
        <v>10</v>
      </c>
      <c r="O18" s="313" t="s">
        <v>107</v>
      </c>
      <c r="P18" s="312" t="str">
        <v>1E</v>
      </c>
      <c r="Q18" s="312" t="str">
        <v>6E</v>
      </c>
      <c r="R18" s="310" t="str">
        <f t="shared" si="1"/>
        <v>EUR1E6E10Y</v>
      </c>
      <c r="S18" s="270" t="str">
        <v>EUR1E6E10Y=ICAP</v>
      </c>
      <c r="T18" s="399">
        <v>23.1</v>
      </c>
      <c r="U18" s="399">
        <v>0</v>
      </c>
      <c r="V18" s="399">
        <f>_xll.qlMidEquivalent(T18,U18)</f>
        <v>23.1</v>
      </c>
      <c r="W18" s="266" t="b">
        <f t="shared" si="2"/>
        <v>1</v>
      </c>
      <c r="X18" s="398">
        <v>23.1</v>
      </c>
      <c r="Y18" s="260"/>
      <c r="Z18" s="397">
        <v>23</v>
      </c>
      <c r="AA18" s="260"/>
      <c r="AB18" s="267" t="str">
        <f t="shared" si="3"/>
        <v>EUR1E6E10Y_Quote</v>
      </c>
      <c r="AC18" s="396">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EUR1E6E11Y_Quote#0006</v>
      </c>
      <c r="G19" s="79" t="str">
        <f>_xll.ohRangeRetrieveError(F19)</f>
        <v/>
      </c>
      <c r="H19" s="78"/>
      <c r="N19" s="126">
        <v>11</v>
      </c>
      <c r="O19" s="313" t="s">
        <v>106</v>
      </c>
      <c r="P19" s="312" t="str">
        <v>1E</v>
      </c>
      <c r="Q19" s="312" t="str">
        <v>6E</v>
      </c>
      <c r="R19" s="310" t="str">
        <f t="shared" si="1"/>
        <v>EUR1E6E11Y</v>
      </c>
      <c r="S19" s="270" t="str">
        <v>EUR1E6E11Y=ICAP</v>
      </c>
      <c r="T19" s="399">
        <v>22.3</v>
      </c>
      <c r="U19" s="399">
        <v>0</v>
      </c>
      <c r="V19" s="399">
        <f>_xll.qlMidEquivalent(T19,U19)</f>
        <v>22.3</v>
      </c>
      <c r="W19" s="266" t="b">
        <f t="shared" si="2"/>
        <v>1</v>
      </c>
      <c r="X19" s="398">
        <v>22.3</v>
      </c>
      <c r="Y19" s="260"/>
      <c r="Z19" s="397">
        <v>22.3</v>
      </c>
      <c r="AA19" s="260"/>
      <c r="AB19" s="267" t="str">
        <f t="shared" si="3"/>
        <v>EUR1E6E11Y_Quote</v>
      </c>
      <c r="AC19" s="396">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EUR1E6E12Y_Quote#0006</v>
      </c>
      <c r="G20" s="79" t="str">
        <f>_xll.ohRangeRetrieveError(F20)</f>
        <v/>
      </c>
      <c r="H20" s="78"/>
      <c r="N20" s="126">
        <v>12</v>
      </c>
      <c r="O20" s="313" t="s">
        <v>105</v>
      </c>
      <c r="P20" s="312" t="str">
        <v>1E</v>
      </c>
      <c r="Q20" s="312" t="str">
        <v>6E</v>
      </c>
      <c r="R20" s="310" t="str">
        <f t="shared" si="1"/>
        <v>EUR1E6E12Y</v>
      </c>
      <c r="S20" s="270" t="str">
        <v>EUR1E6E12Y=ICAP</v>
      </c>
      <c r="T20" s="399">
        <v>21.5</v>
      </c>
      <c r="U20" s="399">
        <v>0</v>
      </c>
      <c r="V20" s="399">
        <f>_xll.qlMidEquivalent(T20,U20)</f>
        <v>21.5</v>
      </c>
      <c r="W20" s="266" t="b">
        <f t="shared" si="2"/>
        <v>1</v>
      </c>
      <c r="X20" s="398">
        <v>21.5</v>
      </c>
      <c r="Y20" s="260"/>
      <c r="Z20" s="397">
        <v>21.5</v>
      </c>
      <c r="AA20" s="260"/>
      <c r="AB20" s="267" t="str">
        <f t="shared" si="3"/>
        <v>EUR1E6E12Y_Quote</v>
      </c>
      <c r="AC20" s="396">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EUR1E6E13Y_Quote#0006</v>
      </c>
      <c r="G21" s="79" t="str">
        <f>_xll.ohRangeRetrieveError(F21)</f>
        <v/>
      </c>
      <c r="H21" s="78"/>
      <c r="N21" s="126">
        <v>13</v>
      </c>
      <c r="O21" s="313" t="s">
        <v>104</v>
      </c>
      <c r="P21" s="312" t="str">
        <v>1E</v>
      </c>
      <c r="Q21" s="312" t="str">
        <v>6E</v>
      </c>
      <c r="R21" s="310" t="str">
        <f t="shared" si="1"/>
        <v>EUR1E6E13Y</v>
      </c>
      <c r="S21" s="270" t="str">
        <v>EUR1E6E13Y=ICAP</v>
      </c>
      <c r="T21" s="399" t="s">
        <v>259</v>
      </c>
      <c r="U21" s="399" t="s">
        <v>259</v>
      </c>
      <c r="V21" s="399" t="e">
        <f>_xll.qlMidEquivalent(T21,U21)</f>
        <v>#NUM!</v>
      </c>
      <c r="W21" s="266" t="b">
        <f t="shared" si="2"/>
        <v>0</v>
      </c>
      <c r="X21" s="398">
        <v>20.767158961360217</v>
      </c>
      <c r="Y21" s="260"/>
      <c r="Z21" s="397">
        <v>20.754886144272987</v>
      </c>
      <c r="AA21" s="260"/>
      <c r="AB21" s="267" t="str">
        <f t="shared" si="3"/>
        <v>EUR1E6E13Y_Quote</v>
      </c>
      <c r="AC21" s="396">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EUR1E6E14Y_Quote#0006</v>
      </c>
      <c r="G22" s="79" t="str">
        <f>_xll.ohRangeRetrieveError(F22)</f>
        <v/>
      </c>
      <c r="H22" s="78"/>
      <c r="N22" s="126">
        <v>14</v>
      </c>
      <c r="O22" s="313" t="s">
        <v>103</v>
      </c>
      <c r="P22" s="312" t="str">
        <v>1E</v>
      </c>
      <c r="Q22" s="312" t="str">
        <v>6E</v>
      </c>
      <c r="R22" s="310" t="str">
        <f t="shared" si="1"/>
        <v>EUR1E6E14Y</v>
      </c>
      <c r="S22" s="270" t="str">
        <v>EUR1E6E14Y=ICAP</v>
      </c>
      <c r="T22" s="399" t="s">
        <v>259</v>
      </c>
      <c r="U22" s="399" t="s">
        <v>259</v>
      </c>
      <c r="V22" s="399" t="e">
        <f>_xll.qlMidEquivalent(T22,U22)</f>
        <v>#NUM!</v>
      </c>
      <c r="W22" s="266" t="b">
        <f t="shared" si="2"/>
        <v>0</v>
      </c>
      <c r="X22" s="398">
        <v>20.106819379057171</v>
      </c>
      <c r="Y22" s="260"/>
      <c r="Z22" s="397">
        <v>20.098240125294787</v>
      </c>
      <c r="AA22" s="260"/>
      <c r="AB22" s="267" t="str">
        <f t="shared" si="3"/>
        <v>EUR1E6E14Y_Quote</v>
      </c>
      <c r="AC22" s="396">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EUR1E6E15Y_Quote#0006</v>
      </c>
      <c r="G23" s="79" t="str">
        <f>_xll.ohRangeRetrieveError(F23)</f>
        <v/>
      </c>
      <c r="H23" s="78"/>
      <c r="N23" s="126">
        <v>15</v>
      </c>
      <c r="O23" s="313" t="s">
        <v>102</v>
      </c>
      <c r="P23" s="312" t="str">
        <v>1E</v>
      </c>
      <c r="Q23" s="312" t="str">
        <v>6E</v>
      </c>
      <c r="R23" s="310" t="str">
        <f t="shared" si="1"/>
        <v>EUR1E6E15Y</v>
      </c>
      <c r="S23" s="270" t="str">
        <v>EUR1E6E15Y=ICAP</v>
      </c>
      <c r="T23" s="399">
        <v>19.5</v>
      </c>
      <c r="U23" s="399">
        <v>0</v>
      </c>
      <c r="V23" s="399">
        <f>_xll.qlMidEquivalent(T23,U23)</f>
        <v>19.5</v>
      </c>
      <c r="W23" s="266" t="b">
        <f t="shared" si="2"/>
        <v>1</v>
      </c>
      <c r="X23" s="398">
        <v>19.5</v>
      </c>
      <c r="Y23" s="260"/>
      <c r="Z23" s="397">
        <v>19.5</v>
      </c>
      <c r="AA23" s="260"/>
      <c r="AB23" s="267" t="str">
        <f t="shared" si="3"/>
        <v>EUR1E6E15Y_Quote</v>
      </c>
      <c r="AC23" s="396">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EUR1E6E16Y_Quote#0006</v>
      </c>
      <c r="G24" s="79" t="str">
        <f>_xll.ohRangeRetrieveError(F24)</f>
        <v/>
      </c>
      <c r="H24" s="78"/>
      <c r="N24" s="126">
        <v>16</v>
      </c>
      <c r="O24" s="313" t="s">
        <v>101</v>
      </c>
      <c r="P24" s="312" t="str">
        <v>1E</v>
      </c>
      <c r="Q24" s="312" t="str">
        <v>6E</v>
      </c>
      <c r="R24" s="310" t="str">
        <f t="shared" si="1"/>
        <v>EUR1E6E16Y</v>
      </c>
      <c r="S24" s="270" t="str">
        <v>EUR1E6E16Y=ICAP</v>
      </c>
      <c r="T24" s="399" t="s">
        <v>259</v>
      </c>
      <c r="U24" s="399" t="s">
        <v>259</v>
      </c>
      <c r="V24" s="399" t="e">
        <f>_xll.qlMidEquivalent(T24,U24)</f>
        <v>#NUM!</v>
      </c>
      <c r="W24" s="266" t="b">
        <f t="shared" si="2"/>
        <v>0</v>
      </c>
      <c r="X24" s="398">
        <v>18.930884672736056</v>
      </c>
      <c r="Y24" s="260"/>
      <c r="Z24" s="397">
        <v>18.935442067151328</v>
      </c>
      <c r="AA24" s="260"/>
      <c r="AB24" s="267" t="str">
        <f t="shared" si="3"/>
        <v>EUR1E6E16Y_Quote</v>
      </c>
      <c r="AC24" s="396">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EUR1E6E17Y_Quote#0006</v>
      </c>
      <c r="G25" s="79" t="str">
        <f>_xll.ohRangeRetrieveError(F25)</f>
        <v/>
      </c>
      <c r="H25" s="78"/>
      <c r="N25" s="126">
        <v>17</v>
      </c>
      <c r="O25" s="313" t="s">
        <v>100</v>
      </c>
      <c r="P25" s="312" t="str">
        <v>1E</v>
      </c>
      <c r="Q25" s="312" t="str">
        <v>6E</v>
      </c>
      <c r="R25" s="310" t="str">
        <f t="shared" si="1"/>
        <v>EUR1E6E17Y</v>
      </c>
      <c r="S25" s="270" t="str">
        <v>EUR1E6E17Y=ICAP</v>
      </c>
      <c r="T25" s="399" t="s">
        <v>259</v>
      </c>
      <c r="U25" s="399" t="s">
        <v>259</v>
      </c>
      <c r="V25" s="399" t="e">
        <f>_xll.qlMidEquivalent(T25,U25)</f>
        <v>#NUM!</v>
      </c>
      <c r="W25" s="266" t="b">
        <f t="shared" si="2"/>
        <v>0</v>
      </c>
      <c r="X25" s="398">
        <v>18.396317652365603</v>
      </c>
      <c r="Y25" s="260"/>
      <c r="Z25" s="397">
        <v>18.401195592823832</v>
      </c>
      <c r="AA25" s="260"/>
      <c r="AB25" s="267" t="str">
        <f t="shared" si="3"/>
        <v>EUR1E6E17Y_Quote</v>
      </c>
      <c r="AC25" s="396">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EUR1E6E18Y_Quote#0006</v>
      </c>
      <c r="G26" s="79" t="str">
        <f>_xll.ohRangeRetrieveError(F26)</f>
        <v/>
      </c>
      <c r="H26" s="78"/>
      <c r="N26" s="126">
        <v>18</v>
      </c>
      <c r="O26" s="313" t="s">
        <v>99</v>
      </c>
      <c r="P26" s="312" t="str">
        <v>1E</v>
      </c>
      <c r="Q26" s="312" t="str">
        <v>6E</v>
      </c>
      <c r="R26" s="310" t="str">
        <f t="shared" si="1"/>
        <v>EUR1E6E18Y</v>
      </c>
      <c r="S26" s="270" t="str">
        <v>EUR1E6E18Y=ICAP</v>
      </c>
      <c r="T26" s="399" t="s">
        <v>259</v>
      </c>
      <c r="U26" s="399" t="s">
        <v>259</v>
      </c>
      <c r="V26" s="399" t="e">
        <f>_xll.qlMidEquivalent(T26,U26)</f>
        <v>#NUM!</v>
      </c>
      <c r="W26" s="266" t="b">
        <f t="shared" si="2"/>
        <v>0</v>
      </c>
      <c r="X26" s="398">
        <v>17.896308295627119</v>
      </c>
      <c r="Y26" s="260"/>
      <c r="Z26" s="397">
        <v>17.899228084920672</v>
      </c>
      <c r="AA26" s="260"/>
      <c r="AB26" s="267" t="str">
        <f t="shared" si="3"/>
        <v>EUR1E6E18Y_Quote</v>
      </c>
      <c r="AC26" s="396">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EUR1E6E19Y_Quote#0006</v>
      </c>
      <c r="G27" s="79" t="str">
        <f>_xll.ohRangeRetrieveError(F27)</f>
        <v/>
      </c>
      <c r="H27" s="78"/>
      <c r="N27" s="126">
        <v>19</v>
      </c>
      <c r="O27" s="313" t="s">
        <v>98</v>
      </c>
      <c r="P27" s="312" t="str">
        <v>1E</v>
      </c>
      <c r="Q27" s="312" t="str">
        <v>6E</v>
      </c>
      <c r="R27" s="310" t="str">
        <f t="shared" si="1"/>
        <v>EUR1E6E19Y</v>
      </c>
      <c r="S27" s="270" t="str">
        <v>EUR1E6E19Y=ICAP</v>
      </c>
      <c r="T27" s="399" t="s">
        <v>259</v>
      </c>
      <c r="U27" s="399" t="s">
        <v>259</v>
      </c>
      <c r="V27" s="399" t="e">
        <f>_xll.qlMidEquivalent(T27,U27)</f>
        <v>#NUM!</v>
      </c>
      <c r="W27" s="266" t="b">
        <f t="shared" si="2"/>
        <v>0</v>
      </c>
      <c r="X27" s="398">
        <v>17.430865959259091</v>
      </c>
      <c r="Y27" s="260"/>
      <c r="Z27" s="397">
        <v>17.431507051345008</v>
      </c>
      <c r="AA27" s="260"/>
      <c r="AB27" s="267" t="str">
        <f t="shared" si="3"/>
        <v>EUR1E6E19Y_Quote</v>
      </c>
      <c r="AC27" s="396">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EUR1E6E20Y_Quote#0006</v>
      </c>
      <c r="G28" s="79" t="str">
        <f>_xll.ohRangeRetrieveError(F28)</f>
        <v/>
      </c>
      <c r="H28" s="78"/>
      <c r="N28" s="126">
        <v>20</v>
      </c>
      <c r="O28" s="313" t="s">
        <v>97</v>
      </c>
      <c r="P28" s="312" t="str">
        <v>1E</v>
      </c>
      <c r="Q28" s="312" t="str">
        <v>6E</v>
      </c>
      <c r="R28" s="310" t="str">
        <f t="shared" si="1"/>
        <v>EUR1E6E20Y</v>
      </c>
      <c r="S28" s="270" t="str">
        <v>EUR1E6E20Y=ICAP</v>
      </c>
      <c r="T28" s="399">
        <v>17</v>
      </c>
      <c r="U28" s="399">
        <v>0</v>
      </c>
      <c r="V28" s="399">
        <f>_xll.qlMidEquivalent(T28,U28)</f>
        <v>17</v>
      </c>
      <c r="W28" s="266" t="b">
        <f t="shared" si="2"/>
        <v>1</v>
      </c>
      <c r="X28" s="398">
        <v>17</v>
      </c>
      <c r="Y28" s="260"/>
      <c r="Z28" s="397">
        <v>17</v>
      </c>
      <c r="AA28" s="260"/>
      <c r="AB28" s="267" t="str">
        <f t="shared" si="3"/>
        <v>EUR1E6E20Y_Quote</v>
      </c>
      <c r="AC28" s="396">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EUR1E6E21Y_Quote#0006</v>
      </c>
      <c r="G29" s="79" t="str">
        <f>_xll.ohRangeRetrieveError(F29)</f>
        <v/>
      </c>
      <c r="H29" s="78"/>
      <c r="N29" s="126">
        <v>21</v>
      </c>
      <c r="O29" s="313" t="s">
        <v>96</v>
      </c>
      <c r="P29" s="312" t="str">
        <v>1E</v>
      </c>
      <c r="Q29" s="312" t="str">
        <v>6E</v>
      </c>
      <c r="R29" s="310" t="str">
        <f t="shared" si="1"/>
        <v>EUR1E6E21Y</v>
      </c>
      <c r="S29" s="270" t="str">
        <v>EUR1E6E21Y=ICAP</v>
      </c>
      <c r="T29" s="399" t="s">
        <v>259</v>
      </c>
      <c r="U29" s="399" t="s">
        <v>259</v>
      </c>
      <c r="V29" s="399" t="e">
        <f>_xll.qlMidEquivalent(T29,U29)</f>
        <v>#NUM!</v>
      </c>
      <c r="W29" s="266" t="b">
        <f t="shared" si="2"/>
        <v>0</v>
      </c>
      <c r="X29" s="398">
        <v>16.603202627818849</v>
      </c>
      <c r="Y29" s="260"/>
      <c r="Z29" s="397">
        <v>16.60543814076204</v>
      </c>
      <c r="AA29" s="260"/>
      <c r="AB29" s="267" t="str">
        <f t="shared" si="3"/>
        <v>EUR1E6E21Y_Quote</v>
      </c>
      <c r="AC29" s="396">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EUR1E6E22Y_Quote#0006</v>
      </c>
      <c r="G30" s="79" t="str">
        <f>_xll.ohRangeRetrieveError(F30)</f>
        <v/>
      </c>
      <c r="H30" s="78"/>
      <c r="N30" s="126">
        <v>22</v>
      </c>
      <c r="O30" s="313" t="s">
        <v>95</v>
      </c>
      <c r="P30" s="312" t="str">
        <v>1E</v>
      </c>
      <c r="Q30" s="312" t="str">
        <v>6E</v>
      </c>
      <c r="R30" s="310" t="str">
        <f t="shared" si="1"/>
        <v>EUR1E6E22Y</v>
      </c>
      <c r="S30" s="270" t="str">
        <v>EUR1E6E22Y=ICAP</v>
      </c>
      <c r="T30" s="399" t="s">
        <v>259</v>
      </c>
      <c r="U30" s="399" t="s">
        <v>259</v>
      </c>
      <c r="V30" s="399" t="e">
        <f>_xll.qlMidEquivalent(T30,U30)</f>
        <v>#NUM!</v>
      </c>
      <c r="W30" s="266" t="b">
        <f t="shared" si="2"/>
        <v>0</v>
      </c>
      <c r="X30" s="398">
        <v>16.237897465606693</v>
      </c>
      <c r="Y30" s="260"/>
      <c r="Z30" s="397">
        <v>16.243607491400475</v>
      </c>
      <c r="AA30" s="260"/>
      <c r="AB30" s="267" t="str">
        <f t="shared" si="3"/>
        <v>EUR1E6E22Y_Quote</v>
      </c>
      <c r="AC30" s="396">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EUR1E6E23Y_Quote#0006</v>
      </c>
      <c r="G31" s="79" t="str">
        <f>_xll.ohRangeRetrieveError(F31)</f>
        <v/>
      </c>
      <c r="H31" s="78"/>
      <c r="N31" s="126">
        <v>23</v>
      </c>
      <c r="O31" s="313" t="s">
        <v>94</v>
      </c>
      <c r="P31" s="312" t="str">
        <v>1E</v>
      </c>
      <c r="Q31" s="312" t="str">
        <v>6E</v>
      </c>
      <c r="R31" s="310" t="str">
        <f t="shared" si="1"/>
        <v>EUR1E6E23Y</v>
      </c>
      <c r="S31" s="270" t="str">
        <v>EUR1E6E23Y=ICAP</v>
      </c>
      <c r="T31" s="399" t="s">
        <v>259</v>
      </c>
      <c r="U31" s="399" t="s">
        <v>259</v>
      </c>
      <c r="V31" s="399" t="e">
        <f>_xll.qlMidEquivalent(T31,U31)</f>
        <v>#NUM!</v>
      </c>
      <c r="W31" s="266" t="b">
        <f t="shared" si="2"/>
        <v>0</v>
      </c>
      <c r="X31" s="398">
        <v>15.900990989485116</v>
      </c>
      <c r="Y31" s="260"/>
      <c r="Z31" s="397">
        <v>15.909057771657892</v>
      </c>
      <c r="AA31" s="260"/>
      <c r="AB31" s="267" t="str">
        <f t="shared" si="3"/>
        <v>EUR1E6E23Y_Quote</v>
      </c>
      <c r="AC31" s="396">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EUR1E6E24Y_Quote#0006</v>
      </c>
      <c r="G32" s="79" t="str">
        <f>_xll.ohRangeRetrieveError(F32)</f>
        <v/>
      </c>
      <c r="H32" s="78"/>
      <c r="N32" s="126">
        <v>24</v>
      </c>
      <c r="O32" s="313" t="s">
        <v>93</v>
      </c>
      <c r="P32" s="312" t="str">
        <v>1E</v>
      </c>
      <c r="Q32" s="312" t="str">
        <v>6E</v>
      </c>
      <c r="R32" s="310" t="str">
        <f t="shared" si="1"/>
        <v>EUR1E6E24Y</v>
      </c>
      <c r="S32" s="270" t="str">
        <v>EUR1E6E24Y=ICAP</v>
      </c>
      <c r="T32" s="399" t="s">
        <v>259</v>
      </c>
      <c r="U32" s="399" t="s">
        <v>259</v>
      </c>
      <c r="V32" s="399" t="e">
        <f>_xll.qlMidEquivalent(T32,U32)</f>
        <v>#NUM!</v>
      </c>
      <c r="W32" s="266" t="b">
        <f t="shared" si="2"/>
        <v>0</v>
      </c>
      <c r="X32" s="398">
        <v>15.589389675575694</v>
      </c>
      <c r="Y32" s="260"/>
      <c r="Z32" s="397">
        <v>15.596338701276871</v>
      </c>
      <c r="AA32" s="260"/>
      <c r="AB32" s="267" t="str">
        <f t="shared" si="3"/>
        <v>EUR1E6E24Y_Quote</v>
      </c>
      <c r="AC32" s="396">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EUR1E6E25Y_Quote#0006</v>
      </c>
      <c r="G33" s="79" t="str">
        <f>_xll.ohRangeRetrieveError(F33)</f>
        <v/>
      </c>
      <c r="H33" s="78"/>
      <c r="N33" s="126">
        <v>25</v>
      </c>
      <c r="O33" s="313" t="s">
        <v>92</v>
      </c>
      <c r="P33" s="312" t="str">
        <v>1E</v>
      </c>
      <c r="Q33" s="312" t="str">
        <v>6E</v>
      </c>
      <c r="R33" s="310" t="str">
        <f t="shared" si="1"/>
        <v>EUR1E6E25Y</v>
      </c>
      <c r="S33" s="270" t="str">
        <v>EUR1E6E25Y=ICAP</v>
      </c>
      <c r="T33" s="399">
        <v>15.3</v>
      </c>
      <c r="U33" s="399">
        <v>0</v>
      </c>
      <c r="V33" s="399">
        <f>_xll.qlMidEquivalent(T33,U33)</f>
        <v>15.3</v>
      </c>
      <c r="W33" s="266" t="b">
        <f t="shared" si="2"/>
        <v>1</v>
      </c>
      <c r="X33" s="398">
        <v>15.3</v>
      </c>
      <c r="Y33" s="260"/>
      <c r="Z33" s="397">
        <v>15.3</v>
      </c>
      <c r="AA33" s="260"/>
      <c r="AB33" s="267" t="str">
        <f t="shared" si="3"/>
        <v>EUR1E6E25Y_Quote</v>
      </c>
      <c r="AC33" s="396">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EUR1E6E26Y_Quote#0006</v>
      </c>
      <c r="G34" s="79" t="str">
        <f>_xll.ohRangeRetrieveError(F34)</f>
        <v/>
      </c>
      <c r="H34" s="78"/>
      <c r="N34" s="126">
        <v>26</v>
      </c>
      <c r="O34" s="313" t="s">
        <v>91</v>
      </c>
      <c r="P34" s="312" t="str">
        <v>1E</v>
      </c>
      <c r="Q34" s="312" t="str">
        <v>6E</v>
      </c>
      <c r="R34" s="310" t="str">
        <f t="shared" si="1"/>
        <v>EUR1E6E26Y</v>
      </c>
      <c r="S34" s="270" t="str">
        <v>EUR1E6E26Y=ICAP</v>
      </c>
      <c r="T34" s="399" t="s">
        <v>259</v>
      </c>
      <c r="U34" s="399" t="s">
        <v>259</v>
      </c>
      <c r="V34" s="399" t="e">
        <f>_xll.qlMidEquivalent(T34,U34)</f>
        <v>#NUM!</v>
      </c>
      <c r="W34" s="266" t="b">
        <f t="shared" si="2"/>
        <v>0</v>
      </c>
      <c r="X34" s="398">
        <v>15.029904815988555</v>
      </c>
      <c r="Y34" s="260"/>
      <c r="Z34" s="397">
        <v>15.015605369800516</v>
      </c>
      <c r="AA34" s="260"/>
      <c r="AB34" s="267" t="str">
        <f t="shared" si="3"/>
        <v>EUR1E6E26Y_Quote</v>
      </c>
      <c r="AC34" s="396">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EUR1E6E27Y_Quote#0006</v>
      </c>
      <c r="G35" s="79" t="str">
        <f>_xll.ohRangeRetrieveError(F35)</f>
        <v/>
      </c>
      <c r="H35" s="78"/>
      <c r="N35" s="126">
        <v>27</v>
      </c>
      <c r="O35" s="313" t="s">
        <v>90</v>
      </c>
      <c r="P35" s="312" t="str">
        <v>1E</v>
      </c>
      <c r="Q35" s="312" t="str">
        <v>6E</v>
      </c>
      <c r="R35" s="310" t="str">
        <f t="shared" si="1"/>
        <v>EUR1E6E27Y</v>
      </c>
      <c r="S35" s="270" t="str">
        <v>EUR1E6E27Y=ICAP</v>
      </c>
      <c r="T35" s="399" t="s">
        <v>259</v>
      </c>
      <c r="U35" s="399" t="s">
        <v>259</v>
      </c>
      <c r="V35" s="399" t="e">
        <f>_xll.qlMidEquivalent(T35,U35)</f>
        <v>#NUM!</v>
      </c>
      <c r="W35" s="266" t="b">
        <f t="shared" si="2"/>
        <v>0</v>
      </c>
      <c r="X35" s="398">
        <v>14.776892485207624</v>
      </c>
      <c r="Y35" s="260"/>
      <c r="Z35" s="397">
        <v>14.742774441574269</v>
      </c>
      <c r="AA35" s="260"/>
      <c r="AB35" s="267" t="str">
        <f t="shared" si="3"/>
        <v>EUR1E6E27Y_Quote</v>
      </c>
      <c r="AC35" s="396">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EUR1E6E28Y_Quote#0006</v>
      </c>
      <c r="G36" s="79" t="str">
        <f>_xll.ohRangeRetrieveError(F36)</f>
        <v/>
      </c>
      <c r="H36" s="78"/>
      <c r="N36" s="126">
        <v>28</v>
      </c>
      <c r="O36" s="313" t="s">
        <v>89</v>
      </c>
      <c r="P36" s="312" t="str">
        <v>1E</v>
      </c>
      <c r="Q36" s="312" t="str">
        <v>6E</v>
      </c>
      <c r="R36" s="310" t="str">
        <f t="shared" si="1"/>
        <v>EUR1E6E28Y</v>
      </c>
      <c r="S36" s="270" t="str">
        <v>EUR1E6E28Y=ICAP</v>
      </c>
      <c r="T36" s="399" t="s">
        <v>259</v>
      </c>
      <c r="U36" s="399" t="s">
        <v>259</v>
      </c>
      <c r="V36" s="399" t="e">
        <f>_xll.qlMidEquivalent(T36,U36)</f>
        <v>#NUM!</v>
      </c>
      <c r="W36" s="266" t="b">
        <f t="shared" si="2"/>
        <v>0</v>
      </c>
      <c r="X36" s="398">
        <v>14.538927746432416</v>
      </c>
      <c r="Y36" s="260"/>
      <c r="Z36" s="397">
        <v>14.482140828447765</v>
      </c>
      <c r="AA36" s="260"/>
      <c r="AB36" s="267" t="str">
        <f t="shared" si="3"/>
        <v>EUR1E6E28Y_Quote</v>
      </c>
      <c r="AC36" s="396">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EUR1E6E29Y_Quote#0006</v>
      </c>
      <c r="G37" s="79" t="str">
        <f>_xll.ohRangeRetrieveError(F37)</f>
        <v/>
      </c>
      <c r="H37" s="78"/>
      <c r="N37" s="126">
        <v>29</v>
      </c>
      <c r="O37" s="313" t="s">
        <v>88</v>
      </c>
      <c r="P37" s="312" t="str">
        <v>1E</v>
      </c>
      <c r="Q37" s="312" t="str">
        <v>6E</v>
      </c>
      <c r="R37" s="310" t="str">
        <f t="shared" si="1"/>
        <v>EUR1E6E29Y</v>
      </c>
      <c r="S37" s="270" t="str">
        <v>EUR1E6E29Y=ICAP</v>
      </c>
      <c r="T37" s="399" t="s">
        <v>259</v>
      </c>
      <c r="U37" s="399" t="s">
        <v>259</v>
      </c>
      <c r="V37" s="399" t="e">
        <f>_xll.qlMidEquivalent(T37,U37)</f>
        <v>#NUM!</v>
      </c>
      <c r="W37" s="266" t="b">
        <f t="shared" si="2"/>
        <v>0</v>
      </c>
      <c r="X37" s="398">
        <v>14.313975338438139</v>
      </c>
      <c r="Y37" s="260"/>
      <c r="Z37" s="397">
        <v>14.234338143547507</v>
      </c>
      <c r="AA37" s="260"/>
      <c r="AB37" s="267" t="str">
        <f t="shared" si="3"/>
        <v>EUR1E6E29Y_Quote</v>
      </c>
      <c r="AC37" s="396">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EUR1E6E30Y_Quote#0006</v>
      </c>
      <c r="G38" s="79" t="str">
        <f>_xll.ohRangeRetrieveError(F38)</f>
        <v/>
      </c>
      <c r="H38" s="78"/>
      <c r="N38" s="126">
        <v>30</v>
      </c>
      <c r="O38" s="313" t="s">
        <v>87</v>
      </c>
      <c r="P38" s="312" t="str">
        <v>1E</v>
      </c>
      <c r="Q38" s="312" t="str">
        <v>6E</v>
      </c>
      <c r="R38" s="310" t="str">
        <f t="shared" si="1"/>
        <v>EUR1E6E30Y</v>
      </c>
      <c r="S38" s="270" t="str">
        <v>EUR1E6E30Y=ICAP</v>
      </c>
      <c r="T38" s="399">
        <v>14.1</v>
      </c>
      <c r="U38" s="399">
        <v>0</v>
      </c>
      <c r="V38" s="399">
        <f>_xll.qlMidEquivalent(T38,U38)</f>
        <v>14.1</v>
      </c>
      <c r="W38" s="266" t="b">
        <f t="shared" si="2"/>
        <v>1</v>
      </c>
      <c r="X38" s="398">
        <v>14.1</v>
      </c>
      <c r="Y38" s="260"/>
      <c r="Z38" s="397">
        <v>14</v>
      </c>
      <c r="AA38" s="260"/>
      <c r="AB38" s="267" t="str">
        <f t="shared" si="3"/>
        <v>EUR1E6E30Y_Quote</v>
      </c>
      <c r="AC38" s="396">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EUR1E6E35Y_Quote#0006</v>
      </c>
      <c r="G39" s="79" t="str">
        <f>_xll.ohRangeRetrieveError(F39)</f>
        <v/>
      </c>
      <c r="H39" s="78"/>
      <c r="N39" s="126">
        <v>35</v>
      </c>
      <c r="O39" s="313" t="s">
        <v>82</v>
      </c>
      <c r="P39" s="312" t="str">
        <v>1E</v>
      </c>
      <c r="Q39" s="312" t="str">
        <v>6E</v>
      </c>
      <c r="R39" s="310" t="str">
        <f t="shared" si="1"/>
        <v>EUR1E6E35Y</v>
      </c>
      <c r="S39" s="270" t="str">
        <v>EUR1E6E35Y=ICAP</v>
      </c>
      <c r="T39" s="399" t="s">
        <v>259</v>
      </c>
      <c r="U39" s="399" t="s">
        <v>259</v>
      </c>
      <c r="V39" s="399" t="e">
        <f>_xll.qlMidEquivalent(T39,U39)</f>
        <v>#NUM!</v>
      </c>
      <c r="W39" s="266" t="b">
        <f t="shared" si="2"/>
        <v>0</v>
      </c>
      <c r="X39" s="398">
        <v>13.159016711814663</v>
      </c>
      <c r="Y39" s="260"/>
      <c r="Z39" s="397">
        <v>13.022883458636743</v>
      </c>
      <c r="AA39" s="260"/>
      <c r="AB39" s="267" t="str">
        <f t="shared" si="3"/>
        <v>EUR1E6E35Y_Quote</v>
      </c>
      <c r="AC39" s="396">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EUR1E6E40Y_Quote#0006</v>
      </c>
      <c r="G40" s="79" t="str">
        <f>_xll.ohRangeRetrieveError(F40)</f>
        <v/>
      </c>
      <c r="H40" s="78"/>
      <c r="N40" s="126">
        <v>40</v>
      </c>
      <c r="O40" s="313" t="s">
        <v>77</v>
      </c>
      <c r="P40" s="312" t="str">
        <v>1E</v>
      </c>
      <c r="Q40" s="312" t="str">
        <v>6E</v>
      </c>
      <c r="R40" s="310" t="str">
        <f t="shared" si="1"/>
        <v>EUR1E6E40Y</v>
      </c>
      <c r="S40" s="270" t="str">
        <v>EUR1E6E40Y=ICAP</v>
      </c>
      <c r="T40" s="399">
        <v>12.4</v>
      </c>
      <c r="U40" s="399">
        <v>0</v>
      </c>
      <c r="V40" s="399">
        <f>_xll.qlMidEquivalent(T40,U40)</f>
        <v>12.4</v>
      </c>
      <c r="W40" s="266" t="b">
        <f t="shared" si="2"/>
        <v>1</v>
      </c>
      <c r="X40" s="398">
        <v>12.4</v>
      </c>
      <c r="Y40" s="260"/>
      <c r="Z40" s="397">
        <v>12.3</v>
      </c>
      <c r="AA40" s="260"/>
      <c r="AB40" s="267" t="str">
        <f t="shared" si="3"/>
        <v>EUR1E6E40Y_Quote</v>
      </c>
      <c r="AC40" s="396">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EUR1E6E50Y_Quote#0006</v>
      </c>
      <c r="G41" s="79" t="str">
        <f>_xll.ohRangeRetrieveError(F41)</f>
        <v/>
      </c>
      <c r="H41" s="78"/>
      <c r="N41" s="126">
        <v>50</v>
      </c>
      <c r="O41" s="313" t="s">
        <v>67</v>
      </c>
      <c r="P41" s="312" t="str">
        <v>1E</v>
      </c>
      <c r="Q41" s="312" t="str">
        <v>6E</v>
      </c>
      <c r="R41" s="310" t="str">
        <f t="shared" si="1"/>
        <v>EUR1E6E50Y</v>
      </c>
      <c r="S41" s="270" t="str">
        <v>EUR1E6E50Y=ICAP</v>
      </c>
      <c r="T41" s="399">
        <v>11.3</v>
      </c>
      <c r="U41" s="399">
        <v>0</v>
      </c>
      <c r="V41" s="399">
        <f>_xll.qlMidEquivalent(T41,U41)</f>
        <v>11.3</v>
      </c>
      <c r="W41" s="266" t="b">
        <f t="shared" si="2"/>
        <v>1</v>
      </c>
      <c r="X41" s="398">
        <v>11.3</v>
      </c>
      <c r="Y41" s="260"/>
      <c r="Z41" s="397">
        <v>11.3</v>
      </c>
      <c r="AA41" s="260"/>
      <c r="AB41" s="267" t="str">
        <f t="shared" si="3"/>
        <v>EUR1E6E50Y_Quote</v>
      </c>
      <c r="AC41" s="396">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EUR1E6E60Y_Quote#0006</v>
      </c>
      <c r="G42" s="79" t="str">
        <f>_xll.ohRangeRetrieveError(F42)</f>
        <v/>
      </c>
      <c r="H42" s="78"/>
      <c r="N42" s="126">
        <v>60</v>
      </c>
      <c r="O42" s="313" t="s">
        <v>57</v>
      </c>
      <c r="P42" s="312" t="str">
        <v>1E</v>
      </c>
      <c r="Q42" s="312" t="str">
        <v>6E</v>
      </c>
      <c r="R42" s="310" t="str">
        <f t="shared" si="1"/>
        <v>EUR1E6E60Y</v>
      </c>
      <c r="S42" s="270" t="str">
        <v>EUR1E6E60Y=ICAP</v>
      </c>
      <c r="T42" s="399">
        <v>10.6</v>
      </c>
      <c r="U42" s="399">
        <v>0</v>
      </c>
      <c r="V42" s="399">
        <f>_xll.qlMidEquivalent(T42,U42)</f>
        <v>10.6</v>
      </c>
      <c r="W42" s="266" t="b">
        <f t="shared" si="2"/>
        <v>1</v>
      </c>
      <c r="X42" s="398">
        <v>10.6</v>
      </c>
      <c r="Y42" s="260"/>
      <c r="Z42" s="397">
        <v>10.6</v>
      </c>
      <c r="AA42" s="260"/>
      <c r="AB42" s="267" t="str">
        <f t="shared" si="3"/>
        <v>EUR1E6E60Y_Quote</v>
      </c>
      <c r="AC42" s="396">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1"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obj_005d8#0004</v>
      </c>
      <c r="T3" s="141"/>
      <c r="U3" s="141"/>
      <c r="V3" s="141"/>
      <c r="W3" s="141"/>
      <c r="X3" s="141"/>
      <c r="Y3" s="260"/>
      <c r="Z3" s="260"/>
      <c r="AA3" s="260"/>
      <c r="AB3" s="141"/>
      <c r="AC3" s="141"/>
      <c r="AD3" s="291">
        <f>_xll.ohTrigger(AD5:AD42)</f>
        <v>6</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EUR3E6E6M_Quote#0006</v>
      </c>
      <c r="G5" s="79" t="str">
        <f>_xll.ohRangeRetrieveError(F5)</f>
        <v/>
      </c>
      <c r="H5" s="78"/>
      <c r="N5" s="400">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399" t="s">
        <v>259</v>
      </c>
      <c r="U5" s="399" t="s">
        <v>259</v>
      </c>
      <c r="V5" s="399" t="e">
        <f>_xll.qlMidEquivalent(T5,U5)</f>
        <v>#NUM!</v>
      </c>
      <c r="W5" s="266" t="b">
        <f t="shared" ref="W5:W42" si="2">IF(ISNUMBER(V5),TRUE,FALSE)</f>
        <v>0</v>
      </c>
      <c r="X5" s="404" t="e">
        <f t="array" ref="X5:X41">_xll.qlInterpolationInterpolate(S3,N5:N42)</f>
        <v>#NUM!</v>
      </c>
      <c r="Y5" s="260"/>
      <c r="Z5" s="397" t="e">
        <v>#NUM!</v>
      </c>
      <c r="AA5" s="260"/>
      <c r="AB5" s="267" t="str">
        <f t="shared" ref="AB5:AB42" si="3">$R5&amp;$AC$2</f>
        <v>EUR3E6E6M_Quote</v>
      </c>
      <c r="AC5" s="396" t="e">
        <f t="array" ref="AC5:AC42">QuoteLive</f>
        <v>#NUM!</v>
      </c>
      <c r="AD5" s="265" t="e">
        <f>_xll.qlSimpleQuoteSetValue($AB5,ROUND($AC5/10000,6),Trigger)</f>
        <v>#NUM!</v>
      </c>
      <c r="AE5" s="221"/>
      <c r="AF5" s="21"/>
      <c r="AG5" s="93" t="s">
        <v>137</v>
      </c>
      <c r="AH5" s="92" t="s">
        <v>130</v>
      </c>
      <c r="AI5" s="91" t="s">
        <v>132</v>
      </c>
      <c r="AJ5" s="21" t="str">
        <f t="shared" ref="AJ5:AJ42" si="4">O5</f>
        <v>6M</v>
      </c>
      <c r="AK5" s="395"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EUR3E6E1Y_Quote#0006</v>
      </c>
      <c r="G6" s="79" t="str">
        <f>_xll.ohRangeRetrieveError(F6)</f>
        <v/>
      </c>
      <c r="H6" s="78"/>
      <c r="N6" s="400">
        <v>1</v>
      </c>
      <c r="O6" s="313" t="s">
        <v>34</v>
      </c>
      <c r="P6" s="312" t="str">
        <v>3E</v>
      </c>
      <c r="Q6" s="312" t="str">
        <v>6E</v>
      </c>
      <c r="R6" s="310" t="str">
        <f t="shared" si="1"/>
        <v>EUR3E6E1Y</v>
      </c>
      <c r="S6" s="270" t="str">
        <v>EUR3E6E1Y=ICAP</v>
      </c>
      <c r="T6" s="399">
        <v>9.5</v>
      </c>
      <c r="U6" s="399">
        <v>10.5</v>
      </c>
      <c r="V6" s="399">
        <f>_xll.qlMidEquivalent(T6,U6)</f>
        <v>10</v>
      </c>
      <c r="W6" s="266" t="b">
        <f t="shared" si="2"/>
        <v>1</v>
      </c>
      <c r="X6" s="404">
        <v>10</v>
      </c>
      <c r="Y6" s="260"/>
      <c r="Z6" s="397">
        <v>10</v>
      </c>
      <c r="AA6" s="260"/>
      <c r="AB6" s="267" t="str">
        <f t="shared" si="3"/>
        <v>EUR3E6E1Y_Quote</v>
      </c>
      <c r="AC6" s="396">
        <v>10</v>
      </c>
      <c r="AD6" s="265" t="e">
        <f>_xll.qlSimpleQuoteSetValue($AB6,ROUND($AC6/10000,6),Trigger)</f>
        <v>#N/A</v>
      </c>
      <c r="AE6" s="221"/>
      <c r="AF6" s="21"/>
      <c r="AG6" s="90" t="s">
        <v>123</v>
      </c>
      <c r="AH6" s="89" t="s">
        <v>142</v>
      </c>
      <c r="AI6" s="88" t="s">
        <v>135</v>
      </c>
      <c r="AJ6" s="21" t="str">
        <f t="shared" si="4"/>
        <v>1Y</v>
      </c>
      <c r="AK6" s="395">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EUR3E6E15M_Quote#0006</v>
      </c>
      <c r="G7" s="79" t="str">
        <f>_xll.ohRangeRetrieveError(F7)</f>
        <v/>
      </c>
      <c r="H7" s="78"/>
      <c r="N7" s="400">
        <v>1.25</v>
      </c>
      <c r="O7" s="313" t="s">
        <v>140</v>
      </c>
      <c r="P7" s="312" t="str">
        <v>3E</v>
      </c>
      <c r="Q7" s="312" t="str">
        <v>6E</v>
      </c>
      <c r="R7" s="310" t="str">
        <f t="shared" si="1"/>
        <v>EUR3E6E15M</v>
      </c>
      <c r="S7" s="270" t="str">
        <v>EUR3E6E15M=ICAP</v>
      </c>
      <c r="T7" s="399" t="s">
        <v>259</v>
      </c>
      <c r="U7" s="399" t="s">
        <v>259</v>
      </c>
      <c r="V7" s="399" t="e">
        <f>_xll.qlMidEquivalent(T7,U7)</f>
        <v>#NUM!</v>
      </c>
      <c r="W7" s="266" t="b">
        <f t="shared" si="2"/>
        <v>0</v>
      </c>
      <c r="X7" s="404">
        <v>10.707205499281535</v>
      </c>
      <c r="Y7" s="260"/>
      <c r="Z7" s="397">
        <v>10.707205499281535</v>
      </c>
      <c r="AA7" s="260"/>
      <c r="AB7" s="267" t="str">
        <f t="shared" si="3"/>
        <v>EUR3E6E15M_Quote</v>
      </c>
      <c r="AC7" s="396">
        <v>10.707205499281535</v>
      </c>
      <c r="AD7" s="265" t="e">
        <f>_xll.qlSimpleQuoteSetValue($AB7,ROUND($AC7/10000,6),Trigger)</f>
        <v>#N/A</v>
      </c>
      <c r="AE7" s="221"/>
      <c r="AF7" s="21"/>
      <c r="AG7" s="90" t="s">
        <v>134</v>
      </c>
      <c r="AH7" s="89" t="s">
        <v>130</v>
      </c>
      <c r="AI7" s="88" t="s">
        <v>132</v>
      </c>
      <c r="AJ7" s="21" t="str">
        <f t="shared" si="4"/>
        <v>15M</v>
      </c>
      <c r="AK7" s="395">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EUR3E6E18M_Quote#0006</v>
      </c>
      <c r="G8" s="79" t="str">
        <f>_xll.ohRangeRetrieveError(F8)</f>
        <v/>
      </c>
      <c r="H8" s="78"/>
      <c r="N8" s="400">
        <v>1.5</v>
      </c>
      <c r="O8" s="313" t="s">
        <v>139</v>
      </c>
      <c r="P8" s="312" t="str">
        <v>3E</v>
      </c>
      <c r="Q8" s="312" t="str">
        <v>6E</v>
      </c>
      <c r="R8" s="310" t="str">
        <f t="shared" si="1"/>
        <v>EUR3E6E18M</v>
      </c>
      <c r="S8" s="270" t="str">
        <v>EUR3E6E18M=ICAP</v>
      </c>
      <c r="T8" s="399">
        <v>10.8</v>
      </c>
      <c r="U8" s="399">
        <v>11.8</v>
      </c>
      <c r="V8" s="399">
        <f>_xll.qlMidEquivalent(T8,U8)</f>
        <v>11.3</v>
      </c>
      <c r="W8" s="266" t="b">
        <f t="shared" si="2"/>
        <v>1</v>
      </c>
      <c r="X8" s="404">
        <v>11.3</v>
      </c>
      <c r="Y8" s="260"/>
      <c r="Z8" s="397">
        <v>11.3</v>
      </c>
      <c r="AA8" s="260"/>
      <c r="AB8" s="267" t="str">
        <f t="shared" si="3"/>
        <v>EUR3E6E18M_Quote</v>
      </c>
      <c r="AC8" s="396">
        <v>11.3</v>
      </c>
      <c r="AD8" s="265" t="e">
        <f>_xll.qlSimpleQuoteSetValue($AB8,ROUND($AC8/10000,6),Trigger)</f>
        <v>#N/A</v>
      </c>
      <c r="AE8" s="221"/>
      <c r="AF8" s="21"/>
      <c r="AG8" s="90" t="s">
        <v>133</v>
      </c>
      <c r="AH8" s="89" t="s">
        <v>130</v>
      </c>
      <c r="AI8" s="88" t="s">
        <v>132</v>
      </c>
      <c r="AJ8" s="21" t="str">
        <f t="shared" si="4"/>
        <v>18M</v>
      </c>
      <c r="AK8" s="395">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EUR3E6E21M_Quote#0006</v>
      </c>
      <c r="G9" s="79" t="str">
        <f>_xll.ohRangeRetrieveError(F9)</f>
        <v/>
      </c>
      <c r="H9" s="78"/>
      <c r="N9" s="400">
        <v>1.75</v>
      </c>
      <c r="O9" s="313" t="s">
        <v>138</v>
      </c>
      <c r="P9" s="312" t="str">
        <v>3E</v>
      </c>
      <c r="Q9" s="312" t="str">
        <v>6E</v>
      </c>
      <c r="R9" s="310" t="str">
        <f t="shared" si="1"/>
        <v>EUR3E6E21M</v>
      </c>
      <c r="S9" s="270" t="str">
        <v>EUR3E6E21M=ICAP</v>
      </c>
      <c r="T9" s="399" t="s">
        <v>259</v>
      </c>
      <c r="U9" s="399" t="s">
        <v>259</v>
      </c>
      <c r="V9" s="399" t="e">
        <f>_xll.qlMidEquivalent(T9,U9)</f>
        <v>#NUM!</v>
      </c>
      <c r="W9" s="266" t="b">
        <f t="shared" si="2"/>
        <v>0</v>
      </c>
      <c r="X9" s="404">
        <v>11.697133502155394</v>
      </c>
      <c r="Y9" s="260"/>
      <c r="Z9" s="397">
        <v>11.697133502155394</v>
      </c>
      <c r="AA9" s="260"/>
      <c r="AB9" s="267" t="str">
        <f t="shared" si="3"/>
        <v>EUR3E6E21M_Quote</v>
      </c>
      <c r="AC9" s="396">
        <v>11.697133502155394</v>
      </c>
      <c r="AD9" s="265" t="e">
        <f>_xll.qlSimpleQuoteSetValue($AB9,ROUND($AC9/10000,6),Trigger)</f>
        <v>#N/A</v>
      </c>
      <c r="AE9" s="221"/>
      <c r="AF9" s="21"/>
      <c r="AG9" s="87" t="s">
        <v>131</v>
      </c>
      <c r="AH9" s="86" t="s">
        <v>132</v>
      </c>
      <c r="AI9" s="85" t="s">
        <v>130</v>
      </c>
      <c r="AJ9" s="21" t="str">
        <f t="shared" si="4"/>
        <v>21M</v>
      </c>
      <c r="AK9" s="395">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EUR3E6E2Y_Quote#0006</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399">
        <v>11.45</v>
      </c>
      <c r="U10" s="399">
        <v>12.45</v>
      </c>
      <c r="V10" s="399">
        <f>_xll.qlMidEquivalent(T10,U10)</f>
        <v>11.95</v>
      </c>
      <c r="W10" s="266" t="b">
        <f t="shared" si="2"/>
        <v>1</v>
      </c>
      <c r="X10" s="404">
        <v>11.95</v>
      </c>
      <c r="Y10" s="260"/>
      <c r="Z10" s="397">
        <v>11.95</v>
      </c>
      <c r="AA10" s="260"/>
      <c r="AB10" s="267" t="str">
        <f t="shared" si="3"/>
        <v>EUR3E6E2Y_Quote</v>
      </c>
      <c r="AC10" s="396">
        <v>11.95</v>
      </c>
      <c r="AD10" s="265" t="e">
        <f>_xll.qlSimpleQuoteSetValue($AB10,ROUND($AC10/10000,6),Trigger)</f>
        <v>#N/A</v>
      </c>
      <c r="AE10" s="221"/>
      <c r="AF10" s="21"/>
      <c r="AG10" s="21"/>
      <c r="AH10" s="21"/>
      <c r="AI10" s="21"/>
      <c r="AJ10" s="21" t="str">
        <f t="shared" si="4"/>
        <v>2Y</v>
      </c>
      <c r="AK10" s="395">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EUR3E6E3Y_Quote#0006</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399">
        <v>11.9</v>
      </c>
      <c r="U11" s="399">
        <v>12.9</v>
      </c>
      <c r="V11" s="399">
        <f>_xll.qlMidEquivalent(T11,U11)</f>
        <v>12.4</v>
      </c>
      <c r="W11" s="266" t="b">
        <f t="shared" si="2"/>
        <v>1</v>
      </c>
      <c r="X11" s="404">
        <v>12.4</v>
      </c>
      <c r="Y11" s="260"/>
      <c r="Z11" s="397">
        <v>12.4</v>
      </c>
      <c r="AA11" s="260"/>
      <c r="AB11" s="267" t="str">
        <f t="shared" si="3"/>
        <v>EUR3E6E3Y_Quote</v>
      </c>
      <c r="AC11" s="396">
        <v>12.4</v>
      </c>
      <c r="AD11" s="265" t="e">
        <f>_xll.qlSimpleQuoteSetValue($AB11,ROUND($AC11/10000,6),Trigger)</f>
        <v>#N/A</v>
      </c>
      <c r="AE11" s="221"/>
      <c r="AF11" s="21"/>
      <c r="AG11" s="21"/>
      <c r="AH11" s="21"/>
      <c r="AI11" s="21"/>
      <c r="AJ11" s="21" t="str">
        <f t="shared" si="4"/>
        <v>3Y</v>
      </c>
      <c r="AK11" s="395">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EUR3E6E4Y_Quote#0006</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399">
        <v>11.85</v>
      </c>
      <c r="U12" s="399">
        <v>12.85</v>
      </c>
      <c r="V12" s="399">
        <f>_xll.qlMidEquivalent(T12,U12)</f>
        <v>12.35</v>
      </c>
      <c r="W12" s="266" t="b">
        <f t="shared" si="2"/>
        <v>1</v>
      </c>
      <c r="X12" s="404">
        <v>12.35</v>
      </c>
      <c r="Y12" s="260"/>
      <c r="Z12" s="397">
        <v>12.35</v>
      </c>
      <c r="AA12" s="260"/>
      <c r="AB12" s="267" t="str">
        <f t="shared" si="3"/>
        <v>EUR3E6E4Y_Quote</v>
      </c>
      <c r="AC12" s="396">
        <v>12.35</v>
      </c>
      <c r="AD12" s="265" t="e">
        <f>_xll.qlSimpleQuoteSetValue($AB12,ROUND($AC12/10000,6),Trigger)</f>
        <v>#N/A</v>
      </c>
      <c r="AE12" s="221"/>
      <c r="AF12" s="21"/>
      <c r="AG12" s="21"/>
      <c r="AH12" s="21"/>
      <c r="AI12" s="21"/>
      <c r="AJ12" s="21" t="str">
        <f t="shared" si="4"/>
        <v>4Y</v>
      </c>
      <c r="AK12" s="395">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EUR3E6E5Y_Quote#0006</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399">
        <v>11.5</v>
      </c>
      <c r="U13" s="399">
        <v>12.5</v>
      </c>
      <c r="V13" s="399">
        <f>_xll.qlMidEquivalent(T13,U13)</f>
        <v>12</v>
      </c>
      <c r="W13" s="266" t="b">
        <f t="shared" si="2"/>
        <v>1</v>
      </c>
      <c r="X13" s="404">
        <v>12</v>
      </c>
      <c r="Y13" s="260"/>
      <c r="Z13" s="397">
        <v>12</v>
      </c>
      <c r="AA13" s="260"/>
      <c r="AB13" s="267" t="str">
        <f t="shared" si="3"/>
        <v>EUR3E6E5Y_Quote</v>
      </c>
      <c r="AC13" s="396">
        <v>12</v>
      </c>
      <c r="AD13" s="265" t="e">
        <f>_xll.qlSimpleQuoteSetValue($AB13,ROUND($AC13/10000,6),Trigger)</f>
        <v>#N/A</v>
      </c>
      <c r="AE13" s="221"/>
      <c r="AF13" s="21"/>
      <c r="AG13" s="21"/>
      <c r="AH13" s="21"/>
      <c r="AI13" s="21"/>
      <c r="AJ13" s="21" t="str">
        <f t="shared" si="4"/>
        <v>5Y</v>
      </c>
      <c r="AK13" s="395">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EUR3E6E6Y_Quote#0006</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399">
        <v>11.25</v>
      </c>
      <c r="U14" s="399">
        <v>12.25</v>
      </c>
      <c r="V14" s="399">
        <f>_xll.qlMidEquivalent(T14,U14)</f>
        <v>11.75</v>
      </c>
      <c r="W14" s="266" t="b">
        <f t="shared" si="2"/>
        <v>1</v>
      </c>
      <c r="X14" s="404">
        <v>11.75</v>
      </c>
      <c r="Y14" s="260"/>
      <c r="Z14" s="397">
        <v>11.75</v>
      </c>
      <c r="AA14" s="260"/>
      <c r="AB14" s="267" t="str">
        <f t="shared" si="3"/>
        <v>EUR3E6E6Y_Quote</v>
      </c>
      <c r="AC14" s="396">
        <v>11.75</v>
      </c>
      <c r="AD14" s="265" t="e">
        <f>_xll.qlSimpleQuoteSetValue($AB14,ROUND($AC14/10000,6),Trigger)</f>
        <v>#N/A</v>
      </c>
      <c r="AE14" s="221"/>
      <c r="AF14" s="21"/>
      <c r="AG14" s="21"/>
      <c r="AH14" s="21"/>
      <c r="AI14" s="21"/>
      <c r="AJ14" s="21" t="str">
        <f t="shared" si="4"/>
        <v>6Y</v>
      </c>
      <c r="AK14" s="395">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EUR3E6E7Y_Quote#0006</v>
      </c>
      <c r="G15" s="79" t="str">
        <f>_xll.ohRangeRetrieveError(F15)</f>
        <v/>
      </c>
      <c r="H15" s="78"/>
      <c r="N15" s="126">
        <v>7</v>
      </c>
      <c r="O15" s="313" t="s">
        <v>110</v>
      </c>
      <c r="P15" s="312" t="str">
        <v>3E</v>
      </c>
      <c r="Q15" s="312" t="str">
        <v>6E</v>
      </c>
      <c r="R15" s="310" t="str">
        <f t="shared" si="1"/>
        <v>EUR3E6E7Y</v>
      </c>
      <c r="S15" s="270" t="str">
        <v>EUR3E6E7Y=ICAP</v>
      </c>
      <c r="T15" s="399">
        <v>10.9</v>
      </c>
      <c r="U15" s="399">
        <v>11.9</v>
      </c>
      <c r="V15" s="399">
        <f>_xll.qlMidEquivalent(T15,U15)</f>
        <v>11.4</v>
      </c>
      <c r="W15" s="266" t="b">
        <f t="shared" si="2"/>
        <v>1</v>
      </c>
      <c r="X15" s="404">
        <v>11.4</v>
      </c>
      <c r="Y15" s="260"/>
      <c r="Z15" s="397">
        <v>11.4</v>
      </c>
      <c r="AA15" s="260"/>
      <c r="AB15" s="267" t="str">
        <f t="shared" si="3"/>
        <v>EUR3E6E7Y_Quote</v>
      </c>
      <c r="AC15" s="396">
        <v>11.4</v>
      </c>
      <c r="AD15" s="265" t="e">
        <f>_xll.qlSimpleQuoteSetValue($AB15,ROUND($AC15/10000,6),Trigger)</f>
        <v>#N/A</v>
      </c>
      <c r="AE15" s="221"/>
      <c r="AF15" s="21"/>
      <c r="AG15" s="21"/>
      <c r="AH15" s="21"/>
      <c r="AI15" s="21"/>
      <c r="AJ15" s="21" t="str">
        <f t="shared" si="4"/>
        <v>7Y</v>
      </c>
      <c r="AK15" s="395">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EUR3E6E8Y_Quote#0006</v>
      </c>
      <c r="G16" s="79" t="str">
        <f>_xll.ohRangeRetrieveError(F16)</f>
        <v/>
      </c>
      <c r="H16" s="78"/>
      <c r="N16" s="126">
        <v>8</v>
      </c>
      <c r="O16" s="313" t="s">
        <v>109</v>
      </c>
      <c r="P16" s="312" t="str">
        <v>3E</v>
      </c>
      <c r="Q16" s="312" t="str">
        <v>6E</v>
      </c>
      <c r="R16" s="310" t="str">
        <f t="shared" si="1"/>
        <v>EUR3E6E8Y</v>
      </c>
      <c r="S16" s="270" t="str">
        <v>EUR3E6E8Y=ICAP</v>
      </c>
      <c r="T16" s="399">
        <v>10.6</v>
      </c>
      <c r="U16" s="399">
        <v>11.6</v>
      </c>
      <c r="V16" s="399">
        <f>_xll.qlMidEquivalent(T16,U16)</f>
        <v>11.1</v>
      </c>
      <c r="W16" s="266" t="b">
        <f t="shared" si="2"/>
        <v>1</v>
      </c>
      <c r="X16" s="404">
        <v>11.1</v>
      </c>
      <c r="Y16" s="260"/>
      <c r="Z16" s="397">
        <v>11.1</v>
      </c>
      <c r="AA16" s="260"/>
      <c r="AB16" s="267" t="str">
        <f t="shared" si="3"/>
        <v>EUR3E6E8Y_Quote</v>
      </c>
      <c r="AC16" s="396">
        <v>11.1</v>
      </c>
      <c r="AD16" s="265" t="e">
        <f>_xll.qlSimpleQuoteSetValue($AB16,ROUND($AC16/10000,6),Trigger)</f>
        <v>#N/A</v>
      </c>
      <c r="AE16" s="221"/>
      <c r="AF16" s="21"/>
      <c r="AG16" s="21"/>
      <c r="AH16" s="21"/>
      <c r="AI16" s="21"/>
      <c r="AJ16" s="21" t="str">
        <f t="shared" si="4"/>
        <v>8Y</v>
      </c>
      <c r="AK16" s="395">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EUR3E6E9Y_Quote#0006</v>
      </c>
      <c r="G17" s="79" t="str">
        <f>_xll.ohRangeRetrieveError(F17)</f>
        <v/>
      </c>
      <c r="H17" s="78"/>
      <c r="N17" s="126">
        <v>9</v>
      </c>
      <c r="O17" s="313" t="s">
        <v>108</v>
      </c>
      <c r="P17" s="312" t="str">
        <v>3E</v>
      </c>
      <c r="Q17" s="312" t="str">
        <v>6E</v>
      </c>
      <c r="R17" s="310" t="str">
        <f t="shared" si="1"/>
        <v>EUR3E6E9Y</v>
      </c>
      <c r="S17" s="270" t="str">
        <v>EUR3E6E9Y=ICAP</v>
      </c>
      <c r="T17" s="399">
        <v>10.15</v>
      </c>
      <c r="U17" s="399">
        <v>11.15</v>
      </c>
      <c r="V17" s="399">
        <f>_xll.qlMidEquivalent(T17,U17)</f>
        <v>10.65</v>
      </c>
      <c r="W17" s="266" t="b">
        <f t="shared" si="2"/>
        <v>1</v>
      </c>
      <c r="X17" s="404">
        <v>10.65</v>
      </c>
      <c r="Y17" s="260"/>
      <c r="Z17" s="397">
        <v>10.65</v>
      </c>
      <c r="AA17" s="260"/>
      <c r="AB17" s="267" t="str">
        <f t="shared" si="3"/>
        <v>EUR3E6E9Y_Quote</v>
      </c>
      <c r="AC17" s="396">
        <v>10.65</v>
      </c>
      <c r="AD17" s="265" t="e">
        <f>_xll.qlSimpleQuoteSetValue($AB17,ROUND($AC17/10000,6),Trigger)</f>
        <v>#N/A</v>
      </c>
      <c r="AE17" s="221"/>
      <c r="AF17" s="21"/>
      <c r="AG17" s="21"/>
      <c r="AH17" s="21"/>
      <c r="AI17" s="21"/>
      <c r="AJ17" s="21" t="str">
        <f t="shared" si="4"/>
        <v>9Y</v>
      </c>
      <c r="AK17" s="395">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EUR3E6E10Y_Quote#0006</v>
      </c>
      <c r="G18" s="79" t="str">
        <f>_xll.ohRangeRetrieveError(F18)</f>
        <v/>
      </c>
      <c r="H18" s="78"/>
      <c r="N18" s="126">
        <v>10</v>
      </c>
      <c r="O18" s="313" t="s">
        <v>107</v>
      </c>
      <c r="P18" s="312" t="str">
        <v>3E</v>
      </c>
      <c r="Q18" s="312" t="str">
        <v>6E</v>
      </c>
      <c r="R18" s="310" t="str">
        <f t="shared" si="1"/>
        <v>EUR3E6E10Y</v>
      </c>
      <c r="S18" s="270" t="str">
        <v>EUR3E6E10Y=ICAP</v>
      </c>
      <c r="T18" s="399">
        <v>9.6999999999999993</v>
      </c>
      <c r="U18" s="399">
        <v>10.7</v>
      </c>
      <c r="V18" s="399">
        <f>_xll.qlMidEquivalent(T18,U18)</f>
        <v>10.199999999999999</v>
      </c>
      <c r="W18" s="266" t="b">
        <f t="shared" si="2"/>
        <v>1</v>
      </c>
      <c r="X18" s="404">
        <v>10.199999999999999</v>
      </c>
      <c r="Y18" s="260"/>
      <c r="Z18" s="397">
        <v>10.199999999999999</v>
      </c>
      <c r="AA18" s="260"/>
      <c r="AB18" s="267" t="str">
        <f t="shared" si="3"/>
        <v>EUR3E6E10Y_Quote</v>
      </c>
      <c r="AC18" s="396">
        <v>10.199999999999999</v>
      </c>
      <c r="AD18" s="265" t="e">
        <f>_xll.qlSimpleQuoteSetValue($AB18,ROUND($AC18/10000,6),Trigger)</f>
        <v>#N/A</v>
      </c>
      <c r="AE18" s="221"/>
      <c r="AF18" s="21"/>
      <c r="AG18" s="21"/>
      <c r="AH18" s="21"/>
      <c r="AI18" s="21"/>
      <c r="AJ18" s="21" t="str">
        <f t="shared" si="4"/>
        <v>10Y</v>
      </c>
      <c r="AK18" s="395">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EUR3E6E11Y_Quote#0006</v>
      </c>
      <c r="G19" s="79" t="str">
        <f>_xll.ohRangeRetrieveError(F19)</f>
        <v/>
      </c>
      <c r="H19" s="78"/>
      <c r="N19" s="126">
        <v>11</v>
      </c>
      <c r="O19" s="313" t="s">
        <v>106</v>
      </c>
      <c r="P19" s="312" t="str">
        <v>3E</v>
      </c>
      <c r="Q19" s="312" t="str">
        <v>6E</v>
      </c>
      <c r="R19" s="310" t="str">
        <f t="shared" si="1"/>
        <v>EUR3E6E11Y</v>
      </c>
      <c r="S19" s="270" t="str">
        <v>EUR3E6E11Y=ICAP</v>
      </c>
      <c r="T19" s="399">
        <v>9.35</v>
      </c>
      <c r="U19" s="399">
        <v>10.35</v>
      </c>
      <c r="V19" s="399">
        <f>_xll.qlMidEquivalent(T19,U19)</f>
        <v>9.85</v>
      </c>
      <c r="W19" s="266" t="b">
        <f t="shared" si="2"/>
        <v>1</v>
      </c>
      <c r="X19" s="404">
        <v>9.85</v>
      </c>
      <c r="Y19" s="260"/>
      <c r="Z19" s="397">
        <v>9.85</v>
      </c>
      <c r="AA19" s="260"/>
      <c r="AB19" s="267" t="str">
        <f t="shared" si="3"/>
        <v>EUR3E6E11Y_Quote</v>
      </c>
      <c r="AC19" s="396">
        <v>9.85</v>
      </c>
      <c r="AD19" s="265" t="e">
        <f>_xll.qlSimpleQuoteSetValue($AB19,ROUND($AC19/10000,6),Trigger)</f>
        <v>#N/A</v>
      </c>
      <c r="AE19" s="221"/>
      <c r="AF19" s="21"/>
      <c r="AG19" s="21"/>
      <c r="AH19" s="21"/>
      <c r="AI19" s="21"/>
      <c r="AJ19" s="21" t="str">
        <f t="shared" si="4"/>
        <v>11Y</v>
      </c>
      <c r="AK19" s="395">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EUR3E6E12Y_Quote#0006</v>
      </c>
      <c r="G20" s="79" t="str">
        <f>_xll.ohRangeRetrieveError(F20)</f>
        <v/>
      </c>
      <c r="H20" s="78"/>
      <c r="N20" s="126">
        <v>12</v>
      </c>
      <c r="O20" s="313" t="s">
        <v>105</v>
      </c>
      <c r="P20" s="312" t="str">
        <v>3E</v>
      </c>
      <c r="Q20" s="312" t="str">
        <v>6E</v>
      </c>
      <c r="R20" s="310" t="str">
        <f t="shared" si="1"/>
        <v>EUR3E6E12Y</v>
      </c>
      <c r="S20" s="270" t="str">
        <v>EUR3E6E12Y=ICAP</v>
      </c>
      <c r="T20" s="399">
        <v>9.0500000000000007</v>
      </c>
      <c r="U20" s="399">
        <v>10.050000000000001</v>
      </c>
      <c r="V20" s="399">
        <f>_xll.qlMidEquivalent(T20,U20)</f>
        <v>9.5500000000000007</v>
      </c>
      <c r="W20" s="266" t="b">
        <f t="shared" si="2"/>
        <v>1</v>
      </c>
      <c r="X20" s="404">
        <v>9.5500000000000007</v>
      </c>
      <c r="Y20" s="260"/>
      <c r="Z20" s="397">
        <v>9.5500000000000007</v>
      </c>
      <c r="AA20" s="260"/>
      <c r="AB20" s="267" t="str">
        <f t="shared" si="3"/>
        <v>EUR3E6E12Y_Quote</v>
      </c>
      <c r="AC20" s="396">
        <v>9.5500000000000007</v>
      </c>
      <c r="AD20" s="265" t="e">
        <f>_xll.qlSimpleQuoteSetValue($AB20,ROUND($AC20/10000,6),Trigger)</f>
        <v>#N/A</v>
      </c>
      <c r="AE20" s="221"/>
      <c r="AF20" s="21"/>
      <c r="AG20" s="21"/>
      <c r="AH20" s="21"/>
      <c r="AI20" s="21"/>
      <c r="AJ20" s="21" t="str">
        <f t="shared" si="4"/>
        <v>12Y</v>
      </c>
      <c r="AK20" s="395">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EUR3E6E13Y_Quote#0006</v>
      </c>
      <c r="G21" s="79" t="str">
        <f>_xll.ohRangeRetrieveError(F21)</f>
        <v/>
      </c>
      <c r="H21" s="78"/>
      <c r="N21" s="126">
        <v>13</v>
      </c>
      <c r="O21" s="313" t="s">
        <v>104</v>
      </c>
      <c r="P21" s="312" t="str">
        <v>3E</v>
      </c>
      <c r="Q21" s="312" t="str">
        <v>6E</v>
      </c>
      <c r="R21" s="310" t="str">
        <f t="shared" si="1"/>
        <v>EUR3E6E13Y</v>
      </c>
      <c r="S21" s="270" t="str">
        <v>EUR3E6E13Y=ICAP</v>
      </c>
      <c r="T21" s="399" t="s">
        <v>259</v>
      </c>
      <c r="U21" s="399" t="s">
        <v>259</v>
      </c>
      <c r="V21" s="399" t="e">
        <f>_xll.qlMidEquivalent(T21,U21)</f>
        <v>#NUM!</v>
      </c>
      <c r="W21" s="266" t="b">
        <f t="shared" si="2"/>
        <v>0</v>
      </c>
      <c r="X21" s="404">
        <v>9.2370385241899786</v>
      </c>
      <c r="Y21" s="260"/>
      <c r="Z21" s="397">
        <v>9.2370385241899786</v>
      </c>
      <c r="AA21" s="260"/>
      <c r="AB21" s="267" t="str">
        <f t="shared" si="3"/>
        <v>EUR3E6E13Y_Quote</v>
      </c>
      <c r="AC21" s="396">
        <v>9.2370385241899786</v>
      </c>
      <c r="AD21" s="265" t="e">
        <f>_xll.qlSimpleQuoteSetValue($AB21,ROUND($AC21/10000,6),Trigger)</f>
        <v>#N/A</v>
      </c>
      <c r="AE21" s="221"/>
      <c r="AF21" s="21"/>
      <c r="AG21" s="21"/>
      <c r="AH21" s="21"/>
      <c r="AI21" s="21"/>
      <c r="AJ21" s="21" t="str">
        <f t="shared" si="4"/>
        <v>13Y</v>
      </c>
      <c r="AK21" s="395"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EUR3E6E14Y_Quote#0006</v>
      </c>
      <c r="G22" s="79" t="str">
        <f>_xll.ohRangeRetrieveError(F22)</f>
        <v/>
      </c>
      <c r="H22" s="78"/>
      <c r="N22" s="126">
        <v>14</v>
      </c>
      <c r="O22" s="313" t="s">
        <v>103</v>
      </c>
      <c r="P22" s="312" t="str">
        <v>3E</v>
      </c>
      <c r="Q22" s="312" t="str">
        <v>6E</v>
      </c>
      <c r="R22" s="310" t="str">
        <f t="shared" si="1"/>
        <v>EUR3E6E14Y</v>
      </c>
      <c r="S22" s="270" t="str">
        <v>EUR3E6E14Y=ICAP</v>
      </c>
      <c r="T22" s="399" t="s">
        <v>259</v>
      </c>
      <c r="U22" s="399" t="s">
        <v>259</v>
      </c>
      <c r="V22" s="399" t="e">
        <f>_xll.qlMidEquivalent(T22,U22)</f>
        <v>#NUM!</v>
      </c>
      <c r="W22" s="266" t="b">
        <f t="shared" si="2"/>
        <v>0</v>
      </c>
      <c r="X22" s="404">
        <v>8.9139108863230252</v>
      </c>
      <c r="Y22" s="260"/>
      <c r="Z22" s="397">
        <v>8.9139108863230252</v>
      </c>
      <c r="AA22" s="260"/>
      <c r="AB22" s="267" t="str">
        <f t="shared" si="3"/>
        <v>EUR3E6E14Y_Quote</v>
      </c>
      <c r="AC22" s="396">
        <v>8.9139108863230252</v>
      </c>
      <c r="AD22" s="265" t="e">
        <f>_xll.qlSimpleQuoteSetValue($AB22,ROUND($AC22/10000,6),Trigger)</f>
        <v>#N/A</v>
      </c>
      <c r="AE22" s="221"/>
      <c r="AF22" s="21"/>
      <c r="AG22" s="21"/>
      <c r="AH22" s="21"/>
      <c r="AI22" s="21"/>
      <c r="AJ22" s="21" t="str">
        <f t="shared" si="4"/>
        <v>14Y</v>
      </c>
      <c r="AK22" s="395"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EUR3E6E15Y_Quote#0006</v>
      </c>
      <c r="G23" s="79" t="str">
        <f>_xll.ohRangeRetrieveError(F23)</f>
        <v/>
      </c>
      <c r="H23" s="78"/>
      <c r="N23" s="126">
        <v>15</v>
      </c>
      <c r="O23" s="313" t="s">
        <v>102</v>
      </c>
      <c r="P23" s="312" t="str">
        <v>3E</v>
      </c>
      <c r="Q23" s="312" t="str">
        <v>6E</v>
      </c>
      <c r="R23" s="310" t="str">
        <f t="shared" si="1"/>
        <v>EUR3E6E15Y</v>
      </c>
      <c r="S23" s="270" t="str">
        <v>EUR3E6E15Y=ICAP</v>
      </c>
      <c r="T23" s="399">
        <v>8.1</v>
      </c>
      <c r="U23" s="399">
        <v>9.1</v>
      </c>
      <c r="V23" s="399">
        <f>_xll.qlMidEquivalent(T23,U23)</f>
        <v>8.6</v>
      </c>
      <c r="W23" s="266" t="b">
        <f t="shared" si="2"/>
        <v>1</v>
      </c>
      <c r="X23" s="404">
        <v>8.6</v>
      </c>
      <c r="Y23" s="260"/>
      <c r="Z23" s="397">
        <v>8.6</v>
      </c>
      <c r="AA23" s="260"/>
      <c r="AB23" s="267" t="str">
        <f t="shared" si="3"/>
        <v>EUR3E6E15Y_Quote</v>
      </c>
      <c r="AC23" s="396">
        <v>8.6</v>
      </c>
      <c r="AD23" s="265" t="e">
        <f>_xll.qlSimpleQuoteSetValue($AB23,ROUND($AC23/10000,6),Trigger)</f>
        <v>#N/A</v>
      </c>
      <c r="AE23" s="221"/>
      <c r="AF23" s="21"/>
      <c r="AG23" s="21"/>
      <c r="AH23" s="21"/>
      <c r="AI23" s="21"/>
      <c r="AJ23" s="21" t="str">
        <f t="shared" si="4"/>
        <v>15Y</v>
      </c>
      <c r="AK23" s="395">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EUR3E6E16Y_Quote#0006</v>
      </c>
      <c r="G24" s="79" t="str">
        <f>_xll.ohRangeRetrieveError(F24)</f>
        <v/>
      </c>
      <c r="H24" s="78"/>
      <c r="N24" s="126">
        <v>16</v>
      </c>
      <c r="O24" s="313" t="s">
        <v>101</v>
      </c>
      <c r="P24" s="312" t="str">
        <v>3E</v>
      </c>
      <c r="Q24" s="312" t="str">
        <v>6E</v>
      </c>
      <c r="R24" s="310" t="str">
        <f t="shared" si="1"/>
        <v>EUR3E6E16Y</v>
      </c>
      <c r="S24" s="270" t="str">
        <v>EUR3E6E16Y=ICAP</v>
      </c>
      <c r="T24" s="399" t="s">
        <v>259</v>
      </c>
      <c r="U24" s="399" t="s">
        <v>259</v>
      </c>
      <c r="V24" s="399" t="e">
        <f>_xll.qlMidEquivalent(T24,U24)</f>
        <v>#NUM!</v>
      </c>
      <c r="W24" s="266" t="b">
        <f t="shared" si="2"/>
        <v>0</v>
      </c>
      <c r="X24" s="404">
        <v>8.311111988281171</v>
      </c>
      <c r="Y24" s="260"/>
      <c r="Z24" s="397">
        <v>8.311111988281171</v>
      </c>
      <c r="AA24" s="260"/>
      <c r="AB24" s="267" t="str">
        <f t="shared" si="3"/>
        <v>EUR3E6E16Y_Quote</v>
      </c>
      <c r="AC24" s="396">
        <v>8.311111988281171</v>
      </c>
      <c r="AD24" s="265" t="e">
        <f>_xll.qlSimpleQuoteSetValue($AB24,ROUND($AC24/10000,6),Trigger)</f>
        <v>#N/A</v>
      </c>
      <c r="AE24" s="221"/>
      <c r="AF24" s="21"/>
      <c r="AG24" s="21"/>
      <c r="AH24" s="21"/>
      <c r="AI24" s="21"/>
      <c r="AJ24" s="21" t="str">
        <f t="shared" si="4"/>
        <v>16Y</v>
      </c>
      <c r="AK24" s="395"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EUR3E6E17Y_Quote#0006</v>
      </c>
      <c r="G25" s="79" t="str">
        <f>_xll.ohRangeRetrieveError(F25)</f>
        <v/>
      </c>
      <c r="H25" s="78"/>
      <c r="N25" s="126">
        <v>17</v>
      </c>
      <c r="O25" s="313" t="s">
        <v>100</v>
      </c>
      <c r="P25" s="312" t="str">
        <v>3E</v>
      </c>
      <c r="Q25" s="312" t="str">
        <v>6E</v>
      </c>
      <c r="R25" s="310" t="str">
        <f t="shared" si="1"/>
        <v>EUR3E6E17Y</v>
      </c>
      <c r="S25" s="270" t="str">
        <v>EUR3E6E17Y=ICAP</v>
      </c>
      <c r="T25" s="399" t="s">
        <v>259</v>
      </c>
      <c r="U25" s="399" t="s">
        <v>259</v>
      </c>
      <c r="V25" s="399" t="e">
        <f>_xll.qlMidEquivalent(T25,U25)</f>
        <v>#NUM!</v>
      </c>
      <c r="W25" s="266" t="b">
        <f t="shared" si="2"/>
        <v>0</v>
      </c>
      <c r="X25" s="404">
        <v>8.0487458120644462</v>
      </c>
      <c r="Y25" s="260"/>
      <c r="Z25" s="397">
        <v>8.0487458120644462</v>
      </c>
      <c r="AA25" s="260"/>
      <c r="AB25" s="267" t="str">
        <f t="shared" si="3"/>
        <v>EUR3E6E17Y_Quote</v>
      </c>
      <c r="AC25" s="396">
        <v>8.0487458120644462</v>
      </c>
      <c r="AD25" s="265" t="e">
        <f>_xll.qlSimpleQuoteSetValue($AB25,ROUND($AC25/10000,6),Trigger)</f>
        <v>#N/A</v>
      </c>
      <c r="AE25" s="221"/>
      <c r="AF25" s="21"/>
      <c r="AG25" s="21"/>
      <c r="AH25" s="21"/>
      <c r="AI25" s="21"/>
      <c r="AJ25" s="21" t="str">
        <f t="shared" si="4"/>
        <v>17Y</v>
      </c>
      <c r="AK25" s="395"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EUR3E6E18Y_Quote#0006</v>
      </c>
      <c r="G26" s="79" t="str">
        <f>_xll.ohRangeRetrieveError(F26)</f>
        <v/>
      </c>
      <c r="H26" s="78"/>
      <c r="N26" s="126">
        <v>18</v>
      </c>
      <c r="O26" s="313" t="s">
        <v>99</v>
      </c>
      <c r="P26" s="312" t="str">
        <v>3E</v>
      </c>
      <c r="Q26" s="312" t="str">
        <v>6E</v>
      </c>
      <c r="R26" s="310" t="str">
        <f t="shared" si="1"/>
        <v>EUR3E6E18Y</v>
      </c>
      <c r="S26" s="270" t="str">
        <v>EUR3E6E18Y=ICAP</v>
      </c>
      <c r="T26" s="399" t="s">
        <v>259</v>
      </c>
      <c r="U26" s="399" t="s">
        <v>259</v>
      </c>
      <c r="V26" s="399" t="e">
        <f>_xll.qlMidEquivalent(T26,U26)</f>
        <v>#NUM!</v>
      </c>
      <c r="W26" s="266" t="b">
        <f t="shared" si="2"/>
        <v>0</v>
      </c>
      <c r="X26" s="404">
        <v>7.8108236417071328</v>
      </c>
      <c r="Y26" s="260"/>
      <c r="Z26" s="397">
        <v>7.8108236417071328</v>
      </c>
      <c r="AA26" s="260"/>
      <c r="AB26" s="267" t="str">
        <f t="shared" si="3"/>
        <v>EUR3E6E18Y_Quote</v>
      </c>
      <c r="AC26" s="396">
        <v>7.8108236417071328</v>
      </c>
      <c r="AD26" s="265" t="e">
        <f>_xll.qlSimpleQuoteSetValue($AB26,ROUND($AC26/10000,6),Trigger)</f>
        <v>#N/A</v>
      </c>
      <c r="AE26" s="221"/>
      <c r="AF26" s="21"/>
      <c r="AG26" s="21"/>
      <c r="AH26" s="21"/>
      <c r="AI26" s="21"/>
      <c r="AJ26" s="21" t="str">
        <f t="shared" si="4"/>
        <v>18Y</v>
      </c>
      <c r="AK26" s="395"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EUR3E6E19Y_Quote#0006</v>
      </c>
      <c r="G27" s="79" t="str">
        <f>_xll.ohRangeRetrieveError(F27)</f>
        <v/>
      </c>
      <c r="H27" s="78"/>
      <c r="N27" s="126">
        <v>19</v>
      </c>
      <c r="O27" s="313" t="s">
        <v>98</v>
      </c>
      <c r="P27" s="312" t="str">
        <v>3E</v>
      </c>
      <c r="Q27" s="312" t="str">
        <v>6E</v>
      </c>
      <c r="R27" s="310" t="str">
        <f t="shared" si="1"/>
        <v>EUR3E6E19Y</v>
      </c>
      <c r="S27" s="270" t="str">
        <v>EUR3E6E19Y=ICAP</v>
      </c>
      <c r="T27" s="399" t="s">
        <v>259</v>
      </c>
      <c r="U27" s="399" t="s">
        <v>259</v>
      </c>
      <c r="V27" s="399" t="e">
        <f>_xll.qlMidEquivalent(T27,U27)</f>
        <v>#NUM!</v>
      </c>
      <c r="W27" s="266" t="b">
        <f t="shared" si="2"/>
        <v>0</v>
      </c>
      <c r="X27" s="404">
        <v>7.5952676475665477</v>
      </c>
      <c r="Y27" s="260"/>
      <c r="Z27" s="397">
        <v>7.5952676475665477</v>
      </c>
      <c r="AA27" s="260"/>
      <c r="AB27" s="267" t="str">
        <f t="shared" si="3"/>
        <v>EUR3E6E19Y_Quote</v>
      </c>
      <c r="AC27" s="396">
        <v>7.5952676475665477</v>
      </c>
      <c r="AD27" s="265" t="e">
        <f>_xll.qlSimpleQuoteSetValue($AB27,ROUND($AC27/10000,6),Trigger)</f>
        <v>#N/A</v>
      </c>
      <c r="AE27" s="221"/>
      <c r="AF27" s="21"/>
      <c r="AG27" s="21"/>
      <c r="AH27" s="21"/>
      <c r="AI27" s="21"/>
      <c r="AJ27" s="21" t="str">
        <f t="shared" si="4"/>
        <v>19Y</v>
      </c>
      <c r="AK27" s="395"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EUR3E6E20Y_Quote#0006</v>
      </c>
      <c r="G28" s="79" t="str">
        <f>_xll.ohRangeRetrieveError(F28)</f>
        <v/>
      </c>
      <c r="H28" s="78"/>
      <c r="N28" s="126">
        <v>20</v>
      </c>
      <c r="O28" s="313" t="s">
        <v>97</v>
      </c>
      <c r="P28" s="312" t="str">
        <v>3E</v>
      </c>
      <c r="Q28" s="312" t="str">
        <v>6E</v>
      </c>
      <c r="R28" s="310" t="str">
        <f t="shared" si="1"/>
        <v>EUR3E6E20Y</v>
      </c>
      <c r="S28" s="270" t="str">
        <v>EUR3E6E20Y=ICAP</v>
      </c>
      <c r="T28" s="399">
        <v>6.9</v>
      </c>
      <c r="U28" s="399">
        <v>7.9</v>
      </c>
      <c r="V28" s="399">
        <f>_xll.qlMidEquivalent(T28,U28)</f>
        <v>7.4</v>
      </c>
      <c r="W28" s="266" t="b">
        <f t="shared" si="2"/>
        <v>1</v>
      </c>
      <c r="X28" s="404">
        <v>7.4</v>
      </c>
      <c r="Y28" s="260"/>
      <c r="Z28" s="397">
        <v>7.4</v>
      </c>
      <c r="AA28" s="260"/>
      <c r="AB28" s="267" t="str">
        <f t="shared" si="3"/>
        <v>EUR3E6E20Y_Quote</v>
      </c>
      <c r="AC28" s="396">
        <v>7.4</v>
      </c>
      <c r="AD28" s="265" t="e">
        <f>_xll.qlSimpleQuoteSetValue($AB28,ROUND($AC28/10000,6),Trigger)</f>
        <v>#N/A</v>
      </c>
      <c r="AE28" s="221"/>
      <c r="AF28" s="21"/>
      <c r="AG28" s="21"/>
      <c r="AH28" s="21"/>
      <c r="AI28" s="21"/>
      <c r="AJ28" s="21" t="str">
        <f t="shared" si="4"/>
        <v>20Y</v>
      </c>
      <c r="AK28" s="395">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EUR3E6E21Y_Quote#0006</v>
      </c>
      <c r="G29" s="79" t="str">
        <f>_xll.ohRangeRetrieveError(F29)</f>
        <v/>
      </c>
      <c r="H29" s="78"/>
      <c r="N29" s="126">
        <v>21</v>
      </c>
      <c r="O29" s="313" t="s">
        <v>96</v>
      </c>
      <c r="P29" s="312" t="str">
        <v>3E</v>
      </c>
      <c r="Q29" s="312" t="str">
        <v>6E</v>
      </c>
      <c r="R29" s="310" t="str">
        <f t="shared" si="1"/>
        <v>EUR3E6E21Y</v>
      </c>
      <c r="S29" s="270" t="str">
        <v>EUR3E6E21Y=ICAP</v>
      </c>
      <c r="T29" s="399" t="s">
        <v>259</v>
      </c>
      <c r="U29" s="399" t="s">
        <v>259</v>
      </c>
      <c r="V29" s="399" t="e">
        <f>_xll.qlMidEquivalent(T29,U29)</f>
        <v>#NUM!</v>
      </c>
      <c r="W29" s="266" t="b">
        <f t="shared" si="2"/>
        <v>0</v>
      </c>
      <c r="X29" s="404">
        <v>7.222900765978534</v>
      </c>
      <c r="Y29" s="260"/>
      <c r="Z29" s="397">
        <v>7.222900765978534</v>
      </c>
      <c r="AA29" s="260"/>
      <c r="AB29" s="267" t="str">
        <f t="shared" si="3"/>
        <v>EUR3E6E21Y_Quote</v>
      </c>
      <c r="AC29" s="396">
        <v>7.222900765978534</v>
      </c>
      <c r="AD29" s="265" t="e">
        <f>_xll.qlSimpleQuoteSetValue($AB29,ROUND($AC29/10000,6),Trigger)</f>
        <v>#N/A</v>
      </c>
      <c r="AE29" s="221"/>
      <c r="AF29" s="21"/>
      <c r="AG29" s="21"/>
      <c r="AH29" s="21"/>
      <c r="AI29" s="21"/>
      <c r="AJ29" s="21" t="str">
        <f t="shared" si="4"/>
        <v>21Y</v>
      </c>
      <c r="AK29" s="395"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EUR3E6E22Y_Quote#0006</v>
      </c>
      <c r="G30" s="79" t="str">
        <f>_xll.ohRangeRetrieveError(F30)</f>
        <v/>
      </c>
      <c r="H30" s="78"/>
      <c r="N30" s="126">
        <v>22</v>
      </c>
      <c r="O30" s="313" t="s">
        <v>95</v>
      </c>
      <c r="P30" s="312" t="str">
        <v>3E</v>
      </c>
      <c r="Q30" s="312" t="str">
        <v>6E</v>
      </c>
      <c r="R30" s="310" t="str">
        <f t="shared" si="1"/>
        <v>EUR3E6E22Y</v>
      </c>
      <c r="S30" s="270" t="str">
        <v>EUR3E6E22Y=ICAP</v>
      </c>
      <c r="T30" s="399" t="s">
        <v>259</v>
      </c>
      <c r="U30" s="399" t="s">
        <v>259</v>
      </c>
      <c r="V30" s="399" t="e">
        <f>_xll.qlMidEquivalent(T30,U30)</f>
        <v>#NUM!</v>
      </c>
      <c r="W30" s="266" t="b">
        <f t="shared" si="2"/>
        <v>0</v>
      </c>
      <c r="X30" s="404">
        <v>7.0616815989281108</v>
      </c>
      <c r="Y30" s="260"/>
      <c r="Z30" s="397">
        <v>7.0616815989281108</v>
      </c>
      <c r="AA30" s="260"/>
      <c r="AB30" s="267" t="str">
        <f t="shared" si="3"/>
        <v>EUR3E6E22Y_Quote</v>
      </c>
      <c r="AC30" s="396">
        <v>7.0616815989281108</v>
      </c>
      <c r="AD30" s="265" t="e">
        <f>_xll.qlSimpleQuoteSetValue($AB30,ROUND($AC30/10000,6),Trigger)</f>
        <v>#N/A</v>
      </c>
      <c r="AE30" s="221"/>
      <c r="AF30" s="21"/>
      <c r="AG30" s="21"/>
      <c r="AH30" s="21"/>
      <c r="AI30" s="21"/>
      <c r="AJ30" s="21" t="str">
        <f t="shared" si="4"/>
        <v>22Y</v>
      </c>
      <c r="AK30" s="395"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EUR3E6E23Y_Quote#0006</v>
      </c>
      <c r="G31" s="79" t="str">
        <f>_xll.ohRangeRetrieveError(F31)</f>
        <v/>
      </c>
      <c r="H31" s="78"/>
      <c r="N31" s="126">
        <v>23</v>
      </c>
      <c r="O31" s="313" t="s">
        <v>94</v>
      </c>
      <c r="P31" s="312" t="str">
        <v>3E</v>
      </c>
      <c r="Q31" s="312" t="str">
        <v>6E</v>
      </c>
      <c r="R31" s="310" t="str">
        <f t="shared" si="1"/>
        <v>EUR3E6E23Y</v>
      </c>
      <c r="S31" s="270" t="str">
        <v>EUR3E6E23Y=ICAP</v>
      </c>
      <c r="T31" s="399" t="s">
        <v>259</v>
      </c>
      <c r="U31" s="399" t="s">
        <v>259</v>
      </c>
      <c r="V31" s="399" t="e">
        <f>_xll.qlMidEquivalent(T31,U31)</f>
        <v>#NUM!</v>
      </c>
      <c r="W31" s="266" t="b">
        <f t="shared" si="2"/>
        <v>0</v>
      </c>
      <c r="X31" s="404">
        <v>6.91401204888842</v>
      </c>
      <c r="Y31" s="260"/>
      <c r="Z31" s="397">
        <v>6.91401204888842</v>
      </c>
      <c r="AA31" s="260"/>
      <c r="AB31" s="267" t="str">
        <f t="shared" si="3"/>
        <v>EUR3E6E23Y_Quote</v>
      </c>
      <c r="AC31" s="396">
        <v>6.91401204888842</v>
      </c>
      <c r="AD31" s="265" t="e">
        <f>_xll.qlSimpleQuoteSetValue($AB31,ROUND($AC31/10000,6),Trigger)</f>
        <v>#N/A</v>
      </c>
      <c r="AE31" s="221"/>
      <c r="AF31" s="21"/>
      <c r="AG31" s="21"/>
      <c r="AH31" s="21"/>
      <c r="AI31" s="21"/>
      <c r="AJ31" s="21" t="str">
        <f t="shared" si="4"/>
        <v>23Y</v>
      </c>
      <c r="AK31" s="395"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EUR3E6E24Y_Quote#0006</v>
      </c>
      <c r="G32" s="79" t="str">
        <f>_xll.ohRangeRetrieveError(F32)</f>
        <v/>
      </c>
      <c r="H32" s="78"/>
      <c r="N32" s="126">
        <v>24</v>
      </c>
      <c r="O32" s="313" t="s">
        <v>93</v>
      </c>
      <c r="P32" s="312" t="str">
        <v>3E</v>
      </c>
      <c r="Q32" s="312" t="str">
        <v>6E</v>
      </c>
      <c r="R32" s="310" t="str">
        <f t="shared" si="1"/>
        <v>EUR3E6E24Y</v>
      </c>
      <c r="S32" s="270" t="str">
        <v>EUR3E6E24Y=ICAP</v>
      </c>
      <c r="T32" s="399" t="s">
        <v>259</v>
      </c>
      <c r="U32" s="399" t="s">
        <v>259</v>
      </c>
      <c r="V32" s="399" t="e">
        <f>_xll.qlMidEquivalent(T32,U32)</f>
        <v>#NUM!</v>
      </c>
      <c r="W32" s="266" t="b">
        <f t="shared" si="2"/>
        <v>0</v>
      </c>
      <c r="X32" s="404">
        <v>6.7775616658991531</v>
      </c>
      <c r="Y32" s="260"/>
      <c r="Z32" s="397">
        <v>6.7775616658991531</v>
      </c>
      <c r="AA32" s="260"/>
      <c r="AB32" s="267" t="str">
        <f t="shared" si="3"/>
        <v>EUR3E6E24Y_Quote</v>
      </c>
      <c r="AC32" s="396">
        <v>6.7775616658991531</v>
      </c>
      <c r="AD32" s="265" t="e">
        <f>_xll.qlSimpleQuoteSetValue($AB32,ROUND($AC32/10000,6),Trigger)</f>
        <v>#N/A</v>
      </c>
      <c r="AE32" s="221"/>
      <c r="AF32" s="21"/>
      <c r="AG32" s="21"/>
      <c r="AH32" s="21"/>
      <c r="AI32" s="21"/>
      <c r="AJ32" s="21" t="str">
        <f t="shared" si="4"/>
        <v>24Y</v>
      </c>
      <c r="AK32" s="395"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EUR3E6E25Y_Quote#0006</v>
      </c>
      <c r="G33" s="79" t="str">
        <f>_xll.ohRangeRetrieveError(F33)</f>
        <v/>
      </c>
      <c r="H33" s="78"/>
      <c r="N33" s="126">
        <v>25</v>
      </c>
      <c r="O33" s="313" t="s">
        <v>92</v>
      </c>
      <c r="P33" s="312" t="str">
        <v>3E</v>
      </c>
      <c r="Q33" s="312" t="str">
        <v>6E</v>
      </c>
      <c r="R33" s="310" t="str">
        <f t="shared" si="1"/>
        <v>EUR3E6E25Y</v>
      </c>
      <c r="S33" s="270" t="str">
        <v>EUR3E6E25Y=ICAP</v>
      </c>
      <c r="T33" s="399">
        <v>6.15</v>
      </c>
      <c r="U33" s="399">
        <v>7.15</v>
      </c>
      <c r="V33" s="399">
        <f>_xll.qlMidEquivalent(T33,U33)</f>
        <v>6.65</v>
      </c>
      <c r="W33" s="266" t="b">
        <f t="shared" si="2"/>
        <v>1</v>
      </c>
      <c r="X33" s="404">
        <v>6.65</v>
      </c>
      <c r="Y33" s="260"/>
      <c r="Z33" s="397">
        <v>6.65</v>
      </c>
      <c r="AA33" s="260"/>
      <c r="AB33" s="267" t="str">
        <f t="shared" si="3"/>
        <v>EUR3E6E25Y_Quote</v>
      </c>
      <c r="AC33" s="396">
        <v>6.65</v>
      </c>
      <c r="AD33" s="265" t="e">
        <f>_xll.qlSimpleQuoteSetValue($AB33,ROUND($AC33/10000,6),Trigger)</f>
        <v>#N/A</v>
      </c>
      <c r="AE33" s="221"/>
      <c r="AF33" s="21"/>
      <c r="AG33" s="21"/>
      <c r="AH33" s="21"/>
      <c r="AI33" s="21"/>
      <c r="AJ33" s="21" t="str">
        <f t="shared" si="4"/>
        <v>25Y</v>
      </c>
      <c r="AK33" s="395">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EUR3E6E26Y_Quote#0006</v>
      </c>
      <c r="G34" s="79" t="str">
        <f>_xll.ohRangeRetrieveError(F34)</f>
        <v/>
      </c>
      <c r="H34" s="78"/>
      <c r="N34" s="126">
        <v>26</v>
      </c>
      <c r="O34" s="313" t="s">
        <v>91</v>
      </c>
      <c r="P34" s="312" t="str">
        <v>3E</v>
      </c>
      <c r="Q34" s="312" t="str">
        <v>6E</v>
      </c>
      <c r="R34" s="310" t="str">
        <f t="shared" si="1"/>
        <v>EUR3E6E26Y</v>
      </c>
      <c r="S34" s="270" t="str">
        <v>EUR3E6E26Y=ICAP</v>
      </c>
      <c r="T34" s="399" t="s">
        <v>259</v>
      </c>
      <c r="U34" s="399" t="s">
        <v>259</v>
      </c>
      <c r="V34" s="399" t="e">
        <f>_xll.qlMidEquivalent(T34,U34)</f>
        <v>#NUM!</v>
      </c>
      <c r="W34" s="266" t="b">
        <f t="shared" si="2"/>
        <v>0</v>
      </c>
      <c r="X34" s="404">
        <v>6.529284947804693</v>
      </c>
      <c r="Y34" s="260"/>
      <c r="Z34" s="397">
        <v>6.529284947804693</v>
      </c>
      <c r="AA34" s="260"/>
      <c r="AB34" s="267" t="str">
        <f t="shared" si="3"/>
        <v>EUR3E6E26Y_Quote</v>
      </c>
      <c r="AC34" s="396">
        <v>6.529284947804693</v>
      </c>
      <c r="AD34" s="265" t="e">
        <f>_xll.qlSimpleQuoteSetValue($AB34,ROUND($AC34/10000,6),Trigger)</f>
        <v>#N/A</v>
      </c>
      <c r="AE34" s="221"/>
      <c r="AF34" s="21"/>
      <c r="AG34" s="21"/>
      <c r="AH34" s="21"/>
      <c r="AI34" s="21"/>
      <c r="AJ34" s="21" t="str">
        <f t="shared" si="4"/>
        <v>26Y</v>
      </c>
      <c r="AK34" s="395"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EUR3E6E27Y_Quote#0006</v>
      </c>
      <c r="G35" s="79" t="str">
        <f>_xll.ohRangeRetrieveError(F35)</f>
        <v/>
      </c>
      <c r="H35" s="78"/>
      <c r="N35" s="126">
        <v>27</v>
      </c>
      <c r="O35" s="313" t="s">
        <v>90</v>
      </c>
      <c r="P35" s="312" t="str">
        <v>3E</v>
      </c>
      <c r="Q35" s="312" t="str">
        <v>6E</v>
      </c>
      <c r="R35" s="310" t="str">
        <f t="shared" si="1"/>
        <v>EUR3E6E27Y</v>
      </c>
      <c r="S35" s="270" t="str">
        <v>EUR3E6E27Y=ICAP</v>
      </c>
      <c r="T35" s="399" t="s">
        <v>259</v>
      </c>
      <c r="U35" s="399" t="s">
        <v>259</v>
      </c>
      <c r="V35" s="399" t="e">
        <f>_xll.qlMidEquivalent(T35,U35)</f>
        <v>#NUM!</v>
      </c>
      <c r="W35" s="266" t="b">
        <f t="shared" si="2"/>
        <v>0</v>
      </c>
      <c r="X35" s="404">
        <v>6.4145277922231152</v>
      </c>
      <c r="Y35" s="260"/>
      <c r="Z35" s="397">
        <v>6.4145277922231152</v>
      </c>
      <c r="AA35" s="260"/>
      <c r="AB35" s="267" t="str">
        <f t="shared" si="3"/>
        <v>EUR3E6E27Y_Quote</v>
      </c>
      <c r="AC35" s="396">
        <v>6.4145277922231152</v>
      </c>
      <c r="AD35" s="265" t="e">
        <f>_xll.qlSimpleQuoteSetValue($AB35,ROUND($AC35/10000,6),Trigger)</f>
        <v>#N/A</v>
      </c>
      <c r="AE35" s="221"/>
      <c r="AF35" s="21"/>
      <c r="AG35" s="21"/>
      <c r="AH35" s="21"/>
      <c r="AI35" s="21"/>
      <c r="AJ35" s="21" t="str">
        <f t="shared" si="4"/>
        <v>27Y</v>
      </c>
      <c r="AK35" s="395"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EUR3E6E28Y_Quote#0006</v>
      </c>
      <c r="G36" s="79" t="str">
        <f>_xll.ohRangeRetrieveError(F36)</f>
        <v/>
      </c>
      <c r="H36" s="78"/>
      <c r="N36" s="126">
        <v>28</v>
      </c>
      <c r="O36" s="313" t="s">
        <v>89</v>
      </c>
      <c r="P36" s="312" t="str">
        <v>3E</v>
      </c>
      <c r="Q36" s="312" t="str">
        <v>6E</v>
      </c>
      <c r="R36" s="310" t="str">
        <f t="shared" si="1"/>
        <v>EUR3E6E28Y</v>
      </c>
      <c r="S36" s="270" t="str">
        <v>EUR3E6E28Y=ICAP</v>
      </c>
      <c r="T36" s="399" t="s">
        <v>259</v>
      </c>
      <c r="U36" s="399" t="s">
        <v>259</v>
      </c>
      <c r="V36" s="399" t="e">
        <f>_xll.qlMidEquivalent(T36,U36)</f>
        <v>#NUM!</v>
      </c>
      <c r="W36" s="266" t="b">
        <f t="shared" si="2"/>
        <v>0</v>
      </c>
      <c r="X36" s="404">
        <v>6.3051281627391909</v>
      </c>
      <c r="Y36" s="260"/>
      <c r="Z36" s="397">
        <v>6.3051281627391909</v>
      </c>
      <c r="AA36" s="260"/>
      <c r="AB36" s="267" t="str">
        <f t="shared" si="3"/>
        <v>EUR3E6E28Y_Quote</v>
      </c>
      <c r="AC36" s="396">
        <v>6.3051281627391909</v>
      </c>
      <c r="AD36" s="265" t="e">
        <f>_xll.qlSimpleQuoteSetValue($AB36,ROUND($AC36/10000,6),Trigger)</f>
        <v>#N/A</v>
      </c>
      <c r="AE36" s="221"/>
      <c r="AF36" s="21"/>
      <c r="AG36" s="21"/>
      <c r="AH36" s="21"/>
      <c r="AI36" s="21"/>
      <c r="AJ36" s="21" t="str">
        <f t="shared" si="4"/>
        <v>28Y</v>
      </c>
      <c r="AK36" s="395"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EUR3E6E29Y_Quote#0006</v>
      </c>
      <c r="G37" s="79" t="str">
        <f>_xll.ohRangeRetrieveError(F37)</f>
        <v/>
      </c>
      <c r="H37" s="78"/>
      <c r="N37" s="126">
        <v>29</v>
      </c>
      <c r="O37" s="313" t="s">
        <v>88</v>
      </c>
      <c r="P37" s="312" t="str">
        <v>3E</v>
      </c>
      <c r="Q37" s="312" t="str">
        <v>6E</v>
      </c>
      <c r="R37" s="310" t="str">
        <f t="shared" si="1"/>
        <v>EUR3E6E29Y</v>
      </c>
      <c r="S37" s="270" t="str">
        <v>EUR3E6E29Y=ICAP</v>
      </c>
      <c r="T37" s="399" t="s">
        <v>259</v>
      </c>
      <c r="U37" s="399" t="s">
        <v>259</v>
      </c>
      <c r="V37" s="399" t="e">
        <f>_xll.qlMidEquivalent(T37,U37)</f>
        <v>#NUM!</v>
      </c>
      <c r="W37" s="266" t="b">
        <f t="shared" si="2"/>
        <v>0</v>
      </c>
      <c r="X37" s="404">
        <v>6.200485688836844</v>
      </c>
      <c r="Y37" s="260"/>
      <c r="Z37" s="397">
        <v>6.200485688836844</v>
      </c>
      <c r="AA37" s="260"/>
      <c r="AB37" s="267" t="str">
        <f t="shared" si="3"/>
        <v>EUR3E6E29Y_Quote</v>
      </c>
      <c r="AC37" s="396">
        <v>6.200485688836844</v>
      </c>
      <c r="AD37" s="265" t="e">
        <f>_xll.qlSimpleQuoteSetValue($AB37,ROUND($AC37/10000,6),Trigger)</f>
        <v>#N/A</v>
      </c>
      <c r="AE37" s="221"/>
      <c r="AF37" s="21"/>
      <c r="AG37" s="21"/>
      <c r="AH37" s="21"/>
      <c r="AI37" s="21"/>
      <c r="AJ37" s="21" t="str">
        <f t="shared" si="4"/>
        <v>29Y</v>
      </c>
      <c r="AK37" s="395"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EUR3E6E30Y_Quote#0006</v>
      </c>
      <c r="G38" s="79" t="str">
        <f>_xll.ohRangeRetrieveError(F38)</f>
        <v/>
      </c>
      <c r="H38" s="78"/>
      <c r="N38" s="126">
        <v>30</v>
      </c>
      <c r="O38" s="313" t="s">
        <v>87</v>
      </c>
      <c r="P38" s="312" t="str">
        <v>3E</v>
      </c>
      <c r="Q38" s="312" t="str">
        <v>6E</v>
      </c>
      <c r="R38" s="310" t="str">
        <f t="shared" si="1"/>
        <v>EUR3E6E30Y</v>
      </c>
      <c r="S38" s="270" t="str">
        <v>EUR3E6E30Y=ICAP</v>
      </c>
      <c r="T38" s="399">
        <v>5.6</v>
      </c>
      <c r="U38" s="399">
        <v>6.6</v>
      </c>
      <c r="V38" s="399">
        <f>_xll.qlMidEquivalent(T38,U38)</f>
        <v>6.1</v>
      </c>
      <c r="W38" s="266" t="b">
        <f t="shared" si="2"/>
        <v>1</v>
      </c>
      <c r="X38" s="404">
        <v>6.1</v>
      </c>
      <c r="Y38" s="260"/>
      <c r="Z38" s="397">
        <v>6.1</v>
      </c>
      <c r="AA38" s="260"/>
      <c r="AB38" s="267" t="str">
        <f t="shared" si="3"/>
        <v>EUR3E6E30Y_Quote</v>
      </c>
      <c r="AC38" s="396">
        <v>6.1</v>
      </c>
      <c r="AD38" s="265" t="e">
        <f>_xll.qlSimpleQuoteSetValue($AB38,ROUND($AC38/10000,6),Trigger)</f>
        <v>#N/A</v>
      </c>
      <c r="AE38" s="221"/>
      <c r="AF38" s="21"/>
      <c r="AG38" s="21"/>
      <c r="AH38" s="21"/>
      <c r="AI38" s="21"/>
      <c r="AJ38" s="21" t="str">
        <f t="shared" si="4"/>
        <v>30Y</v>
      </c>
      <c r="AK38" s="395">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EUR3E6E35Y_Quote#0006</v>
      </c>
      <c r="G39" s="79" t="str">
        <f>_xll.ohRangeRetrieveError(F39)</f>
        <v/>
      </c>
      <c r="H39" s="78"/>
      <c r="N39" s="126">
        <v>35</v>
      </c>
      <c r="O39" s="313" t="s">
        <v>82</v>
      </c>
      <c r="P39" s="312" t="str">
        <v>3E</v>
      </c>
      <c r="Q39" s="312" t="str">
        <v>6E</v>
      </c>
      <c r="R39" s="310" t="str">
        <f t="shared" si="1"/>
        <v>EUR3E6E35Y</v>
      </c>
      <c r="S39" s="270" t="str">
        <v>EUR3E6E35Y=ICAP</v>
      </c>
      <c r="T39" s="399" t="s">
        <v>259</v>
      </c>
      <c r="U39" s="399" t="s">
        <v>259</v>
      </c>
      <c r="V39" s="399" t="e">
        <f>_xll.qlMidEquivalent(T39,U39)</f>
        <v>#NUM!</v>
      </c>
      <c r="W39" s="266" t="b">
        <f t="shared" si="2"/>
        <v>0</v>
      </c>
      <c r="X39" s="404">
        <v>5.6524497666484645</v>
      </c>
      <c r="Y39" s="260"/>
      <c r="Z39" s="397">
        <v>5.6524497666484645</v>
      </c>
      <c r="AA39" s="260"/>
      <c r="AB39" s="267" t="str">
        <f t="shared" si="3"/>
        <v>EUR3E6E35Y_Quote</v>
      </c>
      <c r="AC39" s="396">
        <v>5.6524497666484645</v>
      </c>
      <c r="AD39" s="265" t="e">
        <f>_xll.qlSimpleQuoteSetValue($AB39,ROUND($AC39/10000,6),Trigger)</f>
        <v>#N/A</v>
      </c>
      <c r="AE39" s="221"/>
      <c r="AF39" s="21"/>
      <c r="AG39" s="21"/>
      <c r="AH39" s="21"/>
      <c r="AI39" s="21"/>
      <c r="AJ39" s="21" t="str">
        <f t="shared" si="4"/>
        <v>35Y</v>
      </c>
      <c r="AK39" s="395"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EUR3E6E40Y_Quote#0006</v>
      </c>
      <c r="G40" s="79" t="str">
        <f>_xll.ohRangeRetrieveError(F40)</f>
        <v/>
      </c>
      <c r="H40" s="78"/>
      <c r="N40" s="126">
        <v>40</v>
      </c>
      <c r="O40" s="313" t="s">
        <v>77</v>
      </c>
      <c r="P40" s="312" t="str">
        <v>3E</v>
      </c>
      <c r="Q40" s="312" t="str">
        <v>6E</v>
      </c>
      <c r="R40" s="310" t="str">
        <f t="shared" si="1"/>
        <v>EUR3E6E40Y</v>
      </c>
      <c r="S40" s="270" t="str">
        <v>EUR3E6E40Y=ICAP</v>
      </c>
      <c r="T40" s="399">
        <v>4.8</v>
      </c>
      <c r="U40" s="399">
        <v>5.8</v>
      </c>
      <c r="V40" s="399">
        <f>_xll.qlMidEquivalent(T40,U40)</f>
        <v>5.3</v>
      </c>
      <c r="W40" s="266" t="b">
        <f t="shared" si="2"/>
        <v>1</v>
      </c>
      <c r="X40" s="404">
        <v>5.3</v>
      </c>
      <c r="Y40" s="402">
        <f>X38-X40</f>
        <v>0.79999999999999982</v>
      </c>
      <c r="Z40" s="397">
        <v>5.3</v>
      </c>
      <c r="AA40" s="260"/>
      <c r="AB40" s="267" t="str">
        <f t="shared" si="3"/>
        <v>EUR3E6E40Y_Quote</v>
      </c>
      <c r="AC40" s="396">
        <v>5.3</v>
      </c>
      <c r="AD40" s="265" t="e">
        <f>_xll.qlSimpleQuoteSetValue($AB40,ROUND($AC40/10000,6),Trigger)</f>
        <v>#N/A</v>
      </c>
      <c r="AE40" s="221"/>
      <c r="AF40" s="21"/>
      <c r="AG40" s="21"/>
      <c r="AH40" s="21"/>
      <c r="AI40" s="21"/>
      <c r="AJ40" s="21" t="str">
        <f t="shared" si="4"/>
        <v>40Y</v>
      </c>
      <c r="AK40" s="395">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EUR3E6E50Y_Quote#0006</v>
      </c>
      <c r="G41" s="79" t="str">
        <f>_xll.ohRangeRetrieveError(F41)</f>
        <v/>
      </c>
      <c r="H41" s="78"/>
      <c r="N41" s="126">
        <v>50</v>
      </c>
      <c r="O41" s="313" t="s">
        <v>67</v>
      </c>
      <c r="P41" s="312" t="str">
        <v>3E</v>
      </c>
      <c r="Q41" s="312" t="str">
        <v>6E</v>
      </c>
      <c r="R41" s="310" t="str">
        <f t="shared" si="1"/>
        <v>EUR3E6E50Y</v>
      </c>
      <c r="S41" s="270" t="str">
        <v>EUR3E6E50Y=ICAP</v>
      </c>
      <c r="T41" s="399">
        <v>4.3499999999999996</v>
      </c>
      <c r="U41" s="399">
        <v>5.35</v>
      </c>
      <c r="V41" s="399">
        <f>_xll.qlMidEquivalent(T41,U41)</f>
        <v>4.8499999999999996</v>
      </c>
      <c r="W41" s="266" t="b">
        <f t="shared" si="2"/>
        <v>1</v>
      </c>
      <c r="X41" s="404">
        <v>4.8499999999999996</v>
      </c>
      <c r="Y41" s="402">
        <f>X40-X41</f>
        <v>0.45000000000000018</v>
      </c>
      <c r="Z41" s="397">
        <v>4.8499999999999996</v>
      </c>
      <c r="AA41" s="260"/>
      <c r="AB41" s="267" t="str">
        <f t="shared" si="3"/>
        <v>EUR3E6E50Y_Quote</v>
      </c>
      <c r="AC41" s="396">
        <v>4.8499999999999996</v>
      </c>
      <c r="AD41" s="265" t="e">
        <f>_xll.qlSimpleQuoteSetValue($AB41,ROUND($AC41/10000,6),Trigger)</f>
        <v>#N/A</v>
      </c>
      <c r="AE41" s="221"/>
      <c r="AF41" s="21"/>
      <c r="AG41" s="21"/>
      <c r="AH41" s="21"/>
      <c r="AI41" s="21"/>
      <c r="AJ41" s="21" t="str">
        <f t="shared" si="4"/>
        <v>50Y</v>
      </c>
      <c r="AK41" s="395">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EUR3E6E60Y_Quote#0006</v>
      </c>
      <c r="G42" s="79" t="str">
        <f>_xll.ohRangeRetrieveError(F42)</f>
        <v/>
      </c>
      <c r="H42" s="78"/>
      <c r="N42" s="126">
        <v>60</v>
      </c>
      <c r="O42" s="313" t="s">
        <v>57</v>
      </c>
      <c r="P42" s="312" t="str">
        <v>3E</v>
      </c>
      <c r="Q42" s="312" t="str">
        <v>6E</v>
      </c>
      <c r="R42" s="310" t="str">
        <f t="shared" si="1"/>
        <v>EUR3E6E60Y</v>
      </c>
      <c r="S42" s="270" t="str">
        <v>EUR3E6E60Y=ICAP</v>
      </c>
      <c r="T42" s="399">
        <v>4.05</v>
      </c>
      <c r="U42" s="399">
        <v>5.05</v>
      </c>
      <c r="V42" s="399">
        <f>_xll.qlMidEquivalent(T42,U42)</f>
        <v>4.55</v>
      </c>
      <c r="W42" s="266" t="b">
        <f t="shared" si="2"/>
        <v>1</v>
      </c>
      <c r="X42" s="403">
        <f>X41-Y42</f>
        <v>4.5968749999999989</v>
      </c>
      <c r="Y42" s="402">
        <f>Y41/Y40*Y41</f>
        <v>0.25312500000000027</v>
      </c>
      <c r="Z42" s="397">
        <v>4.5968749999999989</v>
      </c>
      <c r="AA42" s="260"/>
      <c r="AB42" s="267" t="str">
        <f t="shared" si="3"/>
        <v>EUR3E6E60Y_Quote</v>
      </c>
      <c r="AC42" s="396">
        <v>4.5968749999999989</v>
      </c>
      <c r="AD42" s="265" t="e">
        <f>_xll.qlSimpleQuoteSetValue($AB42,ROUND($AC42/10000,6),Trigger)</f>
        <v>#N/A</v>
      </c>
      <c r="AE42" s="221"/>
      <c r="AF42" s="21"/>
      <c r="AG42" s="21"/>
      <c r="AH42" s="21"/>
      <c r="AI42" s="21"/>
      <c r="AJ42" s="21" t="str">
        <f t="shared" si="4"/>
        <v>60Y</v>
      </c>
      <c r="AK42" s="395">
        <f>((Swap6M!AB42-Swap3M!AC42)*100-AC42)/10000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1"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obj_005d7#0004</v>
      </c>
      <c r="T3" s="141"/>
      <c r="U3" s="141"/>
      <c r="V3" s="141"/>
      <c r="W3" s="141"/>
      <c r="X3" s="141"/>
      <c r="Y3" s="260"/>
      <c r="Z3" s="260"/>
      <c r="AA3" s="260"/>
      <c r="AB3" s="141"/>
      <c r="AC3" s="141"/>
      <c r="AD3" s="291">
        <f>_xll.ohTrigger(AD5:AD42)</f>
        <v>6</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EUR6E12E6M_Quote#0006</v>
      </c>
      <c r="G5" s="79" t="str">
        <f>_xll.ohRangeRetrieveError(F5)</f>
        <v/>
      </c>
      <c r="H5" s="78"/>
      <c r="N5" s="400">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399" t="s">
        <v>259</v>
      </c>
      <c r="U5" s="399" t="s">
        <v>259</v>
      </c>
      <c r="V5" s="399" t="e">
        <f>_xll.qlMidEquivalent(T5,U5)</f>
        <v>#NUM!</v>
      </c>
      <c r="W5" s="266" t="b">
        <f t="shared" ref="W5:W42" si="2">IF(ISNUMBER(V5),TRUE,FALSE)</f>
        <v>0</v>
      </c>
      <c r="X5" s="404" t="e">
        <f t="array" ref="X5:X38">_xll.qlInterpolationInterpolate(S3,N5:N42)</f>
        <v>#NUM!</v>
      </c>
      <c r="Y5" s="260"/>
      <c r="Z5" s="397" t="e">
        <v>#NUM!</v>
      </c>
      <c r="AA5" s="260"/>
      <c r="AB5" s="267" t="str">
        <f t="shared" ref="AB5:AB42" si="3">$R5&amp;$AC$2</f>
        <v>EUR6E12E6M_Quote</v>
      </c>
      <c r="AC5" s="396"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EUR6E12E1Y_Quote#0006</v>
      </c>
      <c r="G6" s="79" t="str">
        <f>_xll.ohRangeRetrieveError(F6)</f>
        <v/>
      </c>
      <c r="H6" s="78"/>
      <c r="N6" s="400">
        <v>1</v>
      </c>
      <c r="O6" s="313" t="s">
        <v>34</v>
      </c>
      <c r="P6" s="312" t="str">
        <v>6E</v>
      </c>
      <c r="Q6" s="312" t="str">
        <v>12E</v>
      </c>
      <c r="R6" s="310" t="str">
        <f t="shared" si="1"/>
        <v>EUR6E12E1Y</v>
      </c>
      <c r="S6" s="270" t="str">
        <v>EUR6E12E1Y=ICAP</v>
      </c>
      <c r="T6" s="399">
        <v>11.5</v>
      </c>
      <c r="U6" s="399">
        <v>0</v>
      </c>
      <c r="V6" s="399">
        <f>_xll.qlMidEquivalent(T6,U6)</f>
        <v>11.5</v>
      </c>
      <c r="W6" s="266" t="b">
        <f t="shared" si="2"/>
        <v>1</v>
      </c>
      <c r="X6" s="404">
        <v>11.5</v>
      </c>
      <c r="Y6" s="260"/>
      <c r="Z6" s="397">
        <v>11.5</v>
      </c>
      <c r="AA6" s="260"/>
      <c r="AB6" s="267" t="str">
        <f t="shared" si="3"/>
        <v>EUR6E12E1Y_Quote</v>
      </c>
      <c r="AC6" s="396">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EUR6E12E15M_Quote#0006</v>
      </c>
      <c r="G7" s="79" t="str">
        <f>_xll.ohRangeRetrieveError(F7)</f>
        <v/>
      </c>
      <c r="H7" s="78"/>
      <c r="N7" s="400">
        <v>1.25</v>
      </c>
      <c r="O7" s="313" t="s">
        <v>140</v>
      </c>
      <c r="P7" s="312" t="str">
        <v>6E</v>
      </c>
      <c r="Q7" s="312" t="str">
        <v>12E</v>
      </c>
      <c r="R7" s="310" t="str">
        <f t="shared" si="1"/>
        <v>EUR6E12E15M</v>
      </c>
      <c r="S7" s="270" t="str">
        <v>EUR6E12E15M=ICAP</v>
      </c>
      <c r="T7" s="399" t="s">
        <v>259</v>
      </c>
      <c r="U7" s="399" t="s">
        <v>259</v>
      </c>
      <c r="V7" s="399" t="e">
        <f>_xll.qlMidEquivalent(T7,U7)</f>
        <v>#NUM!</v>
      </c>
      <c r="W7" s="266" t="b">
        <f t="shared" si="2"/>
        <v>0</v>
      </c>
      <c r="X7" s="404">
        <v>12.050187007852388</v>
      </c>
      <c r="Y7" s="260"/>
      <c r="Z7" s="397">
        <v>12.048566052745013</v>
      </c>
      <c r="AA7" s="260"/>
      <c r="AB7" s="267" t="str">
        <f t="shared" si="3"/>
        <v>EUR6E12E15M_Quote</v>
      </c>
      <c r="AC7" s="396">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EUR6E12E18M_Quote#0006</v>
      </c>
      <c r="G8" s="79" t="str">
        <f>_xll.ohRangeRetrieveError(F8)</f>
        <v/>
      </c>
      <c r="H8" s="78"/>
      <c r="N8" s="400">
        <v>1.5</v>
      </c>
      <c r="O8" s="313" t="s">
        <v>139</v>
      </c>
      <c r="P8" s="312" t="str">
        <v>6E</v>
      </c>
      <c r="Q8" s="312" t="str">
        <v>12E</v>
      </c>
      <c r="R8" s="310" t="str">
        <f t="shared" si="1"/>
        <v>EUR6E12E18M</v>
      </c>
      <c r="S8" s="270" t="str">
        <v>EUR6E12E18M=ICAP</v>
      </c>
      <c r="T8" s="399" t="s">
        <v>259</v>
      </c>
      <c r="U8" s="399" t="s">
        <v>259</v>
      </c>
      <c r="V8" s="399" t="e">
        <f>_xll.qlMidEquivalent(T8,U8)</f>
        <v>#NUM!</v>
      </c>
      <c r="W8" s="266" t="b">
        <f t="shared" si="2"/>
        <v>0</v>
      </c>
      <c r="X8" s="404">
        <v>12.5779440069799</v>
      </c>
      <c r="Y8" s="260"/>
      <c r="Z8" s="397">
        <v>12.576503157995568</v>
      </c>
      <c r="AA8" s="260"/>
      <c r="AB8" s="267" t="str">
        <f t="shared" si="3"/>
        <v>EUR6E12E18M_Quote</v>
      </c>
      <c r="AC8" s="396">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EUR6E12E21M_Quote#0006</v>
      </c>
      <c r="G9" s="79" t="str">
        <f>_xll.ohRangeRetrieveError(F9)</f>
        <v/>
      </c>
      <c r="H9" s="78"/>
      <c r="N9" s="400">
        <v>1.75</v>
      </c>
      <c r="O9" s="313" t="s">
        <v>138</v>
      </c>
      <c r="P9" s="312" t="str">
        <v>6E</v>
      </c>
      <c r="Q9" s="312" t="str">
        <v>12E</v>
      </c>
      <c r="R9" s="310" t="str">
        <f t="shared" si="1"/>
        <v>EUR6E12E21M</v>
      </c>
      <c r="S9" s="270" t="str">
        <v>EUR6E12E21M=ICAP</v>
      </c>
      <c r="T9" s="399" t="s">
        <v>259</v>
      </c>
      <c r="U9" s="399" t="s">
        <v>259</v>
      </c>
      <c r="V9" s="399" t="e">
        <f>_xll.qlMidEquivalent(T9,U9)</f>
        <v>#NUM!</v>
      </c>
      <c r="W9" s="266" t="b">
        <f t="shared" si="2"/>
        <v>0</v>
      </c>
      <c r="X9" s="404">
        <v>12.991729002617461</v>
      </c>
      <c r="Y9" s="260"/>
      <c r="Z9" s="397">
        <v>12.991188684248337</v>
      </c>
      <c r="AA9" s="260"/>
      <c r="AB9" s="267" t="str">
        <f t="shared" si="3"/>
        <v>EUR6E12E21M_Quote</v>
      </c>
      <c r="AC9" s="396">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EUR6E12E2Y_Quote#0006</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399">
        <v>13.2</v>
      </c>
      <c r="U10" s="399">
        <v>0</v>
      </c>
      <c r="V10" s="399">
        <f>_xll.qlMidEquivalent(T10,U10)</f>
        <v>13.2</v>
      </c>
      <c r="W10" s="266" t="b">
        <f t="shared" si="2"/>
        <v>1</v>
      </c>
      <c r="X10" s="404">
        <v>13.2</v>
      </c>
      <c r="Y10" s="260"/>
      <c r="Z10" s="397">
        <v>13.2</v>
      </c>
      <c r="AA10" s="260"/>
      <c r="AB10" s="267" t="str">
        <f t="shared" si="3"/>
        <v>EUR6E12E2Y_Quote</v>
      </c>
      <c r="AC10" s="396">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EUR6E12E3Y_Quote#0006</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399">
        <v>13.3</v>
      </c>
      <c r="U11" s="399">
        <v>0</v>
      </c>
      <c r="V11" s="399">
        <f>_xll.qlMidEquivalent(T11,U11)</f>
        <v>13.3</v>
      </c>
      <c r="W11" s="266" t="b">
        <f t="shared" si="2"/>
        <v>1</v>
      </c>
      <c r="X11" s="404">
        <v>13.3</v>
      </c>
      <c r="Y11" s="260"/>
      <c r="Z11" s="397">
        <v>13.3</v>
      </c>
      <c r="AA11" s="260"/>
      <c r="AB11" s="267" t="str">
        <f t="shared" si="3"/>
        <v>EUR6E12E3Y_Quote</v>
      </c>
      <c r="AC11" s="396">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EUR6E12E4Y_Quote#0006</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399">
        <v>13.3</v>
      </c>
      <c r="U12" s="399">
        <v>0</v>
      </c>
      <c r="V12" s="399">
        <f>_xll.qlMidEquivalent(T12,U12)</f>
        <v>13.3</v>
      </c>
      <c r="W12" s="266" t="b">
        <f t="shared" si="2"/>
        <v>1</v>
      </c>
      <c r="X12" s="404">
        <v>13.3</v>
      </c>
      <c r="Y12" s="260"/>
      <c r="Z12" s="397">
        <v>13.2</v>
      </c>
      <c r="AA12" s="260"/>
      <c r="AB12" s="267" t="str">
        <f t="shared" si="3"/>
        <v>EUR6E12E4Y_Quote</v>
      </c>
      <c r="AC12" s="396">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EUR6E12E5Y_Quote#0006</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399">
        <v>13.2</v>
      </c>
      <c r="U13" s="399">
        <v>0</v>
      </c>
      <c r="V13" s="399">
        <f>_xll.qlMidEquivalent(T13,U13)</f>
        <v>13.2</v>
      </c>
      <c r="W13" s="266" t="b">
        <f t="shared" si="2"/>
        <v>1</v>
      </c>
      <c r="X13" s="404">
        <v>13.2</v>
      </c>
      <c r="Y13" s="260"/>
      <c r="Z13" s="397">
        <v>13.2</v>
      </c>
      <c r="AA13" s="260"/>
      <c r="AB13" s="267" t="str">
        <f t="shared" si="3"/>
        <v>EUR6E12E5Y_Quote</v>
      </c>
      <c r="AC13" s="396">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EUR6E12E6Y_Quote#0006</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399">
        <v>13.1</v>
      </c>
      <c r="U14" s="399">
        <v>0</v>
      </c>
      <c r="V14" s="399">
        <f>_xll.qlMidEquivalent(T14,U14)</f>
        <v>13.1</v>
      </c>
      <c r="W14" s="266" t="b">
        <f t="shared" si="2"/>
        <v>1</v>
      </c>
      <c r="X14" s="404">
        <v>13.1</v>
      </c>
      <c r="Y14" s="260"/>
      <c r="Z14" s="397">
        <v>13.1</v>
      </c>
      <c r="AA14" s="260"/>
      <c r="AB14" s="267" t="str">
        <f t="shared" si="3"/>
        <v>EUR6E12E6Y_Quote</v>
      </c>
      <c r="AC14" s="396">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EUR6E12E7Y_Quote#0006</v>
      </c>
      <c r="G15" s="79" t="str">
        <f>_xll.ohRangeRetrieveError(F15)</f>
        <v/>
      </c>
      <c r="H15" s="78"/>
      <c r="N15" s="126">
        <v>7</v>
      </c>
      <c r="O15" s="313" t="s">
        <v>110</v>
      </c>
      <c r="P15" s="312" t="str">
        <v>6E</v>
      </c>
      <c r="Q15" s="312" t="str">
        <v>12E</v>
      </c>
      <c r="R15" s="310" t="str">
        <f t="shared" si="1"/>
        <v>EUR6E12E7Y</v>
      </c>
      <c r="S15" s="270" t="str">
        <v>EUR6E12E7Y=ICAP</v>
      </c>
      <c r="T15" s="399">
        <v>12.9</v>
      </c>
      <c r="U15" s="399">
        <v>0</v>
      </c>
      <c r="V15" s="399">
        <f>_xll.qlMidEquivalent(T15,U15)</f>
        <v>12.9</v>
      </c>
      <c r="W15" s="266" t="b">
        <f t="shared" si="2"/>
        <v>1</v>
      </c>
      <c r="X15" s="404">
        <v>12.9</v>
      </c>
      <c r="Y15" s="260"/>
      <c r="Z15" s="397">
        <v>12.9</v>
      </c>
      <c r="AA15" s="260"/>
      <c r="AB15" s="267" t="str">
        <f t="shared" si="3"/>
        <v>EUR6E12E7Y_Quote</v>
      </c>
      <c r="AC15" s="396">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EUR6E12E8Y_Quote#0006</v>
      </c>
      <c r="G16" s="79" t="str">
        <f>_xll.ohRangeRetrieveError(F16)</f>
        <v/>
      </c>
      <c r="H16" s="78"/>
      <c r="N16" s="126">
        <v>8</v>
      </c>
      <c r="O16" s="313" t="s">
        <v>109</v>
      </c>
      <c r="P16" s="312" t="str">
        <v>6E</v>
      </c>
      <c r="Q16" s="312" t="str">
        <v>12E</v>
      </c>
      <c r="R16" s="310" t="str">
        <f t="shared" si="1"/>
        <v>EUR6E12E8Y</v>
      </c>
      <c r="S16" s="270" t="str">
        <v>EUR6E12E8Y=ICAP</v>
      </c>
      <c r="T16" s="399">
        <v>12.6</v>
      </c>
      <c r="U16" s="399">
        <v>0</v>
      </c>
      <c r="V16" s="399">
        <f>_xll.qlMidEquivalent(T16,U16)</f>
        <v>12.6</v>
      </c>
      <c r="W16" s="266" t="b">
        <f t="shared" si="2"/>
        <v>1</v>
      </c>
      <c r="X16" s="404">
        <v>12.6</v>
      </c>
      <c r="Y16" s="260"/>
      <c r="Z16" s="397">
        <v>12.6</v>
      </c>
      <c r="AA16" s="260"/>
      <c r="AB16" s="267" t="str">
        <f t="shared" si="3"/>
        <v>EUR6E12E8Y_Quote</v>
      </c>
      <c r="AC16" s="396">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EUR6E12E9Y_Quote#0006</v>
      </c>
      <c r="G17" s="79" t="str">
        <f>_xll.ohRangeRetrieveError(F17)</f>
        <v/>
      </c>
      <c r="H17" s="78"/>
      <c r="N17" s="126">
        <v>9</v>
      </c>
      <c r="O17" s="313" t="s">
        <v>108</v>
      </c>
      <c r="P17" s="312" t="str">
        <v>6E</v>
      </c>
      <c r="Q17" s="312" t="str">
        <v>12E</v>
      </c>
      <c r="R17" s="310" t="str">
        <f t="shared" si="1"/>
        <v>EUR6E12E9Y</v>
      </c>
      <c r="S17" s="270" t="str">
        <v>EUR6E12E9Y=ICAP</v>
      </c>
      <c r="T17" s="399">
        <v>12.4</v>
      </c>
      <c r="U17" s="399">
        <v>0</v>
      </c>
      <c r="V17" s="399">
        <f>_xll.qlMidEquivalent(T17,U17)</f>
        <v>12.4</v>
      </c>
      <c r="W17" s="266" t="b">
        <f t="shared" si="2"/>
        <v>1</v>
      </c>
      <c r="X17" s="404">
        <v>12.4</v>
      </c>
      <c r="Y17" s="260"/>
      <c r="Z17" s="397">
        <v>12.3</v>
      </c>
      <c r="AA17" s="260"/>
      <c r="AB17" s="267" t="str">
        <f t="shared" si="3"/>
        <v>EUR6E12E9Y_Quote</v>
      </c>
      <c r="AC17" s="396">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EUR6E12E10Y_Quote#0006</v>
      </c>
      <c r="G18" s="79" t="str">
        <f>_xll.ohRangeRetrieveError(F18)</f>
        <v/>
      </c>
      <c r="H18" s="78"/>
      <c r="N18" s="126">
        <v>10</v>
      </c>
      <c r="O18" s="313" t="s">
        <v>107</v>
      </c>
      <c r="P18" s="312" t="str">
        <v>6E</v>
      </c>
      <c r="Q18" s="312" t="str">
        <v>12E</v>
      </c>
      <c r="R18" s="310" t="str">
        <f t="shared" si="1"/>
        <v>EUR6E12E10Y</v>
      </c>
      <c r="S18" s="270" t="str">
        <v>EUR6E12E10Y=ICAP</v>
      </c>
      <c r="T18" s="399">
        <v>12.1</v>
      </c>
      <c r="U18" s="399">
        <v>0</v>
      </c>
      <c r="V18" s="399">
        <f>_xll.qlMidEquivalent(T18,U18)</f>
        <v>12.1</v>
      </c>
      <c r="W18" s="266" t="b">
        <f t="shared" si="2"/>
        <v>1</v>
      </c>
      <c r="X18" s="404">
        <v>12.1</v>
      </c>
      <c r="Y18" s="260"/>
      <c r="Z18" s="397">
        <v>12.1</v>
      </c>
      <c r="AA18" s="260"/>
      <c r="AB18" s="267" t="str">
        <f t="shared" si="3"/>
        <v>EUR6E12E10Y_Quote</v>
      </c>
      <c r="AC18" s="396">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EUR6E12E11Y_Quote#0006</v>
      </c>
      <c r="G19" s="79" t="str">
        <f>_xll.ohRangeRetrieveError(F19)</f>
        <v/>
      </c>
      <c r="H19" s="78"/>
      <c r="N19" s="126">
        <v>11</v>
      </c>
      <c r="O19" s="313" t="s">
        <v>106</v>
      </c>
      <c r="P19" s="312" t="str">
        <v>6E</v>
      </c>
      <c r="Q19" s="312" t="str">
        <v>12E</v>
      </c>
      <c r="R19" s="310" t="str">
        <f t="shared" si="1"/>
        <v>EUR6E12E11Y</v>
      </c>
      <c r="S19" s="270" t="str">
        <v>EUR6E12E11Y=ICAP</v>
      </c>
      <c r="T19" s="399">
        <v>11.7</v>
      </c>
      <c r="U19" s="399">
        <v>0</v>
      </c>
      <c r="V19" s="399">
        <f>_xll.qlMidEquivalent(T19,U19)</f>
        <v>11.7</v>
      </c>
      <c r="W19" s="266" t="b">
        <f t="shared" si="2"/>
        <v>1</v>
      </c>
      <c r="X19" s="404">
        <v>11.7</v>
      </c>
      <c r="Y19" s="260"/>
      <c r="Z19" s="397">
        <v>11.7</v>
      </c>
      <c r="AA19" s="260"/>
      <c r="AB19" s="267" t="str">
        <f t="shared" si="3"/>
        <v>EUR6E12E11Y_Quote</v>
      </c>
      <c r="AC19" s="396">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EUR6E12E12Y_Quote#0006</v>
      </c>
      <c r="G20" s="79" t="str">
        <f>_xll.ohRangeRetrieveError(F20)</f>
        <v/>
      </c>
      <c r="H20" s="78"/>
      <c r="N20" s="126">
        <v>12</v>
      </c>
      <c r="O20" s="313" t="s">
        <v>105</v>
      </c>
      <c r="P20" s="312" t="str">
        <v>6E</v>
      </c>
      <c r="Q20" s="312" t="str">
        <v>12E</v>
      </c>
      <c r="R20" s="310" t="str">
        <f t="shared" si="1"/>
        <v>EUR6E12E12Y</v>
      </c>
      <c r="S20" s="270" t="str">
        <v>EUR6E12E12Y=ICAP</v>
      </c>
      <c r="T20" s="399">
        <v>11.3</v>
      </c>
      <c r="U20" s="399">
        <v>0</v>
      </c>
      <c r="V20" s="399">
        <f>_xll.qlMidEquivalent(T20,U20)</f>
        <v>11.3</v>
      </c>
      <c r="W20" s="266" t="b">
        <f t="shared" si="2"/>
        <v>1</v>
      </c>
      <c r="X20" s="404">
        <v>11.3</v>
      </c>
      <c r="Y20" s="260"/>
      <c r="Z20" s="397">
        <v>11.3</v>
      </c>
      <c r="AA20" s="260"/>
      <c r="AB20" s="267" t="str">
        <f t="shared" si="3"/>
        <v>EUR6E12E12Y_Quote</v>
      </c>
      <c r="AC20" s="396">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EUR6E12E13Y_Quote#0006</v>
      </c>
      <c r="G21" s="79" t="str">
        <f>_xll.ohRangeRetrieveError(F21)</f>
        <v/>
      </c>
      <c r="H21" s="78"/>
      <c r="N21" s="126">
        <v>13</v>
      </c>
      <c r="O21" s="313" t="s">
        <v>104</v>
      </c>
      <c r="P21" s="312" t="str">
        <v>6E</v>
      </c>
      <c r="Q21" s="312" t="str">
        <v>12E</v>
      </c>
      <c r="R21" s="310" t="str">
        <f t="shared" si="1"/>
        <v>EUR6E12E13Y</v>
      </c>
      <c r="S21" s="270" t="str">
        <v>EUR6E12E13Y=ICAP</v>
      </c>
      <c r="T21" s="399" t="s">
        <v>259</v>
      </c>
      <c r="U21" s="399" t="s">
        <v>259</v>
      </c>
      <c r="V21" s="399" t="e">
        <f>_xll.qlMidEquivalent(T21,U21)</f>
        <v>#NUM!</v>
      </c>
      <c r="W21" s="266" t="b">
        <f t="shared" si="2"/>
        <v>0</v>
      </c>
      <c r="X21" s="404">
        <v>10.934820884371806</v>
      </c>
      <c r="Y21" s="260"/>
      <c r="Z21" s="397">
        <v>10.939335131423944</v>
      </c>
      <c r="AA21" s="260"/>
      <c r="AB21" s="267" t="str">
        <f t="shared" si="3"/>
        <v>EUR6E12E13Y_Quote</v>
      </c>
      <c r="AC21" s="396">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EUR6E12E14Y_Quote#0006</v>
      </c>
      <c r="G22" s="79" t="str">
        <f>_xll.ohRangeRetrieveError(F22)</f>
        <v/>
      </c>
      <c r="H22" s="78"/>
      <c r="N22" s="126">
        <v>14</v>
      </c>
      <c r="O22" s="313" t="s">
        <v>103</v>
      </c>
      <c r="P22" s="312" t="str">
        <v>6E</v>
      </c>
      <c r="Q22" s="312" t="str">
        <v>12E</v>
      </c>
      <c r="R22" s="310" t="str">
        <f t="shared" si="1"/>
        <v>EUR6E12E14Y</v>
      </c>
      <c r="S22" s="270" t="str">
        <v>EUR6E12E14Y=ICAP</v>
      </c>
      <c r="T22" s="399" t="s">
        <v>259</v>
      </c>
      <c r="U22" s="399" t="s">
        <v>259</v>
      </c>
      <c r="V22" s="399" t="e">
        <f>_xll.qlMidEquivalent(T22,U22)</f>
        <v>#NUM!</v>
      </c>
      <c r="W22" s="266" t="b">
        <f t="shared" si="2"/>
        <v>0</v>
      </c>
      <c r="X22" s="404">
        <v>10.603393916008477</v>
      </c>
      <c r="Y22" s="260"/>
      <c r="Z22" s="397">
        <v>10.606607725124706</v>
      </c>
      <c r="AA22" s="260"/>
      <c r="AB22" s="267" t="str">
        <f t="shared" si="3"/>
        <v>EUR6E12E14Y_Quote</v>
      </c>
      <c r="AC22" s="396">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EUR6E12E15Y_Quote#0006</v>
      </c>
      <c r="G23" s="79" t="str">
        <f>_xll.ohRangeRetrieveError(F23)</f>
        <v/>
      </c>
      <c r="H23" s="78"/>
      <c r="N23" s="126">
        <v>15</v>
      </c>
      <c r="O23" s="313" t="s">
        <v>102</v>
      </c>
      <c r="P23" s="312" t="str">
        <v>6E</v>
      </c>
      <c r="Q23" s="312" t="str">
        <v>12E</v>
      </c>
      <c r="R23" s="310" t="str">
        <f t="shared" si="1"/>
        <v>EUR6E12E15Y</v>
      </c>
      <c r="S23" s="270" t="str">
        <v>EUR6E12E15Y=ICAP</v>
      </c>
      <c r="T23" s="399">
        <v>10.3</v>
      </c>
      <c r="U23" s="399">
        <v>0</v>
      </c>
      <c r="V23" s="399">
        <f>_xll.qlMidEquivalent(T23,U23)</f>
        <v>10.3</v>
      </c>
      <c r="W23" s="266" t="b">
        <f t="shared" si="2"/>
        <v>1</v>
      </c>
      <c r="X23" s="404">
        <v>10.3</v>
      </c>
      <c r="Y23" s="260"/>
      <c r="Z23" s="397">
        <v>10.3</v>
      </c>
      <c r="AA23" s="260"/>
      <c r="AB23" s="267" t="str">
        <f t="shared" si="3"/>
        <v>EUR6E12E15Y_Quote</v>
      </c>
      <c r="AC23" s="396">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EUR6E12E16Y_Quote#0006</v>
      </c>
      <c r="G24" s="79" t="str">
        <f>_xll.ohRangeRetrieveError(F24)</f>
        <v/>
      </c>
      <c r="H24" s="78"/>
      <c r="N24" s="126">
        <v>16</v>
      </c>
      <c r="O24" s="313" t="s">
        <v>101</v>
      </c>
      <c r="P24" s="312" t="str">
        <v>6E</v>
      </c>
      <c r="Q24" s="312" t="str">
        <v>12E</v>
      </c>
      <c r="R24" s="310" t="str">
        <f t="shared" si="1"/>
        <v>EUR6E12E16Y</v>
      </c>
      <c r="S24" s="270" t="str">
        <v>EUR6E12E16Y=ICAP</v>
      </c>
      <c r="T24" s="399" t="s">
        <v>259</v>
      </c>
      <c r="U24" s="399" t="s">
        <v>259</v>
      </c>
      <c r="V24" s="399" t="e">
        <f>_xll.qlMidEquivalent(T24,U24)</f>
        <v>#NUM!</v>
      </c>
      <c r="W24" s="266" t="b">
        <f t="shared" si="2"/>
        <v>0</v>
      </c>
      <c r="X24" s="404">
        <v>10.019693178368922</v>
      </c>
      <c r="Y24" s="260"/>
      <c r="Z24" s="397">
        <v>10.017733100920223</v>
      </c>
      <c r="AA24" s="260"/>
      <c r="AB24" s="267" t="str">
        <f t="shared" si="3"/>
        <v>EUR6E12E16Y_Quote</v>
      </c>
      <c r="AC24" s="396">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EUR6E12E17Y_Quote#0006</v>
      </c>
      <c r="G25" s="79" t="str">
        <f>_xll.ohRangeRetrieveError(F25)</f>
        <v/>
      </c>
      <c r="H25" s="78"/>
      <c r="N25" s="126">
        <v>17</v>
      </c>
      <c r="O25" s="313" t="s">
        <v>100</v>
      </c>
      <c r="P25" s="312" t="str">
        <v>6E</v>
      </c>
      <c r="Q25" s="312" t="str">
        <v>12E</v>
      </c>
      <c r="R25" s="310" t="str">
        <f t="shared" si="1"/>
        <v>EUR6E12E17Y</v>
      </c>
      <c r="S25" s="270" t="str">
        <v>EUR6E12E17Y=ICAP</v>
      </c>
      <c r="T25" s="399" t="s">
        <v>259</v>
      </c>
      <c r="U25" s="399" t="s">
        <v>259</v>
      </c>
      <c r="V25" s="399" t="e">
        <f>_xll.qlMidEquivalent(T25,U25)</f>
        <v>#NUM!</v>
      </c>
      <c r="W25" s="266" t="b">
        <f t="shared" si="2"/>
        <v>0</v>
      </c>
      <c r="X25" s="404">
        <v>9.7606200408680301</v>
      </c>
      <c r="Y25" s="260"/>
      <c r="Z25" s="397">
        <v>9.7581838766465108</v>
      </c>
      <c r="AA25" s="260"/>
      <c r="AB25" s="267" t="str">
        <f t="shared" si="3"/>
        <v>EUR6E12E17Y_Quote</v>
      </c>
      <c r="AC25" s="396">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EUR6E12E18Y_Quote#0006</v>
      </c>
      <c r="G26" s="79" t="str">
        <f>_xll.ohRangeRetrieveError(F26)</f>
        <v/>
      </c>
      <c r="H26" s="78"/>
      <c r="N26" s="126">
        <v>18</v>
      </c>
      <c r="O26" s="313" t="s">
        <v>99</v>
      </c>
      <c r="P26" s="312" t="str">
        <v>6E</v>
      </c>
      <c r="Q26" s="312" t="str">
        <v>12E</v>
      </c>
      <c r="R26" s="310" t="str">
        <f t="shared" si="1"/>
        <v>EUR6E12E18Y</v>
      </c>
      <c r="S26" s="270" t="str">
        <v>EUR6E12E18Y=ICAP</v>
      </c>
      <c r="T26" s="399" t="s">
        <v>259</v>
      </c>
      <c r="U26" s="399" t="s">
        <v>259</v>
      </c>
      <c r="V26" s="399" t="e">
        <f>_xll.qlMidEquivalent(T26,U26)</f>
        <v>#NUM!</v>
      </c>
      <c r="W26" s="266" t="b">
        <f t="shared" si="2"/>
        <v>0</v>
      </c>
      <c r="X26" s="404">
        <v>9.5217003141826773</v>
      </c>
      <c r="Y26" s="260"/>
      <c r="Z26" s="397">
        <v>9.519768101912689</v>
      </c>
      <c r="AA26" s="260"/>
      <c r="AB26" s="267" t="str">
        <f t="shared" si="3"/>
        <v>EUR6E12E18Y_Quote</v>
      </c>
      <c r="AC26" s="396">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EUR6E12E19Y_Quote#0006</v>
      </c>
      <c r="G27" s="79" t="str">
        <f>_xll.ohRangeRetrieveError(F27)</f>
        <v/>
      </c>
      <c r="H27" s="78"/>
      <c r="N27" s="126">
        <v>19</v>
      </c>
      <c r="O27" s="313" t="s">
        <v>98</v>
      </c>
      <c r="P27" s="312" t="str">
        <v>6E</v>
      </c>
      <c r="Q27" s="312" t="str">
        <v>12E</v>
      </c>
      <c r="R27" s="310" t="str">
        <f t="shared" si="1"/>
        <v>EUR6E12E19Y</v>
      </c>
      <c r="S27" s="270" t="str">
        <v>EUR6E12E19Y=ICAP</v>
      </c>
      <c r="T27" s="399" t="s">
        <v>259</v>
      </c>
      <c r="U27" s="399" t="s">
        <v>259</v>
      </c>
      <c r="V27" s="399" t="e">
        <f>_xll.qlMidEquivalent(T27,U27)</f>
        <v>#NUM!</v>
      </c>
      <c r="W27" s="266" t="b">
        <f t="shared" si="2"/>
        <v>0</v>
      </c>
      <c r="X27" s="404">
        <v>9.3018537249982174</v>
      </c>
      <c r="Y27" s="260"/>
      <c r="Z27" s="397">
        <v>9.3009015514525775</v>
      </c>
      <c r="AA27" s="260"/>
      <c r="AB27" s="267" t="str">
        <f t="shared" si="3"/>
        <v>EUR6E12E19Y_Quote</v>
      </c>
      <c r="AC27" s="396">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EUR6E12E20Y_Quote#0006</v>
      </c>
      <c r="G28" s="79" t="str">
        <f>_xll.ohRangeRetrieveError(F28)</f>
        <v/>
      </c>
      <c r="H28" s="78"/>
      <c r="N28" s="126">
        <v>20</v>
      </c>
      <c r="O28" s="313" t="s">
        <v>97</v>
      </c>
      <c r="P28" s="312" t="str">
        <v>6E</v>
      </c>
      <c r="Q28" s="312" t="str">
        <v>12E</v>
      </c>
      <c r="R28" s="310" t="str">
        <f t="shared" si="1"/>
        <v>EUR6E12E20Y</v>
      </c>
      <c r="S28" s="270" t="str">
        <v>EUR6E12E20Y=ICAP</v>
      </c>
      <c r="T28" s="399">
        <v>9.1</v>
      </c>
      <c r="U28" s="399">
        <v>0</v>
      </c>
      <c r="V28" s="399">
        <f>_xll.qlMidEquivalent(T28,U28)</f>
        <v>9.1</v>
      </c>
      <c r="W28" s="266" t="b">
        <f t="shared" si="2"/>
        <v>1</v>
      </c>
      <c r="X28" s="404">
        <v>9.1</v>
      </c>
      <c r="Y28" s="260"/>
      <c r="Z28" s="397">
        <v>9.1</v>
      </c>
      <c r="AA28" s="260"/>
      <c r="AB28" s="267" t="str">
        <f t="shared" si="3"/>
        <v>EUR6E12E20Y_Quote</v>
      </c>
      <c r="AC28" s="396">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EUR6E12E21Y_Quote#0006</v>
      </c>
      <c r="G29" s="79" t="str">
        <f>_xll.ohRangeRetrieveError(F29)</f>
        <v/>
      </c>
      <c r="H29" s="78"/>
      <c r="N29" s="126">
        <v>21</v>
      </c>
      <c r="O29" s="313" t="s">
        <v>96</v>
      </c>
      <c r="P29" s="312" t="str">
        <v>6E</v>
      </c>
      <c r="Q29" s="312" t="str">
        <v>12E</v>
      </c>
      <c r="R29" s="310" t="str">
        <f t="shared" si="1"/>
        <v>EUR6E12E21Y</v>
      </c>
      <c r="S29" s="270" t="str">
        <v>EUR6E12E21Y=ICAP</v>
      </c>
      <c r="T29" s="399" t="s">
        <v>259</v>
      </c>
      <c r="U29" s="399" t="s">
        <v>259</v>
      </c>
      <c r="V29" s="399" t="e">
        <f>_xll.qlMidEquivalent(T29,U29)</f>
        <v>#NUM!</v>
      </c>
      <c r="W29" s="266" t="b">
        <f t="shared" si="2"/>
        <v>0</v>
      </c>
      <c r="X29" s="404">
        <v>8.9148763476990585</v>
      </c>
      <c r="Y29" s="260"/>
      <c r="Z29" s="397">
        <v>8.9154030675405078</v>
      </c>
      <c r="AA29" s="260"/>
      <c r="AB29" s="267" t="str">
        <f t="shared" si="3"/>
        <v>EUR6E12E21Y_Quote</v>
      </c>
      <c r="AC29" s="396">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EUR6E12E22Y_Quote#0006</v>
      </c>
      <c r="G30" s="79" t="str">
        <f>_xll.ohRangeRetrieveError(F30)</f>
        <v/>
      </c>
      <c r="H30" s="78"/>
      <c r="N30" s="126">
        <v>22</v>
      </c>
      <c r="O30" s="313" t="s">
        <v>95</v>
      </c>
      <c r="P30" s="312" t="str">
        <v>6E</v>
      </c>
      <c r="Q30" s="312" t="str">
        <v>12E</v>
      </c>
      <c r="R30" s="310" t="str">
        <f t="shared" si="1"/>
        <v>EUR6E12E22Y</v>
      </c>
      <c r="S30" s="270" t="str">
        <v>EUR6E12E22Y=ICAP</v>
      </c>
      <c r="T30" s="399" t="s">
        <v>259</v>
      </c>
      <c r="U30" s="399" t="s">
        <v>259</v>
      </c>
      <c r="V30" s="399" t="e">
        <f>_xll.qlMidEquivalent(T30,U30)</f>
        <v>#NUM!</v>
      </c>
      <c r="W30" s="266" t="b">
        <f t="shared" si="2"/>
        <v>0</v>
      </c>
      <c r="X30" s="404">
        <v>8.7444899039091517</v>
      </c>
      <c r="Y30" s="260"/>
      <c r="Z30" s="397">
        <v>8.7451457550665683</v>
      </c>
      <c r="AA30" s="260"/>
      <c r="AB30" s="267" t="str">
        <f t="shared" si="3"/>
        <v>EUR6E12E22Y_Quote</v>
      </c>
      <c r="AC30" s="396">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EUR6E12E23Y_Quote#0006</v>
      </c>
      <c r="G31" s="79" t="str">
        <f>_xll.ohRangeRetrieveError(F31)</f>
        <v/>
      </c>
      <c r="H31" s="78"/>
      <c r="N31" s="126">
        <v>23</v>
      </c>
      <c r="O31" s="313" t="s">
        <v>94</v>
      </c>
      <c r="P31" s="312" t="str">
        <v>6E</v>
      </c>
      <c r="Q31" s="312" t="str">
        <v>12E</v>
      </c>
      <c r="R31" s="310" t="str">
        <f t="shared" si="1"/>
        <v>EUR6E12E23Y</v>
      </c>
      <c r="S31" s="270" t="str">
        <v>EUR6E12E23Y=ICAP</v>
      </c>
      <c r="T31" s="399" t="s">
        <v>259</v>
      </c>
      <c r="U31" s="399" t="s">
        <v>259</v>
      </c>
      <c r="V31" s="399" t="e">
        <f>_xll.qlMidEquivalent(T31,U31)</f>
        <v>#NUM!</v>
      </c>
      <c r="W31" s="266" t="b">
        <f t="shared" si="2"/>
        <v>0</v>
      </c>
      <c r="X31" s="404">
        <v>8.5866652862697137</v>
      </c>
      <c r="Y31" s="260"/>
      <c r="Z31" s="397">
        <v>8.5871869088223747</v>
      </c>
      <c r="AA31" s="260"/>
      <c r="AB31" s="267" t="str">
        <f t="shared" si="3"/>
        <v>EUR6E12E23Y_Quote</v>
      </c>
      <c r="AC31" s="396">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EUR6E12E24Y_Quote#0006</v>
      </c>
      <c r="G32" s="79" t="str">
        <f>_xll.ohRangeRetrieveError(F32)</f>
        <v/>
      </c>
      <c r="H32" s="78"/>
      <c r="N32" s="126">
        <v>24</v>
      </c>
      <c r="O32" s="313" t="s">
        <v>93</v>
      </c>
      <c r="P32" s="312" t="str">
        <v>6E</v>
      </c>
      <c r="Q32" s="312" t="str">
        <v>12E</v>
      </c>
      <c r="R32" s="310" t="str">
        <f t="shared" si="1"/>
        <v>EUR6E12E24Y</v>
      </c>
      <c r="S32" s="270" t="str">
        <v>EUR6E12E24Y=ICAP</v>
      </c>
      <c r="T32" s="399" t="s">
        <v>259</v>
      </c>
      <c r="U32" s="399" t="s">
        <v>259</v>
      </c>
      <c r="V32" s="399" t="e">
        <f>_xll.qlMidEquivalent(T32,U32)</f>
        <v>#NUM!</v>
      </c>
      <c r="W32" s="266" t="b">
        <f t="shared" si="2"/>
        <v>0</v>
      </c>
      <c r="X32" s="404">
        <v>8.4392271124201841</v>
      </c>
      <c r="Y32" s="260"/>
      <c r="Z32" s="397">
        <v>8.4394853750521204</v>
      </c>
      <c r="AA32" s="260"/>
      <c r="AB32" s="267" t="str">
        <f t="shared" si="3"/>
        <v>EUR6E12E24Y_Quote</v>
      </c>
      <c r="AC32" s="396">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EUR6E12E25Y_Quote#0006</v>
      </c>
      <c r="G33" s="79" t="str">
        <f>_xll.ohRangeRetrieveError(F33)</f>
        <v/>
      </c>
      <c r="H33" s="78"/>
      <c r="N33" s="126">
        <v>25</v>
      </c>
      <c r="O33" s="313" t="s">
        <v>92</v>
      </c>
      <c r="P33" s="312" t="str">
        <v>6E</v>
      </c>
      <c r="Q33" s="312" t="str">
        <v>12E</v>
      </c>
      <c r="R33" s="310" t="str">
        <f t="shared" si="1"/>
        <v>EUR6E12E25Y</v>
      </c>
      <c r="S33" s="270" t="str">
        <v>EUR6E12E25Y=ICAP</v>
      </c>
      <c r="T33" s="399">
        <v>8.3000000000000007</v>
      </c>
      <c r="U33" s="399">
        <v>0</v>
      </c>
      <c r="V33" s="399">
        <f>_xll.qlMidEquivalent(T33,U33)</f>
        <v>8.3000000000000007</v>
      </c>
      <c r="W33" s="266" t="b">
        <f t="shared" si="2"/>
        <v>1</v>
      </c>
      <c r="X33" s="404">
        <v>8.3000000000000007</v>
      </c>
      <c r="Y33" s="260"/>
      <c r="Z33" s="397">
        <v>8.3000000000000007</v>
      </c>
      <c r="AA33" s="260"/>
      <c r="AB33" s="267" t="str">
        <f t="shared" si="3"/>
        <v>EUR6E12E25Y_Quote</v>
      </c>
      <c r="AC33" s="396">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EUR6E12E26Y_Quote#0006</v>
      </c>
      <c r="G34" s="79" t="str">
        <f>_xll.ohRangeRetrieveError(F34)</f>
        <v/>
      </c>
      <c r="H34" s="78"/>
      <c r="N34" s="126">
        <v>26</v>
      </c>
      <c r="O34" s="313" t="s">
        <v>91</v>
      </c>
      <c r="P34" s="312" t="str">
        <v>6E</v>
      </c>
      <c r="Q34" s="312" t="str">
        <v>12E</v>
      </c>
      <c r="R34" s="310" t="str">
        <f t="shared" si="1"/>
        <v>EUR6E12E26Y</v>
      </c>
      <c r="S34" s="270" t="str">
        <v>EUR6E12E26Y=ICAP</v>
      </c>
      <c r="T34" s="399" t="s">
        <v>259</v>
      </c>
      <c r="U34" s="399" t="s">
        <v>259</v>
      </c>
      <c r="V34" s="399" t="e">
        <f>_xll.qlMidEquivalent(T34,U34)</f>
        <v>#NUM!</v>
      </c>
      <c r="W34" s="266" t="b">
        <f t="shared" si="2"/>
        <v>0</v>
      </c>
      <c r="X34" s="404">
        <v>8.1672014308348437</v>
      </c>
      <c r="Y34" s="260"/>
      <c r="Z34" s="397">
        <v>8.167054628917743</v>
      </c>
      <c r="AA34" s="260"/>
      <c r="AB34" s="267" t="str">
        <f t="shared" si="3"/>
        <v>EUR6E12E26Y_Quote</v>
      </c>
      <c r="AC34" s="396">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EUR6E12E27Y_Quote#0006</v>
      </c>
      <c r="G35" s="79" t="str">
        <f>_xll.ohRangeRetrieveError(F35)</f>
        <v/>
      </c>
      <c r="H35" s="78"/>
      <c r="N35" s="126">
        <v>27</v>
      </c>
      <c r="O35" s="313" t="s">
        <v>90</v>
      </c>
      <c r="P35" s="312" t="str">
        <v>6E</v>
      </c>
      <c r="Q35" s="312" t="str">
        <v>12E</v>
      </c>
      <c r="R35" s="310" t="str">
        <f t="shared" si="1"/>
        <v>EUR6E12E27Y</v>
      </c>
      <c r="S35" s="270" t="str">
        <v>EUR6E12E27Y=ICAP</v>
      </c>
      <c r="T35" s="399" t="s">
        <v>259</v>
      </c>
      <c r="U35" s="399" t="s">
        <v>259</v>
      </c>
      <c r="V35" s="399" t="e">
        <f>_xll.qlMidEquivalent(T35,U35)</f>
        <v>#NUM!</v>
      </c>
      <c r="W35" s="266" t="b">
        <f t="shared" si="2"/>
        <v>0</v>
      </c>
      <c r="X35" s="404">
        <v>8.0406203434953678</v>
      </c>
      <c r="Y35" s="260"/>
      <c r="Z35" s="397">
        <v>8.0404331030872136</v>
      </c>
      <c r="AA35" s="260"/>
      <c r="AB35" s="267" t="str">
        <f t="shared" si="3"/>
        <v>EUR6E12E27Y_Quote</v>
      </c>
      <c r="AC35" s="396">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EUR6E12E28Y_Quote#0006</v>
      </c>
      <c r="G36" s="79" t="str">
        <f>_xll.ohRangeRetrieveError(F36)</f>
        <v/>
      </c>
      <c r="H36" s="78"/>
      <c r="N36" s="126">
        <v>28</v>
      </c>
      <c r="O36" s="313" t="s">
        <v>89</v>
      </c>
      <c r="P36" s="312" t="str">
        <v>6E</v>
      </c>
      <c r="Q36" s="312" t="str">
        <v>12E</v>
      </c>
      <c r="R36" s="310" t="str">
        <f t="shared" si="1"/>
        <v>EUR6E12E28Y</v>
      </c>
      <c r="S36" s="270" t="str">
        <v>EUR6E12E28Y=ICAP</v>
      </c>
      <c r="T36" s="399" t="s">
        <v>259</v>
      </c>
      <c r="U36" s="399" t="s">
        <v>259</v>
      </c>
      <c r="V36" s="399" t="e">
        <f>_xll.qlMidEquivalent(T36,U36)</f>
        <v>#NUM!</v>
      </c>
      <c r="W36" s="266" t="b">
        <f t="shared" si="2"/>
        <v>0</v>
      </c>
      <c r="X36" s="404">
        <v>7.9204385407384699</v>
      </c>
      <c r="Y36" s="260"/>
      <c r="Z36" s="397">
        <v>7.9202842627978125</v>
      </c>
      <c r="AA36" s="260"/>
      <c r="AB36" s="267" t="str">
        <f t="shared" si="3"/>
        <v>EUR6E12E28Y_Quote</v>
      </c>
      <c r="AC36" s="396">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EUR6E12E29Y_Quote#0006</v>
      </c>
      <c r="G37" s="79" t="str">
        <f>_xll.ohRangeRetrieveError(F37)</f>
        <v/>
      </c>
      <c r="H37" s="78"/>
      <c r="N37" s="126">
        <v>29</v>
      </c>
      <c r="O37" s="313" t="s">
        <v>88</v>
      </c>
      <c r="P37" s="312" t="str">
        <v>6E</v>
      </c>
      <c r="Q37" s="312" t="str">
        <v>12E</v>
      </c>
      <c r="R37" s="310" t="str">
        <f t="shared" si="1"/>
        <v>EUR6E12E29Y</v>
      </c>
      <c r="S37" s="270" t="str">
        <v>EUR6E12E29Y=ICAP</v>
      </c>
      <c r="T37" s="399" t="s">
        <v>259</v>
      </c>
      <c r="U37" s="399" t="s">
        <v>259</v>
      </c>
      <c r="V37" s="399" t="e">
        <f>_xll.qlMidEquivalent(T37,U37)</f>
        <v>#NUM!</v>
      </c>
      <c r="W37" s="266" t="b">
        <f t="shared" si="2"/>
        <v>0</v>
      </c>
      <c r="X37" s="404">
        <v>7.8068378253210478</v>
      </c>
      <c r="Y37" s="260"/>
      <c r="Z37" s="397">
        <v>7.8067569483389416</v>
      </c>
      <c r="AA37" s="260"/>
      <c r="AB37" s="267" t="str">
        <f t="shared" si="3"/>
        <v>EUR6E12E29Y_Quote</v>
      </c>
      <c r="AC37" s="396">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EUR6E12E30Y_Quote#0006</v>
      </c>
      <c r="G38" s="79" t="str">
        <f>_xll.ohRangeRetrieveError(F38)</f>
        <v/>
      </c>
      <c r="H38" s="78"/>
      <c r="N38" s="126">
        <v>30</v>
      </c>
      <c r="O38" s="313" t="s">
        <v>87</v>
      </c>
      <c r="P38" s="312" t="str">
        <v>6E</v>
      </c>
      <c r="Q38" s="312" t="str">
        <v>12E</v>
      </c>
      <c r="R38" s="310" t="str">
        <f t="shared" si="1"/>
        <v>EUR6E12E30Y</v>
      </c>
      <c r="S38" s="270" t="str">
        <v>EUR6E12E30Y=ICAP</v>
      </c>
      <c r="T38" s="399">
        <v>7.7</v>
      </c>
      <c r="U38" s="399">
        <v>0</v>
      </c>
      <c r="V38" s="399">
        <f>_xll.qlMidEquivalent(T38,U38)</f>
        <v>7.7</v>
      </c>
      <c r="W38" s="266" t="b">
        <f t="shared" si="2"/>
        <v>1</v>
      </c>
      <c r="X38" s="404">
        <v>7.7</v>
      </c>
      <c r="Y38" s="402">
        <f>X28-X38</f>
        <v>1.3999999999999995</v>
      </c>
      <c r="Z38" s="397">
        <v>7.7</v>
      </c>
      <c r="AA38" s="260"/>
      <c r="AB38" s="267" t="str">
        <f t="shared" si="3"/>
        <v>EUR6E12E30Y_Quote</v>
      </c>
      <c r="AC38" s="396">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EUR6E12E35Y_Quote#0006</v>
      </c>
      <c r="G39" s="79" t="str">
        <f>_xll.ohRangeRetrieveError(F39)</f>
        <v/>
      </c>
      <c r="H39" s="78"/>
      <c r="N39" s="126">
        <v>35</v>
      </c>
      <c r="O39" s="313" t="s">
        <v>82</v>
      </c>
      <c r="P39" s="312" t="str">
        <v>6E</v>
      </c>
      <c r="Q39" s="312" t="str">
        <v>12E</v>
      </c>
      <c r="R39" s="310" t="str">
        <f t="shared" si="1"/>
        <v>EUR6E12E35Y</v>
      </c>
      <c r="S39" s="270" t="str">
        <v>EUR6E12E35Y=ICAP</v>
      </c>
      <c r="T39" s="399" t="s">
        <v>259</v>
      </c>
      <c r="U39" s="399" t="s">
        <v>259</v>
      </c>
      <c r="V39" s="399" t="e">
        <f>_xll.qlMidEquivalent(T39,U39)</f>
        <v>#NUM!</v>
      </c>
      <c r="W39" s="266" t="b">
        <f t="shared" si="2"/>
        <v>0</v>
      </c>
      <c r="X39" s="403">
        <f>X38</f>
        <v>7.7</v>
      </c>
      <c r="Y39" s="260"/>
      <c r="Z39" s="397">
        <v>7.7</v>
      </c>
      <c r="AA39" s="260"/>
      <c r="AB39" s="267" t="str">
        <f t="shared" si="3"/>
        <v>EUR6E12E35Y_Quote</v>
      </c>
      <c r="AC39" s="396">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EUR6E12E40Y_Quote#0006</v>
      </c>
      <c r="G40" s="79" t="str">
        <f>_xll.ohRangeRetrieveError(F40)</f>
        <v/>
      </c>
      <c r="H40" s="78"/>
      <c r="N40" s="126">
        <v>40</v>
      </c>
      <c r="O40" s="313" t="s">
        <v>77</v>
      </c>
      <c r="P40" s="312" t="str">
        <v>6E</v>
      </c>
      <c r="Q40" s="312" t="str">
        <v>12E</v>
      </c>
      <c r="R40" s="310" t="str">
        <f t="shared" si="1"/>
        <v>EUR6E12E40Y</v>
      </c>
      <c r="S40" s="270" t="str">
        <v>EUR6E12E40Y=ICAP</v>
      </c>
      <c r="T40" s="399">
        <v>6.9</v>
      </c>
      <c r="U40" s="399">
        <v>0</v>
      </c>
      <c r="V40" s="399">
        <f>_xll.qlMidEquivalent(T40,U40)</f>
        <v>6.9</v>
      </c>
      <c r="W40" s="266" t="b">
        <f t="shared" si="2"/>
        <v>1</v>
      </c>
      <c r="X40" s="403">
        <f>X39</f>
        <v>7.7</v>
      </c>
      <c r="Y40" s="260"/>
      <c r="Z40" s="397">
        <v>7.7</v>
      </c>
      <c r="AA40" s="260"/>
      <c r="AB40" s="267" t="str">
        <f t="shared" si="3"/>
        <v>EUR6E12E40Y_Quote</v>
      </c>
      <c r="AC40" s="396">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EUR6E12E50Y_Quote#0006</v>
      </c>
      <c r="G41" s="79" t="str">
        <f>_xll.ohRangeRetrieveError(F41)</f>
        <v/>
      </c>
      <c r="H41" s="78"/>
      <c r="N41" s="126">
        <v>50</v>
      </c>
      <c r="O41" s="313" t="s">
        <v>67</v>
      </c>
      <c r="P41" s="312" t="str">
        <v>6E</v>
      </c>
      <c r="Q41" s="312" t="str">
        <v>12E</v>
      </c>
      <c r="R41" s="310" t="str">
        <f t="shared" si="1"/>
        <v>EUR6E12E50Y</v>
      </c>
      <c r="S41" s="270" t="str">
        <v>EUR6E12E50Y=ICAP</v>
      </c>
      <c r="T41" s="399">
        <v>6.3</v>
      </c>
      <c r="U41" s="399">
        <v>0</v>
      </c>
      <c r="V41" s="399">
        <f>_xll.qlMidEquivalent(T41,U41)</f>
        <v>6.3</v>
      </c>
      <c r="W41" s="266" t="b">
        <f t="shared" si="2"/>
        <v>1</v>
      </c>
      <c r="X41" s="403">
        <f>X40</f>
        <v>7.7</v>
      </c>
      <c r="Y41" s="260"/>
      <c r="Z41" s="397">
        <v>7.7</v>
      </c>
      <c r="AA41" s="260"/>
      <c r="AB41" s="267" t="str">
        <f t="shared" si="3"/>
        <v>EUR6E12E50Y_Quote</v>
      </c>
      <c r="AC41" s="396">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EUR6E12E60Y_Quote#0006</v>
      </c>
      <c r="G42" s="79" t="str">
        <f>_xll.ohRangeRetrieveError(F42)</f>
        <v/>
      </c>
      <c r="H42" s="78"/>
      <c r="N42" s="126">
        <v>60</v>
      </c>
      <c r="O42" s="313" t="s">
        <v>57</v>
      </c>
      <c r="P42" s="312" t="str">
        <v>6E</v>
      </c>
      <c r="Q42" s="312" t="str">
        <v>12E</v>
      </c>
      <c r="R42" s="310" t="str">
        <f t="shared" si="1"/>
        <v>EUR6E12E60Y</v>
      </c>
      <c r="S42" s="270" t="str">
        <v>EUR6E12E60Y=ICAP</v>
      </c>
      <c r="T42" s="399">
        <v>6</v>
      </c>
      <c r="U42" s="399">
        <v>0</v>
      </c>
      <c r="V42" s="399">
        <f>_xll.qlMidEquivalent(T42,U42)</f>
        <v>6</v>
      </c>
      <c r="W42" s="266" t="b">
        <f t="shared" si="2"/>
        <v>1</v>
      </c>
      <c r="X42" s="403">
        <f>X41</f>
        <v>7.7</v>
      </c>
      <c r="Y42" s="260"/>
      <c r="Z42" s="397">
        <v>7.7</v>
      </c>
      <c r="AA42" s="260"/>
      <c r="AB42" s="267" t="str">
        <f t="shared" si="3"/>
        <v>EUR6E12E60Y_Quote</v>
      </c>
      <c r="AC42" s="396">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6</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EUROND_Quote#0006</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EURTND_Quote#0006</v>
      </c>
      <c r="E6" s="109" t="str">
        <f>_xll.ohRangeRetrieveError(D6)</f>
        <v/>
      </c>
      <c r="F6" s="108"/>
      <c r="H6" s="126"/>
      <c r="I6" s="271" t="s">
        <v>242</v>
      </c>
      <c r="J6" s="270" t="e">
        <f t="shared" si="1"/>
        <v>#REF!</v>
      </c>
      <c r="K6" s="269">
        <v>0.1</v>
      </c>
      <c r="L6" s="260"/>
      <c r="M6" s="268">
        <v>0.1</v>
      </c>
      <c r="N6" s="260"/>
      <c r="O6" s="339">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EURSND_Quote#0006</v>
      </c>
      <c r="E7" s="109" t="str">
        <f>_xll.ohRangeRetrieveError(D7)</f>
        <v/>
      </c>
      <c r="F7" s="108"/>
      <c r="H7" s="126"/>
      <c r="I7" s="271" t="s">
        <v>239</v>
      </c>
      <c r="J7" s="270" t="e">
        <f t="shared" si="1"/>
        <v>#REF!</v>
      </c>
      <c r="K7" s="269">
        <v>0.1</v>
      </c>
      <c r="L7" s="260"/>
      <c r="M7" s="268">
        <v>0.1</v>
      </c>
      <c r="N7" s="260"/>
      <c r="O7" s="339">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EURSWD_Quote#0006</v>
      </c>
      <c r="E8" s="109" t="str">
        <f>_xll.ohRangeRetrieveError(D8)</f>
        <v/>
      </c>
      <c r="F8" s="108"/>
      <c r="H8" s="126"/>
      <c r="I8" s="271" t="s">
        <v>48</v>
      </c>
      <c r="J8" s="270" t="e">
        <f t="shared" si="1"/>
        <v>#REF!</v>
      </c>
      <c r="K8" s="269">
        <v>0.11</v>
      </c>
      <c r="L8" s="260"/>
      <c r="M8" s="268">
        <v>0.11</v>
      </c>
      <c r="N8" s="260"/>
      <c r="O8" s="339">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EUR2WD_Quote#0006</v>
      </c>
      <c r="E9" s="109" t="str">
        <f>_xll.ohRangeRetrieveError(D9)</f>
        <v/>
      </c>
      <c r="F9" s="108"/>
      <c r="H9" s="126"/>
      <c r="I9" s="271" t="s">
        <v>47</v>
      </c>
      <c r="J9" s="270" t="e">
        <f t="shared" si="1"/>
        <v>#REF!</v>
      </c>
      <c r="K9" s="269">
        <v>0.12</v>
      </c>
      <c r="L9" s="260"/>
      <c r="M9" s="268">
        <v>0.12</v>
      </c>
      <c r="N9" s="260"/>
      <c r="O9" s="339">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EUR3WD_Quote#0006</v>
      </c>
      <c r="E10" s="109" t="str">
        <f>_xll.ohRangeRetrieveError(D10)</f>
        <v/>
      </c>
      <c r="F10" s="108"/>
      <c r="H10" s="126"/>
      <c r="I10" s="271" t="s">
        <v>46</v>
      </c>
      <c r="J10" s="270" t="e">
        <f t="shared" si="1"/>
        <v>#REF!</v>
      </c>
      <c r="K10" s="269">
        <v>0.13</v>
      </c>
      <c r="L10" s="260"/>
      <c r="M10" s="268">
        <v>0.13</v>
      </c>
      <c r="N10" s="260"/>
      <c r="O10" s="339">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EUR1MD_Quote#0006</v>
      </c>
      <c r="E11" s="109" t="str">
        <f>_xll.ohRangeRetrieveError(D11)</f>
        <v/>
      </c>
      <c r="F11" s="108"/>
      <c r="H11" s="126"/>
      <c r="I11" s="271" t="s">
        <v>45</v>
      </c>
      <c r="J11" s="270" t="e">
        <f t="shared" si="1"/>
        <v>#REF!</v>
      </c>
      <c r="K11" s="269">
        <v>0.14000000000000001</v>
      </c>
      <c r="L11" s="260"/>
      <c r="M11" s="268">
        <v>0.14000000000000001</v>
      </c>
      <c r="N11" s="260"/>
      <c r="O11" s="339">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EUR2MD_Quote#0006</v>
      </c>
      <c r="E12" s="109" t="str">
        <f>_xll.ohRangeRetrieveError(D12)</f>
        <v/>
      </c>
      <c r="F12" s="108"/>
      <c r="H12" s="126"/>
      <c r="I12" s="271" t="s">
        <v>44</v>
      </c>
      <c r="J12" s="270" t="e">
        <f t="shared" si="1"/>
        <v>#REF!</v>
      </c>
      <c r="K12" s="269">
        <v>0.18</v>
      </c>
      <c r="L12" s="260"/>
      <c r="M12" s="268">
        <v>0.18</v>
      </c>
      <c r="N12" s="260"/>
      <c r="O12" s="339">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EUR3MD_Quote#0006</v>
      </c>
      <c r="E13" s="109" t="str">
        <f>_xll.ohRangeRetrieveError(D13)</f>
        <v/>
      </c>
      <c r="F13" s="108"/>
      <c r="H13" s="126"/>
      <c r="I13" s="271" t="s">
        <v>43</v>
      </c>
      <c r="J13" s="270" t="e">
        <f t="shared" si="1"/>
        <v>#REF!</v>
      </c>
      <c r="K13" s="269">
        <v>0.22</v>
      </c>
      <c r="L13" s="260"/>
      <c r="M13" s="268">
        <v>0.22</v>
      </c>
      <c r="N13" s="260"/>
      <c r="O13" s="339">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EUR4MD_Quote#0006</v>
      </c>
      <c r="E14" s="109" t="str">
        <f>_xll.ohRangeRetrieveError(D14)</f>
        <v/>
      </c>
      <c r="F14" s="108"/>
      <c r="H14" s="126"/>
      <c r="I14" s="271" t="s">
        <v>42</v>
      </c>
      <c r="J14" s="270" t="e">
        <f t="shared" si="1"/>
        <v>#REF!</v>
      </c>
      <c r="K14" s="269">
        <v>0.26</v>
      </c>
      <c r="L14" s="260"/>
      <c r="M14" s="268">
        <v>0.26</v>
      </c>
      <c r="N14" s="260"/>
      <c r="O14" s="339">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EUR5MD_Quote#0006</v>
      </c>
      <c r="E15" s="109" t="str">
        <f>_xll.ohRangeRetrieveError(D15)</f>
        <v/>
      </c>
      <c r="F15" s="108"/>
      <c r="H15" s="126"/>
      <c r="I15" s="271" t="s">
        <v>41</v>
      </c>
      <c r="J15" s="270" t="e">
        <f t="shared" si="1"/>
        <v>#REF!</v>
      </c>
      <c r="K15" s="269">
        <v>0.3</v>
      </c>
      <c r="L15" s="260"/>
      <c r="M15" s="268">
        <v>0.3</v>
      </c>
      <c r="N15" s="260"/>
      <c r="O15" s="339">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EUR6MD_Quote#0006</v>
      </c>
      <c r="E16" s="109" t="str">
        <f>_xll.ohRangeRetrieveError(D16)</f>
        <v/>
      </c>
      <c r="F16" s="108"/>
      <c r="H16" s="126"/>
      <c r="I16" s="271" t="s">
        <v>40</v>
      </c>
      <c r="J16" s="270" t="e">
        <f t="shared" si="1"/>
        <v>#REF!</v>
      </c>
      <c r="K16" s="269">
        <v>0.34</v>
      </c>
      <c r="L16" s="260"/>
      <c r="M16" s="268">
        <v>0.34</v>
      </c>
      <c r="N16" s="260"/>
      <c r="O16" s="339">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EUR7MD_Quote#0006</v>
      </c>
      <c r="E17" s="109" t="str">
        <f>_xll.ohRangeRetrieveError(D17)</f>
        <v/>
      </c>
      <c r="F17" s="108"/>
      <c r="H17" s="126"/>
      <c r="I17" s="271" t="s">
        <v>39</v>
      </c>
      <c r="J17" s="270" t="e">
        <f t="shared" si="1"/>
        <v>#REF!</v>
      </c>
      <c r="K17" s="269">
        <v>0.37</v>
      </c>
      <c r="L17" s="260"/>
      <c r="M17" s="268">
        <v>0.37</v>
      </c>
      <c r="N17" s="260"/>
      <c r="O17" s="339">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EUR8MD_Quote#0006</v>
      </c>
      <c r="E18" s="109" t="str">
        <f>_xll.ohRangeRetrieveError(D18)</f>
        <v/>
      </c>
      <c r="F18" s="108"/>
      <c r="H18" s="126"/>
      <c r="I18" s="271" t="s">
        <v>38</v>
      </c>
      <c r="J18" s="270" t="e">
        <f t="shared" si="1"/>
        <v>#REF!</v>
      </c>
      <c r="K18" s="269">
        <v>0.41</v>
      </c>
      <c r="L18" s="260"/>
      <c r="M18" s="268">
        <v>0.41</v>
      </c>
      <c r="N18" s="260"/>
      <c r="O18" s="339">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EUR9MD_Quote#0006</v>
      </c>
      <c r="E19" s="109" t="str">
        <f>_xll.ohRangeRetrieveError(D19)</f>
        <v/>
      </c>
      <c r="F19" s="108"/>
      <c r="H19" s="126"/>
      <c r="I19" s="271" t="s">
        <v>37</v>
      </c>
      <c r="J19" s="270" t="e">
        <f t="shared" si="1"/>
        <v>#REF!</v>
      </c>
      <c r="K19" s="269">
        <v>0.44</v>
      </c>
      <c r="L19" s="260"/>
      <c r="M19" s="268">
        <v>0.44</v>
      </c>
      <c r="N19" s="260"/>
      <c r="O19" s="339">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EUR10MD_Quote#0006</v>
      </c>
      <c r="E20" s="109" t="str">
        <f>_xll.ohRangeRetrieveError(D20)</f>
        <v/>
      </c>
      <c r="F20" s="108"/>
      <c r="H20" s="126"/>
      <c r="I20" s="271" t="s">
        <v>36</v>
      </c>
      <c r="J20" s="270" t="e">
        <f t="shared" si="1"/>
        <v>#REF!</v>
      </c>
      <c r="K20" s="269">
        <v>0.47</v>
      </c>
      <c r="L20" s="260"/>
      <c r="M20" s="268">
        <v>0.47</v>
      </c>
      <c r="N20" s="260"/>
      <c r="O20" s="339">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EUR11MD_Quote#0006</v>
      </c>
      <c r="E21" s="109" t="str">
        <f>_xll.ohRangeRetrieveError(D21)</f>
        <v/>
      </c>
      <c r="F21" s="108"/>
      <c r="H21" s="126"/>
      <c r="I21" s="271" t="s">
        <v>35</v>
      </c>
      <c r="J21" s="270" t="e">
        <f t="shared" si="1"/>
        <v>#REF!</v>
      </c>
      <c r="K21" s="269">
        <v>0.5</v>
      </c>
      <c r="L21" s="260"/>
      <c r="M21" s="268">
        <v>0.5</v>
      </c>
      <c r="N21" s="260"/>
      <c r="O21" s="339">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EUR1YD_Quote#0006</v>
      </c>
      <c r="E22" s="109" t="str">
        <f>_xll.ohRangeRetrieveError(D22)</f>
        <v/>
      </c>
      <c r="F22" s="108"/>
      <c r="H22" s="126"/>
      <c r="I22" s="264" t="s">
        <v>34</v>
      </c>
      <c r="J22" s="263" t="e">
        <f t="shared" si="1"/>
        <v>#REF!</v>
      </c>
      <c r="K22" s="262">
        <v>0.53</v>
      </c>
      <c r="L22" s="260"/>
      <c r="M22" s="261">
        <v>0.53</v>
      </c>
      <c r="N22" s="260"/>
      <c r="O22" s="332">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EURT1F1_Quote#0006</v>
      </c>
      <c r="F3" s="128" t="str">
        <f>_xll.ohRangeRetrieveError(E3)</f>
        <v/>
      </c>
      <c r="G3" s="53"/>
      <c r="I3" s="126"/>
      <c r="J3" s="141"/>
      <c r="K3" s="260"/>
      <c r="L3" s="141"/>
      <c r="M3" s="141"/>
      <c r="N3" s="141"/>
      <c r="O3" s="141"/>
      <c r="P3" s="141"/>
      <c r="Q3" s="141"/>
      <c r="R3" s="141"/>
      <c r="S3" s="260"/>
      <c r="T3" s="260"/>
      <c r="U3" s="260"/>
      <c r="V3" s="141"/>
      <c r="W3" s="141"/>
      <c r="X3" s="291">
        <f>_xll.ohTrigger(X5:X23)</f>
        <v>6</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EURTOM1F1_Quote#0006</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EURT3F1_Quote#0006</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#N/A</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EURTOM3F1_Quote#0006</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#N/A</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EUR1x4F_Quote#0006</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#N/A</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EUR2x5F_Quote#0006</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#N/A</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EUR3x6F_Quote#0006</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#N/A</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EUR4x7F_Quote#0006</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#N/A</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EUR5x8F_Quote#0006</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#N/A</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EUR6x9F_Quote#0006</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#N/A</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EURT6F1_Quote#0006</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#N/A</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EURTOM6F1_Quote#0006</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#N/A</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EUR1x7F_Quote#0006</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#N/A</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EUR2x8F_Quote#0006</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#N/A</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EUR3x9F_Quote#0006</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#N/A</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EUR4x10F_Quote#0006</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#N/A</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EUR5x11F_Quote#0006</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#N/A</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EUR6x12F_Quote#0006</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#N/A</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EUR7x13F_Quote#0006</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#N/A</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EUR8x14F_Quote#0006</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#N/A</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EUR9x15F_Quote#0006</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#N/A</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EUR10x16F_Quote#0006</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#N/A</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EUR11x17F_Quote#0006</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#N/A</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EUR12x18F_Quote#0006</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#N/A</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EUR13x19F_Quote#0006</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#N/A</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EUR14x20F_Quote#0006</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#N/A</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EUR15x21F_Quote#0006</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#N/A</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EUR16x22F_Quote#0006</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#N/A</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EUR17x23F_Quote#0006</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#N/A</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EUR18x24F_Quote#0006</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#N/A</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EURT12F1_Quote#0006</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#N/A</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EURTOM12F1_Quote#0006</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EUR12x24F_Quote#0006</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6</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EURFUT1MF4_Quote#0006</v>
      </c>
      <c r="G6" s="151" t="str">
        <f>_xll.ohRangeRetrieveError(F6)</f>
        <v/>
      </c>
      <c r="H6" s="145"/>
      <c r="J6" s="338"/>
      <c r="K6" s="351">
        <v>1</v>
      </c>
      <c r="L6" s="350" t="b">
        <v>0</v>
      </c>
      <c r="M6" s="278" t="str">
        <f t="array" ref="M6:M17">_xll.qlIMMcode(FuturesDates)</f>
        <v>F4</v>
      </c>
      <c r="N6" s="349">
        <f t="array" ref="N6:N17">_xll.qlIMMNextDates(_xll.qlSettingsEvaluationDate(Trigger)-1,$L6:$L17)</f>
        <v>41654</v>
      </c>
      <c r="O6" s="278" t="str">
        <f t="array" ref="O6:O17">VLOOKUP(Currency,LiffeCodes,2)&amp;FuturesCodes</f>
        <v>F4</v>
      </c>
      <c r="P6" s="348" t="s">
        <v>259</v>
      </c>
      <c r="Q6" s="278" t="s">
        <v>259</v>
      </c>
      <c r="R6" s="278" t="s">
        <v>259</v>
      </c>
      <c r="S6" s="278" t="s">
        <v>259</v>
      </c>
      <c r="T6" s="278" t="s">
        <v>259</v>
      </c>
      <c r="U6" s="281" t="e">
        <f>_xll.qlMidSafe($Q6,$R6)</f>
        <v>#NUM!</v>
      </c>
      <c r="V6" s="260"/>
      <c r="W6" s="347" t="e">
        <v>#NUM!</v>
      </c>
      <c r="X6" s="260"/>
      <c r="Y6" s="346" t="str">
        <f t="array" ref="Y6:Y17">Currency&amp;$Y$4&amp;FuturesCodes&amp;$Z$2</f>
        <v>EURFUT1MF4_Quote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EURFUT1MG4_Quote#0006</v>
      </c>
      <c r="G7" s="109" t="str">
        <f>_xll.ohRangeRetrieveError(F7)</f>
        <v/>
      </c>
      <c r="H7" s="145"/>
      <c r="J7" s="338"/>
      <c r="K7" s="344">
        <v>2</v>
      </c>
      <c r="L7" s="343" t="b">
        <v>0</v>
      </c>
      <c r="M7" s="266" t="str">
        <v>G4</v>
      </c>
      <c r="N7" s="342">
        <v>41689</v>
      </c>
      <c r="O7" s="266" t="str">
        <v>G4</v>
      </c>
      <c r="P7" s="341" t="s">
        <v>259</v>
      </c>
      <c r="Q7" s="266" t="s">
        <v>259</v>
      </c>
      <c r="R7" s="266" t="s">
        <v>259</v>
      </c>
      <c r="S7" s="266" t="s">
        <v>259</v>
      </c>
      <c r="T7" s="266" t="s">
        <v>259</v>
      </c>
      <c r="U7" s="269" t="e">
        <f>_xll.qlMidSafe($Q7,$R7)</f>
        <v>#NUM!</v>
      </c>
      <c r="V7" s="260"/>
      <c r="W7" s="345" t="e">
        <v>#NUM!</v>
      </c>
      <c r="X7" s="260"/>
      <c r="Y7" s="339" t="str">
        <v>EURFUT1MG4_Quote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EURFUT1MH4_Quote#0006</v>
      </c>
      <c r="G8" s="109" t="str">
        <f>_xll.ohRangeRetrieveError(F8)</f>
        <v/>
      </c>
      <c r="H8" s="145"/>
      <c r="J8" s="338"/>
      <c r="K8" s="344">
        <v>3</v>
      </c>
      <c r="L8" s="343" t="b">
        <v>0</v>
      </c>
      <c r="M8" s="266" t="str">
        <v>H4</v>
      </c>
      <c r="N8" s="342">
        <v>41717</v>
      </c>
      <c r="O8" s="266" t="str">
        <v>H4</v>
      </c>
      <c r="P8" s="341" t="s">
        <v>259</v>
      </c>
      <c r="Q8" s="266" t="s">
        <v>259</v>
      </c>
      <c r="R8" s="266" t="s">
        <v>259</v>
      </c>
      <c r="S8" s="266" t="s">
        <v>259</v>
      </c>
      <c r="T8" s="266" t="s">
        <v>259</v>
      </c>
      <c r="U8" s="269" t="e">
        <f>_xll.qlMidSafe($Q8,$R8)</f>
        <v>#NUM!</v>
      </c>
      <c r="V8" s="260"/>
      <c r="W8" s="345" t="e">
        <v>#NUM!</v>
      </c>
      <c r="X8" s="260"/>
      <c r="Y8" s="339" t="str">
        <v>EURFUT1MH4_Quote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EURFUT1MJ4_Quote#0006</v>
      </c>
      <c r="G9" s="109" t="str">
        <f>_xll.ohRangeRetrieveError(F9)</f>
        <v/>
      </c>
      <c r="H9" s="145"/>
      <c r="J9" s="338"/>
      <c r="K9" s="344">
        <v>4</v>
      </c>
      <c r="L9" s="343" t="b">
        <v>0</v>
      </c>
      <c r="M9" s="266" t="str">
        <v>J4</v>
      </c>
      <c r="N9" s="342">
        <v>41745</v>
      </c>
      <c r="O9" s="266" t="str">
        <v>J4</v>
      </c>
      <c r="P9" s="341" t="s">
        <v>259</v>
      </c>
      <c r="Q9" s="266" t="s">
        <v>259</v>
      </c>
      <c r="R9" s="266" t="s">
        <v>259</v>
      </c>
      <c r="S9" s="266" t="s">
        <v>259</v>
      </c>
      <c r="T9" s="266" t="s">
        <v>259</v>
      </c>
      <c r="U9" s="269" t="e">
        <f>_xll.qlMidSafe($Q9,$R9)</f>
        <v>#NUM!</v>
      </c>
      <c r="V9" s="260"/>
      <c r="W9" s="345" t="e">
        <v>#NUM!</v>
      </c>
      <c r="X9" s="260"/>
      <c r="Y9" s="339" t="str">
        <v>EURFUT1MJ4_Quote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EURFUT1MK4_Quote#0006</v>
      </c>
      <c r="G10" s="109" t="str">
        <f>_xll.ohRangeRetrieveError(F10)</f>
        <v/>
      </c>
      <c r="H10" s="145"/>
      <c r="J10" s="338"/>
      <c r="K10" s="344">
        <v>5</v>
      </c>
      <c r="L10" s="343" t="b">
        <v>0</v>
      </c>
      <c r="M10" s="266" t="str">
        <v>K4</v>
      </c>
      <c r="N10" s="342">
        <v>41780</v>
      </c>
      <c r="O10" s="266" t="str">
        <v>K4</v>
      </c>
      <c r="P10" s="341" t="s">
        <v>259</v>
      </c>
      <c r="Q10" s="266" t="s">
        <v>259</v>
      </c>
      <c r="R10" s="266" t="s">
        <v>259</v>
      </c>
      <c r="S10" s="266" t="s">
        <v>259</v>
      </c>
      <c r="T10" s="266" t="s">
        <v>259</v>
      </c>
      <c r="U10" s="269" t="e">
        <f>_xll.qlMidSafe($Q10,$R10)</f>
        <v>#NUM!</v>
      </c>
      <c r="V10" s="260"/>
      <c r="W10" s="340" t="e">
        <v>#NUM!</v>
      </c>
      <c r="X10" s="260"/>
      <c r="Y10" s="339" t="str">
        <v>EURFUT1MK4_Quote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EURFUT1MM4_Quote#0006</v>
      </c>
      <c r="G11" s="109" t="str">
        <f>_xll.ohRangeRetrieveError(F11)</f>
        <v/>
      </c>
      <c r="H11" s="145"/>
      <c r="J11" s="338"/>
      <c r="K11" s="344">
        <v>6</v>
      </c>
      <c r="L11" s="343" t="b">
        <v>0</v>
      </c>
      <c r="M11" s="266" t="str">
        <v>M4</v>
      </c>
      <c r="N11" s="342">
        <v>41808</v>
      </c>
      <c r="O11" s="266" t="str">
        <v>M4</v>
      </c>
      <c r="P11" s="341" t="s">
        <v>259</v>
      </c>
      <c r="Q11" s="266" t="s">
        <v>259</v>
      </c>
      <c r="R11" s="266" t="s">
        <v>259</v>
      </c>
      <c r="S11" s="266" t="s">
        <v>259</v>
      </c>
      <c r="T11" s="266" t="s">
        <v>259</v>
      </c>
      <c r="U11" s="269" t="e">
        <f>_xll.qlMidSafe($Q11,$R11)</f>
        <v>#NUM!</v>
      </c>
      <c r="V11" s="260"/>
      <c r="W11" s="340" t="e">
        <v>#NUM!</v>
      </c>
      <c r="X11" s="260"/>
      <c r="Y11" s="339" t="str">
        <v>EURFUT1MM4_Quote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EURFUT1MN4_Quote#0006</v>
      </c>
      <c r="G12" s="109" t="str">
        <f>_xll.ohRangeRetrieveError(F12)</f>
        <v/>
      </c>
      <c r="H12" s="145"/>
      <c r="J12" s="338"/>
      <c r="K12" s="344">
        <v>7</v>
      </c>
      <c r="L12" s="343" t="b">
        <v>0</v>
      </c>
      <c r="M12" s="266" t="str">
        <v>N4</v>
      </c>
      <c r="N12" s="342">
        <v>41836</v>
      </c>
      <c r="O12" s="266" t="str">
        <v>N4</v>
      </c>
      <c r="P12" s="341" t="s">
        <v>259</v>
      </c>
      <c r="Q12" s="266" t="s">
        <v>259</v>
      </c>
      <c r="R12" s="266" t="s">
        <v>259</v>
      </c>
      <c r="S12" s="266" t="s">
        <v>259</v>
      </c>
      <c r="T12" s="266" t="s">
        <v>259</v>
      </c>
      <c r="U12" s="269" t="e">
        <f>_xll.qlMidSafe($Q12,$R12)</f>
        <v>#NUM!</v>
      </c>
      <c r="V12" s="260"/>
      <c r="W12" s="340" t="e">
        <v>#NUM!</v>
      </c>
      <c r="X12" s="260"/>
      <c r="Y12" s="339" t="str">
        <v>EURFUT1MN4_Quote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EURFUT1MQ4_Quote#0006</v>
      </c>
      <c r="G13" s="109" t="str">
        <f>_xll.ohRangeRetrieveError(F13)</f>
        <v/>
      </c>
      <c r="H13" s="145"/>
      <c r="J13" s="338"/>
      <c r="K13" s="344">
        <v>8</v>
      </c>
      <c r="L13" s="343" t="b">
        <v>0</v>
      </c>
      <c r="M13" s="266" t="str">
        <v>Q4</v>
      </c>
      <c r="N13" s="342">
        <v>41871</v>
      </c>
      <c r="O13" s="266" t="str">
        <v>Q4</v>
      </c>
      <c r="P13" s="341" t="s">
        <v>259</v>
      </c>
      <c r="Q13" s="266" t="s">
        <v>259</v>
      </c>
      <c r="R13" s="266" t="s">
        <v>259</v>
      </c>
      <c r="S13" s="266" t="s">
        <v>259</v>
      </c>
      <c r="T13" s="266" t="s">
        <v>259</v>
      </c>
      <c r="U13" s="269" t="e">
        <f>_xll.qlMidSafe($Q13,$R13)</f>
        <v>#NUM!</v>
      </c>
      <c r="V13" s="260"/>
      <c r="W13" s="340" t="e">
        <v>#NUM!</v>
      </c>
      <c r="X13" s="260"/>
      <c r="Y13" s="339" t="str">
        <v>EURFUT1MQ4_Quote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EURFUT1MU4_Quote#0006</v>
      </c>
      <c r="G14" s="109" t="str">
        <f>_xll.ohRangeRetrieveError(F14)</f>
        <v/>
      </c>
      <c r="H14" s="145"/>
      <c r="J14" s="338"/>
      <c r="K14" s="344">
        <v>9</v>
      </c>
      <c r="L14" s="343" t="b">
        <v>0</v>
      </c>
      <c r="M14" s="266" t="str">
        <v>U4</v>
      </c>
      <c r="N14" s="342">
        <v>41899</v>
      </c>
      <c r="O14" s="266" t="str">
        <v>U4</v>
      </c>
      <c r="P14" s="341" t="s">
        <v>259</v>
      </c>
      <c r="Q14" s="266" t="s">
        <v>259</v>
      </c>
      <c r="R14" s="266" t="s">
        <v>259</v>
      </c>
      <c r="S14" s="266" t="s">
        <v>259</v>
      </c>
      <c r="T14" s="266" t="s">
        <v>259</v>
      </c>
      <c r="U14" s="269" t="e">
        <f>_xll.qlMidSafe($Q14,$R14)</f>
        <v>#NUM!</v>
      </c>
      <c r="V14" s="260"/>
      <c r="W14" s="340" t="e">
        <v>#NUM!</v>
      </c>
      <c r="X14" s="260"/>
      <c r="Y14" s="339" t="str">
        <v>EURFUT1MU4_Quote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EURFUT1MV4_Quote#0006</v>
      </c>
      <c r="G15" s="109" t="str">
        <f>_xll.ohRangeRetrieveError(F15)</f>
        <v/>
      </c>
      <c r="H15" s="145"/>
      <c r="J15" s="338"/>
      <c r="K15" s="344">
        <v>10</v>
      </c>
      <c r="L15" s="343" t="b">
        <v>0</v>
      </c>
      <c r="M15" s="266" t="str">
        <v>V4</v>
      </c>
      <c r="N15" s="342">
        <v>41927</v>
      </c>
      <c r="O15" s="266" t="str">
        <v>V4</v>
      </c>
      <c r="P15" s="341" t="s">
        <v>259</v>
      </c>
      <c r="Q15" s="266" t="s">
        <v>259</v>
      </c>
      <c r="R15" s="266" t="s">
        <v>259</v>
      </c>
      <c r="S15" s="266" t="s">
        <v>259</v>
      </c>
      <c r="T15" s="266" t="s">
        <v>259</v>
      </c>
      <c r="U15" s="269" t="e">
        <f>_xll.qlMidSafe($Q15,$R15)</f>
        <v>#NUM!</v>
      </c>
      <c r="V15" s="260"/>
      <c r="W15" s="340" t="e">
        <v>#NUM!</v>
      </c>
      <c r="X15" s="260"/>
      <c r="Y15" s="339" t="str">
        <v>EURFUT1MV4_Quote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EURFUT1MX4_Quote#0006</v>
      </c>
      <c r="G16" s="109" t="str">
        <f>_xll.ohRangeRetrieveError(F16)</f>
        <v/>
      </c>
      <c r="H16" s="145"/>
      <c r="J16" s="338"/>
      <c r="K16" s="344">
        <v>11</v>
      </c>
      <c r="L16" s="343" t="b">
        <v>0</v>
      </c>
      <c r="M16" s="266" t="str">
        <v>X4</v>
      </c>
      <c r="N16" s="342">
        <v>41962</v>
      </c>
      <c r="O16" s="266" t="str">
        <v>X4</v>
      </c>
      <c r="P16" s="341" t="s">
        <v>259</v>
      </c>
      <c r="Q16" s="266" t="s">
        <v>259</v>
      </c>
      <c r="R16" s="266" t="s">
        <v>259</v>
      </c>
      <c r="S16" s="266" t="s">
        <v>259</v>
      </c>
      <c r="T16" s="266" t="s">
        <v>259</v>
      </c>
      <c r="U16" s="269" t="e">
        <f>_xll.qlMidSafe($Q16,$R16)</f>
        <v>#NUM!</v>
      </c>
      <c r="V16" s="260"/>
      <c r="W16" s="340" t="e">
        <v>#NUM!</v>
      </c>
      <c r="X16" s="260"/>
      <c r="Y16" s="339" t="str">
        <v>EURFUT1MX4_Quote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EURFUT1MZ4_Quote#0006</v>
      </c>
      <c r="G17" s="109" t="str">
        <f>_xll.ohRangeRetrieveError(F17)</f>
        <v/>
      </c>
      <c r="H17" s="145"/>
      <c r="J17" s="338"/>
      <c r="K17" s="337">
        <v>12</v>
      </c>
      <c r="L17" s="336" t="b">
        <v>0</v>
      </c>
      <c r="M17" s="258" t="str">
        <v>Z4</v>
      </c>
      <c r="N17" s="335">
        <v>41990</v>
      </c>
      <c r="O17" s="258" t="str">
        <v>Z4</v>
      </c>
      <c r="P17" s="334" t="s">
        <v>259</v>
      </c>
      <c r="Q17" s="258" t="s">
        <v>259</v>
      </c>
      <c r="R17" s="258" t="s">
        <v>259</v>
      </c>
      <c r="S17" s="258" t="s">
        <v>259</v>
      </c>
      <c r="T17" s="258" t="s">
        <v>259</v>
      </c>
      <c r="U17" s="262" t="e">
        <f>_xll.qlMidSafe($Q17,$R17)</f>
        <v>#NUM!</v>
      </c>
      <c r="V17" s="260"/>
      <c r="W17" s="333" t="e">
        <v>#NUM!</v>
      </c>
      <c r="X17" s="260"/>
      <c r="Y17" s="332" t="str">
        <v>EURFUT1MZ4_Quote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EURFUT1MF5_Quote#0006</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EURFUT1MG5_Quote#0006</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EURFUT1MH5_Quote#0006</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EURFUT1MJ5_Quote#0006</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EURFUT1MK5_Quote#0006</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EURFUT1MM5_Quote#0006</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EURFUT1MN5_Quote#0006</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EURFUT1MQ5_Quote#0006</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EURFUT1MU5_Quote#0006</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EURFUT1MV5_Quote#0006</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EURFUT1MX5_Quote#0006</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EURFUT1MZ5_Quote#0006</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EURFUT1MF6_Quote#0006</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EURFUT1MG6_Quote#0006</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EURFUT1MH6_Quote#0006</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EURFUT1MJ6_Quote#0006</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EURFUT1MK6_Quote#0006</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EURFUT1MM6_Quote#0006</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EURFUT1MN6_Quote#0006</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EURFUT1MQ6_Quote#0006</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EURFUT1MU6_Quote#0006</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EURFUT1MV6_Quote#0006</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EURFUT1MX6_Quote#0006</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EURFUT1MZ6_Quote#0006</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EURFUT1MF7_Quote#0006</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EURFUT1MG7_Quote#0006</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EURFUT1MH7_Quote#0006</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EURFUT1MJ7_Quote#0006</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EURFUT1MK7_Quote#0006</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EURFUT1MM7_Quote#0006</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EURFUT1MN7_Quote#0006</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EURFUT1MQ7_Quote#0006</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EURFUT1MU7_Quote#0006</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EURFUT1MV7_Quote#0006</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EURFUT1MX7_Quote#0006</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EURFUT1MZ7_Quote#0006</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EURFUT1MF8_Quote#0006</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EURFUT1MG8_Quote#0006</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EURFUT1MH8_Quote#0006</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EURFUT1MJ8_Quote#0006</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EURFUT1MK8_Quote#0006</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EURFUT1MM8_Quote#0006</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EURFUT1MN8_Quote#0006</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EURFUT1MQ8_Quote#0006</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EURFUT1MU8_Quote#0006</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EURFUT1MV8_Quote#0006</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EURFUT1MX8_Quote#0006</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EURFUT1MZ8_Quote#0006</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EURFUT1MF9_Quote#0006</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EURFUT1MG9_Quote#0006</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EURFUT1MH9_Quote#0006</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EURFUT1MJ9_Quote#0006</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EURFUT1MK9_Quote#0006</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EURFUT1MM9_Quote#0006</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EURFUT1MN9_Quote#0006</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EURFUT1MQ9_Quote#0006</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EURFUT1MU9_Quote#0006</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EURFUT1MV9_Quote#0006</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EURFUT1MX9_Quote#0006</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EURFUT1MZ9_Quote#0006</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EURFUT1MF0_Quote#0006</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EURFUT1MG0_Quote#0006</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EURFUT1MH0_Quote#0006</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EURFUT1MJ0_Quote#0006</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EURFUT1MK0_Quote#0006</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EURFUT1MM0_Quote#0006</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EURFUT1MN0_Quote#0006</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EURFUT1MQ0_Quote#0006</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EURFUT1MU0_Quote#0006</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EURFUT1MV0_Quote#0006</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EURFUT1MX0_Quote#0006</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EURFUT1MZ0_Quote#0006</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EURFUT1MF1_Quote#0006</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EURFUT1MG1_Quote#0006</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EURFUT1MH1_Quote#0006</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EURFUT1MJ1_Quote#0006</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EURFUT1MK1_Quote#0006</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EURFUT1MM1_Quote#0006</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EURFUT1MN1_Quote#0006</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EURFUT1MQ1_Quote#0006</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EURFUT1MU1_Quote#0006</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EURFUT1MV1_Quote#0006</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EURFUT1MX1_Quote#0006</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EURFUT1MZ1_Quote#0006</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EURFUT1MF2_Quote#0006</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EURFUT1MG2_Quote#0006</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EURFUT1MH2_Quote#0006</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EURFUT1MJ2_Quote#0006</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EURFUT1MK2_Quote#0006</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EURFUT1MM2_Quote#0006</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EURFUT1MN2_Quote#0006</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EURFUT1MQ2_Quote#0006</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EURFUT1MU2_Quote#0006</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EURFUT1MV2_Quote#0006</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EURFUT1MX2_Quote#0006</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EURFUT1MZ2_Quote#0006</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EURFUT1MF3_Quote#0006</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EURFUT1MG3_Quote#0006</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EURFUT1MH3_Quote#0006</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EURFUT1MJ3_Quote#0006</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EURFUT1MK3_Quote#0006</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EURFUT1MM3_Quote#0006</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EURFUT1MN3_Quote#0006</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EURFUT1MQ3_Quote#0006</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EURFUT1MU3_Quote#0006</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EURFUT1MV3_Quote#0006</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EURFUT1MX3_Quote#0006</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EURFUT1MZ3_Quote#0006</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F48"/>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16384" width="9.140625" style="72"/>
  </cols>
  <sheetData>
    <row r="1" spans="1:32" x14ac:dyDescent="0.2">
      <c r="J1" s="297" t="s">
        <v>310</v>
      </c>
      <c r="K1" s="203"/>
      <c r="L1" s="203"/>
      <c r="M1" s="203"/>
      <c r="N1" s="203"/>
      <c r="O1" s="203"/>
      <c r="P1" s="203"/>
      <c r="Q1" s="203"/>
      <c r="R1" s="203"/>
      <c r="S1" s="203"/>
      <c r="T1" s="203"/>
      <c r="U1" s="203"/>
      <c r="V1" s="356"/>
      <c r="W1" s="356"/>
      <c r="X1" s="203"/>
      <c r="Y1" s="203"/>
      <c r="Z1" s="203"/>
      <c r="AA1" s="355"/>
      <c r="AB1" s="21"/>
      <c r="AC1" s="21"/>
      <c r="AD1" s="21"/>
      <c r="AE1" s="21"/>
      <c r="AF1" s="21"/>
    </row>
    <row r="2" spans="1:32" ht="22.5" x14ac:dyDescent="0.2">
      <c r="J2" s="296"/>
      <c r="K2" s="141"/>
      <c r="L2" s="295"/>
      <c r="M2" s="295"/>
      <c r="N2" s="141"/>
      <c r="O2" s="141"/>
      <c r="P2" s="141"/>
      <c r="Q2" s="141"/>
      <c r="R2" s="141"/>
      <c r="S2" s="141"/>
      <c r="T2" s="141"/>
      <c r="U2" s="141"/>
      <c r="V2" s="260"/>
      <c r="W2" s="260"/>
      <c r="X2" s="141"/>
      <c r="Y2" s="97" t="s">
        <v>254</v>
      </c>
      <c r="Z2" s="354" t="s">
        <v>147</v>
      </c>
      <c r="AA2" s="353"/>
      <c r="AB2" s="21"/>
      <c r="AC2" s="21"/>
      <c r="AD2" s="21"/>
      <c r="AE2" s="21"/>
      <c r="AF2" s="21"/>
    </row>
    <row r="3" spans="1:32" ht="12" thickBot="1" x14ac:dyDescent="0.25">
      <c r="J3" s="296"/>
      <c r="K3" s="141"/>
      <c r="L3" s="141"/>
      <c r="M3" s="141"/>
      <c r="N3" s="141"/>
      <c r="O3" s="141"/>
      <c r="P3" s="141"/>
      <c r="Q3" s="141"/>
      <c r="R3" s="141"/>
      <c r="S3" s="141"/>
      <c r="T3" s="141"/>
      <c r="U3" s="141"/>
      <c r="V3" s="260"/>
      <c r="W3" s="260"/>
      <c r="X3" s="141"/>
      <c r="Y3" s="141"/>
      <c r="Z3" s="141"/>
      <c r="AA3" s="353"/>
      <c r="AB3" s="21"/>
      <c r="AC3" s="21"/>
      <c r="AD3" s="21"/>
      <c r="AE3" s="21"/>
      <c r="AF3" s="21"/>
    </row>
    <row r="4" spans="1:32"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291">
        <f>_xll.ohTrigger(Z6:Z47)</f>
        <v>6</v>
      </c>
      <c r="AA4" s="353"/>
      <c r="AB4" s="21"/>
      <c r="AC4" s="21"/>
      <c r="AD4" s="21"/>
      <c r="AE4" s="21"/>
      <c r="AF4" s="21"/>
    </row>
    <row r="5" spans="1:32" ht="22.5" x14ac:dyDescent="0.2">
      <c r="A5" s="156"/>
      <c r="B5" s="97" t="s">
        <v>187</v>
      </c>
      <c r="C5" s="98" t="s">
        <v>186</v>
      </c>
      <c r="D5" s="98" t="s">
        <v>185</v>
      </c>
      <c r="E5" s="96" t="str">
        <f>Currency&amp;"_010_"&amp;$D$4&amp;$E$4&amp;".xml"</f>
        <v>EUR_010_FUT3M.xml</v>
      </c>
      <c r="F5" s="95">
        <f ca="1">IF(Serialize,_xll.ohObjectSave(F6:F47,SerializationPath&amp;E5,FileOverwrite,Serialize),"---")</f>
        <v>42</v>
      </c>
      <c r="G5" s="112" t="str">
        <f ca="1">_xll.ohRangeRetrieveError(F5)</f>
        <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62" t="s">
        <v>250</v>
      </c>
      <c r="Z5" s="357" t="s">
        <v>249</v>
      </c>
      <c r="AA5" s="53"/>
      <c r="AB5" s="21"/>
      <c r="AC5" s="212" t="s">
        <v>262</v>
      </c>
      <c r="AD5" s="210" t="s">
        <v>261</v>
      </c>
      <c r="AE5" s="21"/>
      <c r="AF5" s="324" t="s">
        <v>255</v>
      </c>
    </row>
    <row r="6" spans="1:32" x14ac:dyDescent="0.2">
      <c r="A6" s="150"/>
      <c r="B6" s="155">
        <v>1</v>
      </c>
      <c r="C6" s="154" t="b">
        <v>0</v>
      </c>
      <c r="D6" s="153" t="str">
        <f t="array" ref="D6:D47">_xll.qlIMMcode(FuturesDates)</f>
        <v>F4</v>
      </c>
      <c r="E6" s="147" t="str">
        <f t="shared" ref="E6:E37" si="0">Currency&amp;$D$4&amp;$E$4&amp;$D6&amp;QuoteSuffix</f>
        <v>EURFUT3MF4_Quote</v>
      </c>
      <c r="F6" s="152" t="str">
        <f>_xll.qlSimpleQuote(E6,,PriceTickValue,Permanent,Trigger,ObjectOverwrite)</f>
        <v>EURFUT3MF4_Quote#0006</v>
      </c>
      <c r="G6" s="151" t="str">
        <f>_xll.ohRangeRetrieveError(F6)</f>
        <v/>
      </c>
      <c r="H6" s="145"/>
      <c r="J6" s="338"/>
      <c r="K6" s="351">
        <v>1</v>
      </c>
      <c r="L6" s="350" t="b">
        <v>0</v>
      </c>
      <c r="M6" s="278" t="str">
        <f t="array" ref="M6:M47">_xll.qlIMMcode(FuturesDates)</f>
        <v>F4</v>
      </c>
      <c r="N6" s="349">
        <f t="array" ref="N6:N47">_xll.qlIMMNextDates(_xll.qlSettingsEvaluationDate(Trigger)-1,$L6:$L47)</f>
        <v>41654</v>
      </c>
      <c r="O6" s="278" t="str">
        <f t="array" ref="O6:O47">VLOOKUP(Currency,LiffeCodes,2)&amp;FuturesCodes</f>
        <v>FEIF4</v>
      </c>
      <c r="P6" s="348">
        <v>41505</v>
      </c>
      <c r="Q6" s="278">
        <v>99.765000000000001</v>
      </c>
      <c r="R6" s="278">
        <v>99.77</v>
      </c>
      <c r="S6" s="278">
        <v>99.765000000000001</v>
      </c>
      <c r="T6" s="278">
        <v>99.765000000000001</v>
      </c>
      <c r="U6" s="281">
        <f>_xll.qlMidSafe($Q6,$R6)</f>
        <v>99.767499999999998</v>
      </c>
      <c r="V6" s="260"/>
      <c r="W6" s="347">
        <v>99.767499999999998</v>
      </c>
      <c r="X6" s="260"/>
      <c r="Y6" s="346">
        <f t="array" ref="Y6:Y47">QuoteLive</f>
        <v>99.767499999999998</v>
      </c>
      <c r="Z6" s="281" t="e">
        <f>_xll.qlSimpleQuoteSetValue(F6,Y6,Trigger)</f>
        <v>#N/A</v>
      </c>
      <c r="AA6" s="53"/>
      <c r="AB6" s="21"/>
      <c r="AC6" s="90" t="s">
        <v>137</v>
      </c>
      <c r="AD6" s="88" t="s">
        <v>269</v>
      </c>
      <c r="AE6" s="21"/>
      <c r="AF6" s="299">
        <f t="shared" ref="AF6:AF47" si="1">(R6-U6)/50</f>
        <v>4.9999999999954527E-5</v>
      </c>
    </row>
    <row r="7" spans="1:32" x14ac:dyDescent="0.2">
      <c r="A7" s="150"/>
      <c r="B7" s="111">
        <v>2</v>
      </c>
      <c r="C7" s="149" t="b">
        <v>0</v>
      </c>
      <c r="D7" s="148" t="str">
        <v>G4</v>
      </c>
      <c r="E7" s="147" t="str">
        <f t="shared" si="0"/>
        <v>EURFUT3MG4_Quote</v>
      </c>
      <c r="F7" s="146" t="str">
        <f>_xll.qlSimpleQuote(E7,,PriceTickValue,Permanent,Trigger,ObjectOverwrite)</f>
        <v>EURFUT3MG4_Quote#0006</v>
      </c>
      <c r="G7" s="109" t="str">
        <f>_xll.ohRangeRetrieveError(F7)</f>
        <v/>
      </c>
      <c r="H7" s="145"/>
      <c r="J7" s="338"/>
      <c r="K7" s="344">
        <v>2</v>
      </c>
      <c r="L7" s="343" t="b">
        <v>0</v>
      </c>
      <c r="M7" s="266" t="str">
        <v>G4</v>
      </c>
      <c r="N7" s="342">
        <v>41689</v>
      </c>
      <c r="O7" s="266" t="str">
        <v>FEIG4</v>
      </c>
      <c r="P7" s="341">
        <v>41533</v>
      </c>
      <c r="Q7" s="266">
        <v>99.734999999999999</v>
      </c>
      <c r="R7" s="266">
        <v>99.74</v>
      </c>
      <c r="S7" s="266">
        <v>99.74</v>
      </c>
      <c r="T7" s="266">
        <v>99.734999999999999</v>
      </c>
      <c r="U7" s="269">
        <f>_xll.qlMidSafe($Q7,$R7)</f>
        <v>99.737499999999997</v>
      </c>
      <c r="V7" s="260"/>
      <c r="W7" s="345">
        <v>99.737499999999997</v>
      </c>
      <c r="X7" s="260"/>
      <c r="Y7" s="339">
        <v>99.737499999999997</v>
      </c>
      <c r="Z7" s="269" t="e">
        <f>_xll.qlSimpleQuoteSetValue(F7,Y7,Trigger)</f>
        <v>#N/A</v>
      </c>
      <c r="AA7" s="53"/>
      <c r="AB7" s="21"/>
      <c r="AC7" s="90" t="s">
        <v>123</v>
      </c>
      <c r="AD7" s="88" t="s">
        <v>268</v>
      </c>
      <c r="AE7" s="21"/>
      <c r="AF7" s="299">
        <f t="shared" si="1"/>
        <v>4.9999999999954527E-5</v>
      </c>
    </row>
    <row r="8" spans="1:32" x14ac:dyDescent="0.2">
      <c r="A8" s="150"/>
      <c r="B8" s="111">
        <v>3</v>
      </c>
      <c r="C8" s="149" t="b">
        <v>0</v>
      </c>
      <c r="D8" s="148" t="str">
        <v>H4</v>
      </c>
      <c r="E8" s="147" t="str">
        <f t="shared" si="0"/>
        <v>EURFUT3MH4_Quote</v>
      </c>
      <c r="F8" s="146" t="str">
        <f>_xll.qlSimpleQuote(E8,,PriceTickValue,Permanent,Trigger,ObjectOverwrite)</f>
        <v>EURFUT3MH4_Quote#0006</v>
      </c>
      <c r="G8" s="109" t="str">
        <f>_xll.ohRangeRetrieveError(F8)</f>
        <v/>
      </c>
      <c r="H8" s="145"/>
      <c r="J8" s="338"/>
      <c r="K8" s="344">
        <v>3</v>
      </c>
      <c r="L8" s="343" t="b">
        <v>0</v>
      </c>
      <c r="M8" s="266" t="str">
        <v>H4</v>
      </c>
      <c r="N8" s="342">
        <v>41717</v>
      </c>
      <c r="O8" s="266" t="str">
        <v>FEIH4</v>
      </c>
      <c r="P8" s="341">
        <v>41561</v>
      </c>
      <c r="Q8" s="266">
        <v>99.71</v>
      </c>
      <c r="R8" s="266">
        <v>99.72</v>
      </c>
      <c r="S8" s="266">
        <v>0</v>
      </c>
      <c r="T8" s="266">
        <v>99.715000000000003</v>
      </c>
      <c r="U8" s="269">
        <f>_xll.qlMidSafe($Q8,$R8)</f>
        <v>99.715000000000003</v>
      </c>
      <c r="V8" s="260"/>
      <c r="W8" s="345">
        <v>99.715000000000003</v>
      </c>
      <c r="X8" s="260"/>
      <c r="Y8" s="339">
        <v>99.715000000000003</v>
      </c>
      <c r="Z8" s="269" t="e">
        <f>_xll.qlSimpleQuoteSetValue(F8,Y8,Trigger)</f>
        <v>#N/A</v>
      </c>
      <c r="AA8" s="53"/>
      <c r="AB8" s="21"/>
      <c r="AC8" s="90" t="s">
        <v>134</v>
      </c>
      <c r="AD8" s="88" t="s">
        <v>267</v>
      </c>
      <c r="AE8" s="21"/>
      <c r="AF8" s="299">
        <f t="shared" si="1"/>
        <v>9.9999999999909054E-5</v>
      </c>
    </row>
    <row r="9" spans="1:32" x14ac:dyDescent="0.2">
      <c r="A9" s="150"/>
      <c r="B9" s="111">
        <v>4</v>
      </c>
      <c r="C9" s="149" t="b">
        <v>0</v>
      </c>
      <c r="D9" s="148" t="str">
        <v>J4</v>
      </c>
      <c r="E9" s="147" t="str">
        <f t="shared" si="0"/>
        <v>EURFUT3MJ4_Quote</v>
      </c>
      <c r="F9" s="146" t="str">
        <f>_xll.qlSimpleQuote(E9,,PriceTickValue,Permanent,Trigger,ObjectOverwrite)</f>
        <v>EURFUT3MJ4_Quote#0006</v>
      </c>
      <c r="G9" s="109" t="str">
        <f>_xll.ohRangeRetrieveError(F9)</f>
        <v/>
      </c>
      <c r="H9" s="145"/>
      <c r="J9" s="338"/>
      <c r="K9" s="344">
        <v>4</v>
      </c>
      <c r="L9" s="343" t="b">
        <v>0</v>
      </c>
      <c r="M9" s="266" t="str">
        <v>J4</v>
      </c>
      <c r="N9" s="342">
        <v>41745</v>
      </c>
      <c r="O9" s="266" t="str">
        <v>FEIJ4</v>
      </c>
      <c r="P9" s="341">
        <v>41596</v>
      </c>
      <c r="Q9" s="266">
        <v>0</v>
      </c>
      <c r="R9" s="266">
        <v>0</v>
      </c>
      <c r="S9" s="266">
        <v>0</v>
      </c>
      <c r="T9" s="266">
        <v>99.7</v>
      </c>
      <c r="U9" s="269" t="e">
        <f>_xll.qlMidSafe($Q9,$R9)</f>
        <v>#NUM!</v>
      </c>
      <c r="V9" s="260"/>
      <c r="W9" s="345" t="e">
        <v>#NUM!</v>
      </c>
      <c r="X9" s="260"/>
      <c r="Y9" s="339" t="e">
        <v>#NUM!</v>
      </c>
      <c r="Z9" s="269" t="e">
        <f>_xll.qlSimpleQuoteSetValue(F9,Y9,Trigger)</f>
        <v>#NUM!</v>
      </c>
      <c r="AA9" s="53"/>
      <c r="AB9" s="21"/>
      <c r="AC9" s="90" t="s">
        <v>133</v>
      </c>
      <c r="AD9" s="88"/>
      <c r="AE9" s="21"/>
      <c r="AF9" s="299" t="e">
        <f t="shared" si="1"/>
        <v>#NUM!</v>
      </c>
    </row>
    <row r="10" spans="1:32" ht="12" thickBot="1" x14ac:dyDescent="0.25">
      <c r="A10" s="150"/>
      <c r="B10" s="111">
        <v>5</v>
      </c>
      <c r="C10" s="149" t="b">
        <v>0</v>
      </c>
      <c r="D10" s="148" t="str">
        <v>K4</v>
      </c>
      <c r="E10" s="147" t="str">
        <f t="shared" si="0"/>
        <v>EURFUT3MK4_Quote</v>
      </c>
      <c r="F10" s="146" t="str">
        <f>_xll.qlSimpleQuote(E10,,PriceTickValue,Permanent,Trigger,ObjectOverwrite)</f>
        <v>EURFUT3MK4_Quote#0006</v>
      </c>
      <c r="G10" s="109" t="str">
        <f>_xll.ohRangeRetrieveError(F10)</f>
        <v/>
      </c>
      <c r="H10" s="145"/>
      <c r="J10" s="338"/>
      <c r="K10" s="344">
        <v>5</v>
      </c>
      <c r="L10" s="343" t="b">
        <v>0</v>
      </c>
      <c r="M10" s="266" t="str">
        <v>K4</v>
      </c>
      <c r="N10" s="342">
        <v>41780</v>
      </c>
      <c r="O10" s="266" t="str">
        <v>FEIK4</v>
      </c>
      <c r="P10" s="341">
        <v>41624</v>
      </c>
      <c r="Q10" s="266">
        <v>99.674999999999997</v>
      </c>
      <c r="R10" s="266">
        <v>99.68</v>
      </c>
      <c r="S10" s="266">
        <v>99.674999999999997</v>
      </c>
      <c r="T10" s="266">
        <v>99.674999999999997</v>
      </c>
      <c r="U10" s="269">
        <f>_xll.qlMidSafe($Q10,$R10)</f>
        <v>99.677500000000009</v>
      </c>
      <c r="V10" s="260"/>
      <c r="W10" s="340">
        <v>99.677500000000009</v>
      </c>
      <c r="X10" s="260"/>
      <c r="Y10" s="339">
        <v>99.677500000000009</v>
      </c>
      <c r="Z10" s="269" t="e">
        <f>_xll.qlSimpleQuoteSetValue(F10,Y10,Trigger)</f>
        <v>#N/A</v>
      </c>
      <c r="AA10" s="53"/>
      <c r="AB10" s="21"/>
      <c r="AC10" s="87" t="s">
        <v>131</v>
      </c>
      <c r="AD10" s="85" t="s">
        <v>266</v>
      </c>
      <c r="AE10" s="21"/>
      <c r="AF10" s="299">
        <f t="shared" si="1"/>
        <v>4.9999999999954527E-5</v>
      </c>
    </row>
    <row r="11" spans="1:32" x14ac:dyDescent="0.2">
      <c r="A11" s="150"/>
      <c r="B11" s="111">
        <v>6</v>
      </c>
      <c r="C11" s="149" t="b">
        <v>0</v>
      </c>
      <c r="D11" s="148" t="str">
        <v>M4</v>
      </c>
      <c r="E11" s="147" t="str">
        <f t="shared" si="0"/>
        <v>EURFUT3MM4_Quote</v>
      </c>
      <c r="F11" s="146" t="str">
        <f>_xll.qlSimpleQuote(E11,,PriceTickValue,Permanent,Trigger,ObjectOverwrite)</f>
        <v>EURFUT3MM4_Quote#0006</v>
      </c>
      <c r="G11" s="109" t="str">
        <f>_xll.ohRangeRetrieveError(F11)</f>
        <v/>
      </c>
      <c r="H11" s="145"/>
      <c r="J11" s="338"/>
      <c r="K11" s="344">
        <v>6</v>
      </c>
      <c r="L11" s="343" t="b">
        <v>0</v>
      </c>
      <c r="M11" s="266" t="str">
        <v>M4</v>
      </c>
      <c r="N11" s="342">
        <v>41808</v>
      </c>
      <c r="O11" s="266" t="str">
        <v>FEIM4</v>
      </c>
      <c r="P11" s="341">
        <v>41652</v>
      </c>
      <c r="Q11" s="266">
        <v>0</v>
      </c>
      <c r="R11" s="266">
        <v>0</v>
      </c>
      <c r="S11" s="266">
        <v>0</v>
      </c>
      <c r="T11" s="266">
        <v>99.68</v>
      </c>
      <c r="U11" s="269" t="e">
        <f>_xll.qlMidSafe($Q11,$R11)</f>
        <v>#NUM!</v>
      </c>
      <c r="V11" s="260"/>
      <c r="W11" s="340" t="e">
        <v>#NUM!</v>
      </c>
      <c r="X11" s="260"/>
      <c r="Y11" s="339" t="e">
        <v>#NUM!</v>
      </c>
      <c r="Z11" s="269" t="e">
        <f>_xll.qlSimpleQuoteSetValue(F11,Y11,Trigger)</f>
        <v>#NUM!</v>
      </c>
      <c r="AA11" s="53"/>
      <c r="AB11" s="21"/>
      <c r="AC11" s="21"/>
      <c r="AD11" s="21"/>
      <c r="AE11" s="21"/>
      <c r="AF11" s="299" t="e">
        <f t="shared" si="1"/>
        <v>#NUM!</v>
      </c>
    </row>
    <row r="12" spans="1:32" x14ac:dyDescent="0.2">
      <c r="A12" s="150"/>
      <c r="B12" s="111">
        <v>7</v>
      </c>
      <c r="C12" s="149" t="b">
        <v>0</v>
      </c>
      <c r="D12" s="148" t="str">
        <v>N4</v>
      </c>
      <c r="E12" s="147" t="str">
        <f t="shared" si="0"/>
        <v>EURFUT3MN4_Quote</v>
      </c>
      <c r="F12" s="146" t="str">
        <f>_xll.qlSimpleQuote(E12,,PriceTickValue,Permanent,Trigger,ObjectOverwrite)</f>
        <v>EURFUT3MN4_Quote#0006</v>
      </c>
      <c r="G12" s="109" t="str">
        <f>_xll.ohRangeRetrieveError(F12)</f>
        <v/>
      </c>
      <c r="H12" s="145"/>
      <c r="J12" s="338"/>
      <c r="K12" s="344">
        <v>7</v>
      </c>
      <c r="L12" s="343" t="b">
        <v>0</v>
      </c>
      <c r="M12" s="266" t="str">
        <v>N4</v>
      </c>
      <c r="N12" s="342">
        <v>41836</v>
      </c>
      <c r="O12" s="266" t="str">
        <v>FEIN4</v>
      </c>
      <c r="P12" s="341" t="s">
        <v>259</v>
      </c>
      <c r="Q12" s="266" t="s">
        <v>259</v>
      </c>
      <c r="R12" s="266" t="s">
        <v>259</v>
      </c>
      <c r="S12" s="266" t="s">
        <v>259</v>
      </c>
      <c r="T12" s="266" t="s">
        <v>259</v>
      </c>
      <c r="U12" s="269" t="e">
        <f>_xll.qlMidSafe($Q12,$R12)</f>
        <v>#NUM!</v>
      </c>
      <c r="V12" s="260"/>
      <c r="W12" s="340" t="e">
        <v>#NUM!</v>
      </c>
      <c r="X12" s="260"/>
      <c r="Y12" s="339" t="e">
        <v>#NUM!</v>
      </c>
      <c r="Z12" s="269" t="e">
        <f>_xll.qlSimpleQuoteSetValue(F12,Y12,Trigger)</f>
        <v>#NUM!</v>
      </c>
      <c r="AA12" s="53"/>
      <c r="AB12" s="21"/>
      <c r="AC12" s="21"/>
      <c r="AD12" s="21"/>
      <c r="AE12" s="21"/>
      <c r="AF12" s="299" t="e">
        <f t="shared" si="1"/>
        <v>#VALUE!</v>
      </c>
    </row>
    <row r="13" spans="1:32" x14ac:dyDescent="0.2">
      <c r="A13" s="150"/>
      <c r="B13" s="111">
        <v>8</v>
      </c>
      <c r="C13" s="149" t="b">
        <v>0</v>
      </c>
      <c r="D13" s="148" t="str">
        <v>Q4</v>
      </c>
      <c r="E13" s="147" t="str">
        <f t="shared" si="0"/>
        <v>EURFUT3MQ4_Quote</v>
      </c>
      <c r="F13" s="146" t="str">
        <f>_xll.qlSimpleQuote(E13,,PriceTickValue,Permanent,Trigger,ObjectOverwrite)</f>
        <v>EURFUT3MQ4_Quote#0006</v>
      </c>
      <c r="G13" s="109" t="str">
        <f>_xll.ohRangeRetrieveError(F13)</f>
        <v/>
      </c>
      <c r="H13" s="145"/>
      <c r="J13" s="338"/>
      <c r="K13" s="344">
        <v>8</v>
      </c>
      <c r="L13" s="343" t="b">
        <v>0</v>
      </c>
      <c r="M13" s="266" t="str">
        <v>Q4</v>
      </c>
      <c r="N13" s="342">
        <v>41871</v>
      </c>
      <c r="O13" s="266" t="str">
        <v>FEIQ4</v>
      </c>
      <c r="P13" s="341">
        <v>41715</v>
      </c>
      <c r="Q13" s="266">
        <v>99.605000000000004</v>
      </c>
      <c r="R13" s="266">
        <v>99.61</v>
      </c>
      <c r="S13" s="266">
        <v>99.61</v>
      </c>
      <c r="T13" s="266">
        <v>99.61</v>
      </c>
      <c r="U13" s="269">
        <f>_xll.qlMidSafe($Q13,$R13)</f>
        <v>99.607500000000002</v>
      </c>
      <c r="V13" s="260"/>
      <c r="W13" s="340">
        <v>99.607500000000002</v>
      </c>
      <c r="X13" s="260"/>
      <c r="Y13" s="339">
        <v>99.607500000000002</v>
      </c>
      <c r="Z13" s="269" t="e">
        <f>_xll.qlSimpleQuoteSetValue(F13,Y13,Trigger)</f>
        <v>#N/A</v>
      </c>
      <c r="AA13" s="53"/>
      <c r="AB13" s="21"/>
      <c r="AC13" s="21"/>
      <c r="AD13" s="21"/>
      <c r="AE13" s="21"/>
      <c r="AF13" s="299">
        <f t="shared" si="1"/>
        <v>4.9999999999954527E-5</v>
      </c>
    </row>
    <row r="14" spans="1:32" x14ac:dyDescent="0.2">
      <c r="A14" s="150"/>
      <c r="B14" s="111">
        <v>9</v>
      </c>
      <c r="C14" s="149" t="b">
        <v>0</v>
      </c>
      <c r="D14" s="148" t="str">
        <v>U4</v>
      </c>
      <c r="E14" s="147" t="str">
        <f t="shared" si="0"/>
        <v>EURFUT3MU4_Quote</v>
      </c>
      <c r="F14" s="146" t="str">
        <f>_xll.qlSimpleQuote(E14,,PriceTickValue,Permanent,Trigger,ObjectOverwrite)</f>
        <v>EURFUT3MU4_Quote#0006</v>
      </c>
      <c r="G14" s="109" t="str">
        <f>_xll.ohRangeRetrieveError(F14)</f>
        <v/>
      </c>
      <c r="H14" s="145"/>
      <c r="J14" s="338"/>
      <c r="K14" s="344">
        <v>9</v>
      </c>
      <c r="L14" s="343" t="b">
        <v>0</v>
      </c>
      <c r="M14" s="266" t="str">
        <v>U4</v>
      </c>
      <c r="N14" s="342">
        <v>41899</v>
      </c>
      <c r="O14" s="266" t="str">
        <v>FEIU4</v>
      </c>
      <c r="P14" s="341" t="s">
        <v>259</v>
      </c>
      <c r="Q14" s="266" t="s">
        <v>259</v>
      </c>
      <c r="R14" s="266" t="s">
        <v>259</v>
      </c>
      <c r="S14" s="266" t="s">
        <v>259</v>
      </c>
      <c r="T14" s="266" t="s">
        <v>259</v>
      </c>
      <c r="U14" s="269" t="e">
        <f>_xll.qlMidSafe($Q14,$R14)</f>
        <v>#NUM!</v>
      </c>
      <c r="V14" s="260"/>
      <c r="W14" s="340" t="e">
        <v>#NUM!</v>
      </c>
      <c r="X14" s="260"/>
      <c r="Y14" s="339" t="e">
        <v>#NUM!</v>
      </c>
      <c r="Z14" s="269" t="e">
        <f>_xll.qlSimpleQuoteSetValue(F14,Y14,Trigger)</f>
        <v>#NUM!</v>
      </c>
      <c r="AA14" s="53"/>
      <c r="AB14" s="21"/>
      <c r="AC14" s="21"/>
      <c r="AD14" s="21"/>
      <c r="AE14" s="21"/>
      <c r="AF14" s="299" t="e">
        <f t="shared" si="1"/>
        <v>#VALUE!</v>
      </c>
    </row>
    <row r="15" spans="1:32" x14ac:dyDescent="0.2">
      <c r="A15" s="150"/>
      <c r="B15" s="111">
        <v>10</v>
      </c>
      <c r="C15" s="149" t="b">
        <v>0</v>
      </c>
      <c r="D15" s="148" t="str">
        <v>V4</v>
      </c>
      <c r="E15" s="147" t="str">
        <f t="shared" si="0"/>
        <v>EURFUT3MV4_Quote</v>
      </c>
      <c r="F15" s="146" t="str">
        <f>_xll.qlSimpleQuote(E15,,PriceTickValue,Permanent,Trigger,ObjectOverwrite)</f>
        <v>EURFUT3MV4_Quote#0006</v>
      </c>
      <c r="G15" s="109" t="str">
        <f>_xll.ohRangeRetrieveError(F15)</f>
        <v/>
      </c>
      <c r="H15" s="145"/>
      <c r="J15" s="338"/>
      <c r="K15" s="344">
        <v>10</v>
      </c>
      <c r="L15" s="343" t="b">
        <v>0</v>
      </c>
      <c r="M15" s="266" t="str">
        <v>V4</v>
      </c>
      <c r="N15" s="342">
        <v>41927</v>
      </c>
      <c r="O15" s="266" t="str">
        <v>FEIV4</v>
      </c>
      <c r="P15" s="341" t="s">
        <v>259</v>
      </c>
      <c r="Q15" s="266" t="s">
        <v>259</v>
      </c>
      <c r="R15" s="266" t="s">
        <v>259</v>
      </c>
      <c r="S15" s="266" t="s">
        <v>259</v>
      </c>
      <c r="T15" s="266" t="s">
        <v>259</v>
      </c>
      <c r="U15" s="269" t="e">
        <f>_xll.qlMidSafe($Q15,$R15)</f>
        <v>#NUM!</v>
      </c>
      <c r="V15" s="260"/>
      <c r="W15" s="340" t="e">
        <v>#NUM!</v>
      </c>
      <c r="X15" s="260"/>
      <c r="Y15" s="339" t="e">
        <v>#NUM!</v>
      </c>
      <c r="Z15" s="269" t="e">
        <f>_xll.qlSimpleQuoteSetValue(F15,Y15,Trigger)</f>
        <v>#NUM!</v>
      </c>
      <c r="AA15" s="53"/>
      <c r="AB15" s="21"/>
      <c r="AC15" s="21"/>
      <c r="AD15" s="21"/>
      <c r="AE15" s="21"/>
      <c r="AF15" s="299" t="e">
        <f t="shared" si="1"/>
        <v>#VALUE!</v>
      </c>
    </row>
    <row r="16" spans="1:32" x14ac:dyDescent="0.2">
      <c r="A16" s="150"/>
      <c r="B16" s="111">
        <v>11</v>
      </c>
      <c r="C16" s="149" t="b">
        <v>0</v>
      </c>
      <c r="D16" s="148" t="str">
        <v>X4</v>
      </c>
      <c r="E16" s="147" t="str">
        <f t="shared" si="0"/>
        <v>EURFUT3MX4_Quote</v>
      </c>
      <c r="F16" s="146" t="str">
        <f>_xll.qlSimpleQuote(E16,,PriceTickValue,Permanent,Trigger,ObjectOverwrite)</f>
        <v>EURFUT3MX4_Quote#0006</v>
      </c>
      <c r="G16" s="109" t="str">
        <f>_xll.ohRangeRetrieveError(F16)</f>
        <v/>
      </c>
      <c r="H16" s="145"/>
      <c r="J16" s="338"/>
      <c r="K16" s="344">
        <v>11</v>
      </c>
      <c r="L16" s="343" t="b">
        <v>0</v>
      </c>
      <c r="M16" s="266" t="str">
        <v>X4</v>
      </c>
      <c r="N16" s="342">
        <v>41962</v>
      </c>
      <c r="O16" s="266" t="str">
        <v>FEIX4</v>
      </c>
      <c r="P16" s="341">
        <v>41806</v>
      </c>
      <c r="Q16" s="266">
        <v>99.545000000000002</v>
      </c>
      <c r="R16" s="266">
        <v>99.55</v>
      </c>
      <c r="S16" s="266">
        <v>99.55</v>
      </c>
      <c r="T16" s="266">
        <v>99.56</v>
      </c>
      <c r="U16" s="269">
        <f>_xll.qlMidSafe($Q16,$R16)</f>
        <v>99.547499999999999</v>
      </c>
      <c r="V16" s="260"/>
      <c r="W16" s="340">
        <v>99.547499999999999</v>
      </c>
      <c r="X16" s="260"/>
      <c r="Y16" s="339">
        <v>99.547499999999999</v>
      </c>
      <c r="Z16" s="269" t="e">
        <f>_xll.qlSimpleQuoteSetValue(F16,Y16,Trigger)</f>
        <v>#N/A</v>
      </c>
      <c r="AA16" s="53"/>
      <c r="AB16" s="21"/>
      <c r="AC16" s="21"/>
      <c r="AD16" s="21"/>
      <c r="AE16" s="21"/>
      <c r="AF16" s="299">
        <f t="shared" si="1"/>
        <v>4.9999999999954527E-5</v>
      </c>
    </row>
    <row r="17" spans="1:32" x14ac:dyDescent="0.2">
      <c r="A17" s="150"/>
      <c r="B17" s="111">
        <v>12</v>
      </c>
      <c r="C17" s="149" t="b">
        <v>0</v>
      </c>
      <c r="D17" s="148" t="str">
        <v>Z4</v>
      </c>
      <c r="E17" s="147" t="str">
        <f t="shared" si="0"/>
        <v>EURFUT3MZ4_Quote</v>
      </c>
      <c r="F17" s="146" t="str">
        <f>_xll.qlSimpleQuote(E17,,PriceTickValue,Permanent,Trigger,ObjectOverwrite)</f>
        <v>EURFUT3MZ4_Quote#0006</v>
      </c>
      <c r="G17" s="109" t="str">
        <f>_xll.ohRangeRetrieveError(F17)</f>
        <v/>
      </c>
      <c r="H17" s="145"/>
      <c r="J17" s="338"/>
      <c r="K17" s="344">
        <v>12</v>
      </c>
      <c r="L17" s="343" t="b">
        <v>0</v>
      </c>
      <c r="M17" s="266" t="str">
        <v>Z4</v>
      </c>
      <c r="N17" s="342">
        <v>41990</v>
      </c>
      <c r="O17" s="266" t="str">
        <v>FEIZ4</v>
      </c>
      <c r="P17" s="341" t="s">
        <v>259</v>
      </c>
      <c r="Q17" s="266" t="s">
        <v>259</v>
      </c>
      <c r="R17" s="266" t="s">
        <v>259</v>
      </c>
      <c r="S17" s="266" t="s">
        <v>259</v>
      </c>
      <c r="T17" s="266" t="s">
        <v>259</v>
      </c>
      <c r="U17" s="269" t="e">
        <f>_xll.qlMidSafe($Q17,$R17)</f>
        <v>#NUM!</v>
      </c>
      <c r="V17" s="260"/>
      <c r="W17" s="340" t="e">
        <v>#NUM!</v>
      </c>
      <c r="X17" s="260"/>
      <c r="Y17" s="339" t="e">
        <v>#NUM!</v>
      </c>
      <c r="Z17" s="269" t="e">
        <f>_xll.qlSimpleQuoteSetValue(F17,Y17,Trigger)</f>
        <v>#NUM!</v>
      </c>
      <c r="AA17" s="53"/>
      <c r="AB17" s="21"/>
      <c r="AC17" s="21"/>
      <c r="AD17" s="21"/>
      <c r="AE17" s="21"/>
      <c r="AF17" s="299" t="e">
        <f t="shared" si="1"/>
        <v>#VALUE!</v>
      </c>
    </row>
    <row r="18" spans="1:32" x14ac:dyDescent="0.2">
      <c r="A18" s="150"/>
      <c r="B18" s="111">
        <v>13</v>
      </c>
      <c r="C18" s="149" t="b">
        <v>1</v>
      </c>
      <c r="D18" s="148" t="str">
        <v>H5</v>
      </c>
      <c r="E18" s="147" t="str">
        <f t="shared" si="0"/>
        <v>EURFUT3MH5_Quote</v>
      </c>
      <c r="F18" s="146" t="str">
        <f>_xll.qlSimpleQuote(E18,,PriceTickValue,Permanent,Trigger,ObjectOverwrite)</f>
        <v>EURFUT3MH5_Quote#0006</v>
      </c>
      <c r="G18" s="109" t="str">
        <f>_xll.ohRangeRetrieveError(F18)</f>
        <v/>
      </c>
      <c r="H18" s="145"/>
      <c r="J18" s="338"/>
      <c r="K18" s="344">
        <v>13</v>
      </c>
      <c r="L18" s="343" t="b">
        <v>1</v>
      </c>
      <c r="M18" s="266" t="str">
        <v>H5</v>
      </c>
      <c r="N18" s="342">
        <v>42081</v>
      </c>
      <c r="O18" s="266" t="str">
        <v>FEIH5</v>
      </c>
      <c r="P18" s="341">
        <v>41897</v>
      </c>
      <c r="Q18" s="266">
        <v>99.484999999999999</v>
      </c>
      <c r="R18" s="266">
        <v>99.49</v>
      </c>
      <c r="S18" s="266">
        <v>99.484999999999999</v>
      </c>
      <c r="T18" s="266">
        <v>99.51</v>
      </c>
      <c r="U18" s="269">
        <f>_xll.qlMidSafe($Q18,$R18)</f>
        <v>99.487499999999997</v>
      </c>
      <c r="V18" s="260"/>
      <c r="W18" s="340">
        <v>99.487499999999997</v>
      </c>
      <c r="X18" s="260"/>
      <c r="Y18" s="339">
        <v>99.487499999999997</v>
      </c>
      <c r="Z18" s="269" t="e">
        <f>_xll.qlSimpleQuoteSetValue(F18,Y18,Trigger)</f>
        <v>#N/A</v>
      </c>
      <c r="AA18" s="53"/>
      <c r="AB18" s="21"/>
      <c r="AC18" s="21"/>
      <c r="AD18" s="21"/>
      <c r="AE18" s="21"/>
      <c r="AF18" s="299">
        <f t="shared" si="1"/>
        <v>4.9999999999954527E-5</v>
      </c>
    </row>
    <row r="19" spans="1:32" x14ac:dyDescent="0.2">
      <c r="A19" s="150"/>
      <c r="B19" s="111">
        <v>14</v>
      </c>
      <c r="C19" s="149" t="b">
        <v>1</v>
      </c>
      <c r="D19" s="148" t="str">
        <v>M5</v>
      </c>
      <c r="E19" s="147" t="str">
        <f t="shared" si="0"/>
        <v>EURFUT3MM5_Quote</v>
      </c>
      <c r="F19" s="146" t="str">
        <f>_xll.qlSimpleQuote(E19,,PriceTickValue,Permanent,Trigger,ObjectOverwrite)</f>
        <v>EURFUT3MM5_Quote#0006</v>
      </c>
      <c r="G19" s="109" t="str">
        <f>_xll.ohRangeRetrieveError(F19)</f>
        <v/>
      </c>
      <c r="H19" s="145"/>
      <c r="J19" s="338"/>
      <c r="K19" s="344">
        <v>14</v>
      </c>
      <c r="L19" s="343" t="b">
        <v>1</v>
      </c>
      <c r="M19" s="266" t="str">
        <v>M5</v>
      </c>
      <c r="N19" s="342">
        <v>42172</v>
      </c>
      <c r="O19" s="266" t="str">
        <v>FEIM5</v>
      </c>
      <c r="P19" s="341">
        <v>41988</v>
      </c>
      <c r="Q19" s="266">
        <v>99.415000000000006</v>
      </c>
      <c r="R19" s="266">
        <v>99.42</v>
      </c>
      <c r="S19" s="266">
        <v>99.42</v>
      </c>
      <c r="T19" s="266">
        <v>99.454999999999998</v>
      </c>
      <c r="U19" s="269">
        <f>_xll.qlMidSafe($Q19,$R19)</f>
        <v>99.417500000000004</v>
      </c>
      <c r="V19" s="260"/>
      <c r="W19" s="340">
        <v>99.417500000000004</v>
      </c>
      <c r="X19" s="260"/>
      <c r="Y19" s="339">
        <v>99.417500000000004</v>
      </c>
      <c r="Z19" s="269" t="e">
        <f>_xll.qlSimpleQuoteSetValue(F19,Y19,Trigger)</f>
        <v>#N/A</v>
      </c>
      <c r="AA19" s="53"/>
      <c r="AB19" s="21"/>
      <c r="AC19" s="21"/>
      <c r="AD19" s="21"/>
      <c r="AE19" s="21"/>
      <c r="AF19" s="299">
        <f t="shared" si="1"/>
        <v>4.9999999999954527E-5</v>
      </c>
    </row>
    <row r="20" spans="1:32" x14ac:dyDescent="0.2">
      <c r="A20" s="150"/>
      <c r="B20" s="111">
        <v>15</v>
      </c>
      <c r="C20" s="149" t="b">
        <v>1</v>
      </c>
      <c r="D20" s="148" t="str">
        <v>U5</v>
      </c>
      <c r="E20" s="147" t="str">
        <f t="shared" si="0"/>
        <v>EURFUT3MU5_Quote</v>
      </c>
      <c r="F20" s="146" t="str">
        <f>_xll.qlSimpleQuote(E20,,PriceTickValue,Permanent,Trigger,ObjectOverwrite)</f>
        <v>EURFUT3MU5_Quote#0006</v>
      </c>
      <c r="G20" s="109" t="str">
        <f>_xll.ohRangeRetrieveError(F20)</f>
        <v/>
      </c>
      <c r="H20" s="145"/>
      <c r="J20" s="338"/>
      <c r="K20" s="344">
        <v>15</v>
      </c>
      <c r="L20" s="343" t="b">
        <v>1</v>
      </c>
      <c r="M20" s="266" t="str">
        <v>U5</v>
      </c>
      <c r="N20" s="342">
        <v>42263</v>
      </c>
      <c r="O20" s="266" t="str">
        <v>FEIU5</v>
      </c>
      <c r="P20" s="341">
        <v>42079</v>
      </c>
      <c r="Q20" s="266">
        <v>99.344999999999999</v>
      </c>
      <c r="R20" s="266">
        <v>99.35</v>
      </c>
      <c r="S20" s="266">
        <v>99.35</v>
      </c>
      <c r="T20" s="266">
        <v>99.394999999999996</v>
      </c>
      <c r="U20" s="269">
        <f>_xll.qlMidSafe($Q20,$R20)</f>
        <v>99.347499999999997</v>
      </c>
      <c r="V20" s="260"/>
      <c r="W20" s="340">
        <v>99.347499999999997</v>
      </c>
      <c r="X20" s="260"/>
      <c r="Y20" s="339">
        <v>99.347499999999997</v>
      </c>
      <c r="Z20" s="269" t="e">
        <f>_xll.qlSimpleQuoteSetValue(F20,Y20,Trigger)</f>
        <v>#N/A</v>
      </c>
      <c r="AA20" s="53"/>
      <c r="AB20" s="21"/>
      <c r="AC20" s="21"/>
      <c r="AD20" s="21"/>
      <c r="AE20" s="21"/>
      <c r="AF20" s="299">
        <f t="shared" si="1"/>
        <v>4.9999999999954527E-5</v>
      </c>
    </row>
    <row r="21" spans="1:32" x14ac:dyDescent="0.2">
      <c r="A21" s="150"/>
      <c r="B21" s="111">
        <v>16</v>
      </c>
      <c r="C21" s="149" t="b">
        <v>1</v>
      </c>
      <c r="D21" s="148" t="str">
        <v>Z5</v>
      </c>
      <c r="E21" s="147" t="str">
        <f t="shared" si="0"/>
        <v>EURFUT3MZ5_Quote</v>
      </c>
      <c r="F21" s="146" t="str">
        <f>_xll.qlSimpleQuote(E21,,PriceTickValue,Permanent,Trigger,ObjectOverwrite)</f>
        <v>EURFUT3MZ5_Quote#0006</v>
      </c>
      <c r="G21" s="109" t="str">
        <f>_xll.ohRangeRetrieveError(F21)</f>
        <v/>
      </c>
      <c r="H21" s="145"/>
      <c r="J21" s="338"/>
      <c r="K21" s="344">
        <v>16</v>
      </c>
      <c r="L21" s="343" t="b">
        <v>1</v>
      </c>
      <c r="M21" s="266" t="str">
        <v>Z5</v>
      </c>
      <c r="N21" s="342">
        <v>42354</v>
      </c>
      <c r="O21" s="266" t="str">
        <v>FEIZ5</v>
      </c>
      <c r="P21" s="341">
        <v>42170</v>
      </c>
      <c r="Q21" s="266">
        <v>99.265000000000001</v>
      </c>
      <c r="R21" s="266">
        <v>99.27</v>
      </c>
      <c r="S21" s="266">
        <v>99.27</v>
      </c>
      <c r="T21" s="266">
        <v>99.325000000000003</v>
      </c>
      <c r="U21" s="269">
        <f>_xll.qlMidSafe($Q21,$R21)</f>
        <v>99.267499999999998</v>
      </c>
      <c r="V21" s="260"/>
      <c r="W21" s="340">
        <v>99.267499999999998</v>
      </c>
      <c r="X21" s="260"/>
      <c r="Y21" s="339">
        <v>99.267499999999998</v>
      </c>
      <c r="Z21" s="269" t="e">
        <f>_xll.qlSimpleQuoteSetValue(F21,Y21,Trigger)</f>
        <v>#N/A</v>
      </c>
      <c r="AA21" s="53"/>
      <c r="AB21" s="21"/>
      <c r="AC21" s="21"/>
      <c r="AD21" s="21"/>
      <c r="AE21" s="21"/>
      <c r="AF21" s="299">
        <f t="shared" si="1"/>
        <v>4.9999999999954527E-5</v>
      </c>
    </row>
    <row r="22" spans="1:32" x14ac:dyDescent="0.2">
      <c r="A22" s="150"/>
      <c r="B22" s="111">
        <v>17</v>
      </c>
      <c r="C22" s="149" t="b">
        <v>1</v>
      </c>
      <c r="D22" s="148" t="str">
        <v>H6</v>
      </c>
      <c r="E22" s="147" t="str">
        <f t="shared" si="0"/>
        <v>EURFUT3MH6_Quote</v>
      </c>
      <c r="F22" s="146" t="str">
        <f>_xll.qlSimpleQuote(E22,,PriceTickValue,Permanent,Trigger,ObjectOverwrite)</f>
        <v>EURFUT3MH6_Quote#0006</v>
      </c>
      <c r="G22" s="109" t="str">
        <f>_xll.ohRangeRetrieveError(F22)</f>
        <v/>
      </c>
      <c r="H22" s="145"/>
      <c r="J22" s="338"/>
      <c r="K22" s="344">
        <v>17</v>
      </c>
      <c r="L22" s="343" t="b">
        <v>1</v>
      </c>
      <c r="M22" s="266" t="str">
        <v>H6</v>
      </c>
      <c r="N22" s="342">
        <v>42445</v>
      </c>
      <c r="O22" s="266" t="str">
        <v>FEIH6</v>
      </c>
      <c r="P22" s="341">
        <v>42261</v>
      </c>
      <c r="Q22" s="266">
        <v>99.18</v>
      </c>
      <c r="R22" s="266">
        <v>99.185000000000002</v>
      </c>
      <c r="S22" s="266">
        <v>99.185000000000002</v>
      </c>
      <c r="T22" s="266">
        <v>99.245000000000005</v>
      </c>
      <c r="U22" s="269">
        <f>_xll.qlMidSafe($Q22,$R22)</f>
        <v>99.182500000000005</v>
      </c>
      <c r="V22" s="260"/>
      <c r="W22" s="340">
        <v>99.182500000000005</v>
      </c>
      <c r="X22" s="260"/>
      <c r="Y22" s="339">
        <v>99.182500000000005</v>
      </c>
      <c r="Z22" s="269" t="e">
        <f>_xll.qlSimpleQuoteSetValue(F22,Y22,Trigger)</f>
        <v>#N/A</v>
      </c>
      <c r="AA22" s="53"/>
      <c r="AB22" s="21"/>
      <c r="AC22" s="21"/>
      <c r="AD22" s="21"/>
      <c r="AE22" s="21"/>
      <c r="AF22" s="299">
        <f t="shared" si="1"/>
        <v>4.9999999999954527E-5</v>
      </c>
    </row>
    <row r="23" spans="1:32" x14ac:dyDescent="0.2">
      <c r="A23" s="150"/>
      <c r="B23" s="111">
        <v>18</v>
      </c>
      <c r="C23" s="149" t="b">
        <v>1</v>
      </c>
      <c r="D23" s="148" t="str">
        <v>M6</v>
      </c>
      <c r="E23" s="147" t="str">
        <f t="shared" si="0"/>
        <v>EURFUT3MM6_Quote</v>
      </c>
      <c r="F23" s="146" t="str">
        <f>_xll.qlSimpleQuote(E23,,PriceTickValue,Permanent,Trigger,ObjectOverwrite)</f>
        <v>EURFUT3MM6_Quote#0006</v>
      </c>
      <c r="G23" s="109" t="str">
        <f>_xll.ohRangeRetrieveError(F23)</f>
        <v/>
      </c>
      <c r="H23" s="145"/>
      <c r="J23" s="338"/>
      <c r="K23" s="344">
        <v>18</v>
      </c>
      <c r="L23" s="343" t="b">
        <v>1</v>
      </c>
      <c r="M23" s="266" t="str">
        <v>M6</v>
      </c>
      <c r="N23" s="342">
        <v>42536</v>
      </c>
      <c r="O23" s="266" t="str">
        <v>FEIM6</v>
      </c>
      <c r="P23" s="341">
        <v>42352</v>
      </c>
      <c r="Q23" s="266">
        <v>99.07</v>
      </c>
      <c r="R23" s="266">
        <v>99.08</v>
      </c>
      <c r="S23" s="266">
        <v>99.075000000000003</v>
      </c>
      <c r="T23" s="266">
        <v>99.15</v>
      </c>
      <c r="U23" s="269">
        <f>_xll.qlMidSafe($Q23,$R23)</f>
        <v>99.074999999999989</v>
      </c>
      <c r="V23" s="260"/>
      <c r="W23" s="340">
        <v>99.074999999999989</v>
      </c>
      <c r="X23" s="260"/>
      <c r="Y23" s="339">
        <v>99.074999999999989</v>
      </c>
      <c r="Z23" s="269" t="e">
        <f>_xll.qlSimpleQuoteSetValue(F23,Y23,Trigger)</f>
        <v>#N/A</v>
      </c>
      <c r="AA23" s="53"/>
      <c r="AB23" s="21"/>
      <c r="AC23" s="21"/>
      <c r="AD23" s="21"/>
      <c r="AE23" s="21"/>
      <c r="AF23" s="299">
        <f t="shared" si="1"/>
        <v>1.0000000000019326E-4</v>
      </c>
    </row>
    <row r="24" spans="1:32" x14ac:dyDescent="0.2">
      <c r="A24" s="150"/>
      <c r="B24" s="111">
        <v>19</v>
      </c>
      <c r="C24" s="149" t="b">
        <v>1</v>
      </c>
      <c r="D24" s="148" t="str">
        <v>U6</v>
      </c>
      <c r="E24" s="147" t="str">
        <f t="shared" si="0"/>
        <v>EURFUT3MU6_Quote</v>
      </c>
      <c r="F24" s="146" t="str">
        <f>_xll.qlSimpleQuote(E24,,PriceTickValue,Permanent,Trigger,ObjectOverwrite)</f>
        <v>EURFUT3MU6_Quote#0006</v>
      </c>
      <c r="G24" s="109" t="str">
        <f>_xll.ohRangeRetrieveError(F24)</f>
        <v/>
      </c>
      <c r="H24" s="145"/>
      <c r="J24" s="338"/>
      <c r="K24" s="344">
        <v>19</v>
      </c>
      <c r="L24" s="343" t="b">
        <v>1</v>
      </c>
      <c r="M24" s="266" t="str">
        <v>U6</v>
      </c>
      <c r="N24" s="342">
        <v>42634</v>
      </c>
      <c r="O24" s="266" t="str">
        <v>FEIU6</v>
      </c>
      <c r="P24" s="341">
        <v>42443</v>
      </c>
      <c r="Q24" s="266">
        <v>98.944999999999993</v>
      </c>
      <c r="R24" s="266">
        <v>98.954999999999998</v>
      </c>
      <c r="S24" s="266">
        <v>98.95</v>
      </c>
      <c r="T24" s="266">
        <v>99.034999999999997</v>
      </c>
      <c r="U24" s="269">
        <f>_xll.qlMidSafe($Q24,$R24)</f>
        <v>98.949999999999989</v>
      </c>
      <c r="V24" s="260"/>
      <c r="W24" s="340">
        <v>98.949999999999989</v>
      </c>
      <c r="X24" s="260"/>
      <c r="Y24" s="339">
        <v>98.949999999999989</v>
      </c>
      <c r="Z24" s="269" t="e">
        <f>_xll.qlSimpleQuoteSetValue(F24,Y24,Trigger)</f>
        <v>#N/A</v>
      </c>
      <c r="AA24" s="53"/>
      <c r="AB24" s="21"/>
      <c r="AC24" s="21"/>
      <c r="AD24" s="21"/>
      <c r="AE24" s="21"/>
      <c r="AF24" s="299">
        <f t="shared" si="1"/>
        <v>1.0000000000019326E-4</v>
      </c>
    </row>
    <row r="25" spans="1:32" x14ac:dyDescent="0.2">
      <c r="A25" s="150"/>
      <c r="B25" s="111">
        <v>20</v>
      </c>
      <c r="C25" s="149" t="b">
        <v>1</v>
      </c>
      <c r="D25" s="148" t="str">
        <v>Z6</v>
      </c>
      <c r="E25" s="147" t="str">
        <f t="shared" si="0"/>
        <v>EURFUT3MZ6_Quote</v>
      </c>
      <c r="F25" s="146" t="str">
        <f>_xll.qlSimpleQuote(E25,,PriceTickValue,Permanent,Trigger,ObjectOverwrite)</f>
        <v>EURFUT3MZ6_Quote#0006</v>
      </c>
      <c r="G25" s="109" t="str">
        <f>_xll.ohRangeRetrieveError(F25)</f>
        <v/>
      </c>
      <c r="H25" s="145"/>
      <c r="J25" s="338"/>
      <c r="K25" s="344">
        <v>20</v>
      </c>
      <c r="L25" s="343" t="b">
        <v>1</v>
      </c>
      <c r="M25" s="266" t="str">
        <v>Z6</v>
      </c>
      <c r="N25" s="342">
        <v>42725</v>
      </c>
      <c r="O25" s="266" t="str">
        <v>FEIZ6</v>
      </c>
      <c r="P25" s="341">
        <v>42534</v>
      </c>
      <c r="Q25" s="266">
        <v>98.8</v>
      </c>
      <c r="R25" s="266">
        <v>98.805000000000007</v>
      </c>
      <c r="S25" s="266">
        <v>98.81</v>
      </c>
      <c r="T25" s="266">
        <v>98.9</v>
      </c>
      <c r="U25" s="269">
        <f>_xll.qlMidSafe($Q25,$R25)</f>
        <v>98.802500000000009</v>
      </c>
      <c r="V25" s="260"/>
      <c r="W25" s="340">
        <v>98.802500000000009</v>
      </c>
      <c r="X25" s="260"/>
      <c r="Y25" s="339">
        <v>98.802500000000009</v>
      </c>
      <c r="Z25" s="269" t="e">
        <f>_xll.qlSimpleQuoteSetValue(F25,Y25,Trigger)</f>
        <v>#N/A</v>
      </c>
      <c r="AA25" s="53"/>
      <c r="AB25" s="21"/>
      <c r="AC25" s="21"/>
      <c r="AD25" s="21"/>
      <c r="AE25" s="21"/>
      <c r="AF25" s="299">
        <f t="shared" si="1"/>
        <v>4.9999999999954527E-5</v>
      </c>
    </row>
    <row r="26" spans="1:32" x14ac:dyDescent="0.2">
      <c r="A26" s="150"/>
      <c r="B26" s="111">
        <v>21</v>
      </c>
      <c r="C26" s="149" t="b">
        <v>1</v>
      </c>
      <c r="D26" s="148" t="str">
        <v>H7</v>
      </c>
      <c r="E26" s="147" t="str">
        <f t="shared" si="0"/>
        <v>EURFUT3MH7_Quote</v>
      </c>
      <c r="F26" s="146" t="str">
        <f>_xll.qlSimpleQuote(E26,,PriceTickValue,Permanent,Trigger,ObjectOverwrite)</f>
        <v>EURFUT3MH7_Quote#0006</v>
      </c>
      <c r="G26" s="109" t="str">
        <f>_xll.ohRangeRetrieveError(F26)</f>
        <v/>
      </c>
      <c r="H26" s="145"/>
      <c r="J26" s="338"/>
      <c r="K26" s="344">
        <v>21</v>
      </c>
      <c r="L26" s="343" t="b">
        <v>1</v>
      </c>
      <c r="M26" s="266" t="str">
        <v>H7</v>
      </c>
      <c r="N26" s="342">
        <v>42809</v>
      </c>
      <c r="O26" s="266" t="str">
        <v>FEIH7</v>
      </c>
      <c r="P26" s="341">
        <v>42632</v>
      </c>
      <c r="Q26" s="266">
        <v>98.65</v>
      </c>
      <c r="R26" s="266">
        <v>98.66</v>
      </c>
      <c r="S26" s="266">
        <v>98.66</v>
      </c>
      <c r="T26" s="266">
        <v>98.765000000000001</v>
      </c>
      <c r="U26" s="269">
        <f>_xll.qlMidSafe($Q26,$R26)</f>
        <v>98.655000000000001</v>
      </c>
      <c r="V26" s="260"/>
      <c r="W26" s="340">
        <v>98.655000000000001</v>
      </c>
      <c r="X26" s="260"/>
      <c r="Y26" s="339">
        <v>98.655000000000001</v>
      </c>
      <c r="Z26" s="269" t="e">
        <f>_xll.qlSimpleQuoteSetValue(F26,Y26,Trigger)</f>
        <v>#N/A</v>
      </c>
      <c r="AA26" s="53"/>
      <c r="AB26" s="21"/>
      <c r="AC26" s="21"/>
      <c r="AD26" s="21"/>
      <c r="AE26" s="21"/>
      <c r="AF26" s="299">
        <f t="shared" si="1"/>
        <v>9.9999999999909054E-5</v>
      </c>
    </row>
    <row r="27" spans="1:32" x14ac:dyDescent="0.2">
      <c r="A27" s="150"/>
      <c r="B27" s="111">
        <v>22</v>
      </c>
      <c r="C27" s="149" t="b">
        <v>1</v>
      </c>
      <c r="D27" s="148" t="str">
        <v>M7</v>
      </c>
      <c r="E27" s="147" t="str">
        <f t="shared" si="0"/>
        <v>EURFUT3MM7_Quote</v>
      </c>
      <c r="F27" s="146" t="str">
        <f>_xll.qlSimpleQuote(E27,,PriceTickValue,Permanent,Trigger,ObjectOverwrite)</f>
        <v>EURFUT3MM7_Quote#0006</v>
      </c>
      <c r="G27" s="109" t="str">
        <f>_xll.ohRangeRetrieveError(F27)</f>
        <v/>
      </c>
      <c r="H27" s="145"/>
      <c r="J27" s="338"/>
      <c r="K27" s="344">
        <v>22</v>
      </c>
      <c r="L27" s="343" t="b">
        <v>1</v>
      </c>
      <c r="M27" s="266" t="str">
        <v>M7</v>
      </c>
      <c r="N27" s="342">
        <v>42907</v>
      </c>
      <c r="O27" s="266" t="str">
        <v>FEIM7</v>
      </c>
      <c r="P27" s="341">
        <v>42723</v>
      </c>
      <c r="Q27" s="266">
        <v>98.51</v>
      </c>
      <c r="R27" s="266">
        <v>98.52</v>
      </c>
      <c r="S27" s="266">
        <v>98.525000000000006</v>
      </c>
      <c r="T27" s="266">
        <v>98.63</v>
      </c>
      <c r="U27" s="269">
        <f>_xll.qlMidSafe($Q27,$R27)</f>
        <v>98.515000000000001</v>
      </c>
      <c r="V27" s="260"/>
      <c r="W27" s="340">
        <v>98.515000000000001</v>
      </c>
      <c r="X27" s="260"/>
      <c r="Y27" s="339">
        <v>98.515000000000001</v>
      </c>
      <c r="Z27" s="269" t="e">
        <f>_xll.qlSimpleQuoteSetValue(F27,Y27,Trigger)</f>
        <v>#N/A</v>
      </c>
      <c r="AA27" s="53"/>
      <c r="AB27" s="21"/>
      <c r="AC27" s="21"/>
      <c r="AD27" s="21"/>
      <c r="AE27" s="21"/>
      <c r="AF27" s="299">
        <f t="shared" si="1"/>
        <v>9.9999999999909054E-5</v>
      </c>
    </row>
    <row r="28" spans="1:32" x14ac:dyDescent="0.2">
      <c r="A28" s="150"/>
      <c r="B28" s="111">
        <v>23</v>
      </c>
      <c r="C28" s="149" t="b">
        <v>1</v>
      </c>
      <c r="D28" s="148" t="str">
        <v>U7</v>
      </c>
      <c r="E28" s="147" t="str">
        <f t="shared" si="0"/>
        <v>EURFUT3MU7_Quote</v>
      </c>
      <c r="F28" s="146" t="str">
        <f>_xll.qlSimpleQuote(E28,,PriceTickValue,Permanent,Trigger,ObjectOverwrite)</f>
        <v>EURFUT3MU7_Quote#0006</v>
      </c>
      <c r="G28" s="109" t="str">
        <f>_xll.ohRangeRetrieveError(F28)</f>
        <v/>
      </c>
      <c r="H28" s="145"/>
      <c r="J28" s="338"/>
      <c r="K28" s="344">
        <v>23</v>
      </c>
      <c r="L28" s="343" t="b">
        <v>1</v>
      </c>
      <c r="M28" s="266" t="str">
        <v>U7</v>
      </c>
      <c r="N28" s="342">
        <v>42998</v>
      </c>
      <c r="O28" s="266" t="str">
        <v>FEIU7</v>
      </c>
      <c r="P28" s="341">
        <v>42807</v>
      </c>
      <c r="Q28" s="266">
        <v>98.375</v>
      </c>
      <c r="R28" s="266">
        <v>98.385000000000005</v>
      </c>
      <c r="S28" s="266">
        <v>98.385000000000005</v>
      </c>
      <c r="T28" s="266">
        <v>98.5</v>
      </c>
      <c r="U28" s="269">
        <f>_xll.qlMidSafe($Q28,$R28)</f>
        <v>98.38</v>
      </c>
      <c r="V28" s="260"/>
      <c r="W28" s="340">
        <v>98.384999999999991</v>
      </c>
      <c r="X28" s="260"/>
      <c r="Y28" s="339">
        <v>98.38</v>
      </c>
      <c r="Z28" s="269" t="e">
        <f>_xll.qlSimpleQuoteSetValue(F28,Y28,Trigger)</f>
        <v>#N/A</v>
      </c>
      <c r="AA28" s="53"/>
      <c r="AB28" s="21"/>
      <c r="AC28" s="21"/>
      <c r="AD28" s="21"/>
      <c r="AE28" s="21"/>
      <c r="AF28" s="299">
        <f t="shared" si="1"/>
        <v>1.0000000000019326E-4</v>
      </c>
    </row>
    <row r="29" spans="1:32" x14ac:dyDescent="0.2">
      <c r="A29" s="150"/>
      <c r="B29" s="111">
        <v>24</v>
      </c>
      <c r="C29" s="149" t="b">
        <v>1</v>
      </c>
      <c r="D29" s="148" t="str">
        <v>Z7</v>
      </c>
      <c r="E29" s="147" t="str">
        <f t="shared" si="0"/>
        <v>EURFUT3MZ7_Quote</v>
      </c>
      <c r="F29" s="146" t="str">
        <f>_xll.qlSimpleQuote(E29,,PriceTickValue,Permanent,Trigger,ObjectOverwrite)</f>
        <v>EURFUT3MZ7_Quote#0006</v>
      </c>
      <c r="G29" s="109" t="str">
        <f>_xll.ohRangeRetrieveError(F29)</f>
        <v/>
      </c>
      <c r="H29" s="145"/>
      <c r="J29" s="338"/>
      <c r="K29" s="344">
        <v>24</v>
      </c>
      <c r="L29" s="343" t="b">
        <v>1</v>
      </c>
      <c r="M29" s="266" t="str">
        <v>Z7</v>
      </c>
      <c r="N29" s="342">
        <v>43089</v>
      </c>
      <c r="O29" s="266" t="str">
        <v>FEIZ7</v>
      </c>
      <c r="P29" s="341">
        <v>42905</v>
      </c>
      <c r="Q29" s="266">
        <v>98.24</v>
      </c>
      <c r="R29" s="266">
        <v>98.25</v>
      </c>
      <c r="S29" s="266">
        <v>98.254999999999995</v>
      </c>
      <c r="T29" s="266">
        <v>98.37</v>
      </c>
      <c r="U29" s="269">
        <f>_xll.qlMidSafe($Q29,$R29)</f>
        <v>98.245000000000005</v>
      </c>
      <c r="V29" s="260"/>
      <c r="W29" s="340">
        <v>98.25</v>
      </c>
      <c r="X29" s="260"/>
      <c r="Y29" s="339">
        <v>98.245000000000005</v>
      </c>
      <c r="Z29" s="269" t="e">
        <f>_xll.qlSimpleQuoteSetValue(F29,Y29,Trigger)</f>
        <v>#N/A</v>
      </c>
      <c r="AA29" s="53"/>
      <c r="AB29" s="21"/>
      <c r="AC29" s="21"/>
      <c r="AD29" s="21"/>
      <c r="AE29" s="21"/>
      <c r="AF29" s="299">
        <f t="shared" si="1"/>
        <v>9.9999999999909054E-5</v>
      </c>
    </row>
    <row r="30" spans="1:32" x14ac:dyDescent="0.2">
      <c r="A30" s="150"/>
      <c r="B30" s="111">
        <v>25</v>
      </c>
      <c r="C30" s="149" t="b">
        <v>1</v>
      </c>
      <c r="D30" s="148" t="str">
        <v>H8</v>
      </c>
      <c r="E30" s="147" t="str">
        <f t="shared" si="0"/>
        <v>EURFUT3MH8_Quote</v>
      </c>
      <c r="F30" s="146" t="str">
        <f>_xll.qlSimpleQuote(E30,,PriceTickValue,Permanent,Trigger,ObjectOverwrite)</f>
        <v>EURFUT3MH8_Quote#0006</v>
      </c>
      <c r="G30" s="109" t="str">
        <f>_xll.ohRangeRetrieveError(F30)</f>
        <v/>
      </c>
      <c r="H30" s="145"/>
      <c r="J30" s="338"/>
      <c r="K30" s="344">
        <v>25</v>
      </c>
      <c r="L30" s="343" t="b">
        <v>1</v>
      </c>
      <c r="M30" s="266" t="str">
        <v>H8</v>
      </c>
      <c r="N30" s="342">
        <v>43180</v>
      </c>
      <c r="O30" s="266" t="str">
        <v>FEIH8</v>
      </c>
      <c r="P30" s="341">
        <v>42996</v>
      </c>
      <c r="Q30" s="266">
        <v>98.114999999999995</v>
      </c>
      <c r="R30" s="266">
        <v>98.13</v>
      </c>
      <c r="S30" s="266">
        <v>98.125</v>
      </c>
      <c r="T30" s="266">
        <v>98.245000000000005</v>
      </c>
      <c r="U30" s="269">
        <f>_xll.qlMidSafe($Q30,$R30)</f>
        <v>98.122500000000002</v>
      </c>
      <c r="V30" s="260"/>
      <c r="W30" s="340">
        <v>98.125</v>
      </c>
      <c r="X30" s="260"/>
      <c r="Y30" s="339">
        <v>98.122500000000002</v>
      </c>
      <c r="Z30" s="269" t="e">
        <f>_xll.qlSimpleQuoteSetValue(F30,Y30,Trigger)</f>
        <v>#N/A</v>
      </c>
      <c r="AA30" s="53"/>
      <c r="AB30" s="21"/>
      <c r="AC30" s="21"/>
      <c r="AD30" s="21"/>
      <c r="AE30" s="21"/>
      <c r="AF30" s="299">
        <f t="shared" si="1"/>
        <v>1.4999999999986357E-4</v>
      </c>
    </row>
    <row r="31" spans="1:32" x14ac:dyDescent="0.2">
      <c r="A31" s="150"/>
      <c r="B31" s="111">
        <v>26</v>
      </c>
      <c r="C31" s="149" t="b">
        <v>1</v>
      </c>
      <c r="D31" s="148" t="str">
        <v>M8</v>
      </c>
      <c r="E31" s="147" t="str">
        <f t="shared" si="0"/>
        <v>EURFUT3MM8_Quote</v>
      </c>
      <c r="F31" s="146" t="str">
        <f>_xll.qlSimpleQuote(E31,,PriceTickValue,Permanent,Trigger,ObjectOverwrite)</f>
        <v>EURFUT3MM8_Quote#0006</v>
      </c>
      <c r="G31" s="109" t="str">
        <f>_xll.ohRangeRetrieveError(F31)</f>
        <v/>
      </c>
      <c r="H31" s="145"/>
      <c r="J31" s="338"/>
      <c r="K31" s="344">
        <v>26</v>
      </c>
      <c r="L31" s="343" t="b">
        <v>1</v>
      </c>
      <c r="M31" s="266" t="str">
        <v>M8</v>
      </c>
      <c r="N31" s="342">
        <v>43271</v>
      </c>
      <c r="O31" s="266" t="str">
        <v>FEIM8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v>98.004999999999995</v>
      </c>
      <c r="Z31" s="269" t="e">
        <f>_xll.qlSimpleQuoteSetValue(F31,Y31,Trigger)</f>
        <v>#N/A</v>
      </c>
      <c r="AA31" s="53"/>
      <c r="AB31" s="21"/>
      <c r="AC31" s="21"/>
      <c r="AD31" s="21"/>
      <c r="AE31" s="21"/>
      <c r="AF31" s="299">
        <f t="shared" si="1"/>
        <v>2.0000000000010233E-4</v>
      </c>
    </row>
    <row r="32" spans="1:32" x14ac:dyDescent="0.2">
      <c r="A32" s="150"/>
      <c r="B32" s="111">
        <v>27</v>
      </c>
      <c r="C32" s="149" t="b">
        <v>1</v>
      </c>
      <c r="D32" s="148" t="str">
        <v>U8</v>
      </c>
      <c r="E32" s="147" t="str">
        <f t="shared" si="0"/>
        <v>EURFUT3MU8_Quote</v>
      </c>
      <c r="F32" s="146" t="str">
        <f>_xll.qlSimpleQuote(E32,,PriceTickValue,Permanent,Trigger,ObjectOverwrite)</f>
        <v>EURFUT3MU8_Quote#0006</v>
      </c>
      <c r="G32" s="109" t="str">
        <f>_xll.ohRangeRetrieveError(F32)</f>
        <v/>
      </c>
      <c r="H32" s="145"/>
      <c r="J32" s="338"/>
      <c r="K32" s="344">
        <v>27</v>
      </c>
      <c r="L32" s="343" t="b">
        <v>1</v>
      </c>
      <c r="M32" s="266" t="str">
        <v>U8</v>
      </c>
      <c r="N32" s="342">
        <v>43362</v>
      </c>
      <c r="O32" s="266" t="str">
        <v>FEIU8</v>
      </c>
      <c r="P32" s="341">
        <v>43178</v>
      </c>
      <c r="Q32" s="266">
        <v>97.91</v>
      </c>
      <c r="R32" s="266">
        <v>97.924999999999997</v>
      </c>
      <c r="S32" s="266">
        <v>97.96</v>
      </c>
      <c r="T32" s="266">
        <v>98.045000000000002</v>
      </c>
      <c r="U32" s="269">
        <f>_xll.qlMidSafe($Q32,$R32)</f>
        <v>97.91749999999999</v>
      </c>
      <c r="V32" s="260"/>
      <c r="W32" s="340">
        <v>97.922499999999999</v>
      </c>
      <c r="X32" s="260"/>
      <c r="Y32" s="339">
        <v>97.91749999999999</v>
      </c>
      <c r="Z32" s="269" t="e">
        <f>_xll.qlSimpleQuoteSetValue(F32,Y32,Trigger)</f>
        <v>#N/A</v>
      </c>
      <c r="AA32" s="53"/>
      <c r="AB32" s="21"/>
      <c r="AC32" s="21"/>
      <c r="AD32" s="21"/>
      <c r="AE32" s="21"/>
      <c r="AF32" s="299">
        <f t="shared" si="1"/>
        <v>1.5000000000014779E-4</v>
      </c>
    </row>
    <row r="33" spans="1:32" x14ac:dyDescent="0.2">
      <c r="A33" s="150"/>
      <c r="B33" s="111">
        <v>28</v>
      </c>
      <c r="C33" s="149" t="b">
        <v>1</v>
      </c>
      <c r="D33" s="148" t="str">
        <v>Z8</v>
      </c>
      <c r="E33" s="147" t="str">
        <f t="shared" si="0"/>
        <v>EURFUT3MZ8_Quote</v>
      </c>
      <c r="F33" s="146" t="str">
        <f>_xll.qlSimpleQuote(E33,,PriceTickValue,Permanent,Trigger,ObjectOverwrite)</f>
        <v>EURFUT3MZ8_Quote#0006</v>
      </c>
      <c r="G33" s="109" t="str">
        <f>_xll.ohRangeRetrieveError(F33)</f>
        <v/>
      </c>
      <c r="H33" s="145"/>
      <c r="J33" s="338"/>
      <c r="K33" s="344">
        <v>28</v>
      </c>
      <c r="L33" s="343" t="b">
        <v>1</v>
      </c>
      <c r="M33" s="266" t="str">
        <v>Z8</v>
      </c>
      <c r="N33" s="342">
        <v>43453</v>
      </c>
      <c r="O33" s="266" t="str">
        <v>FEIZ8</v>
      </c>
      <c r="P33" s="341">
        <v>43269</v>
      </c>
      <c r="Q33" s="266">
        <v>97.825000000000003</v>
      </c>
      <c r="R33" s="266">
        <v>97.84</v>
      </c>
      <c r="S33" s="266">
        <v>97.825000000000003</v>
      </c>
      <c r="T33" s="266">
        <v>97.954999999999998</v>
      </c>
      <c r="U33" s="269">
        <f>_xll.qlMidSafe($Q33,$R33)</f>
        <v>97.83250000000001</v>
      </c>
      <c r="V33" s="260"/>
      <c r="W33" s="340">
        <v>97.835000000000008</v>
      </c>
      <c r="X33" s="260"/>
      <c r="Y33" s="339">
        <v>97.83250000000001</v>
      </c>
      <c r="Z33" s="269" t="e">
        <f>_xll.qlSimpleQuoteSetValue(F33,Y33,Trigger)</f>
        <v>#N/A</v>
      </c>
      <c r="AA33" s="53"/>
      <c r="AB33" s="21"/>
      <c r="AC33" s="21"/>
      <c r="AD33" s="21"/>
      <c r="AE33" s="21"/>
      <c r="AF33" s="299">
        <f t="shared" si="1"/>
        <v>1.4999999999986357E-4</v>
      </c>
    </row>
    <row r="34" spans="1:32" x14ac:dyDescent="0.2">
      <c r="A34" s="150"/>
      <c r="B34" s="111">
        <v>29</v>
      </c>
      <c r="C34" s="149" t="b">
        <v>1</v>
      </c>
      <c r="D34" s="148" t="str">
        <v>H9</v>
      </c>
      <c r="E34" s="147" t="str">
        <f t="shared" si="0"/>
        <v>EURFUT3MH9_Quote</v>
      </c>
      <c r="F34" s="146" t="str">
        <f>_xll.qlSimpleQuote(E34,,PriceTickValue,Permanent,Trigger,ObjectOverwrite)</f>
        <v>EURFUT3MH9_Quote#0006</v>
      </c>
      <c r="G34" s="109" t="str">
        <f>_xll.ohRangeRetrieveError(F34)</f>
        <v/>
      </c>
      <c r="H34" s="145"/>
      <c r="J34" s="338"/>
      <c r="K34" s="344">
        <v>29</v>
      </c>
      <c r="L34" s="343" t="b">
        <v>1</v>
      </c>
      <c r="M34" s="266" t="str">
        <v>H9</v>
      </c>
      <c r="N34" s="342">
        <v>43544</v>
      </c>
      <c r="O34" s="266" t="str">
        <v>FEIH9</v>
      </c>
      <c r="P34" s="341">
        <v>43360</v>
      </c>
      <c r="Q34" s="266">
        <v>97.734999999999999</v>
      </c>
      <c r="R34" s="266">
        <v>97.78</v>
      </c>
      <c r="S34" s="266">
        <v>97.81</v>
      </c>
      <c r="T34" s="266">
        <v>97.875</v>
      </c>
      <c r="U34" s="269">
        <f>_xll.qlMidSafe($Q34,$R34)</f>
        <v>97.757499999999993</v>
      </c>
      <c r="V34" s="260"/>
      <c r="W34" s="340">
        <v>97.759999999999991</v>
      </c>
      <c r="X34" s="260"/>
      <c r="Y34" s="339">
        <v>97.757499999999993</v>
      </c>
      <c r="Z34" s="269" t="e">
        <f>_xll.qlSimpleQuoteSetValue(F34,Y34,Trigger)</f>
        <v>#N/A</v>
      </c>
      <c r="AA34" s="53"/>
      <c r="AB34" s="21"/>
      <c r="AC34" s="21"/>
      <c r="AD34" s="21"/>
      <c r="AE34" s="21"/>
      <c r="AF34" s="299">
        <f t="shared" si="1"/>
        <v>4.5000000000015915E-4</v>
      </c>
    </row>
    <row r="35" spans="1:32" x14ac:dyDescent="0.2">
      <c r="A35" s="150"/>
      <c r="B35" s="111">
        <v>30</v>
      </c>
      <c r="C35" s="149" t="b">
        <v>1</v>
      </c>
      <c r="D35" s="148" t="str">
        <v>M9</v>
      </c>
      <c r="E35" s="147" t="str">
        <f t="shared" si="0"/>
        <v>EURFUT3MM9_Quote</v>
      </c>
      <c r="F35" s="146" t="str">
        <f>_xll.qlSimpleQuote(E35,,PriceTickValue,Permanent,Trigger,ObjectOverwrite)</f>
        <v>EURFUT3MM9_Quote#0006</v>
      </c>
      <c r="G35" s="109" t="str">
        <f>_xll.ohRangeRetrieveError(F35)</f>
        <v/>
      </c>
      <c r="H35" s="145"/>
      <c r="J35" s="338"/>
      <c r="K35" s="344">
        <v>30</v>
      </c>
      <c r="L35" s="343" t="b">
        <v>1</v>
      </c>
      <c r="M35" s="266" t="str">
        <v>M9</v>
      </c>
      <c r="N35" s="342">
        <v>43635</v>
      </c>
      <c r="O35" s="266" t="str">
        <v>FEIM9</v>
      </c>
      <c r="P35" s="341">
        <v>43451</v>
      </c>
      <c r="Q35" s="266">
        <v>97.65</v>
      </c>
      <c r="R35" s="266">
        <v>97.69</v>
      </c>
      <c r="S35" s="266">
        <v>0</v>
      </c>
      <c r="T35" s="266">
        <v>97.795000000000002</v>
      </c>
      <c r="U35" s="269">
        <f>_xll.qlMidSafe($Q35,$R35)</f>
        <v>97.67</v>
      </c>
      <c r="V35" s="260"/>
      <c r="W35" s="340">
        <v>97.672499999999999</v>
      </c>
      <c r="X35" s="260"/>
      <c r="Y35" s="339">
        <v>97.67</v>
      </c>
      <c r="Z35" s="269" t="e">
        <f>_xll.qlSimpleQuoteSetValue(F35,Y35,Trigger)</f>
        <v>#N/A</v>
      </c>
      <c r="AA35" s="53"/>
      <c r="AB35" s="21"/>
      <c r="AC35" s="21"/>
      <c r="AD35" s="21"/>
      <c r="AE35" s="21"/>
      <c r="AF35" s="299">
        <f t="shared" si="1"/>
        <v>3.9999999999992044E-4</v>
      </c>
    </row>
    <row r="36" spans="1:32" x14ac:dyDescent="0.2">
      <c r="A36" s="150"/>
      <c r="B36" s="111">
        <v>31</v>
      </c>
      <c r="C36" s="149" t="b">
        <v>1</v>
      </c>
      <c r="D36" s="148" t="str">
        <v>U9</v>
      </c>
      <c r="E36" s="147" t="str">
        <f t="shared" si="0"/>
        <v>EURFUT3MU9_Quote</v>
      </c>
      <c r="F36" s="146" t="str">
        <f>_xll.qlSimpleQuote(E36,,PriceTickValue,Permanent,Trigger,ObjectOverwrite)</f>
        <v>EURFUT3MU9_Quote#0006</v>
      </c>
      <c r="G36" s="109" t="str">
        <f>_xll.ohRangeRetrieveError(F36)</f>
        <v/>
      </c>
      <c r="H36" s="145"/>
      <c r="J36" s="338"/>
      <c r="K36" s="344">
        <v>31</v>
      </c>
      <c r="L36" s="343" t="b">
        <v>1</v>
      </c>
      <c r="M36" s="266" t="str">
        <v>U9</v>
      </c>
      <c r="N36" s="342">
        <v>43726</v>
      </c>
      <c r="O36" s="266" t="str">
        <v>FEIU9</v>
      </c>
      <c r="P36" s="341">
        <v>43542</v>
      </c>
      <c r="Q36" s="266">
        <v>0</v>
      </c>
      <c r="R36" s="266">
        <v>0</v>
      </c>
      <c r="S36" s="266">
        <v>0</v>
      </c>
      <c r="T36" s="266">
        <v>97.715000000000003</v>
      </c>
      <c r="U36" s="269" t="e">
        <f>_xll.qlMidSafe($Q36,$R36)</f>
        <v>#NUM!</v>
      </c>
      <c r="V36" s="260"/>
      <c r="W36" s="340" t="e">
        <v>#NUM!</v>
      </c>
      <c r="X36" s="260"/>
      <c r="Y36" s="339" t="e">
        <v>#NUM!</v>
      </c>
      <c r="Z36" s="269" t="e">
        <f>_xll.qlSimpleQuoteSetValue(F36,Y36,Trigger)</f>
        <v>#NUM!</v>
      </c>
      <c r="AA36" s="53"/>
      <c r="AB36" s="21"/>
      <c r="AC36" s="21"/>
      <c r="AD36" s="21"/>
      <c r="AE36" s="21"/>
      <c r="AF36" s="299" t="e">
        <f t="shared" si="1"/>
        <v>#NUM!</v>
      </c>
    </row>
    <row r="37" spans="1:32" x14ac:dyDescent="0.2">
      <c r="A37" s="150"/>
      <c r="B37" s="111">
        <v>32</v>
      </c>
      <c r="C37" s="149" t="b">
        <v>1</v>
      </c>
      <c r="D37" s="148" t="str">
        <v>Z9</v>
      </c>
      <c r="E37" s="147" t="str">
        <f t="shared" si="0"/>
        <v>EURFUT3MZ9_Quote</v>
      </c>
      <c r="F37" s="146" t="str">
        <f>_xll.qlSimpleQuote(E37,,PriceTickValue,Permanent,Trigger,ObjectOverwrite)</f>
        <v>EURFUT3MZ9_Quote#0006</v>
      </c>
      <c r="G37" s="109" t="str">
        <f>_xll.ohRangeRetrieveError(F37)</f>
        <v/>
      </c>
      <c r="H37" s="145"/>
      <c r="J37" s="338"/>
      <c r="K37" s="344">
        <v>32</v>
      </c>
      <c r="L37" s="343" t="b">
        <v>1</v>
      </c>
      <c r="M37" s="266" t="str">
        <v>Z9</v>
      </c>
      <c r="N37" s="342">
        <v>43817</v>
      </c>
      <c r="O37" s="266" t="str">
        <v>FEIZ9</v>
      </c>
      <c r="P37" s="341">
        <v>43633</v>
      </c>
      <c r="Q37" s="266">
        <v>0</v>
      </c>
      <c r="R37" s="266">
        <v>0</v>
      </c>
      <c r="S37" s="266">
        <v>0</v>
      </c>
      <c r="T37" s="266">
        <v>97.605000000000004</v>
      </c>
      <c r="U37" s="269" t="e">
        <f>_xll.qlMidSafe($Q37,$R37)</f>
        <v>#NUM!</v>
      </c>
      <c r="V37" s="260"/>
      <c r="W37" s="340" t="e">
        <v>#NUM!</v>
      </c>
      <c r="X37" s="260"/>
      <c r="Y37" s="339" t="e">
        <v>#NUM!</v>
      </c>
      <c r="Z37" s="269" t="e">
        <f>_xll.qlSimpleQuoteSetValue(F37,Y37,Trigger)</f>
        <v>#NUM!</v>
      </c>
      <c r="AA37" s="53"/>
      <c r="AB37" s="21"/>
      <c r="AC37" s="21"/>
      <c r="AD37" s="21"/>
      <c r="AE37" s="21"/>
      <c r="AF37" s="299" t="e">
        <f t="shared" si="1"/>
        <v>#NUM!</v>
      </c>
    </row>
    <row r="38" spans="1:32" x14ac:dyDescent="0.2">
      <c r="A38" s="150"/>
      <c r="B38" s="111">
        <v>33</v>
      </c>
      <c r="C38" s="149" t="b">
        <v>1</v>
      </c>
      <c r="D38" s="148" t="str">
        <v>H0</v>
      </c>
      <c r="E38" s="147" t="str">
        <f t="shared" ref="E38:E47" si="2">Currency&amp;$D$4&amp;$E$4&amp;$D38&amp;QuoteSuffix</f>
        <v>EURFUT3MH0_Quote</v>
      </c>
      <c r="F38" s="146" t="str">
        <f>_xll.qlSimpleQuote(E38,,PriceTickValue,Permanent,Trigger,ObjectOverwrite)</f>
        <v>EURFUT3MH0_Quote#0006</v>
      </c>
      <c r="G38" s="109" t="str">
        <f>_xll.ohRangeRetrieveError(F38)</f>
        <v/>
      </c>
      <c r="H38" s="145"/>
      <c r="J38" s="338"/>
      <c r="K38" s="344">
        <v>33</v>
      </c>
      <c r="L38" s="343" t="b">
        <v>1</v>
      </c>
      <c r="M38" s="266" t="str">
        <v>H0</v>
      </c>
      <c r="N38" s="342">
        <v>43908</v>
      </c>
      <c r="O38" s="266" t="str">
        <v>FEIH0</v>
      </c>
      <c r="P38" s="341" t="s">
        <v>259</v>
      </c>
      <c r="Q38" s="266" t="s">
        <v>259</v>
      </c>
      <c r="R38" s="266" t="s">
        <v>259</v>
      </c>
      <c r="S38" s="266" t="s">
        <v>259</v>
      </c>
      <c r="T38" s="266" t="s">
        <v>259</v>
      </c>
      <c r="U38" s="269" t="e">
        <f>_xll.qlMidSafe($Q38,$R38)</f>
        <v>#NUM!</v>
      </c>
      <c r="V38" s="260"/>
      <c r="W38" s="340" t="e">
        <v>#NUM!</v>
      </c>
      <c r="X38" s="260"/>
      <c r="Y38" s="339" t="e">
        <v>#NUM!</v>
      </c>
      <c r="Z38" s="269" t="e">
        <f>_xll.qlSimpleQuoteSetValue(F38,Y38,Trigger)</f>
        <v>#NUM!</v>
      </c>
      <c r="AA38" s="53"/>
      <c r="AB38" s="21"/>
      <c r="AC38" s="21"/>
      <c r="AD38" s="21"/>
      <c r="AE38" s="21"/>
      <c r="AF38" s="299" t="e">
        <f t="shared" si="1"/>
        <v>#VALUE!</v>
      </c>
    </row>
    <row r="39" spans="1:32" x14ac:dyDescent="0.2">
      <c r="A39" s="150"/>
      <c r="B39" s="111">
        <v>34</v>
      </c>
      <c r="C39" s="149" t="b">
        <v>1</v>
      </c>
      <c r="D39" s="148" t="str">
        <v>M0</v>
      </c>
      <c r="E39" s="147" t="str">
        <f t="shared" si="2"/>
        <v>EURFUT3MM0_Quote</v>
      </c>
      <c r="F39" s="146" t="str">
        <f>_xll.qlSimpleQuote(E39,,PriceTickValue,Permanent,Trigger,ObjectOverwrite)</f>
        <v>EURFUT3MM0_Quote#0006</v>
      </c>
      <c r="G39" s="109" t="str">
        <f>_xll.ohRangeRetrieveError(F39)</f>
        <v/>
      </c>
      <c r="H39" s="145"/>
      <c r="J39" s="338"/>
      <c r="K39" s="344">
        <v>34</v>
      </c>
      <c r="L39" s="343" t="b">
        <v>1</v>
      </c>
      <c r="M39" s="266" t="str">
        <v>M0</v>
      </c>
      <c r="N39" s="342">
        <v>43999</v>
      </c>
      <c r="O39" s="266" t="str">
        <v>FEIM0</v>
      </c>
      <c r="P39" s="341" t="s">
        <v>259</v>
      </c>
      <c r="Q39" s="266" t="s">
        <v>259</v>
      </c>
      <c r="R39" s="266" t="s">
        <v>259</v>
      </c>
      <c r="S39" s="266" t="s">
        <v>259</v>
      </c>
      <c r="T39" s="266" t="s">
        <v>259</v>
      </c>
      <c r="U39" s="269" t="e">
        <f>_xll.qlMidSafe($Q39,$R39)</f>
        <v>#NUM!</v>
      </c>
      <c r="V39" s="260"/>
      <c r="W39" s="340" t="e">
        <v>#NUM!</v>
      </c>
      <c r="X39" s="260"/>
      <c r="Y39" s="339" t="e">
        <v>#NUM!</v>
      </c>
      <c r="Z39" s="269" t="e">
        <f>_xll.qlSimpleQuoteSetValue(F39,Y39,Trigger)</f>
        <v>#NUM!</v>
      </c>
      <c r="AA39" s="53"/>
      <c r="AB39" s="21"/>
      <c r="AC39" s="21"/>
      <c r="AD39" s="21"/>
      <c r="AE39" s="21"/>
      <c r="AF39" s="299" t="e">
        <f t="shared" si="1"/>
        <v>#VALUE!</v>
      </c>
    </row>
    <row r="40" spans="1:32" x14ac:dyDescent="0.2">
      <c r="A40" s="150"/>
      <c r="B40" s="111">
        <v>35</v>
      </c>
      <c r="C40" s="149" t="b">
        <v>1</v>
      </c>
      <c r="D40" s="148" t="str">
        <v>U0</v>
      </c>
      <c r="E40" s="147" t="str">
        <f t="shared" si="2"/>
        <v>EURFUT3MU0_Quote</v>
      </c>
      <c r="F40" s="146" t="str">
        <f>_xll.qlSimpleQuote(E40,,PriceTickValue,Permanent,Trigger,ObjectOverwrite)</f>
        <v>EURFUT3MU0_Quote#0006</v>
      </c>
      <c r="G40" s="109" t="str">
        <f>_xll.ohRangeRetrieveError(F40)</f>
        <v/>
      </c>
      <c r="H40" s="145"/>
      <c r="J40" s="338"/>
      <c r="K40" s="344">
        <v>35</v>
      </c>
      <c r="L40" s="343" t="b">
        <v>1</v>
      </c>
      <c r="M40" s="266" t="str">
        <v>U0</v>
      </c>
      <c r="N40" s="342">
        <v>44090</v>
      </c>
      <c r="O40" s="266" t="str">
        <v>FEIU0</v>
      </c>
      <c r="P40" s="341" t="s">
        <v>259</v>
      </c>
      <c r="Q40" s="266" t="s">
        <v>259</v>
      </c>
      <c r="R40" s="266" t="s">
        <v>259</v>
      </c>
      <c r="S40" s="266" t="s">
        <v>259</v>
      </c>
      <c r="T40" s="266" t="s">
        <v>259</v>
      </c>
      <c r="U40" s="269" t="e">
        <f>_xll.qlMidSafe($Q40,$R40)</f>
        <v>#NUM!</v>
      </c>
      <c r="V40" s="260"/>
      <c r="W40" s="340" t="e">
        <v>#NUM!</v>
      </c>
      <c r="X40" s="260"/>
      <c r="Y40" s="339" t="e">
        <v>#NUM!</v>
      </c>
      <c r="Z40" s="269" t="e">
        <f>_xll.qlSimpleQuoteSetValue(F40,Y40,Trigger)</f>
        <v>#NUM!</v>
      </c>
      <c r="AA40" s="53"/>
      <c r="AB40" s="21"/>
      <c r="AC40" s="21"/>
      <c r="AD40" s="21"/>
      <c r="AE40" s="21"/>
      <c r="AF40" s="299" t="e">
        <f t="shared" si="1"/>
        <v>#VALUE!</v>
      </c>
    </row>
    <row r="41" spans="1:32" x14ac:dyDescent="0.2">
      <c r="A41" s="150"/>
      <c r="B41" s="111">
        <v>36</v>
      </c>
      <c r="C41" s="149" t="b">
        <v>1</v>
      </c>
      <c r="D41" s="148" t="str">
        <v>Z0</v>
      </c>
      <c r="E41" s="147" t="str">
        <f t="shared" si="2"/>
        <v>EURFUT3MZ0_Quote</v>
      </c>
      <c r="F41" s="146" t="str">
        <f>_xll.qlSimpleQuote(E41,,PriceTickValue,Permanent,Trigger,ObjectOverwrite)</f>
        <v>EURFUT3MZ0_Quote#0006</v>
      </c>
      <c r="G41" s="109" t="str">
        <f>_xll.ohRangeRetrieveError(F41)</f>
        <v/>
      </c>
      <c r="H41" s="145"/>
      <c r="J41" s="338"/>
      <c r="K41" s="344">
        <v>36</v>
      </c>
      <c r="L41" s="343" t="b">
        <v>1</v>
      </c>
      <c r="M41" s="266" t="str">
        <v>Z0</v>
      </c>
      <c r="N41" s="342">
        <v>44181</v>
      </c>
      <c r="O41" s="266" t="str">
        <v>FEIZ0</v>
      </c>
      <c r="P41" s="341" t="s">
        <v>259</v>
      </c>
      <c r="Q41" s="266" t="s">
        <v>259</v>
      </c>
      <c r="R41" s="266" t="s">
        <v>259</v>
      </c>
      <c r="S41" s="266" t="s">
        <v>259</v>
      </c>
      <c r="T41" s="266" t="s">
        <v>259</v>
      </c>
      <c r="U41" s="269" t="e">
        <f>_xll.qlMidSafe($Q41,$R41)</f>
        <v>#NUM!</v>
      </c>
      <c r="V41" s="260"/>
      <c r="W41" s="340" t="e">
        <v>#NUM!</v>
      </c>
      <c r="X41" s="260"/>
      <c r="Y41" s="339" t="e">
        <v>#NUM!</v>
      </c>
      <c r="Z41" s="269" t="e">
        <f>_xll.qlSimpleQuoteSetValue(F41,Y41,Trigger)</f>
        <v>#NUM!</v>
      </c>
      <c r="AA41" s="53"/>
      <c r="AB41" s="21"/>
      <c r="AC41" s="21"/>
      <c r="AD41" s="21"/>
      <c r="AE41" s="21"/>
      <c r="AF41" s="299" t="e">
        <f t="shared" si="1"/>
        <v>#VALUE!</v>
      </c>
    </row>
    <row r="42" spans="1:32" x14ac:dyDescent="0.2">
      <c r="A42" s="150"/>
      <c r="B42" s="111">
        <v>37</v>
      </c>
      <c r="C42" s="149" t="b">
        <v>1</v>
      </c>
      <c r="D42" s="148" t="str">
        <v>H1</v>
      </c>
      <c r="E42" s="147" t="str">
        <f t="shared" si="2"/>
        <v>EURFUT3MH1_Quote</v>
      </c>
      <c r="F42" s="146" t="str">
        <f>_xll.qlSimpleQuote(E42,,PriceTickValue,Permanent,Trigger,ObjectOverwrite)</f>
        <v>EURFUT3MH1_Quote#0006</v>
      </c>
      <c r="G42" s="109" t="str">
        <f>_xll.ohRangeRetrieveError(F42)</f>
        <v/>
      </c>
      <c r="H42" s="145"/>
      <c r="J42" s="338"/>
      <c r="K42" s="344">
        <v>37</v>
      </c>
      <c r="L42" s="343" t="b">
        <v>1</v>
      </c>
      <c r="M42" s="266" t="str">
        <v>H1</v>
      </c>
      <c r="N42" s="342">
        <v>44272</v>
      </c>
      <c r="O42" s="266" t="str">
        <v>FEIH1</v>
      </c>
      <c r="P42" s="341" t="s">
        <v>259</v>
      </c>
      <c r="Q42" s="266" t="s">
        <v>259</v>
      </c>
      <c r="R42" s="266" t="s">
        <v>259</v>
      </c>
      <c r="S42" s="266" t="s">
        <v>259</v>
      </c>
      <c r="T42" s="266" t="s">
        <v>259</v>
      </c>
      <c r="U42" s="269" t="e">
        <f>_xll.qlMidSafe($Q42,$R42)</f>
        <v>#NUM!</v>
      </c>
      <c r="V42" s="260"/>
      <c r="W42" s="340" t="e">
        <v>#NUM!</v>
      </c>
      <c r="X42" s="260"/>
      <c r="Y42" s="339" t="e">
        <v>#NUM!</v>
      </c>
      <c r="Z42" s="269" t="e">
        <f>_xll.qlSimpleQuoteSetValue(F42,Y42,Trigger)</f>
        <v>#NUM!</v>
      </c>
      <c r="AA42" s="53"/>
      <c r="AB42" s="21"/>
      <c r="AC42" s="21"/>
      <c r="AD42" s="21"/>
      <c r="AE42" s="21"/>
      <c r="AF42" s="299" t="e">
        <f t="shared" si="1"/>
        <v>#VALUE!</v>
      </c>
    </row>
    <row r="43" spans="1:32" x14ac:dyDescent="0.2">
      <c r="A43" s="150"/>
      <c r="B43" s="111">
        <v>38</v>
      </c>
      <c r="C43" s="149" t="b">
        <v>1</v>
      </c>
      <c r="D43" s="148" t="str">
        <v>M1</v>
      </c>
      <c r="E43" s="147" t="str">
        <f t="shared" si="2"/>
        <v>EURFUT3MM1_Quote</v>
      </c>
      <c r="F43" s="146" t="str">
        <f>_xll.qlSimpleQuote(E43,,PriceTickValue,Permanent,Trigger,ObjectOverwrite)</f>
        <v>EURFUT3MM1_Quote#0006</v>
      </c>
      <c r="G43" s="109" t="str">
        <f>_xll.ohRangeRetrieveError(F43)</f>
        <v/>
      </c>
      <c r="H43" s="145"/>
      <c r="J43" s="338"/>
      <c r="K43" s="344">
        <v>38</v>
      </c>
      <c r="L43" s="343" t="b">
        <v>1</v>
      </c>
      <c r="M43" s="266" t="str">
        <v>M1</v>
      </c>
      <c r="N43" s="342">
        <v>44363</v>
      </c>
      <c r="O43" s="266" t="str">
        <v>FEIM1</v>
      </c>
      <c r="P43" s="341" t="s">
        <v>259</v>
      </c>
      <c r="Q43" s="266" t="s">
        <v>259</v>
      </c>
      <c r="R43" s="266" t="s">
        <v>259</v>
      </c>
      <c r="S43" s="266" t="s">
        <v>259</v>
      </c>
      <c r="T43" s="266" t="s">
        <v>259</v>
      </c>
      <c r="U43" s="269" t="e">
        <f>_xll.qlMidSafe($Q43,$R43)</f>
        <v>#NUM!</v>
      </c>
      <c r="V43" s="260"/>
      <c r="W43" s="340" t="e">
        <v>#NUM!</v>
      </c>
      <c r="X43" s="260"/>
      <c r="Y43" s="339" t="e">
        <v>#NUM!</v>
      </c>
      <c r="Z43" s="269" t="e">
        <f>_xll.qlSimpleQuoteSetValue(F43,Y43,Trigger)</f>
        <v>#NUM!</v>
      </c>
      <c r="AA43" s="53"/>
      <c r="AB43" s="21"/>
      <c r="AC43" s="21"/>
      <c r="AD43" s="21"/>
      <c r="AE43" s="21"/>
      <c r="AF43" s="299" t="e">
        <f t="shared" si="1"/>
        <v>#VALUE!</v>
      </c>
    </row>
    <row r="44" spans="1:32" x14ac:dyDescent="0.2">
      <c r="A44" s="150"/>
      <c r="B44" s="111">
        <v>39</v>
      </c>
      <c r="C44" s="149" t="b">
        <v>1</v>
      </c>
      <c r="D44" s="148" t="str">
        <v>U1</v>
      </c>
      <c r="E44" s="147" t="str">
        <f t="shared" si="2"/>
        <v>EURFUT3MU1_Quote</v>
      </c>
      <c r="F44" s="146" t="str">
        <f>_xll.qlSimpleQuote(E44,,PriceTickValue,Permanent,Trigger,ObjectOverwrite)</f>
        <v>EURFUT3MU1_Quote#0006</v>
      </c>
      <c r="G44" s="109" t="str">
        <f>_xll.ohRangeRetrieveError(F44)</f>
        <v/>
      </c>
      <c r="H44" s="145"/>
      <c r="J44" s="338"/>
      <c r="K44" s="344">
        <v>39</v>
      </c>
      <c r="L44" s="343" t="b">
        <v>1</v>
      </c>
      <c r="M44" s="266" t="str">
        <v>U1</v>
      </c>
      <c r="N44" s="342">
        <v>44454</v>
      </c>
      <c r="O44" s="266" t="str">
        <v>FEIU1</v>
      </c>
      <c r="P44" s="341" t="s">
        <v>259</v>
      </c>
      <c r="Q44" s="266" t="s">
        <v>259</v>
      </c>
      <c r="R44" s="266" t="s">
        <v>259</v>
      </c>
      <c r="S44" s="266" t="s">
        <v>259</v>
      </c>
      <c r="T44" s="266" t="s">
        <v>259</v>
      </c>
      <c r="U44" s="269" t="e">
        <f>_xll.qlMidSafe($Q44,$R44)</f>
        <v>#NUM!</v>
      </c>
      <c r="V44" s="260"/>
      <c r="W44" s="340" t="e">
        <v>#NUM!</v>
      </c>
      <c r="X44" s="260"/>
      <c r="Y44" s="339" t="e">
        <v>#NUM!</v>
      </c>
      <c r="Z44" s="269" t="e">
        <f>_xll.qlSimpleQuoteSetValue(F44,Y44,Trigger)</f>
        <v>#NUM!</v>
      </c>
      <c r="AA44" s="53"/>
      <c r="AB44" s="21"/>
      <c r="AC44" s="21"/>
      <c r="AD44" s="21"/>
      <c r="AE44" s="21"/>
      <c r="AF44" s="299" t="e">
        <f t="shared" si="1"/>
        <v>#VALUE!</v>
      </c>
    </row>
    <row r="45" spans="1:32" x14ac:dyDescent="0.2">
      <c r="A45" s="150"/>
      <c r="B45" s="111">
        <v>40</v>
      </c>
      <c r="C45" s="149" t="b">
        <v>1</v>
      </c>
      <c r="D45" s="148" t="str">
        <v>Z1</v>
      </c>
      <c r="E45" s="147" t="str">
        <f t="shared" si="2"/>
        <v>EURFUT3MZ1_Quote</v>
      </c>
      <c r="F45" s="146" t="str">
        <f>_xll.qlSimpleQuote(E45,,PriceTickValue,Permanent,Trigger,ObjectOverwrite)</f>
        <v>EURFUT3MZ1_Quote#0006</v>
      </c>
      <c r="G45" s="109" t="str">
        <f>_xll.ohRangeRetrieveError(F45)</f>
        <v/>
      </c>
      <c r="H45" s="145"/>
      <c r="J45" s="338"/>
      <c r="K45" s="344">
        <v>40</v>
      </c>
      <c r="L45" s="343" t="b">
        <v>1</v>
      </c>
      <c r="M45" s="266" t="str">
        <v>Z1</v>
      </c>
      <c r="N45" s="342">
        <v>44545</v>
      </c>
      <c r="O45" s="266" t="str">
        <v>FEIZ1</v>
      </c>
      <c r="P45" s="341" t="s">
        <v>259</v>
      </c>
      <c r="Q45" s="266" t="s">
        <v>259</v>
      </c>
      <c r="R45" s="266" t="s">
        <v>259</v>
      </c>
      <c r="S45" s="266" t="s">
        <v>259</v>
      </c>
      <c r="T45" s="266" t="s">
        <v>259</v>
      </c>
      <c r="U45" s="269" t="e">
        <f>_xll.qlMidSafe($Q45,$R45)</f>
        <v>#NUM!</v>
      </c>
      <c r="V45" s="260"/>
      <c r="W45" s="340" t="e">
        <v>#NUM!</v>
      </c>
      <c r="X45" s="260"/>
      <c r="Y45" s="339" t="e">
        <v>#NUM!</v>
      </c>
      <c r="Z45" s="269" t="e">
        <f>_xll.qlSimpleQuoteSetValue(F45,Y45,Trigger)</f>
        <v>#NUM!</v>
      </c>
      <c r="AA45" s="53"/>
      <c r="AB45" s="21"/>
      <c r="AC45" s="21"/>
      <c r="AD45" s="21"/>
      <c r="AE45" s="21"/>
      <c r="AF45" s="299" t="e">
        <f t="shared" si="1"/>
        <v>#VALUE!</v>
      </c>
    </row>
    <row r="46" spans="1:32" x14ac:dyDescent="0.2">
      <c r="A46" s="150"/>
      <c r="B46" s="111">
        <v>41</v>
      </c>
      <c r="C46" s="149" t="b">
        <v>1</v>
      </c>
      <c r="D46" s="148" t="str">
        <v>H2</v>
      </c>
      <c r="E46" s="147" t="str">
        <f t="shared" si="2"/>
        <v>EURFUT3MH2_Quote</v>
      </c>
      <c r="F46" s="146" t="str">
        <f>_xll.qlSimpleQuote(E46,,PriceTickValue,Permanent,Trigger,ObjectOverwrite)</f>
        <v>EURFUT3MH2_Quote#0006</v>
      </c>
      <c r="G46" s="109" t="str">
        <f>_xll.ohRangeRetrieveError(F46)</f>
        <v/>
      </c>
      <c r="H46" s="145"/>
      <c r="J46" s="338"/>
      <c r="K46" s="344">
        <v>41</v>
      </c>
      <c r="L46" s="343" t="b">
        <v>1</v>
      </c>
      <c r="M46" s="266" t="str">
        <v>H2</v>
      </c>
      <c r="N46" s="342">
        <v>44636</v>
      </c>
      <c r="O46" s="266" t="str">
        <v>FEIH2</v>
      </c>
      <c r="P46" s="341" t="s">
        <v>259</v>
      </c>
      <c r="Q46" s="266" t="s">
        <v>259</v>
      </c>
      <c r="R46" s="266" t="s">
        <v>259</v>
      </c>
      <c r="S46" s="266" t="s">
        <v>259</v>
      </c>
      <c r="T46" s="266" t="s">
        <v>259</v>
      </c>
      <c r="U46" s="269" t="e">
        <f>_xll.qlMidSafe($Q46,$R46)</f>
        <v>#NUM!</v>
      </c>
      <c r="V46" s="260"/>
      <c r="W46" s="340" t="e">
        <v>#NUM!</v>
      </c>
      <c r="X46" s="260"/>
      <c r="Y46" s="339" t="e">
        <v>#NUM!</v>
      </c>
      <c r="Z46" s="269" t="e">
        <f>_xll.qlSimpleQuoteSetValue(F46,Y46,Trigger)</f>
        <v>#NUM!</v>
      </c>
      <c r="AA46" s="53"/>
      <c r="AB46" s="21"/>
      <c r="AC46" s="21"/>
      <c r="AD46" s="21"/>
      <c r="AE46" s="21"/>
      <c r="AF46" s="299" t="e">
        <f t="shared" si="1"/>
        <v>#VALUE!</v>
      </c>
    </row>
    <row r="47" spans="1:32" x14ac:dyDescent="0.2">
      <c r="A47" s="150"/>
      <c r="B47" s="111">
        <v>42</v>
      </c>
      <c r="C47" s="149" t="b">
        <v>1</v>
      </c>
      <c r="D47" s="148" t="str">
        <v>M2</v>
      </c>
      <c r="E47" s="147" t="str">
        <f t="shared" si="2"/>
        <v>EURFUT3MM2_Quote</v>
      </c>
      <c r="F47" s="146" t="str">
        <f>_xll.qlSimpleQuote(E47,,PriceTickValue,Permanent,Trigger,ObjectOverwrite)</f>
        <v>EURFUT3MM2_Quote#0006</v>
      </c>
      <c r="G47" s="109" t="str">
        <f>_xll.ohRangeRetrieveError(F47)</f>
        <v/>
      </c>
      <c r="H47" s="145"/>
      <c r="J47" s="338"/>
      <c r="K47" s="337">
        <v>42</v>
      </c>
      <c r="L47" s="336" t="b">
        <v>1</v>
      </c>
      <c r="M47" s="258" t="str">
        <v>M2</v>
      </c>
      <c r="N47" s="335">
        <v>44727</v>
      </c>
      <c r="O47" s="258" t="str">
        <v>FEIM2</v>
      </c>
      <c r="P47" s="334" t="s">
        <v>259</v>
      </c>
      <c r="Q47" s="258" t="s">
        <v>259</v>
      </c>
      <c r="R47" s="258" t="s">
        <v>259</v>
      </c>
      <c r="S47" s="258" t="s">
        <v>259</v>
      </c>
      <c r="T47" s="258" t="s">
        <v>259</v>
      </c>
      <c r="U47" s="262" t="e">
        <f>_xll.qlMidSafe($Q47,$R47)</f>
        <v>#NUM!</v>
      </c>
      <c r="V47" s="260"/>
      <c r="W47" s="333" t="e">
        <v>#NUM!</v>
      </c>
      <c r="X47" s="260"/>
      <c r="Y47" s="332" t="e">
        <v>#NUM!</v>
      </c>
      <c r="Z47" s="262" t="e">
        <f>_xll.qlSimpleQuoteSetValue(F47,Y47,Trigger)</f>
        <v>#NUM!</v>
      </c>
      <c r="AA47" s="53"/>
      <c r="AB47" s="21"/>
      <c r="AC47" s="21"/>
      <c r="AD47" s="21"/>
      <c r="AE47" s="21"/>
      <c r="AF47" s="299" t="e">
        <f t="shared" si="1"/>
        <v>#VALUE!</v>
      </c>
    </row>
    <row r="48" spans="1:32" ht="12" thickBot="1" x14ac:dyDescent="0.25">
      <c r="A48" s="144"/>
      <c r="B48" s="143"/>
      <c r="C48" s="143"/>
      <c r="D48" s="143"/>
      <c r="E48" s="143"/>
      <c r="F48" s="143"/>
      <c r="G48" s="143"/>
      <c r="H48" s="142"/>
      <c r="J48" s="331"/>
      <c r="K48" s="51"/>
      <c r="L48" s="51"/>
      <c r="M48" s="51"/>
      <c r="N48" s="51"/>
      <c r="O48" s="51"/>
      <c r="P48" s="51"/>
      <c r="Q48" s="51"/>
      <c r="R48" s="51"/>
      <c r="S48" s="51"/>
      <c r="T48" s="51"/>
      <c r="U48" s="51"/>
      <c r="V48" s="51"/>
      <c r="W48" s="51"/>
      <c r="X48" s="51"/>
      <c r="Y48" s="51"/>
      <c r="Z48" s="51"/>
      <c r="AA48" s="50"/>
      <c r="AB48" s="21"/>
      <c r="AC48" s="21"/>
      <c r="AD48" s="21"/>
      <c r="AE48" s="21"/>
      <c r="AF48" s="21"/>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6</v>
      </c>
      <c r="AB4" s="353"/>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EURIMMFRA6MF4_Quote#0006</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EURIMMFRA6MG4_Quote#0006</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EURIMMFRA6MH4_Quote#0006</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EURIMMFRA6MJ4_Quote#0006</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EURIMMFRA6MK4_Quote#0006</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EURIMMFRA6MM4_Quote#0006</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EURIMMFRA6MN4_Quote#0006</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EURIMMFRA6MQ4_Quote#0006</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EURIMMFRA6MU4_Quote#0006</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EURIMMFRA6MV4_Quote#0006</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EURIMMFRA6MX4_Quote#0006</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EURIMMFRA6MZ4_Quote#0006</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EURIMMFRA6MF5_Quote#0006</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EURIMMFRA6MG5_Quote#0006</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EURIMMFRA6MH5_Quote#0006</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EURIMMFRA6MJ5_Quote#0006</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EURIMMFRA6MK5_Quote#0006</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EURIMMFRA6MM5_Quote#0006</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EURIMMFRA6MN5_Quote#0006</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EURIMMFRA6MQ5_Quote#0006</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EURIMMFRA6MU5_Quote#0006</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EURIMMFRA6MV5_Quote#0006</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EURIMMFRA6MX5_Quote#0006</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EURIMMFRA6MZ5_Quote#0006</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EURIMMFRA6MF6_Quote#0006</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EURIMMFRA6MG6_Quote#0006</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EURIMMFRA6MH6_Quote#0006</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EURIMMFRA6MJ6_Quote#0006</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EURIMMFRA6MK6_Quote#0006</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EURIMMFRA6MM6_Quote#0006</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EURIMMFRA6MN6_Quote#0006</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EURIMMFRA6MQ6_Quote#0006</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EURIMMFRA6MU6_Quote#0006</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EURIMMFRA6MV6_Quote#0006</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EURIMMFRA6MX6_Quote#0006</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EURIMMFRA6MZ6_Quote#0006</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EURIMMFRA6MF7_Quote#0006</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EURIMMFRA6MG7_Quote#0006</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EURIMMFRA6MH7_Quote#0006</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EURIMMFRA6MJ7_Quote#0006</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EURIMMFRA6MK7_Quote#0006</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EURIMMFRA6MM7_Quote#0006</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EURIMMFRA6MN7_Quote#0006</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EURIMMFRA6MQ7_Quote#0006</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EURIMMFRA6MU7_Quote#0006</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EURIMMFRA6MV7_Quote#0006</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EURIMMFRA6MX7_Quote#0006</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EURIMMFRA6MZ7_Quote#0006</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EURIMMFRA6MF8_Quote#0006</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EURIMMFRA6MG8_Quote#0006</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EURIMMFRA6MH8_Quote#0006</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EURIMMFRA6MJ8_Quote#0006</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EURIMMFRA6MK8_Quote#0006</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EURIMMFRA6MM8_Quote#0006</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EURIMMFRA6MN8_Quote#0006</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EURIMMFRA6MQ8_Quote#0006</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EURIMMFRA6MU8_Quote#0006</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EURIMMFRA6MV8_Quote#0006</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EURIMMFRA6MX8_Quote#0006</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EURIMMFRA6MZ8_Quote#0006</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EURIMMFRA6MF9_Quote#0006</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EURIMMFRA6MG9_Quote#0006</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EURIMMFRA6MH9_Quote#0006</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EURIMMFRA6MJ9_Quote#0006</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EURIMMFRA6MK9_Quote#0006</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EURIMMFRA6MM9_Quote#0006</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EURIMMFRA6MN9_Quote#0006</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EURIMMFRA6MQ9_Quote#0006</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EURIMMFRA6MU9_Quote#0006</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EURIMMFRA6MV9_Quote#0006</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EURIMMFRA6MX9_Quote#0006</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EURIMMFRA6MZ9_Quote#0006</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EURIMMFRA6MF0_Quote#0006</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EURIMMFRA6MG0_Quote#0006</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EURIMMFRA6MH0_Quote#0006</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EURIMMFRA6MJ0_Quote#0006</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EURIMMFRA6MK0_Quote#0006</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EURIMMFRA6MM0_Quote#0006</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EURIMMFRA6MN0_Quote#0006</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EURIMMFRA6MQ0_Quote#0006</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EURIMMFRA6MU0_Quote#0006</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EURIMMFRA6MV0_Quote#0006</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EURIMMFRA6MX0_Quote#0006</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EURIMMFRA6MZ0_Quote#0006</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EURIMMFRA6MF1_Quote#0006</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EURIMMFRA6MG1_Quote#0006</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EURIMMFRA6MH1_Quote#0006</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EURIMMFRA6MJ1_Quote#0006</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EURIMMFRA6MK1_Quote#0006</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EURIMMFRA6MM1_Quote#0006</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EURIMMFRA6MN1_Quote#0006</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EURIMMFRA6MQ1_Quote#0006</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EURIMMFRA6MU1_Quote#0006</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EURIMMFRA6MV1_Quote#0006</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EURIMMFRA6MX1_Quote#0006</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EURIMMFRA6MZ1_Quote#0006</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EURIMMFRA6MF2_Quote#0006</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EURIMMFRA6MG2_Quote#0006</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EURIMMFRA6MH2_Quote#0006</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EURIMMFRA6MJ2_Quote#0006</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EURIMMFRA6MK2_Quote#0006</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EURIMMFRA6MM2_Quote#0006</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EURIMMFRA6MN2_Quote#0006</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EURIMMFRA6MQ2_Quote#0006</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EURIMMFRA6MU2_Quote#0006</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EURIMMFRA6MV2_Quote#0006</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EURIMMFRA6MX2_Quote#0006</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EURIMMFRA6MZ2_Quote#0006</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EURIMMFRA6MF3_Quote#0006</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EURIMMFRA6MG3_Quote#0006</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EURIMMFRA6MH3_Quote#0006</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EURIMMFRA6MJ3_Quote#0006</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EURIMMFRA6MK3_Quote#0006</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EURIMMFRA6MM3_Quote#0006</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EURIMMFRA6MN3_Quote#0006</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EURIMMFRA6MQ3_Quote#0006</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EURIMMFRA6MU3_Quote#0006</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EURIMMFRA6MV3_Quote#0006</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EURIMMFRA6MX3_Quote#0006</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EURIMMFRA6MZ3_Quote#0006</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7" width="9.140625" style="72"/>
    <col min="18" max="19" width="2.7109375" style="72" customWidth="1"/>
    <col min="20" max="16384" width="9.140625" style="72"/>
  </cols>
  <sheetData>
    <row r="1" spans="1:22" x14ac:dyDescent="0.2">
      <c r="G1" s="297" t="s">
        <v>310</v>
      </c>
      <c r="H1" s="203"/>
      <c r="I1" s="203"/>
      <c r="J1" s="203"/>
      <c r="K1" s="203"/>
      <c r="L1" s="203"/>
      <c r="M1" s="203"/>
      <c r="N1" s="203"/>
      <c r="O1" s="203"/>
      <c r="P1" s="203"/>
      <c r="Q1" s="203"/>
      <c r="R1" s="200"/>
      <c r="S1" s="21"/>
      <c r="T1" s="21"/>
      <c r="U1" s="21"/>
      <c r="V1" s="21"/>
    </row>
    <row r="2" spans="1:22" x14ac:dyDescent="0.2">
      <c r="G2" s="296"/>
      <c r="H2" s="148" t="s">
        <v>235</v>
      </c>
      <c r="I2" s="141"/>
      <c r="J2" s="141"/>
      <c r="K2" s="141"/>
      <c r="L2" s="141"/>
      <c r="M2" s="141"/>
      <c r="N2" s="141"/>
      <c r="O2" s="141"/>
      <c r="P2" s="141"/>
      <c r="Q2" s="141"/>
      <c r="R2" s="53"/>
      <c r="S2" s="21"/>
      <c r="T2" s="21"/>
      <c r="U2" s="21"/>
      <c r="V2" s="21"/>
    </row>
    <row r="3" spans="1:22" x14ac:dyDescent="0.2">
      <c r="A3" s="117" t="s">
        <v>190</v>
      </c>
      <c r="B3" s="116"/>
      <c r="C3" s="116"/>
      <c r="D3" s="116"/>
      <c r="E3" s="115"/>
      <c r="G3" s="296"/>
      <c r="H3" s="141"/>
      <c r="I3" s="141"/>
      <c r="J3" s="141"/>
      <c r="K3" s="141"/>
      <c r="L3" s="141"/>
      <c r="M3" s="141"/>
      <c r="N3" s="141"/>
      <c r="O3" s="141"/>
      <c r="P3" s="141"/>
      <c r="Q3" s="291">
        <f>_xll.ohTrigger(Q5:Q9)</f>
        <v>6</v>
      </c>
      <c r="R3" s="53"/>
      <c r="S3" s="21"/>
      <c r="T3" s="21"/>
      <c r="U3" s="21" t="s">
        <v>113</v>
      </c>
      <c r="V3" s="21"/>
    </row>
    <row r="4" spans="1:22"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1" t="s">
        <v>258</v>
      </c>
      <c r="J4" s="372"/>
      <c r="K4" s="446" t="s">
        <v>280</v>
      </c>
      <c r="L4" s="447"/>
      <c r="M4" s="372"/>
      <c r="N4" s="288" t="s">
        <v>252</v>
      </c>
      <c r="O4" s="370"/>
      <c r="P4" s="441" t="s">
        <v>250</v>
      </c>
      <c r="Q4" s="289" t="s">
        <v>249</v>
      </c>
      <c r="R4" s="53"/>
      <c r="S4" s="21"/>
      <c r="T4" s="21"/>
      <c r="U4" s="21"/>
      <c r="V4" s="21"/>
    </row>
    <row r="5" spans="1:22" x14ac:dyDescent="0.2">
      <c r="A5" s="167"/>
      <c r="B5" s="166" t="str">
        <f>Currency&amp;"HW_Volatility"&amp;QuoteSuffix</f>
        <v>EURHW_Volatility_Quote</v>
      </c>
      <c r="C5" s="166" t="str">
        <f>_xll.qlSimpleQuote(B5,,,Permanent,Trigger,ObjectOverwrite)</f>
        <v>EURHW_Volatility_Quote#0006</v>
      </c>
      <c r="D5" s="109" t="str">
        <f>_xll.ohRangeRetrieveError(C5)</f>
        <v/>
      </c>
      <c r="E5" s="165"/>
      <c r="G5" s="296"/>
      <c r="H5" s="380" t="str">
        <f>VLOOKUP(Currency,$T$5:$V$9,2)&amp;U3&amp;VLOOKUP(Currency,$T$5:$V$9,3)&amp;"ATM="&amp;VLOOKUP(Contributor,ContributorTable,2,FALSE)</f>
        <v>EU4Y6LATM=ICAP</v>
      </c>
      <c r="I5" s="379">
        <v>65.53</v>
      </c>
      <c r="J5" s="372"/>
      <c r="K5" s="282" t="s">
        <v>279</v>
      </c>
      <c r="L5" s="377">
        <f>I5/100*IF(ISNUMBER(Swap3M4Y),Swap3M4Y/100,Swap6M4Y/100)*0</f>
        <v>0</v>
      </c>
      <c r="M5" s="372"/>
      <c r="N5" s="378">
        <v>0</v>
      </c>
      <c r="O5" s="370"/>
      <c r="P5" s="279">
        <f t="array" ref="P5:P6">QuoteLive</f>
        <v>0</v>
      </c>
      <c r="Q5" s="377" t="e">
        <f>_xll.qlSimpleQuoteSetValue(C5,ROUND(P5,6),Trigger)</f>
        <v>#N/A</v>
      </c>
      <c r="R5" s="53"/>
      <c r="S5" s="21"/>
      <c r="T5" s="93" t="s">
        <v>137</v>
      </c>
      <c r="U5" s="376" t="s">
        <v>278</v>
      </c>
      <c r="V5" s="375" t="s">
        <v>132</v>
      </c>
    </row>
    <row r="6" spans="1:22" x14ac:dyDescent="0.2">
      <c r="A6" s="167"/>
      <c r="B6" s="166" t="str">
        <f>Currency&amp;"HW_MeanReversion"&amp;QuoteSuffix</f>
        <v>EURHW_MeanReversion_Quote</v>
      </c>
      <c r="C6" s="166" t="str">
        <f>_xll.qlSimpleQuote(B6,,,Permanent,Trigger,ObjectOverwrite)</f>
        <v>EURHW_MeanReversion_Quote#0006</v>
      </c>
      <c r="D6" s="109" t="str">
        <f>_xll.ohRangeRetrieveError(C6)</f>
        <v/>
      </c>
      <c r="E6" s="165"/>
      <c r="G6" s="296"/>
      <c r="H6" s="369"/>
      <c r="I6" s="374"/>
      <c r="J6" s="372"/>
      <c r="K6" s="373" t="s">
        <v>277</v>
      </c>
      <c r="L6" s="368">
        <v>0.03</v>
      </c>
      <c r="M6" s="372"/>
      <c r="N6" s="371">
        <v>0.03</v>
      </c>
      <c r="O6" s="370"/>
      <c r="P6" s="442">
        <v>0.03</v>
      </c>
      <c r="Q6" s="368" t="e">
        <f>_xll.qlSimpleQuoteSetValue(C6,ROUND(P6,6),Trigger)</f>
        <v>#N/A</v>
      </c>
      <c r="R6" s="53"/>
      <c r="S6" s="21"/>
      <c r="T6" s="90" t="s">
        <v>123</v>
      </c>
      <c r="U6" s="329" t="s">
        <v>276</v>
      </c>
      <c r="V6" s="367" t="s">
        <v>132</v>
      </c>
    </row>
    <row r="7" spans="1:22" ht="12" thickBot="1" x14ac:dyDescent="0.25">
      <c r="A7" s="164"/>
      <c r="B7" s="163"/>
      <c r="C7" s="163"/>
      <c r="D7" s="163"/>
      <c r="E7" s="162"/>
      <c r="G7" s="52"/>
      <c r="H7" s="51"/>
      <c r="I7" s="51"/>
      <c r="J7" s="51"/>
      <c r="K7" s="51"/>
      <c r="L7" s="51"/>
      <c r="M7" s="51"/>
      <c r="N7" s="51"/>
      <c r="O7" s="51"/>
      <c r="P7" s="51"/>
      <c r="Q7" s="51"/>
      <c r="R7" s="50"/>
      <c r="S7" s="21"/>
      <c r="T7" s="90" t="s">
        <v>134</v>
      </c>
      <c r="U7" s="329" t="s">
        <v>275</v>
      </c>
      <c r="V7" s="367" t="s">
        <v>130</v>
      </c>
    </row>
    <row r="8" spans="1:22" x14ac:dyDescent="0.2">
      <c r="G8" s="21"/>
      <c r="H8" s="21"/>
      <c r="I8" s="21"/>
      <c r="J8" s="21"/>
      <c r="K8" s="21"/>
      <c r="L8" s="21"/>
      <c r="M8" s="21"/>
      <c r="N8" s="21"/>
      <c r="O8" s="21"/>
      <c r="P8" s="21"/>
      <c r="Q8" s="21"/>
      <c r="R8" s="21"/>
      <c r="S8" s="21"/>
      <c r="T8" s="90" t="s">
        <v>133</v>
      </c>
      <c r="U8" s="329" t="s">
        <v>274</v>
      </c>
      <c r="V8" s="367" t="s">
        <v>132</v>
      </c>
    </row>
    <row r="9" spans="1:22" ht="12" thickBot="1" x14ac:dyDescent="0.25">
      <c r="G9" s="21"/>
      <c r="H9" s="21"/>
      <c r="I9" s="21"/>
      <c r="J9" s="21"/>
      <c r="K9" s="21"/>
      <c r="L9" s="21"/>
      <c r="M9" s="21"/>
      <c r="N9" s="21"/>
      <c r="O9" s="21"/>
      <c r="P9" s="21"/>
      <c r="Q9" s="21"/>
      <c r="R9" s="21"/>
      <c r="S9" s="21"/>
      <c r="T9" s="87" t="s">
        <v>131</v>
      </c>
      <c r="U9" s="366" t="s">
        <v>273</v>
      </c>
      <c r="V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6</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6"/>
      <c r="L4" s="198"/>
      <c r="M4" s="198"/>
      <c r="N4" s="198"/>
      <c r="O4" s="290" t="e">
        <f ca="1">_xll.RData(O5:O40,P4:S4,,ReutersRtMode,,P5)</f>
        <v>#NAME?</v>
      </c>
      <c r="P4" s="327" t="s">
        <v>258</v>
      </c>
      <c r="Q4" s="327" t="s">
        <v>225</v>
      </c>
      <c r="R4" s="327" t="s">
        <v>240</v>
      </c>
      <c r="S4" s="327" t="s">
        <v>257</v>
      </c>
      <c r="T4" s="286" t="s">
        <v>256</v>
      </c>
      <c r="U4" s="260"/>
      <c r="V4" s="288" t="s">
        <v>252</v>
      </c>
      <c r="W4" s="260"/>
      <c r="X4" s="437"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EUREONSW_Quote#0006</v>
      </c>
      <c r="G5" s="176" t="str">
        <f>_xll.ohRangeRetrieveError(F5)</f>
        <v/>
      </c>
      <c r="H5" s="175"/>
      <c r="J5" s="126"/>
      <c r="K5" s="405"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EUREON2W_Quote#0006</v>
      </c>
      <c r="G6" s="176" t="str">
        <f>_xll.ohRangeRetrieveError(F6)</f>
        <v/>
      </c>
      <c r="H6" s="175"/>
      <c r="J6" s="126"/>
      <c r="K6" s="405"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EUREON3W_Quote#0006</v>
      </c>
      <c r="G7" s="176" t="str">
        <f>_xll.ohRangeRetrieveError(F7)</f>
        <v/>
      </c>
      <c r="H7" s="175"/>
      <c r="J7" s="126"/>
      <c r="K7" s="405"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EUREON1M_Quote#0006</v>
      </c>
      <c r="G8" s="176" t="str">
        <f>_xll.ohRangeRetrieveError(F8)</f>
        <v/>
      </c>
      <c r="H8" s="175"/>
      <c r="J8" s="126"/>
      <c r="K8" s="405"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EUREON2M_Quote#0006</v>
      </c>
      <c r="G9" s="176" t="str">
        <f>_xll.ohRangeRetrieveError(F9)</f>
        <v/>
      </c>
      <c r="H9" s="175"/>
      <c r="J9" s="126"/>
      <c r="K9" s="405"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EUREON3M_Quote#0006</v>
      </c>
      <c r="G10" s="176" t="str">
        <f>_xll.ohRangeRetrieveError(F10)</f>
        <v/>
      </c>
      <c r="H10" s="175"/>
      <c r="J10" s="126"/>
      <c r="K10" s="405"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EUREON4M_Quote#0006</v>
      </c>
      <c r="G11" s="176" t="str">
        <f>_xll.ohRangeRetrieveError(F11)</f>
        <v/>
      </c>
      <c r="H11" s="175"/>
      <c r="J11" s="126"/>
      <c r="K11" s="405"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EUREON5M_Quote#0006</v>
      </c>
      <c r="G12" s="176" t="str">
        <f>_xll.ohRangeRetrieveError(F12)</f>
        <v/>
      </c>
      <c r="H12" s="175"/>
      <c r="J12" s="126"/>
      <c r="K12" s="405"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EUREON6M_Quote#0006</v>
      </c>
      <c r="G13" s="176" t="str">
        <f>_xll.ohRangeRetrieveError(F13)</f>
        <v/>
      </c>
      <c r="H13" s="175"/>
      <c r="J13" s="126"/>
      <c r="K13" s="405"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EUREON7M_Quote#0006</v>
      </c>
      <c r="G14" s="176" t="str">
        <f>_xll.ohRangeRetrieveError(F14)</f>
        <v/>
      </c>
      <c r="H14" s="175"/>
      <c r="J14" s="126"/>
      <c r="K14" s="405"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EUREON8M_Quote#0006</v>
      </c>
      <c r="G15" s="176" t="str">
        <f>_xll.ohRangeRetrieveError(F15)</f>
        <v/>
      </c>
      <c r="H15" s="175"/>
      <c r="J15" s="126"/>
      <c r="K15" s="405"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EUREON9M_Quote#0006</v>
      </c>
      <c r="G16" s="176" t="str">
        <f>_xll.ohRangeRetrieveError(F16)</f>
        <v/>
      </c>
      <c r="H16" s="175"/>
      <c r="J16" s="126"/>
      <c r="K16" s="405"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EUREON10M_Quote#0006</v>
      </c>
      <c r="G17" s="176" t="str">
        <f>_xll.ohRangeRetrieveError(F17)</f>
        <v/>
      </c>
      <c r="H17" s="175"/>
      <c r="J17" s="126"/>
      <c r="K17" s="405"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EUREON11M_Quote#0006</v>
      </c>
      <c r="G18" s="176" t="str">
        <f>_xll.ohRangeRetrieveError(F18)</f>
        <v/>
      </c>
      <c r="H18" s="175"/>
      <c r="J18" s="126"/>
      <c r="K18" s="405"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EUREON1Y_Quote#0006</v>
      </c>
      <c r="G19" s="176" t="str">
        <f>_xll.ohRangeRetrieveError(F19)</f>
        <v/>
      </c>
      <c r="H19" s="175"/>
      <c r="J19" s="126"/>
      <c r="K19" s="405"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EUREON15M_Quote#0006</v>
      </c>
      <c r="G20" s="176" t="str">
        <f>_xll.ohRangeRetrieveError(F20)</f>
        <v/>
      </c>
      <c r="H20" s="175"/>
      <c r="J20" s="126"/>
      <c r="K20" s="405"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EUREON18M_Quote#0006</v>
      </c>
      <c r="G21" s="176" t="str">
        <f>_xll.ohRangeRetrieveError(F21)</f>
        <v/>
      </c>
      <c r="H21" s="175"/>
      <c r="J21" s="126"/>
      <c r="K21" s="405"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EUREON21M_Quote#0006</v>
      </c>
      <c r="G22" s="176" t="str">
        <f>_xll.ohRangeRetrieveError(F22)</f>
        <v/>
      </c>
      <c r="H22" s="175"/>
      <c r="J22" s="126"/>
      <c r="K22" s="405"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EUREON2Y_Quote#0006</v>
      </c>
      <c r="G23" s="176" t="str">
        <f>_xll.ohRangeRetrieveError(F23)</f>
        <v/>
      </c>
      <c r="H23" s="175"/>
      <c r="J23" s="126"/>
      <c r="K23" s="405"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EUREON3Y_Quote#0006</v>
      </c>
      <c r="G24" s="176" t="str">
        <f>_xll.ohRangeRetrieveError(F24)</f>
        <v/>
      </c>
      <c r="H24" s="175"/>
      <c r="J24" s="126"/>
      <c r="K24" s="405"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EUREON4Y_Quote#0006</v>
      </c>
      <c r="G25" s="176" t="str">
        <f>_xll.ohRangeRetrieveError(F25)</f>
        <v/>
      </c>
      <c r="H25" s="175"/>
      <c r="J25" s="126"/>
      <c r="K25" s="405"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EUREON5Y_Quote#0006</v>
      </c>
      <c r="G26" s="176" t="str">
        <f>_xll.ohRangeRetrieveError(F26)</f>
        <v/>
      </c>
      <c r="H26" s="175"/>
      <c r="J26" s="126"/>
      <c r="K26" s="405"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EUREON6Y_Quote#0006</v>
      </c>
      <c r="G27" s="176" t="str">
        <f>_xll.ohRangeRetrieveError(F27)</f>
        <v/>
      </c>
      <c r="H27" s="175"/>
      <c r="J27" s="126"/>
      <c r="K27" s="405"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EUREON7Y_Quote#0006</v>
      </c>
      <c r="G28" s="176" t="str">
        <f>_xll.ohRangeRetrieveError(F28)</f>
        <v/>
      </c>
      <c r="H28" s="175"/>
      <c r="J28" s="126"/>
      <c r="K28" s="405"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EUREON8Y_Quote#0006</v>
      </c>
      <c r="G29" s="176" t="str">
        <f>_xll.ohRangeRetrieveError(F29)</f>
        <v/>
      </c>
      <c r="H29" s="175"/>
      <c r="J29" s="126"/>
      <c r="K29" s="405"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EUREON9Y_Quote#0006</v>
      </c>
      <c r="G30" s="176" t="str">
        <f>_xll.ohRangeRetrieveError(F30)</f>
        <v/>
      </c>
      <c r="H30" s="175"/>
      <c r="J30" s="126"/>
      <c r="K30" s="405"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EUREON10Y_Quote#0006</v>
      </c>
      <c r="G31" s="176" t="str">
        <f>_xll.ohRangeRetrieveError(F31)</f>
        <v/>
      </c>
      <c r="H31" s="175"/>
      <c r="J31" s="126"/>
      <c r="K31" s="405"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EUREON11Y_Quote#0006</v>
      </c>
      <c r="G32" s="176" t="str">
        <f>_xll.ohRangeRetrieveError(F32)</f>
        <v/>
      </c>
      <c r="H32" s="175"/>
      <c r="J32" s="126"/>
      <c r="K32" s="405"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EUREON12Y_Quote#0006</v>
      </c>
      <c r="G33" s="176" t="str">
        <f>_xll.ohRangeRetrieveError(F33)</f>
        <v/>
      </c>
      <c r="H33" s="175"/>
      <c r="J33" s="126"/>
      <c r="K33" s="405"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EUREON15Y_Quote#0006</v>
      </c>
      <c r="G34" s="176" t="str">
        <f>_xll.ohRangeRetrieveError(F34)</f>
        <v/>
      </c>
      <c r="H34" s="175"/>
      <c r="J34" s="126"/>
      <c r="K34" s="405"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EUREON20Y_Quote#0006</v>
      </c>
      <c r="G35" s="176" t="str">
        <f>_xll.ohRangeRetrieveError(F35)</f>
        <v/>
      </c>
      <c r="H35" s="175"/>
      <c r="J35" s="126"/>
      <c r="K35" s="405"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EUREON25Y_Quote#0006</v>
      </c>
      <c r="G36" s="176" t="str">
        <f>_xll.ohRangeRetrieveError(F36)</f>
        <v/>
      </c>
      <c r="H36" s="175"/>
      <c r="J36" s="126"/>
      <c r="K36" s="405"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EUREON30Y_Quote#0006</v>
      </c>
      <c r="G37" s="176" t="str">
        <f>_xll.ohRangeRetrieveError(F37)</f>
        <v/>
      </c>
      <c r="H37" s="175"/>
      <c r="J37" s="126"/>
      <c r="K37" s="405"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EUREON40Y_Quote#0006</v>
      </c>
      <c r="G38" s="176" t="str">
        <f>_xll.ohRangeRetrieveError(F38)</f>
        <v/>
      </c>
      <c r="H38" s="175"/>
      <c r="J38" s="126"/>
      <c r="K38" s="405"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EUREON50Y_Quote#0006</v>
      </c>
      <c r="G39" s="176" t="str">
        <f>_xll.ohRangeRetrieveError(F39)</f>
        <v/>
      </c>
      <c r="H39" s="175"/>
      <c r="J39" s="126"/>
      <c r="K39" s="405"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EUREON60Y_Quote#0006</v>
      </c>
      <c r="G40" s="176" t="str">
        <f>_xll.ohRangeRetrieveError(F40)</f>
        <v/>
      </c>
      <c r="H40" s="175"/>
      <c r="J40" s="126"/>
      <c r="K40" s="405"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2"/>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EURECBOISJAN13_Quote#0006</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EURECBOISFEB13_Quote#0006</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EURECBOISMAR13_Quote#0006</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EURECBOISAPR13_Quote#0006</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EURECBOISMAY13_Quote#0006</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EURECBOISJUN13_Quote#0006</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EURECBOISJUL13_Quote#0006</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6</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EURECBOISAUG13_Quote#0006</v>
      </c>
      <c r="G49" s="176" t="str">
        <f>_xll.ohRangeRetrieveError(F49)</f>
        <v/>
      </c>
      <c r="H49" s="175"/>
      <c r="J49" s="126"/>
      <c r="K49" s="386"/>
      <c r="L49" s="206"/>
      <c r="M49" s="198"/>
      <c r="N49" s="198"/>
      <c r="O49" s="290" t="e">
        <f ca="1">_xll.RData(O50:O55,P49:S49,,ReutersRtMode,,P50)</f>
        <v>#NAME?</v>
      </c>
      <c r="P49" s="327" t="s">
        <v>258</v>
      </c>
      <c r="Q49" s="327" t="s">
        <v>225</v>
      </c>
      <c r="R49" s="327"/>
      <c r="S49" s="327" t="s">
        <v>300</v>
      </c>
      <c r="T49" s="286" t="s">
        <v>256</v>
      </c>
      <c r="U49" s="260"/>
      <c r="V49" s="288" t="s">
        <v>252</v>
      </c>
      <c r="W49" s="260"/>
      <c r="X49" s="437"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EURECBOISSEP13_Quote#0006</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07" t="s">
        <v>298</v>
      </c>
      <c r="T50" s="269">
        <f t="shared" ref="T50:T55" si="6">AVERAGE($P50,$Q50)</f>
        <v>0.11000000000000001</v>
      </c>
      <c r="U50" s="260"/>
      <c r="V50" s="280">
        <v>0.11000000000000001</v>
      </c>
      <c r="W50" s="260"/>
      <c r="X50" s="346">
        <f t="array" ref="X50:X55">QuoteLive</f>
        <v>0.11000000000000001</v>
      </c>
      <c r="Y50" s="438"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EURECBOISOCT13_Quote#0006</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07" t="s">
        <v>296</v>
      </c>
      <c r="T51" s="269">
        <f t="shared" si="6"/>
        <v>0.122</v>
      </c>
      <c r="U51" s="260"/>
      <c r="V51" s="268">
        <v>0.122</v>
      </c>
      <c r="W51" s="260"/>
      <c r="X51" s="339">
        <v>0.122</v>
      </c>
      <c r="Y51" s="439"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EURECBOISNOV13_Quote#0006</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07" t="s">
        <v>294</v>
      </c>
      <c r="T52" s="269">
        <f t="shared" si="6"/>
        <v>0.12</v>
      </c>
      <c r="U52" s="260"/>
      <c r="V52" s="268">
        <v>0.12</v>
      </c>
      <c r="W52" s="260"/>
      <c r="X52" s="339">
        <v>0.12</v>
      </c>
      <c r="Y52" s="439"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EURECBOISDEC13_Quote#0006</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07" t="s">
        <v>292</v>
      </c>
      <c r="T53" s="269">
        <f t="shared" si="6"/>
        <v>0.123</v>
      </c>
      <c r="U53" s="260"/>
      <c r="V53" s="268">
        <v>0.123</v>
      </c>
      <c r="W53" s="260"/>
      <c r="X53" s="339">
        <v>0.123</v>
      </c>
      <c r="Y53" s="439"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07" t="s">
        <v>290</v>
      </c>
      <c r="T54" s="269">
        <f t="shared" si="6"/>
        <v>0.14500000000000002</v>
      </c>
      <c r="U54" s="260"/>
      <c r="V54" s="268">
        <v>0.14500000000000002</v>
      </c>
      <c r="W54" s="260"/>
      <c r="X54" s="339">
        <v>0.14500000000000002</v>
      </c>
      <c r="Y54" s="439"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6" t="s">
        <v>287</v>
      </c>
      <c r="T55" s="262">
        <f t="shared" si="6"/>
        <v>0.14300000000000002</v>
      </c>
      <c r="U55" s="260"/>
      <c r="V55" s="261">
        <v>0.14300000000000002</v>
      </c>
      <c r="W55" s="260"/>
      <c r="X55" s="332">
        <v>0.14300000000000002</v>
      </c>
      <c r="Y55" s="440"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2"/>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88" t="s">
        <v>254</v>
      </c>
      <c r="Y2" s="387"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6</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6"/>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5"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EUR2X1S_Quote#0006</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4">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EUR3X1S_Quote#0006</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4">
        <f>_xll.qlMidSafe($P6,$Q6)</f>
        <v>0.14200000000000002</v>
      </c>
      <c r="U6" s="260"/>
      <c r="V6" s="268">
        <v>0.14200000000000002</v>
      </c>
      <c r="W6" s="260"/>
      <c r="X6" s="267" t="str">
        <f t="shared" si="2"/>
        <v>EUR3X1S_Quote</v>
      </c>
      <c r="Y6" s="266">
        <v>0.14200000000000002</v>
      </c>
      <c r="Z6" s="265" t="e">
        <f>_xll.qlSimpleQuoteSetValue($X6,$Y6/100,Trigger)</f>
        <v>#N/A</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EUR4X1S_Quote#0006</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4">
        <f>_xll.qlMidSafe($P7,$Q7)</f>
        <v>0.14600000000000002</v>
      </c>
      <c r="U7" s="260"/>
      <c r="V7" s="268">
        <v>0.14600000000000002</v>
      </c>
      <c r="W7" s="260"/>
      <c r="X7" s="267" t="str">
        <f t="shared" si="2"/>
        <v>EUR4X1S_Quote</v>
      </c>
      <c r="Y7" s="266">
        <v>0.14600000000000002</v>
      </c>
      <c r="Z7" s="265" t="e">
        <f>_xll.qlSimpleQuoteSetValue($X7,$Y7/100,Trigger)</f>
        <v>#N/A</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EUR5X1S_Quote#0006</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4">
        <f>_xll.qlMidSafe($P8,$Q8)</f>
        <v>0.151</v>
      </c>
      <c r="U8" s="260"/>
      <c r="V8" s="268">
        <v>0.151</v>
      </c>
      <c r="W8" s="260"/>
      <c r="X8" s="267" t="str">
        <f t="shared" si="2"/>
        <v>EUR5X1S_Quote</v>
      </c>
      <c r="Y8" s="266">
        <v>0.151</v>
      </c>
      <c r="Z8" s="265" t="e">
        <f>_xll.qlSimpleQuoteSetValue($X8,$Y8/100,Trigger)</f>
        <v>#N/A</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EUR6X1S_Quote#0006</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4">
        <f>_xll.qlMidSafe($P9,$Q9)</f>
        <v>0.158</v>
      </c>
      <c r="U9" s="260"/>
      <c r="V9" s="268">
        <v>0.158</v>
      </c>
      <c r="W9" s="260"/>
      <c r="X9" s="267" t="str">
        <f t="shared" si="2"/>
        <v>EUR6X1S_Quote</v>
      </c>
      <c r="Y9" s="266">
        <v>0.158</v>
      </c>
      <c r="Z9" s="265" t="e">
        <f>_xll.qlSimpleQuoteSetValue($X9,$Y9/100,Trigger)</f>
        <v>#N/A</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EUR7X1S_Quote#0006</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4">
        <f>_xll.qlMidSafe($P10,$Q10)</f>
        <v>0.16300000000000001</v>
      </c>
      <c r="U10" s="260"/>
      <c r="V10" s="268">
        <v>0.16300000000000001</v>
      </c>
      <c r="W10" s="260"/>
      <c r="X10" s="267" t="str">
        <f t="shared" si="2"/>
        <v>EUR7X1S_Quote</v>
      </c>
      <c r="Y10" s="266">
        <v>0.16300000000000001</v>
      </c>
      <c r="Z10" s="265" t="e">
        <f>_xll.qlSimpleQuoteSetValue($X10,$Y10/100,Trigger)</f>
        <v>#N/A</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EUR8X1S_Quote#0006</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4">
        <f>_xll.qlMidSafe($P11,$Q11)</f>
        <v>0.16899999999999998</v>
      </c>
      <c r="U11" s="260"/>
      <c r="V11" s="268">
        <v>0.16999999999999998</v>
      </c>
      <c r="W11" s="260"/>
      <c r="X11" s="267" t="str">
        <f t="shared" si="2"/>
        <v>EUR8X1S_Quote</v>
      </c>
      <c r="Y11" s="266">
        <v>0.16899999999999998</v>
      </c>
      <c r="Z11" s="265" t="e">
        <f>_xll.qlSimpleQuoteSetValue($X11,$Y11/100,Trigger)</f>
        <v>#N/A</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EUR9X1S_Quote#0006</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4">
        <f>_xll.qlMidSafe($P12,$Q12)</f>
        <v>0.17899999999999999</v>
      </c>
      <c r="U12" s="260"/>
      <c r="V12" s="268">
        <v>0.17899999999999999</v>
      </c>
      <c r="W12" s="260"/>
      <c r="X12" s="267" t="str">
        <f t="shared" si="2"/>
        <v>EUR9X1S_Quote</v>
      </c>
      <c r="Y12" s="266">
        <v>0.17899999999999999</v>
      </c>
      <c r="Z12" s="265" t="e">
        <f>_xll.qlSimpleQuoteSetValue($X12,$Y12/100,Trigger)</f>
        <v>#N/A</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EUR10X1S_Quote#0006</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4">
        <f>_xll.qlMidSafe($P13,$Q13)</f>
        <v>0.186</v>
      </c>
      <c r="U13" s="260"/>
      <c r="V13" s="268">
        <v>0.186</v>
      </c>
      <c r="W13" s="260"/>
      <c r="X13" s="267" t="str">
        <f t="shared" si="2"/>
        <v>EUR10X1S_Quote</v>
      </c>
      <c r="Y13" s="266">
        <v>0.186</v>
      </c>
      <c r="Z13" s="265" t="e">
        <f>_xll.qlSimpleQuoteSetValue($X13,$Y13/100,Trigger)</f>
        <v>#N/A</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EUR11X1S_Quote#0006</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4">
        <f>_xll.qlMidSafe($P14,$Q14)</f>
        <v>0.19500000000000001</v>
      </c>
      <c r="U14" s="260"/>
      <c r="V14" s="268">
        <v>0.19500000000000001</v>
      </c>
      <c r="W14" s="260"/>
      <c r="X14" s="267" t="str">
        <f t="shared" si="2"/>
        <v>EUR11X1S_Quote</v>
      </c>
      <c r="Y14" s="266">
        <v>0.19500000000000001</v>
      </c>
      <c r="Z14" s="265" t="e">
        <f>_xll.qlSimpleQuoteSetValue($X14,$Y14/100,Trigger)</f>
        <v>#N/A</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EUR12X1S_Quote#0006</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3">
        <f>_xll.qlMidSafe($P15,$Q15)</f>
        <v>0.20400000000000001</v>
      </c>
      <c r="U15" s="260"/>
      <c r="V15" s="261">
        <v>0.20400000000000001</v>
      </c>
      <c r="W15" s="260"/>
      <c r="X15" s="259" t="str">
        <f t="shared" si="2"/>
        <v>EUR12X1S_Quote</v>
      </c>
      <c r="Y15" s="258">
        <v>0.20400000000000001</v>
      </c>
      <c r="Z15" s="257" t="e">
        <f>_xll.qlSimpleQuoteSetValue($X15,$Y15/100,Trigger)</f>
        <v>#N/A</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88" t="s">
        <v>254</v>
      </c>
      <c r="Y2" s="387"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6</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6"/>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5"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EUR1S12_Quote#0006</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4">
        <f>_xll.qlMidSafe($P5,$Q5)</f>
        <v>0.36</v>
      </c>
      <c r="U5" s="260"/>
      <c r="V5" s="268">
        <v>0.36</v>
      </c>
      <c r="W5" s="260"/>
      <c r="X5" s="267" t="str">
        <f t="shared" ref="X5:X11" si="2">$N5&amp;$Y$2</f>
        <v>EUR1S12_Quote</v>
      </c>
      <c r="Y5" s="266">
        <f t="array" ref="Y5:Y11">QuoteLive</f>
        <v>0.36</v>
      </c>
      <c r="Z5" s="265" t="e">
        <f>_xll.qlSimpleQuoteSetValue($X5,$Y5/100,Trigger)</f>
        <v>#N/A</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EUR2S12_Quote#0006</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4">
        <f>_xll.qlMidSafe($P6,$Q6)</f>
        <v>0.42200000000000004</v>
      </c>
      <c r="U6" s="260"/>
      <c r="V6" s="268">
        <v>0.42200000000000004</v>
      </c>
      <c r="W6" s="260"/>
      <c r="X6" s="267" t="str">
        <f t="shared" si="2"/>
        <v>EUR2S12_Quote</v>
      </c>
      <c r="Y6" s="266">
        <v>0.42200000000000004</v>
      </c>
      <c r="Z6" s="265" t="e">
        <f>_xll.qlSimpleQuoteSetValue($X6,$Y6/100,Trigger)</f>
        <v>#N/A</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EUR3S12_Quote#0006</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4">
        <f>_xll.qlMidSafe($P7,$Q7)</f>
        <v>0.48599999999999999</v>
      </c>
      <c r="U7" s="260"/>
      <c r="V7" s="268">
        <v>0.48599999999999999</v>
      </c>
      <c r="W7" s="260"/>
      <c r="X7" s="267" t="str">
        <f t="shared" si="2"/>
        <v>EUR3S12_Quote</v>
      </c>
      <c r="Y7" s="266">
        <v>0.48599999999999999</v>
      </c>
      <c r="Z7" s="265" t="e">
        <f>_xll.qlSimpleQuoteSetValue($X7,$Y7/100,Trigger)</f>
        <v>#N/A</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EUR4S12_Quote#0006</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4">
        <f>_xll.qlMidSafe($P8,$Q8)</f>
        <v>0.55000000000000004</v>
      </c>
      <c r="U8" s="260"/>
      <c r="V8" s="268">
        <v>0.55000000000000004</v>
      </c>
      <c r="W8" s="260"/>
      <c r="X8" s="267" t="str">
        <f t="shared" si="2"/>
        <v>EUR4S12_Quote</v>
      </c>
      <c r="Y8" s="266">
        <v>0.55000000000000004</v>
      </c>
      <c r="Z8" s="265" t="e">
        <f>_xll.qlSimpleQuoteSetValue($X8,$Y8/100,Trigger)</f>
        <v>#N/A</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EUR1S24_Quote#0006</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4">
        <f>_xll.qlMidSafe($P9,$Q9)</f>
        <v>0.48899999999999999</v>
      </c>
      <c r="U9" s="260"/>
      <c r="V9" s="268">
        <v>0.48899999999999999</v>
      </c>
      <c r="W9" s="260"/>
      <c r="X9" s="267" t="str">
        <f t="shared" si="2"/>
        <v>EUR1S24_Quote</v>
      </c>
      <c r="Y9" s="266">
        <v>0.48899999999999999</v>
      </c>
      <c r="Z9" s="265" t="e">
        <f>_xll.qlSimpleQuoteSetValue($X9,$Y9/100,Trigger)</f>
        <v>#N/A</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EUR2S24_Quote#0006</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4">
        <f>_xll.qlMidSafe($P10,$Q10)</f>
        <v>0.55800000000000005</v>
      </c>
      <c r="U10" s="260"/>
      <c r="V10" s="268">
        <v>0.55899999999999994</v>
      </c>
      <c r="W10" s="260"/>
      <c r="X10" s="267" t="str">
        <f t="shared" si="2"/>
        <v>EUR2S24_Quote</v>
      </c>
      <c r="Y10" s="266">
        <v>0.55800000000000005</v>
      </c>
      <c r="Z10" s="265" t="e">
        <f>_xll.qlSimpleQuoteSetValue($X10,$Y10/100,Trigger)</f>
        <v>#N/A</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EUR1S36_Quote#0006</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3">
        <f>_xll.qlMidSafe($P11,$Q11)</f>
        <v>0.66100000000000003</v>
      </c>
      <c r="U11" s="260"/>
      <c r="V11" s="261">
        <v>0.66100000000000003</v>
      </c>
      <c r="W11" s="260"/>
      <c r="X11" s="259" t="str">
        <f t="shared" si="2"/>
        <v>EUR1S36_Quote</v>
      </c>
      <c r="Y11" s="258">
        <v>0.66100000000000003</v>
      </c>
      <c r="Z11" s="257" t="e">
        <f>_xll.qlSimpleQuoteSetValue($X11,$Y11/100,Trigger)</f>
        <v>#N/A</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88" t="s">
        <v>254</v>
      </c>
      <c r="AC2" s="387"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6</v>
      </c>
      <c r="AE3" s="221"/>
      <c r="AF3" s="21"/>
      <c r="AG3" s="21"/>
      <c r="AH3" s="21"/>
      <c r="AI3" s="21"/>
      <c r="AJ3" s="21"/>
      <c r="AK3" s="21"/>
    </row>
    <row r="4" spans="1:37" ht="23.25" thickBot="1" x14ac:dyDescent="0.25">
      <c r="A4" s="220" t="s">
        <v>206</v>
      </c>
      <c r="B4" s="203"/>
      <c r="C4" s="203"/>
      <c r="D4" s="203"/>
      <c r="E4" s="201"/>
      <c r="F4" s="202"/>
      <c r="G4" s="201"/>
      <c r="H4" s="200"/>
      <c r="N4" s="126"/>
      <c r="O4" s="386"/>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5"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2"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EURAB3E1Y_Quote#0006</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EURAB3E15M_Quote#0006</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EURAB3E18M_Quote#0006</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EURAB3E21M_Quote#0006</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EURAB3E2Y_Quote#0006</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EURAB3E3Y_Quote#0006</v>
      </c>
      <c r="G11" s="34" t="str">
        <f>_xll.ohRangeRetrieveError(F11)</f>
        <v/>
      </c>
      <c r="H11" s="53"/>
      <c r="N11" s="126"/>
      <c r="O11" s="271" t="s">
        <v>114</v>
      </c>
      <c r="P11" s="390" t="str">
        <v>AB</v>
      </c>
      <c r="Q11" s="390"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EURAB3E4Y_Quote#0006</v>
      </c>
      <c r="G12" s="34" t="str">
        <f>_xll.ohRangeRetrieveError(F12)</f>
        <v/>
      </c>
      <c r="H12" s="53"/>
      <c r="N12" s="126"/>
      <c r="O12" s="271" t="s">
        <v>113</v>
      </c>
      <c r="P12" s="390" t="str">
        <v>AB</v>
      </c>
      <c r="Q12" s="390"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EURAB3E5Y_Quote#0006</v>
      </c>
      <c r="G13" s="34" t="str">
        <f>_xll.ohRangeRetrieveError(F13)</f>
        <v/>
      </c>
      <c r="H13" s="53"/>
      <c r="N13" s="126"/>
      <c r="O13" s="271" t="s">
        <v>112</v>
      </c>
      <c r="P13" s="390" t="str">
        <v>AB</v>
      </c>
      <c r="Q13" s="390"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EURAB3E6Y_Quote#0006</v>
      </c>
      <c r="G14" s="34" t="str">
        <f>_xll.ohRangeRetrieveError(F14)</f>
        <v/>
      </c>
      <c r="H14" s="53"/>
      <c r="N14" s="126"/>
      <c r="O14" s="271" t="s">
        <v>111</v>
      </c>
      <c r="P14" s="390" t="str">
        <v>AB</v>
      </c>
      <c r="Q14" s="390"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EURAB3E7Y_Quote#0006</v>
      </c>
      <c r="G15" s="34" t="str">
        <f>_xll.ohRangeRetrieveError(F15)</f>
        <v/>
      </c>
      <c r="H15" s="53"/>
      <c r="N15" s="126"/>
      <c r="O15" s="271" t="s">
        <v>110</v>
      </c>
      <c r="P15" s="390" t="str">
        <v>AB</v>
      </c>
      <c r="Q15" s="390"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EURAB3E8Y_Quote#0006</v>
      </c>
      <c r="G16" s="34" t="str">
        <f>_xll.ohRangeRetrieveError(F16)</f>
        <v/>
      </c>
      <c r="H16" s="53"/>
      <c r="N16" s="126"/>
      <c r="O16" s="271" t="s">
        <v>109</v>
      </c>
      <c r="P16" s="390" t="str">
        <v>AB</v>
      </c>
      <c r="Q16" s="390"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EURAB3E9Y_Quote#0006</v>
      </c>
      <c r="G17" s="34" t="str">
        <f>_xll.ohRangeRetrieveError(F17)</f>
        <v/>
      </c>
      <c r="H17" s="53"/>
      <c r="N17" s="126"/>
      <c r="O17" s="271" t="s">
        <v>108</v>
      </c>
      <c r="P17" s="390" t="str">
        <v>AB</v>
      </c>
      <c r="Q17" s="390"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EURAB3E10Y_Quote#0006</v>
      </c>
      <c r="G18" s="34" t="str">
        <f>_xll.ohRangeRetrieveError(F18)</f>
        <v/>
      </c>
      <c r="H18" s="53"/>
      <c r="N18" s="126"/>
      <c r="O18" s="271" t="s">
        <v>107</v>
      </c>
      <c r="P18" s="390" t="str">
        <v>AB</v>
      </c>
      <c r="Q18" s="390"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EURAB3E11Y_Quote#0006</v>
      </c>
      <c r="G19" s="34" t="str">
        <f>_xll.ohRangeRetrieveError(F19)</f>
        <v/>
      </c>
      <c r="H19" s="53"/>
      <c r="N19" s="126"/>
      <c r="O19" s="271" t="s">
        <v>106</v>
      </c>
      <c r="P19" s="390" t="str">
        <v>AB</v>
      </c>
      <c r="Q19" s="390"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EURAB3E12Y_Quote#0006</v>
      </c>
      <c r="G20" s="34" t="str">
        <f>_xll.ohRangeRetrieveError(F20)</f>
        <v/>
      </c>
      <c r="H20" s="53"/>
      <c r="N20" s="126"/>
      <c r="O20" s="271" t="s">
        <v>105</v>
      </c>
      <c r="P20" s="390" t="str">
        <v>AB</v>
      </c>
      <c r="Q20" s="390"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EURAB3E13Y_Quote#0006</v>
      </c>
      <c r="G21" s="34" t="str">
        <f>_xll.ohRangeRetrieveError(F21)</f>
        <v/>
      </c>
      <c r="H21" s="53"/>
      <c r="N21" s="126"/>
      <c r="O21" s="271" t="s">
        <v>104</v>
      </c>
      <c r="P21" s="390" t="str">
        <v>AB</v>
      </c>
      <c r="Q21" s="390"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EURAB3E14Y_Quote#0006</v>
      </c>
      <c r="G22" s="34" t="str">
        <f>_xll.ohRangeRetrieveError(F22)</f>
        <v/>
      </c>
      <c r="H22" s="53"/>
      <c r="N22" s="126"/>
      <c r="O22" s="271" t="s">
        <v>103</v>
      </c>
      <c r="P22" s="390" t="str">
        <v>AB</v>
      </c>
      <c r="Q22" s="390"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EURAB3E15Y_Quote#0006</v>
      </c>
      <c r="G23" s="34" t="str">
        <f>_xll.ohRangeRetrieveError(F23)</f>
        <v/>
      </c>
      <c r="H23" s="53"/>
      <c r="N23" s="126"/>
      <c r="O23" s="271" t="s">
        <v>102</v>
      </c>
      <c r="P23" s="390" t="str">
        <v>AB</v>
      </c>
      <c r="Q23" s="390"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EURAB3E16Y_Quote#0006</v>
      </c>
      <c r="G24" s="34" t="str">
        <f>_xll.ohRangeRetrieveError(F24)</f>
        <v/>
      </c>
      <c r="H24" s="53"/>
      <c r="N24" s="126"/>
      <c r="O24" s="271" t="s">
        <v>101</v>
      </c>
      <c r="P24" s="390" t="str">
        <v>AB</v>
      </c>
      <c r="Q24" s="390"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EURAB3E17Y_Quote#0006</v>
      </c>
      <c r="G25" s="34" t="str">
        <f>_xll.ohRangeRetrieveError(F25)</f>
        <v/>
      </c>
      <c r="H25" s="53"/>
      <c r="N25" s="126"/>
      <c r="O25" s="271" t="s">
        <v>100</v>
      </c>
      <c r="P25" s="390" t="str">
        <v>AB</v>
      </c>
      <c r="Q25" s="390"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EURAB3E18Y_Quote#0006</v>
      </c>
      <c r="G26" s="34" t="str">
        <f>_xll.ohRangeRetrieveError(F26)</f>
        <v/>
      </c>
      <c r="H26" s="53"/>
      <c r="N26" s="126"/>
      <c r="O26" s="271" t="s">
        <v>99</v>
      </c>
      <c r="P26" s="390" t="str">
        <v>AB</v>
      </c>
      <c r="Q26" s="390"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EURAB3E19Y_Quote#0006</v>
      </c>
      <c r="G27" s="34" t="str">
        <f>_xll.ohRangeRetrieveError(F27)</f>
        <v/>
      </c>
      <c r="H27" s="53"/>
      <c r="N27" s="126"/>
      <c r="O27" s="271" t="s">
        <v>98</v>
      </c>
      <c r="P27" s="390" t="str">
        <v>AB</v>
      </c>
      <c r="Q27" s="390"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EURAB3E20Y_Quote#0006</v>
      </c>
      <c r="G28" s="34" t="str">
        <f>_xll.ohRangeRetrieveError(F28)</f>
        <v/>
      </c>
      <c r="H28" s="53"/>
      <c r="N28" s="126"/>
      <c r="O28" s="271" t="s">
        <v>97</v>
      </c>
      <c r="P28" s="390" t="str">
        <v>AB</v>
      </c>
      <c r="Q28" s="390"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EURAB3E21Y_Quote#0006</v>
      </c>
      <c r="G29" s="34" t="str">
        <f>_xll.ohRangeRetrieveError(F29)</f>
        <v/>
      </c>
      <c r="H29" s="53"/>
      <c r="N29" s="126"/>
      <c r="O29" s="271" t="s">
        <v>96</v>
      </c>
      <c r="P29" s="391" t="str">
        <v>AB</v>
      </c>
      <c r="Q29" s="391"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EURAB3E22Y_Quote#0006</v>
      </c>
      <c r="G30" s="34" t="str">
        <f>_xll.ohRangeRetrieveError(F30)</f>
        <v/>
      </c>
      <c r="H30" s="53"/>
      <c r="N30" s="126"/>
      <c r="O30" s="271" t="s">
        <v>95</v>
      </c>
      <c r="P30" s="390" t="str">
        <v>AB</v>
      </c>
      <c r="Q30" s="390"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EURAB3E23Y_Quote#0006</v>
      </c>
      <c r="G31" s="34" t="str">
        <f>_xll.ohRangeRetrieveError(F31)</f>
        <v/>
      </c>
      <c r="H31" s="53"/>
      <c r="N31" s="126"/>
      <c r="O31" s="271" t="s">
        <v>94</v>
      </c>
      <c r="P31" s="390" t="str">
        <v>AB</v>
      </c>
      <c r="Q31" s="390"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EURAB3E24Y_Quote#0006</v>
      </c>
      <c r="G32" s="34" t="str">
        <f>_xll.ohRangeRetrieveError(F32)</f>
        <v/>
      </c>
      <c r="H32" s="53"/>
      <c r="N32" s="126"/>
      <c r="O32" s="271" t="s">
        <v>93</v>
      </c>
      <c r="P32" s="390" t="str">
        <v>AB</v>
      </c>
      <c r="Q32" s="390"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EURAB3E25Y_Quote#0006</v>
      </c>
      <c r="G33" s="34" t="str">
        <f>_xll.ohRangeRetrieveError(F33)</f>
        <v/>
      </c>
      <c r="H33" s="53"/>
      <c r="N33" s="126"/>
      <c r="O33" s="271" t="s">
        <v>92</v>
      </c>
      <c r="P33" s="390" t="str">
        <v>AB</v>
      </c>
      <c r="Q33" s="390"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EURAB3E26Y_Quote#0006</v>
      </c>
      <c r="G34" s="34" t="str">
        <f>_xll.ohRangeRetrieveError(F34)</f>
        <v/>
      </c>
      <c r="H34" s="53"/>
      <c r="N34" s="126"/>
      <c r="O34" s="271" t="s">
        <v>91</v>
      </c>
      <c r="P34" s="390" t="str">
        <v>AB</v>
      </c>
      <c r="Q34" s="390"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EURAB3E27Y_Quote#0006</v>
      </c>
      <c r="G35" s="34" t="str">
        <f>_xll.ohRangeRetrieveError(F35)</f>
        <v/>
      </c>
      <c r="H35" s="53"/>
      <c r="N35" s="126"/>
      <c r="O35" s="271" t="s">
        <v>90</v>
      </c>
      <c r="P35" s="390" t="str">
        <v>AB</v>
      </c>
      <c r="Q35" s="390"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EURAB3E28Y_Quote#0006</v>
      </c>
      <c r="G36" s="34" t="str">
        <f>_xll.ohRangeRetrieveError(F36)</f>
        <v/>
      </c>
      <c r="H36" s="53"/>
      <c r="N36" s="126"/>
      <c r="O36" s="271" t="s">
        <v>89</v>
      </c>
      <c r="P36" s="390" t="str">
        <v>AB</v>
      </c>
      <c r="Q36" s="390"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EURAB3E29Y_Quote#0006</v>
      </c>
      <c r="G37" s="34" t="str">
        <f>_xll.ohRangeRetrieveError(F37)</f>
        <v/>
      </c>
      <c r="H37" s="53"/>
      <c r="N37" s="126"/>
      <c r="O37" s="271" t="s">
        <v>88</v>
      </c>
      <c r="P37" s="390" t="str">
        <v>AB</v>
      </c>
      <c r="Q37" s="390"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EURAB3E30Y_Quote#0006</v>
      </c>
      <c r="G38" s="34" t="str">
        <f>_xll.ohRangeRetrieveError(F38)</f>
        <v/>
      </c>
      <c r="H38" s="53"/>
      <c r="N38" s="126"/>
      <c r="O38" s="271" t="s">
        <v>87</v>
      </c>
      <c r="P38" s="390" t="str">
        <v>AB</v>
      </c>
      <c r="Q38" s="390"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EURAB3E35Y_Quote#0006</v>
      </c>
      <c r="G39" s="34" t="str">
        <f>_xll.ohRangeRetrieveError(F39)</f>
        <v/>
      </c>
      <c r="H39" s="53"/>
      <c r="N39" s="126"/>
      <c r="O39" s="271" t="s">
        <v>82</v>
      </c>
      <c r="P39" s="390" t="str">
        <v>AB</v>
      </c>
      <c r="Q39" s="390"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EURAB3E40Y_Quote#0006</v>
      </c>
      <c r="G40" s="34" t="str">
        <f>_xll.ohRangeRetrieveError(F40)</f>
        <v/>
      </c>
      <c r="H40" s="53"/>
      <c r="N40" s="126"/>
      <c r="O40" s="271" t="s">
        <v>77</v>
      </c>
      <c r="P40" s="390" t="str">
        <v>AB</v>
      </c>
      <c r="Q40" s="390"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EURAB3E50Y_Quote#0006</v>
      </c>
      <c r="G41" s="34" t="str">
        <f>_xll.ohRangeRetrieveError(F41)</f>
        <v/>
      </c>
      <c r="H41" s="53"/>
      <c r="N41" s="126"/>
      <c r="O41" s="271" t="s">
        <v>67</v>
      </c>
      <c r="P41" s="390" t="str">
        <v>AB</v>
      </c>
      <c r="Q41" s="390"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EURAB3E60Y_Quote#0006</v>
      </c>
      <c r="G42" s="34" t="str">
        <f>_xll.ohRangeRetrieveError(F42)</f>
        <v/>
      </c>
      <c r="H42" s="53"/>
      <c r="N42" s="126"/>
      <c r="O42" s="264" t="s">
        <v>57</v>
      </c>
      <c r="P42" s="389" t="str">
        <v>AB</v>
      </c>
      <c r="Q42" s="389"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2"/>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30"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6"/>
      <c r="O2" s="141"/>
      <c r="P2" s="295"/>
      <c r="Q2" s="295"/>
      <c r="R2" s="295"/>
      <c r="S2" s="148" t="s">
        <v>235</v>
      </c>
      <c r="T2" s="260"/>
      <c r="U2" s="260"/>
      <c r="V2" s="260"/>
      <c r="W2" s="260"/>
      <c r="X2" s="141"/>
      <c r="Y2" s="260"/>
      <c r="Z2" s="260"/>
      <c r="AA2" s="260"/>
      <c r="AB2" s="388" t="s">
        <v>254</v>
      </c>
      <c r="AC2" s="387" t="s">
        <v>147</v>
      </c>
      <c r="AD2" s="53"/>
      <c r="AE2" s="21"/>
      <c r="AF2" s="21"/>
      <c r="AG2" s="21"/>
      <c r="AH2" s="21"/>
      <c r="AI2" s="21"/>
      <c r="AJ2" s="21"/>
    </row>
    <row r="3" spans="1:36" ht="12" thickBot="1" x14ac:dyDescent="0.25">
      <c r="N3" s="126"/>
      <c r="O3" s="260"/>
      <c r="P3" s="141"/>
      <c r="Q3" s="141"/>
      <c r="R3" s="141"/>
      <c r="S3" s="141"/>
      <c r="T3" s="141"/>
      <c r="U3" s="141"/>
      <c r="V3" s="141"/>
      <c r="W3" s="141"/>
      <c r="X3" s="141"/>
      <c r="Y3" s="260"/>
      <c r="Z3" s="260"/>
      <c r="AA3" s="260"/>
      <c r="AB3" s="141"/>
      <c r="AC3" s="291">
        <f ca="1">_xll.ohTrigger(AC5:AC42)</f>
        <v>13</v>
      </c>
      <c r="AD3" s="221"/>
      <c r="AE3" s="21"/>
      <c r="AF3" s="21"/>
      <c r="AG3" s="21"/>
      <c r="AH3" s="21"/>
      <c r="AI3" s="21"/>
      <c r="AJ3" s="21"/>
    </row>
    <row r="4" spans="1:36" ht="23.25" thickBot="1" x14ac:dyDescent="0.25">
      <c r="A4" s="220" t="s">
        <v>206</v>
      </c>
      <c r="B4" s="203"/>
      <c r="C4" s="203"/>
      <c r="D4" s="203"/>
      <c r="E4" s="158"/>
      <c r="F4" s="219"/>
      <c r="G4" s="158"/>
      <c r="H4" s="200"/>
      <c r="N4" s="126"/>
      <c r="O4" s="394"/>
      <c r="P4" s="198"/>
      <c r="Q4" s="198"/>
      <c r="R4" s="198"/>
      <c r="S4" s="290" t="e">
        <f ca="1">_xll.RData(S5:S42,T4:W4,,ReutersRtMode,,T5)</f>
        <v>#NAME?</v>
      </c>
      <c r="T4" s="327" t="s">
        <v>258</v>
      </c>
      <c r="U4" s="327" t="s">
        <v>225</v>
      </c>
      <c r="V4" s="327" t="s">
        <v>240</v>
      </c>
      <c r="W4" s="327" t="s">
        <v>257</v>
      </c>
      <c r="X4" s="286" t="s">
        <v>256</v>
      </c>
      <c r="Y4" s="260"/>
      <c r="Z4" s="288" t="s">
        <v>252</v>
      </c>
      <c r="AA4" s="260"/>
      <c r="AB4" s="437" t="s">
        <v>250</v>
      </c>
      <c r="AC4" s="98" t="s">
        <v>249</v>
      </c>
      <c r="AD4" s="221"/>
      <c r="AE4" s="21"/>
      <c r="AF4" s="21"/>
      <c r="AG4" s="21"/>
      <c r="AH4" s="21"/>
      <c r="AI4" s="21"/>
      <c r="AJ4" s="324"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4" t="e">
        <f>_xll.qlMidSafe($T5,$U5)</f>
        <v>#NUM!</v>
      </c>
      <c r="Y5" s="260"/>
      <c r="Z5" s="268" t="e">
        <v>#NUM!</v>
      </c>
      <c r="AA5" s="260"/>
      <c r="AB5" s="339" t="e">
        <f t="array" ref="AB5:AB42">QuoteLive</f>
        <v>#NUM!</v>
      </c>
      <c r="AC5" s="265" t="e">
        <f ca="1">_xll.qlSimpleQuoteSetValue(F5,AB5/100,Trigger)</f>
        <v>#NUM!</v>
      </c>
      <c r="AD5" s="221"/>
      <c r="AE5" s="21"/>
      <c r="AF5" s="392" t="s">
        <v>137</v>
      </c>
      <c r="AG5" s="92" t="s">
        <v>201</v>
      </c>
      <c r="AH5" s="91" t="s">
        <v>132</v>
      </c>
      <c r="AI5" s="21"/>
      <c r="AJ5" s="299"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EURAB6E1Y_Quote#0006</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4">
        <f>_xll.qlMidSafe($T6,$U6)</f>
        <v>0.42699999999999999</v>
      </c>
      <c r="Y6" s="260"/>
      <c r="Z6" s="268">
        <v>0.42699999999999999</v>
      </c>
      <c r="AA6" s="260"/>
      <c r="AB6" s="339">
        <v>0.42699999999999999</v>
      </c>
      <c r="AC6" s="265" t="e">
        <f>_xll.qlSimpleQuoteSetValue(F6,AB6/100,Trigger)</f>
        <v>#N/A</v>
      </c>
      <c r="AD6" s="221"/>
      <c r="AE6" s="21"/>
      <c r="AF6" s="209" t="s">
        <v>123</v>
      </c>
      <c r="AG6" s="89" t="s">
        <v>201</v>
      </c>
      <c r="AH6" s="88" t="s">
        <v>135</v>
      </c>
      <c r="AI6" s="21"/>
      <c r="AJ6" s="299">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EURAB6E15M_Quote#0006</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4">
        <f>_xll.qlMidEquivalent($T7,$U7,$V7,$W7)</f>
        <v>0.45199999999999996</v>
      </c>
      <c r="Y7" s="260"/>
      <c r="Z7" s="268">
        <v>0.45099999999999996</v>
      </c>
      <c r="AA7" s="260"/>
      <c r="AB7" s="339">
        <v>0.45199999999999996</v>
      </c>
      <c r="AC7" s="265" t="e">
        <f>_xll.qlSimpleQuoteSetValue(F7,AB7/100,Trigger)</f>
        <v>#N/A</v>
      </c>
      <c r="AD7" s="221"/>
      <c r="AE7" s="21"/>
      <c r="AF7" s="209" t="s">
        <v>134</v>
      </c>
      <c r="AG7" s="89" t="s">
        <v>200</v>
      </c>
      <c r="AH7" s="88" t="s">
        <v>132</v>
      </c>
      <c r="AI7" s="393"/>
      <c r="AJ7" s="299">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EURAB6E18M_Quote#0006</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4">
        <f>_xll.qlMidEquivalent($T8,$U8,$V8,$W8)</f>
        <v>0.504</v>
      </c>
      <c r="Y8" s="260"/>
      <c r="Z8" s="268">
        <v>0.503</v>
      </c>
      <c r="AA8" s="260"/>
      <c r="AB8" s="339">
        <v>0.504</v>
      </c>
      <c r="AC8" s="265" t="e">
        <f>_xll.qlSimpleQuoteSetValue(F8,AB8/100,Trigger)</f>
        <v>#N/A</v>
      </c>
      <c r="AD8" s="221"/>
      <c r="AE8" s="21"/>
      <c r="AF8" s="209" t="s">
        <v>133</v>
      </c>
      <c r="AG8" s="89" t="s">
        <v>200</v>
      </c>
      <c r="AH8" s="88" t="s">
        <v>132</v>
      </c>
      <c r="AI8" s="393"/>
      <c r="AJ8" s="299">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EURAB6E21M_Quote#0006</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4">
        <f>_xll.qlMidEquivalent($T9,$U9,$V9,$W9)</f>
        <v>0.52900000000000003</v>
      </c>
      <c r="Y9" s="260"/>
      <c r="Z9" s="268">
        <v>0.52700000000000002</v>
      </c>
      <c r="AA9" s="260"/>
      <c r="AB9" s="339">
        <v>0.52900000000000003</v>
      </c>
      <c r="AC9" s="265" t="e">
        <f>_xll.qlSimpleQuoteSetValue(F9,AB9/100,Trigger)</f>
        <v>#N/A</v>
      </c>
      <c r="AD9" s="221"/>
      <c r="AE9" s="21"/>
      <c r="AF9" s="208" t="s">
        <v>131</v>
      </c>
      <c r="AG9" s="86" t="s">
        <v>199</v>
      </c>
      <c r="AH9" s="85" t="s">
        <v>132</v>
      </c>
      <c r="AI9" s="21"/>
      <c r="AJ9" s="299">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EURAB6E2Y_Quote#0006</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4">
        <f>_xll.qlMidEquivalent($T10,$U10,$V10,$W10)</f>
        <v>0.57600000000000007</v>
      </c>
      <c r="Y10" s="260"/>
      <c r="Z10" s="268">
        <v>0.57600000000000007</v>
      </c>
      <c r="AA10" s="260"/>
      <c r="AB10" s="339">
        <v>0.57600000000000007</v>
      </c>
      <c r="AC10" s="265" t="e">
        <f>_xll.qlSimpleQuoteSetValue(F10,AB10/100,Trigger)</f>
        <v>#N/A</v>
      </c>
      <c r="AD10" s="221"/>
      <c r="AE10" s="21"/>
      <c r="AF10" s="21"/>
      <c r="AG10" s="21"/>
      <c r="AH10" s="21"/>
      <c r="AI10" s="21"/>
      <c r="AJ10" s="299">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EURAB6E3Y_Quote#0006</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4">
        <f>_xll.qlMidEquivalent($T11,$U11,$V11,$W11)</f>
        <v>0.745</v>
      </c>
      <c r="Y11" s="260"/>
      <c r="Z11" s="268">
        <v>0.745</v>
      </c>
      <c r="AA11" s="260"/>
      <c r="AB11" s="339">
        <v>0.745</v>
      </c>
      <c r="AC11" s="265" t="e">
        <f>_xll.qlSimpleQuoteSetValue(F11,AB11/100,Trigger)</f>
        <v>#N/A</v>
      </c>
      <c r="AD11" s="221"/>
      <c r="AE11" s="21"/>
      <c r="AF11" s="21"/>
      <c r="AG11" s="21"/>
      <c r="AH11" s="21"/>
      <c r="AI11" s="21"/>
      <c r="AJ11" s="299">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EURAB6E4Y_Quote#0006</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4">
        <f>_xll.qlMidEquivalent($T12,$U12,$V12,$W12)</f>
        <v>0.96099999999999997</v>
      </c>
      <c r="Y12" s="260"/>
      <c r="Z12" s="268">
        <v>0.96099999999999997</v>
      </c>
      <c r="AA12" s="260"/>
      <c r="AB12" s="339">
        <v>0.96099999999999997</v>
      </c>
      <c r="AC12" s="265" t="e">
        <f>_xll.qlSimpleQuoteSetValue(F12,AB12/100,Trigger)</f>
        <v>#N/A</v>
      </c>
      <c r="AD12" s="221"/>
      <c r="AE12" s="21"/>
      <c r="AF12" s="21"/>
      <c r="AG12" s="21"/>
      <c r="AH12" s="21"/>
      <c r="AI12" s="21"/>
      <c r="AJ12" s="299">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EURAB6E5Y_Quote#0006</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4">
        <f>_xll.qlMidEquivalent($T13,$U13,$V13,$W13)</f>
        <v>1.1850000000000001</v>
      </c>
      <c r="Y13" s="260"/>
      <c r="Z13" s="268">
        <v>1.1850000000000001</v>
      </c>
      <c r="AA13" s="260"/>
      <c r="AB13" s="339">
        <v>1.1850000000000001</v>
      </c>
      <c r="AC13" s="265" t="e">
        <f>_xll.qlSimpleQuoteSetValue(F13,AB13/100,Trigger)</f>
        <v>#N/A</v>
      </c>
      <c r="AD13" s="221"/>
      <c r="AE13" s="21"/>
      <c r="AF13" s="21"/>
      <c r="AG13" s="21"/>
      <c r="AH13" s="21"/>
      <c r="AI13" s="21"/>
      <c r="AJ13" s="299">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EURAB6E6Y_Quote#0006</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4">
        <f>_xll.qlMidEquivalent($T14,$U14,$V14,$W14)</f>
        <v>1.38</v>
      </c>
      <c r="Y14" s="260"/>
      <c r="Z14" s="268">
        <v>1.38</v>
      </c>
      <c r="AA14" s="260"/>
      <c r="AB14" s="339">
        <v>1.38</v>
      </c>
      <c r="AC14" s="265" t="e">
        <f>_xll.qlSimpleQuoteSetValue(F14,AB14/100,Trigger)</f>
        <v>#N/A</v>
      </c>
      <c r="AD14" s="221"/>
      <c r="AE14" s="21"/>
      <c r="AF14" s="21"/>
      <c r="AG14" s="21"/>
      <c r="AH14" s="21"/>
      <c r="AI14" s="21"/>
      <c r="AJ14" s="299">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EURAB6E7Y_Quote#0006</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4">
        <f>_xll.qlMidEquivalent($T15,$U15,$V15,$W15)</f>
        <v>1.5529999999999999</v>
      </c>
      <c r="Y15" s="260"/>
      <c r="Z15" s="268">
        <v>1.5529999999999999</v>
      </c>
      <c r="AA15" s="260"/>
      <c r="AB15" s="339">
        <v>1.5529999999999999</v>
      </c>
      <c r="AC15" s="265" t="e">
        <f>_xll.qlSimpleQuoteSetValue(F15,AB15/100,Trigger)</f>
        <v>#N/A</v>
      </c>
      <c r="AD15" s="221"/>
      <c r="AE15" s="21"/>
      <c r="AF15" s="21"/>
      <c r="AG15" s="21"/>
      <c r="AH15" s="21"/>
      <c r="AI15" s="21"/>
      <c r="AJ15" s="299">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EURAB6E8Y_Quote#0006</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4">
        <f>_xll.qlMidEquivalent($T16,$U16,$V16,$W16)</f>
        <v>1.706</v>
      </c>
      <c r="Y16" s="260"/>
      <c r="Z16" s="268">
        <v>1.706</v>
      </c>
      <c r="AA16" s="260"/>
      <c r="AB16" s="339">
        <v>1.706</v>
      </c>
      <c r="AC16" s="265" t="e">
        <f>_xll.qlSimpleQuoteSetValue(F16,AB16/100,Trigger)</f>
        <v>#N/A</v>
      </c>
      <c r="AD16" s="221"/>
      <c r="AE16" s="21"/>
      <c r="AF16" s="21"/>
      <c r="AG16" s="21"/>
      <c r="AH16" s="21"/>
      <c r="AI16" s="21"/>
      <c r="AJ16" s="299">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EURAB6E9Y_Quote#0006</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4">
        <f>_xll.qlMidEquivalent($T17,$U17,$V17,$W17)</f>
        <v>1.8460000000000001</v>
      </c>
      <c r="Y17" s="260"/>
      <c r="Z17" s="268">
        <v>1.8460000000000001</v>
      </c>
      <c r="AA17" s="260"/>
      <c r="AB17" s="339">
        <v>1.8460000000000001</v>
      </c>
      <c r="AC17" s="265" t="e">
        <f>_xll.qlSimpleQuoteSetValue(F17,AB17/100,Trigger)</f>
        <v>#N/A</v>
      </c>
      <c r="AD17" s="221"/>
      <c r="AE17" s="21"/>
      <c r="AF17" s="21"/>
      <c r="AG17" s="21"/>
      <c r="AH17" s="21"/>
      <c r="AI17" s="21"/>
      <c r="AJ17" s="299">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EURAB6E10Y_Quote#0006</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4">
        <f>_xll.qlMidEquivalent($T18,$U18,$V18,$W18)</f>
        <v>1.974</v>
      </c>
      <c r="Y18" s="260"/>
      <c r="Z18" s="268">
        <v>1.974</v>
      </c>
      <c r="AA18" s="260"/>
      <c r="AB18" s="339">
        <v>1.974</v>
      </c>
      <c r="AC18" s="265" t="e">
        <f>_xll.qlSimpleQuoteSetValue(F18,AB18/100,Trigger)</f>
        <v>#N/A</v>
      </c>
      <c r="AD18" s="221"/>
      <c r="AE18" s="21"/>
      <c r="AF18" s="21"/>
      <c r="AG18" s="21"/>
      <c r="AH18" s="21"/>
      <c r="AI18" s="21"/>
      <c r="AJ18" s="299">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EURAB6E11Y_Quote#0006</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4">
        <f>_xll.qlMidEquivalent($T19,$U19,$V19,$W19)</f>
        <v>2.085</v>
      </c>
      <c r="Y19" s="260"/>
      <c r="Z19" s="268">
        <v>2.085</v>
      </c>
      <c r="AA19" s="260"/>
      <c r="AB19" s="339">
        <v>2.085</v>
      </c>
      <c r="AC19" s="265" t="e">
        <f>_xll.qlSimpleQuoteSetValue(F19,AB19/100,Trigger)</f>
        <v>#N/A</v>
      </c>
      <c r="AD19" s="221"/>
      <c r="AE19" s="21"/>
      <c r="AF19" s="21"/>
      <c r="AG19" s="21"/>
      <c r="AH19" s="21"/>
      <c r="AI19" s="21"/>
      <c r="AJ19" s="299">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EURAB6E12Y_Quote#0006</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4">
        <f>_xll.qlMidEquivalent($T20,$U20,$V20,$W20)</f>
        <v>2.1800000000000002</v>
      </c>
      <c r="Y20" s="260"/>
      <c r="Z20" s="268">
        <v>2.1800000000000002</v>
      </c>
      <c r="AA20" s="260"/>
      <c r="AB20" s="339">
        <v>2.1800000000000002</v>
      </c>
      <c r="AC20" s="265" t="e">
        <f>_xll.qlSimpleQuoteSetValue(F20,AB20/100,Trigger)</f>
        <v>#N/A</v>
      </c>
      <c r="AD20" s="221"/>
      <c r="AE20" s="21"/>
      <c r="AF20" s="21"/>
      <c r="AG20" s="21"/>
      <c r="AH20" s="21"/>
      <c r="AI20" s="21"/>
      <c r="AJ20" s="299">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EURAB6E13Y_Quote#0006</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4">
        <f>_xll.qlMidEquivalent($T21,$U21,$V21,$W21)</f>
        <v>2.2599999999999998</v>
      </c>
      <c r="Y21" s="260"/>
      <c r="Z21" s="268">
        <v>2.2599999999999998</v>
      </c>
      <c r="AA21" s="260"/>
      <c r="AB21" s="339">
        <v>2.2599999999999998</v>
      </c>
      <c r="AC21" s="265" t="e">
        <f>_xll.qlSimpleQuoteSetValue(F21,AB21/100,Trigger)</f>
        <v>#N/A</v>
      </c>
      <c r="AD21" s="221"/>
      <c r="AE21" s="21"/>
      <c r="AF21" s="21"/>
      <c r="AG21" s="21"/>
      <c r="AH21" s="21"/>
      <c r="AI21" s="21"/>
      <c r="AJ21" s="299">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EURAB6E14Y_Quote#0006</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4">
        <f>_xll.qlMidEquivalent($T22,$U22,$V22,$W22)</f>
        <v>2.3250000000000002</v>
      </c>
      <c r="Y22" s="260"/>
      <c r="Z22" s="268">
        <v>2.3250000000000002</v>
      </c>
      <c r="AA22" s="260"/>
      <c r="AB22" s="339">
        <v>2.3250000000000002</v>
      </c>
      <c r="AC22" s="265" t="e">
        <f>_xll.qlSimpleQuoteSetValue(F22,AB22/100,Trigger)</f>
        <v>#N/A</v>
      </c>
      <c r="AD22" s="221"/>
      <c r="AE22" s="21"/>
      <c r="AF22" s="21"/>
      <c r="AG22" s="21"/>
      <c r="AH22" s="21"/>
      <c r="AI22" s="21"/>
      <c r="AJ22" s="299">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EURAB6E15Y_Quote#0006</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4">
        <f>_xll.qlMidEquivalent($T23,$U23,$V23,$W23)</f>
        <v>2.3759999999999999</v>
      </c>
      <c r="Y23" s="260"/>
      <c r="Z23" s="268">
        <v>2.3759999999999999</v>
      </c>
      <c r="AA23" s="260"/>
      <c r="AB23" s="339">
        <v>2.3759999999999999</v>
      </c>
      <c r="AC23" s="265" t="e">
        <f>_xll.qlSimpleQuoteSetValue(F23,AB23/100,Trigger)</f>
        <v>#N/A</v>
      </c>
      <c r="AD23" s="221"/>
      <c r="AE23" s="21"/>
      <c r="AF23" s="21"/>
      <c r="AG23" s="21"/>
      <c r="AH23" s="21"/>
      <c r="AI23" s="21"/>
      <c r="AJ23" s="299">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EURAB6E16Y_Quote#0006</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4">
        <f>_xll.qlMidEquivalent($T24,$U24,$V24,$W24)</f>
        <v>2.415</v>
      </c>
      <c r="Y24" s="260"/>
      <c r="Z24" s="268">
        <v>2.415</v>
      </c>
      <c r="AA24" s="260"/>
      <c r="AB24" s="339">
        <v>2.415</v>
      </c>
      <c r="AC24" s="265" t="e">
        <f>_xll.qlSimpleQuoteSetValue(F24,AB24/100,Trigger)</f>
        <v>#N/A</v>
      </c>
      <c r="AD24" s="221"/>
      <c r="AE24" s="21"/>
      <c r="AF24" s="21"/>
      <c r="AG24" s="21"/>
      <c r="AH24" s="21"/>
      <c r="AI24" s="21"/>
      <c r="AJ24" s="299">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EURAB6E17Y_Quote#0006</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4">
        <f>_xll.qlMidEquivalent($T25,$U25,$V25,$W25)</f>
        <v>2.444</v>
      </c>
      <c r="Y25" s="260"/>
      <c r="Z25" s="268">
        <v>2.444</v>
      </c>
      <c r="AA25" s="260"/>
      <c r="AB25" s="339">
        <v>2.444</v>
      </c>
      <c r="AC25" s="265" t="e">
        <f>_xll.qlSimpleQuoteSetValue(F25,AB25/100,Trigger)</f>
        <v>#N/A</v>
      </c>
      <c r="AD25" s="221"/>
      <c r="AE25" s="21"/>
      <c r="AF25" s="21"/>
      <c r="AG25" s="21"/>
      <c r="AH25" s="21"/>
      <c r="AI25" s="21"/>
      <c r="AJ25" s="299">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EURAB6E18Y_Quote#0006</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4">
        <f>_xll.qlMidEquivalent($T26,$U26,$V26,$W26)</f>
        <v>2.464</v>
      </c>
      <c r="Y26" s="260"/>
      <c r="Z26" s="268">
        <v>2.464</v>
      </c>
      <c r="AA26" s="260"/>
      <c r="AB26" s="339">
        <v>2.464</v>
      </c>
      <c r="AC26" s="265" t="e">
        <f>_xll.qlSimpleQuoteSetValue(F26,AB26/100,Trigger)</f>
        <v>#N/A</v>
      </c>
      <c r="AD26" s="221"/>
      <c r="AE26" s="21"/>
      <c r="AF26" s="21"/>
      <c r="AG26" s="21"/>
      <c r="AH26" s="21"/>
      <c r="AI26" s="21"/>
      <c r="AJ26" s="299">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EURAB6E19Y_Quote#0006</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4">
        <f>_xll.qlMidEquivalent($T27,$U27,$V27,$W27)</f>
        <v>2.4780000000000002</v>
      </c>
      <c r="Y27" s="260"/>
      <c r="Z27" s="268">
        <v>2.4780000000000002</v>
      </c>
      <c r="AA27" s="260"/>
      <c r="AB27" s="339">
        <v>2.4780000000000002</v>
      </c>
      <c r="AC27" s="265" t="e">
        <f>_xll.qlSimpleQuoteSetValue(F27,AB27/100,Trigger)</f>
        <v>#N/A</v>
      </c>
      <c r="AD27" s="221"/>
      <c r="AE27" s="21"/>
      <c r="AF27" s="21"/>
      <c r="AG27" s="21"/>
      <c r="AH27" s="21"/>
      <c r="AI27" s="21"/>
      <c r="AJ27" s="299">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EURAB6E20Y_Quote#0006</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4">
        <f>_xll.qlMidEquivalent($T28,$U28,$V28,$W28)</f>
        <v>2.4870000000000001</v>
      </c>
      <c r="Y28" s="260"/>
      <c r="Z28" s="268">
        <v>2.4870000000000001</v>
      </c>
      <c r="AA28" s="260"/>
      <c r="AB28" s="339">
        <v>2.4870000000000001</v>
      </c>
      <c r="AC28" s="265" t="e">
        <f>_xll.qlSimpleQuoteSetValue(F28,AB28/100,Trigger)</f>
        <v>#N/A</v>
      </c>
      <c r="AD28" s="221"/>
      <c r="AE28" s="21"/>
      <c r="AF28" s="21"/>
      <c r="AG28" s="21"/>
      <c r="AH28" s="21"/>
      <c r="AI28" s="21"/>
      <c r="AJ28" s="299">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EURAB6E21Y_Quote#0006</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4">
        <f>_xll.qlMidEquivalent($T29,$U29,$V29,$W29)</f>
        <v>2.4929999999999999</v>
      </c>
      <c r="Y29" s="260"/>
      <c r="Z29" s="268">
        <v>2.4929999999999999</v>
      </c>
      <c r="AA29" s="260"/>
      <c r="AB29" s="339">
        <v>2.4929999999999999</v>
      </c>
      <c r="AC29" s="265" t="e">
        <f>_xll.qlSimpleQuoteSetValue(F29,AB29/100,Trigger)</f>
        <v>#N/A</v>
      </c>
      <c r="AD29" s="221"/>
      <c r="AE29" s="21"/>
      <c r="AF29" s="21"/>
      <c r="AG29" s="21"/>
      <c r="AH29" s="21"/>
      <c r="AI29" s="21"/>
      <c r="AJ29" s="299">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EURAB6E22Y_Quote#0006</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4">
        <f>_xll.qlMidEquivalent($T30,$U30,$V30,$W30)</f>
        <v>2.4980000000000002</v>
      </c>
      <c r="Y30" s="260"/>
      <c r="Z30" s="268">
        <v>2.4980000000000002</v>
      </c>
      <c r="AA30" s="260"/>
      <c r="AB30" s="339">
        <v>2.4980000000000002</v>
      </c>
      <c r="AC30" s="265" t="e">
        <f>_xll.qlSimpleQuoteSetValue(F30,AB30/100,Trigger)</f>
        <v>#N/A</v>
      </c>
      <c r="AD30" s="221"/>
      <c r="AE30" s="21"/>
      <c r="AF30" s="21"/>
      <c r="AG30" s="21"/>
      <c r="AH30" s="21"/>
      <c r="AI30" s="21"/>
      <c r="AJ30" s="299">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EURAB6E23Y_Quote#0006</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4">
        <f>_xll.qlMidEquivalent($T31,$U31,$V31,$W31)</f>
        <v>2.5009999999999999</v>
      </c>
      <c r="Y31" s="260"/>
      <c r="Z31" s="268">
        <v>2.5009999999999999</v>
      </c>
      <c r="AA31" s="260"/>
      <c r="AB31" s="339">
        <v>2.5009999999999999</v>
      </c>
      <c r="AC31" s="265" t="e">
        <f>_xll.qlSimpleQuoteSetValue(F31,AB31/100,Trigger)</f>
        <v>#N/A</v>
      </c>
      <c r="AD31" s="221"/>
      <c r="AE31" s="21"/>
      <c r="AF31" s="21"/>
      <c r="AG31" s="21"/>
      <c r="AH31" s="21"/>
      <c r="AI31" s="21"/>
      <c r="AJ31" s="299">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EURAB6E24Y_Quote#0006</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4">
        <f>_xll.qlMidEquivalent($T32,$U32,$V32,$W32)</f>
        <v>2.5009999999999999</v>
      </c>
      <c r="Y32" s="260"/>
      <c r="Z32" s="268">
        <v>2.5009999999999999</v>
      </c>
      <c r="AA32" s="260"/>
      <c r="AB32" s="339">
        <v>2.5009999999999999</v>
      </c>
      <c r="AC32" s="265" t="e">
        <f>_xll.qlSimpleQuoteSetValue(F32,AB32/100,Trigger)</f>
        <v>#N/A</v>
      </c>
      <c r="AD32" s="221"/>
      <c r="AE32" s="21"/>
      <c r="AF32" s="21"/>
      <c r="AG32" s="21"/>
      <c r="AH32" s="21"/>
      <c r="AI32" s="21"/>
      <c r="AJ32" s="299">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EURAB6E25Y_Quote#0006</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4">
        <f>_xll.qlMidEquivalent($T33,$U33,$V33,$W33)</f>
        <v>2.5009999999999999</v>
      </c>
      <c r="Y33" s="260"/>
      <c r="Z33" s="268">
        <v>2.5009999999999999</v>
      </c>
      <c r="AA33" s="260"/>
      <c r="AB33" s="339">
        <v>2.5009999999999999</v>
      </c>
      <c r="AC33" s="265" t="e">
        <f>_xll.qlSimpleQuoteSetValue(F33,AB33/100,Trigger)</f>
        <v>#N/A</v>
      </c>
      <c r="AD33" s="221"/>
      <c r="AE33" s="21"/>
      <c r="AF33" s="21"/>
      <c r="AG33" s="21"/>
      <c r="AH33" s="21"/>
      <c r="AI33" s="21"/>
      <c r="AJ33" s="299">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EURAB6E26Y_Quote#0006</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4">
        <f>_xll.qlMidEquivalent($T34,$U34,$V34,$W34)</f>
        <v>2.5</v>
      </c>
      <c r="Y34" s="260"/>
      <c r="Z34" s="268">
        <v>2.5</v>
      </c>
      <c r="AA34" s="260"/>
      <c r="AB34" s="339">
        <v>2.5</v>
      </c>
      <c r="AC34" s="265" t="e">
        <f>_xll.qlSimpleQuoteSetValue(F34,AB34/100,Trigger)</f>
        <v>#N/A</v>
      </c>
      <c r="AD34" s="221"/>
      <c r="AE34" s="21"/>
      <c r="AF34" s="21"/>
      <c r="AG34" s="21"/>
      <c r="AH34" s="21"/>
      <c r="AI34" s="21"/>
      <c r="AJ34" s="299">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EURAB6E27Y_Quote#0006</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4">
        <f>_xll.qlMidEquivalent($T35,$U35,$V35,$W35)</f>
        <v>2.4980000000000002</v>
      </c>
      <c r="Y35" s="260"/>
      <c r="Z35" s="268">
        <v>2.4980000000000002</v>
      </c>
      <c r="AA35" s="260"/>
      <c r="AB35" s="339">
        <v>2.4980000000000002</v>
      </c>
      <c r="AC35" s="265" t="e">
        <f>_xll.qlSimpleQuoteSetValue(F35,AB35/100,Trigger)</f>
        <v>#N/A</v>
      </c>
      <c r="AD35" s="221"/>
      <c r="AE35" s="21"/>
      <c r="AF35" s="21"/>
      <c r="AG35" s="21"/>
      <c r="AH35" s="21"/>
      <c r="AI35" s="21"/>
      <c r="AJ35" s="299">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EURAB6E28Y_Quote#0006</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4">
        <f>_xll.qlMidEquivalent($T36,$U36,$V36,$W36)</f>
        <v>2.4950000000000001</v>
      </c>
      <c r="Y36" s="260"/>
      <c r="Z36" s="268">
        <v>2.4950000000000001</v>
      </c>
      <c r="AA36" s="260"/>
      <c r="AB36" s="339">
        <v>2.4950000000000001</v>
      </c>
      <c r="AC36" s="265" t="e">
        <f>_xll.qlSimpleQuoteSetValue(F36,AB36/100,Trigger)</f>
        <v>#N/A</v>
      </c>
      <c r="AD36" s="221"/>
      <c r="AE36" s="21"/>
      <c r="AF36" s="21"/>
      <c r="AG36" s="21"/>
      <c r="AH36" s="21"/>
      <c r="AI36" s="21"/>
      <c r="AJ36" s="299">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EURAB6E29Y_Quote#0006</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4">
        <f>_xll.qlMidEquivalent($T37,$U37,$V37,$W37)</f>
        <v>2.4939999999999998</v>
      </c>
      <c r="Y37" s="260"/>
      <c r="Z37" s="268">
        <v>2.4939999999999998</v>
      </c>
      <c r="AA37" s="260"/>
      <c r="AB37" s="339">
        <v>2.4939999999999998</v>
      </c>
      <c r="AC37" s="265" t="e">
        <f>_xll.qlSimpleQuoteSetValue(F37,AB37/100,Trigger)</f>
        <v>#N/A</v>
      </c>
      <c r="AD37" s="221"/>
      <c r="AE37" s="21"/>
      <c r="AF37" s="21"/>
      <c r="AG37" s="21"/>
      <c r="AH37" s="21"/>
      <c r="AI37" s="21"/>
      <c r="AJ37" s="299">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EURAB6E30Y_Quote#0006</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4">
        <f>_xll.qlMidEquivalent($T38,$U38,$V38,$W38)</f>
        <v>2.4929999999999999</v>
      </c>
      <c r="Y38" s="260"/>
      <c r="Z38" s="268">
        <v>2.4929999999999999</v>
      </c>
      <c r="AA38" s="260"/>
      <c r="AB38" s="339">
        <v>2.4929999999999999</v>
      </c>
      <c r="AC38" s="265" t="e">
        <f>_xll.qlSimpleQuoteSetValue(F38,AB38/100,Trigger)</f>
        <v>#N/A</v>
      </c>
      <c r="AD38" s="221"/>
      <c r="AE38" s="21"/>
      <c r="AF38" s="21"/>
      <c r="AG38" s="21"/>
      <c r="AH38" s="21"/>
      <c r="AI38" s="21"/>
      <c r="AJ38" s="299">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EURAB6E35Y_Quote#0006</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4">
        <f>_xll.qlMidEquivalent($T39,$U39,$V39,$W39)</f>
        <v>2.5070000000000001</v>
      </c>
      <c r="Y39" s="260"/>
      <c r="Z39" s="268">
        <v>2.5070000000000001</v>
      </c>
      <c r="AA39" s="260"/>
      <c r="AB39" s="339">
        <v>2.5070000000000001</v>
      </c>
      <c r="AC39" s="265" t="e">
        <f>_xll.qlSimpleQuoteSetValue(F39,AB39/100,Trigger)</f>
        <v>#N/A</v>
      </c>
      <c r="AD39" s="221"/>
      <c r="AE39" s="21"/>
      <c r="AF39" s="21"/>
      <c r="AG39" s="21"/>
      <c r="AH39" s="21"/>
      <c r="AI39" s="21"/>
      <c r="AJ39" s="299">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EURAB6E40Y_Quote#0006</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4">
        <f>_xll.qlMidEquivalent($T40,$U40,$V40,$W40)</f>
        <v>2.5350000000000001</v>
      </c>
      <c r="Y40" s="260"/>
      <c r="Z40" s="268">
        <v>2.5350000000000001</v>
      </c>
      <c r="AA40" s="260"/>
      <c r="AB40" s="339">
        <v>2.5350000000000001</v>
      </c>
      <c r="AC40" s="265" t="e">
        <f>_xll.qlSimpleQuoteSetValue(F40,AB40/100,Trigger)</f>
        <v>#N/A</v>
      </c>
      <c r="AD40" s="221"/>
      <c r="AE40" s="21"/>
      <c r="AF40" s="21"/>
      <c r="AG40" s="21"/>
      <c r="AH40" s="21"/>
      <c r="AI40" s="21"/>
      <c r="AJ40" s="299">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EURAB6E50Y_Quote#0006</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4">
        <f>_xll.qlMidEquivalent($T41,$U41,$V41,$W41)</f>
        <v>2.5790000000000002</v>
      </c>
      <c r="Y41" s="260"/>
      <c r="Z41" s="268">
        <v>2.5790000000000002</v>
      </c>
      <c r="AA41" s="260"/>
      <c r="AB41" s="339">
        <v>2.5790000000000002</v>
      </c>
      <c r="AC41" s="265" t="e">
        <f>_xll.qlSimpleQuoteSetValue(F41,AB41/100,Trigger)</f>
        <v>#N/A</v>
      </c>
      <c r="AD41" s="221"/>
      <c r="AE41" s="21"/>
      <c r="AF41" s="21"/>
      <c r="AG41" s="21"/>
      <c r="AH41" s="21"/>
      <c r="AI41" s="21"/>
      <c r="AJ41" s="299">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EURAB6E60Y_Quote#0006</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3">
        <f>_xll.qlMidEquivalent($T42,$U42,$V42,$W42)</f>
        <v>2.61</v>
      </c>
      <c r="Y42" s="260"/>
      <c r="Z42" s="261">
        <v>2.61</v>
      </c>
      <c r="AA42" s="260"/>
      <c r="AB42" s="332">
        <v>2.61</v>
      </c>
      <c r="AC42" s="257" t="e">
        <f>_xll.qlSimpleQuoteSetValue(F42,AB42/100,Trigger)</f>
        <v>#N/A</v>
      </c>
      <c r="AD42" s="221"/>
      <c r="AE42" s="21"/>
      <c r="AF42" s="21"/>
      <c r="AG42" s="21"/>
      <c r="AH42" s="21"/>
      <c r="AI42" s="21"/>
      <c r="AJ42" s="299">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82"/>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EURTOY_SYNTHON_Quote#0006</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EURTOY2_SYNTHON_Quote#0006</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EUROND_SYNTH1M_Quote#0006</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EURTND_SYNTH1M_Quote#0006</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EURSND_SYNTH1M_Quote#0006</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EURSWD_SYNTH1M_Quote#0006</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EUR2WD_SYNTH1M_Quote#0006</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EUR3WD_SYNTH1M_Quote#0006</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EUR1MD_SYNTH1M_Quote#0006</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EURTOY_SYNTH1M_Quote#0006</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EURTOY2_SYNTH1M_Quote#0006</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EUROND_SYNTH3M_Quote#0006</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EURTND_SYNTH3M_Quote#0006</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EURSND_SYNTH3M_Quote#0006</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EURSWD_SYNTH3M_Quote#0006</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EUR2WD_SYNTH3M_Quote#0006</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EUR3WD_SYNTH3M_Quote#0006</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EUR1MD_SYNTH3M_Quote#0006</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EUR2MD_SYNTH3M_Quote#0006</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EUR3MD_SYNTH3M_Quote#0006</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EURTOY_SYNTH3M_Quote#0006</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EURTOY2_SYNTH3M_Quote#0006</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EUROND_SYNTH6M_Quote#0006</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EURTND_SYNTH6M_Quote#0006</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EURSND_SYNTH6M_Quote#0006</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EURSWD_SYNTH6M_Quote#0006</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EUR2WD_SYNTH6M_Quote#0006</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EUR3WD_SYNTH6M_Quote#0006</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EUR1MD_SYNTH6M_Quote#0006</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EUR2MD_SYNTH6M_Quote#0006</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EUR3MD_SYNTH6M_Quote#0006</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EUR4MD_SYNTH6M_Quote#0006</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EUR5MD_SYNTH6M_Quote#0006</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EUR6MD_SYNTH6M_Quote#0006</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EURTOY_SYNTH6M_Quote#0006</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EURTOY2_SYNTH6M_Quote#0006</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EUROND_SYNTH1Y_Quote#0006</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EURTND_SYNTH1Y_Quote#0006</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EURSND_SYNTH1Y_Quote#0006</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EURSWD_SYNTH1Y_Quote#0006</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EUR2WD_SYNTH1Y_Quote#0006</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EUR3WD_SYNTH1Y_Quote#0006</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EUR1MD_SYNTH1Y_Quote#0006</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EUR2MD_SYNTH1Y_Quote#0006</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EUR3MD_SYNTH1Y_Quote#0006</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EUR4MD_SYNTH1Y_Quote#0006</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EUR5MD_SYNTH1Y_Quote#0006</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EUR6MD_SYNTH1Y_Quote#0006</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EUR7MD_SYNTH1Y_Quote#0006</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EUR8MD_SYNTH1Y_Quote#0006</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EUR9MD_SYNTH1Y_Quote#0006</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EUR10MD_SYNTH1Y_Quote#0006</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EUR11MD_SYNTH1Y_Quote#0006</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EUR1YD_SYNTH1Y_Quote#0006</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EUR1x13F_SYNTH1Y_Quote#0006</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EUR2x14F_SYNTH1Y_Quote#0006</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EUR3x15F_SYNTH1Y_Quote#0006</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EUR4x16F_SYNTH1Y_Quote#0006</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EUR5x17F_SYNTH1Y_Quote#0006</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EUR6x18F_SYNTH1Y_Quote#0006</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EUR7x19F_SYNTH1Y_Quote#0006</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EUR8x20F_SYNTH1Y_Quote#0006</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EUR9x21F_SYNTH1Y_Quote#0006</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EUR10x22F_SYNTH1Y_Quote#0006</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EUR11x23F_SYNTH1Y_Quote#0006</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EUR13x25F_SYNTH1Y_Quote#0006</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EUR14x26F_SYNTH1Y_Quote#0006</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EUR15x27F_SYNTH1Y_Quote#0006</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EUR16x28F_SYNTH1Y_Quote#0006</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EUR17x29F_SYNTH1Y_Quote#0006</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EUR18x30F_SYNTH1Y_Quote#0006</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EUR19x31F_SYNTH1Y_Quote#0006</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EUR20x32F_SYNTH1Y_Quote#0006</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EUR21x33F_SYNTH1Y_Quote#0006</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EUR22x34F_SYNTH1Y_Quote#0006</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EUR23x35F_SYNTH1Y_Quote#0006</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EUR25x37F_SYNTH1Y_Quote#0006</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EUR26x38F_SYNTH1Y_Quote#0006</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EUR27x39F_SYNTH1Y_Quote#0006</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EUR28x40F_SYNTH1Y_Quote#0006</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EUR29x41F_SYNTH1Y_Quote#0006</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EUR30x42F_SYNTH1Y_Quote#0006</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EUR31x43F_SYNTH1Y_Quote#0006</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EUR32x44F_SYNTH1Y_Quote#0006</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EUR33x45F_SYNTH1Y_Quote#0006</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EUR34x46F_SYNTH1Y_Quote#0006</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EUR35x47F_SYNTH1Y_Quote#0006</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EUR37x49F_SYNTH1Y_Quote#0006</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EUR38x50F_SYNTH1Y_Quote#0006</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EUR39x51F_SYNTH1Y_Quote#0006</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EUR40x52F_SYNTH1Y_Quote#0006</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EUR41x53F_SYNTH1Y_Quote#0006</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EUR42x54F_SYNTH1Y_Quote#0006</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EUR43x55F_SYNTH1Y_Quote#0006</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EUR44x56F_SYNTH1Y_Quote#0006</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EUR45x57F_SYNTH1Y_Quote#0006</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EUR46x58F_SYNTH1Y_Quote#0006</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EUR47x59F_SYNTH1Y_Quote#0006</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EURAB6E2Y_Fwd1w_Quote#0004</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EURAB6E3Y_Fwd1w_Quote#0004</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EURAB6E4Y_Fwd1w_Quote#0004</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EURAB6E5Y_Fwd1w_Quote#0004</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EURAB6E6Y_Fwd1w_Quote#0004</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EURAB6E7Y_Fwd1w_Quote#0004</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EURAB6E8Y_Fwd1w_Quote#0004</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EURAB6E9Y_Fwd1w_Quote#0004</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EURAB6E10Y_Fwd1w_Quote#0004</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EURAB6E11Y_Fwd1w_Quote#0004</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EURAB6E12Y_Fwd1w_Quote#0004</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EURAB6E13Y_Fwd1w_Quote#0004</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EURAB6E14Y_Fwd1w_Quote#0004</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EURAB6E15Y_Fwd1w_Quote#0004</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EURAB6E16Y_Fwd1w_Quote#0004</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EURAB6E17Y_Fwd1w_Quote#0004</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EURAB6E18Y_Fwd1w_Quote#0004</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EURAB6E19Y_Fwd1w_Quote#0004</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EURAB6E20Y_Fwd1w_Quote#0004</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EURAB6E21Y_Fwd1w_Quote#0004</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EURAB6E22Y_Fwd1w_Quote#0004</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EURAB6E23Y_Fwd1w_Quote#0004</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EURAB6E24Y_Fwd1w_Quote#0004</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EURAB6E25Y_Fwd1w_Quote#0004</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EURAB6E26Y_Fwd1w_Quote#0004</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EURAB6E27Y_Fwd1w_Quote#0004</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EURAB6E28Y_Fwd1w_Quote#0004</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EURAB6E29Y_Fwd1w_Quote#0004</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EURAB6E30Y_Fwd1w_Quote#0004</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EURAB6E35Y_Fwd1w_Quote#0004</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EURAB6E40Y_Fwd1w_Quote#0004</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EURAB6E50Y_Fwd1w_Quote#0004</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EURAB6E60Y_Fwd1w_Quote#0004</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EURAB6E2Y_Fwd1w_S6E12E_Quote#0004</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EURAB6E3Y_Fwd1w_S6E12E_Quote#0004</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EURAB6E4Y_Fwd1w_S6E12E_Quote#0004</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EURAB6E5Y_Fwd1w_S6E12E_Quote#0004</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EURAB6E6Y_Fwd1w_S6E12E_Quote#0004</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EURAB6E7Y_Fwd1w_S6E12E_Quote#0004</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EURAB6E8Y_Fwd1w_S6E12E_Quote#0004</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EURAB6E9Y_Fwd1w_S6E12E_Quote#0004</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EURAB6E10Y_Fwd1w_S6E12E_Quote#0004</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EURAB6E11Y_Fwd1w_S6E12E_Quote#0004</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EURAB6E12Y_Fwd1w_S6E12E_Quote#0004</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EURAB6E13Y_Fwd1w_S6E12E_Quote#0004</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EURAB6E14Y_Fwd1w_S6E12E_Quote#0004</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EURAB6E15Y_Fwd1w_S6E12E_Quote#0004</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EURAB6E16Y_Fwd1w_S6E12E_Quote#0004</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EURAB6E17Y_Fwd1w_S6E12E_Quote#0004</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EURAB6E18Y_Fwd1w_S6E12E_Quote#0004</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EURAB6E19Y_Fwd1w_S6E12E_Quote#0004</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EURAB6E20Y_Fwd1w_S6E12E_Quote#0004</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EURAB6E21Y_Fwd1w_S6E12E_Quote#0004</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EURAB6E22Y_Fwd1w_S6E12E_Quote#0004</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EURAB6E23Y_Fwd1w_S6E12E_Quote#0004</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EURAB6E24Y_Fwd1w_S6E12E_Quote#0004</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EURAB6E25Y_Fwd1w_S6E12E_Quote#0004</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EURAB6E26Y_Fwd1w_S6E12E_Quote#0004</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EURAB6E27Y_Fwd1w_S6E12E_Quote#0004</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EURAB6E28Y_Fwd1w_S6E12E_Quote#0004</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EURAB6E29Y_Fwd1w_S6E12E_Quote#0004</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EURAB6E30Y_Fwd1w_S6E12E_Quote#0004</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EURAB6E35Y_Fwd1w_S6E12E_Quote#0004</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EURAB6E40Y_Fwd1w_S6E12E_Quote#0004</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EURAB6E50Y_Fwd1w_S6E12E_Quote#0004</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EURAB6E60Y_Fwd1w_S6E12E_Quote#0004</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t="e">
        <f ca="1">IF(Serialize,_xll.ohObjectSave(G7:G126,SerializationPath&amp;F6,FileOverwrite,Serialize),"---")</f>
        <v>#NUM!</v>
      </c>
      <c r="H6" s="79" t="e">
        <f ca="1">_xll.ohRangeRetrieveError(G6)</f>
        <v>#NUM!</v>
      </c>
    </row>
    <row r="7" spans="1:8" x14ac:dyDescent="0.2">
      <c r="A7" s="150"/>
      <c r="B7" s="155">
        <v>1</v>
      </c>
      <c r="C7" s="153" t="b">
        <v>0</v>
      </c>
      <c r="D7" s="153" t="str">
        <f t="array" ref="D7:D126">_xll.qlIMMNextCodes(_xll.qlSettingsEvaluationDate(Trigger)-1,$C7:$C126)</f>
        <v>F4</v>
      </c>
      <c r="E7" s="252" t="str">
        <f t="shared" ref="E7:E38" si="0">Currency&amp;"FUT"&amp;$G$4&amp;$D7&amp;QuoteSuffix</f>
        <v>EURFUT3MF4_Quote</v>
      </c>
      <c r="F7" s="253" t="str">
        <f t="shared" ref="F7:F38" si="1">Currency&amp;"FUT"&amp;$G$4&amp;$D7&amp;"ConvAdj"&amp;QuoteSuffix</f>
        <v>EURFUT3MF4ConvAdj_Quote</v>
      </c>
      <c r="G7" s="252" t="str">
        <f>_xll.qlFuturesConvAdjustmentQuote($F7,IborIndex,$D7,$E7,Volatility,MeanReversion,Permanent,Trigger,ObjectOverwrite)</f>
        <v>EURFUT3MF4ConvAdj_Quote#0005</v>
      </c>
      <c r="H7" s="79" t="str">
        <f>_xll.ohRangeRetrieveError(G7)</f>
        <v/>
      </c>
    </row>
    <row r="8" spans="1:8" x14ac:dyDescent="0.2">
      <c r="A8" s="150"/>
      <c r="B8" s="111">
        <v>2</v>
      </c>
      <c r="C8" s="148" t="b">
        <v>0</v>
      </c>
      <c r="D8" s="148" t="str">
        <v>G4</v>
      </c>
      <c r="E8" s="252" t="str">
        <f t="shared" si="0"/>
        <v>EURFUT3MG4_Quote</v>
      </c>
      <c r="F8" s="253" t="str">
        <f t="shared" si="1"/>
        <v>EURFUT3MG4ConvAdj_Quote</v>
      </c>
      <c r="G8" s="252" t="str">
        <f>_xll.qlFuturesConvAdjustmentQuote($F8,IborIndex,$D8,$E8,Volatility,MeanReversion,Permanent,Trigger,ObjectOverwrite)</f>
        <v>EURFUT3MG4ConvAdj_Quote#0005</v>
      </c>
      <c r="H8" s="79" t="str">
        <f>_xll.ohRangeRetrieveError(G8)</f>
        <v/>
      </c>
    </row>
    <row r="9" spans="1:8" x14ac:dyDescent="0.2">
      <c r="A9" s="150"/>
      <c r="B9" s="111">
        <v>3</v>
      </c>
      <c r="C9" s="148" t="b">
        <v>0</v>
      </c>
      <c r="D9" s="148" t="str">
        <v>H4</v>
      </c>
      <c r="E9" s="252" t="str">
        <f t="shared" si="0"/>
        <v>EURFUT3MH4_Quote</v>
      </c>
      <c r="F9" s="253" t="str">
        <f t="shared" si="1"/>
        <v>EURFUT3MH4ConvAdj_Quote</v>
      </c>
      <c r="G9" s="252" t="str">
        <f>_xll.qlFuturesConvAdjustmentQuote($F9,IborIndex,$D9,$E9,Volatility,MeanReversion,Permanent,Trigger,ObjectOverwrite)</f>
        <v>EURFUT3MH4ConvAdj_Quote#0005</v>
      </c>
      <c r="H9" s="79" t="str">
        <f>_xll.ohRangeRetrieveError(G9)</f>
        <v/>
      </c>
    </row>
    <row r="10" spans="1:8" x14ac:dyDescent="0.2">
      <c r="A10" s="150"/>
      <c r="B10" s="111">
        <v>4</v>
      </c>
      <c r="C10" s="148" t="b">
        <v>0</v>
      </c>
      <c r="D10" s="148" t="str">
        <v>J4</v>
      </c>
      <c r="E10" s="252" t="str">
        <f t="shared" si="0"/>
        <v>EURFUT3MJ4_Quote</v>
      </c>
      <c r="F10" s="253" t="str">
        <f t="shared" si="1"/>
        <v>EURFUT3MJ4ConvAdj_Quote</v>
      </c>
      <c r="G10" s="252" t="str">
        <f>_xll.qlFuturesConvAdjustmentQuote($F10,IborIndex,$D10,$E10,Volatility,MeanReversion,Permanent,Trigger,ObjectOverwrite)</f>
        <v>EURFUT3MJ4ConvAdj_Quote#0005</v>
      </c>
      <c r="H10" s="79" t="str">
        <f>_xll.ohRangeRetrieveError(G10)</f>
        <v/>
      </c>
    </row>
    <row r="11" spans="1:8" x14ac:dyDescent="0.2">
      <c r="A11" s="150"/>
      <c r="B11" s="111">
        <v>5</v>
      </c>
      <c r="C11" s="148" t="b">
        <v>0</v>
      </c>
      <c r="D11" s="148" t="str">
        <v>K4</v>
      </c>
      <c r="E11" s="252" t="str">
        <f t="shared" si="0"/>
        <v>EURFUT3MK4_Quote</v>
      </c>
      <c r="F11" s="253" t="str">
        <f t="shared" si="1"/>
        <v>EURFUT3MK4ConvAdj_Quote</v>
      </c>
      <c r="G11" s="252" t="str">
        <f>_xll.qlFuturesConvAdjustmentQuote($F11,IborIndex,$D11,$E11,Volatility,MeanReversion,Permanent,Trigger,ObjectOverwrite)</f>
        <v>EURFUT3MK4ConvAdj_Quote#0005</v>
      </c>
      <c r="H11" s="79" t="str">
        <f>_xll.ohRangeRetrieveError(G11)</f>
        <v/>
      </c>
    </row>
    <row r="12" spans="1:8" x14ac:dyDescent="0.2">
      <c r="A12" s="150"/>
      <c r="B12" s="111">
        <v>6</v>
      </c>
      <c r="C12" s="148" t="b">
        <v>0</v>
      </c>
      <c r="D12" s="148" t="str">
        <v>M4</v>
      </c>
      <c r="E12" s="252" t="str">
        <f t="shared" si="0"/>
        <v>EURFUT3MM4_Quote</v>
      </c>
      <c r="F12" s="253" t="str">
        <f t="shared" si="1"/>
        <v>EURFUT3MM4ConvAdj_Quote</v>
      </c>
      <c r="G12" s="252" t="str">
        <f>_xll.qlFuturesConvAdjustmentQuote($F12,IborIndex,$D12,$E12,Volatility,MeanReversion,Permanent,Trigger,ObjectOverwrite)</f>
        <v>EURFUT3MM4ConvAdj_Quote#0005</v>
      </c>
      <c r="H12" s="79" t="str">
        <f>_xll.ohRangeRetrieveError(G12)</f>
        <v/>
      </c>
    </row>
    <row r="13" spans="1:8" x14ac:dyDescent="0.2">
      <c r="A13" s="150"/>
      <c r="B13" s="111">
        <v>7</v>
      </c>
      <c r="C13" s="148" t="b">
        <v>0</v>
      </c>
      <c r="D13" s="148" t="str">
        <v>N4</v>
      </c>
      <c r="E13" s="252" t="str">
        <f t="shared" si="0"/>
        <v>EURFUT3MN4_Quote</v>
      </c>
      <c r="F13" s="253" t="str">
        <f t="shared" si="1"/>
        <v>EURFUT3MN4ConvAdj_Quote</v>
      </c>
      <c r="G13" s="252" t="str">
        <f>_xll.qlFuturesConvAdjustmentQuote($F13,IborIndex,$D13,$E13,Volatility,MeanReversion,Permanent,Trigger,ObjectOverwrite)</f>
        <v>EURFUT3MN4ConvAdj_Quote#0005</v>
      </c>
      <c r="H13" s="79" t="str">
        <f>_xll.ohRangeRetrieveError(G13)</f>
        <v/>
      </c>
    </row>
    <row r="14" spans="1:8" x14ac:dyDescent="0.2">
      <c r="A14" s="150"/>
      <c r="B14" s="111">
        <v>8</v>
      </c>
      <c r="C14" s="148" t="b">
        <v>0</v>
      </c>
      <c r="D14" s="148" t="str">
        <v>Q4</v>
      </c>
      <c r="E14" s="252" t="str">
        <f t="shared" si="0"/>
        <v>EURFUT3MQ4_Quote</v>
      </c>
      <c r="F14" s="253" t="str">
        <f t="shared" si="1"/>
        <v>EURFUT3MQ4ConvAdj_Quote</v>
      </c>
      <c r="G14" s="252" t="str">
        <f>_xll.qlFuturesConvAdjustmentQuote($F14,IborIndex,$D14,$E14,Volatility,MeanReversion,Permanent,Trigger,ObjectOverwrite)</f>
        <v>EURFUT3MQ4ConvAdj_Quote#0005</v>
      </c>
      <c r="H14" s="79" t="str">
        <f>_xll.ohRangeRetrieveError(G14)</f>
        <v/>
      </c>
    </row>
    <row r="15" spans="1:8" x14ac:dyDescent="0.2">
      <c r="A15" s="150"/>
      <c r="B15" s="111">
        <v>9</v>
      </c>
      <c r="C15" s="148" t="b">
        <v>0</v>
      </c>
      <c r="D15" s="148" t="str">
        <v>U4</v>
      </c>
      <c r="E15" s="252" t="str">
        <f t="shared" si="0"/>
        <v>EURFUT3MU4_Quote</v>
      </c>
      <c r="F15" s="253" t="str">
        <f t="shared" si="1"/>
        <v>EURFUT3MU4ConvAdj_Quote</v>
      </c>
      <c r="G15" s="252" t="str">
        <f>_xll.qlFuturesConvAdjustmentQuote($F15,IborIndex,$D15,$E15,Volatility,MeanReversion,Permanent,Trigger,ObjectOverwrite)</f>
        <v>EURFUT3MU4ConvAdj_Quote#0005</v>
      </c>
      <c r="H15" s="79" t="str">
        <f>_xll.ohRangeRetrieveError(G15)</f>
        <v/>
      </c>
    </row>
    <row r="16" spans="1:8" x14ac:dyDescent="0.2">
      <c r="A16" s="150"/>
      <c r="B16" s="111">
        <v>10</v>
      </c>
      <c r="C16" s="148" t="b">
        <v>0</v>
      </c>
      <c r="D16" s="148" t="str">
        <v>V4</v>
      </c>
      <c r="E16" s="252" t="str">
        <f t="shared" si="0"/>
        <v>EURFUT3MV4_Quote</v>
      </c>
      <c r="F16" s="253" t="str">
        <f t="shared" si="1"/>
        <v>EURFUT3MV4ConvAdj_Quote</v>
      </c>
      <c r="G16" s="252" t="str">
        <f>_xll.qlFuturesConvAdjustmentQuote($F16,IborIndex,$D16,$E16,Volatility,MeanReversion,Permanent,Trigger,ObjectOverwrite)</f>
        <v>EURFUT3MV4ConvAdj_Quote#0005</v>
      </c>
      <c r="H16" s="79" t="str">
        <f>_xll.ohRangeRetrieveError(G16)</f>
        <v/>
      </c>
    </row>
    <row r="17" spans="1:8" x14ac:dyDescent="0.2">
      <c r="A17" s="150"/>
      <c r="B17" s="111">
        <v>11</v>
      </c>
      <c r="C17" s="148" t="b">
        <v>0</v>
      </c>
      <c r="D17" s="148" t="str">
        <v>X4</v>
      </c>
      <c r="E17" s="252" t="str">
        <f t="shared" si="0"/>
        <v>EURFUT3MX4_Quote</v>
      </c>
      <c r="F17" s="253" t="str">
        <f t="shared" si="1"/>
        <v>EURFUT3MX4ConvAdj_Quote</v>
      </c>
      <c r="G17" s="252" t="str">
        <f>_xll.qlFuturesConvAdjustmentQuote($F17,IborIndex,$D17,$E17,Volatility,MeanReversion,Permanent,Trigger,ObjectOverwrite)</f>
        <v>EURFUT3MX4ConvAdj_Quote#0005</v>
      </c>
      <c r="H17" s="79" t="str">
        <f>_xll.ohRangeRetrieveError(G17)</f>
        <v/>
      </c>
    </row>
    <row r="18" spans="1:8" x14ac:dyDescent="0.2">
      <c r="A18" s="150"/>
      <c r="B18" s="111">
        <v>12</v>
      </c>
      <c r="C18" s="148" t="b">
        <v>0</v>
      </c>
      <c r="D18" s="148" t="str">
        <v>Z4</v>
      </c>
      <c r="E18" s="252" t="str">
        <f t="shared" si="0"/>
        <v>EURFUT3MZ4_Quote</v>
      </c>
      <c r="F18" s="253" t="str">
        <f t="shared" si="1"/>
        <v>EURFUT3MZ4ConvAdj_Quote</v>
      </c>
      <c r="G18" s="252" t="str">
        <f>_xll.qlFuturesConvAdjustmentQuote($F18,IborIndex,$D18,$E18,Volatility,MeanReversion,Permanent,Trigger,ObjectOverwrite)</f>
        <v>EURFUT3MZ4ConvAdj_Quote#0005</v>
      </c>
      <c r="H18" s="79" t="str">
        <f>_xll.ohRangeRetrieveError(G18)</f>
        <v/>
      </c>
    </row>
    <row r="19" spans="1:8" x14ac:dyDescent="0.2">
      <c r="A19" s="150"/>
      <c r="B19" s="111">
        <v>13</v>
      </c>
      <c r="C19" s="148" t="b">
        <v>0</v>
      </c>
      <c r="D19" s="148" t="str">
        <v>F5</v>
      </c>
      <c r="E19" s="252" t="str">
        <f t="shared" si="0"/>
        <v>EURFUT3MF5_Quote</v>
      </c>
      <c r="F19" s="253" t="str">
        <f t="shared" si="1"/>
        <v>EURFUT3MF5ConvAdj_Quote</v>
      </c>
      <c r="G19" s="252" t="e">
        <f>_xll.qlFuturesConvAdjustmentQuote($F19,IborIndex,$D19,$E19,Volatility,MeanReversion,Permanent,Trigger,ObjectOverwrite)</f>
        <v>#NUM!</v>
      </c>
      <c r="H19" s="79" t="e">
        <f ca="1">_xll.ohRangeRetrieveError(G19)</f>
        <v>#NUM!</v>
      </c>
    </row>
    <row r="20" spans="1:8" x14ac:dyDescent="0.2">
      <c r="A20" s="150"/>
      <c r="B20" s="111">
        <v>14</v>
      </c>
      <c r="C20" s="148" t="b">
        <v>0</v>
      </c>
      <c r="D20" s="148" t="str">
        <v>G5</v>
      </c>
      <c r="E20" s="252" t="str">
        <f t="shared" si="0"/>
        <v>EURFUT3MG5_Quote</v>
      </c>
      <c r="F20" s="253" t="str">
        <f t="shared" si="1"/>
        <v>EURFUT3MG5ConvAdj_Quote</v>
      </c>
      <c r="G20" s="252" t="e">
        <f>_xll.qlFuturesConvAdjustmentQuote($F20,IborIndex,$D20,$E20,Volatility,MeanReversion,Permanent,Trigger,ObjectOverwrite)</f>
        <v>#NUM!</v>
      </c>
      <c r="H20" s="79" t="e">
        <f ca="1">_xll.ohRangeRetrieveError(G20)</f>
        <v>#NUM!</v>
      </c>
    </row>
    <row r="21" spans="1:8" x14ac:dyDescent="0.2">
      <c r="A21" s="150"/>
      <c r="B21" s="111">
        <v>15</v>
      </c>
      <c r="C21" s="148" t="b">
        <v>0</v>
      </c>
      <c r="D21" s="148" t="str">
        <v>H5</v>
      </c>
      <c r="E21" s="252" t="str">
        <f t="shared" si="0"/>
        <v>EURFUT3MH5_Quote</v>
      </c>
      <c r="F21" s="253" t="str">
        <f t="shared" si="1"/>
        <v>EURFUT3MH5ConvAdj_Quote</v>
      </c>
      <c r="G21" s="252" t="str">
        <f>_xll.qlFuturesConvAdjustmentQuote($F21,IborIndex,$D21,$E21,Volatility,MeanReversion,Permanent,Trigger,ObjectOverwrite)</f>
        <v>EURFUT3MH5ConvAdj_Quote#0005</v>
      </c>
      <c r="H21" s="79" t="str">
        <f>_xll.ohRangeRetrieveError(G21)</f>
        <v/>
      </c>
    </row>
    <row r="22" spans="1:8" x14ac:dyDescent="0.2">
      <c r="A22" s="150"/>
      <c r="B22" s="111">
        <v>16</v>
      </c>
      <c r="C22" s="148" t="b">
        <v>0</v>
      </c>
      <c r="D22" s="148" t="str">
        <v>J5</v>
      </c>
      <c r="E22" s="252" t="str">
        <f t="shared" si="0"/>
        <v>EURFUT3MJ5_Quote</v>
      </c>
      <c r="F22" s="253" t="str">
        <f t="shared" si="1"/>
        <v>EURFUT3MJ5ConvAdj_Quote</v>
      </c>
      <c r="G22" s="252" t="e">
        <f>_xll.qlFuturesConvAdjustmentQuote($F22,IborIndex,$D22,$E22,Volatility,MeanReversion,Permanent,Trigger,ObjectOverwrite)</f>
        <v>#NUM!</v>
      </c>
      <c r="H22" s="79" t="e">
        <f ca="1">_xll.ohRangeRetrieveError(G22)</f>
        <v>#NUM!</v>
      </c>
    </row>
    <row r="23" spans="1:8" x14ac:dyDescent="0.2">
      <c r="A23" s="150"/>
      <c r="B23" s="111">
        <v>17</v>
      </c>
      <c r="C23" s="148" t="b">
        <v>0</v>
      </c>
      <c r="D23" s="148" t="str">
        <v>K5</v>
      </c>
      <c r="E23" s="252" t="str">
        <f t="shared" si="0"/>
        <v>EURFUT3MK5_Quote</v>
      </c>
      <c r="F23" s="253" t="str">
        <f t="shared" si="1"/>
        <v>EURFUT3MK5ConvAdj_Quote</v>
      </c>
      <c r="G23" s="252" t="e">
        <f>_xll.qlFuturesConvAdjustmentQuote($F23,IborIndex,$D23,$E23,Volatility,MeanReversion,Permanent,Trigger,ObjectOverwrite)</f>
        <v>#NUM!</v>
      </c>
      <c r="H23" s="79" t="e">
        <f ca="1">_xll.ohRangeRetrieveError(G23)</f>
        <v>#NUM!</v>
      </c>
    </row>
    <row r="24" spans="1:8" x14ac:dyDescent="0.2">
      <c r="A24" s="150"/>
      <c r="B24" s="111">
        <v>18</v>
      </c>
      <c r="C24" s="148" t="b">
        <v>0</v>
      </c>
      <c r="D24" s="148" t="str">
        <v>M5</v>
      </c>
      <c r="E24" s="252" t="str">
        <f t="shared" si="0"/>
        <v>EURFUT3MM5_Quote</v>
      </c>
      <c r="F24" s="253" t="str">
        <f t="shared" si="1"/>
        <v>EURFUT3MM5ConvAdj_Quote</v>
      </c>
      <c r="G24" s="252" t="str">
        <f>_xll.qlFuturesConvAdjustmentQuote($F24,IborIndex,$D24,$E24,Volatility,MeanReversion,Permanent,Trigger,ObjectOverwrite)</f>
        <v>EURFUT3MM5ConvAdj_Quote#0005</v>
      </c>
      <c r="H24" s="79" t="str">
        <f>_xll.ohRangeRetrieveError(G24)</f>
        <v/>
      </c>
    </row>
    <row r="25" spans="1:8" x14ac:dyDescent="0.2">
      <c r="A25" s="150"/>
      <c r="B25" s="111">
        <v>19</v>
      </c>
      <c r="C25" s="148" t="b">
        <v>0</v>
      </c>
      <c r="D25" s="148" t="str">
        <v>N5</v>
      </c>
      <c r="E25" s="252" t="str">
        <f t="shared" si="0"/>
        <v>EURFUT3MN5_Quote</v>
      </c>
      <c r="F25" s="253" t="str">
        <f t="shared" si="1"/>
        <v>EURFUT3MN5ConvAdj_Quote</v>
      </c>
      <c r="G25" s="252" t="e">
        <f>_xll.qlFuturesConvAdjustmentQuote($F25,IborIndex,$D25,$E25,Volatility,MeanReversion,Permanent,Trigger,ObjectOverwrite)</f>
        <v>#NUM!</v>
      </c>
      <c r="H25" s="79" t="e">
        <f ca="1">_xll.ohRangeRetrieveError(G25)</f>
        <v>#NUM!</v>
      </c>
    </row>
    <row r="26" spans="1:8" x14ac:dyDescent="0.2">
      <c r="A26" s="150"/>
      <c r="B26" s="111">
        <v>20</v>
      </c>
      <c r="C26" s="148" t="b">
        <v>0</v>
      </c>
      <c r="D26" s="148" t="str">
        <v>Q5</v>
      </c>
      <c r="E26" s="252" t="str">
        <f t="shared" si="0"/>
        <v>EURFUT3MQ5_Quote</v>
      </c>
      <c r="F26" s="253" t="str">
        <f t="shared" si="1"/>
        <v>EURFUT3MQ5ConvAdj_Quote</v>
      </c>
      <c r="G26" s="252" t="e">
        <f>_xll.qlFuturesConvAdjustmentQuote($F26,IborIndex,$D26,$E26,Volatility,MeanReversion,Permanent,Trigger,ObjectOverwrite)</f>
        <v>#NUM!</v>
      </c>
      <c r="H26" s="79" t="e">
        <f ca="1">_xll.ohRangeRetrieveError(G26)</f>
        <v>#NUM!</v>
      </c>
    </row>
    <row r="27" spans="1:8" x14ac:dyDescent="0.2">
      <c r="A27" s="150"/>
      <c r="B27" s="111">
        <v>21</v>
      </c>
      <c r="C27" s="148" t="b">
        <v>0</v>
      </c>
      <c r="D27" s="148" t="str">
        <v>U5</v>
      </c>
      <c r="E27" s="252" t="str">
        <f t="shared" si="0"/>
        <v>EURFUT3MU5_Quote</v>
      </c>
      <c r="F27" s="253" t="str">
        <f t="shared" si="1"/>
        <v>EURFUT3MU5ConvAdj_Quote</v>
      </c>
      <c r="G27" s="252" t="str">
        <f>_xll.qlFuturesConvAdjustmentQuote($F27,IborIndex,$D27,$E27,Volatility,MeanReversion,Permanent,Trigger,ObjectOverwrite)</f>
        <v>EURFUT3MU5ConvAdj_Quote#0005</v>
      </c>
      <c r="H27" s="79" t="str">
        <f>_xll.ohRangeRetrieveError(G27)</f>
        <v/>
      </c>
    </row>
    <row r="28" spans="1:8" x14ac:dyDescent="0.2">
      <c r="A28" s="150"/>
      <c r="B28" s="111">
        <v>22</v>
      </c>
      <c r="C28" s="148" t="b">
        <v>0</v>
      </c>
      <c r="D28" s="148" t="str">
        <v>V5</v>
      </c>
      <c r="E28" s="252" t="str">
        <f t="shared" si="0"/>
        <v>EURFUT3MV5_Quote</v>
      </c>
      <c r="F28" s="253" t="str">
        <f t="shared" si="1"/>
        <v>EURFUT3MV5ConvAdj_Quote</v>
      </c>
      <c r="G28" s="252" t="e">
        <f>_xll.qlFuturesConvAdjustmentQuote($F28,IborIndex,$D28,$E28,Volatility,MeanReversion,Permanent,Trigger,ObjectOverwrite)</f>
        <v>#NUM!</v>
      </c>
      <c r="H28" s="79" t="e">
        <f ca="1">_xll.ohRangeRetrieveError(G28)</f>
        <v>#NUM!</v>
      </c>
    </row>
    <row r="29" spans="1:8" x14ac:dyDescent="0.2">
      <c r="A29" s="150"/>
      <c r="B29" s="111">
        <v>23</v>
      </c>
      <c r="C29" s="148" t="b">
        <v>0</v>
      </c>
      <c r="D29" s="148" t="str">
        <v>X5</v>
      </c>
      <c r="E29" s="252" t="str">
        <f t="shared" si="0"/>
        <v>EURFUT3MX5_Quote</v>
      </c>
      <c r="F29" s="253" t="str">
        <f t="shared" si="1"/>
        <v>EURFUT3MX5ConvAdj_Quote</v>
      </c>
      <c r="G29" s="252" t="e">
        <f>_xll.qlFuturesConvAdjustmentQuote($F29,IborIndex,$D29,$E29,Volatility,MeanReversion,Permanent,Trigger,ObjectOverwrite)</f>
        <v>#NUM!</v>
      </c>
      <c r="H29" s="79" t="e">
        <f ca="1">_xll.ohRangeRetrieveError(G29)</f>
        <v>#NUM!</v>
      </c>
    </row>
    <row r="30" spans="1:8" x14ac:dyDescent="0.2">
      <c r="A30" s="150"/>
      <c r="B30" s="111">
        <v>24</v>
      </c>
      <c r="C30" s="148" t="b">
        <v>0</v>
      </c>
      <c r="D30" s="148" t="str">
        <v>Z5</v>
      </c>
      <c r="E30" s="252" t="str">
        <f t="shared" si="0"/>
        <v>EURFUT3MZ5_Quote</v>
      </c>
      <c r="F30" s="253" t="str">
        <f t="shared" si="1"/>
        <v>EURFUT3MZ5ConvAdj_Quote</v>
      </c>
      <c r="G30" s="252" t="str">
        <f>_xll.qlFuturesConvAdjustmentQuote($F30,IborIndex,$D30,$E30,Volatility,MeanReversion,Permanent,Trigger,ObjectOverwrite)</f>
        <v>EURFUT3MZ5ConvAdj_Quote#0005</v>
      </c>
      <c r="H30" s="79" t="str">
        <f>_xll.ohRangeRetrieveError(G30)</f>
        <v/>
      </c>
    </row>
    <row r="31" spans="1:8" x14ac:dyDescent="0.2">
      <c r="A31" s="150"/>
      <c r="B31" s="111">
        <v>25</v>
      </c>
      <c r="C31" s="148" t="b">
        <v>0</v>
      </c>
      <c r="D31" s="148" t="str">
        <v>F6</v>
      </c>
      <c r="E31" s="252" t="str">
        <f t="shared" si="0"/>
        <v>EURFUT3MF6_Quote</v>
      </c>
      <c r="F31" s="253" t="str">
        <f t="shared" si="1"/>
        <v>EURFUT3MF6ConvAdj_Quote</v>
      </c>
      <c r="G31" s="252" t="e">
        <f>_xll.qlFuturesConvAdjustmentQuote($F31,IborIndex,$D31,$E31,Volatility,MeanReversion,Permanent,Trigger,ObjectOverwrite)</f>
        <v>#NUM!</v>
      </c>
      <c r="H31" s="79" t="e">
        <f ca="1">_xll.ohRangeRetrieveError(G31)</f>
        <v>#NUM!</v>
      </c>
    </row>
    <row r="32" spans="1:8" x14ac:dyDescent="0.2">
      <c r="A32" s="150"/>
      <c r="B32" s="111">
        <v>26</v>
      </c>
      <c r="C32" s="148" t="b">
        <v>0</v>
      </c>
      <c r="D32" s="148" t="str">
        <v>G6</v>
      </c>
      <c r="E32" s="252" t="str">
        <f t="shared" si="0"/>
        <v>EURFUT3MG6_Quote</v>
      </c>
      <c r="F32" s="253" t="str">
        <f t="shared" si="1"/>
        <v>EURFUT3MG6ConvAdj_Quote</v>
      </c>
      <c r="G32" s="252" t="e">
        <f>_xll.qlFuturesConvAdjustmentQuote($F32,IborIndex,$D32,$E32,Volatility,MeanReversion,Permanent,Trigger,ObjectOverwrite)</f>
        <v>#NUM!</v>
      </c>
      <c r="H32" s="79" t="e">
        <f ca="1">_xll.ohRangeRetrieveError(G32)</f>
        <v>#NUM!</v>
      </c>
    </row>
    <row r="33" spans="1:8" x14ac:dyDescent="0.2">
      <c r="A33" s="150"/>
      <c r="B33" s="111">
        <v>27</v>
      </c>
      <c r="C33" s="148" t="b">
        <v>0</v>
      </c>
      <c r="D33" s="148" t="str">
        <v>H6</v>
      </c>
      <c r="E33" s="252" t="str">
        <f t="shared" si="0"/>
        <v>EURFUT3MH6_Quote</v>
      </c>
      <c r="F33" s="253" t="str">
        <f t="shared" si="1"/>
        <v>EURFUT3MH6ConvAdj_Quote</v>
      </c>
      <c r="G33" s="252" t="str">
        <f>_xll.qlFuturesConvAdjustmentQuote($F33,IborIndex,$D33,$E33,Volatility,MeanReversion,Permanent,Trigger,ObjectOverwrite)</f>
        <v>EURFUT3MH6ConvAdj_Quote#0005</v>
      </c>
      <c r="H33" s="79" t="str">
        <f>_xll.ohRangeRetrieveError(G33)</f>
        <v/>
      </c>
    </row>
    <row r="34" spans="1:8" x14ac:dyDescent="0.2">
      <c r="A34" s="150"/>
      <c r="B34" s="111">
        <v>28</v>
      </c>
      <c r="C34" s="148" t="b">
        <v>0</v>
      </c>
      <c r="D34" s="148" t="str">
        <v>J6</v>
      </c>
      <c r="E34" s="252" t="str">
        <f t="shared" si="0"/>
        <v>EURFUT3MJ6_Quote</v>
      </c>
      <c r="F34" s="253" t="str">
        <f t="shared" si="1"/>
        <v>EURFUT3MJ6ConvAdj_Quote</v>
      </c>
      <c r="G34" s="252" t="e">
        <f>_xll.qlFuturesConvAdjustmentQuote($F34,IborIndex,$D34,$E34,Volatility,MeanReversion,Permanent,Trigger,ObjectOverwrite)</f>
        <v>#NUM!</v>
      </c>
      <c r="H34" s="79" t="e">
        <f ca="1">_xll.ohRangeRetrieveError(G34)</f>
        <v>#NUM!</v>
      </c>
    </row>
    <row r="35" spans="1:8" x14ac:dyDescent="0.2">
      <c r="A35" s="150"/>
      <c r="B35" s="111">
        <v>29</v>
      </c>
      <c r="C35" s="148" t="b">
        <v>0</v>
      </c>
      <c r="D35" s="148" t="str">
        <v>K6</v>
      </c>
      <c r="E35" s="252" t="str">
        <f t="shared" si="0"/>
        <v>EURFUT3MK6_Quote</v>
      </c>
      <c r="F35" s="253" t="str">
        <f t="shared" si="1"/>
        <v>EURFUT3MK6ConvAdj_Quote</v>
      </c>
      <c r="G35" s="252" t="e">
        <f>_xll.qlFuturesConvAdjustmentQuote($F35,IborIndex,$D35,$E35,Volatility,MeanReversion,Permanent,Trigger,ObjectOverwrite)</f>
        <v>#NUM!</v>
      </c>
      <c r="H35" s="79" t="e">
        <f ca="1">_xll.ohRangeRetrieveError(G35)</f>
        <v>#NUM!</v>
      </c>
    </row>
    <row r="36" spans="1:8" x14ac:dyDescent="0.2">
      <c r="A36" s="150"/>
      <c r="B36" s="111">
        <v>30</v>
      </c>
      <c r="C36" s="148" t="b">
        <v>0</v>
      </c>
      <c r="D36" s="148" t="str">
        <v>M6</v>
      </c>
      <c r="E36" s="252" t="str">
        <f t="shared" si="0"/>
        <v>EURFUT3MM6_Quote</v>
      </c>
      <c r="F36" s="253" t="str">
        <f t="shared" si="1"/>
        <v>EURFUT3MM6ConvAdj_Quote</v>
      </c>
      <c r="G36" s="252" t="str">
        <f>_xll.qlFuturesConvAdjustmentQuote($F36,IborIndex,$D36,$E36,Volatility,MeanReversion,Permanent,Trigger,ObjectOverwrite)</f>
        <v>EURFUT3MM6ConvAdj_Quote#0005</v>
      </c>
      <c r="H36" s="79" t="str">
        <f>_xll.ohRangeRetrieveError(G36)</f>
        <v/>
      </c>
    </row>
    <row r="37" spans="1:8" x14ac:dyDescent="0.2">
      <c r="A37" s="150"/>
      <c r="B37" s="111">
        <v>31</v>
      </c>
      <c r="C37" s="148" t="b">
        <v>0</v>
      </c>
      <c r="D37" s="148" t="str">
        <v>N6</v>
      </c>
      <c r="E37" s="252" t="str">
        <f t="shared" si="0"/>
        <v>EURFUT3MN6_Quote</v>
      </c>
      <c r="F37" s="253" t="str">
        <f t="shared" si="1"/>
        <v>EURFUT3MN6ConvAdj_Quote</v>
      </c>
      <c r="G37" s="252" t="e">
        <f>_xll.qlFuturesConvAdjustmentQuote($F37,IborIndex,$D37,$E37,Volatility,MeanReversion,Permanent,Trigger,ObjectOverwrite)</f>
        <v>#NUM!</v>
      </c>
      <c r="H37" s="79" t="e">
        <f ca="1">_xll.ohRangeRetrieveError(G37)</f>
        <v>#NUM!</v>
      </c>
    </row>
    <row r="38" spans="1:8" x14ac:dyDescent="0.2">
      <c r="A38" s="150"/>
      <c r="B38" s="111">
        <v>32</v>
      </c>
      <c r="C38" s="148" t="b">
        <v>0</v>
      </c>
      <c r="D38" s="148" t="str">
        <v>Q6</v>
      </c>
      <c r="E38" s="252" t="str">
        <f t="shared" si="0"/>
        <v>EURFUT3MQ6_Quote</v>
      </c>
      <c r="F38" s="253" t="str">
        <f t="shared" si="1"/>
        <v>EURFUT3MQ6ConvAdj_Quote</v>
      </c>
      <c r="G38" s="252" t="e">
        <f>_xll.qlFuturesConvAdjustmentQuote($F38,IborIndex,$D38,$E38,Volatility,MeanReversion,Permanent,Trigger,ObjectOverwrite)</f>
        <v>#NUM!</v>
      </c>
      <c r="H38" s="79" t="e">
        <f ca="1">_xll.ohRangeRetrieveError(G38)</f>
        <v>#NUM!</v>
      </c>
    </row>
    <row r="39" spans="1:8" x14ac:dyDescent="0.2">
      <c r="A39" s="150"/>
      <c r="B39" s="111">
        <v>33</v>
      </c>
      <c r="C39" s="148" t="b">
        <v>0</v>
      </c>
      <c r="D39" s="148" t="str">
        <v>U6</v>
      </c>
      <c r="E39" s="252" t="str">
        <f t="shared" ref="E39:E70" si="2">Currency&amp;"FUT"&amp;$G$4&amp;$D39&amp;QuoteSuffix</f>
        <v>EURFUT3MU6_Quote</v>
      </c>
      <c r="F39" s="253" t="str">
        <f t="shared" ref="F39:F70" si="3">Currency&amp;"FUT"&amp;$G$4&amp;$D39&amp;"ConvAdj"&amp;QuoteSuffix</f>
        <v>EURFUT3MU6ConvAdj_Quote</v>
      </c>
      <c r="G39" s="252" t="str">
        <f>_xll.qlFuturesConvAdjustmentQuote($F39,IborIndex,$D39,$E39,Volatility,MeanReversion,Permanent,Trigger,ObjectOverwrite)</f>
        <v>EURFUT3MU6ConvAdj_Quote#0005</v>
      </c>
      <c r="H39" s="79" t="str">
        <f>_xll.ohRangeRetrieveError(G39)</f>
        <v/>
      </c>
    </row>
    <row r="40" spans="1:8" x14ac:dyDescent="0.2">
      <c r="A40" s="150"/>
      <c r="B40" s="111">
        <v>34</v>
      </c>
      <c r="C40" s="148" t="b">
        <v>0</v>
      </c>
      <c r="D40" s="148" t="str">
        <v>V6</v>
      </c>
      <c r="E40" s="252" t="str">
        <f t="shared" si="2"/>
        <v>EURFUT3MV6_Quote</v>
      </c>
      <c r="F40" s="253" t="str">
        <f t="shared" si="3"/>
        <v>EURFUT3MV6ConvAdj_Quote</v>
      </c>
      <c r="G40" s="252" t="e">
        <f>_xll.qlFuturesConvAdjustmentQuote($F40,IborIndex,$D40,$E40,Volatility,MeanReversion,Permanent,Trigger,ObjectOverwrite)</f>
        <v>#NUM!</v>
      </c>
      <c r="H40" s="79" t="e">
        <f ca="1">_xll.ohRangeRetrieveError(G40)</f>
        <v>#NUM!</v>
      </c>
    </row>
    <row r="41" spans="1:8" x14ac:dyDescent="0.2">
      <c r="A41" s="150"/>
      <c r="B41" s="111">
        <v>35</v>
      </c>
      <c r="C41" s="148" t="b">
        <v>0</v>
      </c>
      <c r="D41" s="148" t="str">
        <v>X6</v>
      </c>
      <c r="E41" s="252" t="str">
        <f t="shared" si="2"/>
        <v>EURFUT3MX6_Quote</v>
      </c>
      <c r="F41" s="253" t="str">
        <f t="shared" si="3"/>
        <v>EURFUT3MX6ConvAdj_Quote</v>
      </c>
      <c r="G41" s="252" t="e">
        <f>_xll.qlFuturesConvAdjustmentQuote($F41,IborIndex,$D41,$E41,Volatility,MeanReversion,Permanent,Trigger,ObjectOverwrite)</f>
        <v>#NUM!</v>
      </c>
      <c r="H41" s="79" t="e">
        <f ca="1">_xll.ohRangeRetrieveError(G41)</f>
        <v>#NUM!</v>
      </c>
    </row>
    <row r="42" spans="1:8" x14ac:dyDescent="0.2">
      <c r="A42" s="150"/>
      <c r="B42" s="111">
        <v>36</v>
      </c>
      <c r="C42" s="148" t="b">
        <v>0</v>
      </c>
      <c r="D42" s="148" t="str">
        <v>Z6</v>
      </c>
      <c r="E42" s="252" t="str">
        <f t="shared" si="2"/>
        <v>EURFUT3MZ6_Quote</v>
      </c>
      <c r="F42" s="253" t="str">
        <f t="shared" si="3"/>
        <v>EURFUT3MZ6ConvAdj_Quote</v>
      </c>
      <c r="G42" s="252" t="str">
        <f>_xll.qlFuturesConvAdjustmentQuote($F42,IborIndex,$D42,$E42,Volatility,MeanReversion,Permanent,Trigger,ObjectOverwrite)</f>
        <v>EURFUT3MZ6ConvAdj_Quote#0005</v>
      </c>
      <c r="H42" s="79" t="str">
        <f>_xll.ohRangeRetrieveError(G42)</f>
        <v/>
      </c>
    </row>
    <row r="43" spans="1:8" x14ac:dyDescent="0.2">
      <c r="A43" s="150"/>
      <c r="B43" s="111">
        <v>37</v>
      </c>
      <c r="C43" s="148" t="b">
        <v>0</v>
      </c>
      <c r="D43" s="148" t="str">
        <v>F7</v>
      </c>
      <c r="E43" s="252" t="str">
        <f t="shared" si="2"/>
        <v>EURFUT3MF7_Quote</v>
      </c>
      <c r="F43" s="253" t="str">
        <f t="shared" si="3"/>
        <v>EURFUT3MF7ConvAdj_Quote</v>
      </c>
      <c r="G43" s="252" t="e">
        <f>_xll.qlFuturesConvAdjustmentQuote($F43,IborIndex,$D43,$E43,Volatility,MeanReversion,Permanent,Trigger,ObjectOverwrite)</f>
        <v>#NUM!</v>
      </c>
      <c r="H43" s="79" t="e">
        <f ca="1">_xll.ohRangeRetrieveError(G43)</f>
        <v>#NUM!</v>
      </c>
    </row>
    <row r="44" spans="1:8" x14ac:dyDescent="0.2">
      <c r="A44" s="150"/>
      <c r="B44" s="111">
        <v>38</v>
      </c>
      <c r="C44" s="148" t="b">
        <v>0</v>
      </c>
      <c r="D44" s="148" t="str">
        <v>G7</v>
      </c>
      <c r="E44" s="252" t="str">
        <f t="shared" si="2"/>
        <v>EURFUT3MG7_Quote</v>
      </c>
      <c r="F44" s="253" t="str">
        <f t="shared" si="3"/>
        <v>EURFUT3MG7ConvAdj_Quote</v>
      </c>
      <c r="G44" s="252" t="e">
        <f>_xll.qlFuturesConvAdjustmentQuote($F44,IborIndex,$D44,$E44,Volatility,MeanReversion,Permanent,Trigger,ObjectOverwrite)</f>
        <v>#NUM!</v>
      </c>
      <c r="H44" s="79" t="e">
        <f ca="1">_xll.ohRangeRetrieveError(G44)</f>
        <v>#NUM!</v>
      </c>
    </row>
    <row r="45" spans="1:8" x14ac:dyDescent="0.2">
      <c r="A45" s="150"/>
      <c r="B45" s="111">
        <v>39</v>
      </c>
      <c r="C45" s="148" t="b">
        <v>0</v>
      </c>
      <c r="D45" s="148" t="str">
        <v>H7</v>
      </c>
      <c r="E45" s="252" t="str">
        <f t="shared" si="2"/>
        <v>EURFUT3MH7_Quote</v>
      </c>
      <c r="F45" s="253" t="str">
        <f t="shared" si="3"/>
        <v>EURFUT3MH7ConvAdj_Quote</v>
      </c>
      <c r="G45" s="252" t="str">
        <f>_xll.qlFuturesConvAdjustmentQuote($F45,IborIndex,$D45,$E45,Volatility,MeanReversion,Permanent,Trigger,ObjectOverwrite)</f>
        <v>EURFUT3MH7ConvAdj_Quote#0005</v>
      </c>
      <c r="H45" s="79" t="str">
        <f>_xll.ohRangeRetrieveError(G45)</f>
        <v/>
      </c>
    </row>
    <row r="46" spans="1:8" x14ac:dyDescent="0.2">
      <c r="A46" s="150"/>
      <c r="B46" s="111">
        <v>40</v>
      </c>
      <c r="C46" s="148" t="b">
        <v>0</v>
      </c>
      <c r="D46" s="148" t="str">
        <v>J7</v>
      </c>
      <c r="E46" s="252" t="str">
        <f t="shared" si="2"/>
        <v>EURFUT3MJ7_Quote</v>
      </c>
      <c r="F46" s="253" t="str">
        <f t="shared" si="3"/>
        <v>EURFUT3MJ7ConvAdj_Quote</v>
      </c>
      <c r="G46" s="252" t="e">
        <f>_xll.qlFuturesConvAdjustmentQuote($F46,IborIndex,$D46,$E46,Volatility,MeanReversion,Permanent,Trigger,ObjectOverwrite)</f>
        <v>#NUM!</v>
      </c>
      <c r="H46" s="79" t="e">
        <f ca="1">_xll.ohRangeRetrieveError(G46)</f>
        <v>#NUM!</v>
      </c>
    </row>
    <row r="47" spans="1:8" x14ac:dyDescent="0.2">
      <c r="A47" s="150"/>
      <c r="B47" s="111">
        <v>41</v>
      </c>
      <c r="C47" s="148" t="b">
        <v>0</v>
      </c>
      <c r="D47" s="148" t="str">
        <v>K7</v>
      </c>
      <c r="E47" s="252" t="str">
        <f t="shared" si="2"/>
        <v>EURFUT3MK7_Quote</v>
      </c>
      <c r="F47" s="253" t="str">
        <f t="shared" si="3"/>
        <v>EURFUT3MK7ConvAdj_Quote</v>
      </c>
      <c r="G47" s="252" t="e">
        <f>_xll.qlFuturesConvAdjustmentQuote($F47,IborIndex,$D47,$E47,Volatility,MeanReversion,Permanent,Trigger,ObjectOverwrite)</f>
        <v>#NUM!</v>
      </c>
      <c r="H47" s="79" t="e">
        <f ca="1">_xll.ohRangeRetrieveError(G47)</f>
        <v>#NUM!</v>
      </c>
    </row>
    <row r="48" spans="1:8" x14ac:dyDescent="0.2">
      <c r="A48" s="150"/>
      <c r="B48" s="111">
        <v>42</v>
      </c>
      <c r="C48" s="148" t="b">
        <v>0</v>
      </c>
      <c r="D48" s="148" t="str">
        <v>M7</v>
      </c>
      <c r="E48" s="252" t="str">
        <f t="shared" si="2"/>
        <v>EURFUT3MM7_Quote</v>
      </c>
      <c r="F48" s="253" t="str">
        <f t="shared" si="3"/>
        <v>EURFUT3MM7ConvAdj_Quote</v>
      </c>
      <c r="G48" s="252" t="str">
        <f>_xll.qlFuturesConvAdjustmentQuote($F48,IborIndex,$D48,$E48,Volatility,MeanReversion,Permanent,Trigger,ObjectOverwrite)</f>
        <v>EURFUT3MM7ConvAdj_Quote#0005</v>
      </c>
      <c r="H48" s="79" t="str">
        <f>_xll.ohRangeRetrieveError(G48)</f>
        <v/>
      </c>
    </row>
    <row r="49" spans="1:8" x14ac:dyDescent="0.2">
      <c r="A49" s="150"/>
      <c r="B49" s="111">
        <v>43</v>
      </c>
      <c r="C49" s="148" t="b">
        <v>0</v>
      </c>
      <c r="D49" s="148" t="str">
        <v>N7</v>
      </c>
      <c r="E49" s="252" t="str">
        <f t="shared" si="2"/>
        <v>EURFUT3MN7_Quote</v>
      </c>
      <c r="F49" s="253" t="str">
        <f t="shared" si="3"/>
        <v>EURFUT3MN7ConvAdj_Quote</v>
      </c>
      <c r="G49" s="252" t="e">
        <f>_xll.qlFuturesConvAdjustmentQuote($F49,IborIndex,$D49,$E49,Volatility,MeanReversion,Permanent,Trigger,ObjectOverwrite)</f>
        <v>#NUM!</v>
      </c>
      <c r="H49" s="79" t="e">
        <f ca="1">_xll.ohRangeRetrieveError(G49)</f>
        <v>#NUM!</v>
      </c>
    </row>
    <row r="50" spans="1:8" x14ac:dyDescent="0.2">
      <c r="A50" s="150"/>
      <c r="B50" s="111">
        <v>44</v>
      </c>
      <c r="C50" s="148" t="b">
        <v>0</v>
      </c>
      <c r="D50" s="148" t="str">
        <v>Q7</v>
      </c>
      <c r="E50" s="252" t="str">
        <f t="shared" si="2"/>
        <v>EURFUT3MQ7_Quote</v>
      </c>
      <c r="F50" s="253" t="str">
        <f t="shared" si="3"/>
        <v>EURFUT3MQ7ConvAdj_Quote</v>
      </c>
      <c r="G50" s="252" t="e">
        <f>_xll.qlFuturesConvAdjustmentQuote($F50,IborIndex,$D50,$E50,Volatility,MeanReversion,Permanent,Trigger,ObjectOverwrite)</f>
        <v>#NUM!</v>
      </c>
      <c r="H50" s="79" t="e">
        <f ca="1">_xll.ohRangeRetrieveError(G50)</f>
        <v>#NUM!</v>
      </c>
    </row>
    <row r="51" spans="1:8" x14ac:dyDescent="0.2">
      <c r="A51" s="150"/>
      <c r="B51" s="111">
        <v>45</v>
      </c>
      <c r="C51" s="148" t="b">
        <v>0</v>
      </c>
      <c r="D51" s="148" t="str">
        <v>U7</v>
      </c>
      <c r="E51" s="252" t="str">
        <f t="shared" si="2"/>
        <v>EURFUT3MU7_Quote</v>
      </c>
      <c r="F51" s="253" t="str">
        <f t="shared" si="3"/>
        <v>EURFUT3MU7ConvAdj_Quote</v>
      </c>
      <c r="G51" s="252" t="str">
        <f>_xll.qlFuturesConvAdjustmentQuote($F51,IborIndex,$D51,$E51,Volatility,MeanReversion,Permanent,Trigger,ObjectOverwrite)</f>
        <v>EURFUT3MU7ConvAdj_Quote#0005</v>
      </c>
      <c r="H51" s="79" t="str">
        <f>_xll.ohRangeRetrieveError(G51)</f>
        <v/>
      </c>
    </row>
    <row r="52" spans="1:8" x14ac:dyDescent="0.2">
      <c r="A52" s="150"/>
      <c r="B52" s="111">
        <v>46</v>
      </c>
      <c r="C52" s="148" t="b">
        <v>0</v>
      </c>
      <c r="D52" s="148" t="str">
        <v>V7</v>
      </c>
      <c r="E52" s="252" t="str">
        <f t="shared" si="2"/>
        <v>EURFUT3MV7_Quote</v>
      </c>
      <c r="F52" s="253" t="str">
        <f t="shared" si="3"/>
        <v>EURFUT3MV7ConvAdj_Quote</v>
      </c>
      <c r="G52" s="252" t="e">
        <f>_xll.qlFuturesConvAdjustmentQuote($F52,IborIndex,$D52,$E52,Volatility,MeanReversion,Permanent,Trigger,ObjectOverwrite)</f>
        <v>#NUM!</v>
      </c>
      <c r="H52" s="79" t="e">
        <f ca="1">_xll.ohRangeRetrieveError(G52)</f>
        <v>#NUM!</v>
      </c>
    </row>
    <row r="53" spans="1:8" x14ac:dyDescent="0.2">
      <c r="A53" s="150"/>
      <c r="B53" s="111">
        <v>47</v>
      </c>
      <c r="C53" s="148" t="b">
        <v>0</v>
      </c>
      <c r="D53" s="148" t="str">
        <v>X7</v>
      </c>
      <c r="E53" s="252" t="str">
        <f t="shared" si="2"/>
        <v>EURFUT3MX7_Quote</v>
      </c>
      <c r="F53" s="253" t="str">
        <f t="shared" si="3"/>
        <v>EURFUT3MX7ConvAdj_Quote</v>
      </c>
      <c r="G53" s="252" t="e">
        <f>_xll.qlFuturesConvAdjustmentQuote($F53,IborIndex,$D53,$E53,Volatility,MeanReversion,Permanent,Trigger,ObjectOverwrite)</f>
        <v>#NUM!</v>
      </c>
      <c r="H53" s="79" t="e">
        <f ca="1">_xll.ohRangeRetrieveError(G53)</f>
        <v>#NUM!</v>
      </c>
    </row>
    <row r="54" spans="1:8" x14ac:dyDescent="0.2">
      <c r="A54" s="150"/>
      <c r="B54" s="111">
        <v>48</v>
      </c>
      <c r="C54" s="148" t="b">
        <v>0</v>
      </c>
      <c r="D54" s="148" t="str">
        <v>Z7</v>
      </c>
      <c r="E54" s="252" t="str">
        <f t="shared" si="2"/>
        <v>EURFUT3MZ7_Quote</v>
      </c>
      <c r="F54" s="253" t="str">
        <f t="shared" si="3"/>
        <v>EURFUT3MZ7ConvAdj_Quote</v>
      </c>
      <c r="G54" s="252" t="str">
        <f>_xll.qlFuturesConvAdjustmentQuote($F54,IborIndex,$D54,$E54,Volatility,MeanReversion,Permanent,Trigger,ObjectOverwrite)</f>
        <v>EURFUT3MZ7ConvAdj_Quote#0005</v>
      </c>
      <c r="H54" s="79" t="str">
        <f>_xll.ohRangeRetrieveError(G54)</f>
        <v/>
      </c>
    </row>
    <row r="55" spans="1:8" x14ac:dyDescent="0.2">
      <c r="A55" s="150"/>
      <c r="B55" s="111">
        <v>49</v>
      </c>
      <c r="C55" s="148" t="b">
        <v>0</v>
      </c>
      <c r="D55" s="148" t="str">
        <v>F8</v>
      </c>
      <c r="E55" s="252" t="str">
        <f t="shared" si="2"/>
        <v>EURFUT3MF8_Quote</v>
      </c>
      <c r="F55" s="253" t="str">
        <f t="shared" si="3"/>
        <v>EURFUT3MF8ConvAdj_Quote</v>
      </c>
      <c r="G55" s="252" t="e">
        <f>_xll.qlFuturesConvAdjustmentQuote($F55,IborIndex,$D55,$E55,Volatility,MeanReversion,Permanent,Trigger,ObjectOverwrite)</f>
        <v>#NUM!</v>
      </c>
      <c r="H55" s="79" t="e">
        <f ca="1">_xll.ohRangeRetrieveError(G55)</f>
        <v>#NUM!</v>
      </c>
    </row>
    <row r="56" spans="1:8" x14ac:dyDescent="0.2">
      <c r="A56" s="150"/>
      <c r="B56" s="111">
        <v>50</v>
      </c>
      <c r="C56" s="148" t="b">
        <v>0</v>
      </c>
      <c r="D56" s="148" t="str">
        <v>G8</v>
      </c>
      <c r="E56" s="252" t="str">
        <f t="shared" si="2"/>
        <v>EURFUT3MG8_Quote</v>
      </c>
      <c r="F56" s="253" t="str">
        <f t="shared" si="3"/>
        <v>EURFUT3MG8ConvAdj_Quote</v>
      </c>
      <c r="G56" s="252" t="e">
        <f>_xll.qlFuturesConvAdjustmentQuote($F56,IborIndex,$D56,$E56,Volatility,MeanReversion,Permanent,Trigger,ObjectOverwrite)</f>
        <v>#NUM!</v>
      </c>
      <c r="H56" s="79" t="e">
        <f ca="1">_xll.ohRangeRetrieveError(G56)</f>
        <v>#NUM!</v>
      </c>
    </row>
    <row r="57" spans="1:8" x14ac:dyDescent="0.2">
      <c r="A57" s="150"/>
      <c r="B57" s="111">
        <v>51</v>
      </c>
      <c r="C57" s="148" t="b">
        <v>0</v>
      </c>
      <c r="D57" s="148" t="str">
        <v>H8</v>
      </c>
      <c r="E57" s="252" t="str">
        <f t="shared" si="2"/>
        <v>EURFUT3MH8_Quote</v>
      </c>
      <c r="F57" s="253" t="str">
        <f t="shared" si="3"/>
        <v>EURFUT3MH8ConvAdj_Quote</v>
      </c>
      <c r="G57" s="252" t="str">
        <f>_xll.qlFuturesConvAdjustmentQuote($F57,IborIndex,$D57,$E57,Volatility,MeanReversion,Permanent,Trigger,ObjectOverwrite)</f>
        <v>EURFUT3MH8ConvAdj_Quote#0005</v>
      </c>
      <c r="H57" s="79" t="str">
        <f>_xll.ohRangeRetrieveError(G57)</f>
        <v/>
      </c>
    </row>
    <row r="58" spans="1:8" x14ac:dyDescent="0.2">
      <c r="A58" s="150"/>
      <c r="B58" s="111">
        <v>52</v>
      </c>
      <c r="C58" s="148" t="b">
        <v>0</v>
      </c>
      <c r="D58" s="148" t="str">
        <v>J8</v>
      </c>
      <c r="E58" s="252" t="str">
        <f t="shared" si="2"/>
        <v>EURFUT3MJ8_Quote</v>
      </c>
      <c r="F58" s="253" t="str">
        <f t="shared" si="3"/>
        <v>EURFUT3MJ8ConvAdj_Quote</v>
      </c>
      <c r="G58" s="252" t="e">
        <f>_xll.qlFuturesConvAdjustmentQuote($F58,IborIndex,$D58,$E58,Volatility,MeanReversion,Permanent,Trigger,ObjectOverwrite)</f>
        <v>#NUM!</v>
      </c>
      <c r="H58" s="79" t="e">
        <f ca="1">_xll.ohRangeRetrieveError(G58)</f>
        <v>#NUM!</v>
      </c>
    </row>
    <row r="59" spans="1:8" x14ac:dyDescent="0.2">
      <c r="A59" s="150"/>
      <c r="B59" s="111">
        <v>53</v>
      </c>
      <c r="C59" s="148" t="b">
        <v>0</v>
      </c>
      <c r="D59" s="148" t="str">
        <v>K8</v>
      </c>
      <c r="E59" s="252" t="str">
        <f t="shared" si="2"/>
        <v>EURFUT3MK8_Quote</v>
      </c>
      <c r="F59" s="253" t="str">
        <f t="shared" si="3"/>
        <v>EURFUT3MK8ConvAdj_Quote</v>
      </c>
      <c r="G59" s="252" t="e">
        <f>_xll.qlFuturesConvAdjustmentQuote($F59,IborIndex,$D59,$E59,Volatility,MeanReversion,Permanent,Trigger,ObjectOverwrite)</f>
        <v>#NUM!</v>
      </c>
      <c r="H59" s="79" t="e">
        <f ca="1">_xll.ohRangeRetrieveError(G59)</f>
        <v>#NUM!</v>
      </c>
    </row>
    <row r="60" spans="1:8" x14ac:dyDescent="0.2">
      <c r="A60" s="150"/>
      <c r="B60" s="111">
        <v>54</v>
      </c>
      <c r="C60" s="148" t="b">
        <v>0</v>
      </c>
      <c r="D60" s="148" t="str">
        <v>M8</v>
      </c>
      <c r="E60" s="252" t="str">
        <f t="shared" si="2"/>
        <v>EURFUT3MM8_Quote</v>
      </c>
      <c r="F60" s="253" t="str">
        <f t="shared" si="3"/>
        <v>EURFUT3MM8ConvAdj_Quote</v>
      </c>
      <c r="G60" s="252" t="str">
        <f>_xll.qlFuturesConvAdjustmentQuote($F60,IborIndex,$D60,$E60,Volatility,MeanReversion,Permanent,Trigger,ObjectOverwrite)</f>
        <v>EURFUT3MM8ConvAdj_Quote#0005</v>
      </c>
      <c r="H60" s="79" t="str">
        <f>_xll.ohRangeRetrieveError(G60)</f>
        <v/>
      </c>
    </row>
    <row r="61" spans="1:8" x14ac:dyDescent="0.2">
      <c r="A61" s="150"/>
      <c r="B61" s="111">
        <v>55</v>
      </c>
      <c r="C61" s="148" t="b">
        <v>0</v>
      </c>
      <c r="D61" s="148" t="str">
        <v>N8</v>
      </c>
      <c r="E61" s="252" t="str">
        <f t="shared" si="2"/>
        <v>EURFUT3MN8_Quote</v>
      </c>
      <c r="F61" s="253" t="str">
        <f t="shared" si="3"/>
        <v>EURFUT3MN8ConvAdj_Quote</v>
      </c>
      <c r="G61" s="252" t="e">
        <f>_xll.qlFuturesConvAdjustmentQuote($F61,IborIndex,$D61,$E61,Volatility,MeanReversion,Permanent,Trigger,ObjectOverwrite)</f>
        <v>#NUM!</v>
      </c>
      <c r="H61" s="79" t="e">
        <f ca="1">_xll.ohRangeRetrieveError(G61)</f>
        <v>#NUM!</v>
      </c>
    </row>
    <row r="62" spans="1:8" x14ac:dyDescent="0.2">
      <c r="A62" s="150"/>
      <c r="B62" s="111">
        <v>56</v>
      </c>
      <c r="C62" s="148" t="b">
        <v>0</v>
      </c>
      <c r="D62" s="148" t="str">
        <v>Q8</v>
      </c>
      <c r="E62" s="252" t="str">
        <f t="shared" si="2"/>
        <v>EURFUT3MQ8_Quote</v>
      </c>
      <c r="F62" s="253" t="str">
        <f t="shared" si="3"/>
        <v>EURFUT3MQ8ConvAdj_Quote</v>
      </c>
      <c r="G62" s="252" t="e">
        <f>_xll.qlFuturesConvAdjustmentQuote($F62,IborIndex,$D62,$E62,Volatility,MeanReversion,Permanent,Trigger,ObjectOverwrite)</f>
        <v>#NUM!</v>
      </c>
      <c r="H62" s="79" t="e">
        <f ca="1">_xll.ohRangeRetrieveError(G62)</f>
        <v>#NUM!</v>
      </c>
    </row>
    <row r="63" spans="1:8" x14ac:dyDescent="0.2">
      <c r="A63" s="150"/>
      <c r="B63" s="111">
        <v>57</v>
      </c>
      <c r="C63" s="148" t="b">
        <v>0</v>
      </c>
      <c r="D63" s="148" t="str">
        <v>U8</v>
      </c>
      <c r="E63" s="252" t="str">
        <f t="shared" si="2"/>
        <v>EURFUT3MU8_Quote</v>
      </c>
      <c r="F63" s="253" t="str">
        <f t="shared" si="3"/>
        <v>EURFUT3MU8ConvAdj_Quote</v>
      </c>
      <c r="G63" s="252" t="str">
        <f>_xll.qlFuturesConvAdjustmentQuote($F63,IborIndex,$D63,$E63,Volatility,MeanReversion,Permanent,Trigger,ObjectOverwrite)</f>
        <v>EURFUT3MU8ConvAdj_Quote#0005</v>
      </c>
      <c r="H63" s="79" t="str">
        <f>_xll.ohRangeRetrieveError(G63)</f>
        <v/>
      </c>
    </row>
    <row r="64" spans="1:8" x14ac:dyDescent="0.2">
      <c r="A64" s="150"/>
      <c r="B64" s="111">
        <v>58</v>
      </c>
      <c r="C64" s="148" t="b">
        <v>0</v>
      </c>
      <c r="D64" s="148" t="str">
        <v>V8</v>
      </c>
      <c r="E64" s="252" t="str">
        <f t="shared" si="2"/>
        <v>EURFUT3MV8_Quote</v>
      </c>
      <c r="F64" s="253" t="str">
        <f t="shared" si="3"/>
        <v>EURFUT3MV8ConvAdj_Quote</v>
      </c>
      <c r="G64" s="252" t="e">
        <f>_xll.qlFuturesConvAdjustmentQuote($F64,IborIndex,$D64,$E64,Volatility,MeanReversion,Permanent,Trigger,ObjectOverwrite)</f>
        <v>#NUM!</v>
      </c>
      <c r="H64" s="79" t="e">
        <f ca="1">_xll.ohRangeRetrieveError(G64)</f>
        <v>#NUM!</v>
      </c>
    </row>
    <row r="65" spans="1:8" x14ac:dyDescent="0.2">
      <c r="A65" s="150"/>
      <c r="B65" s="111">
        <v>59</v>
      </c>
      <c r="C65" s="148" t="b">
        <v>0</v>
      </c>
      <c r="D65" s="148" t="str">
        <v>X8</v>
      </c>
      <c r="E65" s="252" t="str">
        <f t="shared" si="2"/>
        <v>EURFUT3MX8_Quote</v>
      </c>
      <c r="F65" s="253" t="str">
        <f t="shared" si="3"/>
        <v>EURFUT3MX8ConvAdj_Quote</v>
      </c>
      <c r="G65" s="252" t="e">
        <f>_xll.qlFuturesConvAdjustmentQuote($F65,IborIndex,$D65,$E65,Volatility,MeanReversion,Permanent,Trigger,ObjectOverwrite)</f>
        <v>#NUM!</v>
      </c>
      <c r="H65" s="79" t="e">
        <f ca="1">_xll.ohRangeRetrieveError(G65)</f>
        <v>#NUM!</v>
      </c>
    </row>
    <row r="66" spans="1:8" x14ac:dyDescent="0.2">
      <c r="A66" s="150"/>
      <c r="B66" s="111">
        <v>60</v>
      </c>
      <c r="C66" s="148" t="b">
        <v>0</v>
      </c>
      <c r="D66" s="148" t="str">
        <v>Z8</v>
      </c>
      <c r="E66" s="252" t="str">
        <f t="shared" si="2"/>
        <v>EURFUT3MZ8_Quote</v>
      </c>
      <c r="F66" s="253" t="str">
        <f t="shared" si="3"/>
        <v>EURFUT3MZ8ConvAdj_Quote</v>
      </c>
      <c r="G66" s="252" t="str">
        <f>_xll.qlFuturesConvAdjustmentQuote($F66,IborIndex,$D66,$E66,Volatility,MeanReversion,Permanent,Trigger,ObjectOverwrite)</f>
        <v>EURFUT3MZ8ConvAdj_Quote#0005</v>
      </c>
      <c r="H66" s="79" t="str">
        <f>_xll.ohRangeRetrieveError(G66)</f>
        <v/>
      </c>
    </row>
    <row r="67" spans="1:8" x14ac:dyDescent="0.2">
      <c r="A67" s="150"/>
      <c r="B67" s="111">
        <v>61</v>
      </c>
      <c r="C67" s="148" t="b">
        <v>0</v>
      </c>
      <c r="D67" s="148" t="str">
        <v>F9</v>
      </c>
      <c r="E67" s="252" t="str">
        <f t="shared" si="2"/>
        <v>EURFUT3MF9_Quote</v>
      </c>
      <c r="F67" s="253" t="str">
        <f t="shared" si="3"/>
        <v>EURFUT3MF9ConvAdj_Quote</v>
      </c>
      <c r="G67" s="252" t="e">
        <f>_xll.qlFuturesConvAdjustmentQuote($F67,IborIndex,$D67,$E67,Volatility,MeanReversion,Permanent,Trigger,ObjectOverwrite)</f>
        <v>#NUM!</v>
      </c>
      <c r="H67" s="79" t="e">
        <f ca="1">_xll.ohRangeRetrieveError(G67)</f>
        <v>#NUM!</v>
      </c>
    </row>
    <row r="68" spans="1:8" x14ac:dyDescent="0.2">
      <c r="A68" s="150"/>
      <c r="B68" s="111">
        <v>62</v>
      </c>
      <c r="C68" s="148" t="b">
        <v>0</v>
      </c>
      <c r="D68" s="148" t="str">
        <v>G9</v>
      </c>
      <c r="E68" s="252" t="str">
        <f t="shared" si="2"/>
        <v>EURFUT3MG9_Quote</v>
      </c>
      <c r="F68" s="253" t="str">
        <f t="shared" si="3"/>
        <v>EURFUT3MG9ConvAdj_Quote</v>
      </c>
      <c r="G68" s="252" t="e">
        <f>_xll.qlFuturesConvAdjustmentQuote($F68,IborIndex,$D68,$E68,Volatility,MeanReversion,Permanent,Trigger,ObjectOverwrite)</f>
        <v>#NUM!</v>
      </c>
      <c r="H68" s="79" t="e">
        <f ca="1">_xll.ohRangeRetrieveError(G68)</f>
        <v>#NUM!</v>
      </c>
    </row>
    <row r="69" spans="1:8" x14ac:dyDescent="0.2">
      <c r="A69" s="150"/>
      <c r="B69" s="111">
        <v>63</v>
      </c>
      <c r="C69" s="148" t="b">
        <v>0</v>
      </c>
      <c r="D69" s="148" t="str">
        <v>H9</v>
      </c>
      <c r="E69" s="252" t="str">
        <f t="shared" si="2"/>
        <v>EURFUT3MH9_Quote</v>
      </c>
      <c r="F69" s="253" t="str">
        <f t="shared" si="3"/>
        <v>EURFUT3MH9ConvAdj_Quote</v>
      </c>
      <c r="G69" s="252" t="str">
        <f>_xll.qlFuturesConvAdjustmentQuote($F69,IborIndex,$D69,$E69,Volatility,MeanReversion,Permanent,Trigger,ObjectOverwrite)</f>
        <v>EURFUT3MH9ConvAdj_Quote#0005</v>
      </c>
      <c r="H69" s="79" t="str">
        <f>_xll.ohRangeRetrieveError(G69)</f>
        <v/>
      </c>
    </row>
    <row r="70" spans="1:8" x14ac:dyDescent="0.2">
      <c r="A70" s="150"/>
      <c r="B70" s="111">
        <v>64</v>
      </c>
      <c r="C70" s="148" t="b">
        <v>0</v>
      </c>
      <c r="D70" s="148" t="str">
        <v>J9</v>
      </c>
      <c r="E70" s="252" t="str">
        <f t="shared" si="2"/>
        <v>EURFUT3MJ9_Quote</v>
      </c>
      <c r="F70" s="253" t="str">
        <f t="shared" si="3"/>
        <v>EURFUT3MJ9ConvAdj_Quote</v>
      </c>
      <c r="G70" s="252" t="e">
        <f>_xll.qlFuturesConvAdjustmentQuote($F70,IborIndex,$D70,$E70,Volatility,MeanReversion,Permanent,Trigger,ObjectOverwrite)</f>
        <v>#NUM!</v>
      </c>
      <c r="H70" s="79" t="e">
        <f ca="1">_xll.ohRangeRetrieveError(G70)</f>
        <v>#NUM!</v>
      </c>
    </row>
    <row r="71" spans="1:8" x14ac:dyDescent="0.2">
      <c r="A71" s="150"/>
      <c r="B71" s="111">
        <v>65</v>
      </c>
      <c r="C71" s="148" t="b">
        <v>0</v>
      </c>
      <c r="D71" s="148" t="str">
        <v>K9</v>
      </c>
      <c r="E71" s="252" t="str">
        <f t="shared" ref="E71:E102" si="4">Currency&amp;"FUT"&amp;$G$4&amp;$D71&amp;QuoteSuffix</f>
        <v>EURFUT3MK9_Quote</v>
      </c>
      <c r="F71" s="253" t="str">
        <f t="shared" ref="F71:F102" si="5">Currency&amp;"FUT"&amp;$G$4&amp;$D71&amp;"ConvAdj"&amp;QuoteSuffix</f>
        <v>EURFUT3MK9ConvAdj_Quote</v>
      </c>
      <c r="G71" s="252" t="e">
        <f>_xll.qlFuturesConvAdjustmentQuote($F71,IborIndex,$D71,$E71,Volatility,MeanReversion,Permanent,Trigger,ObjectOverwrite)</f>
        <v>#NUM!</v>
      </c>
      <c r="H71" s="79" t="e">
        <f ca="1">_xll.ohRangeRetrieveError(G71)</f>
        <v>#NUM!</v>
      </c>
    </row>
    <row r="72" spans="1:8" x14ac:dyDescent="0.2">
      <c r="A72" s="150"/>
      <c r="B72" s="111">
        <v>66</v>
      </c>
      <c r="C72" s="148" t="b">
        <v>0</v>
      </c>
      <c r="D72" s="148" t="str">
        <v>M9</v>
      </c>
      <c r="E72" s="252" t="str">
        <f t="shared" si="4"/>
        <v>EURFUT3MM9_Quote</v>
      </c>
      <c r="F72" s="253" t="str">
        <f t="shared" si="5"/>
        <v>EURFUT3MM9ConvAdj_Quote</v>
      </c>
      <c r="G72" s="252" t="str">
        <f>_xll.qlFuturesConvAdjustmentQuote($F72,IborIndex,$D72,$E72,Volatility,MeanReversion,Permanent,Trigger,ObjectOverwrite)</f>
        <v>EURFUT3MM9ConvAdj_Quote#0005</v>
      </c>
      <c r="H72" s="79" t="str">
        <f>_xll.ohRangeRetrieveError(G72)</f>
        <v/>
      </c>
    </row>
    <row r="73" spans="1:8" x14ac:dyDescent="0.2">
      <c r="A73" s="150"/>
      <c r="B73" s="111">
        <v>67</v>
      </c>
      <c r="C73" s="148" t="b">
        <v>0</v>
      </c>
      <c r="D73" s="148" t="str">
        <v>N9</v>
      </c>
      <c r="E73" s="252" t="str">
        <f t="shared" si="4"/>
        <v>EURFUT3MN9_Quote</v>
      </c>
      <c r="F73" s="253" t="str">
        <f t="shared" si="5"/>
        <v>EURFUT3MN9ConvAdj_Quote</v>
      </c>
      <c r="G73" s="252" t="e">
        <f>_xll.qlFuturesConvAdjustmentQuote($F73,IborIndex,$D73,$E73,Volatility,MeanReversion,Permanent,Trigger,ObjectOverwrite)</f>
        <v>#NUM!</v>
      </c>
      <c r="H73" s="79" t="e">
        <f ca="1">_xll.ohRangeRetrieveError(G73)</f>
        <v>#NUM!</v>
      </c>
    </row>
    <row r="74" spans="1:8" x14ac:dyDescent="0.2">
      <c r="A74" s="150"/>
      <c r="B74" s="111">
        <v>68</v>
      </c>
      <c r="C74" s="148" t="b">
        <v>0</v>
      </c>
      <c r="D74" s="148" t="str">
        <v>Q9</v>
      </c>
      <c r="E74" s="252" t="str">
        <f t="shared" si="4"/>
        <v>EURFUT3MQ9_Quote</v>
      </c>
      <c r="F74" s="253" t="str">
        <f t="shared" si="5"/>
        <v>EURFUT3MQ9ConvAdj_Quote</v>
      </c>
      <c r="G74" s="252" t="e">
        <f>_xll.qlFuturesConvAdjustmentQuote($F74,IborIndex,$D74,$E74,Volatility,MeanReversion,Permanent,Trigger,ObjectOverwrite)</f>
        <v>#NUM!</v>
      </c>
      <c r="H74" s="79" t="e">
        <f ca="1">_xll.ohRangeRetrieveError(G74)</f>
        <v>#NUM!</v>
      </c>
    </row>
    <row r="75" spans="1:8" x14ac:dyDescent="0.2">
      <c r="A75" s="150"/>
      <c r="B75" s="111">
        <v>69</v>
      </c>
      <c r="C75" s="148" t="b">
        <v>0</v>
      </c>
      <c r="D75" s="148" t="str">
        <v>U9</v>
      </c>
      <c r="E75" s="252" t="str">
        <f t="shared" si="4"/>
        <v>EURFUT3MU9_Quote</v>
      </c>
      <c r="F75" s="253" t="str">
        <f t="shared" si="5"/>
        <v>EURFUT3MU9ConvAdj_Quote</v>
      </c>
      <c r="G75" s="252" t="str">
        <f>_xll.qlFuturesConvAdjustmentQuote($F75,IborIndex,$D75,$E75,Volatility,MeanReversion,Permanent,Trigger,ObjectOverwrite)</f>
        <v>EURFUT3MU9ConvAdj_Quote#0005</v>
      </c>
      <c r="H75" s="79" t="str">
        <f>_xll.ohRangeRetrieveError(G75)</f>
        <v/>
      </c>
    </row>
    <row r="76" spans="1:8" x14ac:dyDescent="0.2">
      <c r="A76" s="150"/>
      <c r="B76" s="111">
        <v>70</v>
      </c>
      <c r="C76" s="148" t="b">
        <v>0</v>
      </c>
      <c r="D76" s="148" t="str">
        <v>V9</v>
      </c>
      <c r="E76" s="252" t="str">
        <f t="shared" si="4"/>
        <v>EURFUT3MV9_Quote</v>
      </c>
      <c r="F76" s="253" t="str">
        <f t="shared" si="5"/>
        <v>EURFUT3MV9ConvAdj_Quote</v>
      </c>
      <c r="G76" s="252" t="e">
        <f>_xll.qlFuturesConvAdjustmentQuote($F76,IborIndex,$D76,$E76,Volatility,MeanReversion,Permanent,Trigger,ObjectOverwrite)</f>
        <v>#NUM!</v>
      </c>
      <c r="H76" s="79" t="e">
        <f ca="1">_xll.ohRangeRetrieveError(G76)</f>
        <v>#NUM!</v>
      </c>
    </row>
    <row r="77" spans="1:8" x14ac:dyDescent="0.2">
      <c r="A77" s="150"/>
      <c r="B77" s="111">
        <v>71</v>
      </c>
      <c r="C77" s="148" t="b">
        <v>0</v>
      </c>
      <c r="D77" s="148" t="str">
        <v>X9</v>
      </c>
      <c r="E77" s="252" t="str">
        <f t="shared" si="4"/>
        <v>EURFUT3MX9_Quote</v>
      </c>
      <c r="F77" s="253" t="str">
        <f t="shared" si="5"/>
        <v>EURFUT3MX9ConvAdj_Quote</v>
      </c>
      <c r="G77" s="252" t="e">
        <f>_xll.qlFuturesConvAdjustmentQuote($F77,IborIndex,$D77,$E77,Volatility,MeanReversion,Permanent,Trigger,ObjectOverwrite)</f>
        <v>#NUM!</v>
      </c>
      <c r="H77" s="79" t="e">
        <f ca="1">_xll.ohRangeRetrieveError(G77)</f>
        <v>#NUM!</v>
      </c>
    </row>
    <row r="78" spans="1:8" x14ac:dyDescent="0.2">
      <c r="A78" s="150"/>
      <c r="B78" s="111">
        <v>72</v>
      </c>
      <c r="C78" s="148" t="b">
        <v>0</v>
      </c>
      <c r="D78" s="148" t="str">
        <v>Z9</v>
      </c>
      <c r="E78" s="252" t="str">
        <f t="shared" si="4"/>
        <v>EURFUT3MZ9_Quote</v>
      </c>
      <c r="F78" s="253" t="str">
        <f t="shared" si="5"/>
        <v>EURFUT3MZ9ConvAdj_Quote</v>
      </c>
      <c r="G78" s="252" t="str">
        <f>_xll.qlFuturesConvAdjustmentQuote($F78,IborIndex,$D78,$E78,Volatility,MeanReversion,Permanent,Trigger,ObjectOverwrite)</f>
        <v>EURFUT3MZ9ConvAdj_Quote#0005</v>
      </c>
      <c r="H78" s="79" t="str">
        <f>_xll.ohRangeRetrieveError(G78)</f>
        <v/>
      </c>
    </row>
    <row r="79" spans="1:8" x14ac:dyDescent="0.2">
      <c r="A79" s="150"/>
      <c r="B79" s="111">
        <v>73</v>
      </c>
      <c r="C79" s="148" t="b">
        <v>0</v>
      </c>
      <c r="D79" s="148" t="str">
        <v>F0</v>
      </c>
      <c r="E79" s="252" t="str">
        <f t="shared" si="4"/>
        <v>EURFUT3MF0_Quote</v>
      </c>
      <c r="F79" s="253" t="str">
        <f t="shared" si="5"/>
        <v>EURFUT3MF0ConvAdj_Quote</v>
      </c>
      <c r="G79" s="252" t="e">
        <f>_xll.qlFuturesConvAdjustmentQuote($F79,IborIndex,$D79,$E79,Volatility,MeanReversion,Permanent,Trigger,ObjectOverwrite)</f>
        <v>#NUM!</v>
      </c>
      <c r="H79" s="79" t="e">
        <f ca="1">_xll.ohRangeRetrieveError(G79)</f>
        <v>#NUM!</v>
      </c>
    </row>
    <row r="80" spans="1:8" x14ac:dyDescent="0.2">
      <c r="A80" s="150"/>
      <c r="B80" s="111">
        <v>74</v>
      </c>
      <c r="C80" s="148" t="b">
        <v>0</v>
      </c>
      <c r="D80" s="148" t="str">
        <v>G0</v>
      </c>
      <c r="E80" s="252" t="str">
        <f t="shared" si="4"/>
        <v>EURFUT3MG0_Quote</v>
      </c>
      <c r="F80" s="253" t="str">
        <f t="shared" si="5"/>
        <v>EURFUT3MG0ConvAdj_Quote</v>
      </c>
      <c r="G80" s="252" t="e">
        <f>_xll.qlFuturesConvAdjustmentQuote($F80,IborIndex,$D80,$E80,Volatility,MeanReversion,Permanent,Trigger,ObjectOverwrite)</f>
        <v>#NUM!</v>
      </c>
      <c r="H80" s="79" t="e">
        <f ca="1">_xll.ohRangeRetrieveError(G80)</f>
        <v>#NUM!</v>
      </c>
    </row>
    <row r="81" spans="1:8" x14ac:dyDescent="0.2">
      <c r="A81" s="150"/>
      <c r="B81" s="111">
        <v>75</v>
      </c>
      <c r="C81" s="148" t="b">
        <v>0</v>
      </c>
      <c r="D81" s="148" t="str">
        <v>H0</v>
      </c>
      <c r="E81" s="252" t="str">
        <f t="shared" si="4"/>
        <v>EURFUT3MH0_Quote</v>
      </c>
      <c r="F81" s="253" t="str">
        <f t="shared" si="5"/>
        <v>EURFUT3MH0ConvAdj_Quote</v>
      </c>
      <c r="G81" s="252" t="str">
        <f>_xll.qlFuturesConvAdjustmentQuote($F81,IborIndex,$D81,$E81,Volatility,MeanReversion,Permanent,Trigger,ObjectOverwrite)</f>
        <v>EURFUT3MH0ConvAdj_Quote#0005</v>
      </c>
      <c r="H81" s="79" t="str">
        <f>_xll.ohRangeRetrieveError(G81)</f>
        <v/>
      </c>
    </row>
    <row r="82" spans="1:8" x14ac:dyDescent="0.2">
      <c r="A82" s="150"/>
      <c r="B82" s="111">
        <v>76</v>
      </c>
      <c r="C82" s="148" t="b">
        <v>0</v>
      </c>
      <c r="D82" s="148" t="str">
        <v>J0</v>
      </c>
      <c r="E82" s="252" t="str">
        <f t="shared" si="4"/>
        <v>EURFUT3MJ0_Quote</v>
      </c>
      <c r="F82" s="253" t="str">
        <f t="shared" si="5"/>
        <v>EURFUT3MJ0ConvAdj_Quote</v>
      </c>
      <c r="G82" s="252" t="e">
        <f>_xll.qlFuturesConvAdjustmentQuote($F82,IborIndex,$D82,$E82,Volatility,MeanReversion,Permanent,Trigger,ObjectOverwrite)</f>
        <v>#NUM!</v>
      </c>
      <c r="H82" s="79" t="e">
        <f ca="1">_xll.ohRangeRetrieveError(G82)</f>
        <v>#NUM!</v>
      </c>
    </row>
    <row r="83" spans="1:8" x14ac:dyDescent="0.2">
      <c r="A83" s="150"/>
      <c r="B83" s="111">
        <v>77</v>
      </c>
      <c r="C83" s="148" t="b">
        <v>0</v>
      </c>
      <c r="D83" s="148" t="str">
        <v>K0</v>
      </c>
      <c r="E83" s="252" t="str">
        <f t="shared" si="4"/>
        <v>EURFUT3MK0_Quote</v>
      </c>
      <c r="F83" s="253" t="str">
        <f t="shared" si="5"/>
        <v>EURFUT3MK0ConvAdj_Quote</v>
      </c>
      <c r="G83" s="252" t="e">
        <f>_xll.qlFuturesConvAdjustmentQuote($F83,IborIndex,$D83,$E83,Volatility,MeanReversion,Permanent,Trigger,ObjectOverwrite)</f>
        <v>#NUM!</v>
      </c>
      <c r="H83" s="79" t="e">
        <f ca="1">_xll.ohRangeRetrieveError(G83)</f>
        <v>#NUM!</v>
      </c>
    </row>
    <row r="84" spans="1:8" x14ac:dyDescent="0.2">
      <c r="A84" s="150"/>
      <c r="B84" s="111">
        <v>78</v>
      </c>
      <c r="C84" s="148" t="b">
        <v>0</v>
      </c>
      <c r="D84" s="148" t="str">
        <v>M0</v>
      </c>
      <c r="E84" s="252" t="str">
        <f t="shared" si="4"/>
        <v>EURFUT3MM0_Quote</v>
      </c>
      <c r="F84" s="253" t="str">
        <f t="shared" si="5"/>
        <v>EURFUT3MM0ConvAdj_Quote</v>
      </c>
      <c r="G84" s="252" t="str">
        <f>_xll.qlFuturesConvAdjustmentQuote($F84,IborIndex,$D84,$E84,Volatility,MeanReversion,Permanent,Trigger,ObjectOverwrite)</f>
        <v>EURFUT3MM0ConvAdj_Quote#0005</v>
      </c>
      <c r="H84" s="79" t="str">
        <f>_xll.ohRangeRetrieveError(G84)</f>
        <v/>
      </c>
    </row>
    <row r="85" spans="1:8" x14ac:dyDescent="0.2">
      <c r="A85" s="150"/>
      <c r="B85" s="111">
        <v>79</v>
      </c>
      <c r="C85" s="148" t="b">
        <v>0</v>
      </c>
      <c r="D85" s="148" t="str">
        <v>N0</v>
      </c>
      <c r="E85" s="252" t="str">
        <f t="shared" si="4"/>
        <v>EURFUT3MN0_Quote</v>
      </c>
      <c r="F85" s="253" t="str">
        <f t="shared" si="5"/>
        <v>EURFUT3MN0ConvAdj_Quote</v>
      </c>
      <c r="G85" s="252" t="e">
        <f>_xll.qlFuturesConvAdjustmentQuote($F85,IborIndex,$D85,$E85,Volatility,MeanReversion,Permanent,Trigger,ObjectOverwrite)</f>
        <v>#NUM!</v>
      </c>
      <c r="H85" s="79" t="e">
        <f ca="1">_xll.ohRangeRetrieveError(G85)</f>
        <v>#NUM!</v>
      </c>
    </row>
    <row r="86" spans="1:8" x14ac:dyDescent="0.2">
      <c r="A86" s="150"/>
      <c r="B86" s="111">
        <v>80</v>
      </c>
      <c r="C86" s="148" t="b">
        <v>0</v>
      </c>
      <c r="D86" s="148" t="str">
        <v>Q0</v>
      </c>
      <c r="E86" s="252" t="str">
        <f t="shared" si="4"/>
        <v>EURFUT3MQ0_Quote</v>
      </c>
      <c r="F86" s="253" t="str">
        <f t="shared" si="5"/>
        <v>EURFUT3MQ0ConvAdj_Quote</v>
      </c>
      <c r="G86" s="252" t="e">
        <f>_xll.qlFuturesConvAdjustmentQuote($F86,IborIndex,$D86,$E86,Volatility,MeanReversion,Permanent,Trigger,ObjectOverwrite)</f>
        <v>#NUM!</v>
      </c>
      <c r="H86" s="79" t="e">
        <f ca="1">_xll.ohRangeRetrieveError(G86)</f>
        <v>#NUM!</v>
      </c>
    </row>
    <row r="87" spans="1:8" x14ac:dyDescent="0.2">
      <c r="A87" s="150"/>
      <c r="B87" s="111">
        <v>81</v>
      </c>
      <c r="C87" s="148" t="b">
        <v>0</v>
      </c>
      <c r="D87" s="148" t="str">
        <v>U0</v>
      </c>
      <c r="E87" s="252" t="str">
        <f t="shared" si="4"/>
        <v>EURFUT3MU0_Quote</v>
      </c>
      <c r="F87" s="253" t="str">
        <f t="shared" si="5"/>
        <v>EURFUT3MU0ConvAdj_Quote</v>
      </c>
      <c r="G87" s="252" t="str">
        <f>_xll.qlFuturesConvAdjustmentQuote($F87,IborIndex,$D87,$E87,Volatility,MeanReversion,Permanent,Trigger,ObjectOverwrite)</f>
        <v>EURFUT3MU0ConvAdj_Quote#0005</v>
      </c>
      <c r="H87" s="79" t="str">
        <f>_xll.ohRangeRetrieveError(G87)</f>
        <v/>
      </c>
    </row>
    <row r="88" spans="1:8" x14ac:dyDescent="0.2">
      <c r="A88" s="150"/>
      <c r="B88" s="111">
        <v>82</v>
      </c>
      <c r="C88" s="148" t="b">
        <v>0</v>
      </c>
      <c r="D88" s="148" t="str">
        <v>V0</v>
      </c>
      <c r="E88" s="252" t="str">
        <f t="shared" si="4"/>
        <v>EURFUT3MV0_Quote</v>
      </c>
      <c r="F88" s="253" t="str">
        <f t="shared" si="5"/>
        <v>EURFUT3MV0ConvAdj_Quote</v>
      </c>
      <c r="G88" s="252" t="e">
        <f>_xll.qlFuturesConvAdjustmentQuote($F88,IborIndex,$D88,$E88,Volatility,MeanReversion,Permanent,Trigger,ObjectOverwrite)</f>
        <v>#NUM!</v>
      </c>
      <c r="H88" s="79" t="e">
        <f ca="1">_xll.ohRangeRetrieveError(G88)</f>
        <v>#NUM!</v>
      </c>
    </row>
    <row r="89" spans="1:8" x14ac:dyDescent="0.2">
      <c r="A89" s="150"/>
      <c r="B89" s="111">
        <v>83</v>
      </c>
      <c r="C89" s="148" t="b">
        <v>0</v>
      </c>
      <c r="D89" s="148" t="str">
        <v>X0</v>
      </c>
      <c r="E89" s="252" t="str">
        <f t="shared" si="4"/>
        <v>EURFUT3MX0_Quote</v>
      </c>
      <c r="F89" s="253" t="str">
        <f t="shared" si="5"/>
        <v>EURFUT3MX0ConvAdj_Quote</v>
      </c>
      <c r="G89" s="252" t="e">
        <f>_xll.qlFuturesConvAdjustmentQuote($F89,IborIndex,$D89,$E89,Volatility,MeanReversion,Permanent,Trigger,ObjectOverwrite)</f>
        <v>#NUM!</v>
      </c>
      <c r="H89" s="79" t="e">
        <f ca="1">_xll.ohRangeRetrieveError(G89)</f>
        <v>#NUM!</v>
      </c>
    </row>
    <row r="90" spans="1:8" x14ac:dyDescent="0.2">
      <c r="A90" s="150"/>
      <c r="B90" s="111">
        <v>84</v>
      </c>
      <c r="C90" s="148" t="b">
        <v>0</v>
      </c>
      <c r="D90" s="148" t="str">
        <v>Z0</v>
      </c>
      <c r="E90" s="252" t="str">
        <f t="shared" si="4"/>
        <v>EURFUT3MZ0_Quote</v>
      </c>
      <c r="F90" s="253" t="str">
        <f t="shared" si="5"/>
        <v>EURFUT3MZ0ConvAdj_Quote</v>
      </c>
      <c r="G90" s="252" t="str">
        <f>_xll.qlFuturesConvAdjustmentQuote($F90,IborIndex,$D90,$E90,Volatility,MeanReversion,Permanent,Trigger,ObjectOverwrite)</f>
        <v>EURFUT3MZ0ConvAdj_Quote#0005</v>
      </c>
      <c r="H90" s="79" t="str">
        <f>_xll.ohRangeRetrieveError(G90)</f>
        <v/>
      </c>
    </row>
    <row r="91" spans="1:8" x14ac:dyDescent="0.2">
      <c r="A91" s="150"/>
      <c r="B91" s="111">
        <v>85</v>
      </c>
      <c r="C91" s="148" t="b">
        <v>0</v>
      </c>
      <c r="D91" s="148" t="str">
        <v>F1</v>
      </c>
      <c r="E91" s="252" t="str">
        <f t="shared" si="4"/>
        <v>EURFUT3MF1_Quote</v>
      </c>
      <c r="F91" s="253" t="str">
        <f t="shared" si="5"/>
        <v>EURFUT3MF1ConvAdj_Quote</v>
      </c>
      <c r="G91" s="252" t="e">
        <f>_xll.qlFuturesConvAdjustmentQuote($F91,IborIndex,$D91,$E91,Volatility,MeanReversion,Permanent,Trigger,ObjectOverwrite)</f>
        <v>#NUM!</v>
      </c>
      <c r="H91" s="79" t="e">
        <f ca="1">_xll.ohRangeRetrieveError(G91)</f>
        <v>#NUM!</v>
      </c>
    </row>
    <row r="92" spans="1:8" x14ac:dyDescent="0.2">
      <c r="A92" s="150"/>
      <c r="B92" s="111">
        <v>86</v>
      </c>
      <c r="C92" s="148" t="b">
        <v>0</v>
      </c>
      <c r="D92" s="148" t="str">
        <v>G1</v>
      </c>
      <c r="E92" s="252" t="str">
        <f t="shared" si="4"/>
        <v>EURFUT3MG1_Quote</v>
      </c>
      <c r="F92" s="253" t="str">
        <f t="shared" si="5"/>
        <v>EURFUT3MG1ConvAdj_Quote</v>
      </c>
      <c r="G92" s="252" t="e">
        <f>_xll.qlFuturesConvAdjustmentQuote($F92,IborIndex,$D92,$E92,Volatility,MeanReversion,Permanent,Trigger,ObjectOverwrite)</f>
        <v>#NUM!</v>
      </c>
      <c r="H92" s="79" t="e">
        <f ca="1">_xll.ohRangeRetrieveError(G92)</f>
        <v>#NUM!</v>
      </c>
    </row>
    <row r="93" spans="1:8" x14ac:dyDescent="0.2">
      <c r="A93" s="150"/>
      <c r="B93" s="111">
        <v>87</v>
      </c>
      <c r="C93" s="148" t="b">
        <v>0</v>
      </c>
      <c r="D93" s="148" t="str">
        <v>H1</v>
      </c>
      <c r="E93" s="252" t="str">
        <f t="shared" si="4"/>
        <v>EURFUT3MH1_Quote</v>
      </c>
      <c r="F93" s="253" t="str">
        <f t="shared" si="5"/>
        <v>EURFUT3MH1ConvAdj_Quote</v>
      </c>
      <c r="G93" s="252" t="str">
        <f>_xll.qlFuturesConvAdjustmentQuote($F93,IborIndex,$D93,$E93,Volatility,MeanReversion,Permanent,Trigger,ObjectOverwrite)</f>
        <v>EURFUT3MH1ConvAdj_Quote#0005</v>
      </c>
      <c r="H93" s="79" t="str">
        <f>_xll.ohRangeRetrieveError(G93)</f>
        <v/>
      </c>
    </row>
    <row r="94" spans="1:8" x14ac:dyDescent="0.2">
      <c r="A94" s="150"/>
      <c r="B94" s="111">
        <v>88</v>
      </c>
      <c r="C94" s="148" t="b">
        <v>0</v>
      </c>
      <c r="D94" s="148" t="str">
        <v>J1</v>
      </c>
      <c r="E94" s="252" t="str">
        <f t="shared" si="4"/>
        <v>EURFUT3MJ1_Quote</v>
      </c>
      <c r="F94" s="253" t="str">
        <f t="shared" si="5"/>
        <v>EURFUT3MJ1ConvAdj_Quote</v>
      </c>
      <c r="G94" s="252" t="e">
        <f>_xll.qlFuturesConvAdjustmentQuote($F94,IborIndex,$D94,$E94,Volatility,MeanReversion,Permanent,Trigger,ObjectOverwrite)</f>
        <v>#NUM!</v>
      </c>
      <c r="H94" s="79" t="e">
        <f ca="1">_xll.ohRangeRetrieveError(G94)</f>
        <v>#NUM!</v>
      </c>
    </row>
    <row r="95" spans="1:8" x14ac:dyDescent="0.2">
      <c r="A95" s="150"/>
      <c r="B95" s="111">
        <v>89</v>
      </c>
      <c r="C95" s="148" t="b">
        <v>0</v>
      </c>
      <c r="D95" s="148" t="str">
        <v>K1</v>
      </c>
      <c r="E95" s="252" t="str">
        <f t="shared" si="4"/>
        <v>EURFUT3MK1_Quote</v>
      </c>
      <c r="F95" s="253" t="str">
        <f t="shared" si="5"/>
        <v>EURFUT3MK1ConvAdj_Quote</v>
      </c>
      <c r="G95" s="252" t="e">
        <f>_xll.qlFuturesConvAdjustmentQuote($F95,IborIndex,$D95,$E95,Volatility,MeanReversion,Permanent,Trigger,ObjectOverwrite)</f>
        <v>#NUM!</v>
      </c>
      <c r="H95" s="79" t="e">
        <f ca="1">_xll.ohRangeRetrieveError(G95)</f>
        <v>#NUM!</v>
      </c>
    </row>
    <row r="96" spans="1:8" x14ac:dyDescent="0.2">
      <c r="A96" s="150"/>
      <c r="B96" s="111">
        <v>90</v>
      </c>
      <c r="C96" s="148" t="b">
        <v>0</v>
      </c>
      <c r="D96" s="148" t="str">
        <v>M1</v>
      </c>
      <c r="E96" s="252" t="str">
        <f t="shared" si="4"/>
        <v>EURFUT3MM1_Quote</v>
      </c>
      <c r="F96" s="253" t="str">
        <f t="shared" si="5"/>
        <v>EURFUT3MM1ConvAdj_Quote</v>
      </c>
      <c r="G96" s="252" t="str">
        <f>_xll.qlFuturesConvAdjustmentQuote($F96,IborIndex,$D96,$E96,Volatility,MeanReversion,Permanent,Trigger,ObjectOverwrite)</f>
        <v>EURFUT3MM1ConvAdj_Quote#0005</v>
      </c>
      <c r="H96" s="79" t="str">
        <f>_xll.ohRangeRetrieveError(G96)</f>
        <v/>
      </c>
    </row>
    <row r="97" spans="1:8" x14ac:dyDescent="0.2">
      <c r="A97" s="150"/>
      <c r="B97" s="111">
        <v>91</v>
      </c>
      <c r="C97" s="148" t="b">
        <v>0</v>
      </c>
      <c r="D97" s="148" t="str">
        <v>N1</v>
      </c>
      <c r="E97" s="252" t="str">
        <f t="shared" si="4"/>
        <v>EURFUT3MN1_Quote</v>
      </c>
      <c r="F97" s="253" t="str">
        <f t="shared" si="5"/>
        <v>EURFUT3MN1ConvAdj_Quote</v>
      </c>
      <c r="G97" s="252" t="e">
        <f>_xll.qlFuturesConvAdjustmentQuote($F97,IborIndex,$D97,$E97,Volatility,MeanReversion,Permanent,Trigger,ObjectOverwrite)</f>
        <v>#NUM!</v>
      </c>
      <c r="H97" s="79" t="e">
        <f ca="1">_xll.ohRangeRetrieveError(G97)</f>
        <v>#NUM!</v>
      </c>
    </row>
    <row r="98" spans="1:8" x14ac:dyDescent="0.2">
      <c r="A98" s="150"/>
      <c r="B98" s="111">
        <v>92</v>
      </c>
      <c r="C98" s="148" t="b">
        <v>0</v>
      </c>
      <c r="D98" s="148" t="str">
        <v>Q1</v>
      </c>
      <c r="E98" s="252" t="str">
        <f t="shared" si="4"/>
        <v>EURFUT3MQ1_Quote</v>
      </c>
      <c r="F98" s="253" t="str">
        <f t="shared" si="5"/>
        <v>EURFUT3MQ1ConvAdj_Quote</v>
      </c>
      <c r="G98" s="252" t="e">
        <f>_xll.qlFuturesConvAdjustmentQuote($F98,IborIndex,$D98,$E98,Volatility,MeanReversion,Permanent,Trigger,ObjectOverwrite)</f>
        <v>#NUM!</v>
      </c>
      <c r="H98" s="79" t="e">
        <f ca="1">_xll.ohRangeRetrieveError(G98)</f>
        <v>#NUM!</v>
      </c>
    </row>
    <row r="99" spans="1:8" x14ac:dyDescent="0.2">
      <c r="A99" s="150"/>
      <c r="B99" s="111">
        <v>93</v>
      </c>
      <c r="C99" s="148" t="b">
        <v>0</v>
      </c>
      <c r="D99" s="148" t="str">
        <v>U1</v>
      </c>
      <c r="E99" s="252" t="str">
        <f t="shared" si="4"/>
        <v>EURFUT3MU1_Quote</v>
      </c>
      <c r="F99" s="253" t="str">
        <f t="shared" si="5"/>
        <v>EURFUT3MU1ConvAdj_Quote</v>
      </c>
      <c r="G99" s="252" t="str">
        <f>_xll.qlFuturesConvAdjustmentQuote($F99,IborIndex,$D99,$E99,Volatility,MeanReversion,Permanent,Trigger,ObjectOverwrite)</f>
        <v>EURFUT3MU1ConvAdj_Quote#0005</v>
      </c>
      <c r="H99" s="79" t="str">
        <f>_xll.ohRangeRetrieveError(G99)</f>
        <v/>
      </c>
    </row>
    <row r="100" spans="1:8" x14ac:dyDescent="0.2">
      <c r="A100" s="150"/>
      <c r="B100" s="111">
        <v>94</v>
      </c>
      <c r="C100" s="148" t="b">
        <v>0</v>
      </c>
      <c r="D100" s="148" t="str">
        <v>V1</v>
      </c>
      <c r="E100" s="252" t="str">
        <f t="shared" si="4"/>
        <v>EURFUT3MV1_Quote</v>
      </c>
      <c r="F100" s="253" t="str">
        <f t="shared" si="5"/>
        <v>EURFUT3MV1ConvAdj_Quote</v>
      </c>
      <c r="G100" s="252" t="e">
        <f>_xll.qlFuturesConvAdjustmentQuote($F100,IborIndex,$D100,$E100,Volatility,MeanReversion,Permanent,Trigger,ObjectOverwrite)</f>
        <v>#NUM!</v>
      </c>
      <c r="H100" s="79" t="e">
        <f ca="1">_xll.ohRangeRetrieveError(G100)</f>
        <v>#NUM!</v>
      </c>
    </row>
    <row r="101" spans="1:8" x14ac:dyDescent="0.2">
      <c r="A101" s="150"/>
      <c r="B101" s="111">
        <v>95</v>
      </c>
      <c r="C101" s="148" t="b">
        <v>0</v>
      </c>
      <c r="D101" s="148" t="str">
        <v>X1</v>
      </c>
      <c r="E101" s="252" t="str">
        <f t="shared" si="4"/>
        <v>EURFUT3MX1_Quote</v>
      </c>
      <c r="F101" s="253" t="str">
        <f t="shared" si="5"/>
        <v>EURFUT3MX1ConvAdj_Quote</v>
      </c>
      <c r="G101" s="252" t="e">
        <f>_xll.qlFuturesConvAdjustmentQuote($F101,IborIndex,$D101,$E101,Volatility,MeanReversion,Permanent,Trigger,ObjectOverwrite)</f>
        <v>#NUM!</v>
      </c>
      <c r="H101" s="79" t="e">
        <f ca="1">_xll.ohRangeRetrieveError(G101)</f>
        <v>#NUM!</v>
      </c>
    </row>
    <row r="102" spans="1:8" x14ac:dyDescent="0.2">
      <c r="A102" s="150"/>
      <c r="B102" s="111">
        <v>96</v>
      </c>
      <c r="C102" s="148" t="b">
        <v>0</v>
      </c>
      <c r="D102" s="148" t="str">
        <v>Z1</v>
      </c>
      <c r="E102" s="252" t="str">
        <f t="shared" si="4"/>
        <v>EURFUT3MZ1_Quote</v>
      </c>
      <c r="F102" s="253" t="str">
        <f t="shared" si="5"/>
        <v>EURFUT3MZ1ConvAdj_Quote</v>
      </c>
      <c r="G102" s="252" t="str">
        <f>_xll.qlFuturesConvAdjustmentQuote($F102,IborIndex,$D102,$E102,Volatility,MeanReversion,Permanent,Trigger,ObjectOverwrite)</f>
        <v>EURFUT3MZ1ConvAdj_Quote#0005</v>
      </c>
      <c r="H102" s="79" t="str">
        <f>_xll.ohRangeRetrieveError(G102)</f>
        <v/>
      </c>
    </row>
    <row r="103" spans="1:8" x14ac:dyDescent="0.2">
      <c r="A103" s="150"/>
      <c r="B103" s="111">
        <v>97</v>
      </c>
      <c r="C103" s="148" t="b">
        <v>0</v>
      </c>
      <c r="D103" s="148" t="str">
        <v>F2</v>
      </c>
      <c r="E103" s="252" t="str">
        <f t="shared" ref="E103:E126" si="6">Currency&amp;"FUT"&amp;$G$4&amp;$D103&amp;QuoteSuffix</f>
        <v>EURFUT3MF2_Quote</v>
      </c>
      <c r="F103" s="253" t="str">
        <f t="shared" ref="F103:F126" si="7">Currency&amp;"FUT"&amp;$G$4&amp;$D103&amp;"ConvAdj"&amp;QuoteSuffix</f>
        <v>EURFUT3MF2ConvAdj_Quote</v>
      </c>
      <c r="G103" s="252" t="e">
        <f>_xll.qlFuturesConvAdjustmentQuote($F103,IborIndex,$D103,$E103,Volatility,MeanReversion,Permanent,Trigger,ObjectOverwrite)</f>
        <v>#NUM!</v>
      </c>
      <c r="H103" s="79" t="e">
        <f ca="1">_xll.ohRangeRetrieveError(G103)</f>
        <v>#NUM!</v>
      </c>
    </row>
    <row r="104" spans="1:8" x14ac:dyDescent="0.2">
      <c r="A104" s="150"/>
      <c r="B104" s="111">
        <v>98</v>
      </c>
      <c r="C104" s="148" t="b">
        <v>0</v>
      </c>
      <c r="D104" s="148" t="str">
        <v>G2</v>
      </c>
      <c r="E104" s="252" t="str">
        <f t="shared" si="6"/>
        <v>EURFUT3MG2_Quote</v>
      </c>
      <c r="F104" s="253" t="str">
        <f t="shared" si="7"/>
        <v>EURFUT3MG2ConvAdj_Quote</v>
      </c>
      <c r="G104" s="252" t="e">
        <f>_xll.qlFuturesConvAdjustmentQuote($F104,IborIndex,$D104,$E104,Volatility,MeanReversion,Permanent,Trigger,ObjectOverwrite)</f>
        <v>#NUM!</v>
      </c>
      <c r="H104" s="79" t="e">
        <f ca="1">_xll.ohRangeRetrieveError(G104)</f>
        <v>#NUM!</v>
      </c>
    </row>
    <row r="105" spans="1:8" x14ac:dyDescent="0.2">
      <c r="A105" s="150"/>
      <c r="B105" s="111">
        <v>99</v>
      </c>
      <c r="C105" s="148" t="b">
        <v>0</v>
      </c>
      <c r="D105" s="148" t="str">
        <v>H2</v>
      </c>
      <c r="E105" s="252" t="str">
        <f t="shared" si="6"/>
        <v>EURFUT3MH2_Quote</v>
      </c>
      <c r="F105" s="253" t="str">
        <f t="shared" si="7"/>
        <v>EURFUT3MH2ConvAdj_Quote</v>
      </c>
      <c r="G105" s="252" t="str">
        <f>_xll.qlFuturesConvAdjustmentQuote($F105,IborIndex,$D105,$E105,Volatility,MeanReversion,Permanent,Trigger,ObjectOverwrite)</f>
        <v>EURFUT3MH2ConvAdj_Quote#0005</v>
      </c>
      <c r="H105" s="79" t="str">
        <f>_xll.ohRangeRetrieveError(G105)</f>
        <v/>
      </c>
    </row>
    <row r="106" spans="1:8" x14ac:dyDescent="0.2">
      <c r="A106" s="150"/>
      <c r="B106" s="111">
        <v>100</v>
      </c>
      <c r="C106" s="148" t="b">
        <v>0</v>
      </c>
      <c r="D106" s="148" t="str">
        <v>J2</v>
      </c>
      <c r="E106" s="252" t="str">
        <f t="shared" si="6"/>
        <v>EURFUT3MJ2_Quote</v>
      </c>
      <c r="F106" s="253" t="str">
        <f t="shared" si="7"/>
        <v>EURFUT3MJ2ConvAdj_Quote</v>
      </c>
      <c r="G106" s="252" t="e">
        <f>_xll.qlFuturesConvAdjustmentQuote($F106,IborIndex,$D106,$E106,Volatility,MeanReversion,Permanent,Trigger,ObjectOverwrite)</f>
        <v>#NUM!</v>
      </c>
      <c r="H106" s="79" t="e">
        <f ca="1">_xll.ohRangeRetrieveError(G106)</f>
        <v>#NUM!</v>
      </c>
    </row>
    <row r="107" spans="1:8" x14ac:dyDescent="0.2">
      <c r="A107" s="150"/>
      <c r="B107" s="111">
        <v>101</v>
      </c>
      <c r="C107" s="148" t="b">
        <v>0</v>
      </c>
      <c r="D107" s="148" t="str">
        <v>K2</v>
      </c>
      <c r="E107" s="252" t="str">
        <f t="shared" si="6"/>
        <v>EURFUT3MK2_Quote</v>
      </c>
      <c r="F107" s="253" t="str">
        <f t="shared" si="7"/>
        <v>EURFUT3MK2ConvAdj_Quote</v>
      </c>
      <c r="G107" s="252" t="e">
        <f>_xll.qlFuturesConvAdjustmentQuote($F107,IborIndex,$D107,$E107,Volatility,MeanReversion,Permanent,Trigger,ObjectOverwrite)</f>
        <v>#NUM!</v>
      </c>
      <c r="H107" s="79" t="e">
        <f ca="1">_xll.ohRangeRetrieveError(G107)</f>
        <v>#NUM!</v>
      </c>
    </row>
    <row r="108" spans="1:8" x14ac:dyDescent="0.2">
      <c r="A108" s="150"/>
      <c r="B108" s="111">
        <v>102</v>
      </c>
      <c r="C108" s="148" t="b">
        <v>0</v>
      </c>
      <c r="D108" s="148" t="str">
        <v>M2</v>
      </c>
      <c r="E108" s="252" t="str">
        <f t="shared" si="6"/>
        <v>EURFUT3MM2_Quote</v>
      </c>
      <c r="F108" s="253" t="str">
        <f t="shared" si="7"/>
        <v>EURFUT3MM2ConvAdj_Quote</v>
      </c>
      <c r="G108" s="252" t="str">
        <f>_xll.qlFuturesConvAdjustmentQuote($F108,IborIndex,$D108,$E108,Volatility,MeanReversion,Permanent,Trigger,ObjectOverwrite)</f>
        <v>EURFUT3MM2ConvAdj_Quote#0005</v>
      </c>
      <c r="H108" s="79" t="str">
        <f>_xll.ohRangeRetrieveError(G108)</f>
        <v/>
      </c>
    </row>
    <row r="109" spans="1:8" x14ac:dyDescent="0.2">
      <c r="A109" s="150"/>
      <c r="B109" s="111">
        <v>103</v>
      </c>
      <c r="C109" s="148" t="b">
        <v>0</v>
      </c>
      <c r="D109" s="148" t="str">
        <v>N2</v>
      </c>
      <c r="E109" s="252" t="str">
        <f t="shared" si="6"/>
        <v>EURFUT3MN2_Quote</v>
      </c>
      <c r="F109" s="253" t="str">
        <f t="shared" si="7"/>
        <v>EURFUT3MN2ConvAdj_Quote</v>
      </c>
      <c r="G109" s="252" t="e">
        <f>_xll.qlFuturesConvAdjustmentQuote($F109,IborIndex,$D109,$E109,Volatility,MeanReversion,Permanent,Trigger,ObjectOverwrite)</f>
        <v>#NUM!</v>
      </c>
      <c r="H109" s="79" t="e">
        <f ca="1">_xll.ohRangeRetrieveError(G109)</f>
        <v>#NUM!</v>
      </c>
    </row>
    <row r="110" spans="1:8" x14ac:dyDescent="0.2">
      <c r="A110" s="150"/>
      <c r="B110" s="111">
        <v>104</v>
      </c>
      <c r="C110" s="148" t="b">
        <v>0</v>
      </c>
      <c r="D110" s="148" t="str">
        <v>Q2</v>
      </c>
      <c r="E110" s="252" t="str">
        <f t="shared" si="6"/>
        <v>EURFUT3MQ2_Quote</v>
      </c>
      <c r="F110" s="253" t="str">
        <f t="shared" si="7"/>
        <v>EURFUT3MQ2ConvAdj_Quote</v>
      </c>
      <c r="G110" s="252" t="e">
        <f>_xll.qlFuturesConvAdjustmentQuote($F110,IborIndex,$D110,$E110,Volatility,MeanReversion,Permanent,Trigger,ObjectOverwrite)</f>
        <v>#NUM!</v>
      </c>
      <c r="H110" s="79" t="e">
        <f ca="1">_xll.ohRangeRetrieveError(G110)</f>
        <v>#NUM!</v>
      </c>
    </row>
    <row r="111" spans="1:8" x14ac:dyDescent="0.2">
      <c r="A111" s="150"/>
      <c r="B111" s="111">
        <v>105</v>
      </c>
      <c r="C111" s="148" t="b">
        <v>0</v>
      </c>
      <c r="D111" s="148" t="str">
        <v>U2</v>
      </c>
      <c r="E111" s="252" t="str">
        <f t="shared" si="6"/>
        <v>EURFUT3MU2_Quote</v>
      </c>
      <c r="F111" s="253" t="str">
        <f t="shared" si="7"/>
        <v>EURFUT3MU2ConvAdj_Quote</v>
      </c>
      <c r="G111" s="252" t="e">
        <f>_xll.qlFuturesConvAdjustmentQuote($F111,IborIndex,$D111,$E111,Volatility,MeanReversion,Permanent,Trigger,ObjectOverwrite)</f>
        <v>#NUM!</v>
      </c>
      <c r="H111" s="79" t="e">
        <f ca="1">_xll.ohRangeRetrieveError(G111)</f>
        <v>#NUM!</v>
      </c>
    </row>
    <row r="112" spans="1:8" x14ac:dyDescent="0.2">
      <c r="A112" s="150"/>
      <c r="B112" s="111">
        <v>106</v>
      </c>
      <c r="C112" s="148" t="b">
        <v>0</v>
      </c>
      <c r="D112" s="148" t="str">
        <v>V2</v>
      </c>
      <c r="E112" s="252" t="str">
        <f t="shared" si="6"/>
        <v>EURFUT3MV2_Quote</v>
      </c>
      <c r="F112" s="253" t="str">
        <f t="shared" si="7"/>
        <v>EURFUT3MV2ConvAdj_Quote</v>
      </c>
      <c r="G112" s="252" t="e">
        <f>_xll.qlFuturesConvAdjustmentQuote($F112,IborIndex,$D112,$E112,Volatility,MeanReversion,Permanent,Trigger,ObjectOverwrite)</f>
        <v>#NUM!</v>
      </c>
      <c r="H112" s="79" t="e">
        <f ca="1">_xll.ohRangeRetrieveError(G112)</f>
        <v>#NUM!</v>
      </c>
    </row>
    <row r="113" spans="1:8" x14ac:dyDescent="0.2">
      <c r="A113" s="150"/>
      <c r="B113" s="111">
        <v>107</v>
      </c>
      <c r="C113" s="148" t="b">
        <v>0</v>
      </c>
      <c r="D113" s="148" t="str">
        <v>X2</v>
      </c>
      <c r="E113" s="252" t="str">
        <f t="shared" si="6"/>
        <v>EURFUT3MX2_Quote</v>
      </c>
      <c r="F113" s="253" t="str">
        <f t="shared" si="7"/>
        <v>EURFUT3MX2ConvAdj_Quote</v>
      </c>
      <c r="G113" s="252" t="e">
        <f>_xll.qlFuturesConvAdjustmentQuote($F113,IborIndex,$D113,$E113,Volatility,MeanReversion,Permanent,Trigger,ObjectOverwrite)</f>
        <v>#NUM!</v>
      </c>
      <c r="H113" s="79" t="e">
        <f ca="1">_xll.ohRangeRetrieveError(G113)</f>
        <v>#NUM!</v>
      </c>
    </row>
    <row r="114" spans="1:8" x14ac:dyDescent="0.2">
      <c r="A114" s="150"/>
      <c r="B114" s="111">
        <v>108</v>
      </c>
      <c r="C114" s="148" t="b">
        <v>0</v>
      </c>
      <c r="D114" s="148" t="str">
        <v>Z2</v>
      </c>
      <c r="E114" s="252" t="str">
        <f t="shared" si="6"/>
        <v>EURFUT3MZ2_Quote</v>
      </c>
      <c r="F114" s="253" t="str">
        <f t="shared" si="7"/>
        <v>EURFUT3MZ2ConvAdj_Quote</v>
      </c>
      <c r="G114" s="252" t="e">
        <f>_xll.qlFuturesConvAdjustmentQuote($F114,IborIndex,$D114,$E114,Volatility,MeanReversion,Permanent,Trigger,ObjectOverwrite)</f>
        <v>#NUM!</v>
      </c>
      <c r="H114" s="79" t="e">
        <f ca="1">_xll.ohRangeRetrieveError(G114)</f>
        <v>#NUM!</v>
      </c>
    </row>
    <row r="115" spans="1:8" x14ac:dyDescent="0.2">
      <c r="A115" s="150"/>
      <c r="B115" s="111">
        <v>109</v>
      </c>
      <c r="C115" s="148" t="b">
        <v>0</v>
      </c>
      <c r="D115" s="148" t="str">
        <v>F3</v>
      </c>
      <c r="E115" s="252" t="str">
        <f t="shared" si="6"/>
        <v>EURFUT3MF3_Quote</v>
      </c>
      <c r="F115" s="253" t="str">
        <f t="shared" si="7"/>
        <v>EURFUT3MF3ConvAdj_Quote</v>
      </c>
      <c r="G115" s="252" t="e">
        <f>_xll.qlFuturesConvAdjustmentQuote($F115,IborIndex,$D115,$E115,Volatility,MeanReversion,Permanent,Trigger,ObjectOverwrite)</f>
        <v>#NUM!</v>
      </c>
      <c r="H115" s="79" t="e">
        <f ca="1">_xll.ohRangeRetrieveError(G115)</f>
        <v>#NUM!</v>
      </c>
    </row>
    <row r="116" spans="1:8" x14ac:dyDescent="0.2">
      <c r="A116" s="150"/>
      <c r="B116" s="111">
        <v>110</v>
      </c>
      <c r="C116" s="148" t="b">
        <v>0</v>
      </c>
      <c r="D116" s="148" t="str">
        <v>G3</v>
      </c>
      <c r="E116" s="252" t="str">
        <f t="shared" si="6"/>
        <v>EURFUT3MG3_Quote</v>
      </c>
      <c r="F116" s="253" t="str">
        <f t="shared" si="7"/>
        <v>EURFUT3MG3ConvAdj_Quote</v>
      </c>
      <c r="G116" s="252" t="e">
        <f>_xll.qlFuturesConvAdjustmentQuote($F116,IborIndex,$D116,$E116,Volatility,MeanReversion,Permanent,Trigger,ObjectOverwrite)</f>
        <v>#NUM!</v>
      </c>
      <c r="H116" s="79" t="e">
        <f ca="1">_xll.ohRangeRetrieveError(G116)</f>
        <v>#NUM!</v>
      </c>
    </row>
    <row r="117" spans="1:8" x14ac:dyDescent="0.2">
      <c r="A117" s="150"/>
      <c r="B117" s="111">
        <v>111</v>
      </c>
      <c r="C117" s="148" t="b">
        <v>0</v>
      </c>
      <c r="D117" s="148" t="str">
        <v>H3</v>
      </c>
      <c r="E117" s="252" t="str">
        <f t="shared" si="6"/>
        <v>EURFUT3MH3_Quote</v>
      </c>
      <c r="F117" s="253" t="str">
        <f t="shared" si="7"/>
        <v>EURFUT3MH3ConvAdj_Quote</v>
      </c>
      <c r="G117" s="252" t="e">
        <f>_xll.qlFuturesConvAdjustmentQuote($F117,IborIndex,$D117,$E117,Volatility,MeanReversion,Permanent,Trigger,ObjectOverwrite)</f>
        <v>#NUM!</v>
      </c>
      <c r="H117" s="79" t="e">
        <f ca="1">_xll.ohRangeRetrieveError(G117)</f>
        <v>#NUM!</v>
      </c>
    </row>
    <row r="118" spans="1:8" x14ac:dyDescent="0.2">
      <c r="A118" s="150"/>
      <c r="B118" s="111">
        <v>112</v>
      </c>
      <c r="C118" s="148" t="b">
        <v>0</v>
      </c>
      <c r="D118" s="148" t="str">
        <v>J3</v>
      </c>
      <c r="E118" s="252" t="str">
        <f t="shared" si="6"/>
        <v>EURFUT3MJ3_Quote</v>
      </c>
      <c r="F118" s="253" t="str">
        <f t="shared" si="7"/>
        <v>EURFUT3MJ3ConvAdj_Quote</v>
      </c>
      <c r="G118" s="252" t="e">
        <f>_xll.qlFuturesConvAdjustmentQuote($F118,IborIndex,$D118,$E118,Volatility,MeanReversion,Permanent,Trigger,ObjectOverwrite)</f>
        <v>#NUM!</v>
      </c>
      <c r="H118" s="79" t="e">
        <f ca="1">_xll.ohRangeRetrieveError(G118)</f>
        <v>#NUM!</v>
      </c>
    </row>
    <row r="119" spans="1:8" x14ac:dyDescent="0.2">
      <c r="A119" s="150"/>
      <c r="B119" s="111">
        <v>113</v>
      </c>
      <c r="C119" s="148" t="b">
        <v>0</v>
      </c>
      <c r="D119" s="148" t="str">
        <v>K3</v>
      </c>
      <c r="E119" s="252" t="str">
        <f t="shared" si="6"/>
        <v>EURFUT3MK3_Quote</v>
      </c>
      <c r="F119" s="253" t="str">
        <f t="shared" si="7"/>
        <v>EURFUT3MK3ConvAdj_Quote</v>
      </c>
      <c r="G119" s="252" t="e">
        <f>_xll.qlFuturesConvAdjustmentQuote($F119,IborIndex,$D119,$E119,Volatility,MeanReversion,Permanent,Trigger,ObjectOverwrite)</f>
        <v>#NUM!</v>
      </c>
      <c r="H119" s="79" t="e">
        <f ca="1">_xll.ohRangeRetrieveError(G119)</f>
        <v>#NUM!</v>
      </c>
    </row>
    <row r="120" spans="1:8" x14ac:dyDescent="0.2">
      <c r="A120" s="150"/>
      <c r="B120" s="111">
        <v>114</v>
      </c>
      <c r="C120" s="148" t="b">
        <v>0</v>
      </c>
      <c r="D120" s="148" t="str">
        <v>M3</v>
      </c>
      <c r="E120" s="252" t="str">
        <f t="shared" si="6"/>
        <v>EURFUT3MM3_Quote</v>
      </c>
      <c r="F120" s="253" t="str">
        <f t="shared" si="7"/>
        <v>EURFUT3MM3ConvAdj_Quote</v>
      </c>
      <c r="G120" s="252" t="e">
        <f>_xll.qlFuturesConvAdjustmentQuote($F120,IborIndex,$D120,$E120,Volatility,MeanReversion,Permanent,Trigger,ObjectOverwrite)</f>
        <v>#NUM!</v>
      </c>
      <c r="H120" s="79" t="e">
        <f ca="1">_xll.ohRangeRetrieveError(G120)</f>
        <v>#NUM!</v>
      </c>
    </row>
    <row r="121" spans="1:8" x14ac:dyDescent="0.2">
      <c r="A121" s="150"/>
      <c r="B121" s="111">
        <v>115</v>
      </c>
      <c r="C121" s="148" t="b">
        <v>0</v>
      </c>
      <c r="D121" s="148" t="str">
        <v>N3</v>
      </c>
      <c r="E121" s="252" t="str">
        <f t="shared" si="6"/>
        <v>EURFUT3MN3_Quote</v>
      </c>
      <c r="F121" s="253" t="str">
        <f t="shared" si="7"/>
        <v>EURFUT3MN3ConvAdj_Quote</v>
      </c>
      <c r="G121" s="252" t="e">
        <f>_xll.qlFuturesConvAdjustmentQuote($F121,IborIndex,$D121,$E121,Volatility,MeanReversion,Permanent,Trigger,ObjectOverwrite)</f>
        <v>#NUM!</v>
      </c>
      <c r="H121" s="79" t="e">
        <f ca="1">_xll.ohRangeRetrieveError(G121)</f>
        <v>#NUM!</v>
      </c>
    </row>
    <row r="122" spans="1:8" x14ac:dyDescent="0.2">
      <c r="A122" s="150"/>
      <c r="B122" s="111">
        <v>116</v>
      </c>
      <c r="C122" s="148" t="b">
        <v>0</v>
      </c>
      <c r="D122" s="148" t="str">
        <v>Q3</v>
      </c>
      <c r="E122" s="252" t="str">
        <f t="shared" si="6"/>
        <v>EURFUT3MQ3_Quote</v>
      </c>
      <c r="F122" s="253" t="str">
        <f t="shared" si="7"/>
        <v>EURFUT3MQ3ConvAdj_Quote</v>
      </c>
      <c r="G122" s="252" t="e">
        <f>_xll.qlFuturesConvAdjustmentQuote($F122,IborIndex,$D122,$E122,Volatility,MeanReversion,Permanent,Trigger,ObjectOverwrite)</f>
        <v>#NUM!</v>
      </c>
      <c r="H122" s="79" t="e">
        <f ca="1">_xll.ohRangeRetrieveError(G122)</f>
        <v>#NUM!</v>
      </c>
    </row>
    <row r="123" spans="1:8" x14ac:dyDescent="0.2">
      <c r="A123" s="150"/>
      <c r="B123" s="111">
        <v>117</v>
      </c>
      <c r="C123" s="148" t="b">
        <v>0</v>
      </c>
      <c r="D123" s="148" t="str">
        <v>U3</v>
      </c>
      <c r="E123" s="252" t="str">
        <f t="shared" si="6"/>
        <v>EURFUT3MU3_Quote</v>
      </c>
      <c r="F123" s="253" t="str">
        <f t="shared" si="7"/>
        <v>EURFUT3MU3ConvAdj_Quote</v>
      </c>
      <c r="G123" s="252" t="e">
        <f>_xll.qlFuturesConvAdjustmentQuote($F123,IborIndex,$D123,$E123,Volatility,MeanReversion,Permanent,Trigger,ObjectOverwrite)</f>
        <v>#NUM!</v>
      </c>
      <c r="H123" s="79" t="e">
        <f ca="1">_xll.ohRangeRetrieveError(G123)</f>
        <v>#NUM!</v>
      </c>
    </row>
    <row r="124" spans="1:8" x14ac:dyDescent="0.2">
      <c r="A124" s="150"/>
      <c r="B124" s="111">
        <v>118</v>
      </c>
      <c r="C124" s="148" t="b">
        <v>0</v>
      </c>
      <c r="D124" s="148" t="str">
        <v>V3</v>
      </c>
      <c r="E124" s="252" t="str">
        <f t="shared" si="6"/>
        <v>EURFUT3MV3_Quote</v>
      </c>
      <c r="F124" s="253" t="str">
        <f t="shared" si="7"/>
        <v>EURFUT3MV3ConvAdj_Quote</v>
      </c>
      <c r="G124" s="252" t="e">
        <f>_xll.qlFuturesConvAdjustmentQuote($F124,IborIndex,$D124,$E124,Volatility,MeanReversion,Permanent,Trigger,ObjectOverwrite)</f>
        <v>#NUM!</v>
      </c>
      <c r="H124" s="79" t="e">
        <f ca="1">_xll.ohRangeRetrieveError(G124)</f>
        <v>#NUM!</v>
      </c>
    </row>
    <row r="125" spans="1:8" x14ac:dyDescent="0.2">
      <c r="A125" s="150"/>
      <c r="B125" s="111">
        <v>119</v>
      </c>
      <c r="C125" s="148" t="b">
        <v>0</v>
      </c>
      <c r="D125" s="148" t="str">
        <v>X3</v>
      </c>
      <c r="E125" s="252" t="str">
        <f t="shared" si="6"/>
        <v>EURFUT3MX3_Quote</v>
      </c>
      <c r="F125" s="253" t="str">
        <f t="shared" si="7"/>
        <v>EURFUT3MX3ConvAdj_Quote</v>
      </c>
      <c r="G125" s="252" t="e">
        <f>_xll.qlFuturesConvAdjustmentQuote($F125,IborIndex,$D125,$E125,Volatility,MeanReversion,Permanent,Trigger,ObjectOverwrite)</f>
        <v>#NUM!</v>
      </c>
      <c r="H125" s="79" t="e">
        <f ca="1">_xll.ohRangeRetrieveError(G125)</f>
        <v>#NUM!</v>
      </c>
    </row>
    <row r="126" spans="1:8" ht="12" thickBot="1" x14ac:dyDescent="0.25">
      <c r="A126" s="144"/>
      <c r="B126" s="111">
        <v>120</v>
      </c>
      <c r="C126" s="148" t="b">
        <v>0</v>
      </c>
      <c r="D126" s="148" t="str">
        <v>Z3</v>
      </c>
      <c r="E126" s="252" t="str">
        <f t="shared" si="6"/>
        <v>EURFUT3MZ3_Quote</v>
      </c>
      <c r="F126" s="253" t="str">
        <f t="shared" si="7"/>
        <v>EURFUT3MZ3ConvAdj_Quote</v>
      </c>
      <c r="G126" s="252" t="e">
        <f>_xll.qlFuturesConvAdjustmentQuote($F126,IborIndex,$D126,$E126,Volatility,MeanReversion,Permanent,Trigger,ObjectOverwrite)</f>
        <v>#NUM!</v>
      </c>
      <c r="H126" s="79" t="e">
        <f ca="1">_xll.ohRangeRetrieveError(G126)</f>
        <v>#NUM!</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EURAB1EBASIS1Y_Quote#0005</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EURAB1EBASIS15M_Quote#0005</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EURAB1EBASIS18M_Quote#0005</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EURAB1EBASIS21M_Quote#0005</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EURAB1EBASIS2Y_Quote#0005</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EURAB1EBASIS3Y_Quote#0005</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EURAB1EBASIS4Y_Quote#0005</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EURAB1EBASIS5Y_Quote#0005</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EURAB1EBASIS6Y_Quote#0005</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EURAB1EBASIS7Y_Quote#0005</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EURAB1EBASIS8Y_Quote#0005</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EURAB1EBASIS9Y_Quote#0005</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EURAB1EBASIS10Y_Quote#0005</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EURAB1EBASIS11Y_Quote#0005</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EURAB1EBASIS12Y_Quote#0005</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EURAB1EBASIS13Y_Quote#0005</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EURAB1EBASIS14Y_Quote#0005</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EURAB1EBASIS15Y_Quote#0005</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EURAB1EBASIS16Y_Quote#0005</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EURAB1EBASIS17Y_Quote#0005</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EURAB1EBASIS18Y_Quote#0005</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EURAB1EBASIS19Y_Quote#0005</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EURAB1EBASIS20Y_Quote#0005</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EURAB1EBASIS21Y_Quote#0005</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EURAB1EBASIS22Y_Quote#0005</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EURAB1EBASIS23Y_Quote#0005</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EURAB1EBASIS24Y_Quote#0005</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EURAB1EBASIS25Y_Quote#0005</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EURAB1EBASIS26Y_Quote#0005</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EURAB1EBASIS27Y_Quote#0005</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EURAB1EBASIS28Y_Quote#0005</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EURAB1EBASIS29Y_Quote#0005</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EURAB1EBASIS30Y_Quote#0005</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EURAB1EBASIS35Y_Quote#0005</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EURAB1EBASIS40Y_Quote#0005</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EURAB1EBASIS50Y_Quote#0005</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EURAB3EBASIS1Y_Quote#0005</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EURAB3EBASIS15M_Quote#0005</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EURAB3EBASIS18M_Quote#0005</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EURAB3EBASIS21M_Quote#0005</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EURAB3EBASIS2Y_Quote#0005</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EURAB3EBASIS3Y_Quote#0005</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EURAB3EBASIS4Y_Quote#0005</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EURAB3EBASIS5Y_Quote#0005</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EURAB3EBASIS6Y_Quote#0005</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EURAB3EBASIS7Y_Quote#0005</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EURAB3EBASIS8Y_Quote#0005</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EURAB3EBASIS9Y_Quote#0005</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EURAB3EBASIS10Y_Quote#0005</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EURAB3EBASIS11Y_Quote#0005</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EURAB3EBASIS12Y_Quote#0005</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EURAB3EBASIS13Y_Quote#0005</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EURAB3EBASIS14Y_Quote#0005</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EURAB3EBASIS15Y_Quote#0005</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EURAB3EBASIS16Y_Quote#0005</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EURAB3EBASIS17Y_Quote#0005</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EURAB3EBASIS18Y_Quote#0005</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EURAB3EBASIS19Y_Quote#0005</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EURAB3EBASIS20Y_Quote#0005</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EURAB3EBASIS21Y_Quote#0005</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EURAB3EBASIS22Y_Quote#0005</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EURAB3EBASIS23Y_Quote#0005</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EURAB3EBASIS24Y_Quote#0005</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EURAB3EBASIS25Y_Quote#0005</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EURAB3EBASIS26Y_Quote#0005</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EURAB3EBASIS27Y_Quote#0005</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EURAB3EBASIS28Y_Quote#0005</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EURAB3EBASIS29Y_Quote#0005</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EURAB3EBASIS30Y_Quote#0005</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EURAB3EBASIS35Y_Quote#0005</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EURAB3EBASIS40Y_Quote#0005</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EURAB3EBASIS50Y_Quote#0005</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EURAB6EBASIS1Y_Quote#0005</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EURAB6EBASIS15M_Quote#0005</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EURAB6EBASIS18M_Quote#0005</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EURAB6EBASIS21M_Quote#0005</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EURAB6EBASIS2Y_Quote#0005</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EURAB6EBASIS3Y_Quote#0005</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EURAB6EBASIS4Y_Quote#0005</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EURAB6EBASIS5Y_Quote#0005</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EURAB6EBASIS6Y_Quote#0005</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EURAB6EBASIS7Y_Quote#0005</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EURAB6EBASIS8Y_Quote#0005</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EURAB6EBASIS9Y_Quote#0005</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EURAB6EBASIS10Y_Quote#0005</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EURAB6EBASIS11Y_Quote#0005</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EURAB6EBASIS12Y_Quote#0005</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EURAB6EBASIS13Y_Quote#0005</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EURAB6EBASIS14Y_Quote#0005</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EURAB6EBASIS15Y_Quote#0005</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EURAB6EBASIS16Y_Quote#0005</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EURAB6EBASIS17Y_Quote#0005</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EURAB6EBASIS18Y_Quote#0005</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EURAB6EBASIS19Y_Quote#0005</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EURAB6EBASIS20Y_Quote#0005</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EURAB6EBASIS21Y_Quote#0005</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EURAB6EBASIS22Y_Quote#0005</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EURAB6EBASIS23Y_Quote#0005</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EURAB6EBASIS24Y_Quote#0005</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EURAB6EBASIS25Y_Quote#0005</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EURAB6EBASIS26Y_Quote#0005</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EURAB6EBASIS27Y_Quote#0005</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EURAB6EBASIS28Y_Quote#0005</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EURAB6EBASIS29Y_Quote#0005</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EURAB6EBASIS30Y_Quote#0005</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EURAB6EBASIS35Y_Quote#0005</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EURAB6EBASIS40Y_Quote#0005</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EURAB6EBASIS50Y_Quote#0005</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EURAB12EBASIS1Y_Quote#0005</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EURAB12EBASIS15M_Quote#0005</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EURAB12EBASIS18M_Quote#0005</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EURAB12EBASIS21M_Quote#0005</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EURAB12EBASIS2Y_Quote#0005</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EURAB12EBASIS3Y_Quote#0005</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EURAB12EBASIS4Y_Quote#0005</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EURAB12EBASIS5Y_Quote#0005</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EURAB12EBASIS6Y_Quote#0005</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EURAB12EBASIS7Y_Quote#0005</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EURAB12EBASIS8Y_Quote#0005</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EURAB12EBASIS9Y_Quote#0005</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EURAB12EBASIS10Y_Quote#0005</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EURAB12EBASIS11Y_Quote#0005</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EURAB12EBASIS12Y_Quote#0005</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EURAB12EBASIS13Y_Quote#0005</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EURAB12EBASIS14Y_Quote#0005</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EURAB12EBASIS15Y_Quote#0005</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EURAB12EBASIS16Y_Quote#0005</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EURAB12EBASIS17Y_Quote#0005</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EURAB12EBASIS18Y_Quote#0005</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EURAB12EBASIS19Y_Quote#0005</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EURAB12EBASIS20Y_Quote#0005</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EURAB12EBASIS21Y_Quote#0005</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EURAB12EBASIS22Y_Quote#0005</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EURAB12EBASIS23Y_Quote#0005</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EURAB12EBASIS24Y_Quote#0005</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EURAB12EBASIS25Y_Quote#0005</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EURAB12EBASIS26Y_Quote#0005</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EURAB12EBASIS27Y_Quote#0005</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EURAB12EBASIS28Y_Quote#0005</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EURAB12EBASIS29Y_Quote#0005</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EURAB12EBASIS30Y_Quote#0005</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EURAB12EBASIS35Y_Quote#0005</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EURAB12EBASIS40Y_Quote#0005</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EURAB12EBASIS50Y_Quote#0005</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2013-12-20T00:06:48Z</dcterms:modified>
</cp:coreProperties>
</file>
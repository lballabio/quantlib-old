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6">'3M'!$L$5:$L$11</definedName>
    <definedName name="QuoteStatic" localSheetId="16">Futures3M!$W$7:$W$48</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H39" i="48" l="1"/>
  <c r="H38" i="48"/>
  <c r="H37" i="48"/>
  <c r="H36" i="48"/>
  <c r="H35" i="48"/>
  <c r="H34" i="48"/>
  <c r="H33" i="48"/>
  <c r="H32" i="48"/>
  <c r="H31" i="48"/>
  <c r="H30" i="48"/>
  <c r="H29" i="48"/>
  <c r="H28" i="48"/>
  <c r="H27" i="48"/>
  <c r="H26" i="48"/>
  <c r="H25" i="48"/>
  <c r="H24" i="48"/>
  <c r="H23" i="48"/>
  <c r="H22" i="48"/>
  <c r="H21" i="48"/>
  <c r="H20" i="48"/>
  <c r="H19" i="48"/>
  <c r="H18" i="48"/>
  <c r="H17" i="48"/>
  <c r="H16" i="48"/>
  <c r="H15" i="48"/>
  <c r="H14" i="48"/>
  <c r="H13" i="48"/>
  <c r="H12" i="48"/>
  <c r="H11" i="48"/>
  <c r="H10" i="48"/>
  <c r="H9" i="48"/>
  <c r="H8" i="48"/>
  <c r="H7" i="48"/>
  <c r="H6" i="48"/>
  <c r="H5" i="48"/>
  <c r="H4" i="48"/>
  <c r="H3" i="48"/>
  <c r="F39" i="48"/>
  <c r="F38" i="48"/>
  <c r="F37" i="48"/>
  <c r="F36" i="48"/>
  <c r="F35" i="48"/>
  <c r="F34" i="48"/>
  <c r="F33" i="48"/>
  <c r="F32" i="48"/>
  <c r="F31" i="48"/>
  <c r="F30" i="48"/>
  <c r="F29" i="48"/>
  <c r="F28" i="48"/>
  <c r="F27" i="48"/>
  <c r="F26" i="48"/>
  <c r="F25" i="48"/>
  <c r="F24" i="48"/>
  <c r="F23" i="48"/>
  <c r="F22" i="48"/>
  <c r="F21" i="48"/>
  <c r="F20" i="48"/>
  <c r="F19" i="48"/>
  <c r="F18" i="48"/>
  <c r="F17" i="48"/>
  <c r="F16" i="48"/>
  <c r="F15" i="48"/>
  <c r="F14" i="48"/>
  <c r="F13" i="48"/>
  <c r="F12" i="48"/>
  <c r="F11" i="48"/>
  <c r="F10" i="48"/>
  <c r="F9" i="48"/>
  <c r="F8" i="48"/>
  <c r="F7" i="48"/>
  <c r="F6" i="48"/>
  <c r="F5" i="48"/>
  <c r="F4" i="48"/>
  <c r="F3" i="48"/>
  <c r="J7" i="48" l="1"/>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4" i="6"/>
  <c r="E18" i="6"/>
  <c r="E21" i="6"/>
  <c r="E22" i="6"/>
  <c r="E10" i="6"/>
  <c r="E15" i="6"/>
  <c r="E13" i="6"/>
  <c r="E17" i="6"/>
  <c r="E20" i="6"/>
  <c r="E11" i="6"/>
  <c r="E19" i="6"/>
  <c r="E12" i="6"/>
  <c r="E6" i="6"/>
  <c r="E16" i="6"/>
  <c r="E9" i="6"/>
  <c r="E7" i="6"/>
  <c r="E8" i="6"/>
  <c r="S2" i="6" l="1"/>
  <c r="S8" i="6" s="1"/>
  <c r="Y2" i="6"/>
  <c r="F17" i="6"/>
  <c r="F8" i="6"/>
  <c r="F19" i="6"/>
  <c r="F7" i="6"/>
  <c r="F15" i="6"/>
  <c r="F21" i="6"/>
  <c r="F18" i="6"/>
  <c r="F13" i="6"/>
  <c r="F12" i="6"/>
  <c r="J7" i="6"/>
  <c r="F6" i="6"/>
  <c r="J6" i="6"/>
  <c r="F14" i="6"/>
  <c r="F22" i="6"/>
  <c r="F16" i="6"/>
  <c r="F10" i="6"/>
  <c r="F9" i="6"/>
  <c r="F11" i="6"/>
  <c r="F20"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7" i="73"/>
  <c r="G17" i="73"/>
  <c r="G15" i="73"/>
  <c r="G6" i="73"/>
  <c r="G10" i="73"/>
  <c r="G13" i="73"/>
  <c r="G8" i="73"/>
  <c r="G16" i="73"/>
  <c r="G11" i="73"/>
  <c r="G18" i="73"/>
  <c r="G12" i="73"/>
  <c r="G9" i="73"/>
  <c r="D9" i="67"/>
  <c r="G4" i="73"/>
  <c r="G5" i="73"/>
  <c r="G14"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3" i="72"/>
  <c r="K15" i="73"/>
  <c r="K11" i="73"/>
  <c r="K18" i="73"/>
  <c r="G15" i="72"/>
  <c r="K9" i="73"/>
  <c r="K4" i="73"/>
  <c r="K6" i="73"/>
  <c r="G12" i="72"/>
  <c r="G10" i="72"/>
  <c r="G4" i="72"/>
  <c r="G17" i="72"/>
  <c r="K5" i="73"/>
  <c r="K14" i="73"/>
  <c r="G6" i="72"/>
  <c r="G5" i="72"/>
  <c r="K17" i="73"/>
  <c r="K8" i="73"/>
  <c r="K13" i="73"/>
  <c r="K7" i="73"/>
  <c r="G18" i="72"/>
  <c r="G9" i="72"/>
  <c r="K10" i="73"/>
  <c r="K16" i="73"/>
  <c r="K12" i="73"/>
  <c r="G7" i="72"/>
  <c r="G14" i="72"/>
  <c r="G16" i="72"/>
  <c r="G11" i="72"/>
  <c r="G8"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12" i="71"/>
  <c r="G9" i="71"/>
  <c r="K10" i="72"/>
  <c r="H14" i="73"/>
  <c r="H10" i="73"/>
  <c r="G18" i="71"/>
  <c r="K11" i="72"/>
  <c r="H12" i="73"/>
  <c r="G4" i="71"/>
  <c r="K7" i="72"/>
  <c r="G8" i="71"/>
  <c r="H5" i="73"/>
  <c r="G15" i="71"/>
  <c r="K6" i="72"/>
  <c r="K13" i="72"/>
  <c r="H17" i="73"/>
  <c r="H6" i="73"/>
  <c r="G17" i="71"/>
  <c r="K16" i="72"/>
  <c r="H8" i="73"/>
  <c r="H18" i="73"/>
  <c r="G5" i="71"/>
  <c r="H7" i="73"/>
  <c r="G13" i="71"/>
  <c r="K9" i="72"/>
  <c r="K14" i="72"/>
  <c r="K4" i="72"/>
  <c r="G6" i="71"/>
  <c r="K18" i="72"/>
  <c r="G14" i="71"/>
  <c r="G16" i="71"/>
  <c r="G11" i="71"/>
  <c r="H11" i="73"/>
  <c r="K15" i="72"/>
  <c r="H13" i="73"/>
  <c r="G7" i="71"/>
  <c r="G10" i="71"/>
  <c r="H16" i="73"/>
  <c r="H4" i="73"/>
  <c r="H15" i="73"/>
  <c r="H9" i="73"/>
  <c r="K8" i="72"/>
  <c r="K17" i="72"/>
  <c r="K12" i="72"/>
  <c r="K5"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4" i="73"/>
  <c r="L10" i="73"/>
  <c r="L15" i="73"/>
  <c r="L12" i="73"/>
  <c r="L8" i="73"/>
  <c r="L11" i="73"/>
  <c r="L16" i="73"/>
  <c r="L7" i="73"/>
  <c r="L18" i="73"/>
  <c r="L13" i="73"/>
  <c r="L6" i="73"/>
  <c r="L5" i="73"/>
  <c r="L17" i="73"/>
  <c r="K16" i="71"/>
  <c r="K14" i="71"/>
  <c r="N6" i="73"/>
  <c r="K8" i="71"/>
  <c r="H5" i="72"/>
  <c r="G12" i="70"/>
  <c r="H4" i="72"/>
  <c r="N7" i="73"/>
  <c r="H6" i="72"/>
  <c r="K7" i="71"/>
  <c r="G16" i="70"/>
  <c r="K10" i="71"/>
  <c r="N5" i="73"/>
  <c r="H18" i="72"/>
  <c r="H17" i="72"/>
  <c r="H10" i="72"/>
  <c r="G11" i="70"/>
  <c r="N8" i="73"/>
  <c r="N15" i="73"/>
  <c r="H11" i="72"/>
  <c r="H14" i="72"/>
  <c r="H9" i="72"/>
  <c r="G18" i="70"/>
  <c r="N14" i="73"/>
  <c r="K6" i="71"/>
  <c r="G13" i="70"/>
  <c r="H8" i="72"/>
  <c r="K13" i="71"/>
  <c r="N9" i="73"/>
  <c r="N17" i="73"/>
  <c r="N4" i="73"/>
  <c r="K9" i="71"/>
  <c r="H13" i="72"/>
  <c r="N13" i="73"/>
  <c r="N12" i="73"/>
  <c r="H7" i="72"/>
  <c r="G6" i="70"/>
  <c r="N16" i="73"/>
  <c r="G15" i="70"/>
  <c r="N11" i="73"/>
  <c r="H15" i="72"/>
  <c r="G5" i="70"/>
  <c r="K11" i="71"/>
  <c r="N18" i="73"/>
  <c r="G8" i="70"/>
  <c r="K17" i="71"/>
  <c r="H12" i="72"/>
  <c r="N10" i="73"/>
  <c r="K5" i="71"/>
  <c r="G14" i="70"/>
  <c r="G9" i="70"/>
  <c r="K15" i="71"/>
  <c r="K4" i="71"/>
  <c r="G17" i="70"/>
  <c r="G10" i="70"/>
  <c r="K12" i="71"/>
  <c r="H16" i="72"/>
  <c r="G4" i="70"/>
  <c r="G7" i="70"/>
  <c r="K18" i="71"/>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17" i="72"/>
  <c r="L9" i="72"/>
  <c r="L12" i="72"/>
  <c r="L4" i="72"/>
  <c r="L11" i="72"/>
  <c r="L7" i="72"/>
  <c r="L18" i="72"/>
  <c r="L13" i="72"/>
  <c r="L16" i="72"/>
  <c r="L15" i="72"/>
  <c r="L10" i="72"/>
  <c r="L5" i="72"/>
  <c r="L14" i="72"/>
  <c r="L8" i="72"/>
  <c r="N10" i="70"/>
  <c r="K6" i="70"/>
  <c r="K4" i="70"/>
  <c r="G18" i="69"/>
  <c r="H9" i="71"/>
  <c r="K18" i="70"/>
  <c r="G6" i="69"/>
  <c r="K15" i="70"/>
  <c r="N14" i="72"/>
  <c r="G10" i="69"/>
  <c r="N13" i="70"/>
  <c r="N14" i="70"/>
  <c r="G15" i="69"/>
  <c r="N16" i="70"/>
  <c r="H5" i="71"/>
  <c r="H13" i="71"/>
  <c r="N9" i="72"/>
  <c r="N17" i="72"/>
  <c r="G4" i="69"/>
  <c r="N18" i="72"/>
  <c r="N6" i="70"/>
  <c r="N10" i="72"/>
  <c r="K17" i="70"/>
  <c r="G11" i="69"/>
  <c r="G7" i="69"/>
  <c r="K10" i="70"/>
  <c r="N15" i="70"/>
  <c r="H16" i="71"/>
  <c r="K7" i="70"/>
  <c r="H8" i="71"/>
  <c r="N12" i="72"/>
  <c r="K11" i="70"/>
  <c r="H15" i="71"/>
  <c r="N13" i="72"/>
  <c r="K14" i="70"/>
  <c r="N6" i="72"/>
  <c r="H12" i="71"/>
  <c r="N15" i="72"/>
  <c r="G12" i="69"/>
  <c r="N11" i="72"/>
  <c r="H11" i="71"/>
  <c r="K5" i="70"/>
  <c r="N16" i="72"/>
  <c r="N4" i="72"/>
  <c r="G14" i="69"/>
  <c r="G5" i="69"/>
  <c r="N5" i="72"/>
  <c r="K12" i="70"/>
  <c r="K9" i="70"/>
  <c r="N11" i="70"/>
  <c r="H6" i="71"/>
  <c r="K13" i="70"/>
  <c r="G8" i="69"/>
  <c r="G9" i="69"/>
  <c r="H17" i="71"/>
  <c r="K8" i="70"/>
  <c r="H14" i="71"/>
  <c r="G16" i="69"/>
  <c r="G17" i="69"/>
  <c r="K16" i="70"/>
  <c r="G13" i="69"/>
  <c r="N7" i="72"/>
  <c r="H10" i="71"/>
  <c r="N8" i="72"/>
  <c r="H7" i="71"/>
  <c r="H4" i="71"/>
  <c r="H18" i="71"/>
  <c r="N17" i="70"/>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1" i="71"/>
  <c r="L14" i="71"/>
  <c r="L7" i="71"/>
  <c r="L13" i="71"/>
  <c r="L15" i="71"/>
  <c r="L6" i="71"/>
  <c r="L9" i="71"/>
  <c r="L5" i="71"/>
  <c r="L16" i="71"/>
  <c r="L18" i="71"/>
  <c r="L12" i="71"/>
  <c r="L4" i="71"/>
  <c r="L10" i="71"/>
  <c r="L17" i="71"/>
  <c r="L8" i="71"/>
  <c r="K8" i="69"/>
  <c r="H8" i="70"/>
  <c r="N13" i="71"/>
  <c r="K6" i="69"/>
  <c r="K13" i="69"/>
  <c r="N10" i="71"/>
  <c r="N14" i="71"/>
  <c r="H9" i="70"/>
  <c r="K12" i="69"/>
  <c r="K9" i="69"/>
  <c r="K15" i="69"/>
  <c r="K11" i="69"/>
  <c r="K18" i="69"/>
  <c r="K16" i="69"/>
  <c r="N5" i="71"/>
  <c r="K10" i="69"/>
  <c r="N15" i="71"/>
  <c r="H12" i="70"/>
  <c r="K17" i="69"/>
  <c r="N12" i="71"/>
  <c r="H5" i="70"/>
  <c r="N6" i="71"/>
  <c r="N4" i="71"/>
  <c r="H7" i="70"/>
  <c r="K14" i="69"/>
  <c r="K4" i="69"/>
  <c r="N16" i="71"/>
  <c r="N11" i="71"/>
  <c r="N18" i="71"/>
  <c r="N9" i="71"/>
  <c r="N17" i="71"/>
  <c r="K5" i="69"/>
  <c r="N7" i="71"/>
  <c r="K7" i="69"/>
  <c r="H4" i="70"/>
  <c r="H18" i="70"/>
  <c r="N8"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4" i="70"/>
  <c r="L18" i="70"/>
  <c r="L9" i="70"/>
  <c r="L8" i="70"/>
  <c r="L5" i="70"/>
  <c r="L12" i="70"/>
  <c r="L7" i="70"/>
  <c r="N12" i="70"/>
  <c r="H5" i="69"/>
  <c r="N4" i="70"/>
  <c r="H18" i="69"/>
  <c r="H15" i="69"/>
  <c r="H13" i="69"/>
  <c r="H11" i="69"/>
  <c r="H8" i="69"/>
  <c r="H10" i="69"/>
  <c r="N9" i="70"/>
  <c r="N7" i="70"/>
  <c r="H9" i="69"/>
  <c r="H12" i="69"/>
  <c r="H7" i="69"/>
  <c r="H14" i="69"/>
  <c r="N5" i="70"/>
  <c r="H16" i="69"/>
  <c r="H6" i="69"/>
  <c r="N8" i="70"/>
  <c r="N18" i="70"/>
  <c r="H17" i="69"/>
  <c r="H4" i="69"/>
  <c r="M7" i="70" l="1"/>
  <c r="O7" i="70" s="1"/>
  <c r="M9" i="70"/>
  <c r="O9" i="70" s="1"/>
  <c r="M5" i="70"/>
  <c r="O5" i="70" s="1"/>
  <c r="M8" i="70"/>
  <c r="O8" i="70" s="1"/>
  <c r="M18" i="70"/>
  <c r="O18" i="70" s="1"/>
  <c r="M4" i="70"/>
  <c r="O4" i="70" s="1"/>
  <c r="M12" i="70"/>
  <c r="O12" i="70" s="1"/>
  <c r="M2" i="71"/>
  <c r="L10" i="69"/>
  <c r="L16" i="69"/>
  <c r="L12" i="69"/>
  <c r="L5" i="69"/>
  <c r="L13" i="69"/>
  <c r="L11" i="69"/>
  <c r="L7" i="69"/>
  <c r="L14" i="69"/>
  <c r="L6" i="69"/>
  <c r="L9" i="69"/>
  <c r="L8" i="69"/>
  <c r="L15" i="69"/>
  <c r="L18" i="69"/>
  <c r="L4" i="69"/>
  <c r="L17" i="69"/>
  <c r="N16" i="69"/>
  <c r="N11" i="69"/>
  <c r="N4" i="69"/>
  <c r="N7" i="69"/>
  <c r="N15" i="69"/>
  <c r="N13" i="69"/>
  <c r="N14" i="69"/>
  <c r="N18" i="69"/>
  <c r="N5" i="69"/>
  <c r="N12" i="69"/>
  <c r="N17" i="69"/>
  <c r="N6" i="69"/>
  <c r="N10" i="69"/>
  <c r="N8" i="69"/>
  <c r="N9"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J4" i="21"/>
  <c r="M4" i="22"/>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1" i="23"/>
  <c r="U12" i="23"/>
  <c r="U16" i="23"/>
  <c r="U17" i="23"/>
  <c r="U13" i="23"/>
  <c r="U14"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5" i="24"/>
  <c r="U37" i="24"/>
  <c r="U33" i="24"/>
  <c r="U19" i="24"/>
  <c r="U40" i="24"/>
  <c r="U35" i="24"/>
  <c r="U20" i="24"/>
  <c r="U26" i="24"/>
  <c r="U47" i="24"/>
  <c r="U23" i="24"/>
  <c r="U22" i="24"/>
  <c r="U31" i="24"/>
  <c r="U12" i="24"/>
  <c r="U28" i="24"/>
  <c r="U29" i="24"/>
  <c r="U44" i="24"/>
  <c r="U18" i="24"/>
  <c r="U43" i="24"/>
  <c r="U36" i="24"/>
  <c r="U14" i="24"/>
  <c r="U13" i="24"/>
  <c r="U45" i="24"/>
  <c r="U48" i="24"/>
  <c r="U21" i="24"/>
  <c r="U34" i="24"/>
  <c r="U46" i="24"/>
  <c r="U38" i="24"/>
  <c r="U25" i="24"/>
  <c r="U42" i="24"/>
  <c r="U32" i="24"/>
  <c r="U17" i="24"/>
  <c r="U39" i="24"/>
  <c r="U41" i="24"/>
  <c r="U27" i="24"/>
  <c r="U24" i="24"/>
  <c r="U30" i="24"/>
  <c r="U16"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6" i="25"/>
  <c r="U9" i="25"/>
  <c r="U8"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5" i="30"/>
  <c r="Z9" i="30"/>
  <c r="Z10" i="30"/>
  <c r="Z7" i="30"/>
  <c r="Z8"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R39" i="31" s="1"/>
  <c r="Q39" i="31"/>
  <c r="X39" i="31"/>
  <c r="AJ39" i="31" l="1"/>
  <c r="P40" i="31"/>
  <c r="Q40" i="31"/>
  <c r="X40" i="31"/>
  <c r="R40" i="31" l="1"/>
  <c r="AJ40" i="31"/>
  <c r="P41" i="31"/>
  <c r="R41" i="31" s="1"/>
  <c r="Q41" i="31"/>
  <c r="P42" i="31"/>
  <c r="Q42" i="31"/>
  <c r="X41" i="31"/>
  <c r="X42" i="31"/>
  <c r="R42" i="31" l="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0" i="28"/>
  <c r="Y52" i="28"/>
  <c r="Y53" i="28"/>
  <c r="Y51" i="28"/>
  <c r="Y55"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8" i="49"/>
  <c r="J16" i="50"/>
  <c r="J14" i="48"/>
  <c r="J29" i="49"/>
  <c r="J22" i="49"/>
  <c r="J37" i="50"/>
  <c r="J21" i="49"/>
  <c r="J25" i="49"/>
  <c r="J11" i="50"/>
  <c r="J27" i="50"/>
  <c r="J39" i="50"/>
  <c r="J38" i="48"/>
  <c r="J35" i="48"/>
  <c r="J3" i="48"/>
  <c r="J10" i="49"/>
  <c r="J37" i="48"/>
  <c r="J32" i="49"/>
  <c r="J10" i="50"/>
  <c r="J5" i="50"/>
  <c r="J35" i="49"/>
  <c r="J10" i="48"/>
  <c r="J15" i="50"/>
  <c r="J28" i="50"/>
  <c r="J17" i="49"/>
  <c r="J24" i="48"/>
  <c r="J33" i="49"/>
  <c r="J15" i="49"/>
  <c r="J6" i="48"/>
  <c r="J18" i="48"/>
  <c r="J7" i="50"/>
  <c r="J38" i="49"/>
  <c r="J4" i="49"/>
  <c r="J31" i="50"/>
  <c r="J22" i="50"/>
  <c r="J11" i="49"/>
  <c r="J28" i="48"/>
  <c r="J3" i="50"/>
  <c r="J5" i="49"/>
  <c r="J25" i="50"/>
  <c r="J34" i="49"/>
  <c r="J5" i="48"/>
  <c r="J29" i="48"/>
  <c r="J32" i="50"/>
  <c r="J13" i="50"/>
  <c r="J13" i="49"/>
  <c r="J25" i="48"/>
  <c r="J4" i="50"/>
  <c r="J23" i="48"/>
  <c r="J27" i="48"/>
  <c r="J17" i="48"/>
  <c r="J32" i="48"/>
  <c r="J26" i="50"/>
  <c r="J33" i="48"/>
  <c r="J26" i="48"/>
  <c r="J19" i="50"/>
  <c r="J24" i="49"/>
  <c r="J20" i="50"/>
  <c r="J18" i="49"/>
  <c r="J3" i="49"/>
  <c r="J6" i="49"/>
  <c r="J19" i="48"/>
  <c r="J33" i="50"/>
  <c r="J36" i="48"/>
  <c r="J12" i="48"/>
  <c r="J18" i="50"/>
  <c r="J12" i="49"/>
  <c r="J13" i="48"/>
  <c r="J16" i="49"/>
  <c r="J17" i="50"/>
  <c r="J7" i="49"/>
  <c r="J30" i="50"/>
  <c r="J31" i="48"/>
  <c r="K31" i="48" s="1"/>
  <c r="J26" i="49"/>
  <c r="J8" i="50"/>
  <c r="J14" i="50"/>
  <c r="J14" i="49"/>
  <c r="J34" i="50"/>
  <c r="J37" i="49"/>
  <c r="J20" i="49"/>
  <c r="J30" i="48"/>
  <c r="J9" i="50"/>
  <c r="J36" i="50"/>
  <c r="J8" i="48"/>
  <c r="J38" i="50"/>
  <c r="J27" i="49"/>
  <c r="J9" i="49"/>
  <c r="J12" i="50"/>
  <c r="J24" i="50"/>
  <c r="J16" i="48"/>
  <c r="J21" i="50"/>
  <c r="J21" i="48"/>
  <c r="J39" i="48"/>
  <c r="J28" i="49"/>
  <c r="J4" i="48"/>
  <c r="J34" i="48"/>
  <c r="J11" i="48"/>
  <c r="J29" i="50"/>
  <c r="J22" i="48"/>
  <c r="J30" i="49"/>
  <c r="J23" i="50"/>
  <c r="J15" i="48"/>
  <c r="J19" i="49"/>
  <c r="J6" i="50"/>
  <c r="J39" i="49"/>
  <c r="J23" i="49"/>
  <c r="J20" i="48"/>
  <c r="J35" i="50"/>
  <c r="J36" i="49"/>
  <c r="J9" i="48"/>
  <c r="J31" i="49"/>
  <c r="J2" i="50"/>
  <c r="J2" i="49"/>
  <c r="J2" i="48"/>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2" i="41"/>
  <c r="L13" i="41"/>
  <c r="L4" i="41"/>
  <c r="L5" i="42"/>
  <c r="L23" i="41"/>
  <c r="L26" i="41"/>
  <c r="L10" i="41"/>
  <c r="L14" i="42"/>
  <c r="L24" i="41"/>
  <c r="L19" i="41"/>
  <c r="L34" i="42"/>
  <c r="L12" i="42"/>
  <c r="L15" i="42"/>
  <c r="L27" i="42"/>
  <c r="L28" i="42"/>
  <c r="L21" i="41"/>
  <c r="L11" i="42"/>
  <c r="L7" i="41"/>
  <c r="L9" i="42"/>
  <c r="L29" i="42"/>
  <c r="L26" i="42"/>
  <c r="L33" i="41"/>
  <c r="L33" i="42"/>
  <c r="L29" i="41"/>
  <c r="L11" i="41"/>
  <c r="L25" i="42"/>
  <c r="L12" i="41"/>
  <c r="L20" i="42"/>
  <c r="L32" i="42"/>
  <c r="L24" i="42"/>
  <c r="L32" i="41"/>
  <c r="L3" i="40"/>
  <c r="L31" i="41"/>
  <c r="L18" i="42"/>
  <c r="L16" i="42"/>
  <c r="L34" i="41"/>
  <c r="L7" i="42"/>
  <c r="L22" i="42"/>
  <c r="L23" i="42"/>
  <c r="L28" i="41"/>
  <c r="L6" i="42"/>
  <c r="L16" i="41"/>
  <c r="L3" i="43"/>
  <c r="L15" i="41"/>
  <c r="L27" i="41"/>
  <c r="L20" i="41"/>
  <c r="L18" i="41"/>
  <c r="L19" i="42"/>
  <c r="L8" i="42"/>
  <c r="L21" i="42"/>
  <c r="L4" i="42"/>
  <c r="L25" i="41"/>
  <c r="L6" i="41"/>
  <c r="L30" i="42"/>
  <c r="L35" i="42"/>
  <c r="L8" i="41"/>
  <c r="L35" i="41"/>
  <c r="L17" i="41"/>
  <c r="L14" i="41"/>
  <c r="L3" i="41"/>
  <c r="L30" i="41"/>
  <c r="L36" i="42"/>
  <c r="L9" i="41"/>
  <c r="L5" i="41"/>
  <c r="L17" i="42"/>
  <c r="L31" i="42"/>
  <c r="L13" i="42"/>
  <c r="L36" i="41"/>
  <c r="L3" i="42"/>
  <c r="L10" i="42"/>
  <c r="K18" i="48"/>
  <c r="K33" i="50"/>
  <c r="K34" i="49"/>
  <c r="K9" i="50"/>
  <c r="K23" i="48"/>
  <c r="K14" i="49"/>
  <c r="K9" i="48"/>
  <c r="K32" i="49"/>
  <c r="K11" i="50"/>
  <c r="K24" i="50"/>
  <c r="K27" i="50"/>
  <c r="K15" i="48"/>
  <c r="K30" i="50"/>
  <c r="K23" i="49"/>
  <c r="K38" i="50"/>
  <c r="K26" i="49"/>
  <c r="K38" i="49"/>
  <c r="K35" i="50"/>
  <c r="K9" i="49"/>
  <c r="K8" i="50"/>
  <c r="K19" i="49"/>
  <c r="K37" i="50"/>
  <c r="K24" i="49"/>
  <c r="K7" i="48"/>
  <c r="K28" i="49"/>
  <c r="K15" i="50"/>
  <c r="K30" i="49"/>
  <c r="K21" i="48"/>
  <c r="K20" i="48"/>
  <c r="K19" i="50"/>
  <c r="K37" i="48"/>
  <c r="K7" i="50"/>
  <c r="K4" i="48"/>
  <c r="K36" i="49"/>
  <c r="K6" i="50"/>
  <c r="K21" i="49"/>
  <c r="K5" i="49"/>
  <c r="K34" i="48"/>
  <c r="K36" i="48"/>
  <c r="K36" i="50"/>
  <c r="K32" i="50"/>
  <c r="K3" i="50"/>
  <c r="K5" i="48"/>
  <c r="K10" i="48"/>
  <c r="K16" i="48"/>
  <c r="K26" i="50"/>
  <c r="K25" i="49"/>
  <c r="K14" i="50"/>
  <c r="K8" i="49"/>
  <c r="K23" i="50"/>
  <c r="K30" i="48"/>
  <c r="K4" i="50"/>
  <c r="K22" i="49"/>
  <c r="K34" i="50"/>
  <c r="K12" i="48"/>
  <c r="K37" i="49"/>
  <c r="K25" i="50"/>
  <c r="K35" i="49"/>
  <c r="K12" i="50"/>
  <c r="K13" i="50"/>
  <c r="K7" i="49"/>
  <c r="K3" i="49"/>
  <c r="K24" i="48"/>
  <c r="K31" i="49"/>
  <c r="K13" i="48"/>
  <c r="K33" i="49"/>
  <c r="K39" i="50"/>
  <c r="K39" i="49"/>
  <c r="K29" i="48"/>
  <c r="K11" i="49"/>
  <c r="K35" i="48"/>
  <c r="K6" i="49"/>
  <c r="K17" i="49"/>
  <c r="K31" i="50"/>
  <c r="K17" i="48"/>
  <c r="K13" i="49"/>
  <c r="K12" i="49"/>
  <c r="K39" i="48"/>
  <c r="K22" i="50"/>
  <c r="K3" i="48"/>
  <c r="K22" i="48"/>
  <c r="K20" i="50"/>
  <c r="K18" i="50"/>
  <c r="K5" i="50"/>
  <c r="K10" i="50"/>
  <c r="K33" i="48"/>
  <c r="K11" i="48"/>
  <c r="K28" i="50"/>
  <c r="K32" i="48"/>
  <c r="K14" i="48"/>
  <c r="K6" i="48"/>
  <c r="K21" i="50"/>
  <c r="K29" i="49"/>
  <c r="K16" i="50"/>
  <c r="K26" i="48"/>
  <c r="K20" i="49"/>
  <c r="K19" i="48"/>
  <c r="K25" i="48"/>
  <c r="K10" i="49"/>
  <c r="K16" i="49"/>
  <c r="K28" i="48"/>
  <c r="K4" i="49"/>
  <c r="K15" i="49"/>
  <c r="K27" i="48"/>
  <c r="K8" i="48"/>
  <c r="K38" i="48"/>
  <c r="K27" i="49"/>
  <c r="K17" i="50"/>
  <c r="K29" i="50"/>
  <c r="K18" i="49"/>
  <c r="K2" i="49"/>
  <c r="K2" i="50"/>
  <c r="K2" i="48"/>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0" i="40"/>
  <c r="K20" i="43"/>
  <c r="K13" i="40"/>
  <c r="K4" i="40"/>
  <c r="K17" i="40"/>
  <c r="K18" i="43"/>
  <c r="K23" i="43"/>
  <c r="K19" i="43"/>
  <c r="K15" i="43"/>
  <c r="K23" i="40"/>
  <c r="K20" i="40"/>
  <c r="K9" i="43"/>
  <c r="K24" i="40"/>
  <c r="K35" i="40"/>
  <c r="K14" i="43"/>
  <c r="K28" i="40"/>
  <c r="K21" i="40"/>
  <c r="K6" i="43"/>
  <c r="K29" i="43"/>
  <c r="K21" i="43"/>
  <c r="K7" i="43"/>
  <c r="K6" i="40"/>
  <c r="K9" i="40"/>
  <c r="K24" i="43"/>
  <c r="K27" i="40"/>
  <c r="K5" i="43"/>
  <c r="K28" i="43"/>
  <c r="K34" i="43"/>
  <c r="K12" i="40"/>
  <c r="K25" i="40"/>
  <c r="K4" i="43"/>
  <c r="K26" i="43"/>
  <c r="K17" i="43"/>
  <c r="K33" i="40"/>
  <c r="K27" i="43"/>
  <c r="K12" i="43"/>
  <c r="K10" i="43"/>
  <c r="K32" i="40"/>
  <c r="K16" i="43"/>
  <c r="K19" i="40"/>
  <c r="K5" i="40"/>
  <c r="K30" i="40"/>
  <c r="K31" i="40"/>
  <c r="K25" i="43"/>
  <c r="K26" i="40"/>
  <c r="K34" i="40"/>
  <c r="K11" i="43"/>
  <c r="K29" i="40"/>
  <c r="K22" i="43"/>
  <c r="K31" i="43"/>
  <c r="K13" i="43"/>
  <c r="K18" i="40"/>
  <c r="K8" i="40"/>
  <c r="K8" i="43"/>
  <c r="K16" i="40"/>
  <c r="K36" i="40"/>
  <c r="K30" i="43"/>
  <c r="K22" i="40"/>
  <c r="K32" i="43"/>
  <c r="K15" i="40"/>
  <c r="K11" i="40"/>
  <c r="K14" i="40"/>
  <c r="K7" i="40"/>
  <c r="K36" i="43"/>
  <c r="K35" i="43"/>
  <c r="K33" i="43"/>
  <c r="K2" i="41"/>
  <c r="K2" i="40"/>
  <c r="J2" i="42" l="1"/>
  <c r="J2" i="43"/>
  <c r="C1" i="38"/>
  <c r="L14" i="43"/>
  <c r="L26" i="40"/>
  <c r="L21" i="40"/>
  <c r="L29" i="43"/>
  <c r="L4" i="40"/>
  <c r="L24" i="40"/>
  <c r="L20" i="43"/>
  <c r="L5" i="40"/>
  <c r="L26" i="43"/>
  <c r="L23" i="43"/>
  <c r="L4" i="43"/>
  <c r="L21" i="43"/>
  <c r="L6" i="43"/>
  <c r="L24" i="43"/>
  <c r="L11" i="40"/>
  <c r="L32" i="43"/>
  <c r="L16" i="43"/>
  <c r="L29" i="40"/>
  <c r="L9" i="43"/>
  <c r="L16" i="40"/>
  <c r="L30" i="43"/>
  <c r="L13" i="43"/>
  <c r="L8" i="40"/>
  <c r="L31" i="40"/>
  <c r="L35" i="43"/>
  <c r="L34" i="43"/>
  <c r="L31" i="43"/>
  <c r="L23" i="40"/>
  <c r="L34" i="40"/>
  <c r="L19" i="43"/>
  <c r="L27" i="40"/>
  <c r="L33" i="43"/>
  <c r="L14" i="40"/>
  <c r="L30" i="40"/>
  <c r="L25" i="40"/>
  <c r="L7" i="40"/>
  <c r="L27" i="43"/>
  <c r="L18" i="43"/>
  <c r="L36" i="40"/>
  <c r="L6" i="40"/>
  <c r="L22" i="43"/>
  <c r="L28" i="40"/>
  <c r="L10" i="40"/>
  <c r="L18" i="40"/>
  <c r="L13" i="40"/>
  <c r="L36" i="43"/>
  <c r="L25" i="43"/>
  <c r="L17" i="43"/>
  <c r="L32" i="40"/>
  <c r="L8" i="43"/>
  <c r="L11" i="43"/>
  <c r="L9" i="40"/>
  <c r="L22" i="40"/>
  <c r="L19" i="40"/>
  <c r="L5" i="43"/>
  <c r="L35" i="40"/>
  <c r="L7" i="43"/>
  <c r="L15" i="43"/>
  <c r="L20" i="40"/>
  <c r="L10" i="43"/>
  <c r="L33" i="40"/>
  <c r="L28" i="43"/>
  <c r="L12" i="40"/>
  <c r="L12" i="43"/>
  <c r="L17" i="40"/>
  <c r="L15" i="40"/>
  <c r="L2" i="40"/>
  <c r="K2" i="42"/>
  <c r="K2" i="43"/>
  <c r="L2" i="41"/>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 i="38"/>
  <c r="D13" i="38"/>
  <c r="D37" i="38"/>
  <c r="D47" i="38"/>
  <c r="D31" i="38"/>
  <c r="D51" i="38"/>
  <c r="D28" i="38"/>
  <c r="D35" i="38"/>
  <c r="D22" i="38"/>
  <c r="D64" i="38"/>
  <c r="D16" i="38"/>
  <c r="D57" i="38"/>
  <c r="D38" i="38"/>
  <c r="D21" i="38"/>
  <c r="D59" i="38"/>
  <c r="D56" i="38"/>
  <c r="D52" i="38"/>
  <c r="D9" i="38"/>
  <c r="D3" i="38"/>
  <c r="D40" i="38"/>
  <c r="D30" i="38"/>
  <c r="D12" i="38"/>
  <c r="D17" i="38"/>
  <c r="D32" i="38"/>
  <c r="D42" i="38"/>
  <c r="D55" i="38"/>
  <c r="D23" i="38"/>
  <c r="D14" i="38"/>
  <c r="D61" i="38"/>
  <c r="D5" i="38"/>
  <c r="D54" i="38"/>
  <c r="D24" i="38"/>
  <c r="D50" i="38"/>
  <c r="D26" i="38"/>
  <c r="D48" i="38"/>
  <c r="D36" i="38"/>
  <c r="D6" i="38"/>
  <c r="D44" i="38"/>
  <c r="D58" i="38"/>
  <c r="D63" i="38"/>
  <c r="D19" i="38"/>
  <c r="D11" i="38"/>
  <c r="D46" i="38"/>
  <c r="D33" i="38"/>
  <c r="D53" i="38"/>
  <c r="D8" i="38"/>
  <c r="D39" i="38"/>
  <c r="D15" i="38"/>
  <c r="D18" i="38"/>
  <c r="D41" i="38"/>
  <c r="D45" i="38"/>
  <c r="D10" i="38"/>
  <c r="D43" i="38"/>
  <c r="D7" i="38"/>
  <c r="D49" i="38"/>
  <c r="D20" i="38"/>
  <c r="D34" i="38"/>
  <c r="D25" i="38"/>
  <c r="D62" i="38"/>
  <c r="D29" i="38"/>
  <c r="D60" i="38"/>
  <c r="L2" i="42"/>
  <c r="L2" i="43"/>
  <c r="C2" i="37" l="1"/>
  <c r="C3" i="37"/>
  <c r="C4" i="37"/>
  <c r="C5" i="37"/>
  <c r="C6" i="37"/>
  <c r="C7" i="37"/>
  <c r="C8" i="37"/>
  <c r="C9" i="37"/>
  <c r="C10" i="37"/>
  <c r="C11" i="37"/>
  <c r="C12" i="37"/>
  <c r="C13" i="37"/>
  <c r="C14" i="37"/>
  <c r="C15" i="37"/>
  <c r="C16" i="37"/>
  <c r="C1" i="36"/>
  <c r="E9" i="38"/>
  <c r="E38" i="38"/>
  <c r="D8" i="37"/>
  <c r="E17" i="38"/>
  <c r="D10" i="37"/>
  <c r="E13" i="38"/>
  <c r="E24" i="38"/>
  <c r="E42" i="38"/>
  <c r="E3" i="38"/>
  <c r="D3" i="37"/>
  <c r="E15" i="38"/>
  <c r="E5" i="38"/>
  <c r="E62" i="38"/>
  <c r="D14" i="37"/>
  <c r="E41" i="38"/>
  <c r="E48" i="38"/>
  <c r="E46" i="38"/>
  <c r="E64" i="38"/>
  <c r="E31" i="38"/>
  <c r="E32" i="38"/>
  <c r="E18" i="38"/>
  <c r="E4" i="38"/>
  <c r="D4" i="37"/>
  <c r="E22" i="38"/>
  <c r="E25" i="38"/>
  <c r="E40" i="38"/>
  <c r="D15" i="37"/>
  <c r="E21" i="38"/>
  <c r="E43" i="38"/>
  <c r="D6" i="37"/>
  <c r="E37" i="38"/>
  <c r="D12" i="37"/>
  <c r="E44" i="38"/>
  <c r="E34" i="38"/>
  <c r="E23" i="38"/>
  <c r="E14" i="38"/>
  <c r="D13" i="37"/>
  <c r="E50" i="38"/>
  <c r="E11" i="38"/>
  <c r="E35" i="38"/>
  <c r="E7" i="38"/>
  <c r="E56" i="38"/>
  <c r="E54" i="38"/>
  <c r="E53" i="38"/>
  <c r="E58" i="38"/>
  <c r="D9" i="37"/>
  <c r="E12" i="38"/>
  <c r="E57" i="38"/>
  <c r="E19" i="38"/>
  <c r="E30" i="38"/>
  <c r="E29" i="38"/>
  <c r="E63" i="38"/>
  <c r="E26" i="38"/>
  <c r="E52" i="38"/>
  <c r="E49" i="38"/>
  <c r="E6" i="38"/>
  <c r="E59" i="38"/>
  <c r="E28" i="38"/>
  <c r="D7" i="37"/>
  <c r="E51" i="38"/>
  <c r="E60" i="38"/>
  <c r="E33" i="38"/>
  <c r="E55" i="38"/>
  <c r="E16" i="38"/>
  <c r="E45" i="38"/>
  <c r="E61" i="38"/>
  <c r="E10" i="38"/>
  <c r="D11" i="37"/>
  <c r="E20" i="38"/>
  <c r="E39" i="38"/>
  <c r="E8" i="38"/>
  <c r="E47" i="38"/>
  <c r="D16" i="37"/>
  <c r="E27" i="38"/>
  <c r="E36" i="38"/>
  <c r="D5" i="37"/>
  <c r="C2" i="36" l="1"/>
  <c r="C3" i="36"/>
  <c r="C4" i="36"/>
  <c r="C5" i="36"/>
  <c r="C6" i="36"/>
  <c r="C7" i="36"/>
  <c r="C8" i="36"/>
  <c r="C9" i="36"/>
  <c r="C10" i="36"/>
  <c r="C11" i="36"/>
  <c r="C12" i="36"/>
  <c r="C13" i="36"/>
  <c r="C1" i="35"/>
  <c r="E6" i="37"/>
  <c r="E4" i="37"/>
  <c r="E5" i="37"/>
  <c r="E13" i="37"/>
  <c r="D5" i="36"/>
  <c r="D13" i="36"/>
  <c r="D3" i="36"/>
  <c r="E8" i="37"/>
  <c r="D7" i="36"/>
  <c r="E15" i="37"/>
  <c r="E3" i="37"/>
  <c r="E16" i="37"/>
  <c r="E11" i="37"/>
  <c r="D11" i="36"/>
  <c r="E12" i="37"/>
  <c r="E14" i="37"/>
  <c r="D12" i="36"/>
  <c r="D10" i="36"/>
  <c r="D6" i="36"/>
  <c r="E10" i="37"/>
  <c r="D8" i="36"/>
  <c r="D4" i="36"/>
  <c r="E7" i="37"/>
  <c r="E9" i="37"/>
  <c r="D9" i="36"/>
  <c r="C2" i="35" l="1"/>
  <c r="C3" i="35"/>
  <c r="C4" i="35"/>
  <c r="C5" i="35"/>
  <c r="C6" i="35"/>
  <c r="C7" i="35"/>
  <c r="C8" i="35"/>
  <c r="C9" i="35"/>
  <c r="C10" i="35"/>
  <c r="C11" i="35"/>
  <c r="C2" i="34"/>
  <c r="C3" i="34"/>
  <c r="C4" i="34"/>
  <c r="E3" i="36"/>
  <c r="E8" i="36"/>
  <c r="E6" i="36"/>
  <c r="O7" i="36"/>
  <c r="O11" i="36"/>
  <c r="E13" i="36"/>
  <c r="E9" i="36"/>
  <c r="O9" i="36"/>
  <c r="D3" i="34"/>
  <c r="D11" i="35"/>
  <c r="D10" i="35"/>
  <c r="E4" i="36"/>
  <c r="E7" i="36"/>
  <c r="O5" i="36"/>
  <c r="D6" i="35"/>
  <c r="O8" i="36"/>
  <c r="D4" i="34"/>
  <c r="D8" i="35"/>
  <c r="E11" i="36"/>
  <c r="O10" i="36"/>
  <c r="E10" i="36"/>
  <c r="E12" i="36"/>
  <c r="D3" i="35"/>
  <c r="E5" i="36"/>
  <c r="D9" i="35"/>
  <c r="D4" i="35"/>
  <c r="D7" i="35"/>
  <c r="O6" i="36"/>
  <c r="D5" i="35"/>
  <c r="D2" i="36"/>
  <c r="D2" i="34"/>
  <c r="D2" i="37"/>
  <c r="D2" i="35"/>
  <c r="D2" i="38"/>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7" i="28"/>
  <c r="O9" i="35"/>
  <c r="F33" i="28"/>
  <c r="E8" i="35"/>
  <c r="F32" i="28"/>
  <c r="F11" i="30"/>
  <c r="E4" i="35"/>
  <c r="O8" i="35"/>
  <c r="F20" i="28"/>
  <c r="F6" i="28"/>
  <c r="E4" i="34"/>
  <c r="F18" i="28"/>
  <c r="F21" i="28"/>
  <c r="F24" i="28"/>
  <c r="F10" i="29"/>
  <c r="F36" i="28"/>
  <c r="F30" i="28"/>
  <c r="F27" i="28"/>
  <c r="F37" i="28"/>
  <c r="F7" i="29"/>
  <c r="F13" i="28"/>
  <c r="F5" i="29"/>
  <c r="F40" i="28"/>
  <c r="F6" i="29"/>
  <c r="F9" i="29"/>
  <c r="F5" i="28"/>
  <c r="F9" i="30"/>
  <c r="F15" i="29"/>
  <c r="F12" i="28"/>
  <c r="O5" i="35"/>
  <c r="E5" i="35"/>
  <c r="E11" i="35"/>
  <c r="F34" i="28"/>
  <c r="F7" i="28"/>
  <c r="E3" i="34"/>
  <c r="F8" i="29"/>
  <c r="F38" i="28"/>
  <c r="F14" i="28"/>
  <c r="F6" i="30"/>
  <c r="F7" i="30"/>
  <c r="F22" i="28"/>
  <c r="F25" i="28"/>
  <c r="F8" i="30"/>
  <c r="E6" i="35"/>
  <c r="F10" i="28"/>
  <c r="E10" i="35"/>
  <c r="F5" i="30"/>
  <c r="O7" i="35"/>
  <c r="D42" i="28"/>
  <c r="F31" i="28"/>
  <c r="F16" i="28"/>
  <c r="E7" i="35"/>
  <c r="F35" i="28"/>
  <c r="F23" i="28"/>
  <c r="F10" i="30"/>
  <c r="F15" i="28"/>
  <c r="F11" i="29"/>
  <c r="F29" i="28"/>
  <c r="F11" i="28"/>
  <c r="F26" i="28"/>
  <c r="F39" i="28"/>
  <c r="E9" i="35"/>
  <c r="F13" i="29"/>
  <c r="F19" i="28"/>
  <c r="F28" i="28"/>
  <c r="F14" i="29"/>
  <c r="F8" i="28"/>
  <c r="E3" i="35"/>
  <c r="F12" i="29"/>
  <c r="F9" i="28"/>
  <c r="O6" i="35"/>
  <c r="E2" i="37"/>
  <c r="E2" i="34"/>
  <c r="E2" i="36"/>
  <c r="E2" i="35"/>
  <c r="E2" i="3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2" i="28"/>
  <c r="Y22" i="28"/>
  <c r="G19" i="28"/>
  <c r="F30" i="31"/>
  <c r="G34" i="28"/>
  <c r="F11" i="32"/>
  <c r="G8" i="29"/>
  <c r="Y30" i="28"/>
  <c r="G6" i="28"/>
  <c r="Y12" i="28"/>
  <c r="G38" i="28"/>
  <c r="G7" i="28"/>
  <c r="G36" i="28"/>
  <c r="Y12" i="29"/>
  <c r="Y15" i="29"/>
  <c r="Y7" i="28"/>
  <c r="F27" i="32"/>
  <c r="G10" i="28"/>
  <c r="Y5" i="29"/>
  <c r="Y33" i="28"/>
  <c r="G15" i="29"/>
  <c r="F24" i="31"/>
  <c r="G27" i="28"/>
  <c r="G10" i="29"/>
  <c r="G26" i="28"/>
  <c r="G9" i="30"/>
  <c r="Y37" i="28"/>
  <c r="Y10" i="29"/>
  <c r="Y8" i="29"/>
  <c r="Y11" i="29"/>
  <c r="Y13" i="29"/>
  <c r="G7" i="30"/>
  <c r="G5" i="29"/>
  <c r="G40" i="28"/>
  <c r="G30" i="28"/>
  <c r="F35" i="31"/>
  <c r="G5" i="30"/>
  <c r="Y14" i="29"/>
  <c r="G13" i="29"/>
  <c r="G17" i="28"/>
  <c r="F38" i="31"/>
  <c r="Y29" i="28"/>
  <c r="G11" i="30"/>
  <c r="Y5" i="28"/>
  <c r="Y6" i="28"/>
  <c r="Y32" i="28"/>
  <c r="G8" i="28"/>
  <c r="Y9" i="29"/>
  <c r="G25" i="28"/>
  <c r="Y38" i="28"/>
  <c r="Y34" i="28"/>
  <c r="G21" i="28"/>
  <c r="Y11" i="28"/>
  <c r="G33" i="28"/>
  <c r="G23" i="28"/>
  <c r="Y15" i="28"/>
  <c r="F30" i="32"/>
  <c r="G11" i="28"/>
  <c r="Y13" i="28"/>
  <c r="Y19" i="28"/>
  <c r="Y36" i="28"/>
  <c r="G18" i="28"/>
  <c r="Y14" i="28"/>
  <c r="F42" i="28"/>
  <c r="Y39" i="28"/>
  <c r="G35" i="28"/>
  <c r="Y9" i="28"/>
  <c r="Y28" i="28"/>
  <c r="Y6" i="29"/>
  <c r="G24" i="28"/>
  <c r="Y17" i="28"/>
  <c r="Y24" i="28"/>
  <c r="Y8" i="28"/>
  <c r="G9" i="29"/>
  <c r="Y40" i="28"/>
  <c r="G39" i="28"/>
  <c r="Y31" i="28"/>
  <c r="G10" i="30"/>
  <c r="G13" i="28"/>
  <c r="G14" i="28"/>
  <c r="D43" i="28"/>
  <c r="F32" i="31"/>
  <c r="G8" i="30"/>
  <c r="G6" i="29"/>
  <c r="Y18" i="28"/>
  <c r="G9" i="28"/>
  <c r="G15" i="28"/>
  <c r="G12" i="29"/>
  <c r="G11" i="29"/>
  <c r="G16" i="28"/>
  <c r="F38" i="32"/>
  <c r="G14" i="29"/>
  <c r="F19" i="32"/>
  <c r="F19" i="31"/>
  <c r="G29" i="28"/>
  <c r="Y16" i="28"/>
  <c r="F35" i="32"/>
  <c r="G20" i="28"/>
  <c r="G22" i="28"/>
  <c r="G32" i="28"/>
  <c r="Y10" i="28"/>
  <c r="Y23" i="28"/>
  <c r="G5" i="28"/>
  <c r="G28" i="28"/>
  <c r="F22" i="32"/>
  <c r="F16" i="31"/>
  <c r="Y25" i="28"/>
  <c r="Y35" i="28"/>
  <c r="G31" i="28"/>
  <c r="Y7" i="29"/>
  <c r="G7" i="29"/>
  <c r="Y20" i="28"/>
  <c r="G6" i="30"/>
  <c r="Y26" i="28"/>
  <c r="Y27" i="28"/>
  <c r="Y21" i="28"/>
  <c r="G37" i="28"/>
  <c r="F27" i="31"/>
  <c r="F22" i="31"/>
  <c r="F24" i="47" l="1"/>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39" i="32"/>
  <c r="G19" i="31"/>
  <c r="F6" i="32"/>
  <c r="G35" i="31"/>
  <c r="G19" i="32"/>
  <c r="F11" i="31"/>
  <c r="F29" i="31"/>
  <c r="AC32" i="31"/>
  <c r="F33" i="32"/>
  <c r="G11" i="32"/>
  <c r="G16" i="31"/>
  <c r="F39" i="31"/>
  <c r="G38" i="32"/>
  <c r="AC16" i="31"/>
  <c r="AC30" i="31"/>
  <c r="F12" i="31"/>
  <c r="F15" i="31"/>
  <c r="G38" i="31"/>
  <c r="F7" i="32"/>
  <c r="F41" i="32"/>
  <c r="D44" i="28"/>
  <c r="F41" i="31"/>
  <c r="F34" i="32"/>
  <c r="G27" i="31"/>
  <c r="AC35" i="31"/>
  <c r="F10" i="31"/>
  <c r="F34" i="31"/>
  <c r="F26" i="32"/>
  <c r="AC38" i="31"/>
  <c r="F32" i="32"/>
  <c r="F9" i="31"/>
  <c r="F37" i="31"/>
  <c r="F6" i="31"/>
  <c r="F23" i="31"/>
  <c r="G24" i="31"/>
  <c r="AC27" i="31"/>
  <c r="F43" i="28"/>
  <c r="F21" i="32"/>
  <c r="AC22" i="31"/>
  <c r="F13" i="31"/>
  <c r="G22" i="31"/>
  <c r="F42" i="32"/>
  <c r="F25" i="31"/>
  <c r="AC24" i="31"/>
  <c r="G35" i="32"/>
  <c r="F25" i="32"/>
  <c r="F14" i="31"/>
  <c r="G27" i="32"/>
  <c r="F20" i="32"/>
  <c r="F9" i="32"/>
  <c r="F28" i="32"/>
  <c r="AC22" i="32"/>
  <c r="F40" i="31"/>
  <c r="AC11" i="32"/>
  <c r="F17" i="31"/>
  <c r="AC35" i="32"/>
  <c r="F31" i="32"/>
  <c r="F16" i="32"/>
  <c r="F36" i="31"/>
  <c r="AC30" i="32"/>
  <c r="F13" i="32"/>
  <c r="F18" i="32"/>
  <c r="F24" i="32"/>
  <c r="AC27" i="32"/>
  <c r="G22" i="32"/>
  <c r="F12" i="32"/>
  <c r="AC38" i="32"/>
  <c r="F26" i="31"/>
  <c r="F10" i="32"/>
  <c r="F40" i="32"/>
  <c r="F42" i="31"/>
  <c r="G32" i="31"/>
  <c r="F8" i="31"/>
  <c r="F18" i="31"/>
  <c r="AC19" i="32"/>
  <c r="F29" i="32"/>
  <c r="F14" i="32"/>
  <c r="F21" i="31"/>
  <c r="F31" i="31"/>
  <c r="F28" i="31"/>
  <c r="G30" i="31"/>
  <c r="G30" i="32"/>
  <c r="F17" i="32"/>
  <c r="G42" i="28"/>
  <c r="AC19" i="31"/>
  <c r="F36" i="32"/>
  <c r="F7" i="31"/>
  <c r="F37" i="32"/>
  <c r="F20" i="31"/>
  <c r="F23" i="32"/>
  <c r="F15" i="32"/>
  <c r="F8" i="32"/>
  <c r="F33" i="31"/>
  <c r="F4" i="47" l="1"/>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20" i="31"/>
  <c r="AC39" i="32"/>
  <c r="G42" i="31"/>
  <c r="G25" i="31"/>
  <c r="AC6" i="31"/>
  <c r="G37" i="31"/>
  <c r="AC18" i="31"/>
  <c r="G41" i="32"/>
  <c r="AC14" i="31"/>
  <c r="AC36" i="32"/>
  <c r="G36" i="32"/>
  <c r="G31" i="31"/>
  <c r="AC40" i="31"/>
  <c r="AC42" i="32"/>
  <c r="AC18" i="32"/>
  <c r="D45" i="28"/>
  <c r="G9" i="32"/>
  <c r="G23" i="31"/>
  <c r="G17" i="31"/>
  <c r="AC41" i="32"/>
  <c r="AC16" i="32"/>
  <c r="G43" i="28"/>
  <c r="AC8" i="32"/>
  <c r="AC7" i="31"/>
  <c r="AC17" i="31"/>
  <c r="G40" i="32"/>
  <c r="AC36" i="31"/>
  <c r="G24" i="32"/>
  <c r="AC28" i="31"/>
  <c r="AC33" i="31"/>
  <c r="G8" i="31"/>
  <c r="G17" i="32"/>
  <c r="AC8" i="31"/>
  <c r="G21" i="31"/>
  <c r="AC39" i="31"/>
  <c r="G10" i="31"/>
  <c r="AC29" i="31"/>
  <c r="G33" i="32"/>
  <c r="G7" i="31"/>
  <c r="G39" i="31"/>
  <c r="AC15" i="31"/>
  <c r="G21" i="32"/>
  <c r="AC13" i="31"/>
  <c r="G42" i="32"/>
  <c r="AC15" i="32"/>
  <c r="G10" i="32"/>
  <c r="AC12" i="31"/>
  <c r="AC33" i="32"/>
  <c r="AC41" i="31"/>
  <c r="G29" i="32"/>
  <c r="G37" i="32"/>
  <c r="G18" i="31"/>
  <c r="AC29" i="32"/>
  <c r="G28" i="32"/>
  <c r="AC26" i="31"/>
  <c r="G14" i="32"/>
  <c r="AC34" i="32"/>
  <c r="AC20" i="31"/>
  <c r="G39" i="32"/>
  <c r="AC17" i="32"/>
  <c r="G32" i="32"/>
  <c r="AC10" i="31"/>
  <c r="G33" i="31"/>
  <c r="AC21" i="31"/>
  <c r="G18" i="32"/>
  <c r="AC21" i="32"/>
  <c r="G31" i="32"/>
  <c r="AC34" i="31"/>
  <c r="AC24" i="32"/>
  <c r="AC11" i="31"/>
  <c r="AC12" i="32"/>
  <c r="AC31" i="31"/>
  <c r="G7" i="32"/>
  <c r="AC9" i="32"/>
  <c r="G34" i="31"/>
  <c r="AC26" i="32"/>
  <c r="AC31" i="32"/>
  <c r="AC7" i="32"/>
  <c r="AC37" i="31"/>
  <c r="AC6" i="32"/>
  <c r="AC9" i="31"/>
  <c r="G34" i="32"/>
  <c r="G15" i="32"/>
  <c r="AC14" i="32"/>
  <c r="G29" i="31"/>
  <c r="G6" i="32"/>
  <c r="G41" i="31"/>
  <c r="F44" i="28"/>
  <c r="G28" i="31"/>
  <c r="G15" i="31"/>
  <c r="G9" i="31"/>
  <c r="G23" i="32"/>
  <c r="G6" i="31"/>
  <c r="AC10" i="32"/>
  <c r="G16" i="32"/>
  <c r="G8" i="32"/>
  <c r="AC32" i="32"/>
  <c r="G25" i="32"/>
  <c r="G40" i="31"/>
  <c r="AC20" i="32"/>
  <c r="G12" i="31"/>
  <c r="G13" i="31"/>
  <c r="G20" i="32"/>
  <c r="AC25" i="32"/>
  <c r="AC23" i="32"/>
  <c r="G26" i="31"/>
  <c r="AC13" i="32"/>
  <c r="AC25" i="31"/>
  <c r="AC37" i="32"/>
  <c r="AC40" i="32"/>
  <c r="G26" i="32"/>
  <c r="AC28" i="32"/>
  <c r="G12" i="32"/>
  <c r="AC23" i="31"/>
  <c r="G36" i="31"/>
  <c r="G14" i="31"/>
  <c r="G11" i="31"/>
  <c r="G13" i="32"/>
  <c r="AC42" i="31"/>
  <c r="E45" i="28" l="1"/>
  <c r="G44" i="28"/>
  <c r="F45" i="28"/>
  <c r="D46" i="28"/>
  <c r="E46" i="28" l="1"/>
  <c r="G45" i="28"/>
  <c r="F46" i="28"/>
  <c r="D47" i="28"/>
  <c r="E47" i="28" l="1"/>
  <c r="G46" i="28"/>
  <c r="F47" i="28"/>
  <c r="D48" i="28"/>
  <c r="E48" i="28" l="1"/>
  <c r="F48" i="28"/>
  <c r="G47" i="28"/>
  <c r="D49" i="28"/>
  <c r="E49" i="28" l="1"/>
  <c r="F49" i="28"/>
  <c r="D50" i="28"/>
  <c r="G48" i="28"/>
  <c r="E50" i="28" l="1"/>
  <c r="F50" i="28"/>
  <c r="D51" i="28"/>
  <c r="G49" i="28"/>
  <c r="E51" i="28" l="1"/>
  <c r="F51" i="28"/>
  <c r="G50" i="28"/>
  <c r="D52" i="28"/>
  <c r="D53" i="28" s="1"/>
  <c r="E52" i="28" l="1"/>
  <c r="E53" i="28"/>
  <c r="D54" i="28"/>
  <c r="F52" i="28"/>
  <c r="F53" i="28"/>
  <c r="G52" i="28"/>
  <c r="G51" i="28"/>
  <c r="E54" i="28" l="1"/>
  <c r="F54" i="28"/>
  <c r="D55" i="28"/>
  <c r="D56" i="28" s="1"/>
  <c r="D57" i="28" s="1"/>
  <c r="D58" i="28" s="1"/>
  <c r="G53" i="28"/>
  <c r="G54" i="28"/>
  <c r="E57" i="28" l="1"/>
  <c r="E56" i="28"/>
  <c r="E55" i="28"/>
  <c r="E58" i="28"/>
  <c r="D59" i="28"/>
  <c r="F58" i="28"/>
  <c r="F55" i="28"/>
  <c r="D60" i="28"/>
  <c r="F57" i="28"/>
  <c r="F56" i="28"/>
  <c r="G56" i="28"/>
  <c r="G55" i="28"/>
  <c r="G57" i="28"/>
  <c r="G58" i="28"/>
  <c r="E59" i="28" l="1"/>
  <c r="E60" i="28"/>
  <c r="F59" i="28"/>
  <c r="D61" i="28"/>
  <c r="F60" i="28"/>
  <c r="G59" i="28"/>
  <c r="G60" i="28"/>
  <c r="E61" i="28" l="1"/>
  <c r="D62" i="28"/>
  <c r="D63" i="28"/>
  <c r="F61" i="28"/>
  <c r="G61" i="28"/>
  <c r="E62" i="28" l="1"/>
  <c r="E63" i="28"/>
  <c r="F62" i="28"/>
  <c r="F63" i="28"/>
  <c r="D64" i="28"/>
  <c r="G62" i="28"/>
  <c r="G63" i="28"/>
  <c r="E64" i="28" l="1"/>
  <c r="F64" i="28"/>
  <c r="D65" i="28"/>
  <c r="D66" i="28"/>
  <c r="D67" i="28" s="1"/>
  <c r="G64" i="28"/>
  <c r="E66" i="28" l="1"/>
  <c r="E65" i="28"/>
  <c r="E67" i="28"/>
  <c r="F66" i="28"/>
  <c r="D68" i="28"/>
  <c r="F67" i="28"/>
  <c r="F65" i="28"/>
  <c r="G66" i="28"/>
  <c r="G67" i="28"/>
  <c r="G65" i="28"/>
  <c r="E68" i="28" l="1"/>
  <c r="F68" i="28"/>
  <c r="D69" i="28"/>
  <c r="F4" i="30"/>
  <c r="G68" i="28"/>
  <c r="F4" i="29"/>
  <c r="F5" i="31"/>
  <c r="F5" i="32"/>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8" i="22"/>
  <c r="E25" i="22"/>
  <c r="D7" i="21"/>
  <c r="D8" i="21"/>
  <c r="E12" i="22"/>
  <c r="E3" i="22"/>
  <c r="D70" i="28"/>
  <c r="E4" i="22"/>
  <c r="E9" i="22"/>
  <c r="E24" i="22"/>
  <c r="E21" i="22"/>
  <c r="E34" i="22"/>
  <c r="E16" i="22"/>
  <c r="C5" i="26"/>
  <c r="E7" i="22"/>
  <c r="D10" i="21"/>
  <c r="D17" i="21"/>
  <c r="E11" i="22"/>
  <c r="E13" i="22"/>
  <c r="D6" i="23" a="1"/>
  <c r="D15" i="21"/>
  <c r="D20" i="21"/>
  <c r="E15" i="22"/>
  <c r="E6" i="22"/>
  <c r="F69" i="28"/>
  <c r="E22" i="22"/>
  <c r="D18" i="21"/>
  <c r="E10" i="22"/>
  <c r="C6" i="26"/>
  <c r="E33" i="22"/>
  <c r="E32" i="22"/>
  <c r="D11" i="21"/>
  <c r="D14" i="21"/>
  <c r="E17" i="22"/>
  <c r="D21" i="21"/>
  <c r="D16" i="21"/>
  <c r="D12" i="21"/>
  <c r="E23" i="22"/>
  <c r="E31" i="22"/>
  <c r="E8" i="22"/>
  <c r="D13" i="21"/>
  <c r="D6" i="25" a="1"/>
  <c r="E29" i="22"/>
  <c r="E5" i="22"/>
  <c r="E26" i="22"/>
  <c r="E27" i="22"/>
  <c r="D22" i="21"/>
  <c r="D6" i="21"/>
  <c r="E35" i="22"/>
  <c r="E30" i="22"/>
  <c r="E20" i="22"/>
  <c r="D9" i="21"/>
  <c r="E18" i="22"/>
  <c r="D19" i="21"/>
  <c r="E14" i="22"/>
  <c r="E19" i="22"/>
  <c r="D5" i="21"/>
  <c r="G4" i="30"/>
  <c r="AC5" i="32"/>
  <c r="G4" i="29"/>
  <c r="G69" i="28"/>
  <c r="G5" i="32"/>
  <c r="G5" i="31"/>
  <c r="AC5" i="31"/>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W15" i="22"/>
  <c r="W26" i="22"/>
  <c r="F23" i="25"/>
  <c r="F9" i="22"/>
  <c r="F10" i="23"/>
  <c r="F93" i="23"/>
  <c r="F21" i="25"/>
  <c r="F110" i="23"/>
  <c r="F26" i="23"/>
  <c r="P11" i="21"/>
  <c r="F67" i="23"/>
  <c r="F30" i="25"/>
  <c r="F101" i="23"/>
  <c r="F15" i="23"/>
  <c r="F7" i="25"/>
  <c r="F8" i="23"/>
  <c r="F52" i="25"/>
  <c r="F74" i="23"/>
  <c r="W22" i="22"/>
  <c r="F34" i="22"/>
  <c r="W17" i="22"/>
  <c r="F90" i="25"/>
  <c r="F104" i="23"/>
  <c r="F53" i="23"/>
  <c r="F98" i="25"/>
  <c r="F123" i="23"/>
  <c r="F64" i="25"/>
  <c r="F14" i="25"/>
  <c r="F93" i="25"/>
  <c r="F46" i="25"/>
  <c r="W7" i="22"/>
  <c r="F23" i="22"/>
  <c r="F22" i="22"/>
  <c r="F87" i="23"/>
  <c r="F121" i="25"/>
  <c r="P5" i="21"/>
  <c r="F39" i="23"/>
  <c r="F41" i="25"/>
  <c r="F113" i="23"/>
  <c r="F105" i="25"/>
  <c r="F73" i="23"/>
  <c r="F25" i="25"/>
  <c r="F98" i="23"/>
  <c r="F71" i="23"/>
  <c r="F27" i="23"/>
  <c r="F37" i="23"/>
  <c r="F52" i="23"/>
  <c r="F59" i="25"/>
  <c r="F6" i="25"/>
  <c r="W9" i="22"/>
  <c r="W27" i="22"/>
  <c r="F63" i="23"/>
  <c r="F76" i="25"/>
  <c r="F97" i="25"/>
  <c r="E9" i="21"/>
  <c r="F31" i="23"/>
  <c r="E10" i="21"/>
  <c r="W20" i="22"/>
  <c r="F35" i="25"/>
  <c r="F72" i="25"/>
  <c r="E11" i="21"/>
  <c r="F125" i="25"/>
  <c r="F67" i="25"/>
  <c r="F30" i="23"/>
  <c r="F120" i="25"/>
  <c r="F121" i="23"/>
  <c r="F25" i="23"/>
  <c r="F17" i="25"/>
  <c r="F62" i="23"/>
  <c r="F69" i="23"/>
  <c r="F111" i="25"/>
  <c r="F13" i="25"/>
  <c r="F99" i="23"/>
  <c r="F12" i="22"/>
  <c r="F7" i="23"/>
  <c r="F118" i="23"/>
  <c r="F110" i="25"/>
  <c r="F117" i="23"/>
  <c r="W6" i="22"/>
  <c r="F62" i="25"/>
  <c r="Q6" i="26"/>
  <c r="F107" i="23"/>
  <c r="P19" i="21"/>
  <c r="F57" i="23"/>
  <c r="W21" i="22"/>
  <c r="F84" i="25"/>
  <c r="F55" i="23"/>
  <c r="F11" i="23"/>
  <c r="F96" i="25"/>
  <c r="F90" i="23"/>
  <c r="F6" i="22"/>
  <c r="F18" i="23"/>
  <c r="F116" i="23"/>
  <c r="F29" i="22"/>
  <c r="F80" i="25"/>
  <c r="F40" i="25"/>
  <c r="F76" i="23"/>
  <c r="F40" i="23"/>
  <c r="F94" i="25"/>
  <c r="F43" i="25"/>
  <c r="F78" i="23"/>
  <c r="F33" i="23"/>
  <c r="F86" i="23"/>
  <c r="F30" i="22"/>
  <c r="F5" i="22"/>
  <c r="F46" i="23"/>
  <c r="F22" i="25"/>
  <c r="E20" i="21"/>
  <c r="F29" i="25"/>
  <c r="F107" i="25"/>
  <c r="F120" i="23"/>
  <c r="F32" i="22"/>
  <c r="F91" i="25"/>
  <c r="F95" i="23"/>
  <c r="F122" i="23"/>
  <c r="F66" i="23"/>
  <c r="F59" i="23"/>
  <c r="F66" i="25"/>
  <c r="F44" i="23"/>
  <c r="F19" i="22"/>
  <c r="F18" i="22"/>
  <c r="F83" i="23"/>
  <c r="F25" i="22"/>
  <c r="F24" i="23"/>
  <c r="F32" i="23"/>
  <c r="P21" i="21"/>
  <c r="E5" i="21"/>
  <c r="W31" i="22"/>
  <c r="E14" i="21"/>
  <c r="F108" i="25"/>
  <c r="F7" i="22"/>
  <c r="F106" i="25"/>
  <c r="F112" i="25"/>
  <c r="F101" i="25"/>
  <c r="F22" i="23"/>
  <c r="F123" i="25"/>
  <c r="W32" i="22"/>
  <c r="F99" i="25"/>
  <c r="W18" i="22"/>
  <c r="D6" i="26"/>
  <c r="D5" i="26"/>
  <c r="F23" i="23"/>
  <c r="F72" i="23"/>
  <c r="F32" i="25"/>
  <c r="F27" i="22"/>
  <c r="F64" i="23"/>
  <c r="F119" i="23"/>
  <c r="F49" i="23"/>
  <c r="F71" i="25"/>
  <c r="F124" i="23"/>
  <c r="F81" i="23"/>
  <c r="F61" i="23"/>
  <c r="W14" i="22"/>
  <c r="F9" i="25"/>
  <c r="F16" i="22"/>
  <c r="F18" i="25"/>
  <c r="F47" i="25"/>
  <c r="F31" i="25"/>
  <c r="F14" i="23"/>
  <c r="F65" i="23"/>
  <c r="F51" i="23"/>
  <c r="F106" i="23"/>
  <c r="W29" i="22"/>
  <c r="F17" i="22"/>
  <c r="F11" i="25"/>
  <c r="F91" i="23"/>
  <c r="F10" i="25"/>
  <c r="F28" i="25"/>
  <c r="F68" i="25"/>
  <c r="F65" i="25"/>
  <c r="F88" i="23"/>
  <c r="F94" i="23"/>
  <c r="F105" i="23"/>
  <c r="F92" i="23"/>
  <c r="E19" i="21"/>
  <c r="F54" i="25"/>
  <c r="F117" i="25"/>
  <c r="F56" i="23"/>
  <c r="F109" i="25"/>
  <c r="F19" i="23"/>
  <c r="E13" i="21"/>
  <c r="F47" i="23"/>
  <c r="F45" i="25"/>
  <c r="F102" i="23"/>
  <c r="F89" i="25"/>
  <c r="W5" i="22"/>
  <c r="E8" i="21"/>
  <c r="F81" i="25"/>
  <c r="F95" i="25"/>
  <c r="F102" i="25"/>
  <c r="F79" i="23"/>
  <c r="P6" i="21"/>
  <c r="F45" i="23"/>
  <c r="F118" i="25"/>
  <c r="F21" i="23"/>
  <c r="F38" i="23"/>
  <c r="F116" i="25"/>
  <c r="W16" i="22"/>
  <c r="F53" i="25"/>
  <c r="F24" i="22"/>
  <c r="E12" i="21"/>
  <c r="F60" i="23"/>
  <c r="E22" i="21"/>
  <c r="W10" i="22"/>
  <c r="P8" i="21"/>
  <c r="F16" i="23"/>
  <c r="F115" i="23"/>
  <c r="F29" i="23"/>
  <c r="F24" i="25"/>
  <c r="F115" i="25"/>
  <c r="F20" i="22"/>
  <c r="F104" i="25"/>
  <c r="F60" i="25"/>
  <c r="F20" i="25"/>
  <c r="P18" i="21"/>
  <c r="F63" i="25"/>
  <c r="F70" i="23"/>
  <c r="F77" i="25"/>
  <c r="F103" i="23"/>
  <c r="F36" i="23"/>
  <c r="P14" i="21"/>
  <c r="F124" i="25"/>
  <c r="F85" i="23"/>
  <c r="F85" i="25"/>
  <c r="E16" i="21"/>
  <c r="F100" i="23"/>
  <c r="F27" i="25"/>
  <c r="F28" i="22"/>
  <c r="W33" i="22"/>
  <c r="F50" i="25"/>
  <c r="Q5" i="26"/>
  <c r="F28" i="23"/>
  <c r="F16" i="25"/>
  <c r="W30" i="22"/>
  <c r="F114" i="23"/>
  <c r="F38" i="25"/>
  <c r="F89" i="23"/>
  <c r="F10" i="22"/>
  <c r="F34" i="25"/>
  <c r="E18" i="21"/>
  <c r="D71" i="28"/>
  <c r="F8" i="25"/>
  <c r="F39" i="25"/>
  <c r="F15" i="22"/>
  <c r="F125" i="23"/>
  <c r="F114" i="25"/>
  <c r="P10" i="21"/>
  <c r="F57" i="25"/>
  <c r="F111" i="23"/>
  <c r="F74" i="25"/>
  <c r="F42" i="25"/>
  <c r="F75" i="23"/>
  <c r="P22" i="21"/>
  <c r="F51" i="25"/>
  <c r="F14" i="22"/>
  <c r="F68" i="23"/>
  <c r="F48" i="23"/>
  <c r="F13" i="23"/>
  <c r="F49" i="25"/>
  <c r="F13" i="22"/>
  <c r="F97" i="23"/>
  <c r="F103" i="25"/>
  <c r="F84" i="23"/>
  <c r="W12" i="22"/>
  <c r="F3" i="22"/>
  <c r="F92" i="25"/>
  <c r="F26" i="25"/>
  <c r="F31" i="22"/>
  <c r="F33" i="22"/>
  <c r="F12" i="25"/>
  <c r="F6" i="23"/>
  <c r="F96" i="23"/>
  <c r="E15" i="21"/>
  <c r="W11" i="22"/>
  <c r="F4" i="22"/>
  <c r="F8" i="22"/>
  <c r="F34" i="23"/>
  <c r="P12" i="21"/>
  <c r="F58" i="25"/>
  <c r="F42" i="23"/>
  <c r="F80" i="23"/>
  <c r="F21" i="22"/>
  <c r="F19" i="25"/>
  <c r="F43" i="23"/>
  <c r="F55" i="25"/>
  <c r="F82" i="23"/>
  <c r="F112" i="23"/>
  <c r="F122" i="25"/>
  <c r="F109" i="23"/>
  <c r="F70" i="25"/>
  <c r="F17" i="23"/>
  <c r="F78" i="25"/>
  <c r="W19" i="22"/>
  <c r="F100" i="25"/>
  <c r="F33" i="25"/>
  <c r="F82" i="25"/>
  <c r="F35" i="23"/>
  <c r="W23" i="22"/>
  <c r="F108" i="23"/>
  <c r="P15" i="21"/>
  <c r="F77" i="23"/>
  <c r="F35" i="22"/>
  <c r="F61" i="25"/>
  <c r="F54" i="23"/>
  <c r="F86" i="25"/>
  <c r="P20" i="21"/>
  <c r="F50" i="23"/>
  <c r="W28" i="22"/>
  <c r="P7" i="21"/>
  <c r="W8" i="22"/>
  <c r="W13" i="22"/>
  <c r="P13" i="21"/>
  <c r="F44" i="25"/>
  <c r="F41" i="23"/>
  <c r="F26" i="22"/>
  <c r="F20" i="23"/>
  <c r="F113" i="25"/>
  <c r="F11" i="22"/>
  <c r="P16" i="21"/>
  <c r="F37" i="25"/>
  <c r="F73" i="25"/>
  <c r="F79" i="25"/>
  <c r="F56" i="25"/>
  <c r="F69" i="25"/>
  <c r="W24" i="22"/>
  <c r="F83" i="25"/>
  <c r="E6" i="21"/>
  <c r="F9" i="23"/>
  <c r="F12" i="23"/>
  <c r="F87" i="25"/>
  <c r="F119" i="25"/>
  <c r="E21" i="21"/>
  <c r="E17" i="21"/>
  <c r="F15" i="25"/>
  <c r="P9" i="21"/>
  <c r="E7" i="21"/>
  <c r="F36" i="25"/>
  <c r="F70" i="28"/>
  <c r="P17" i="21"/>
  <c r="F48" i="25"/>
  <c r="F75" i="25"/>
  <c r="F88" i="25"/>
  <c r="F58" i="23"/>
  <c r="W25" i="22"/>
  <c r="D4" i="21"/>
  <c r="C4" i="26"/>
  <c r="F5" i="25"/>
  <c r="E2" i="22"/>
  <c r="G70" i="28"/>
  <c r="F5" i="23"/>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F71" i="28"/>
  <c r="G39" i="23"/>
  <c r="G111" i="23"/>
  <c r="G63" i="25"/>
  <c r="G81" i="23"/>
  <c r="G17" i="25"/>
  <c r="G71" i="25"/>
  <c r="G32" i="25"/>
  <c r="G117" i="25"/>
  <c r="G105" i="25"/>
  <c r="G98" i="25"/>
  <c r="G35" i="23"/>
  <c r="G122" i="25"/>
  <c r="G75" i="23"/>
  <c r="G65" i="23"/>
  <c r="G67" i="23"/>
  <c r="G125" i="23"/>
  <c r="G104" i="23"/>
  <c r="G100" i="25"/>
  <c r="G120" i="23"/>
  <c r="G85" i="23"/>
  <c r="G61" i="23"/>
  <c r="G18" i="23"/>
  <c r="G44" i="25"/>
  <c r="G28" i="23"/>
  <c r="G21" i="25"/>
  <c r="G60" i="23"/>
  <c r="G109" i="25"/>
  <c r="G92" i="23"/>
  <c r="G112" i="23"/>
  <c r="G50" i="25"/>
  <c r="G93" i="25"/>
  <c r="G18" i="25"/>
  <c r="G55" i="23"/>
  <c r="G107" i="23"/>
  <c r="G101" i="25"/>
  <c r="G76" i="23"/>
  <c r="G48" i="23"/>
  <c r="G57" i="23"/>
  <c r="G103" i="25"/>
  <c r="G13" i="23"/>
  <c r="G33" i="25"/>
  <c r="G77" i="23"/>
  <c r="G112" i="25"/>
  <c r="G15" i="23"/>
  <c r="G87" i="23"/>
  <c r="G89" i="25"/>
  <c r="G36" i="25"/>
  <c r="G98" i="23"/>
  <c r="G29" i="25"/>
  <c r="G84" i="23"/>
  <c r="G99" i="25"/>
  <c r="G122" i="23"/>
  <c r="G108" i="25"/>
  <c r="G91" i="25"/>
  <c r="G70" i="25"/>
  <c r="G105" i="23"/>
  <c r="G24" i="25"/>
  <c r="G8" i="23"/>
  <c r="G41" i="25"/>
  <c r="G120" i="25"/>
  <c r="G59" i="25"/>
  <c r="G78" i="25"/>
  <c r="G71" i="23"/>
  <c r="G69" i="23"/>
  <c r="G94" i="25"/>
  <c r="G45" i="23"/>
  <c r="G8" i="25"/>
  <c r="G47" i="25"/>
  <c r="G118" i="25"/>
  <c r="G12" i="23"/>
  <c r="G43" i="25"/>
  <c r="G20" i="25"/>
  <c r="G7" i="23"/>
  <c r="G37" i="25"/>
  <c r="G86" i="23"/>
  <c r="G31" i="23"/>
  <c r="G58" i="25"/>
  <c r="G40" i="23"/>
  <c r="G99" i="23"/>
  <c r="G49" i="23"/>
  <c r="G93" i="23"/>
  <c r="G16" i="25"/>
  <c r="G97" i="25"/>
  <c r="G12" i="25"/>
  <c r="G57" i="25"/>
  <c r="G13" i="25"/>
  <c r="G19" i="23"/>
  <c r="G85" i="25"/>
  <c r="G16" i="23"/>
  <c r="D72" i="28"/>
  <c r="G80" i="25"/>
  <c r="Q3" i="26"/>
  <c r="G103" i="23"/>
  <c r="G119" i="25"/>
  <c r="G29" i="23"/>
  <c r="G52" i="23"/>
  <c r="G25" i="23"/>
  <c r="G28" i="25"/>
  <c r="G102" i="25"/>
  <c r="G41" i="23"/>
  <c r="G25" i="25"/>
  <c r="G119" i="23"/>
  <c r="G27" i="23"/>
  <c r="G32" i="23"/>
  <c r="G19" i="25"/>
  <c r="G88" i="25"/>
  <c r="G102" i="23"/>
  <c r="G22" i="25"/>
  <c r="G55" i="25"/>
  <c r="G56" i="25"/>
  <c r="G97" i="23"/>
  <c r="G35" i="25"/>
  <c r="G17" i="23"/>
  <c r="G107" i="25"/>
  <c r="G50" i="23"/>
  <c r="G64" i="23"/>
  <c r="G30" i="23"/>
  <c r="G63" i="23"/>
  <c r="G68" i="25"/>
  <c r="G7" i="25"/>
  <c r="G54" i="23"/>
  <c r="G6" i="25"/>
  <c r="G66" i="25"/>
  <c r="G14" i="25"/>
  <c r="G96" i="25"/>
  <c r="G81" i="25"/>
  <c r="G37" i="23"/>
  <c r="G89" i="23"/>
  <c r="G110" i="25"/>
  <c r="G39" i="25"/>
  <c r="G20" i="23"/>
  <c r="G38" i="25"/>
  <c r="G26" i="25"/>
  <c r="G30" i="25"/>
  <c r="G124" i="25"/>
  <c r="G83" i="23"/>
  <c r="G116" i="23"/>
  <c r="G123" i="23"/>
  <c r="G124" i="23"/>
  <c r="G23" i="23"/>
  <c r="G74" i="25"/>
  <c r="G10" i="25"/>
  <c r="G53" i="25"/>
  <c r="G22" i="23"/>
  <c r="G121" i="25"/>
  <c r="G74" i="23"/>
  <c r="G53" i="23"/>
  <c r="G100" i="23"/>
  <c r="G24" i="23"/>
  <c r="G52" i="25"/>
  <c r="G59" i="23"/>
  <c r="G46" i="23"/>
  <c r="G9" i="23"/>
  <c r="G104" i="25"/>
  <c r="G106" i="23"/>
  <c r="G109" i="23"/>
  <c r="G90" i="25"/>
  <c r="G66" i="23"/>
  <c r="G113" i="25"/>
  <c r="G46" i="25"/>
  <c r="G42" i="25"/>
  <c r="G6" i="23"/>
  <c r="G114" i="23"/>
  <c r="G80" i="23"/>
  <c r="G67" i="25"/>
  <c r="G68" i="23"/>
  <c r="G47" i="23"/>
  <c r="G121" i="23"/>
  <c r="G92" i="25"/>
  <c r="G86" i="25"/>
  <c r="G118" i="23"/>
  <c r="G31" i="25"/>
  <c r="G125" i="25"/>
  <c r="G72" i="25"/>
  <c r="G49" i="25"/>
  <c r="G51" i="25"/>
  <c r="G34" i="23"/>
  <c r="G11" i="23"/>
  <c r="G110" i="23"/>
  <c r="G88" i="23"/>
  <c r="G94" i="23"/>
  <c r="G21" i="23"/>
  <c r="G84" i="25"/>
  <c r="G38" i="23"/>
  <c r="G15" i="25"/>
  <c r="G82" i="25"/>
  <c r="G54" i="25"/>
  <c r="G73" i="23"/>
  <c r="G123" i="25"/>
  <c r="G111" i="25"/>
  <c r="G43" i="23"/>
  <c r="G79" i="25"/>
  <c r="G36" i="23"/>
  <c r="G42" i="23"/>
  <c r="G61" i="25"/>
  <c r="G75" i="25"/>
  <c r="G79" i="23"/>
  <c r="G60" i="25"/>
  <c r="G91" i="23"/>
  <c r="G106" i="25"/>
  <c r="G26" i="23"/>
  <c r="G45" i="25"/>
  <c r="G62" i="25"/>
  <c r="G115" i="23"/>
  <c r="G96" i="23"/>
  <c r="G95" i="23"/>
  <c r="G62" i="23"/>
  <c r="G11" i="25"/>
  <c r="G78" i="23"/>
  <c r="G113" i="23"/>
  <c r="G114" i="25"/>
  <c r="G116" i="25"/>
  <c r="G73" i="25"/>
  <c r="G117" i="23"/>
  <c r="G34" i="25"/>
  <c r="G83" i="25"/>
  <c r="G108" i="23"/>
  <c r="G70" i="23"/>
  <c r="G14" i="23"/>
  <c r="G65" i="25"/>
  <c r="G101" i="23"/>
  <c r="G77" i="25"/>
  <c r="G40" i="25"/>
  <c r="G95" i="25"/>
  <c r="G51" i="23"/>
  <c r="G69" i="25"/>
  <c r="G90" i="23"/>
  <c r="G87" i="25"/>
  <c r="G9" i="25"/>
  <c r="G58" i="23"/>
  <c r="G48" i="25"/>
  <c r="G23" i="25"/>
  <c r="G56" i="23"/>
  <c r="G82" i="23"/>
  <c r="G76" i="25"/>
  <c r="G44" i="23"/>
  <c r="G115" i="25"/>
  <c r="G72" i="23"/>
  <c r="G10" i="23"/>
  <c r="G64" i="25"/>
  <c r="G27" i="25"/>
  <c r="G33" i="23"/>
  <c r="G5" i="23"/>
  <c r="F2" i="22"/>
  <c r="G5" i="25"/>
  <c r="D4" i="26"/>
  <c r="E4" i="21"/>
  <c r="G71" i="28"/>
  <c r="E72" i="28" l="1"/>
  <c r="E5" i="17"/>
  <c r="E5" i="19"/>
  <c r="C6" i="19"/>
  <c r="E5" i="18"/>
  <c r="E4" i="18"/>
  <c r="C7" i="18"/>
  <c r="E6" i="18"/>
  <c r="C6" i="17"/>
  <c r="F5" i="19"/>
  <c r="F5" i="18"/>
  <c r="F72" i="28"/>
  <c r="D73" i="28"/>
  <c r="F5" i="17"/>
  <c r="F6" i="18"/>
  <c r="G72" i="28"/>
  <c r="E73" i="28" l="1"/>
  <c r="C7" i="19"/>
  <c r="E6" i="19"/>
  <c r="E7" i="18"/>
  <c r="C8" i="18"/>
  <c r="E4" i="17"/>
  <c r="C7" i="17"/>
  <c r="E6" i="17"/>
  <c r="F6" i="19"/>
  <c r="D74" i="28"/>
  <c r="G5" i="19"/>
  <c r="G5" i="17"/>
  <c r="F6" i="17"/>
  <c r="G6" i="18"/>
  <c r="F7" i="18"/>
  <c r="G5" i="18"/>
  <c r="F73" i="28"/>
  <c r="G73" i="28"/>
  <c r="H3" i="47" l="1"/>
  <c r="E74" i="28"/>
  <c r="E7" i="19"/>
  <c r="C8" i="19"/>
  <c r="E8" i="18"/>
  <c r="C9" i="18"/>
  <c r="C8" i="17"/>
  <c r="E7" i="17"/>
  <c r="G7" i="18"/>
  <c r="D75" i="28"/>
  <c r="F7" i="19"/>
  <c r="G6" i="19"/>
  <c r="J3" i="47"/>
  <c r="F8" i="18"/>
  <c r="F7" i="17"/>
  <c r="G6" i="17"/>
  <c r="F74" i="28"/>
  <c r="G74" i="28"/>
  <c r="H4" i="47" l="1"/>
  <c r="E75" i="28"/>
  <c r="E8" i="19"/>
  <c r="C9" i="19"/>
  <c r="C10" i="18"/>
  <c r="E9" i="18"/>
  <c r="E8" i="17"/>
  <c r="C9" i="17"/>
  <c r="G7" i="17"/>
  <c r="F8" i="17"/>
  <c r="F9" i="18"/>
  <c r="D76" i="28"/>
  <c r="D77" i="28" s="1"/>
  <c r="J4" i="47"/>
  <c r="K3" i="47"/>
  <c r="F75" i="28"/>
  <c r="G8" i="18"/>
  <c r="F8" i="19"/>
  <c r="G7" i="19"/>
  <c r="G75" i="28"/>
  <c r="E76" i="28" l="1"/>
  <c r="H5" i="47"/>
  <c r="E77" i="28"/>
  <c r="E4" i="19"/>
  <c r="C10" i="19"/>
  <c r="E9" i="19"/>
  <c r="E10" i="18"/>
  <c r="C11" i="18"/>
  <c r="C10" i="17"/>
  <c r="E9" i="17"/>
  <c r="G8" i="17"/>
  <c r="F77" i="28"/>
  <c r="G8" i="19"/>
  <c r="F76" i="28"/>
  <c r="F9" i="19"/>
  <c r="F10" i="18"/>
  <c r="G9" i="18"/>
  <c r="K4" i="47"/>
  <c r="J5" i="47"/>
  <c r="F9" i="17"/>
  <c r="G77" i="28"/>
  <c r="G76" i="28"/>
  <c r="F4" i="28"/>
  <c r="H6" i="47" l="1"/>
  <c r="E10" i="19"/>
  <c r="C11" i="19"/>
  <c r="E11" i="18"/>
  <c r="C12" i="18"/>
  <c r="E10" i="17"/>
  <c r="C11" i="17"/>
  <c r="J6" i="47"/>
  <c r="K5" i="47"/>
  <c r="F10" i="17"/>
  <c r="G10" i="18"/>
  <c r="G9" i="17"/>
  <c r="F11" i="18"/>
  <c r="F10" i="19"/>
  <c r="G9" i="19"/>
  <c r="G4" i="28"/>
  <c r="H7" i="47" l="1"/>
  <c r="C12" i="19"/>
  <c r="E11" i="19"/>
  <c r="C13" i="18"/>
  <c r="E12" i="18"/>
  <c r="C12" i="17"/>
  <c r="E11" i="17"/>
  <c r="F11" i="17"/>
  <c r="G10" i="19"/>
  <c r="F11" i="19"/>
  <c r="G11" i="18"/>
  <c r="K6" i="47"/>
  <c r="J7" i="47"/>
  <c r="F12" i="18"/>
  <c r="G10" i="17"/>
  <c r="H8" i="47" l="1"/>
  <c r="E12" i="19"/>
  <c r="C13" i="19"/>
  <c r="E13" i="18"/>
  <c r="C14" i="18"/>
  <c r="E12" i="17"/>
  <c r="C13" i="17"/>
  <c r="F13" i="18"/>
  <c r="G11" i="19"/>
  <c r="G12" i="18"/>
  <c r="G11" i="17"/>
  <c r="F12" i="19"/>
  <c r="K7" i="47"/>
  <c r="J8" i="47"/>
  <c r="F12" i="17"/>
  <c r="H9" i="47" l="1"/>
  <c r="E13" i="19"/>
  <c r="C14" i="19"/>
  <c r="C15" i="18"/>
  <c r="E14" i="18"/>
  <c r="E13" i="17"/>
  <c r="C14" i="17"/>
  <c r="F14" i="18"/>
  <c r="G12" i="17"/>
  <c r="F13" i="17"/>
  <c r="F13" i="19"/>
  <c r="G13" i="18"/>
  <c r="G12" i="19"/>
  <c r="J9" i="47"/>
  <c r="K8" i="47"/>
  <c r="H10" i="47" l="1"/>
  <c r="C15" i="19"/>
  <c r="E14" i="19"/>
  <c r="C16" i="18"/>
  <c r="E15" i="18"/>
  <c r="C15" i="17"/>
  <c r="E14" i="17"/>
  <c r="G13" i="19"/>
  <c r="F15" i="18"/>
  <c r="G13" i="17"/>
  <c r="G14" i="18"/>
  <c r="K9" i="47"/>
  <c r="F14" i="17"/>
  <c r="F14" i="19"/>
  <c r="J10" i="47"/>
  <c r="H11" i="47" l="1"/>
  <c r="E15" i="19"/>
  <c r="C16" i="19"/>
  <c r="C17" i="18"/>
  <c r="E16" i="18"/>
  <c r="E15" i="17"/>
  <c r="C16" i="17"/>
  <c r="G14" i="19"/>
  <c r="G15" i="18"/>
  <c r="K10" i="47"/>
  <c r="J11" i="47"/>
  <c r="G14" i="17"/>
  <c r="F15" i="17"/>
  <c r="F16" i="18"/>
  <c r="F15" i="19"/>
  <c r="H12" i="47" l="1"/>
  <c r="E16" i="19"/>
  <c r="C17" i="19"/>
  <c r="C18" i="18"/>
  <c r="E17" i="18"/>
  <c r="E16" i="17"/>
  <c r="C17" i="17"/>
  <c r="K11" i="47"/>
  <c r="F17" i="18"/>
  <c r="F16" i="19"/>
  <c r="G15" i="17"/>
  <c r="F16" i="17"/>
  <c r="J12" i="47"/>
  <c r="G15" i="19"/>
  <c r="G16" i="18"/>
  <c r="H13" i="47" l="1"/>
  <c r="C18" i="19"/>
  <c r="E17" i="19"/>
  <c r="E18" i="18"/>
  <c r="C19" i="18"/>
  <c r="C18" i="17"/>
  <c r="E17" i="17"/>
  <c r="F18" i="18"/>
  <c r="F17" i="17"/>
  <c r="K12" i="47"/>
  <c r="G16" i="17"/>
  <c r="G17" i="18"/>
  <c r="G16" i="19"/>
  <c r="J13" i="47"/>
  <c r="F17" i="19"/>
  <c r="H14" i="47" l="1"/>
  <c r="E18" i="19"/>
  <c r="C19" i="19"/>
  <c r="E19" i="18"/>
  <c r="C20" i="18"/>
  <c r="E18" i="17"/>
  <c r="C19" i="17"/>
  <c r="K13" i="47"/>
  <c r="F18" i="19"/>
  <c r="G17" i="19"/>
  <c r="J14" i="47"/>
  <c r="G18" i="18"/>
  <c r="G17" i="17"/>
  <c r="F18" i="17"/>
  <c r="F19" i="18"/>
  <c r="H15" i="47" l="1"/>
  <c r="C20" i="19"/>
  <c r="E19" i="19"/>
  <c r="C21" i="18"/>
  <c r="E20" i="18"/>
  <c r="C20" i="17"/>
  <c r="E19" i="17"/>
  <c r="G18" i="19"/>
  <c r="G19" i="18"/>
  <c r="K14" i="47"/>
  <c r="F19" i="17"/>
  <c r="F20" i="18"/>
  <c r="G18" i="17"/>
  <c r="F19" i="19"/>
  <c r="J15" i="47"/>
  <c r="H16" i="47" l="1"/>
  <c r="E20" i="19"/>
  <c r="C21" i="19"/>
  <c r="C22" i="18"/>
  <c r="E21" i="18"/>
  <c r="E20" i="17"/>
  <c r="C21" i="17"/>
  <c r="G20" i="18"/>
  <c r="J16" i="47"/>
  <c r="K15" i="47"/>
  <c r="G19" i="17"/>
  <c r="G19" i="19"/>
  <c r="F20" i="19"/>
  <c r="F20" i="17"/>
  <c r="F21" i="18"/>
  <c r="H17" i="47" l="1"/>
  <c r="E21" i="19"/>
  <c r="C22" i="19"/>
  <c r="E22" i="18"/>
  <c r="C23" i="18"/>
  <c r="E21" i="17"/>
  <c r="C22" i="17"/>
  <c r="F21" i="17"/>
  <c r="F22" i="18"/>
  <c r="J17" i="47"/>
  <c r="K16" i="47"/>
  <c r="G20" i="17"/>
  <c r="G20" i="19"/>
  <c r="G21" i="18"/>
  <c r="F21" i="19"/>
  <c r="H18" i="47" l="1"/>
  <c r="C23" i="19"/>
  <c r="E22" i="19"/>
  <c r="C24" i="18"/>
  <c r="E23" i="18"/>
  <c r="C23" i="17"/>
  <c r="E22" i="17"/>
  <c r="G21" i="17"/>
  <c r="G22" i="18"/>
  <c r="J18" i="47"/>
  <c r="F22" i="19"/>
  <c r="G21" i="19"/>
  <c r="F23" i="18"/>
  <c r="K17" i="47"/>
  <c r="F22" i="17"/>
  <c r="H19" i="47" l="1"/>
  <c r="E23" i="19"/>
  <c r="C24" i="19"/>
  <c r="C25" i="18"/>
  <c r="E24" i="18"/>
  <c r="E23" i="17"/>
  <c r="C24" i="17"/>
  <c r="G22" i="19"/>
  <c r="G23" i="18"/>
  <c r="K18" i="47"/>
  <c r="F24" i="18"/>
  <c r="J19" i="47"/>
  <c r="F23" i="17"/>
  <c r="F23" i="19"/>
  <c r="G22" i="17"/>
  <c r="H20" i="47" l="1"/>
  <c r="E24" i="19"/>
  <c r="C25" i="19"/>
  <c r="C26" i="18"/>
  <c r="E25" i="18"/>
  <c r="E24" i="17"/>
  <c r="C25" i="17"/>
  <c r="K19" i="47"/>
  <c r="J20" i="47"/>
  <c r="G23" i="19"/>
  <c r="F25" i="18"/>
  <c r="G24" i="18"/>
  <c r="G23" i="17"/>
  <c r="F24" i="19"/>
  <c r="F24" i="17"/>
  <c r="H21" i="47" l="1"/>
  <c r="C26" i="19"/>
  <c r="E25" i="19"/>
  <c r="E26" i="18"/>
  <c r="C27" i="18"/>
  <c r="C26" i="17"/>
  <c r="E25" i="17"/>
  <c r="K20" i="47"/>
  <c r="F26" i="18"/>
  <c r="F25" i="19"/>
  <c r="G24" i="19"/>
  <c r="G24" i="17"/>
  <c r="F25" i="17"/>
  <c r="J21" i="47"/>
  <c r="G25" i="18"/>
  <c r="H22" i="47" l="1"/>
  <c r="E26" i="19"/>
  <c r="C27" i="19"/>
  <c r="E27" i="18"/>
  <c r="C28" i="18"/>
  <c r="E26" i="17"/>
  <c r="C27" i="17"/>
  <c r="G25" i="19"/>
  <c r="G26" i="18"/>
  <c r="F27" i="18"/>
  <c r="F26" i="19"/>
  <c r="G25" i="17"/>
  <c r="K21" i="47"/>
  <c r="J22" i="47"/>
  <c r="F26" i="17"/>
  <c r="H23" i="47" l="1"/>
  <c r="C28" i="19"/>
  <c r="E27" i="19"/>
  <c r="C29" i="18"/>
  <c r="E28" i="18"/>
  <c r="C28" i="17"/>
  <c r="E27" i="17"/>
  <c r="J23" i="47"/>
  <c r="G26" i="17"/>
  <c r="F27" i="19"/>
  <c r="F28" i="18"/>
  <c r="G26" i="19"/>
  <c r="G27" i="18"/>
  <c r="F27" i="17"/>
  <c r="K22" i="47"/>
  <c r="H24" i="47" l="1"/>
  <c r="E28" i="19"/>
  <c r="C29" i="19"/>
  <c r="C30" i="18"/>
  <c r="E29" i="18"/>
  <c r="E28" i="17"/>
  <c r="C29" i="17"/>
  <c r="K23" i="47"/>
  <c r="F28" i="17"/>
  <c r="J24" i="47"/>
  <c r="F29" i="18"/>
  <c r="G27" i="19"/>
  <c r="G28" i="18"/>
  <c r="G27" i="17"/>
  <c r="F28" i="19"/>
  <c r="H25" i="47" l="1"/>
  <c r="E29" i="19"/>
  <c r="C30" i="19"/>
  <c r="E30" i="18"/>
  <c r="C31" i="18"/>
  <c r="E29" i="17"/>
  <c r="C30" i="17"/>
  <c r="F29" i="17"/>
  <c r="G28" i="17"/>
  <c r="J25" i="47"/>
  <c r="G29" i="18"/>
  <c r="F29" i="19"/>
  <c r="K24" i="47"/>
  <c r="F30" i="18"/>
  <c r="G28" i="19"/>
  <c r="H26" i="47" l="1"/>
  <c r="C31" i="19"/>
  <c r="E30" i="19"/>
  <c r="E31" i="18"/>
  <c r="C32" i="18"/>
  <c r="C31" i="17"/>
  <c r="E30" i="17"/>
  <c r="J26" i="47"/>
  <c r="G30" i="18"/>
  <c r="F30" i="17"/>
  <c r="F31" i="18"/>
  <c r="G29" i="19"/>
  <c r="K25" i="47"/>
  <c r="G29" i="17"/>
  <c r="F30" i="19"/>
  <c r="H27" i="47" l="1"/>
  <c r="E31" i="19"/>
  <c r="C32" i="19"/>
  <c r="C33" i="18"/>
  <c r="E32" i="18"/>
  <c r="C32" i="17"/>
  <c r="E31" i="17"/>
  <c r="G30" i="17"/>
  <c r="F31" i="19"/>
  <c r="F31" i="17"/>
  <c r="G30" i="19"/>
  <c r="K26" i="47"/>
  <c r="J27" i="47"/>
  <c r="F32" i="18"/>
  <c r="G31" i="18"/>
  <c r="H28" i="47" l="1"/>
  <c r="E32" i="19"/>
  <c r="C33" i="19"/>
  <c r="C34" i="18"/>
  <c r="E33" i="18"/>
  <c r="E32" i="17"/>
  <c r="C33" i="17"/>
  <c r="F32" i="19"/>
  <c r="F33" i="18"/>
  <c r="K27" i="47"/>
  <c r="J28" i="47"/>
  <c r="G31" i="19"/>
  <c r="F32" i="17"/>
  <c r="G31" i="17"/>
  <c r="G32" i="18"/>
  <c r="H29" i="47" l="1"/>
  <c r="C34" i="19"/>
  <c r="E33" i="19"/>
  <c r="E34" i="18"/>
  <c r="C35" i="18"/>
  <c r="C34" i="17"/>
  <c r="E33" i="17"/>
  <c r="J29" i="47"/>
  <c r="G32" i="19"/>
  <c r="F34" i="18"/>
  <c r="K28" i="47"/>
  <c r="F33" i="19"/>
  <c r="G32" i="17"/>
  <c r="G33" i="18"/>
  <c r="F33" i="17"/>
  <c r="H30" i="47" l="1"/>
  <c r="E34" i="19"/>
  <c r="C35" i="19"/>
  <c r="E35" i="18"/>
  <c r="C36" i="18"/>
  <c r="E34" i="17"/>
  <c r="C35" i="17"/>
  <c r="G34" i="18"/>
  <c r="K29" i="47"/>
  <c r="F34" i="19"/>
  <c r="F34" i="17"/>
  <c r="G33" i="19"/>
  <c r="J30" i="47"/>
  <c r="F35" i="18"/>
  <c r="G33" i="17"/>
  <c r="H31" i="47" l="1"/>
  <c r="C36" i="19"/>
  <c r="E35" i="19"/>
  <c r="C37" i="18"/>
  <c r="E36" i="18"/>
  <c r="C36" i="17"/>
  <c r="E35" i="17"/>
  <c r="F35" i="19"/>
  <c r="J31" i="47"/>
  <c r="F35" i="17"/>
  <c r="G35" i="18"/>
  <c r="F36" i="18"/>
  <c r="K30" i="47"/>
  <c r="G34" i="19"/>
  <c r="G34" i="17"/>
  <c r="H32" i="47" l="1"/>
  <c r="E36" i="19"/>
  <c r="C37" i="19"/>
  <c r="E37" i="18"/>
  <c r="C38" i="18"/>
  <c r="E36" i="17"/>
  <c r="C37" i="17"/>
  <c r="K31" i="47"/>
  <c r="G36" i="18"/>
  <c r="J32" i="47"/>
  <c r="G35" i="19"/>
  <c r="F36" i="17"/>
  <c r="F36" i="19"/>
  <c r="F37" i="18"/>
  <c r="G35" i="17"/>
  <c r="H33" i="47" l="1"/>
  <c r="E37" i="19"/>
  <c r="C38" i="19"/>
  <c r="E38" i="18"/>
  <c r="C39" i="18"/>
  <c r="E37" i="17"/>
  <c r="C38" i="17"/>
  <c r="F37" i="19"/>
  <c r="K32" i="47"/>
  <c r="G37" i="18"/>
  <c r="G36" i="17"/>
  <c r="G36" i="19"/>
  <c r="J33" i="47"/>
  <c r="F37" i="17"/>
  <c r="F38" i="18"/>
  <c r="H34" i="47" l="1"/>
  <c r="C39" i="19"/>
  <c r="E38" i="19"/>
  <c r="E39" i="18"/>
  <c r="C40" i="18"/>
  <c r="C39" i="17"/>
  <c r="E38" i="17"/>
  <c r="G37" i="17"/>
  <c r="G38" i="18"/>
  <c r="K33" i="47"/>
  <c r="F39" i="18"/>
  <c r="F38" i="17"/>
  <c r="J34" i="47"/>
  <c r="G37" i="19"/>
  <c r="F38" i="19"/>
  <c r="H35" i="47" l="1"/>
  <c r="E39" i="19"/>
  <c r="C40" i="19"/>
  <c r="E40" i="18"/>
  <c r="C41" i="18"/>
  <c r="C40" i="17"/>
  <c r="E39" i="17"/>
  <c r="F40" i="18"/>
  <c r="G39" i="18"/>
  <c r="G38" i="19"/>
  <c r="F39" i="17"/>
  <c r="J35" i="47"/>
  <c r="G38" i="17"/>
  <c r="F39" i="19"/>
  <c r="K34" i="47"/>
  <c r="H36" i="47" l="1"/>
  <c r="C41" i="19"/>
  <c r="E40" i="19"/>
  <c r="E41" i="18"/>
  <c r="C42" i="18"/>
  <c r="E42" i="18" s="1"/>
  <c r="E40" i="17"/>
  <c r="C41" i="17"/>
  <c r="F42" i="18"/>
  <c r="F40" i="19"/>
  <c r="G39" i="17"/>
  <c r="F40" i="17"/>
  <c r="K35" i="47"/>
  <c r="F41" i="18"/>
  <c r="G39" i="19"/>
  <c r="G40" i="18"/>
  <c r="J36" i="47"/>
  <c r="F4" i="18"/>
  <c r="H37" i="47" l="1"/>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41" i="14"/>
  <c r="G55" i="15"/>
  <c r="G39" i="15"/>
  <c r="G32" i="14"/>
  <c r="G56" i="15"/>
  <c r="G13" i="13"/>
  <c r="G21" i="14"/>
  <c r="K36" i="47"/>
  <c r="F9" i="12"/>
  <c r="G40" i="14"/>
  <c r="G13" i="15"/>
  <c r="G24" i="14"/>
  <c r="G46" i="15"/>
  <c r="G58" i="15"/>
  <c r="G52" i="13"/>
  <c r="G29" i="14"/>
  <c r="G14" i="14"/>
  <c r="G44" i="14"/>
  <c r="G40" i="13"/>
  <c r="G62" i="13"/>
  <c r="G26" i="13"/>
  <c r="G10" i="14"/>
  <c r="F41" i="19"/>
  <c r="G31" i="15"/>
  <c r="G24" i="13"/>
  <c r="G45" i="13"/>
  <c r="G43" i="15"/>
  <c r="G65" i="13"/>
  <c r="G21" i="13"/>
  <c r="G27" i="13"/>
  <c r="G10" i="15"/>
  <c r="G31" i="13"/>
  <c r="G43" i="14"/>
  <c r="G41" i="15"/>
  <c r="G18" i="14"/>
  <c r="G39" i="14"/>
  <c r="G60" i="15"/>
  <c r="G34" i="15"/>
  <c r="G25" i="15"/>
  <c r="G47" i="14"/>
  <c r="G50" i="13"/>
  <c r="G59" i="13"/>
  <c r="G14" i="13"/>
  <c r="G60" i="13"/>
  <c r="G22" i="15"/>
  <c r="G12" i="15"/>
  <c r="G11" i="13"/>
  <c r="G61" i="14"/>
  <c r="G58" i="14"/>
  <c r="G42" i="18"/>
  <c r="G11" i="14"/>
  <c r="G15" i="14"/>
  <c r="G38" i="15"/>
  <c r="G57" i="13"/>
  <c r="G37" i="14"/>
  <c r="G63" i="14"/>
  <c r="G30" i="13"/>
  <c r="F19" i="12"/>
  <c r="F6" i="12"/>
  <c r="F41" i="17"/>
  <c r="G10" i="13"/>
  <c r="G53" i="15"/>
  <c r="G21" i="15"/>
  <c r="G7" i="14"/>
  <c r="G33" i="14"/>
  <c r="G18" i="15"/>
  <c r="G59" i="14"/>
  <c r="G19" i="15"/>
  <c r="G65" i="15"/>
  <c r="G40" i="17"/>
  <c r="G20" i="13"/>
  <c r="J37" i="47"/>
  <c r="G66" i="13"/>
  <c r="G45" i="14"/>
  <c r="G17" i="14"/>
  <c r="G19" i="14"/>
  <c r="G48" i="13"/>
  <c r="G58" i="13"/>
  <c r="G55" i="13"/>
  <c r="G20" i="14"/>
  <c r="G54" i="14"/>
  <c r="G49" i="13"/>
  <c r="G34" i="13"/>
  <c r="G25" i="14"/>
  <c r="G11" i="15"/>
  <c r="G26" i="14"/>
  <c r="G32" i="15"/>
  <c r="G17" i="15"/>
  <c r="F42" i="19"/>
  <c r="G35" i="15"/>
  <c r="G64" i="13"/>
  <c r="G47" i="15"/>
  <c r="G15" i="15"/>
  <c r="G53" i="14"/>
  <c r="G51" i="13"/>
  <c r="G54" i="15"/>
  <c r="G22" i="13"/>
  <c r="G22" i="14"/>
  <c r="G48" i="14"/>
  <c r="G50" i="14"/>
  <c r="F14" i="12"/>
  <c r="G9" i="15"/>
  <c r="G48" i="15"/>
  <c r="G16" i="13"/>
  <c r="G37" i="15"/>
  <c r="G35" i="13"/>
  <c r="G27" i="14"/>
  <c r="G9" i="13"/>
  <c r="G47" i="13"/>
  <c r="G54" i="13"/>
  <c r="G45" i="15"/>
  <c r="F8" i="12"/>
  <c r="G53" i="13"/>
  <c r="G16" i="14"/>
  <c r="G64" i="15"/>
  <c r="G7" i="15"/>
  <c r="F42" i="17"/>
  <c r="G57" i="14"/>
  <c r="G23" i="15"/>
  <c r="G30" i="14"/>
  <c r="G31" i="14"/>
  <c r="G9" i="14"/>
  <c r="G40" i="19"/>
  <c r="F18" i="12"/>
  <c r="G28" i="14"/>
  <c r="G44" i="13"/>
  <c r="G49" i="15"/>
  <c r="G12" i="14"/>
  <c r="G56" i="13"/>
  <c r="G19" i="13"/>
  <c r="G38" i="13"/>
  <c r="G49" i="14"/>
  <c r="G38" i="14"/>
  <c r="G43" i="13"/>
  <c r="F11" i="12"/>
  <c r="G32" i="13"/>
  <c r="G60" i="14"/>
  <c r="G63" i="15"/>
  <c r="G66" i="15"/>
  <c r="G28" i="15"/>
  <c r="F13" i="12"/>
  <c r="G52" i="15"/>
  <c r="G12" i="13"/>
  <c r="G24" i="15"/>
  <c r="G62" i="15"/>
  <c r="G41" i="18"/>
  <c r="G37" i="13"/>
  <c r="G8" i="14"/>
  <c r="G63" i="13"/>
  <c r="G51" i="15"/>
  <c r="G17" i="13"/>
  <c r="G46" i="14"/>
  <c r="F7" i="12"/>
  <c r="G41" i="13"/>
  <c r="G18" i="13"/>
  <c r="G36" i="14"/>
  <c r="G27" i="15"/>
  <c r="G33" i="15"/>
  <c r="F16" i="12"/>
  <c r="G8" i="13"/>
  <c r="G35" i="14"/>
  <c r="G23" i="13"/>
  <c r="G44" i="15"/>
  <c r="G30" i="15"/>
  <c r="G33" i="13"/>
  <c r="G42" i="14"/>
  <c r="F12" i="12"/>
  <c r="G16" i="15"/>
  <c r="G61" i="15"/>
  <c r="G42" i="15"/>
  <c r="G56" i="14"/>
  <c r="G25" i="13"/>
  <c r="G52" i="14"/>
  <c r="G36" i="13"/>
  <c r="G65" i="14"/>
  <c r="G46" i="13"/>
  <c r="G61" i="13"/>
  <c r="G59" i="15"/>
  <c r="G8" i="15"/>
  <c r="G15" i="13"/>
  <c r="G29" i="13"/>
  <c r="G36" i="15"/>
  <c r="F15" i="12"/>
  <c r="F10" i="12"/>
  <c r="F17" i="12"/>
  <c r="G20" i="15"/>
  <c r="G42" i="13"/>
  <c r="G23" i="14"/>
  <c r="G62" i="14"/>
  <c r="G66" i="14"/>
  <c r="G51" i="14"/>
  <c r="G14" i="15"/>
  <c r="G39" i="13"/>
  <c r="G34" i="14"/>
  <c r="G13" i="14"/>
  <c r="G29" i="15"/>
  <c r="G64" i="14"/>
  <c r="G55" i="14"/>
  <c r="G7" i="13"/>
  <c r="G40" i="15"/>
  <c r="G28" i="13"/>
  <c r="F20" i="12"/>
  <c r="G57" i="15"/>
  <c r="G50" i="15"/>
  <c r="G26" i="15"/>
  <c r="G4" i="18"/>
  <c r="F4" i="19"/>
  <c r="G6" i="14"/>
  <c r="F4" i="17"/>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G14" i="12"/>
  <c r="G19" i="9"/>
  <c r="H65" i="13"/>
  <c r="G61" i="9"/>
  <c r="H33" i="15"/>
  <c r="G16" i="8"/>
  <c r="G49" i="8"/>
  <c r="H56" i="15"/>
  <c r="H27" i="13"/>
  <c r="G10" i="9"/>
  <c r="G9" i="8"/>
  <c r="G40" i="9"/>
  <c r="G45" i="10"/>
  <c r="G26" i="8"/>
  <c r="G27" i="8"/>
  <c r="J38" i="47"/>
  <c r="G51" i="10"/>
  <c r="H40" i="15"/>
  <c r="G43" i="8"/>
  <c r="H66" i="13"/>
  <c r="G55" i="10"/>
  <c r="G66" i="9"/>
  <c r="G23" i="8"/>
  <c r="G57" i="8"/>
  <c r="G11" i="12"/>
  <c r="G59" i="9"/>
  <c r="H45" i="15"/>
  <c r="H27" i="14"/>
  <c r="H27" i="15"/>
  <c r="G19" i="8"/>
  <c r="L6" i="6"/>
  <c r="Y3" i="28"/>
  <c r="H16" i="14"/>
  <c r="G30" i="9"/>
  <c r="J16" i="6"/>
  <c r="H10" i="15"/>
  <c r="F12" i="7"/>
  <c r="G50" i="10"/>
  <c r="G36" i="9"/>
  <c r="G27" i="9"/>
  <c r="G64" i="10"/>
  <c r="H38" i="14"/>
  <c r="G66" i="8"/>
  <c r="G39" i="8"/>
  <c r="H40" i="14"/>
  <c r="G14" i="8"/>
  <c r="G35" i="10"/>
  <c r="G33" i="10"/>
  <c r="H20" i="13"/>
  <c r="H21" i="15"/>
  <c r="G26" i="10"/>
  <c r="G22" i="10"/>
  <c r="F16" i="7"/>
  <c r="H46" i="13"/>
  <c r="H55" i="14"/>
  <c r="G48" i="8"/>
  <c r="F8" i="7"/>
  <c r="G52" i="9"/>
  <c r="G13" i="10"/>
  <c r="F9" i="7"/>
  <c r="G20" i="12"/>
  <c r="J12" i="6"/>
  <c r="G55" i="9"/>
  <c r="H42" i="15"/>
  <c r="G30" i="10"/>
  <c r="G38" i="9"/>
  <c r="G14" i="9"/>
  <c r="G14" i="10"/>
  <c r="H63" i="14"/>
  <c r="H25" i="15"/>
  <c r="G59" i="10"/>
  <c r="G41" i="10"/>
  <c r="G32" i="10"/>
  <c r="G58" i="8"/>
  <c r="H58" i="13"/>
  <c r="H32" i="14"/>
  <c r="G17" i="8"/>
  <c r="H37" i="13"/>
  <c r="H32" i="13"/>
  <c r="G11" i="8"/>
  <c r="G39" i="10"/>
  <c r="G54" i="9"/>
  <c r="H59" i="15"/>
  <c r="G21" i="10"/>
  <c r="H7" i="15"/>
  <c r="J14" i="6"/>
  <c r="H13" i="13"/>
  <c r="H8" i="15"/>
  <c r="H52" i="15"/>
  <c r="F11" i="7"/>
  <c r="G37" i="10"/>
  <c r="H23" i="14"/>
  <c r="H37" i="14"/>
  <c r="G9" i="9"/>
  <c r="H12" i="14"/>
  <c r="G41" i="19"/>
  <c r="G60" i="10"/>
  <c r="H24" i="14"/>
  <c r="G28" i="10"/>
  <c r="H61" i="15"/>
  <c r="J8" i="6"/>
  <c r="G66" i="10"/>
  <c r="H31" i="15"/>
  <c r="G63" i="10"/>
  <c r="H39" i="13"/>
  <c r="H21" i="14"/>
  <c r="G18" i="10"/>
  <c r="H36" i="14"/>
  <c r="G53" i="9"/>
  <c r="H47" i="15"/>
  <c r="G63" i="9"/>
  <c r="H40" i="13"/>
  <c r="H31" i="13"/>
  <c r="F6" i="7"/>
  <c r="H63" i="13"/>
  <c r="G56" i="10"/>
  <c r="H26" i="14"/>
  <c r="H46" i="14"/>
  <c r="H19" i="14"/>
  <c r="G34" i="10"/>
  <c r="G12" i="9"/>
  <c r="H60" i="15"/>
  <c r="G28" i="8"/>
  <c r="G38" i="10"/>
  <c r="J9" i="6"/>
  <c r="H64" i="13"/>
  <c r="H31" i="14"/>
  <c r="H36" i="15"/>
  <c r="H32" i="15"/>
  <c r="G25" i="9"/>
  <c r="J21" i="6"/>
  <c r="G17" i="12"/>
  <c r="G12" i="12"/>
  <c r="G36" i="10"/>
  <c r="G46" i="9"/>
  <c r="G31" i="9"/>
  <c r="G15" i="10"/>
  <c r="G24" i="9"/>
  <c r="G38" i="8"/>
  <c r="G22" i="9"/>
  <c r="G35" i="8"/>
  <c r="H60" i="14"/>
  <c r="H14" i="14"/>
  <c r="G18" i="8"/>
  <c r="G43" i="9"/>
  <c r="G61" i="8"/>
  <c r="G57" i="9"/>
  <c r="H29" i="13"/>
  <c r="H10" i="13"/>
  <c r="H23" i="15"/>
  <c r="G47" i="9"/>
  <c r="G65" i="10"/>
  <c r="G13" i="9"/>
  <c r="G35" i="9"/>
  <c r="G41" i="17"/>
  <c r="G20" i="10"/>
  <c r="G58" i="9"/>
  <c r="F7" i="7"/>
  <c r="H60" i="13"/>
  <c r="H11" i="15"/>
  <c r="H62" i="14"/>
  <c r="H55" i="15"/>
  <c r="H22" i="15"/>
  <c r="F10" i="7"/>
  <c r="H48" i="14"/>
  <c r="H53" i="15"/>
  <c r="G36" i="8"/>
  <c r="H18" i="14"/>
  <c r="H50" i="13"/>
  <c r="J22" i="6"/>
  <c r="H7" i="14"/>
  <c r="G9" i="10"/>
  <c r="H28" i="13"/>
  <c r="H26" i="13"/>
  <c r="J15" i="6"/>
  <c r="G25" i="8"/>
  <c r="G17" i="9"/>
  <c r="H57" i="15"/>
  <c r="G7" i="8"/>
  <c r="H19" i="15"/>
  <c r="H24" i="15"/>
  <c r="H39" i="14"/>
  <c r="G17" i="10"/>
  <c r="G49" i="10"/>
  <c r="G15" i="8"/>
  <c r="H10" i="14"/>
  <c r="H18" i="13"/>
  <c r="J18" i="6"/>
  <c r="H41" i="14"/>
  <c r="G16" i="10"/>
  <c r="H47" i="13"/>
  <c r="G29" i="9"/>
  <c r="H50" i="14"/>
  <c r="H61" i="14"/>
  <c r="G40" i="8"/>
  <c r="G50" i="9"/>
  <c r="H30" i="13"/>
  <c r="H11" i="14"/>
  <c r="G7" i="9"/>
  <c r="G48" i="10"/>
  <c r="F17" i="7"/>
  <c r="H43" i="14"/>
  <c r="G46" i="10"/>
  <c r="G62" i="8"/>
  <c r="G49" i="9"/>
  <c r="G10" i="12"/>
  <c r="H58" i="14"/>
  <c r="F20" i="7"/>
  <c r="G21" i="9"/>
  <c r="H64" i="14"/>
  <c r="G12" i="10"/>
  <c r="G9" i="12"/>
  <c r="H37" i="15"/>
  <c r="H7" i="13"/>
  <c r="G48" i="9"/>
  <c r="G62" i="9"/>
  <c r="H25" i="14"/>
  <c r="G18" i="9"/>
  <c r="G53" i="8"/>
  <c r="G32" i="9"/>
  <c r="Y48" i="28"/>
  <c r="H20" i="14"/>
  <c r="G7" i="12"/>
  <c r="G62" i="10"/>
  <c r="G52" i="10"/>
  <c r="G31" i="10"/>
  <c r="H15" i="13"/>
  <c r="F15" i="7"/>
  <c r="H52" i="13"/>
  <c r="G6" i="12"/>
  <c r="G60" i="9"/>
  <c r="G23" i="10"/>
  <c r="G44" i="9"/>
  <c r="H65" i="15"/>
  <c r="G28" i="9"/>
  <c r="G33" i="8"/>
  <c r="G42" i="17"/>
  <c r="H38" i="13"/>
  <c r="G25" i="10"/>
  <c r="G18" i="12"/>
  <c r="H48" i="13"/>
  <c r="H57" i="14"/>
  <c r="H12" i="15"/>
  <c r="G42" i="19"/>
  <c r="H14" i="13"/>
  <c r="H13" i="14"/>
  <c r="H59" i="13"/>
  <c r="H50" i="15"/>
  <c r="G33" i="9"/>
  <c r="G24" i="10"/>
  <c r="H35" i="15"/>
  <c r="H45" i="14"/>
  <c r="H53" i="13"/>
  <c r="H45" i="13"/>
  <c r="G19" i="10"/>
  <c r="G34" i="8"/>
  <c r="H51" i="15"/>
  <c r="G24" i="8"/>
  <c r="H30" i="15"/>
  <c r="H13" i="15"/>
  <c r="K37" i="47"/>
  <c r="F13" i="7"/>
  <c r="G39" i="9"/>
  <c r="G23" i="9"/>
  <c r="G57" i="10"/>
  <c r="G55" i="8"/>
  <c r="G47" i="8"/>
  <c r="G21" i="8"/>
  <c r="H16" i="13"/>
  <c r="G7" i="10"/>
  <c r="H62" i="13"/>
  <c r="G65" i="8"/>
  <c r="G43" i="10"/>
  <c r="G50" i="8"/>
  <c r="H28" i="15"/>
  <c r="H17" i="14"/>
  <c r="H12" i="13"/>
  <c r="H29" i="14"/>
  <c r="G8" i="10"/>
  <c r="H34" i="15"/>
  <c r="G41" i="9"/>
  <c r="G59" i="8"/>
  <c r="H8" i="14"/>
  <c r="H30" i="14"/>
  <c r="G53" i="10"/>
  <c r="G10" i="8"/>
  <c r="H61" i="13"/>
  <c r="G11" i="10"/>
  <c r="H43" i="13"/>
  <c r="G20" i="8"/>
  <c r="G20" i="9"/>
  <c r="H56" i="13"/>
  <c r="H20" i="15"/>
  <c r="G13" i="8"/>
  <c r="G52" i="8"/>
  <c r="H55" i="13"/>
  <c r="G29" i="8"/>
  <c r="H41" i="15"/>
  <c r="G60" i="8"/>
  <c r="H41" i="13"/>
  <c r="G56" i="8"/>
  <c r="F19" i="7"/>
  <c r="H38" i="15"/>
  <c r="H24" i="13"/>
  <c r="J10" i="6"/>
  <c r="G8" i="8"/>
  <c r="G54" i="8"/>
  <c r="G12" i="8"/>
  <c r="H22" i="14"/>
  <c r="G56" i="9"/>
  <c r="G42" i="10"/>
  <c r="G15" i="9"/>
  <c r="H8" i="13"/>
  <c r="H42" i="14"/>
  <c r="G41" i="8"/>
  <c r="H44" i="13"/>
  <c r="H49" i="15"/>
  <c r="G32" i="8"/>
  <c r="H29" i="15"/>
  <c r="G65" i="9"/>
  <c r="H28" i="14"/>
  <c r="H51" i="14"/>
  <c r="H34" i="14"/>
  <c r="H9" i="14"/>
  <c r="G42" i="9"/>
  <c r="G31" i="8"/>
  <c r="H35" i="14"/>
  <c r="H65" i="14"/>
  <c r="G29" i="10"/>
  <c r="G45" i="8"/>
  <c r="H11" i="13"/>
  <c r="H17" i="15"/>
  <c r="J11" i="6"/>
  <c r="G22" i="8"/>
  <c r="H36" i="13"/>
  <c r="J39" i="47"/>
  <c r="J20" i="6"/>
  <c r="G64" i="8"/>
  <c r="H43" i="15"/>
  <c r="G26" i="9"/>
  <c r="H54" i="13"/>
  <c r="H54" i="15"/>
  <c r="H44" i="15"/>
  <c r="G30" i="8"/>
  <c r="H21" i="13"/>
  <c r="G44" i="10"/>
  <c r="G51" i="8"/>
  <c r="H39" i="15"/>
  <c r="H66" i="15"/>
  <c r="G10" i="10"/>
  <c r="G42" i="8"/>
  <c r="H15" i="14"/>
  <c r="H47" i="14"/>
  <c r="H22" i="13"/>
  <c r="H46" i="15"/>
  <c r="H58" i="15"/>
  <c r="G61" i="10"/>
  <c r="H48" i="15"/>
  <c r="H17" i="13"/>
  <c r="G15" i="12"/>
  <c r="H51" i="13"/>
  <c r="G37" i="8"/>
  <c r="G8" i="9"/>
  <c r="G64" i="9"/>
  <c r="J17" i="6"/>
  <c r="G46" i="8"/>
  <c r="H16" i="15"/>
  <c r="H25" i="13"/>
  <c r="G54" i="10"/>
  <c r="H49" i="13"/>
  <c r="G40" i="10"/>
  <c r="G13" i="12"/>
  <c r="G47" i="10"/>
  <c r="G19" i="12"/>
  <c r="H44" i="14"/>
  <c r="G51" i="9"/>
  <c r="G58" i="10"/>
  <c r="H26" i="15"/>
  <c r="G11" i="9"/>
  <c r="H33" i="13"/>
  <c r="H62" i="15"/>
  <c r="H63" i="15"/>
  <c r="H64" i="15"/>
  <c r="F14" i="7"/>
  <c r="J19" i="6"/>
  <c r="H53" i="14"/>
  <c r="H42" i="13"/>
  <c r="H52" i="14"/>
  <c r="H35" i="13"/>
  <c r="H59" i="14"/>
  <c r="H18" i="15"/>
  <c r="H34" i="13"/>
  <c r="H54" i="14"/>
  <c r="H23" i="13"/>
  <c r="G63" i="8"/>
  <c r="G16" i="12"/>
  <c r="G34" i="9"/>
  <c r="H57" i="13"/>
  <c r="G37" i="9"/>
  <c r="H9" i="13"/>
  <c r="F18" i="7"/>
  <c r="G8" i="12"/>
  <c r="H66" i="14"/>
  <c r="H14" i="15"/>
  <c r="H49" i="14"/>
  <c r="H15" i="15"/>
  <c r="H9" i="15"/>
  <c r="H33" i="14"/>
  <c r="J13" i="6"/>
  <c r="H19" i="13"/>
  <c r="G27" i="10"/>
  <c r="G16" i="9"/>
  <c r="G45" i="9"/>
  <c r="G44" i="8"/>
  <c r="H56" i="14"/>
  <c r="G6" i="13"/>
  <c r="F5" i="7"/>
  <c r="H6" i="14"/>
  <c r="G4" i="17"/>
  <c r="F5" i="12"/>
  <c r="G4" i="19"/>
  <c r="G6" i="15"/>
  <c r="Y9" i="6" l="1"/>
  <c r="X5" i="19" a="1"/>
  <c r="H52" i="8"/>
  <c r="H31" i="8"/>
  <c r="H45" i="9"/>
  <c r="H59" i="8"/>
  <c r="H28" i="10"/>
  <c r="H58" i="8"/>
  <c r="H16" i="9"/>
  <c r="H54" i="9"/>
  <c r="H44" i="8"/>
  <c r="H15" i="8"/>
  <c r="G18" i="7"/>
  <c r="K11" i="6"/>
  <c r="H61" i="10"/>
  <c r="H39" i="9"/>
  <c r="H22" i="9"/>
  <c r="H62" i="8"/>
  <c r="H58" i="10"/>
  <c r="H7" i="8"/>
  <c r="H40" i="9"/>
  <c r="H8" i="9"/>
  <c r="L19" i="6"/>
  <c r="H50" i="9"/>
  <c r="H66" i="9"/>
  <c r="H34" i="9"/>
  <c r="H60" i="10"/>
  <c r="H49" i="8"/>
  <c r="H40" i="10"/>
  <c r="H27" i="10"/>
  <c r="H39" i="8"/>
  <c r="H13" i="8"/>
  <c r="H8" i="10"/>
  <c r="L17" i="6"/>
  <c r="H12" i="10"/>
  <c r="H53" i="9"/>
  <c r="H28" i="9"/>
  <c r="H57" i="9"/>
  <c r="H39" i="10"/>
  <c r="H7" i="10"/>
  <c r="H47" i="10"/>
  <c r="H11" i="9"/>
  <c r="H48" i="9"/>
  <c r="H47" i="8"/>
  <c r="H64" i="10"/>
  <c r="G16" i="7"/>
  <c r="L13" i="6"/>
  <c r="H43" i="8"/>
  <c r="H17" i="8"/>
  <c r="H56" i="9"/>
  <c r="H57" i="8"/>
  <c r="H56" i="8"/>
  <c r="H43" i="10"/>
  <c r="H26" i="9"/>
  <c r="H28" i="8"/>
  <c r="G14" i="7"/>
  <c r="H16" i="10"/>
  <c r="H32" i="9"/>
  <c r="H7" i="9"/>
  <c r="H21" i="8"/>
  <c r="H63" i="8"/>
  <c r="H25" i="9"/>
  <c r="H12" i="9"/>
  <c r="H29" i="10"/>
  <c r="H65" i="9"/>
  <c r="H22" i="10"/>
  <c r="H13" i="10"/>
  <c r="H42" i="10"/>
  <c r="G7" i="7"/>
  <c r="H18" i="10"/>
  <c r="H31" i="10"/>
  <c r="G17" i="7"/>
  <c r="H59" i="10"/>
  <c r="H48" i="8"/>
  <c r="H65" i="10"/>
  <c r="L11" i="6"/>
  <c r="H33" i="9"/>
  <c r="H54" i="8"/>
  <c r="H29" i="9"/>
  <c r="H26" i="8"/>
  <c r="G8" i="7"/>
  <c r="H38" i="10"/>
  <c r="H30" i="8"/>
  <c r="H55" i="9"/>
  <c r="H13" i="9"/>
  <c r="H60" i="9"/>
  <c r="H38" i="9"/>
  <c r="H24" i="10"/>
  <c r="H54" i="10"/>
  <c r="H31" i="9"/>
  <c r="H24" i="8"/>
  <c r="H47" i="9"/>
  <c r="H58" i="9"/>
  <c r="H48" i="10"/>
  <c r="H36" i="9"/>
  <c r="H64" i="8"/>
  <c r="H41" i="9"/>
  <c r="H9" i="8"/>
  <c r="H41" i="10"/>
  <c r="G9" i="7"/>
  <c r="H55" i="10"/>
  <c r="H20" i="8"/>
  <c r="H63" i="10"/>
  <c r="H25" i="8"/>
  <c r="K19" i="6"/>
  <c r="H36" i="10"/>
  <c r="H14" i="9"/>
  <c r="H19" i="8"/>
  <c r="H64" i="9"/>
  <c r="H41" i="8"/>
  <c r="H11" i="10"/>
  <c r="H66" i="10"/>
  <c r="G19" i="7"/>
  <c r="G12" i="7"/>
  <c r="H14" i="10"/>
  <c r="H53" i="10"/>
  <c r="H24" i="9"/>
  <c r="H27" i="9"/>
  <c r="H52" i="9"/>
  <c r="H46" i="10"/>
  <c r="H16" i="8"/>
  <c r="H35" i="9"/>
  <c r="H25" i="10"/>
  <c r="H62" i="9"/>
  <c r="H42" i="8"/>
  <c r="H50" i="10"/>
  <c r="H45" i="8"/>
  <c r="H56" i="10"/>
  <c r="H10" i="10"/>
  <c r="H49" i="10"/>
  <c r="H37" i="8"/>
  <c r="K39" i="47"/>
  <c r="H33" i="8"/>
  <c r="H59" i="9"/>
  <c r="H40" i="8"/>
  <c r="G6" i="7"/>
  <c r="H37" i="10"/>
  <c r="H33" i="10"/>
  <c r="H26" i="10"/>
  <c r="H37" i="9"/>
  <c r="H51" i="8"/>
  <c r="H15" i="9"/>
  <c r="H22" i="8"/>
  <c r="H53" i="8"/>
  <c r="H21" i="10"/>
  <c r="H44" i="10"/>
  <c r="H8" i="8"/>
  <c r="H35" i="8"/>
  <c r="G20" i="7"/>
  <c r="H57" i="10"/>
  <c r="G15" i="7"/>
  <c r="L9" i="6"/>
  <c r="H14" i="8"/>
  <c r="H52" i="10"/>
  <c r="H34" i="8"/>
  <c r="K13" i="6"/>
  <c r="H30" i="10"/>
  <c r="H17" i="9"/>
  <c r="H51" i="10"/>
  <c r="K9" i="6"/>
  <c r="H61" i="8"/>
  <c r="H44" i="9"/>
  <c r="H12" i="8"/>
  <c r="H61" i="9"/>
  <c r="H23" i="8"/>
  <c r="K38" i="47"/>
  <c r="H65" i="8"/>
  <c r="L7" i="6"/>
  <c r="K20" i="6"/>
  <c r="H43" i="9"/>
  <c r="G11" i="7"/>
  <c r="H10" i="8"/>
  <c r="H19" i="10"/>
  <c r="H50" i="8"/>
  <c r="H42" i="9"/>
  <c r="G13" i="7"/>
  <c r="H51" i="9"/>
  <c r="H20" i="10"/>
  <c r="H19" i="9"/>
  <c r="H29" i="8"/>
  <c r="H49" i="9"/>
  <c r="H21" i="9"/>
  <c r="H20" i="9"/>
  <c r="H63" i="9"/>
  <c r="L14" i="6"/>
  <c r="H11" i="8"/>
  <c r="H46" i="9"/>
  <c r="L20" i="6"/>
  <c r="H32" i="10"/>
  <c r="H36" i="8"/>
  <c r="H30" i="9"/>
  <c r="G10" i="7"/>
  <c r="H34" i="10"/>
  <c r="H27" i="8"/>
  <c r="H10" i="9"/>
  <c r="H55" i="8"/>
  <c r="H46" i="8"/>
  <c r="K7" i="6"/>
  <c r="H62" i="10"/>
  <c r="H17" i="10"/>
  <c r="H35" i="10"/>
  <c r="H23" i="10"/>
  <c r="H45" i="10"/>
  <c r="H9" i="10"/>
  <c r="Z9" i="6"/>
  <c r="H23" i="9"/>
  <c r="H9" i="9"/>
  <c r="H60" i="8"/>
  <c r="H66" i="8"/>
  <c r="H18" i="9"/>
  <c r="H32" i="8"/>
  <c r="H38" i="8"/>
  <c r="H15" i="10"/>
  <c r="H18" i="8"/>
  <c r="G6" i="9"/>
  <c r="G5" i="7"/>
  <c r="H6" i="13"/>
  <c r="G6" i="10"/>
  <c r="H6" i="15"/>
  <c r="G6" i="8"/>
  <c r="G5" i="12"/>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W9" i="6"/>
  <c r="Z20" i="6"/>
  <c r="Z18" i="6"/>
  <c r="K22" i="6"/>
  <c r="Z16" i="6"/>
  <c r="M9" i="6"/>
  <c r="Z19" i="6"/>
  <c r="Z17" i="6"/>
  <c r="Z12" i="6"/>
  <c r="K10" i="6"/>
  <c r="K8" i="6"/>
  <c r="L21" i="6"/>
  <c r="Z10" i="6"/>
  <c r="L18" i="6"/>
  <c r="L16" i="6"/>
  <c r="K15" i="6"/>
  <c r="L8" i="6"/>
  <c r="Z21" i="6"/>
  <c r="K21" i="6"/>
  <c r="M19" i="6"/>
  <c r="M13" i="6"/>
  <c r="L15" i="6"/>
  <c r="Z14" i="6"/>
  <c r="M7" i="6"/>
  <c r="Z15" i="6"/>
  <c r="Z22" i="6"/>
  <c r="K12" i="6"/>
  <c r="K14" i="6"/>
  <c r="K16" i="6"/>
  <c r="Z13" i="6"/>
  <c r="L22" i="6"/>
  <c r="Z11" i="6"/>
  <c r="K18" i="6"/>
  <c r="M20" i="6"/>
  <c r="L10" i="6"/>
  <c r="K17" i="6"/>
  <c r="M11" i="6"/>
  <c r="L12" i="6"/>
  <c r="Z8" i="6"/>
  <c r="H6" i="8"/>
  <c r="H6" i="9"/>
  <c r="J5" i="6"/>
  <c r="H6" i="10"/>
  <c r="AC5" i="19" l="1" a="1"/>
  <c r="AC42" i="19" s="1"/>
  <c r="X5" i="18" a="1"/>
  <c r="M10" i="6"/>
  <c r="M21" i="6"/>
  <c r="AD42" i="19"/>
  <c r="W21" i="6"/>
  <c r="M14" i="6"/>
  <c r="W10" i="6"/>
  <c r="W8" i="6"/>
  <c r="M18" i="6"/>
  <c r="W22" i="6"/>
  <c r="W13" i="6"/>
  <c r="AA9" i="6"/>
  <c r="M16" i="6"/>
  <c r="W17" i="6"/>
  <c r="W18" i="6"/>
  <c r="W20" i="6"/>
  <c r="M8" i="6"/>
  <c r="M22" i="6"/>
  <c r="M17" i="6"/>
  <c r="M12" i="6"/>
  <c r="W15" i="6"/>
  <c r="W11" i="6"/>
  <c r="W19" i="6"/>
  <c r="W12" i="6"/>
  <c r="M15" i="6"/>
  <c r="W14" i="6"/>
  <c r="W16"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8" i="19"/>
  <c r="AA21" i="6"/>
  <c r="AA14" i="6"/>
  <c r="AD9" i="19"/>
  <c r="AD13" i="19"/>
  <c r="AA18" i="6"/>
  <c r="AD6" i="19"/>
  <c r="AD30" i="19"/>
  <c r="AD36" i="19"/>
  <c r="AD10" i="19"/>
  <c r="AD37" i="19"/>
  <c r="AD35" i="19"/>
  <c r="AD32" i="19"/>
  <c r="AD20" i="19"/>
  <c r="AD31" i="19"/>
  <c r="AA17" i="6"/>
  <c r="AA10" i="6"/>
  <c r="AD18" i="19"/>
  <c r="AA8" i="6"/>
  <c r="AA19" i="6"/>
  <c r="AD39" i="19"/>
  <c r="AD25" i="19"/>
  <c r="AA16" i="6"/>
  <c r="AD27" i="19"/>
  <c r="AD28" i="19"/>
  <c r="AD24" i="19"/>
  <c r="AA22" i="6"/>
  <c r="AD22" i="19"/>
  <c r="AD11" i="19"/>
  <c r="AD33" i="19"/>
  <c r="AA20" i="6"/>
  <c r="AA13" i="6"/>
  <c r="AD26" i="19"/>
  <c r="AD21" i="19"/>
  <c r="AD19" i="19"/>
  <c r="AD5" i="19"/>
  <c r="AD38" i="19"/>
  <c r="AD40" i="19"/>
  <c r="AD15" i="19"/>
  <c r="AA11" i="6"/>
  <c r="AD34" i="19"/>
  <c r="AD41" i="19"/>
  <c r="AA12" i="6"/>
  <c r="AD14" i="19"/>
  <c r="AD29" i="19"/>
  <c r="AD16" i="19"/>
  <c r="AD12" i="19"/>
  <c r="AD17" i="19"/>
  <c r="AA15" i="6"/>
  <c r="AD7" i="19"/>
  <c r="AC9" i="6"/>
  <c r="AD23"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8" i="6"/>
  <c r="AC17" i="6"/>
  <c r="AC18" i="6"/>
  <c r="AC20" i="6"/>
  <c r="AC19" i="6"/>
  <c r="AC15" i="6"/>
  <c r="AD3" i="19"/>
  <c r="AC11" i="6"/>
  <c r="AC16" i="6"/>
  <c r="AC13" i="6"/>
  <c r="AC21" i="6"/>
  <c r="AC12" i="6"/>
  <c r="AC10" i="6"/>
  <c r="AC14" i="6"/>
  <c r="AC22"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21" i="18"/>
  <c r="AD9" i="18"/>
  <c r="AD14" i="18"/>
  <c r="AD18" i="18"/>
  <c r="AD27" i="18"/>
  <c r="AD5" i="18"/>
  <c r="AD35" i="18"/>
  <c r="AD24" i="18"/>
  <c r="AD40" i="18"/>
  <c r="AD42" i="18"/>
  <c r="AD17" i="18"/>
  <c r="AD34" i="18"/>
  <c r="AD12" i="18"/>
  <c r="AD31" i="18"/>
  <c r="AD16" i="18"/>
  <c r="AD22" i="18"/>
  <c r="AD32" i="18"/>
  <c r="AD15" i="18"/>
  <c r="AD8" i="18"/>
  <c r="AD39" i="18"/>
  <c r="AD26" i="18"/>
  <c r="AD33" i="18"/>
  <c r="AD19" i="18"/>
  <c r="AD6" i="18"/>
  <c r="AD37" i="18"/>
  <c r="AD23" i="18"/>
  <c r="AD36" i="18"/>
  <c r="AD30" i="18"/>
  <c r="AD20" i="18"/>
  <c r="AD38" i="18"/>
  <c r="AD41" i="18"/>
  <c r="AD28" i="18"/>
  <c r="AD25" i="18"/>
  <c r="AD10" i="18"/>
  <c r="AD13" i="18"/>
  <c r="AD11" i="18"/>
  <c r="AD29"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42" i="17"/>
  <c r="Y3" i="29"/>
  <c r="Z3" i="30"/>
  <c r="M6" i="25" a="1"/>
  <c r="AC3" i="31"/>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6" i="17"/>
  <c r="AD38" i="17"/>
  <c r="AD9" i="17"/>
  <c r="AD22" i="17"/>
  <c r="AD11" i="17"/>
  <c r="AD32" i="17"/>
  <c r="AD20" i="17"/>
  <c r="AD7" i="17"/>
  <c r="AD30" i="17"/>
  <c r="AD25" i="17"/>
  <c r="AD17" i="17"/>
  <c r="AD19" i="17"/>
  <c r="AD12" i="17"/>
  <c r="AD34" i="17"/>
  <c r="AD33" i="17"/>
  <c r="AD24" i="17"/>
  <c r="AD28" i="17"/>
  <c r="AD16" i="17"/>
  <c r="AD37" i="17"/>
  <c r="AD31" i="17"/>
  <c r="AD27" i="17"/>
  <c r="AD23" i="17"/>
  <c r="AD36" i="17"/>
  <c r="AD21" i="17"/>
  <c r="AD14" i="17"/>
  <c r="AD5" i="17"/>
  <c r="AD13" i="17"/>
  <c r="AD29" i="17"/>
  <c r="AD35" i="17"/>
  <c r="AD15" i="17"/>
  <c r="AD41" i="17"/>
  <c r="AD39" i="17"/>
  <c r="AD18" i="17"/>
  <c r="AD26" i="17"/>
  <c r="AD8" i="17"/>
  <c r="AD40" i="17"/>
  <c r="AD10" i="17"/>
  <c r="M9" i="25" l="1"/>
  <c r="Y6" i="25" s="1" a="1"/>
  <c r="AD3" i="17"/>
  <c r="Y9" i="25" l="1"/>
  <c r="Y6" i="25"/>
  <c r="Y7" i="25"/>
  <c r="Y8" i="25"/>
  <c r="M7" i="24" a="1"/>
  <c r="AA9" i="25"/>
  <c r="AA7" i="25"/>
  <c r="AA6" i="25"/>
  <c r="AA8"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3" i="23"/>
  <c r="AA17" i="23"/>
  <c r="AA12" i="23"/>
  <c r="AA6" i="23"/>
  <c r="AA10" i="23"/>
  <c r="AA7" i="23"/>
  <c r="W3" i="22"/>
  <c r="AA9" i="23"/>
  <c r="D7" i="24" a="1"/>
  <c r="AA16" i="23"/>
  <c r="AA11" i="23"/>
  <c r="AA15" i="23"/>
  <c r="AA14" i="23"/>
  <c r="AA8"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2" i="24"/>
  <c r="F34" i="24"/>
  <c r="F16" i="24"/>
  <c r="F46" i="24"/>
  <c r="F43" i="24"/>
  <c r="F29" i="24"/>
  <c r="AA4" i="23"/>
  <c r="F21" i="24"/>
  <c r="F48" i="24"/>
  <c r="F28" i="24"/>
  <c r="F22" i="24"/>
  <c r="F10" i="24"/>
  <c r="F38" i="24"/>
  <c r="F14" i="24"/>
  <c r="F40" i="24"/>
  <c r="F32" i="24"/>
  <c r="F26" i="24"/>
  <c r="F47" i="24"/>
  <c r="F31" i="24"/>
  <c r="F17" i="24"/>
  <c r="F11" i="24"/>
  <c r="F24" i="24"/>
  <c r="F25" i="24"/>
  <c r="F35" i="24"/>
  <c r="F9" i="24"/>
  <c r="F20" i="24"/>
  <c r="F42" i="24"/>
  <c r="F30" i="24"/>
  <c r="F8" i="24"/>
  <c r="AK7" i="24" a="1"/>
  <c r="F36" i="24"/>
  <c r="F27" i="24"/>
  <c r="F44" i="24"/>
  <c r="F18" i="24"/>
  <c r="F13" i="24"/>
  <c r="F15" i="24"/>
  <c r="F39" i="24"/>
  <c r="F45" i="24"/>
  <c r="F19" i="24"/>
  <c r="F41" i="24"/>
  <c r="F37" i="24"/>
  <c r="F7" i="24"/>
  <c r="F23" i="24"/>
  <c r="F33"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27" i="24"/>
  <c r="Z12" i="24"/>
  <c r="G36" i="24"/>
  <c r="G9" i="24"/>
  <c r="Z14" i="24"/>
  <c r="G23" i="24"/>
  <c r="G20" i="24"/>
  <c r="Z10" i="24"/>
  <c r="Z17" i="24"/>
  <c r="Z30" i="24"/>
  <c r="Z37" i="24"/>
  <c r="G43" i="24"/>
  <c r="Z38" i="24"/>
  <c r="Z34" i="24"/>
  <c r="G42" i="24"/>
  <c r="G46" i="24"/>
  <c r="G41" i="24"/>
  <c r="G33" i="24"/>
  <c r="G25" i="24"/>
  <c r="Z41" i="24"/>
  <c r="Z40" i="24"/>
  <c r="Z15" i="24"/>
  <c r="Z31" i="24"/>
  <c r="G38" i="24"/>
  <c r="G21" i="24"/>
  <c r="Z43" i="24"/>
  <c r="G29" i="24"/>
  <c r="Z11" i="24"/>
  <c r="Z32" i="24"/>
  <c r="Z29" i="24"/>
  <c r="G37" i="24"/>
  <c r="G18" i="24"/>
  <c r="G26" i="24"/>
  <c r="G17" i="24"/>
  <c r="G30" i="24"/>
  <c r="G45" i="24"/>
  <c r="G11" i="24"/>
  <c r="G13" i="24"/>
  <c r="Z25" i="24"/>
  <c r="Z19" i="24"/>
  <c r="G12" i="24"/>
  <c r="Z33" i="24"/>
  <c r="G24" i="24"/>
  <c r="G19" i="24"/>
  <c r="Z18" i="24"/>
  <c r="G14" i="24"/>
  <c r="Z35" i="24"/>
  <c r="G10" i="24"/>
  <c r="G35" i="24"/>
  <c r="Z26" i="24"/>
  <c r="G44" i="24"/>
  <c r="Z48" i="24"/>
  <c r="G28" i="24"/>
  <c r="Z9" i="24"/>
  <c r="Z28" i="24"/>
  <c r="Z7" i="24"/>
  <c r="Z45" i="24"/>
  <c r="Z16" i="24"/>
  <c r="G8" i="24"/>
  <c r="Z44" i="24"/>
  <c r="Z24" i="24"/>
  <c r="Z42" i="24"/>
  <c r="G39" i="24"/>
  <c r="Z20" i="24"/>
  <c r="G48" i="24"/>
  <c r="Z22" i="24"/>
  <c r="G31" i="24"/>
  <c r="G47" i="24"/>
  <c r="Z21" i="24"/>
  <c r="G40" i="24"/>
  <c r="G32" i="24"/>
  <c r="G22" i="24"/>
  <c r="Z46" i="24"/>
  <c r="Z13" i="24"/>
  <c r="Z47" i="24"/>
  <c r="Z39" i="24"/>
  <c r="G16" i="24"/>
  <c r="G34" i="24"/>
  <c r="G7" i="24"/>
  <c r="G15" i="24"/>
  <c r="Z23" i="24"/>
  <c r="Z8" i="24"/>
  <c r="Z36" i="24"/>
  <c r="G27"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37" i="24"/>
  <c r="AN42" i="24"/>
  <c r="AN46" i="24"/>
  <c r="AN7" i="24"/>
  <c r="AN28" i="24"/>
  <c r="AN29" i="24"/>
  <c r="AN34" i="24"/>
  <c r="O3" i="35"/>
  <c r="AO34" i="24"/>
  <c r="AN26" i="24"/>
  <c r="AO46" i="24"/>
  <c r="AN33" i="24"/>
  <c r="AN22" i="24"/>
  <c r="AN43" i="24"/>
  <c r="AO43" i="24" s="1"/>
  <c r="AO26" i="24"/>
  <c r="AN30" i="24"/>
  <c r="AN24" i="24"/>
  <c r="AN35" i="24"/>
  <c r="AO42" i="24"/>
  <c r="AN32" i="24"/>
  <c r="AN47" i="24"/>
  <c r="AN25" i="24"/>
  <c r="AO37" i="24"/>
  <c r="AO33" i="24"/>
  <c r="AN10" i="24"/>
  <c r="AO10" i="24" s="1"/>
  <c r="AN20" i="24"/>
  <c r="AO20" i="24" s="1"/>
  <c r="AN17" i="24"/>
  <c r="AO35" i="24"/>
  <c r="AO24" i="24"/>
  <c r="AO47" i="24"/>
  <c r="AN31" i="24"/>
  <c r="AO31" i="24" s="1"/>
  <c r="AN45" i="24"/>
  <c r="AO45" i="24" s="1"/>
  <c r="AN41" i="24"/>
  <c r="AO41" i="24" s="1"/>
  <c r="AN15" i="24"/>
  <c r="AN48" i="24"/>
  <c r="Z5" i="24"/>
  <c r="AN23" i="24"/>
  <c r="AO23" i="24" s="1"/>
  <c r="AN27" i="24"/>
  <c r="O3" i="36"/>
  <c r="AN13" i="24"/>
  <c r="AO13" i="24" s="1"/>
  <c r="AN36" i="24"/>
  <c r="AO36" i="24" s="1"/>
  <c r="AN12" i="24"/>
  <c r="AN14" i="24"/>
  <c r="AN19" i="24"/>
  <c r="AO19" i="24" s="1"/>
  <c r="AO48" i="24"/>
  <c r="AO22" i="24"/>
  <c r="AN40" i="24"/>
  <c r="AO40" i="24" s="1"/>
  <c r="AN16" i="24"/>
  <c r="AO16" i="24" s="1"/>
  <c r="AN44" i="24"/>
  <c r="AO44" i="24" s="1"/>
  <c r="AN39" i="24"/>
  <c r="AN21" i="24"/>
  <c r="AN38" i="24"/>
  <c r="AN9" i="24"/>
  <c r="AO15" i="24"/>
  <c r="AN8" i="24"/>
  <c r="AO8" i="24" s="1"/>
  <c r="AN18" i="24"/>
  <c r="AO18" i="24" s="1"/>
  <c r="AN11" i="24"/>
  <c r="AO25" i="24"/>
  <c r="D7" i="67"/>
  <c r="J2" i="47"/>
  <c r="K2" i="47" s="1"/>
  <c r="AN6" i="24"/>
  <c r="AO6" i="24"/>
  <c r="AO38" i="24"/>
  <c r="AO30" i="24"/>
  <c r="AO28" i="24"/>
  <c r="AO7" i="24"/>
  <c r="AO9" i="24"/>
  <c r="AO21" i="24"/>
  <c r="AO29" i="24"/>
  <c r="AO39" i="24"/>
  <c r="AO14" i="24"/>
  <c r="AO32" i="24"/>
  <c r="AO12" i="24"/>
  <c r="AO27" i="24"/>
  <c r="AO11" i="24"/>
  <c r="AO17" i="24"/>
</calcChain>
</file>

<file path=xl/sharedStrings.xml><?xml version="1.0" encoding="utf-8"?>
<sst xmlns="http://schemas.openxmlformats.org/spreadsheetml/2006/main" count="4212" uniqueCount="338">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</sst>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7">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52" t="s">
        <v>296</v>
      </c>
      <c r="C2" s="553"/>
      <c r="D2" s="553"/>
      <c r="E2" s="553"/>
      <c r="F2" s="554"/>
      <c r="H2" s="552" t="s">
        <v>20</v>
      </c>
      <c r="I2" s="553"/>
      <c r="J2" s="553"/>
      <c r="K2" s="554"/>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41652.068148148152</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19</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41652</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52" t="s">
        <v>136</v>
      </c>
      <c r="I13" s="553"/>
      <c r="J13" s="553"/>
      <c r="K13" s="554"/>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EuriborSW#0000</v>
      </c>
      <c r="Z8" s="468" t="e">
        <f>_xll.qlIndexFixing($Y8,$T8,TRUE,$V8)</f>
        <v>#NUM!</v>
      </c>
      <c r="AA8" s="468">
        <f>IF($W8,_xll.qlIndexFixing($Y8,$T8,FALSE,$V8),"-")</f>
        <v>1.07E-3</v>
      </c>
      <c r="AB8" s="468" t="e">
        <f t="shared" ref="AB8:AB22" si="3">Z8-AA8</f>
        <v>#NUM!</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Euribor2W#0000</v>
      </c>
      <c r="Z9" s="468" t="e">
        <f>_xll.qlIndexFixing($Y9,$T9,TRUE,$V9)</f>
        <v>#NUM!</v>
      </c>
      <c r="AA9" s="468">
        <f>IF($W9,_xll.qlIndexFixing($Y9,$T9,FALSE,$V9),"-")</f>
        <v>1.1299999999999999E-3</v>
      </c>
      <c r="AB9" s="468" t="e">
        <f t="shared" si="3"/>
        <v>#NUM!</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Euribor3W#0000</v>
      </c>
      <c r="Z10" s="468" t="e">
        <f>_xll.qlIndexFixing($Y10,$T10,TRUE,$V10)</f>
        <v>#NUM!</v>
      </c>
      <c r="AA10" s="468">
        <f>IF($W10,_xll.qlIndexFixing($Y10,$T10,FALSE,$V10),"-")</f>
        <v>1.2099999999999999E-3</v>
      </c>
      <c r="AB10" s="468" t="e">
        <f t="shared" si="3"/>
        <v>#NUM!</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Euribor1M#0000</v>
      </c>
      <c r="Z11" s="468" t="e">
        <f>_xll.qlIndexFixing($Y11,$T11,TRUE,$V11)</f>
        <v>#NUM!</v>
      </c>
      <c r="AA11" s="468">
        <f>IF($W11,_xll.qlIndexFixing($Y11,$T11,FALSE,$V11),"-")</f>
        <v>1.31E-3</v>
      </c>
      <c r="AB11" s="468" t="e">
        <f t="shared" si="3"/>
        <v>#NUM!</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Euribor2M#0000</v>
      </c>
      <c r="Z12" s="468" t="e">
        <f>_xll.qlIndexFixing($Y12,$T12,TRUE,$V12)</f>
        <v>#NUM!</v>
      </c>
      <c r="AA12" s="468">
        <f>IF($W12,_xll.qlIndexFixing($Y12,$T12,FALSE,$V12),"-")</f>
        <v>1.81E-3</v>
      </c>
      <c r="AB12" s="468" t="e">
        <f t="shared" si="3"/>
        <v>#NUM!</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Euribor3M#0000</v>
      </c>
      <c r="Z13" s="468" t="e">
        <f>_xll.qlIndexFixing($Y13,$T13,TRUE,$V13)</f>
        <v>#NUM!</v>
      </c>
      <c r="AA13" s="468">
        <f>IF($W13,_xll.qlIndexFixing($Y13,$T13,FALSE,$V13),"-")</f>
        <v>2.2500000000000003E-3</v>
      </c>
      <c r="AB13" s="468" t="e">
        <f t="shared" si="3"/>
        <v>#NUM!</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Euribor4M#0000</v>
      </c>
      <c r="Z14" s="468" t="e">
        <f>_xll.qlIndexFixing($Y14,$T14,TRUE,$V14)</f>
        <v>#NUM!</v>
      </c>
      <c r="AA14" s="468">
        <f>IF($W14,_xll.qlIndexFixing($Y14,$T14,FALSE,$V14),"-")</f>
        <v>2.65E-3</v>
      </c>
      <c r="AB14" s="468" t="e">
        <f t="shared" si="3"/>
        <v>#NUM!</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Euribor5M#0000</v>
      </c>
      <c r="Z15" s="468" t="e">
        <f>_xll.qlIndexFixing($Y15,$T15,TRUE,$V15)</f>
        <v>#NUM!</v>
      </c>
      <c r="AA15" s="468">
        <f>IF($W15,_xll.qlIndexFixing($Y15,$T15,FALSE,$V15),"-")</f>
        <v>2.99E-3</v>
      </c>
      <c r="AB15" s="468" t="e">
        <f t="shared" si="3"/>
        <v>#NUM!</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Euribor6M#0000</v>
      </c>
      <c r="Z16" s="468" t="e">
        <f>_xll.qlIndexFixing($Y16,$T16,TRUE,$V16)</f>
        <v>#NUM!</v>
      </c>
      <c r="AA16" s="468">
        <f>IF($W16,_xll.qlIndexFixing($Y16,$T16,FALSE,$V16),"-")</f>
        <v>3.4300000000000003E-3</v>
      </c>
      <c r="AB16" s="468" t="e">
        <f t="shared" si="3"/>
        <v>#NUM!</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Euribor7M#0000</v>
      </c>
      <c r="Z17" s="468" t="e">
        <f>_xll.qlIndexFixing($Y17,$T17,TRUE,$V17)</f>
        <v>#NUM!</v>
      </c>
      <c r="AA17" s="468">
        <f>IF($W17,_xll.qlIndexFixing($Y17,$T17,FALSE,$V17),"-")</f>
        <v>3.7699999999999999E-3</v>
      </c>
      <c r="AB17" s="468" t="e">
        <f t="shared" si="3"/>
        <v>#NUM!</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Euribor8M#0000</v>
      </c>
      <c r="Z18" s="468" t="e">
        <f>_xll.qlIndexFixing($Y18,$T18,TRUE,$V18)</f>
        <v>#NUM!</v>
      </c>
      <c r="AA18" s="468">
        <f>IF($W18,_xll.qlIndexFixing($Y18,$T18,FALSE,$V18),"-")</f>
        <v>4.1199999999999995E-3</v>
      </c>
      <c r="AB18" s="468" t="e">
        <f t="shared" si="3"/>
        <v>#NUM!</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Euribor9M#0000</v>
      </c>
      <c r="Z19" s="468" t="e">
        <f>_xll.qlIndexFixing($Y19,$T19,TRUE,$V19)</f>
        <v>#NUM!</v>
      </c>
      <c r="AA19" s="468">
        <f>IF($W19,_xll.qlIndexFixing($Y19,$T19,FALSE,$V19),"-")</f>
        <v>4.4200000000000003E-3</v>
      </c>
      <c r="AB19" s="468" t="e">
        <f t="shared" si="3"/>
        <v>#NUM!</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Euribor10M#0000</v>
      </c>
      <c r="Z20" s="468" t="e">
        <f>_xll.qlIndexFixing($Y20,$T20,TRUE,$V20)</f>
        <v>#NUM!</v>
      </c>
      <c r="AA20" s="468">
        <f>IF($W20,_xll.qlIndexFixing($Y20,$T20,FALSE,$V20),"-")</f>
        <v>4.7299999999999998E-3</v>
      </c>
      <c r="AB20" s="468" t="e">
        <f t="shared" si="3"/>
        <v>#NUM!</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Euribor11M#0000</v>
      </c>
      <c r="Z21" s="468" t="e">
        <f>_xll.qlIndexFixing($Y21,$T21,TRUE,$V21)</f>
        <v>#NUM!</v>
      </c>
      <c r="AA21" s="468">
        <f>IF($W21,_xll.qlIndexFixing($Y21,$T21,FALSE,$V21),"-")</f>
        <v>5.0299999999999997E-3</v>
      </c>
      <c r="AB21" s="468" t="e">
        <f t="shared" si="3"/>
        <v>#NUM!</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Euribor1Y#0000</v>
      </c>
      <c r="Z22" s="458" t="e">
        <f>_xll.qlIndexFixing($Y22,$T22,TRUE,$V22)</f>
        <v>#NUM!</v>
      </c>
      <c r="AA22" s="458">
        <f>IF($W22,_xll.qlIndexFixing($Y22,$T22,FALSE,$V22),"-")</f>
        <v>5.3500000000000006E-3</v>
      </c>
      <c r="AB22" s="458" t="e">
        <f t="shared" si="3"/>
        <v>#NUM!</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obj_00634#0004</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obj_00633#0004</v>
      </c>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EUR3E6E1Y_Quote#0000</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EUR3E6E15M_Quote#0000</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EUR3E6E18M_Quote#0000</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EUR3E6E21M_Quote#0000</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EUR3E6E7Y_Quote#0000</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EUR3E6E8Y_Quote#0000</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EUR3E6E9Y_Quote#0000</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EUR3E6E10Y_Quote#0000</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EUR3E6E11Y_Quote#0000</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EUR3E6E12Y_Quote#0000</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EUR3E6E13Y_Quote#0000</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EUR3E6E14Y_Quote#0000</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EUR3E6E15Y_Quote#0000</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EUR3E6E16Y_Quote#0000</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EUR3E6E17Y_Quote#0000</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EUR3E6E18Y_Quote#0000</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EUR3E6E19Y_Quote#0000</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EUR3E6E20Y_Quote#0000</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EUR3E6E21Y_Quote#0000</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EUR3E6E22Y_Quote#0000</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EUR3E6E23Y_Quote#0000</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EUR3E6E24Y_Quote#0000</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EUR3E6E25Y_Quote#0000</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EUR3E6E26Y_Quote#0000</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EUR3E6E27Y_Quote#0000</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EUR3E6E28Y_Quote#0000</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EUR3E6E29Y_Quote#0000</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EUR3E6E30Y_Quote#0000</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EUR3E6E35Y_Quote#0000</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EUR3E6E40Y_Quote#0000</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EUR3E6E50Y_Quote#0000</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EUR3E6E60Y_Quote#0000</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obj_00632#0004</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50"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51">
        <v>0.86399999999999999</v>
      </c>
      <c r="W33" s="549"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0</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EURFUT1MF4_Quote#0000</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EURFUT1MG4_Quote#0000</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EURFUT1MH4_Quote#0000</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EURFUT1MJ4_Quote#0000</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EURFUT1MK4_Quote#0000</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EURFUT1MM4_Quote#0000</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EURFUT1MN4_Quote#0000</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EURFUT1MQ4_Quote#0000</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EURFUT1MU4_Quote#0000</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EURFUT1MV4_Quote#0000</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EURFUT1MX4_Quote#0000</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EURFUT1MZ4_Quote#0000</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EURFUT1MF5_Quote#0000</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EURFUT1MG5_Quote#0000</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EURFUT1MH5_Quote#0000</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EURFUT1MJ5_Quote#0000</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EURFUT1MK5_Quote#0000</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EURFUT1MM5_Quote#0000</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EURFUT1MN5_Quote#0000</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EURFUT1MQ5_Quote#0000</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EURFUT1MU5_Quote#0000</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EURFUT1MV5_Quote#0000</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EURFUT1MX5_Quote#0000</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EURFUT1MZ5_Quote#0000</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EURFUT1MF6_Quote#0000</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EURFUT1MG6_Quote#0000</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EURFUT1MH6_Quote#0000</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EURFUT1MJ6_Quote#0000</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EURFUT1MK6_Quote#0000</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EURFUT1MM6_Quote#0000</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EURFUT1MN6_Quote#0000</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EURFUT1MQ6_Quote#0000</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EURFUT1MU6_Quote#0000</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EURFUT1MV6_Quote#0000</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EURFUT1MX6_Quote#0000</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EURFUT1MZ6_Quote#0000</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EURFUT1MF7_Quote#0000</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EURFUT1MG7_Quote#0000</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EURFUT1MH7_Quote#0000</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EURFUT1MJ7_Quote#0000</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EURFUT1MK7_Quote#0000</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EURFUT1MM7_Quote#0000</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EURFUT1MN7_Quote#0000</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EURFUT1MQ7_Quote#0000</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EURFUT1MU7_Quote#0000</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EURFUT1MV7_Quote#0000</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EURFUT1MX7_Quote#0000</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EURFUT1MZ7_Quote#0000</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EURFUT1MF8_Quote#0000</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EURFUT1MG8_Quote#0000</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EURFUT1MH8_Quote#0000</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EURFUT1MJ8_Quote#0000</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EURFUT1MK8_Quote#0000</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EURFUT1MM8_Quote#0000</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EURFUT1MN8_Quote#0000</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EURFUT1MQ8_Quote#0000</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EURFUT1MU8_Quote#0000</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EURFUT1MV8_Quote#0000</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EURFUT1MX8_Quote#0000</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EURFUT1MZ8_Quote#0000</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EURFUT1MF9_Quote#0000</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EURFUT1MG9_Quote#0000</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EURFUT1MH9_Quote#0000</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EURFUT1MJ9_Quote#0000</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EURFUT1MK9_Quote#0000</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EURFUT1MM9_Quote#0000</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EURFUT1MN9_Quote#0000</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EURFUT1MQ9_Quote#0000</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EURFUT1MU9_Quote#0000</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EURFUT1MV9_Quote#0000</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EURFUT1MX9_Quote#0000</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EURFUT1MZ9_Quote#0000</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EURFUT1MF0_Quote#0000</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EURFUT1MG0_Quote#0000</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EURFUT1MH0_Quote#0000</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EURFUT1MJ0_Quote#0000</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EURFUT1MK0_Quote#0000</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EURFUT1MM0_Quote#0000</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EURFUT1MN0_Quote#0000</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EURFUT1MQ0_Quote#0000</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EURFUT1MU0_Quote#0000</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EURFUT1MV0_Quote#0000</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EURFUT1MX0_Quote#0000</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EURFUT1MZ0_Quote#0000</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EURFUT1MF1_Quote#0000</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EURFUT1MG1_Quote#0000</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EURFUT1MH1_Quote#0000</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EURFUT1MJ1_Quote#0000</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EURFUT1MK1_Quote#0000</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EURFUT1MM1_Quote#0000</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EURFUT1MN1_Quote#0000</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EURFUT1MQ1_Quote#0000</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EURFUT1MU1_Quote#0000</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EURFUT1MV1_Quote#0000</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EURFUT1MX1_Quote#0000</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EURFUT1MZ1_Quote#0000</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EURFUT1MF2_Quote#0000</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EURFUT1MG2_Quote#0000</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EURFUT1MH2_Quote#0000</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EURFUT1MJ2_Quote#0000</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EURFUT1MK2_Quote#0000</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EURFUT1MM2_Quote#0000</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EURFUT1MN2_Quote#0000</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EURFUT1MQ2_Quote#0000</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EURFUT1MU2_Quote#0000</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EURFUT1MV2_Quote#0000</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EURFUT1MX2_Quote#0000</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EURFUT1MZ2_Quote#0000</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EURFUT1MF3_Quote#0000</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EURFUT1MG3_Quote#0000</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EURFUT1MH3_Quote#0000</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EURFUT1MJ3_Quote#0000</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EURFUT1MK3_Quote#0000</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EURFUT1MM3_Quote#0000</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EURFUT1MN3_Quote#0000</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EURFUT1MQ3_Quote#0000</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EURFUT1MU3_Quote#0000</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EURFUT1MV3_Quote#0000</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EURFUT1MX3_Quote#0000</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0</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EURFUT3MF4_Quote#0000</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EURFUT3MF4ConvAdj_Quote#0000</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EURFUT3MG4_Quote#0000</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EURFUT3MG4ConvAdj_Quote#0000</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EURFUT3MH4_Quote#0000</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EURFUT3MH4ConvAdj_Quote#0000</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EURFUT3MJ4_Quote#0000</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EURFUT3MJ4ConvAdj_Quote#0000</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EURFUT3MK4_Quote#0000</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EURFUT3MK4ConvAdj_Quote#0000</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EURFUT3MM4_Quote#0000</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EURFUT3MM4ConvAdj_Quote#0000</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EURFUT3MN4_Quote#0000</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EURFUT3MN4ConvAdj_Quote#0000</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EURFUT3MQ4_Quote#0000</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EURFUT3MQ4ConvAdj_Quote#0000</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EURFUT3MU4_Quote#0000</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EURFUT3MU4ConvAdj_Quote#0000</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EURFUT3MV4_Quote#0000</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EURFUT3MV4ConvAdj_Quote#0000</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EURFUT3MX4_Quote#0000</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EURFUT3MX4ConvAdj_Quote#0000</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EURFUT3MZ4_Quote#0000</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0</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EURIMMFRA6MF4_Quote#0000</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EURIMMFRA6MG4_Quote#0000</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EURIMMFRA6MH4_Quote#0000</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EURIMMFRA6MJ4_Quote#0000</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EURIMMFRA6MK4_Quote#0000</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EURIMMFRA6MM4_Quote#0000</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EURIMMFRA6MN4_Quote#0000</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EURIMMFRA6MQ4_Quote#0000</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EURIMMFRA6MU4_Quote#0000</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EURIMMFRA6MV4_Quote#0000</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EURIMMFRA6MX4_Quote#0000</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EURIMMFRA6MZ4_Quote#0000</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EURIMMFRA6MF5_Quote#0000</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EURIMMFRA6MG5_Quote#0000</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EURIMMFRA6MH5_Quote#0000</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EURIMMFRA6MJ5_Quote#0000</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EURIMMFRA6MK5_Quote#0000</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EURIMMFRA6MM5_Quote#0000</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EURIMMFRA6MN5_Quote#0000</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EURIMMFRA6MQ5_Quote#0000</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EURIMMFRA6MU5_Quote#0000</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EURIMMFRA6MV5_Quote#0000</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EURIMMFRA6MX5_Quote#0000</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EURIMMFRA6MZ5_Quote#0000</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EURIMMFRA6MF6_Quote#0000</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EURIMMFRA6MG6_Quote#0000</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EURIMMFRA6MH6_Quote#0000</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EURIMMFRA6MJ6_Quote#0000</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EURIMMFRA6MK6_Quote#0000</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EURIMMFRA6MM6_Quote#0000</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EURIMMFRA6MN6_Quote#0000</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EURIMMFRA6MQ6_Quote#0000</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EURIMMFRA6MU6_Quote#0000</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EURIMMFRA6MV6_Quote#0000</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EURIMMFRA6MX6_Quote#0000</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EURIMMFRA6MZ6_Quote#0000</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EURIMMFRA6MF7_Quote#0000</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EURIMMFRA6MG7_Quote#0000</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EURIMMFRA6MH7_Quote#0000</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EURIMMFRA6MJ7_Quote#0000</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EURIMMFRA6MK7_Quote#0000</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EURIMMFRA6MM7_Quote#0000</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EURIMMFRA6MN7_Quote#0000</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EURIMMFRA6MQ7_Quote#0000</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EURIMMFRA6MU7_Quote#0000</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EURIMMFRA6MV7_Quote#0000</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EURIMMFRA6MX7_Quote#0000</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EURIMMFRA6MZ7_Quote#0000</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EURIMMFRA6MF8_Quote#0000</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EURIMMFRA6MG8_Quote#0000</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EURIMMFRA6MH8_Quote#0000</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EURIMMFRA6MJ8_Quote#0000</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EURIMMFRA6MK8_Quote#0000</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EURIMMFRA6MM8_Quote#0000</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EURIMMFRA6MN8_Quote#0000</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EURIMMFRA6MQ8_Quote#0000</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EURIMMFRA6MU8_Quote#0000</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EURIMMFRA6MV8_Quote#0000</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EURIMMFRA6MX8_Quote#0000</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EURIMMFRA6MZ8_Quote#0000</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EURIMMFRA6MF9_Quote#0000</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EURIMMFRA6MG9_Quote#0000</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EURIMMFRA6MH9_Quote#0000</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EURIMMFRA6MJ9_Quote#0000</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EURIMMFRA6MK9_Quote#0000</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EURIMMFRA6MM9_Quote#0000</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EURIMMFRA6MN9_Quote#0000</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EURIMMFRA6MQ9_Quote#0000</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EURIMMFRA6MU9_Quote#0000</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EURIMMFRA6MV9_Quote#0000</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EURIMMFRA6MX9_Quote#0000</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EURIMMFRA6MZ9_Quote#0000</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EURIMMFRA6MF0_Quote#0000</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EURIMMFRA6MG0_Quote#0000</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EURIMMFRA6MH0_Quote#0000</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EURIMMFRA6MJ0_Quote#0000</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EURIMMFRA6MK0_Quote#0000</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EURIMMFRA6MM0_Quote#0000</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EURIMMFRA6MN0_Quote#0000</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EURIMMFRA6MQ0_Quote#0000</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EURIMMFRA6MU0_Quote#0000</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EURIMMFRA6MV0_Quote#0000</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EURIMMFRA6MX0_Quote#0000</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EURIMMFRA6MZ0_Quote#0000</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EURIMMFRA6MF1_Quote#0000</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EURIMMFRA6MG1_Quote#0000</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EURIMMFRA6MH1_Quote#0000</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EURIMMFRA6MJ1_Quote#0000</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EURIMMFRA6MK1_Quote#0000</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EURIMMFRA6MM1_Quote#0000</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EURIMMFRA6MN1_Quote#0000</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EURIMMFRA6MQ1_Quote#0000</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EURIMMFRA6MU1_Quote#0000</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EURIMMFRA6MV1_Quote#0000</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EURIMMFRA6MX1_Quote#0000</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EURIMMFRA6MZ1_Quote#0000</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EURIMMFRA6MF2_Quote#0000</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EURIMMFRA6MG2_Quote#0000</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EURIMMFRA6MH2_Quote#0000</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EURIMMFRA6MJ2_Quote#0000</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EURIMMFRA6MK2_Quote#0000</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EURIMMFRA6MM2_Quote#0000</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EURIMMFRA6MN2_Quote#0000</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EURIMMFRA6MQ2_Quote#0000</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EURIMMFRA6MU2_Quote#0000</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EURIMMFRA6MV2_Quote#0000</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EURIMMFRA6MX2_Quote#0000</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EURIMMFRA6MZ2_Quote#0000</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EURIMMFRA6MF3_Quote#0000</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EURIMMFRA6MG3_Quote#0000</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EURIMMFRA6MH3_Quote#0000</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EURIMMFRA6MJ3_Quote#0000</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EURIMMFRA6MK3_Quote#0000</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EURIMMFRA6MM3_Quote#0000</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EURIMMFRA6MN3_Quote#0000</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EURIMMFRA6MQ3_Quote#0000</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EURIMMFRA6MU3_Quote#0000</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EURIMMFRA6MV3_Quote#0000</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EURIMMFRA6MX3_Quote#0000</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55" t="s">
        <v>267</v>
      </c>
      <c r="L4" s="556"/>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EURECBOISJAN13_Quote#0000</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EURECBOISFEB13_Quote#0000</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EURECBOISMAR13_Quote#0000</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EURECBOISAPR13_Quote#0000</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EURECBOISMAY13_Quote#0000</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EURECBOISJUN13_Quote#0000</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EURECBOISAUG13_Quote#0000</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EURECBOISSEP13_Quote#0000</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EURECBOISOCT13_Quote#0000</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EURECBOISNOV13_Quote#0000</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EURECBOISDEC13_Quote#0000</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#NUM!</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#NUM!</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#NUM!</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#NUM!</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#NUM!</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19</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19</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5"/>
      <c r="I3" s="535"/>
      <c r="J3" s="535"/>
      <c r="K3" s="522"/>
      <c r="L3" s="522"/>
      <c r="M3" s="522"/>
      <c r="N3" s="535"/>
      <c r="O3" s="534">
        <f>_xll.ohTrigger(O5:O8)</f>
        <v>0</v>
      </c>
      <c r="P3" s="51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5"/>
      <c r="I5" s="529" t="s">
        <v>153</v>
      </c>
      <c r="J5" s="544" t="s">
        <v>324</v>
      </c>
      <c r="K5" s="546"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5"/>
      <c r="I6" s="529" t="s">
        <v>152</v>
      </c>
      <c r="J6" s="544" t="s">
        <v>325</v>
      </c>
      <c r="K6" s="546"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5"/>
      <c r="I7" s="529" t="s">
        <v>151</v>
      </c>
      <c r="J7" s="544" t="s">
        <v>326</v>
      </c>
      <c r="K7" s="546"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5"/>
      <c r="I8" s="524" t="s">
        <v>150</v>
      </c>
      <c r="J8" s="545" t="s">
        <v>327</v>
      </c>
      <c r="K8" s="546"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5"/>
      <c r="I9" s="524" t="s">
        <v>149</v>
      </c>
      <c r="J9" s="545" t="s">
        <v>328</v>
      </c>
      <c r="K9" s="546"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5"/>
      <c r="I3" s="535"/>
      <c r="J3" s="535"/>
      <c r="K3" s="522"/>
      <c r="L3" s="522"/>
      <c r="M3" s="522"/>
      <c r="N3" s="535"/>
      <c r="O3" s="534">
        <f>_xll.ohTrigger(O5:O10)</f>
        <v>0</v>
      </c>
      <c r="P3" s="51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5"/>
      <c r="I5" s="529" t="s">
        <v>153</v>
      </c>
      <c r="J5" s="544" t="s">
        <v>331</v>
      </c>
      <c r="K5" s="546"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5"/>
      <c r="I6" s="529" t="s">
        <v>152</v>
      </c>
      <c r="J6" s="544" t="s">
        <v>332</v>
      </c>
      <c r="K6" s="546"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5"/>
      <c r="I7" s="529" t="s">
        <v>151</v>
      </c>
      <c r="J7" s="544" t="s">
        <v>333</v>
      </c>
      <c r="K7" s="546"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5"/>
      <c r="I8" s="524" t="s">
        <v>150</v>
      </c>
      <c r="J8" s="545" t="s">
        <v>334</v>
      </c>
      <c r="K8" s="546"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5"/>
      <c r="I9" s="529" t="s">
        <v>149</v>
      </c>
      <c r="J9" s="544" t="s">
        <v>335</v>
      </c>
      <c r="K9" s="546"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5"/>
      <c r="I10" s="529" t="s">
        <v>148</v>
      </c>
      <c r="J10" s="544" t="s">
        <v>336</v>
      </c>
      <c r="K10" s="546"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5"/>
      <c r="I11" s="524" t="s">
        <v>147</v>
      </c>
      <c r="J11" s="545" t="s">
        <v>337</v>
      </c>
      <c r="K11" s="546"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8"/>
      <c r="I12" s="547"/>
      <c r="J12" s="547"/>
      <c r="K12" s="547"/>
      <c r="L12" s="547"/>
      <c r="M12" s="547"/>
      <c r="N12" s="547"/>
      <c r="O12" s="547"/>
      <c r="P12" s="51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EURTND_SYNTH6M_Quote#0000</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EURSND_SYNTH6M_Quote#0000</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EURSWD_SYNTH6M_Quote#0000</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EUR2WD_SYNTH6M_Quote#0000</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EUR3WD_SYNTH6M_Quote#0000</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EUR1MD_SYNTH6M_Quote#0000</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EURTOY_SYNTH6M_Quote#0000</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EURTND_SYNTH1Y_Quote#0000</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EURSND_SYNTH1Y_Quote#0000</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EURSWD_SYNTH1Y_Quote#0000</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EUR2WD_SYNTH1Y_Quote#0000</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EUR3WD_SYNTH1Y_Quote#0000</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EUR1MD_SYNTH1Y_Quote#0000</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EUR8MD_SYNTH1Y_Quote#0000</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EUR16x28F_SYNTH1Y_Quote#0000</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EUR17x29F_SYNTH1Y_Quote#0000</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EUR18x30F_SYNTH1Y_Quote#0000</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EUR19x31F_SYNTH1Y_Quote#0000</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EUR20x32F_SYNTH1Y_Quote#0000</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EUR21x33F_SYNTH1Y_Quote#0000</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EUR22x34F_SYNTH1Y_Quote#0000</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EUR23x35F_SYNTH1Y_Quote#0000</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EUR25x37F_SYNTH1Y_Quote#0000</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EUR26x38F_SYNTH1Y_Quote#0000</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EUR27x39F_SYNTH1Y_Quote#0000</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EUR28x40F_SYNTH1Y_Quote#0000</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EUR29x41F_SYNTH1Y_Quote#0000</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EUR30x42F_SYNTH1Y_Quote#0000</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EUR31x43F_SYNTH1Y_Quote#0000</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EUR32x44F_SYNTH1Y_Quote#0000</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EUR33x45F_SYNTH1Y_Quote#0000</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EUR34x46F_SYNTH1Y_Quote#0000</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EUR35x47F_SYNTH1Y_Quote#0000</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EUR37x49F_SYNTH1Y_Quote#0000</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EUR38x50F_SYNTH1Y_Quote#0000</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EUR39x51F_SYNTH1Y_Quote#0000</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EUR40x52F_SYNTH1Y_Quote#0000</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EUR41x53F_SYNTH1Y_Quote#0000</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EUR42x54F_SYNTH1Y_Quote#0000</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EUR43x55F_SYNTH1Y_Quote#0000</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EUR44x56F_SYNTH1Y_Quote#0000</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EUR45x57F_SYNTH1Y_Quote#0000</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EUR46x58F_SYNTH1Y_Quote#0000</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EUR47x59F_SYNTH1Y_Quote#0000</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EURAB3EBASIS1Y_Quote#0001</v>
      </c>
      <c r="K3" s="245" t="str">
        <f>_xll.ohRangeRetrieveError(J3)</f>
        <v/>
      </c>
      <c r="L3" s="49"/>
    </row>
    <row r="4" spans="1:12"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EURAB3EBASIS15M_Quote#0001</v>
      </c>
      <c r="K4" s="245" t="str">
        <f>_xll.ohRangeRetrieveError(J4)</f>
        <v/>
      </c>
      <c r="L4" s="49"/>
    </row>
    <row r="5" spans="1:12"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EURAB3EBASIS18M_Quote#0001</v>
      </c>
      <c r="K5" s="245" t="str">
        <f>_xll.ohRangeRetrieveError(J5)</f>
        <v/>
      </c>
      <c r="L5" s="49"/>
    </row>
    <row r="6" spans="1:12"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EURAB3EBASIS21M_Quote#0001</v>
      </c>
      <c r="K6" s="245" t="str">
        <f>_xll.ohRangeRetrieveError(J6)</f>
        <v/>
      </c>
      <c r="L6" s="49"/>
    </row>
    <row r="7" spans="1:12"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EURAB3EBASIS2Y_Quote#0002</v>
      </c>
      <c r="K7" s="245" t="str">
        <f>_xll.ohRangeRetrieveError(J7)</f>
        <v/>
      </c>
      <c r="L7" s="49"/>
    </row>
    <row r="8" spans="1:12"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EURAB3EBASIS3Y_Quote#0001</v>
      </c>
      <c r="K8" s="245" t="str">
        <f>_xll.ohRangeRetrieveError(J8)</f>
        <v/>
      </c>
      <c r="L8" s="49"/>
    </row>
    <row r="9" spans="1:12"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EURAB3EBASIS4Y_Quote#0001</v>
      </c>
      <c r="K9" s="245" t="str">
        <f>_xll.ohRangeRetrieveError(J9)</f>
        <v/>
      </c>
      <c r="L9" s="49"/>
    </row>
    <row r="10" spans="1:12"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EURAB3EBASIS5Y_Quote#0001</v>
      </c>
      <c r="K10" s="245" t="str">
        <f>_xll.ohRangeRetrieveError(J10)</f>
        <v/>
      </c>
      <c r="L10" s="49"/>
    </row>
    <row r="11" spans="1:12"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EURAB3EBASIS6Y_Quote#0001</v>
      </c>
      <c r="K11" s="245" t="str">
        <f>_xll.ohRangeRetrieveError(J11)</f>
        <v/>
      </c>
      <c r="L11" s="49"/>
    </row>
    <row r="12" spans="1:12"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EURAB3EBASIS7Y_Quote#0001</v>
      </c>
      <c r="K12" s="245" t="str">
        <f>_xll.ohRangeRetrieveError(J12)</f>
        <v/>
      </c>
      <c r="L12" s="49"/>
    </row>
    <row r="13" spans="1:12"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EURAB3EBASIS8Y_Quote#0001</v>
      </c>
      <c r="K13" s="245" t="str">
        <f>_xll.ohRangeRetrieveError(J13)</f>
        <v/>
      </c>
      <c r="L13" s="49"/>
    </row>
    <row r="14" spans="1:12"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EURAB3EBASIS9Y_Quote#0001</v>
      </c>
      <c r="K14" s="245" t="str">
        <f>_xll.ohRangeRetrieveError(J14)</f>
        <v/>
      </c>
      <c r="L14" s="49"/>
    </row>
    <row r="15" spans="1:12"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EURAB3EBASIS10Y_Quote#0001</v>
      </c>
      <c r="K15" s="245" t="str">
        <f>_xll.ohRangeRetrieveError(J15)</f>
        <v/>
      </c>
      <c r="L15" s="49"/>
    </row>
    <row r="16" spans="1:12"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EURAB3EBASIS11Y_Quote#0001</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EURAB3EBASIS12Y_Quote#0001</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EURAB3EBASIS13Y_Quote#0001</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EURAB3EBASIS14Y_Quote#0001</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EURAB3EBASIS15Y_Quote#0001</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EURAB3EBASIS16Y_Quote#0001</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EURAB3EBASIS17Y_Quote#0001</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EURAB3EBASIS18Y_Quote#0001</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EURAB3EBASIS19Y_Quote#0001</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EURAB3EBASIS20Y_Quote#0001</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EURAB3EBASIS21Y_Quote#0001</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EURAB3EBASIS22Y_Quote#0001</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EURAB3EBASIS23Y_Quote#0001</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EURAB3EBASIS24Y_Quote#0001</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EURAB3EBASIS25Y_Quote#0001</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EURAB3EBASIS26Y_Quote#0001</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EURAB3EBASIS27Y_Quote#0001</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EURAB3EBASIS28Y_Quote#0001</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EURAB3EBASIS29Y_Quote#0001</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EURAB3EBASIS30Y_Quote#0001</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EURAB3EBASIS35Y_Quote#0001</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EURAB3EBASIS40Y_Quote#0001</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EURAB3EBASIS50Y_Quote#0001</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e">
        <f>_xll.qlCompositeQuote(I3,F3,H3,G3,Permanent,Trigger,ObjectOverwrite)</f>
        <v>#NUM!</v>
      </c>
      <c r="K3" s="245" t="e">
        <f ca="1">_xll.ohRangeRetrieveError(J3)</f>
        <v>#NUM!</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e">
        <f>_xll.qlCompositeQuote(I4,F4,H4,G4,Permanent,Trigger,ObjectOverwrite)</f>
        <v>#NUM!</v>
      </c>
      <c r="K4" s="245" t="e">
        <f ca="1">_xll.ohRangeRetrieveError(J4)</f>
        <v>#NUM!</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e">
        <f>_xll.qlCompositeQuote(I5,F5,H5,G5,Permanent,Trigger,ObjectOverwrite)</f>
        <v>#NUM!</v>
      </c>
      <c r="K5" s="245" t="e">
        <f ca="1">_xll.ohRangeRetrieveError(J5)</f>
        <v>#NUM!</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e">
        <f>_xll.qlCompositeQuote(I6,F6,H6,G6,Permanent,Trigger,ObjectOverwrite)</f>
        <v>#NUM!</v>
      </c>
      <c r="K6" s="245" t="e">
        <f ca="1">_xll.ohRangeRetrieveError(J6)</f>
        <v>#NUM!</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e">
        <f>_xll.qlCompositeQuote(I7,F7,H7,G7,Permanent,Trigger,ObjectOverwrite)</f>
        <v>#NUM!</v>
      </c>
      <c r="K7" s="245" t="e">
        <f ca="1">_xll.ohRangeRetrieveError(J7)</f>
        <v>#NUM!</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e">
        <f>_xll.qlCompositeQuote(I8,F8,H8,G8,Permanent,Trigger,ObjectOverwrite)</f>
        <v>#NUM!</v>
      </c>
      <c r="K8" s="245" t="e">
        <f ca="1">_xll.ohRangeRetrieveError(J8)</f>
        <v>#NUM!</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e">
        <f>_xll.qlCompositeQuote(I9,F9,H9,G9,Permanent,Trigger,ObjectOverwrite)</f>
        <v>#NUM!</v>
      </c>
      <c r="K9" s="245" t="e">
        <f ca="1">_xll.ohRangeRetrieveError(J9)</f>
        <v>#NUM!</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e">
        <f>IF($G4,_xll.qlIndexAddFixings($J4,$E4,$F4/100,TRUE,ISERROR($K4)),NA())</f>
        <v>#NUM!</v>
      </c>
      <c r="I4" s="460"/>
      <c r="J4" s="469" t="str">
        <f t="shared" ref="J4:J18" si="1">PROPER(Currency)&amp;$J$2&amp;$C4</f>
        <v>Euribor365SW</v>
      </c>
      <c r="K4" s="468" t="e">
        <f>_xll.qlIndexFixing($J4,$E4,TRUE,$G4)</f>
        <v>#NUM!</v>
      </c>
      <c r="L4" s="468" t="e">
        <f>IF($H4,_xll.qlIndexFixing($J4,$E4,FALSE,$G4),"-")</f>
        <v>#NUM!</v>
      </c>
      <c r="M4" s="468" t="e">
        <f t="shared" ref="M4:M18" si="2">K4-L4</f>
        <v>#NUM!</v>
      </c>
      <c r="N4" s="467" t="e">
        <f>_xll.qlIndexFixing($J4,$E4,TRUE,$L4)</f>
        <v>#NUM!</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e">
        <f>IF($G5,_xll.qlIndexAddFixings($J5,$E5,$F5/100,TRUE,ISERROR($K5)),NA())</f>
        <v>#NUM!</v>
      </c>
      <c r="I5" s="460"/>
      <c r="J5" s="469" t="str">
        <f t="shared" si="1"/>
        <v>Euribor3652W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e">
        <f>IF($G6,_xll.qlIndexAddFixings($J6,$E6,$F6/100,TRUE,ISERROR($K6)),NA())</f>
        <v>#NUM!</v>
      </c>
      <c r="I6" s="460"/>
      <c r="J6" s="469" t="str">
        <f t="shared" si="1"/>
        <v>Euribor3653W</v>
      </c>
      <c r="K6" s="468" t="e">
        <f>_xll.qlIndexFixing($J6,$E6,TRUE,$G6)</f>
        <v>#NUM!</v>
      </c>
      <c r="L6" s="468" t="e">
        <f>IF($H6,_xll.qlIndexFixing($J6,$E6,FALSE,$G6),"-")</f>
        <v>#NUM!</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e">
        <f>IF($G7,_xll.qlIndexAddFixings($J7,$E7,$F7/100,TRUE,ISERROR($K7)),NA())</f>
        <v>#NUM!</v>
      </c>
      <c r="I7" s="460"/>
      <c r="J7" s="469" t="str">
        <f t="shared" si="1"/>
        <v>Euribor3651M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e">
        <f>IF($G8,_xll.qlIndexAddFixings($J8,$E8,$F8/100,TRUE,ISERROR($K8)),NA())</f>
        <v>#NUM!</v>
      </c>
      <c r="I8" s="460"/>
      <c r="J8" s="469" t="str">
        <f t="shared" si="1"/>
        <v>Euribor3652M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e">
        <f>IF($G9,_xll.qlIndexAddFixings($J9,$E9,$F9/100,TRUE,ISERROR($K9)),NA())</f>
        <v>#NUM!</v>
      </c>
      <c r="I9" s="460"/>
      <c r="J9" s="469" t="str">
        <f t="shared" si="1"/>
        <v>Euribor3653M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e">
        <f>IF($G10,_xll.qlIndexAddFixings($J10,$E10,$F10/100,TRUE,ISERROR($K10)),NA())</f>
        <v>#NUM!</v>
      </c>
      <c r="I10" s="460"/>
      <c r="J10" s="469" t="str">
        <f t="shared" si="1"/>
        <v>Euribor3654M</v>
      </c>
      <c r="K10" s="468" t="e">
        <f>_xll.qlIndexFixing($J10,$E10,TRUE,$G10)</f>
        <v>#NUM!</v>
      </c>
      <c r="L10" s="468" t="e">
        <f>IF($H10,_xll.qlIndexFixing($J10,$E10,FALSE,$G10),"-")</f>
        <v>#NUM!</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e">
        <f>IF($G11,_xll.qlIndexAddFixings($J11,$E11,$F11/100,TRUE,ISERROR($K11)),NA())</f>
        <v>#NUM!</v>
      </c>
      <c r="I11" s="460"/>
      <c r="J11" s="469" t="str">
        <f t="shared" si="1"/>
        <v>Euribor3655M</v>
      </c>
      <c r="K11" s="468" t="e">
        <f>_xll.qlIndexFixing($J11,$E11,TRUE,$G11)</f>
        <v>#NUM!</v>
      </c>
      <c r="L11" s="468" t="e">
        <f>IF($H11,_xll.qlIndexFixing($J11,$E11,FALSE,$G11),"-")</f>
        <v>#NUM!</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e">
        <f>IF($G12,_xll.qlIndexAddFixings($J12,$E12,$F12/100,TRUE,ISERROR($K12)),NA())</f>
        <v>#NUM!</v>
      </c>
      <c r="I12" s="460"/>
      <c r="J12" s="469" t="str">
        <f t="shared" si="1"/>
        <v>Euribor3656M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e">
        <f>IF($G13,_xll.qlIndexAddFixings($J13,$E13,$F13/100,TRUE,ISERROR($K13)),NA())</f>
        <v>#NUM!</v>
      </c>
      <c r="I13" s="460"/>
      <c r="J13" s="469" t="str">
        <f t="shared" si="1"/>
        <v>Euribor3657M</v>
      </c>
      <c r="K13" s="468" t="e">
        <f>_xll.qlIndexFixing($J13,$E13,TRUE,$G13)</f>
        <v>#NUM!</v>
      </c>
      <c r="L13" s="468" t="e">
        <f>IF($H13,_xll.qlIndexFixing($J13,$E13,FALSE,$G13),"-")</f>
        <v>#NUM!</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e">
        <f>IF($G14,_xll.qlIndexAddFixings($J14,$E14,$F14/100,TRUE,ISERROR($K14)),NA())</f>
        <v>#NUM!</v>
      </c>
      <c r="I14" s="460"/>
      <c r="J14" s="469" t="str">
        <f t="shared" si="1"/>
        <v>Euribor3658M</v>
      </c>
      <c r="K14" s="468" t="e">
        <f>_xll.qlIndexFixing($J14,$E14,TRUE,$G14)</f>
        <v>#NUM!</v>
      </c>
      <c r="L14" s="468" t="e">
        <f>IF($H14,_xll.qlIndexFixing($J14,$E14,FALSE,$G14),"-")</f>
        <v>#NUM!</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e">
        <f>IF($G15,_xll.qlIndexAddFixings($J15,$E15,$F15/100,TRUE,ISERROR($K15)),NA())</f>
        <v>#NUM!</v>
      </c>
      <c r="I15" s="460"/>
      <c r="J15" s="469" t="str">
        <f t="shared" si="1"/>
        <v>Euribor3659M</v>
      </c>
      <c r="K15" s="468" t="e">
        <f>_xll.qlIndexFixing($J15,$E15,TRUE,$G15)</f>
        <v>#NUM!</v>
      </c>
      <c r="L15" s="468" t="e">
        <f>IF($H15,_xll.qlIndexFixing($J15,$E15,FALSE,$G15),"-")</f>
        <v>#NUM!</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e">
        <f>IF($G16,_xll.qlIndexAddFixings($J16,$E16,$F16/100,TRUE,ISERROR($K16)),NA())</f>
        <v>#NUM!</v>
      </c>
      <c r="I16" s="460"/>
      <c r="J16" s="469" t="str">
        <f t="shared" si="1"/>
        <v>Euribor36510M</v>
      </c>
      <c r="K16" s="468" t="e">
        <f>_xll.qlIndexFixing($J16,$E16,TRUE,$G16)</f>
        <v>#NUM!</v>
      </c>
      <c r="L16" s="468" t="e">
        <f>IF($H16,_xll.qlIndexFixing($J16,$E16,FALSE,$G16),"-")</f>
        <v>#NUM!</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e">
        <f>IF($G17,_xll.qlIndexAddFixings($J17,$E17,$F17/100,TRUE,ISERROR($K17)),NA())</f>
        <v>#NUM!</v>
      </c>
      <c r="I17" s="460"/>
      <c r="J17" s="469" t="str">
        <f t="shared" si="1"/>
        <v>Euribor36511M</v>
      </c>
      <c r="K17" s="468" t="e">
        <f>_xll.qlIndexFixing($J17,$E17,TRUE,$G17)</f>
        <v>#NUM!</v>
      </c>
      <c r="L17" s="468" t="e">
        <f>IF($H17,_xll.qlIndexFixing($J17,$E17,FALSE,$G17),"-")</f>
        <v>#NUM!</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e">
        <f>IF($G18,_xll.qlIndexAddFixings($J18,$E18,$F18/100,TRUE,ISERROR($K18)),NA())</f>
        <v>#NUM!</v>
      </c>
      <c r="I18" s="460"/>
      <c r="J18" s="459" t="str">
        <f t="shared" si="1"/>
        <v>Euribor3651Y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e">
        <f>IF($G4,_xll.qlIndexAddFixings($J4,$E4,$F4/100,TRUE,ISERROR($K4)),NA())</f>
        <v>#NUM!</v>
      </c>
      <c r="I4" s="460"/>
      <c r="J4" s="491" t="str">
        <f t="shared" ref="J4:J18" si="1">PROPER(Currency)&amp;$J$2&amp;$C4</f>
        <v>EurLiborON</v>
      </c>
      <c r="K4" s="490" t="e">
        <f>_xll.qlIndexFixing($J4,$E4,TRUE,$G4)</f>
        <v>#NUM!</v>
      </c>
      <c r="L4" s="490" t="e">
        <f>IF($H4,_xll.qlIndexFixing($J4,$E4,FALSE,$G4),"-")</f>
        <v>#NUM!</v>
      </c>
      <c r="M4" s="490" t="e">
        <f t="shared" ref="M4:M18" si="2">K4-L4</f>
        <v>#NUM!</v>
      </c>
      <c r="N4" s="489" t="e">
        <f>_xll.qlIndexFixing($J4,$E4,TRUE,$L4)</f>
        <v>#NUM!</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e">
        <f>IF($G5,_xll.qlIndexAddFixings($J5,$E5,$F5/100,TRUE,ISERROR($K5)),NA())</f>
        <v>#NUM!</v>
      </c>
      <c r="I5" s="460"/>
      <c r="J5" s="469" t="str">
        <f t="shared" si="1"/>
        <v>EurLiborSW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e">
        <f>IF($G7,_xll.qlIndexAddFixings($J7,$E7,$F7/100,TRUE,ISERROR($K7)),NA())</f>
        <v>#NUM!</v>
      </c>
      <c r="I7" s="460"/>
      <c r="J7" s="469" t="str">
        <f t="shared" si="1"/>
        <v>EurLibor1M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e">
        <f>IF($G8,_xll.qlIndexAddFixings($J8,$E8,$F8/100,TRUE,ISERROR($K8)),NA())</f>
        <v>#NUM!</v>
      </c>
      <c r="I8" s="460"/>
      <c r="J8" s="469" t="str">
        <f t="shared" si="1"/>
        <v>EurLibor2M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e">
        <f>IF($G9,_xll.qlIndexAddFixings($J9,$E9,$F9/100,TRUE,ISERROR($K9)),NA())</f>
        <v>#NUM!</v>
      </c>
      <c r="I9" s="460"/>
      <c r="J9" s="469" t="str">
        <f t="shared" si="1"/>
        <v>EurLibor3M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e">
        <f>IF($G12,_xll.qlIndexAddFixings($J12,$E12,$F12/100,TRUE,ISERROR($K12)),NA())</f>
        <v>#NUM!</v>
      </c>
      <c r="I12" s="460"/>
      <c r="J12" s="469" t="str">
        <f t="shared" si="1"/>
        <v>EurLibor6M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e">
        <f>IF($G18,_xll.qlIndexAddFixings($J18,$E18,$F18/100,TRUE,ISERROR($K18)),NA())</f>
        <v>#NUM!</v>
      </c>
      <c r="I18" s="460"/>
      <c r="J18" s="459" t="str">
        <f t="shared" si="1"/>
        <v>EurLibor1Y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e">
        <f>IF($G4,_xll.qlIndexAddFixings($J4,$E4,$F4/100,TRUE,ISERROR($K4)),NA())</f>
        <v>#NUM!</v>
      </c>
      <c r="I4" s="460"/>
      <c r="J4" s="491" t="str">
        <f t="shared" ref="J4:J18" si="1">PROPER(Currency)&amp;$J$2&amp;$C4</f>
        <v>EuriborSwapIsdaFixA1Y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e">
        <f>IF($G5,_xll.qlIndexAddFixings($J5,$E5,$F5/100,TRUE,ISERROR($K5)),NA())</f>
        <v>#NUM!</v>
      </c>
      <c r="I5" s="460"/>
      <c r="J5" s="469" t="str">
        <f t="shared" si="1"/>
        <v>EuriborSwapIsdaFixA2Y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e">
        <f>IF($G6,_xll.qlIndexAddFixings($J6,$E6,$F6/100,TRUE,ISERROR($K6)),NA())</f>
        <v>#NUM!</v>
      </c>
      <c r="I6" s="460"/>
      <c r="J6" s="469" t="str">
        <f t="shared" si="1"/>
        <v>EuriborSwapIsdaFixA3Y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e">
        <f>IF($G7,_xll.qlIndexAddFixings($J7,$E7,$F7/100,TRUE,ISERROR($K7)),NA())</f>
        <v>#NUM!</v>
      </c>
      <c r="I7" s="460"/>
      <c r="J7" s="469" t="str">
        <f t="shared" si="1"/>
        <v>EuriborSwapIsdaFixA4Y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e">
        <f>IF($G8,_xll.qlIndexAddFixings($J8,$E8,$F8/100,TRUE,ISERROR($K8)),NA())</f>
        <v>#NUM!</v>
      </c>
      <c r="I8" s="460"/>
      <c r="J8" s="469" t="str">
        <f t="shared" si="1"/>
        <v>EuriborSwapIsdaFixA5Y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e">
        <f>IF($G9,_xll.qlIndexAddFixings($J9,$E9,$F9/100,TRUE,ISERROR($K9)),NA())</f>
        <v>#NUM!</v>
      </c>
      <c r="I9" s="460"/>
      <c r="J9" s="469" t="str">
        <f t="shared" si="1"/>
        <v>EuriborSwapIsdaFixA6Y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e">
        <f>IF($G10,_xll.qlIndexAddFixings($J10,$E10,$F10/100,TRUE,ISERROR($K10)),NA())</f>
        <v>#NUM!</v>
      </c>
      <c r="I10" s="460"/>
      <c r="J10" s="469" t="str">
        <f t="shared" si="1"/>
        <v>EuriborSwapIsdaFixA7Y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e">
        <f>IF($G11,_xll.qlIndexAddFixings($J11,$E11,$F11/100,TRUE,ISERROR($K11)),NA())</f>
        <v>#NUM!</v>
      </c>
      <c r="I11" s="460"/>
      <c r="J11" s="469" t="str">
        <f t="shared" si="1"/>
        <v>EuriborSwapIsdaFixA8Y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e">
        <f>IF($G12,_xll.qlIndexAddFixings($J12,$E12,$F12/100,TRUE,ISERROR($K12)),NA())</f>
        <v>#NUM!</v>
      </c>
      <c r="I12" s="460"/>
      <c r="J12" s="469" t="str">
        <f t="shared" si="1"/>
        <v>EuriborSwapIsdaFixA9Y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e">
        <f>IF($G13,_xll.qlIndexAddFixings($J13,$E13,$F13/100,TRUE,ISERROR($K13)),NA())</f>
        <v>#NUM!</v>
      </c>
      <c r="I13" s="460"/>
      <c r="J13" s="469" t="str">
        <f t="shared" si="1"/>
        <v>EuriborSwapIsdaFixA10Y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e">
        <f>IF($G14,_xll.qlIndexAddFixings($J14,$E14,$F14/100,TRUE,ISERROR($K14)),NA())</f>
        <v>#NUM!</v>
      </c>
      <c r="I14" s="460"/>
      <c r="J14" s="469" t="str">
        <f t="shared" si="1"/>
        <v>EuriborSwapIsdaFixA12Y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e">
        <f>IF($G15,_xll.qlIndexAddFixings($J15,$E15,$F15/100,TRUE,ISERROR($K15)),NA())</f>
        <v>#NUM!</v>
      </c>
      <c r="I15" s="460"/>
      <c r="J15" s="469" t="str">
        <f t="shared" si="1"/>
        <v>EuriborSwapIsdaFixA15Y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e">
        <f>IF($G16,_xll.qlIndexAddFixings($J16,$E16,$F16/100,TRUE,ISERROR($K16)),NA())</f>
        <v>#NUM!</v>
      </c>
      <c r="I16" s="460"/>
      <c r="J16" s="469" t="str">
        <f t="shared" si="1"/>
        <v>EuriborSwapIsdaFixA20Y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e">
        <f>IF($G17,_xll.qlIndexAddFixings($J17,$E17,$F17/100,TRUE,ISERROR($K17)),NA())</f>
        <v>#NUM!</v>
      </c>
      <c r="I17" s="460"/>
      <c r="J17" s="469" t="str">
        <f t="shared" si="1"/>
        <v>EuriborSwapIsdaFixA25Y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e">
        <f>IF($G18,_xll.qlIndexAddFixings($J18,$E18,$F18/100,TRUE,ISERROR($K18)),NA())</f>
        <v>#NUM!</v>
      </c>
      <c r="I18" s="460"/>
      <c r="J18" s="459" t="str">
        <f t="shared" si="1"/>
        <v>EuriborSwapIsdaFixA30Y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e">
        <f>IF($G4,_xll.qlIndexAddFixings($J4,$E4,$F4/100,TRUE,ISERROR($K4)),NA())</f>
        <v>#NUM!</v>
      </c>
      <c r="I4" s="460"/>
      <c r="J4" s="491" t="str">
        <f t="shared" ref="J4:J18" si="1">PROPER(Currency)&amp;$J$2&amp;$C4</f>
        <v>EurLiborSwapIsdaFixA1Y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e">
        <f>IF($G5,_xll.qlIndexAddFixings($J5,$E5,$F5/100,TRUE,ISERROR($K5)),NA())</f>
        <v>#NUM!</v>
      </c>
      <c r="I5" s="460"/>
      <c r="J5" s="469" t="str">
        <f t="shared" si="1"/>
        <v>EurLiborSwapIsdaFixA2Y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e">
        <f>IF($G6,_xll.qlIndexAddFixings($J6,$E6,$F6/100,TRUE,ISERROR($K6)),NA())</f>
        <v>#NUM!</v>
      </c>
      <c r="I6" s="460"/>
      <c r="J6" s="469" t="str">
        <f t="shared" si="1"/>
        <v>EurLiborSwapIsdaFixA3Y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e">
        <f>IF($G7,_xll.qlIndexAddFixings($J7,$E7,$F7/100,TRUE,ISERROR($K7)),NA())</f>
        <v>#NUM!</v>
      </c>
      <c r="I7" s="460"/>
      <c r="J7" s="469" t="str">
        <f t="shared" si="1"/>
        <v>EurLiborSwapIsdaFixA4Y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e">
        <f>IF($G8,_xll.qlIndexAddFixings($J8,$E8,$F8/100,TRUE,ISERROR($K8)),NA())</f>
        <v>#NUM!</v>
      </c>
      <c r="I8" s="460"/>
      <c r="J8" s="469" t="str">
        <f t="shared" si="1"/>
        <v>EurLiborSwapIsdaFixA5Y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e">
        <f>IF($G9,_xll.qlIndexAddFixings($J9,$E9,$F9/100,TRUE,ISERROR($K9)),NA())</f>
        <v>#NUM!</v>
      </c>
      <c r="I9" s="460"/>
      <c r="J9" s="469" t="str">
        <f t="shared" si="1"/>
        <v>EurLiborSwapIsdaFixA6Y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e">
        <f>IF($G10,_xll.qlIndexAddFixings($J10,$E10,$F10/100,TRUE,ISERROR($K10)),NA())</f>
        <v>#NUM!</v>
      </c>
      <c r="I10" s="460"/>
      <c r="J10" s="469" t="str">
        <f t="shared" si="1"/>
        <v>EurLiborSwapIsdaFixA7Y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e">
        <f>IF($G11,_xll.qlIndexAddFixings($J11,$E11,$F11/100,TRUE,ISERROR($K11)),NA())</f>
        <v>#NUM!</v>
      </c>
      <c r="I11" s="460"/>
      <c r="J11" s="469" t="str">
        <f t="shared" si="1"/>
        <v>EurLiborSwapIsdaFixA8Y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e">
        <f>IF($G12,_xll.qlIndexAddFixings($J12,$E12,$F12/100,TRUE,ISERROR($K12)),NA())</f>
        <v>#NUM!</v>
      </c>
      <c r="I12" s="460"/>
      <c r="J12" s="469" t="str">
        <f t="shared" si="1"/>
        <v>EurLiborSwapIsdaFixA9Y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e">
        <f>IF($G13,_xll.qlIndexAddFixings($J13,$E13,$F13/100,TRUE,ISERROR($K13)),NA())</f>
        <v>#NUM!</v>
      </c>
      <c r="I13" s="460"/>
      <c r="J13" s="469" t="str">
        <f t="shared" si="1"/>
        <v>EurLiborSwapIsdaFixA10Y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e">
        <f>IF($G14,_xll.qlIndexAddFixings($J14,$E14,$F14/100,TRUE,ISERROR($K14)),NA())</f>
        <v>#NUM!</v>
      </c>
      <c r="I14" s="460"/>
      <c r="J14" s="469" t="str">
        <f t="shared" si="1"/>
        <v>EurLiborSwapIsdaFixA12Y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e">
        <f>IF($G15,_xll.qlIndexAddFixings($J15,$E15,$F15/100,TRUE,ISERROR($K15)),NA())</f>
        <v>#NUM!</v>
      </c>
      <c r="I15" s="460"/>
      <c r="J15" s="469" t="str">
        <f t="shared" si="1"/>
        <v>EurLiborSwapIsdaFixA15Y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e">
        <f>IF($G16,_xll.qlIndexAddFixings($J16,$E16,$F16/100,TRUE,ISERROR($K16)),NA())</f>
        <v>#NUM!</v>
      </c>
      <c r="I16" s="460"/>
      <c r="J16" s="469" t="str">
        <f t="shared" si="1"/>
        <v>EurLiborSwapIsdaFixA20Y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e">
        <f>IF($G17,_xll.qlIndexAddFixings($J17,$E17,$F17/100,TRUE,ISERROR($K17)),NA())</f>
        <v>#NUM!</v>
      </c>
      <c r="I17" s="460"/>
      <c r="J17" s="469" t="str">
        <f t="shared" si="1"/>
        <v>EurLiborSwapIsdaFixA25Y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e">
        <f>IF($G18,_xll.qlIndexAddFixings($J18,$E18,$F18/100,TRUE,ISERROR($K18)),NA())</f>
        <v>#NUM!</v>
      </c>
      <c r="I18" s="460"/>
      <c r="J18" s="459" t="str">
        <f t="shared" si="1"/>
        <v>EurLiborSwapIsdaFixA30Y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e">
        <f>IF($G4,_xll.qlIndexAddFixings($J4,$E4,$F4/100,TRUE,ISERROR($K4)),NA())</f>
        <v>#NUM!</v>
      </c>
      <c r="I4" s="460"/>
      <c r="J4" s="491" t="str">
        <f t="shared" ref="J4:J18" si="1">PROPER(Currency)&amp;$J$2&amp;$C4</f>
        <v>EurLiborSwapIsdaFixB1Y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e">
        <f>IF($G5,_xll.qlIndexAddFixings($J5,$E5,$F5/100,TRUE,ISERROR($K5)),NA())</f>
        <v>#NUM!</v>
      </c>
      <c r="I5" s="460"/>
      <c r="J5" s="469" t="str">
        <f t="shared" si="1"/>
        <v>EurLiborSwapIsdaFixB2Y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e">
        <f>IF($G6,_xll.qlIndexAddFixings($J6,$E6,$F6/100,TRUE,ISERROR($K6)),NA())</f>
        <v>#NUM!</v>
      </c>
      <c r="I6" s="460"/>
      <c r="J6" s="469" t="str">
        <f t="shared" si="1"/>
        <v>EurLiborSwapIsdaFixB3Y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e">
        <f>IF($G7,_xll.qlIndexAddFixings($J7,$E7,$F7/100,TRUE,ISERROR($K7)),NA())</f>
        <v>#NUM!</v>
      </c>
      <c r="I7" s="460"/>
      <c r="J7" s="469" t="str">
        <f t="shared" si="1"/>
        <v>EurLiborSwapIsdaFixB4Y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e">
        <f>IF($G8,_xll.qlIndexAddFixings($J8,$E8,$F8/100,TRUE,ISERROR($K8)),NA())</f>
        <v>#NUM!</v>
      </c>
      <c r="I8" s="460"/>
      <c r="J8" s="469" t="str">
        <f t="shared" si="1"/>
        <v>EurLiborSwapIsdaFixB5Y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e">
        <f>IF($G9,_xll.qlIndexAddFixings($J9,$E9,$F9/100,TRUE,ISERROR($K9)),NA())</f>
        <v>#NUM!</v>
      </c>
      <c r="I9" s="460"/>
      <c r="J9" s="469" t="str">
        <f t="shared" si="1"/>
        <v>EurLiborSwapIsdaFixB6Y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e">
        <f>IF($G10,_xll.qlIndexAddFixings($J10,$E10,$F10/100,TRUE,ISERROR($K10)),NA())</f>
        <v>#NUM!</v>
      </c>
      <c r="I10" s="460"/>
      <c r="J10" s="469" t="str">
        <f t="shared" si="1"/>
        <v>EurLiborSwapIsdaFixB7Y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e">
        <f>IF($G11,_xll.qlIndexAddFixings($J11,$E11,$F11/100,TRUE,ISERROR($K11)),NA())</f>
        <v>#NUM!</v>
      </c>
      <c r="I11" s="460"/>
      <c r="J11" s="469" t="str">
        <f t="shared" si="1"/>
        <v>EurLiborSwapIsdaFixB8Y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e">
        <f>IF($G12,_xll.qlIndexAddFixings($J12,$E12,$F12/100,TRUE,ISERROR($K12)),NA())</f>
        <v>#NUM!</v>
      </c>
      <c r="I12" s="460"/>
      <c r="J12" s="469" t="str">
        <f t="shared" si="1"/>
        <v>EurLiborSwapIsdaFixB9Y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e">
        <f>IF($G13,_xll.qlIndexAddFixings($J13,$E13,$F13/100,TRUE,ISERROR($K13)),NA())</f>
        <v>#NUM!</v>
      </c>
      <c r="I13" s="460"/>
      <c r="J13" s="469" t="str">
        <f t="shared" si="1"/>
        <v>EurLiborSwapIsdaFixB10Y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e">
        <f>IF($G14,_xll.qlIndexAddFixings($J14,$E14,$F14/100,TRUE,ISERROR($K14)),NA())</f>
        <v>#NUM!</v>
      </c>
      <c r="I14" s="460"/>
      <c r="J14" s="469" t="str">
        <f t="shared" si="1"/>
        <v>EurLiborSwapIsdaFixB12Y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e">
        <f>IF($G15,_xll.qlIndexAddFixings($J15,$E15,$F15/100,TRUE,ISERROR($K15)),NA())</f>
        <v>#NUM!</v>
      </c>
      <c r="I15" s="460"/>
      <c r="J15" s="469" t="str">
        <f t="shared" si="1"/>
        <v>EurLiborSwapIsdaFixB15Y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e">
        <f>IF($G16,_xll.qlIndexAddFixings($J16,$E16,$F16/100,TRUE,ISERROR($K16)),NA())</f>
        <v>#NUM!</v>
      </c>
      <c r="I16" s="460"/>
      <c r="J16" s="469" t="str">
        <f t="shared" si="1"/>
        <v>EurLiborSwapIsdaFixB20Y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e">
        <f>IF($G17,_xll.qlIndexAddFixings($J17,$E17,$F17/100,TRUE,ISERROR($K17)),NA())</f>
        <v>#NUM!</v>
      </c>
      <c r="I17" s="460"/>
      <c r="J17" s="469" t="str">
        <f t="shared" si="1"/>
        <v>EurLiborSwapIsdaFixB25Y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e">
        <f>IF($G18,_xll.qlIndexAddFixings($J18,$E18,$F18/100,TRUE,ISERROR($K18)),NA())</f>
        <v>#NUM!</v>
      </c>
      <c r="I18" s="460"/>
      <c r="J18" s="459" t="str">
        <f t="shared" si="1"/>
        <v>EurLiborSwapIsdaFixB30Y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120</vt:i4>
      </vt:variant>
    </vt:vector>
  </HeadingPairs>
  <TitlesOfParts>
    <vt:vector size="162"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'3M'!QuoteStatic</vt:lpstr>
      <vt:lpstr>Futures3M!QuoteStatic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2014-01-13T09:41:35Z</dcterms:modified>
</cp:coreProperties>
</file>
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95" yWindow="-15" windowWidth="19140" windowHeight="12450" tabRatio="652"/>
  </bookViews>
  <sheets>
    <sheet name="General Settings" sheetId="4" r:id="rId1"/>
    <sheet name="Triggers" sheetId="16" r:id="rId2"/>
    <sheet name="1M" sheetId="12" r:id="rId3"/>
    <sheet name="3M" sheetId="13" r:id="rId4"/>
    <sheet name="6M" sheetId="14" r:id="rId5"/>
  </sheets>
  <functionGroups builtInGroupCount="17"/>
  <definedNames>
    <definedName name="_TOY2" localSheetId="2">'1M'!$R$21</definedName>
    <definedName name="_TOY2" localSheetId="3">'3M'!$R$21</definedName>
    <definedName name="_TOY2" localSheetId="4">'6M'!$R$21</definedName>
    <definedName name="AllTriggers" localSheetId="1">Triggers!$D$5:$D$7</definedName>
    <definedName name="Calendar">'General Settings'!$D$5</definedName>
    <definedName name="Currency">'General Settings'!$D$4</definedName>
    <definedName name="DayCounter">'General Settings'!$D$6</definedName>
    <definedName name="DiscountCurve" localSheetId="2">'1M'!$U$1</definedName>
    <definedName name="DiscountCurve" localSheetId="3">'3M'!$U$2</definedName>
    <definedName name="DiscountCurve" localSheetId="4">'6M'!$U$2</definedName>
    <definedName name="DiscountInterpolationType">'General Settings'!$D$12</definedName>
    <definedName name="EvaluationDate">Triggers!$D$4</definedName>
    <definedName name="ExtFwdInterpolator" localSheetId="3">'3M'!$U$20</definedName>
    <definedName name="ExtFwdInterpolator" localSheetId="4">'6M'!$U$20</definedName>
    <definedName name="FwdInterpolationType">'General Settings'!$D$11</definedName>
    <definedName name="FwdInterpolator" localSheetId="2">'1M'!$U$21</definedName>
    <definedName name="FwdInterpolator" localSheetId="3">'3M'!$U$21</definedName>
    <definedName name="FwdInterpolator" localSheetId="4">'6M'!$U$21</definedName>
    <definedName name="IndexTenor" localSheetId="2">'1M'!$A$21</definedName>
    <definedName name="IndexTenor" localSheetId="3">'3M'!$A$21</definedName>
    <definedName name="IndexTenor" localSheetId="4">'6M'!$A$21</definedName>
    <definedName name="LastDayInNextYear">'General Settings'!$D$10</definedName>
    <definedName name="LastDayInYear">'General Settings'!$D$9</definedName>
    <definedName name="LastUpdate">'General Settings'!$E$15</definedName>
    <definedName name="LiveDataFeed">'General Settings'!$E$18</definedName>
    <definedName name="Months" localSheetId="3">'3M'!$A$20</definedName>
    <definedName name="Months" localSheetId="4">'6M'!$A$20</definedName>
    <definedName name="RateHelperPrefix" localSheetId="2">'1M'!$A$22</definedName>
    <definedName name="RateHelperPrefix" localSheetId="3">'3M'!$A$22</definedName>
    <definedName name="RateHelperPrefix" localSheetId="4">'6M'!$A$22</definedName>
    <definedName name="SettlementDate">'General Settings'!$D$8</definedName>
    <definedName name="SheetTrigger" localSheetId="2">'1M'!$A$23</definedName>
    <definedName name="SheetTrigger" localSheetId="3">'3M'!$A$23</definedName>
    <definedName name="SheetTrigger" localSheetId="4">'6M'!$A$23</definedName>
    <definedName name="TOY" localSheetId="2">'1M'!$R$20</definedName>
    <definedName name="TOY" localSheetId="3">'3M'!$R$20</definedName>
    <definedName name="TOY" localSheetId="4">'6M'!$R$20</definedName>
    <definedName name="TriggerTOY1M" localSheetId="1">Triggers!$D$5</definedName>
    <definedName name="TriggerTOY3M" localSheetId="1">Triggers!$D$6</definedName>
    <definedName name="TriggerTOY6M" localSheetId="1">Triggers!$D$7</definedName>
    <definedName name="UseSecondSet" localSheetId="2">'1M'!$O$2</definedName>
    <definedName name="UseSecondSet" localSheetId="3">'3M'!$O$2</definedName>
    <definedName name="UseSecondSet" localSheetId="4">'6M'!$O$2</definedName>
  </definedNames>
  <calcPr calcId="145621"/>
</workbook>
</file>

<file path=xl/calcChain.xml><?xml version="1.0" encoding="utf-8"?>
<calcChain xmlns="http://schemas.openxmlformats.org/spreadsheetml/2006/main">
  <c r="B35" i="13" l="1"/>
  <c r="B27" i="12"/>
  <c r="B25" i="14"/>
  <c r="B26" i="14"/>
  <c r="B27" i="14"/>
  <c r="B28" i="14"/>
  <c r="B29" i="14"/>
  <c r="B30" i="14"/>
  <c r="B31" i="14"/>
  <c r="B32" i="14"/>
  <c r="B33" i="14"/>
  <c r="B34" i="14"/>
  <c r="B36" i="13"/>
  <c r="B37" i="13"/>
  <c r="B38" i="13"/>
  <c r="B39" i="13"/>
  <c r="B40" i="13"/>
  <c r="B41" i="13"/>
  <c r="B34" i="13"/>
  <c r="B26" i="12"/>
  <c r="B25" i="12"/>
  <c r="B28" i="12"/>
  <c r="B29" i="12"/>
  <c r="B30" i="12"/>
  <c r="B31" i="12"/>
  <c r="B32" i="12"/>
  <c r="B33" i="12"/>
  <c r="B34" i="12"/>
  <c r="B35" i="12"/>
  <c r="B36" i="12"/>
  <c r="B37" i="12"/>
  <c r="D40" i="14"/>
  <c r="D41" i="14"/>
  <c r="D42" i="14"/>
  <c r="D43" i="14"/>
  <c r="D44" i="14"/>
  <c r="D45" i="14"/>
  <c r="B8" i="13"/>
  <c r="B9" i="13"/>
  <c r="B10" i="13"/>
  <c r="D42" i="13"/>
  <c r="D43" i="13"/>
  <c r="D44" i="13"/>
  <c r="D45" i="13"/>
  <c r="D46" i="13"/>
  <c r="D47" i="13"/>
  <c r="D48" i="13"/>
  <c r="D49" i="13"/>
  <c r="D50" i="13"/>
  <c r="D51" i="13"/>
  <c r="D52" i="13"/>
  <c r="B42" i="13"/>
  <c r="B43" i="13"/>
  <c r="B44" i="13"/>
  <c r="B45" i="13"/>
  <c r="B46" i="13"/>
  <c r="B47" i="13"/>
  <c r="B48" i="13"/>
  <c r="B49" i="13"/>
  <c r="B50" i="13"/>
  <c r="B51" i="13"/>
  <c r="B52" i="13"/>
  <c r="B8" i="14"/>
  <c r="B9" i="14"/>
  <c r="B10" i="14"/>
  <c r="B40" i="14"/>
  <c r="B41" i="14"/>
  <c r="B42" i="14"/>
  <c r="B43" i="14"/>
  <c r="B44" i="14"/>
  <c r="B45" i="14"/>
  <c r="B1" i="16"/>
  <c r="A21" i="14"/>
  <c r="A21" i="12"/>
  <c r="A21" i="13"/>
  <c r="B23" i="13"/>
  <c r="A24" i="13"/>
  <c r="C24" i="13" s="1"/>
  <c r="A22" i="13"/>
  <c r="C36" i="13" s="1"/>
  <c r="A24" i="12"/>
  <c r="C24" i="12" s="1"/>
  <c r="B23" i="12"/>
  <c r="A22" i="12"/>
  <c r="C26" i="12" s="1"/>
  <c r="A22" i="14"/>
  <c r="C27" i="14" s="1"/>
  <c r="B23" i="14"/>
  <c r="A24" i="14"/>
  <c r="C24" i="14" s="1"/>
  <c r="C27" i="12"/>
  <c r="C30" i="12"/>
  <c r="C29" i="12"/>
  <c r="C35" i="12"/>
  <c r="C34" i="12"/>
  <c r="C28" i="12"/>
  <c r="C26" i="14"/>
  <c r="C28" i="14"/>
  <c r="C30" i="14"/>
  <c r="C32" i="14"/>
  <c r="C34" i="14"/>
  <c r="C29" i="14"/>
  <c r="C9" i="14"/>
  <c r="C23" i="14"/>
  <c r="C25" i="14"/>
  <c r="C10" i="14"/>
  <c r="C33" i="14"/>
  <c r="C40" i="13"/>
  <c r="C34" i="13"/>
  <c r="D4" i="16"/>
  <c r="B35" i="14"/>
  <c r="C35" i="14"/>
  <c r="B1" i="4"/>
  <c r="A23" i="13"/>
  <c r="A23" i="12"/>
  <c r="A23" i="14"/>
  <c r="D26" i="14"/>
  <c r="D36" i="13"/>
  <c r="D32" i="14"/>
  <c r="D34" i="12"/>
  <c r="E26" i="12"/>
  <c r="F26" i="14"/>
  <c r="F34" i="12"/>
  <c r="F34" i="13"/>
  <c r="D24" i="14"/>
  <c r="F28" i="12"/>
  <c r="E29" i="12"/>
  <c r="E32" i="14"/>
  <c r="F24" i="12"/>
  <c r="E35" i="12"/>
  <c r="F29" i="14"/>
  <c r="D27" i="12"/>
  <c r="D30" i="14"/>
  <c r="F23" i="14"/>
  <c r="E27" i="12"/>
  <c r="D27" i="14"/>
  <c r="E34" i="14"/>
  <c r="E40" i="13"/>
  <c r="D28" i="14"/>
  <c r="D35" i="14"/>
  <c r="B36" i="14" s="1"/>
  <c r="D24" i="13"/>
  <c r="F32" i="14"/>
  <c r="F30" i="12"/>
  <c r="F24" i="13"/>
  <c r="F9" i="14"/>
  <c r="D26" i="12"/>
  <c r="D24" i="12"/>
  <c r="E23" i="14"/>
  <c r="E28" i="12"/>
  <c r="E33" i="14"/>
  <c r="D30" i="12"/>
  <c r="F27" i="12"/>
  <c r="F26" i="12"/>
  <c r="D35" i="12"/>
  <c r="E30" i="14"/>
  <c r="E34" i="13"/>
  <c r="D25" i="14"/>
  <c r="D34" i="13"/>
  <c r="F29" i="12"/>
  <c r="F33" i="14"/>
  <c r="F27" i="14"/>
  <c r="F25" i="14"/>
  <c r="D29" i="14"/>
  <c r="D23" i="14"/>
  <c r="D33" i="14"/>
  <c r="F10" i="14"/>
  <c r="F40" i="13"/>
  <c r="F35" i="14"/>
  <c r="E28" i="14"/>
  <c r="E25" i="14"/>
  <c r="D28" i="12"/>
  <c r="E34" i="12"/>
  <c r="E26" i="14"/>
  <c r="D40" i="13"/>
  <c r="E35" i="14"/>
  <c r="G35" i="14"/>
  <c r="F30" i="14"/>
  <c r="F34" i="14"/>
  <c r="F36" i="13"/>
  <c r="F28" i="14"/>
  <c r="E36" i="13"/>
  <c r="F24" i="14"/>
  <c r="D29" i="12"/>
  <c r="E30" i="12"/>
  <c r="F35" i="12"/>
  <c r="E27" i="14"/>
  <c r="E29" i="14"/>
  <c r="D34" i="14"/>
  <c r="C9" i="13" l="1"/>
  <c r="C23" i="13"/>
  <c r="C31" i="14"/>
  <c r="C8" i="14"/>
  <c r="C37" i="13"/>
  <c r="C10" i="13"/>
  <c r="C25" i="12"/>
  <c r="C35" i="13"/>
  <c r="C39" i="13"/>
  <c r="C38" i="13"/>
  <c r="C8" i="13"/>
  <c r="C41" i="13"/>
  <c r="J35" i="14"/>
  <c r="J24" i="14"/>
  <c r="J28" i="14"/>
  <c r="J25" i="14"/>
  <c r="J26" i="12"/>
  <c r="C36" i="14"/>
  <c r="J40" i="13"/>
  <c r="J36" i="13"/>
  <c r="J24" i="13"/>
  <c r="J34" i="13"/>
  <c r="J34" i="14"/>
  <c r="J27" i="14"/>
  <c r="H34" i="14"/>
  <c r="J29" i="14"/>
  <c r="J24" i="12"/>
  <c r="J30" i="14"/>
  <c r="J33" i="14"/>
  <c r="J32" i="14"/>
  <c r="J26" i="14"/>
  <c r="J23" i="14"/>
  <c r="H29" i="12"/>
  <c r="U22" i="14"/>
  <c r="H23" i="14"/>
  <c r="H40" i="13"/>
  <c r="H35" i="14"/>
  <c r="H34" i="13"/>
  <c r="H36" i="12"/>
  <c r="H25" i="14"/>
  <c r="H28" i="14"/>
  <c r="H30" i="14"/>
  <c r="H33" i="14"/>
  <c r="H32" i="14"/>
  <c r="H30" i="12"/>
  <c r="H35" i="12"/>
  <c r="H27" i="14"/>
  <c r="H36" i="13"/>
  <c r="H31" i="12"/>
  <c r="H29" i="14"/>
  <c r="H28" i="12"/>
  <c r="H26" i="14"/>
  <c r="C32" i="12"/>
  <c r="C33" i="12"/>
  <c r="C23" i="12"/>
  <c r="C37" i="12"/>
  <c r="C31" i="12"/>
  <c r="C36" i="12"/>
  <c r="E24" i="12"/>
  <c r="F10" i="13"/>
  <c r="Q33" i="14"/>
  <c r="Q23" i="14"/>
  <c r="Q30" i="12"/>
  <c r="F36" i="12"/>
  <c r="Q32" i="14"/>
  <c r="F9" i="13"/>
  <c r="E24" i="13"/>
  <c r="F25" i="12"/>
  <c r="D25" i="12"/>
  <c r="E25" i="12"/>
  <c r="Q35" i="14"/>
  <c r="Q34" i="13"/>
  <c r="F36" i="14"/>
  <c r="E36" i="12"/>
  <c r="Q36" i="12" s="1"/>
  <c r="Q36" i="13"/>
  <c r="F23" i="12"/>
  <c r="D36" i="14"/>
  <c r="D23" i="12"/>
  <c r="E32" i="12"/>
  <c r="E24" i="14"/>
  <c r="E35" i="13"/>
  <c r="D35" i="13"/>
  <c r="F35" i="13"/>
  <c r="Q25" i="14"/>
  <c r="G36" i="14"/>
  <c r="E31" i="12"/>
  <c r="D36" i="12"/>
  <c r="Q26" i="14"/>
  <c r="E23" i="12"/>
  <c r="D39" i="13"/>
  <c r="E39" i="13"/>
  <c r="F39" i="13"/>
  <c r="F31" i="12"/>
  <c r="Q40" i="13"/>
  <c r="D37" i="13"/>
  <c r="E37" i="13"/>
  <c r="F37" i="13"/>
  <c r="F23" i="13"/>
  <c r="D8" i="4"/>
  <c r="E23" i="13"/>
  <c r="D23" i="13"/>
  <c r="F38" i="13"/>
  <c r="E38" i="13"/>
  <c r="D38" i="13"/>
  <c r="Q29" i="14"/>
  <c r="G30" i="12"/>
  <c r="F37" i="12"/>
  <c r="F33" i="12"/>
  <c r="E36" i="14"/>
  <c r="D31" i="12"/>
  <c r="G24" i="12"/>
  <c r="Q30" i="14"/>
  <c r="B37" i="14"/>
  <c r="D31" i="14"/>
  <c r="E31" i="14"/>
  <c r="F31" i="14"/>
  <c r="F8" i="13"/>
  <c r="Q29" i="12"/>
  <c r="E37" i="12"/>
  <c r="G29" i="12"/>
  <c r="D33" i="12"/>
  <c r="Q34" i="14"/>
  <c r="Q27" i="14"/>
  <c r="F32" i="12"/>
  <c r="Q31" i="12"/>
  <c r="F8" i="14"/>
  <c r="E41" i="13"/>
  <c r="D41" i="13"/>
  <c r="F41" i="13"/>
  <c r="D37" i="12"/>
  <c r="E33" i="12"/>
  <c r="Q28" i="14"/>
  <c r="Q35" i="12"/>
  <c r="Q28" i="12"/>
  <c r="D32" i="12"/>
  <c r="G35" i="12"/>
  <c r="G34" i="12"/>
  <c r="G26" i="12"/>
  <c r="G27" i="12"/>
  <c r="G28" i="12"/>
  <c r="H44" i="14"/>
  <c r="H48" i="13"/>
  <c r="H49" i="13"/>
  <c r="H51" i="13"/>
  <c r="E51" i="13" s="1"/>
  <c r="H45" i="14"/>
  <c r="E45" i="14" s="1"/>
  <c r="H40" i="14"/>
  <c r="E40" i="14" s="1"/>
  <c r="H47" i="13"/>
  <c r="H41" i="14"/>
  <c r="E41" i="14" s="1"/>
  <c r="H45" i="13"/>
  <c r="E45" i="13" s="1"/>
  <c r="H50" i="13"/>
  <c r="H42" i="13"/>
  <c r="E42" i="13" s="1"/>
  <c r="H52" i="13"/>
  <c r="E52" i="13" s="1"/>
  <c r="H46" i="13"/>
  <c r="H42" i="14"/>
  <c r="H43" i="14"/>
  <c r="E43" i="14" s="1"/>
  <c r="H43" i="13"/>
  <c r="H44" i="13"/>
  <c r="E44" i="13" s="1"/>
  <c r="E44" i="14"/>
  <c r="Q44" i="14" s="1"/>
  <c r="E48" i="13"/>
  <c r="Q48" i="13" s="1"/>
  <c r="E49" i="13"/>
  <c r="Q49" i="13" s="1"/>
  <c r="E47" i="13"/>
  <c r="Q47" i="13" s="1"/>
  <c r="E50" i="13"/>
  <c r="Q50" i="13" s="1"/>
  <c r="E46" i="13"/>
  <c r="Q46" i="13" s="1"/>
  <c r="E42" i="14"/>
  <c r="Q42" i="14" s="1"/>
  <c r="E43" i="13"/>
  <c r="Q43" i="13" s="1"/>
  <c r="J41" i="13" l="1"/>
  <c r="H41" i="13"/>
  <c r="J31" i="14"/>
  <c r="K31" i="14" s="1"/>
  <c r="H31" i="14"/>
  <c r="H38" i="13"/>
  <c r="J38" i="13"/>
  <c r="U22" i="13"/>
  <c r="H23" i="13"/>
  <c r="J23" i="13"/>
  <c r="J37" i="13"/>
  <c r="H37" i="13"/>
  <c r="J39" i="13"/>
  <c r="H39" i="13"/>
  <c r="J35" i="13"/>
  <c r="H35" i="13"/>
  <c r="H25" i="12"/>
  <c r="J25" i="12"/>
  <c r="K25" i="12" s="1"/>
  <c r="N25" i="12" s="1"/>
  <c r="C37" i="14"/>
  <c r="H23" i="12"/>
  <c r="U22" i="12"/>
  <c r="H27" i="12"/>
  <c r="J23" i="12"/>
  <c r="H33" i="12"/>
  <c r="J29" i="12"/>
  <c r="H37" i="12"/>
  <c r="H32" i="12"/>
  <c r="H36" i="14"/>
  <c r="J36" i="14"/>
  <c r="H34" i="12"/>
  <c r="J30" i="12"/>
  <c r="J35" i="12"/>
  <c r="J28" i="12"/>
  <c r="I40" i="13"/>
  <c r="K40" i="13" s="1"/>
  <c r="N40" i="13" s="1"/>
  <c r="K34" i="14"/>
  <c r="N34" i="14" s="1"/>
  <c r="I36" i="13"/>
  <c r="K26" i="12"/>
  <c r="N26" i="12" s="1"/>
  <c r="I41" i="13"/>
  <c r="K41" i="13" s="1"/>
  <c r="N41" i="13" s="1"/>
  <c r="K39" i="13"/>
  <c r="N39" i="13" s="1"/>
  <c r="K29" i="14"/>
  <c r="H24" i="13"/>
  <c r="K23" i="14"/>
  <c r="K34" i="13"/>
  <c r="N34" i="13" s="1"/>
  <c r="K33" i="14"/>
  <c r="H24" i="14"/>
  <c r="K24" i="12"/>
  <c r="N24" i="12" s="1"/>
  <c r="I35" i="13"/>
  <c r="H26" i="12"/>
  <c r="K23" i="13"/>
  <c r="K35" i="13"/>
  <c r="N35" i="13" s="1"/>
  <c r="K26" i="14"/>
  <c r="N26" i="14" s="1"/>
  <c r="K24" i="13"/>
  <c r="K25" i="14"/>
  <c r="N25" i="14" s="1"/>
  <c r="K32" i="14"/>
  <c r="K28" i="14"/>
  <c r="I35" i="14"/>
  <c r="K35" i="14" s="1"/>
  <c r="N35" i="14" s="1"/>
  <c r="K36" i="13"/>
  <c r="N36" i="13" s="1"/>
  <c r="K24" i="14"/>
  <c r="N24" i="14" s="1"/>
  <c r="I39" i="13"/>
  <c r="K30" i="14"/>
  <c r="K27" i="14"/>
  <c r="J43" i="13"/>
  <c r="Q44" i="13"/>
  <c r="Q51" i="13"/>
  <c r="Q23" i="13"/>
  <c r="Q23" i="12"/>
  <c r="G23" i="12"/>
  <c r="G31" i="12"/>
  <c r="G36" i="12"/>
  <c r="Q26" i="12"/>
  <c r="Q37" i="13"/>
  <c r="D37" i="14"/>
  <c r="B38" i="14" s="1"/>
  <c r="G32" i="12"/>
  <c r="J42" i="14"/>
  <c r="Q43" i="14"/>
  <c r="D10" i="4"/>
  <c r="Q39" i="13"/>
  <c r="Q34" i="12"/>
  <c r="Q24" i="14"/>
  <c r="Q36" i="14"/>
  <c r="Q35" i="13"/>
  <c r="Q37" i="12"/>
  <c r="E37" i="14"/>
  <c r="J48" i="13"/>
  <c r="J44" i="14"/>
  <c r="J46" i="13"/>
  <c r="Q52" i="13"/>
  <c r="Q41" i="13"/>
  <c r="B38" i="12"/>
  <c r="G37" i="12"/>
  <c r="Q27" i="12"/>
  <c r="Q24" i="13"/>
  <c r="J50" i="13"/>
  <c r="Q42" i="13"/>
  <c r="B25" i="13"/>
  <c r="Q32" i="12"/>
  <c r="Q40" i="14"/>
  <c r="F37" i="14"/>
  <c r="J47" i="13"/>
  <c r="Q45" i="13"/>
  <c r="Q31" i="14"/>
  <c r="D9" i="4"/>
  <c r="Q25" i="12"/>
  <c r="G37" i="14"/>
  <c r="G33" i="12"/>
  <c r="Q33" i="12"/>
  <c r="J49" i="13"/>
  <c r="Q41" i="14"/>
  <c r="Q38" i="13"/>
  <c r="G25" i="12"/>
  <c r="Q45" i="14"/>
  <c r="K49" i="13" l="1"/>
  <c r="L50" i="13"/>
  <c r="L43" i="14"/>
  <c r="L27" i="14"/>
  <c r="L28" i="14"/>
  <c r="S28" i="14" s="1"/>
  <c r="T28" i="14" s="1"/>
  <c r="L48" i="13"/>
  <c r="S48" i="13" s="1"/>
  <c r="T48" i="13" s="1"/>
  <c r="L51" i="13"/>
  <c r="L46" i="13"/>
  <c r="L31" i="12"/>
  <c r="L23" i="14"/>
  <c r="S23" i="14" s="1"/>
  <c r="T23" i="14" s="1"/>
  <c r="L33" i="14"/>
  <c r="L44" i="14"/>
  <c r="L41" i="13"/>
  <c r="S41" i="13" s="1"/>
  <c r="T41" i="13" s="1"/>
  <c r="L31" i="14"/>
  <c r="L29" i="12"/>
  <c r="L29" i="14"/>
  <c r="L34" i="13"/>
  <c r="S34" i="13" s="1"/>
  <c r="T34" i="13" s="1"/>
  <c r="L45" i="14"/>
  <c r="L35" i="13"/>
  <c r="S35" i="13" s="1"/>
  <c r="T35" i="13" s="1"/>
  <c r="L52" i="13"/>
  <c r="L45" i="13"/>
  <c r="L32" i="14"/>
  <c r="L26" i="14"/>
  <c r="L25" i="12"/>
  <c r="S25" i="12" s="1"/>
  <c r="T25" i="12" s="1"/>
  <c r="L35" i="14"/>
  <c r="S35" i="14" s="1"/>
  <c r="T35" i="14" s="1"/>
  <c r="L39" i="13"/>
  <c r="S39" i="13" s="1"/>
  <c r="T39" i="13" s="1"/>
  <c r="L43" i="13"/>
  <c r="L44" i="13"/>
  <c r="L35" i="12"/>
  <c r="S35" i="12" s="1"/>
  <c r="T35" i="12" s="1"/>
  <c r="L36" i="12"/>
  <c r="L42" i="14"/>
  <c r="L41" i="14"/>
  <c r="L49" i="13"/>
  <c r="L30" i="14"/>
  <c r="S30" i="14" s="1"/>
  <c r="T30" i="14" s="1"/>
  <c r="L36" i="13"/>
  <c r="S36" i="13" s="1"/>
  <c r="T36" i="13" s="1"/>
  <c r="L34" i="14"/>
  <c r="L25" i="14"/>
  <c r="S25" i="14" s="1"/>
  <c r="T25" i="14" s="1"/>
  <c r="L47" i="13"/>
  <c r="S47" i="13" s="1"/>
  <c r="T47" i="13" s="1"/>
  <c r="L42" i="13"/>
  <c r="L40" i="13"/>
  <c r="S40" i="13" s="1"/>
  <c r="T40" i="13" s="1"/>
  <c r="L23" i="13"/>
  <c r="L40" i="14"/>
  <c r="L30" i="12"/>
  <c r="L28" i="12"/>
  <c r="K47" i="13"/>
  <c r="C25" i="13"/>
  <c r="K50" i="13"/>
  <c r="C38" i="12"/>
  <c r="K46" i="13"/>
  <c r="K44" i="14"/>
  <c r="K51" i="14"/>
  <c r="K48" i="13"/>
  <c r="M52" i="13"/>
  <c r="M43" i="14"/>
  <c r="M23" i="14"/>
  <c r="M45" i="13"/>
  <c r="M30" i="14"/>
  <c r="M23" i="13"/>
  <c r="M34" i="13"/>
  <c r="M35" i="12"/>
  <c r="M48" i="13"/>
  <c r="M38" i="13"/>
  <c r="M47" i="13"/>
  <c r="M46" i="13"/>
  <c r="M32" i="14"/>
  <c r="M26" i="14"/>
  <c r="S26" i="14" s="1"/>
  <c r="T26" i="14" s="1"/>
  <c r="M27" i="14"/>
  <c r="S27" i="14" s="1"/>
  <c r="T27" i="14" s="1"/>
  <c r="M28" i="14"/>
  <c r="M25" i="12"/>
  <c r="M40" i="14"/>
  <c r="M29" i="14"/>
  <c r="M42" i="14"/>
  <c r="M50" i="13"/>
  <c r="M43" i="13"/>
  <c r="S43" i="13" s="1"/>
  <c r="T43" i="13" s="1"/>
  <c r="M44" i="14"/>
  <c r="M31" i="12"/>
  <c r="M33" i="14"/>
  <c r="S33" i="14" s="1"/>
  <c r="T33" i="14" s="1"/>
  <c r="M45" i="14"/>
  <c r="M36" i="13"/>
  <c r="M34" i="14"/>
  <c r="M25" i="14"/>
  <c r="M39" i="13"/>
  <c r="M28" i="12"/>
  <c r="M36" i="12"/>
  <c r="M29" i="12"/>
  <c r="M51" i="13"/>
  <c r="M44" i="13"/>
  <c r="M41" i="13"/>
  <c r="M31" i="14"/>
  <c r="M35" i="14"/>
  <c r="M41" i="14"/>
  <c r="M49" i="13"/>
  <c r="M42" i="13"/>
  <c r="M40" i="13"/>
  <c r="M35" i="13"/>
  <c r="M30" i="12"/>
  <c r="K42" i="14"/>
  <c r="K49" i="14"/>
  <c r="K43" i="13"/>
  <c r="M37" i="13"/>
  <c r="I37" i="13"/>
  <c r="K37" i="13" s="1"/>
  <c r="N37" i="13" s="1"/>
  <c r="L37" i="13"/>
  <c r="S37" i="13" s="1"/>
  <c r="T37" i="13" s="1"/>
  <c r="I38" i="13"/>
  <c r="K38" i="13" s="1"/>
  <c r="N38" i="13" s="1"/>
  <c r="L38" i="13"/>
  <c r="S38" i="13" s="1"/>
  <c r="T38" i="13" s="1"/>
  <c r="C38" i="14"/>
  <c r="J33" i="12"/>
  <c r="J37" i="12"/>
  <c r="J36" i="12"/>
  <c r="J27" i="12"/>
  <c r="J34" i="12"/>
  <c r="J32" i="12"/>
  <c r="J31" i="12"/>
  <c r="H37" i="14"/>
  <c r="J37" i="14"/>
  <c r="S29" i="14"/>
  <c r="T29" i="14" s="1"/>
  <c r="N29" i="14"/>
  <c r="M26" i="12"/>
  <c r="L26" i="12"/>
  <c r="S26" i="12" s="1"/>
  <c r="T26" i="12" s="1"/>
  <c r="S30" i="12"/>
  <c r="T30" i="12" s="1"/>
  <c r="M33" i="12"/>
  <c r="L33" i="12"/>
  <c r="M37" i="12"/>
  <c r="L37" i="12"/>
  <c r="L24" i="13"/>
  <c r="M24" i="13"/>
  <c r="S49" i="13"/>
  <c r="T49" i="13" s="1"/>
  <c r="S42" i="14"/>
  <c r="T42" i="14" s="1"/>
  <c r="K23" i="12"/>
  <c r="I36" i="14"/>
  <c r="K36" i="14" s="1"/>
  <c r="N36" i="14" s="1"/>
  <c r="L36" i="14"/>
  <c r="S36" i="14" s="1"/>
  <c r="T36" i="14" s="1"/>
  <c r="M36" i="14"/>
  <c r="S28" i="12"/>
  <c r="T28" i="12" s="1"/>
  <c r="S44" i="14"/>
  <c r="T44" i="14" s="1"/>
  <c r="L32" i="12"/>
  <c r="M32" i="12"/>
  <c r="L27" i="12"/>
  <c r="S27" i="12" s="1"/>
  <c r="T27" i="12" s="1"/>
  <c r="M27" i="12"/>
  <c r="K30" i="12"/>
  <c r="N30" i="12" s="1"/>
  <c r="N27" i="14"/>
  <c r="N32" i="14"/>
  <c r="L24" i="14"/>
  <c r="M24" i="14"/>
  <c r="N33" i="14"/>
  <c r="K35" i="12"/>
  <c r="N31" i="14"/>
  <c r="K28" i="12"/>
  <c r="N28" i="12" s="1"/>
  <c r="M34" i="12"/>
  <c r="L34" i="12"/>
  <c r="H24" i="12"/>
  <c r="M23" i="12"/>
  <c r="L23" i="12"/>
  <c r="S23" i="12" s="1"/>
  <c r="T23" i="12" s="1"/>
  <c r="S50" i="13"/>
  <c r="T50" i="13" s="1"/>
  <c r="K29" i="12"/>
  <c r="N29" i="12" s="1"/>
  <c r="J45" i="14"/>
  <c r="J40" i="14"/>
  <c r="E38" i="14"/>
  <c r="D38" i="14"/>
  <c r="Q37" i="14"/>
  <c r="J41" i="14"/>
  <c r="D25" i="13"/>
  <c r="G25" i="13"/>
  <c r="E25" i="13"/>
  <c r="F25" i="13"/>
  <c r="J51" i="13"/>
  <c r="J42" i="13"/>
  <c r="J44" i="13"/>
  <c r="Q24" i="12"/>
  <c r="B39" i="14"/>
  <c r="D38" i="12"/>
  <c r="F38" i="12"/>
  <c r="G38" i="12"/>
  <c r="E38" i="12"/>
  <c r="J52" i="13"/>
  <c r="J45" i="13"/>
  <c r="J43" i="14"/>
  <c r="F38" i="14"/>
  <c r="G38" i="14"/>
  <c r="A26" i="13"/>
  <c r="B39" i="12"/>
  <c r="C39" i="12" l="1"/>
  <c r="K43" i="14"/>
  <c r="K50" i="14"/>
  <c r="S43" i="14"/>
  <c r="T43" i="14" s="1"/>
  <c r="K45" i="13"/>
  <c r="K52" i="13"/>
  <c r="S52" i="13"/>
  <c r="T52" i="13" s="1"/>
  <c r="J38" i="12"/>
  <c r="H38" i="12"/>
  <c r="I38" i="12" s="1"/>
  <c r="K38" i="12" s="1"/>
  <c r="N38" i="12" s="1"/>
  <c r="K44" i="13"/>
  <c r="S44" i="13"/>
  <c r="T44" i="13" s="1"/>
  <c r="K42" i="13"/>
  <c r="K51" i="13"/>
  <c r="J25" i="13"/>
  <c r="H25" i="13"/>
  <c r="K41" i="14"/>
  <c r="K48" i="14"/>
  <c r="S41" i="14"/>
  <c r="T41" i="14" s="1"/>
  <c r="K40" i="14"/>
  <c r="K47" i="14"/>
  <c r="K52" i="14"/>
  <c r="K45" i="14"/>
  <c r="S45" i="14"/>
  <c r="T45" i="14" s="1"/>
  <c r="S45" i="13"/>
  <c r="T45" i="13" s="1"/>
  <c r="S40" i="14"/>
  <c r="T40" i="14" s="1"/>
  <c r="N23" i="14"/>
  <c r="N35" i="12"/>
  <c r="S34" i="12"/>
  <c r="T34" i="12" s="1"/>
  <c r="S37" i="12"/>
  <c r="T37" i="12" s="1"/>
  <c r="N28" i="14"/>
  <c r="S23" i="13"/>
  <c r="T23" i="13" s="1"/>
  <c r="S46" i="13"/>
  <c r="T46" i="13" s="1"/>
  <c r="S33" i="12"/>
  <c r="T33" i="12" s="1"/>
  <c r="N30" i="14"/>
  <c r="S42" i="13"/>
  <c r="T42" i="13" s="1"/>
  <c r="S29" i="12"/>
  <c r="T29" i="12" s="1"/>
  <c r="S51" i="13"/>
  <c r="T51" i="13" s="1"/>
  <c r="C39" i="14"/>
  <c r="H38" i="14"/>
  <c r="J38" i="14"/>
  <c r="S32" i="12"/>
  <c r="T32" i="12" s="1"/>
  <c r="S24" i="13"/>
  <c r="T24" i="13" s="1"/>
  <c r="K27" i="12"/>
  <c r="N27" i="12" s="1"/>
  <c r="L25" i="13"/>
  <c r="M25" i="13"/>
  <c r="N23" i="12"/>
  <c r="I37" i="14"/>
  <c r="K37" i="14" s="1"/>
  <c r="N37" i="14" s="1"/>
  <c r="L37" i="14"/>
  <c r="S37" i="14" s="1"/>
  <c r="T37" i="14" s="1"/>
  <c r="M37" i="14"/>
  <c r="K25" i="13"/>
  <c r="S24" i="14"/>
  <c r="T24" i="14" s="1"/>
  <c r="M24" i="12"/>
  <c r="L24" i="12"/>
  <c r="S24" i="12" s="1"/>
  <c r="T24" i="12" s="1"/>
  <c r="K31" i="12"/>
  <c r="N31" i="12" s="1"/>
  <c r="K36" i="12"/>
  <c r="N36" i="12" s="1"/>
  <c r="K32" i="12"/>
  <c r="N32" i="12" s="1"/>
  <c r="K37" i="12"/>
  <c r="N37" i="12" s="1"/>
  <c r="S31" i="12"/>
  <c r="T31" i="12" s="1"/>
  <c r="K34" i="12"/>
  <c r="N34" i="12" s="1"/>
  <c r="K33" i="12"/>
  <c r="N33" i="12" s="1"/>
  <c r="M38" i="12"/>
  <c r="D39" i="12"/>
  <c r="F39" i="12"/>
  <c r="E39" i="12"/>
  <c r="G39" i="12"/>
  <c r="B26" i="13"/>
  <c r="Q38" i="12"/>
  <c r="D39" i="14"/>
  <c r="F39" i="14"/>
  <c r="Q25" i="13"/>
  <c r="Q38" i="14"/>
  <c r="G39" i="14"/>
  <c r="E39" i="14"/>
  <c r="B40" i="12"/>
  <c r="C40" i="12" l="1"/>
  <c r="C26" i="13"/>
  <c r="J39" i="12"/>
  <c r="H39" i="12"/>
  <c r="L38" i="12"/>
  <c r="S38" i="12" s="1"/>
  <c r="T38" i="12" s="1"/>
  <c r="J39" i="14"/>
  <c r="H39" i="14"/>
  <c r="S25" i="13"/>
  <c r="T25" i="13" s="1"/>
  <c r="N25" i="13"/>
  <c r="I38" i="14"/>
  <c r="K38" i="14" s="1"/>
  <c r="N38" i="14" s="1"/>
  <c r="M38" i="14"/>
  <c r="L38" i="14"/>
  <c r="S38" i="14" s="1"/>
  <c r="T38" i="14" s="1"/>
  <c r="G40" i="12"/>
  <c r="D40" i="12"/>
  <c r="E40" i="12"/>
  <c r="F40" i="12"/>
  <c r="G26" i="13"/>
  <c r="E26" i="13"/>
  <c r="F26" i="13"/>
  <c r="D26" i="13"/>
  <c r="Q39" i="14"/>
  <c r="Q39" i="12"/>
  <c r="B41" i="12"/>
  <c r="B27" i="13"/>
  <c r="C27" i="13" l="1"/>
  <c r="C41" i="12"/>
  <c r="H26" i="13"/>
  <c r="J26" i="13"/>
  <c r="K26" i="13" s="1"/>
  <c r="N26" i="13" s="1"/>
  <c r="J40" i="12"/>
  <c r="H40" i="12"/>
  <c r="L39" i="12"/>
  <c r="S39" i="12" s="1"/>
  <c r="T39" i="12" s="1"/>
  <c r="M39" i="12"/>
  <c r="I39" i="12"/>
  <c r="K39" i="12" s="1"/>
  <c r="N39" i="12" s="1"/>
  <c r="I40" i="12"/>
  <c r="M40" i="12"/>
  <c r="L40" i="12"/>
  <c r="S40" i="12" s="1"/>
  <c r="T40" i="12" s="1"/>
  <c r="I39" i="14"/>
  <c r="L39" i="14"/>
  <c r="S39" i="14" s="1"/>
  <c r="T39" i="14" s="1"/>
  <c r="M39" i="14"/>
  <c r="K39" i="14"/>
  <c r="K40" i="12"/>
  <c r="N40" i="12" s="1"/>
  <c r="U23" i="14" a="1"/>
  <c r="Q40" i="12"/>
  <c r="E27" i="13"/>
  <c r="D27" i="13"/>
  <c r="G27" i="13"/>
  <c r="F27" i="13"/>
  <c r="D41" i="12"/>
  <c r="F41" i="12"/>
  <c r="E41" i="12"/>
  <c r="G41" i="12"/>
  <c r="Q26" i="13"/>
  <c r="B28" i="13"/>
  <c r="B42" i="12"/>
  <c r="C42" i="12" l="1"/>
  <c r="C28" i="13"/>
  <c r="J41" i="12"/>
  <c r="H41" i="12"/>
  <c r="J27" i="13"/>
  <c r="K27" i="13" s="1"/>
  <c r="N27" i="13" s="1"/>
  <c r="H27" i="13"/>
  <c r="M26" i="13"/>
  <c r="L26" i="13"/>
  <c r="S26" i="13" s="1"/>
  <c r="T26" i="13" s="1"/>
  <c r="U37" i="14"/>
  <c r="U27" i="14"/>
  <c r="U44" i="14"/>
  <c r="U43" i="14"/>
  <c r="U26" i="14"/>
  <c r="U40" i="14"/>
  <c r="U31" i="14"/>
  <c r="U39" i="14"/>
  <c r="U28" i="14"/>
  <c r="U34" i="14"/>
  <c r="U33" i="14"/>
  <c r="U38" i="14"/>
  <c r="U30" i="14"/>
  <c r="U42" i="14"/>
  <c r="U24" i="14"/>
  <c r="U23" i="14"/>
  <c r="U35" i="14"/>
  <c r="U29" i="14"/>
  <c r="U36" i="14"/>
  <c r="U45" i="14"/>
  <c r="U25" i="14"/>
  <c r="U32" i="14"/>
  <c r="U41" i="14"/>
  <c r="I41" i="12"/>
  <c r="K41" i="12" s="1"/>
  <c r="N41" i="12" s="1"/>
  <c r="L41" i="12"/>
  <c r="S41" i="12" s="1"/>
  <c r="T41" i="12" s="1"/>
  <c r="M41" i="12"/>
  <c r="N39" i="14"/>
  <c r="Q41" i="12"/>
  <c r="Q27" i="13"/>
  <c r="D42" i="12"/>
  <c r="E42" i="12"/>
  <c r="G42" i="12"/>
  <c r="F42" i="12"/>
  <c r="G28" i="13"/>
  <c r="F28" i="13"/>
  <c r="D28" i="13"/>
  <c r="E28" i="13"/>
  <c r="B43" i="12"/>
  <c r="B29" i="13"/>
  <c r="C29" i="13" l="1"/>
  <c r="C43" i="12"/>
  <c r="H28" i="13"/>
  <c r="J28" i="13"/>
  <c r="K28" i="13" s="1"/>
  <c r="N28" i="13" s="1"/>
  <c r="J42" i="12"/>
  <c r="H42" i="12"/>
  <c r="M27" i="13"/>
  <c r="L27" i="13"/>
  <c r="S27" i="13" s="1"/>
  <c r="T27" i="13" s="1"/>
  <c r="L42" i="12"/>
  <c r="S42" i="12" s="1"/>
  <c r="T42" i="12" s="1"/>
  <c r="M42" i="12"/>
  <c r="I42" i="12"/>
  <c r="K42" i="12" s="1"/>
  <c r="N42" i="12" s="1"/>
  <c r="Q42" i="12"/>
  <c r="D29" i="13"/>
  <c r="E29" i="13"/>
  <c r="F29" i="13"/>
  <c r="G29" i="13"/>
  <c r="D43" i="12"/>
  <c r="E43" i="12"/>
  <c r="G43" i="12"/>
  <c r="F43" i="12"/>
  <c r="Q28" i="13"/>
  <c r="B30" i="13"/>
  <c r="B44" i="12"/>
  <c r="C44" i="12" l="1"/>
  <c r="C30" i="13"/>
  <c r="J43" i="12"/>
  <c r="H43" i="12"/>
  <c r="J29" i="13"/>
  <c r="K29" i="13" s="1"/>
  <c r="N29" i="13" s="1"/>
  <c r="H29" i="13"/>
  <c r="L28" i="13"/>
  <c r="M28" i="13"/>
  <c r="Q29" i="13"/>
  <c r="E44" i="12"/>
  <c r="G44" i="12"/>
  <c r="F44" i="12"/>
  <c r="D44" i="12"/>
  <c r="F30" i="13"/>
  <c r="G30" i="13"/>
  <c r="E30" i="13"/>
  <c r="D30" i="13"/>
  <c r="Q43" i="12"/>
  <c r="B45" i="12"/>
  <c r="B31" i="13"/>
  <c r="C31" i="13" l="1"/>
  <c r="C45" i="12"/>
  <c r="H30" i="13"/>
  <c r="J30" i="13"/>
  <c r="K30" i="13" s="1"/>
  <c r="H44" i="12"/>
  <c r="J44" i="12"/>
  <c r="M43" i="12"/>
  <c r="L43" i="12"/>
  <c r="S43" i="12" s="1"/>
  <c r="T43" i="12" s="1"/>
  <c r="I43" i="12"/>
  <c r="K43" i="12" s="1"/>
  <c r="N43" i="12" s="1"/>
  <c r="S28" i="13"/>
  <c r="T28" i="13" s="1"/>
  <c r="M29" i="13"/>
  <c r="L29" i="13"/>
  <c r="I44" i="12"/>
  <c r="K44" i="12" s="1"/>
  <c r="N44" i="12" s="1"/>
  <c r="L44" i="12"/>
  <c r="S44" i="12" s="1"/>
  <c r="T44" i="12" s="1"/>
  <c r="M44" i="12"/>
  <c r="Q44" i="12"/>
  <c r="F31" i="13"/>
  <c r="D31" i="13"/>
  <c r="E31" i="13"/>
  <c r="G31" i="13"/>
  <c r="G45" i="12"/>
  <c r="E45" i="12"/>
  <c r="D45" i="12"/>
  <c r="F45" i="12"/>
  <c r="Q30" i="13"/>
  <c r="B32" i="13"/>
  <c r="B46" i="12"/>
  <c r="C46" i="12" l="1"/>
  <c r="C32" i="13"/>
  <c r="J45" i="12"/>
  <c r="H45" i="12"/>
  <c r="H31" i="13"/>
  <c r="J31" i="13"/>
  <c r="K31" i="13" s="1"/>
  <c r="M30" i="13"/>
  <c r="L30" i="13"/>
  <c r="S30" i="13" s="1"/>
  <c r="T30" i="13" s="1"/>
  <c r="Q31" i="13"/>
  <c r="F46" i="12"/>
  <c r="G46" i="12"/>
  <c r="D46" i="12"/>
  <c r="E46" i="12"/>
  <c r="E32" i="13"/>
  <c r="F32" i="13"/>
  <c r="G32" i="13"/>
  <c r="D32" i="13"/>
  <c r="Q45" i="12"/>
  <c r="B47" i="12"/>
  <c r="B33" i="13"/>
  <c r="C33" i="13" l="1"/>
  <c r="C47" i="12"/>
  <c r="H32" i="13"/>
  <c r="J32" i="13"/>
  <c r="K32" i="13" s="1"/>
  <c r="H46" i="12"/>
  <c r="J46" i="12"/>
  <c r="I45" i="12"/>
  <c r="K45" i="12" s="1"/>
  <c r="N45" i="12" s="1"/>
  <c r="L45" i="12"/>
  <c r="S45" i="12" s="1"/>
  <c r="T45" i="12" s="1"/>
  <c r="M45" i="12"/>
  <c r="N30" i="13"/>
  <c r="L31" i="13"/>
  <c r="M31" i="13"/>
  <c r="L46" i="12"/>
  <c r="S46" i="12" s="1"/>
  <c r="T46" i="12" s="1"/>
  <c r="M46" i="12"/>
  <c r="I46" i="12"/>
  <c r="K46" i="12" s="1"/>
  <c r="N46" i="12" s="1"/>
  <c r="Q46" i="12"/>
  <c r="G33" i="13"/>
  <c r="E33" i="13"/>
  <c r="D33" i="13"/>
  <c r="F33" i="13"/>
  <c r="E47" i="12"/>
  <c r="F47" i="12"/>
  <c r="G47" i="12"/>
  <c r="D47" i="12"/>
  <c r="Q32" i="13"/>
  <c r="B48" i="12"/>
  <c r="C48" i="12" l="1"/>
  <c r="H47" i="12"/>
  <c r="J47" i="12"/>
  <c r="J33" i="13"/>
  <c r="K33" i="13" s="1"/>
  <c r="H33" i="13"/>
  <c r="S31" i="13"/>
  <c r="T31" i="13" s="1"/>
  <c r="N31" i="13"/>
  <c r="L32" i="13"/>
  <c r="M32" i="13"/>
  <c r="I47" i="12"/>
  <c r="K47" i="12" s="1"/>
  <c r="N47" i="12" s="1"/>
  <c r="U23" i="13" a="1"/>
  <c r="Q33" i="13"/>
  <c r="E48" i="12"/>
  <c r="F48" i="12"/>
  <c r="G48" i="12"/>
  <c r="D48" i="12"/>
  <c r="Q47" i="12"/>
  <c r="B49" i="12"/>
  <c r="C49" i="12" l="1"/>
  <c r="H48" i="12"/>
  <c r="J48" i="12"/>
  <c r="U26" i="13"/>
  <c r="U29" i="13"/>
  <c r="U45" i="13"/>
  <c r="U40" i="13"/>
  <c r="U41" i="13"/>
  <c r="U27" i="13"/>
  <c r="U30" i="13"/>
  <c r="U49" i="13"/>
  <c r="U46" i="13"/>
  <c r="U35" i="13"/>
  <c r="U50" i="13"/>
  <c r="U33" i="13"/>
  <c r="U37" i="13"/>
  <c r="U42" i="13"/>
  <c r="U36" i="13"/>
  <c r="U28" i="13"/>
  <c r="U47" i="13"/>
  <c r="U44" i="13"/>
  <c r="U51" i="13"/>
  <c r="U24" i="13"/>
  <c r="U48" i="13"/>
  <c r="U43" i="13"/>
  <c r="U38" i="13"/>
  <c r="U23" i="13"/>
  <c r="U34" i="13"/>
  <c r="U25" i="13"/>
  <c r="U39" i="13"/>
  <c r="U52" i="13"/>
  <c r="U32" i="13"/>
  <c r="U31" i="13"/>
  <c r="S32" i="13"/>
  <c r="T32" i="13" s="1"/>
  <c r="N32" i="13"/>
  <c r="L47" i="12"/>
  <c r="S47" i="12" s="1"/>
  <c r="T47" i="12" s="1"/>
  <c r="M47" i="12"/>
  <c r="M33" i="13"/>
  <c r="L33" i="13"/>
  <c r="N33" i="13" s="1"/>
  <c r="L48" i="12"/>
  <c r="S48" i="12" s="1"/>
  <c r="T48" i="12" s="1"/>
  <c r="I48" i="12"/>
  <c r="M48" i="12"/>
  <c r="K48" i="12"/>
  <c r="N48" i="12" s="1"/>
  <c r="E49" i="12"/>
  <c r="F49" i="12"/>
  <c r="D49" i="12"/>
  <c r="G49" i="12"/>
  <c r="Q48" i="12"/>
  <c r="H49" i="12" l="1"/>
  <c r="J49" i="12"/>
  <c r="I49" i="12"/>
  <c r="K49" i="12" s="1"/>
  <c r="N49" i="12" s="1"/>
  <c r="L49" i="12"/>
  <c r="S49" i="12" s="1"/>
  <c r="M49" i="12"/>
  <c r="Q49" i="12"/>
  <c r="O22" i="12"/>
  <c r="O45" i="12"/>
  <c r="O40" i="12"/>
  <c r="O29" i="12"/>
  <c r="O46" i="12"/>
  <c r="O25" i="12"/>
  <c r="O33" i="12"/>
  <c r="O36" i="12"/>
  <c r="O38" i="12"/>
  <c r="O41" i="12"/>
  <c r="O47" i="12"/>
  <c r="O26" i="12"/>
  <c r="O34" i="12"/>
  <c r="O39" i="12"/>
  <c r="O43" i="12"/>
  <c r="U23" i="12" a="1"/>
  <c r="O35" i="12"/>
  <c r="O27" i="12"/>
  <c r="O28" i="12"/>
  <c r="O22" i="14"/>
  <c r="O23" i="12"/>
  <c r="O24" i="14"/>
  <c r="O35" i="14"/>
  <c r="O38" i="14"/>
  <c r="O44" i="12"/>
  <c r="O30" i="12"/>
  <c r="O40" i="14"/>
  <c r="O37" i="12"/>
  <c r="O31" i="12"/>
  <c r="O39" i="14"/>
  <c r="O43" i="14"/>
  <c r="O26" i="14"/>
  <c r="O22" i="13"/>
  <c r="O26" i="13"/>
  <c r="O32" i="12"/>
  <c r="O48" i="12"/>
  <c r="O31" i="13"/>
  <c r="O35" i="13"/>
  <c r="O49" i="12"/>
  <c r="O42" i="14"/>
  <c r="O27" i="14"/>
  <c r="O41" i="13"/>
  <c r="O43" i="13"/>
  <c r="O49" i="13"/>
  <c r="O28" i="14"/>
  <c r="O42" i="12"/>
  <c r="O44" i="13"/>
  <c r="O24" i="12"/>
  <c r="O31" i="14"/>
  <c r="O23" i="14"/>
  <c r="O30" i="14"/>
  <c r="O32" i="14"/>
  <c r="O25" i="14"/>
  <c r="O34" i="14"/>
  <c r="O33" i="14"/>
  <c r="O44" i="14"/>
  <c r="O45" i="14"/>
  <c r="O41" i="14"/>
  <c r="O29" i="14"/>
  <c r="O37" i="14"/>
  <c r="O36" i="14"/>
  <c r="O25" i="13"/>
  <c r="O50" i="13"/>
  <c r="O39" i="13"/>
  <c r="O45" i="13"/>
  <c r="O46" i="13"/>
  <c r="O23" i="13"/>
  <c r="O30" i="13"/>
  <c r="O34" i="13"/>
  <c r="O27" i="13"/>
  <c r="O28" i="13"/>
  <c r="O24" i="13"/>
  <c r="O51" i="13"/>
  <c r="O33" i="13"/>
  <c r="O32" i="13"/>
  <c r="O40" i="13"/>
  <c r="O42" i="13"/>
  <c r="O38" i="13"/>
  <c r="O29" i="13"/>
  <c r="O48" i="13"/>
  <c r="O52" i="13"/>
  <c r="O37" i="13"/>
  <c r="O47" i="13"/>
  <c r="O36" i="13"/>
  <c r="R36" i="13" l="1"/>
  <c r="P36" i="13"/>
  <c r="R47" i="13"/>
  <c r="P47" i="13"/>
  <c r="R37" i="13"/>
  <c r="P37" i="13"/>
  <c r="R52" i="13"/>
  <c r="P52" i="13"/>
  <c r="R48" i="13"/>
  <c r="P48" i="13"/>
  <c r="R29" i="13"/>
  <c r="P29" i="13"/>
  <c r="P38" i="13"/>
  <c r="R38" i="13"/>
  <c r="R42" i="13"/>
  <c r="P42" i="13"/>
  <c r="R40" i="13"/>
  <c r="P40" i="13"/>
  <c r="R32" i="13"/>
  <c r="P32" i="13"/>
  <c r="R33" i="13"/>
  <c r="P33" i="13"/>
  <c r="R51" i="13"/>
  <c r="P51" i="13"/>
  <c r="R24" i="13"/>
  <c r="P24" i="13"/>
  <c r="R28" i="13"/>
  <c r="P28" i="13"/>
  <c r="R27" i="13"/>
  <c r="P27" i="13"/>
  <c r="P34" i="13"/>
  <c r="R34" i="13"/>
  <c r="P30" i="13"/>
  <c r="R30" i="13"/>
  <c r="P23" i="13"/>
  <c r="R23" i="13"/>
  <c r="P46" i="13"/>
  <c r="R46" i="13"/>
  <c r="P45" i="13"/>
  <c r="R45" i="13"/>
  <c r="P39" i="13"/>
  <c r="R39" i="13"/>
  <c r="P50" i="13"/>
  <c r="R50" i="13"/>
  <c r="P25" i="13"/>
  <c r="R25" i="13"/>
  <c r="R36" i="14"/>
  <c r="P36" i="14"/>
  <c r="R37" i="14"/>
  <c r="P37" i="14"/>
  <c r="R29" i="14"/>
  <c r="P29" i="14"/>
  <c r="R41" i="14"/>
  <c r="P41" i="14"/>
  <c r="R45" i="14"/>
  <c r="P45" i="14"/>
  <c r="R44" i="14"/>
  <c r="P44" i="14"/>
  <c r="P33" i="14"/>
  <c r="R33" i="14"/>
  <c r="R34" i="14"/>
  <c r="P34" i="14"/>
  <c r="P25" i="14"/>
  <c r="R25" i="14"/>
  <c r="R32" i="14"/>
  <c r="P32" i="14"/>
  <c r="R30" i="14"/>
  <c r="P30" i="14"/>
  <c r="R23" i="14"/>
  <c r="P23" i="14"/>
  <c r="R31" i="14"/>
  <c r="P31" i="14"/>
  <c r="R24" i="12"/>
  <c r="P24" i="12"/>
  <c r="P44" i="13"/>
  <c r="R44" i="13"/>
  <c r="P42" i="12"/>
  <c r="R42" i="12"/>
  <c r="R28" i="14"/>
  <c r="P28" i="14"/>
  <c r="R49" i="13"/>
  <c r="P49" i="13"/>
  <c r="P43" i="13"/>
  <c r="R43" i="13"/>
  <c r="R41" i="13"/>
  <c r="P41" i="13"/>
  <c r="R27" i="14"/>
  <c r="P27" i="14"/>
  <c r="R42" i="14"/>
  <c r="P42" i="14"/>
  <c r="R49" i="12"/>
  <c r="P49" i="12"/>
  <c r="R35" i="13"/>
  <c r="P35" i="13"/>
  <c r="P31" i="13"/>
  <c r="R31" i="13"/>
  <c r="R48" i="12"/>
  <c r="P48" i="12"/>
  <c r="P32" i="12"/>
  <c r="R32" i="12"/>
  <c r="R26" i="13"/>
  <c r="P26" i="13"/>
  <c r="R26" i="14"/>
  <c r="P26" i="14"/>
  <c r="P43" i="14"/>
  <c r="R43" i="14"/>
  <c r="P39" i="14"/>
  <c r="R39" i="14"/>
  <c r="P31" i="12"/>
  <c r="R31" i="12"/>
  <c r="R37" i="12"/>
  <c r="P37" i="12"/>
  <c r="P40" i="14"/>
  <c r="R40" i="14"/>
  <c r="P30" i="12"/>
  <c r="R30" i="12"/>
  <c r="R44" i="12"/>
  <c r="P44" i="12"/>
  <c r="R38" i="14"/>
  <c r="P38" i="14"/>
  <c r="P35" i="14"/>
  <c r="R35" i="14"/>
  <c r="P24" i="14"/>
  <c r="R24" i="14"/>
  <c r="P23" i="12"/>
  <c r="R23" i="12"/>
  <c r="R28" i="12"/>
  <c r="P28" i="12"/>
  <c r="R27" i="12"/>
  <c r="P27" i="12"/>
  <c r="R35" i="12"/>
  <c r="P35" i="12"/>
  <c r="U33" i="12"/>
  <c r="U46" i="12"/>
  <c r="U24" i="12"/>
  <c r="U30" i="12"/>
  <c r="U37" i="12"/>
  <c r="U44" i="12"/>
  <c r="U43" i="12"/>
  <c r="U47" i="12"/>
  <c r="U23" i="12"/>
  <c r="U31" i="12"/>
  <c r="U49" i="12"/>
  <c r="U32" i="12"/>
  <c r="U34" i="12"/>
  <c r="U40" i="12"/>
  <c r="U35" i="12"/>
  <c r="U28" i="12"/>
  <c r="U38" i="12"/>
  <c r="U29" i="12"/>
  <c r="U39" i="12"/>
  <c r="U26" i="12"/>
  <c r="U25" i="12"/>
  <c r="U45" i="12"/>
  <c r="U41" i="12"/>
  <c r="U42" i="12"/>
  <c r="U48" i="12"/>
  <c r="U36" i="12"/>
  <c r="U27" i="12"/>
  <c r="P43" i="12"/>
  <c r="R43" i="12"/>
  <c r="P39" i="12"/>
  <c r="R39" i="12"/>
  <c r="R34" i="12"/>
  <c r="P34" i="12"/>
  <c r="R26" i="12"/>
  <c r="P26" i="12"/>
  <c r="P47" i="12"/>
  <c r="R47" i="12"/>
  <c r="R41" i="12"/>
  <c r="P41" i="12"/>
  <c r="P38" i="12"/>
  <c r="R38" i="12"/>
  <c r="R36" i="12"/>
  <c r="P36" i="12"/>
  <c r="P33" i="12"/>
  <c r="R33" i="12"/>
  <c r="P25" i="12"/>
  <c r="R25" i="12"/>
  <c r="R46" i="12"/>
  <c r="P46" i="12"/>
  <c r="P29" i="12"/>
  <c r="R29" i="12"/>
  <c r="P40" i="12"/>
  <c r="R40" i="12"/>
  <c r="R45" i="12"/>
  <c r="P45" i="12"/>
  <c r="T49" i="12"/>
  <c r="P21" i="13"/>
  <c r="P20" i="14"/>
  <c r="R20" i="12"/>
  <c r="S36" i="12"/>
  <c r="U21" i="12"/>
  <c r="V23" i="12" a="1"/>
  <c r="V40" i="12"/>
  <c r="V37" i="12"/>
  <c r="V25" i="12"/>
  <c r="V48" i="12"/>
  <c r="V27" i="12"/>
  <c r="V31" i="12"/>
  <c r="V29" i="12"/>
  <c r="V36" i="12"/>
  <c r="V28" i="12"/>
  <c r="V44" i="12"/>
  <c r="V30" i="12"/>
  <c r="V35" i="12"/>
  <c r="V42" i="12"/>
  <c r="V49" i="12"/>
  <c r="V32" i="12"/>
  <c r="V23" i="12"/>
  <c r="V26" i="12"/>
  <c r="V45" i="12"/>
  <c r="V38" i="12"/>
  <c r="V43" i="12"/>
  <c r="V33" i="12"/>
  <c r="V46" i="12"/>
  <c r="V24" i="12"/>
  <c r="V34" i="12"/>
  <c r="V41" i="12"/>
  <c r="V39" i="12"/>
  <c r="V47" i="12"/>
  <c r="P21" i="14"/>
  <c r="R21" i="13"/>
  <c r="Q21" i="12"/>
  <c r="R21" i="12"/>
  <c r="S33" i="13"/>
  <c r="T33" i="13"/>
  <c r="Q21" i="14"/>
  <c r="R21" i="14"/>
  <c r="S34" i="14"/>
  <c r="T34" i="14"/>
  <c r="Q20" i="13"/>
  <c r="R20" i="13"/>
  <c r="Q20" i="14"/>
  <c r="R20" i="14"/>
  <c r="S31" i="14"/>
  <c r="S32" i="14"/>
  <c r="U21" i="14"/>
  <c r="U20" i="14"/>
  <c r="V22" i="14"/>
  <c r="T31" i="14"/>
  <c r="T32" i="14"/>
  <c r="S29" i="13"/>
  <c r="U20" i="13"/>
  <c r="T29" i="13"/>
  <c r="T36" i="12"/>
  <c r="V23" i="14" a="1"/>
  <c r="V23" i="14"/>
  <c r="V26" i="14"/>
  <c r="V39" i="14"/>
  <c r="V33" i="14"/>
  <c r="V35" i="14"/>
  <c r="V38" i="14"/>
  <c r="V40" i="14"/>
  <c r="V30" i="14"/>
  <c r="V41" i="14"/>
  <c r="V42" i="14"/>
  <c r="V29" i="14"/>
  <c r="V34" i="14"/>
  <c r="V36" i="14"/>
  <c r="V32" i="14"/>
  <c r="V45" i="14"/>
  <c r="V37" i="14"/>
  <c r="V43" i="14"/>
  <c r="V31" i="14"/>
  <c r="V28" i="14"/>
  <c r="V24" i="14"/>
  <c r="V27" i="14"/>
  <c r="V44" i="14"/>
  <c r="V25" i="14"/>
  <c r="U21" i="13"/>
  <c r="P20" i="12"/>
  <c r="V23" i="13" a="1"/>
  <c r="V34" i="13"/>
  <c r="V30" i="13"/>
  <c r="V33" i="13"/>
  <c r="V37" i="13"/>
  <c r="V26" i="13"/>
  <c r="V24" i="13"/>
  <c r="V43" i="13"/>
  <c r="V44" i="13"/>
  <c r="V32" i="13"/>
  <c r="V47" i="13"/>
  <c r="V41" i="13"/>
  <c r="V35" i="13"/>
  <c r="V25" i="13"/>
  <c r="V42" i="13"/>
  <c r="V27" i="13"/>
  <c r="V23" i="13"/>
  <c r="V45" i="13"/>
  <c r="V31" i="13"/>
  <c r="V36" i="13"/>
  <c r="V29" i="13"/>
  <c r="V39" i="13"/>
  <c r="V38" i="13"/>
  <c r="V40" i="13"/>
  <c r="V50" i="13"/>
  <c r="V48" i="13"/>
  <c r="V49" i="13"/>
  <c r="V46" i="13"/>
  <c r="V51" i="13"/>
  <c r="V28" i="13"/>
  <c r="V52" i="13"/>
  <c r="P21" i="12"/>
  <c r="P20" i="13"/>
  <c r="V22" i="12"/>
  <c r="V22" i="13"/>
</calcChain>
</file>

<file path=xl/sharedStrings.xml><?xml version="1.0" encoding="utf-8"?>
<sst xmlns="http://schemas.openxmlformats.org/spreadsheetml/2006/main" count="91" uniqueCount="49">
  <si>
    <t>GENERAL_SETTINGS</t>
  </si>
  <si>
    <t>Currency</t>
  </si>
  <si>
    <t>Last update</t>
  </si>
  <si>
    <t>Live Data Feed</t>
  </si>
  <si>
    <t>end</t>
  </si>
  <si>
    <t>start</t>
  </si>
  <si>
    <t>Instrument</t>
  </si>
  <si>
    <t>LastDayInYear</t>
  </si>
  <si>
    <t>spike</t>
  </si>
  <si>
    <t>y frac</t>
  </si>
  <si>
    <t>discount</t>
  </si>
  <si>
    <t>Actual/360</t>
  </si>
  <si>
    <t>TOY</t>
  </si>
  <si>
    <t xml:space="preserve"> </t>
  </si>
  <si>
    <t>Calendar</t>
  </si>
  <si>
    <t>Triggers</t>
  </si>
  <si>
    <t>DayCounter</t>
  </si>
  <si>
    <t>TOY2</t>
  </si>
  <si>
    <t>LastDayInNextYear</t>
  </si>
  <si>
    <t>TriggerTOY1M</t>
  </si>
  <si>
    <t>TriggerTOY3M</t>
  </si>
  <si>
    <t>TriggerTOY6M</t>
  </si>
  <si>
    <t>SettlementDate</t>
  </si>
  <si>
    <t>DiscountInterpolationType</t>
  </si>
  <si>
    <t>FwdInterpolationType</t>
  </si>
  <si>
    <t>real start</t>
  </si>
  <si>
    <t xml:space="preserve">  TOY</t>
  </si>
  <si>
    <t>mkt quote</t>
  </si>
  <si>
    <t>fwd rate</t>
  </si>
  <si>
    <t>Used</t>
  </si>
  <si>
    <t>Unique</t>
  </si>
  <si>
    <t>Usable</t>
  </si>
  <si>
    <t>No Toy</t>
  </si>
  <si>
    <t>LastFixing</t>
  </si>
  <si>
    <t>Use IMM FRA</t>
  </si>
  <si>
    <t>Use FRA</t>
  </si>
  <si>
    <t>MonotonicCubicNaturalSpline</t>
  </si>
  <si>
    <t>24M</t>
  </si>
  <si>
    <t>30M</t>
  </si>
  <si>
    <t>36M</t>
  </si>
  <si>
    <t>42M</t>
  </si>
  <si>
    <t>48M</t>
  </si>
  <si>
    <t>54M</t>
  </si>
  <si>
    <t>MonotonicLogCubicNaturalSpline</t>
  </si>
  <si>
    <t>Use Futures</t>
  </si>
  <si>
    <t>EvaluationDate</t>
  </si>
  <si>
    <t>GBP</t>
  </si>
  <si>
    <t>UnitedKingdom::Exchange</t>
  </si>
  <si>
    <t>ExternalLinkCleanedUp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</si>
</sst>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&quot;£&quot;#,##0;[Red]\-&quot;£&quot;#,##0"/>
    <numFmt numFmtId="165" formatCode="0.0000%"/>
    <numFmt numFmtId="166" formatCode="0.0000"/>
    <numFmt numFmtId="167" formatCode="ddd\,\ d\-mmm\-yyyy"/>
    <numFmt numFmtId="168" formatCode="0.000%"/>
    <numFmt numFmtId="169" formatCode="ddd\,\ dd\-mmm\-yyyy\,\ h:mm:ss"/>
    <numFmt numFmtId="170" formatCode="ddd\,\ dd\-mmm\-yyyy\ h:mm:ss"/>
    <numFmt numFmtId="171" formatCode="#,##0.0;#,##0.0"/>
    <numFmt numFmtId="172" formatCode="_([$€-2]* #,##0.00_);_([$€-2]* \(#,##0.00\);_([$€-2]* &quot;-&quot;??_)"/>
    <numFmt numFmtId="173" formatCode="0.000000000"/>
    <numFmt numFmtId="174" formatCode="0.00000"/>
    <numFmt numFmtId="175" formatCode="0.000"/>
    <numFmt numFmtId="176" formatCode="General_)"/>
    <numFmt numFmtId="177" formatCode="ddd\,\ dd\-mmm\-yyyy"/>
  </numFmts>
  <fonts count="18" x14ac:knownFonts="1">
    <font>
      <sz val="8"/>
      <name val="Arial"/>
    </font>
    <font>
      <sz val="8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10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sz val="10"/>
      <name val="Arial"/>
      <family val="2"/>
    </font>
    <font>
      <b/>
      <sz val="12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b/>
      <sz val="12"/>
      <name val="Courier New"/>
      <family val="3"/>
    </font>
    <font>
      <b/>
      <sz val="8"/>
      <name val="Courier New"/>
      <family val="3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172" fontId="2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176" fontId="9" fillId="0" borderId="0"/>
    <xf numFmtId="9" fontId="1" fillId="0" borderId="0" applyFont="0" applyFill="0" applyBorder="0" applyAlignment="0" applyProtection="0"/>
    <xf numFmtId="171" fontId="6" fillId="2" borderId="0">
      <alignment horizontal="center"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</cellStyleXfs>
  <cellXfs count="304">
    <xf numFmtId="0" fontId="0" fillId="0" borderId="0" xfId="0"/>
    <xf numFmtId="0" fontId="4" fillId="3" borderId="0" xfId="5" applyFont="1" applyFill="1" applyBorder="1" applyAlignment="1">
      <alignment horizontal="right"/>
    </xf>
    <xf numFmtId="0" fontId="3" fillId="0" borderId="0" xfId="0" applyFont="1"/>
    <xf numFmtId="0" fontId="1" fillId="0" borderId="0" xfId="0" applyFont="1"/>
    <xf numFmtId="0" fontId="1" fillId="0" borderId="5" xfId="0" applyFont="1" applyBorder="1"/>
    <xf numFmtId="167" fontId="0" fillId="0" borderId="0" xfId="0" applyNumberFormat="1" applyBorder="1"/>
    <xf numFmtId="0" fontId="1" fillId="0" borderId="6" xfId="0" applyFont="1" applyBorder="1"/>
    <xf numFmtId="0" fontId="1" fillId="0" borderId="0" xfId="0" applyFont="1" applyBorder="1"/>
    <xf numFmtId="165" fontId="1" fillId="0" borderId="0" xfId="0" applyNumberFormat="1" applyFont="1" applyBorder="1"/>
    <xf numFmtId="167" fontId="1" fillId="0" borderId="0" xfId="0" applyNumberFormat="1" applyFont="1"/>
    <xf numFmtId="175" fontId="1" fillId="0" borderId="0" xfId="0" applyNumberFormat="1" applyFont="1"/>
    <xf numFmtId="165" fontId="1" fillId="0" borderId="0" xfId="0" applyNumberFormat="1" applyFont="1"/>
    <xf numFmtId="167" fontId="1" fillId="0" borderId="7" xfId="0" applyNumberFormat="1" applyFont="1" applyBorder="1"/>
    <xf numFmtId="165" fontId="1" fillId="0" borderId="7" xfId="0" applyNumberFormat="1" applyFont="1" applyBorder="1"/>
    <xf numFmtId="167" fontId="1" fillId="0" borderId="8" xfId="0" applyNumberFormat="1" applyFont="1" applyBorder="1"/>
    <xf numFmtId="0" fontId="1" fillId="0" borderId="7" xfId="0" applyFont="1" applyBorder="1"/>
    <xf numFmtId="167" fontId="1" fillId="0" borderId="0" xfId="0" applyNumberFormat="1" applyFont="1" applyBorder="1"/>
    <xf numFmtId="167" fontId="1" fillId="0" borderId="6" xfId="0" applyNumberFormat="1" applyFont="1" applyBorder="1"/>
    <xf numFmtId="167" fontId="1" fillId="0" borderId="9" xfId="0" applyNumberFormat="1" applyFont="1" applyBorder="1"/>
    <xf numFmtId="165" fontId="1" fillId="0" borderId="9" xfId="0" applyNumberFormat="1" applyFont="1" applyBorder="1"/>
    <xf numFmtId="167" fontId="1" fillId="0" borderId="10" xfId="0" applyNumberFormat="1" applyFont="1" applyBorder="1"/>
    <xf numFmtId="0" fontId="1" fillId="0" borderId="9" xfId="0" applyFont="1" applyBorder="1"/>
    <xf numFmtId="0" fontId="1" fillId="0" borderId="8" xfId="0" applyFont="1" applyBorder="1"/>
    <xf numFmtId="0" fontId="1" fillId="0" borderId="11" xfId="0" applyFont="1" applyBorder="1"/>
    <xf numFmtId="9" fontId="1" fillId="0" borderId="0" xfId="8" applyFont="1"/>
    <xf numFmtId="0" fontId="3" fillId="0" borderId="0" xfId="0" applyFont="1" applyBorder="1"/>
    <xf numFmtId="0" fontId="0" fillId="0" borderId="0" xfId="0" applyBorder="1"/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165" fontId="1" fillId="0" borderId="9" xfId="8" applyNumberFormat="1" applyFont="1" applyBorder="1"/>
    <xf numFmtId="0" fontId="1" fillId="0" borderId="15" xfId="0" applyFont="1" applyBorder="1"/>
    <xf numFmtId="0" fontId="1" fillId="0" borderId="14" xfId="0" applyFont="1" applyBorder="1"/>
    <xf numFmtId="167" fontId="3" fillId="0" borderId="0" xfId="0" applyNumberFormat="1" applyFont="1" applyBorder="1"/>
    <xf numFmtId="0" fontId="0" fillId="0" borderId="14" xfId="0" applyBorder="1"/>
    <xf numFmtId="166" fontId="1" fillId="0" borderId="7" xfId="0" applyNumberFormat="1" applyFont="1" applyBorder="1"/>
    <xf numFmtId="166" fontId="1" fillId="0" borderId="0" xfId="0" applyNumberFormat="1" applyFont="1" applyBorder="1"/>
    <xf numFmtId="166" fontId="1" fillId="0" borderId="9" xfId="0" applyNumberFormat="1" applyFont="1" applyBorder="1"/>
    <xf numFmtId="165" fontId="1" fillId="0" borderId="0" xfId="8" applyNumberFormat="1" applyFont="1" applyBorder="1"/>
    <xf numFmtId="167" fontId="1" fillId="0" borderId="13" xfId="0" applyNumberFormat="1" applyFont="1" applyBorder="1" applyAlignment="1">
      <alignment horizontal="center"/>
    </xf>
    <xf numFmtId="0" fontId="0" fillId="0" borderId="6" xfId="0" applyBorder="1"/>
    <xf numFmtId="0" fontId="0" fillId="0" borderId="10" xfId="0" applyBorder="1"/>
    <xf numFmtId="167" fontId="0" fillId="0" borderId="9" xfId="0" applyNumberFormat="1" applyBorder="1"/>
    <xf numFmtId="0" fontId="1" fillId="0" borderId="5" xfId="0" applyFont="1" applyBorder="1" applyAlignment="1">
      <alignment horizontal="center"/>
    </xf>
    <xf numFmtId="165" fontId="0" fillId="0" borderId="6" xfId="0" applyNumberFormat="1" applyBorder="1"/>
    <xf numFmtId="0" fontId="0" fillId="0" borderId="8" xfId="0" applyBorder="1"/>
    <xf numFmtId="165" fontId="1" fillId="0" borderId="7" xfId="8" applyNumberFormat="1" applyFont="1" applyBorder="1"/>
    <xf numFmtId="0" fontId="0" fillId="0" borderId="0" xfId="0" applyBorder="1" applyAlignment="1">
      <alignment horizontal="center"/>
    </xf>
    <xf numFmtId="165" fontId="1" fillId="0" borderId="6" xfId="0" applyNumberFormat="1" applyFont="1" applyBorder="1"/>
    <xf numFmtId="0" fontId="1" fillId="0" borderId="16" xfId="0" applyFont="1" applyBorder="1"/>
    <xf numFmtId="165" fontId="1" fillId="0" borderId="10" xfId="0" applyNumberFormat="1" applyFont="1" applyBorder="1"/>
    <xf numFmtId="165" fontId="1" fillId="0" borderId="6" xfId="8" applyNumberFormat="1" applyFont="1" applyBorder="1"/>
    <xf numFmtId="165" fontId="1" fillId="0" borderId="10" xfId="8" applyNumberFormat="1" applyFont="1" applyBorder="1"/>
    <xf numFmtId="165" fontId="0" fillId="0" borderId="10" xfId="0" applyNumberFormat="1" applyBorder="1"/>
    <xf numFmtId="165" fontId="1" fillId="0" borderId="8" xfId="0" applyNumberFormat="1" applyFont="1" applyBorder="1"/>
    <xf numFmtId="165" fontId="1" fillId="0" borderId="16" xfId="8" applyNumberFormat="1" applyFont="1" applyBorder="1"/>
    <xf numFmtId="165" fontId="1" fillId="0" borderId="15" xfId="8" applyNumberFormat="1" applyFont="1" applyBorder="1"/>
    <xf numFmtId="167" fontId="0" fillId="0" borderId="7" xfId="0" applyNumberFormat="1" applyBorder="1"/>
    <xf numFmtId="165" fontId="0" fillId="0" borderId="8" xfId="0" applyNumberFormat="1" applyBorder="1"/>
    <xf numFmtId="165" fontId="1" fillId="0" borderId="8" xfId="8" applyNumberFormat="1" applyFont="1" applyBorder="1"/>
    <xf numFmtId="0" fontId="3" fillId="0" borderId="6" xfId="0" applyFont="1" applyBorder="1"/>
    <xf numFmtId="165" fontId="3" fillId="0" borderId="0" xfId="8" applyNumberFormat="1" applyFont="1" applyBorder="1"/>
    <xf numFmtId="0" fontId="3" fillId="0" borderId="10" xfId="0" applyFont="1" applyBorder="1"/>
    <xf numFmtId="167" fontId="3" fillId="0" borderId="9" xfId="0" applyNumberFormat="1" applyFont="1" applyBorder="1"/>
    <xf numFmtId="165" fontId="3" fillId="0" borderId="9" xfId="8" applyNumberFormat="1" applyFont="1" applyBorder="1"/>
    <xf numFmtId="165" fontId="0" fillId="0" borderId="0" xfId="0" applyNumberFormat="1" applyBorder="1"/>
    <xf numFmtId="166" fontId="1" fillId="0" borderId="6" xfId="0" applyNumberFormat="1" applyFont="1" applyBorder="1"/>
    <xf numFmtId="165" fontId="0" fillId="0" borderId="9" xfId="0" applyNumberFormat="1" applyBorder="1"/>
    <xf numFmtId="10" fontId="1" fillId="0" borderId="0" xfId="8" applyNumberFormat="1" applyFont="1" applyBorder="1"/>
    <xf numFmtId="10" fontId="1" fillId="0" borderId="7" xfId="0" applyNumberFormat="1" applyFont="1" applyBorder="1"/>
    <xf numFmtId="10" fontId="1" fillId="0" borderId="0" xfId="0" applyNumberFormat="1" applyFont="1" applyBorder="1"/>
    <xf numFmtId="10" fontId="1" fillId="0" borderId="9" xfId="0" applyNumberFormat="1" applyFont="1" applyBorder="1"/>
    <xf numFmtId="0" fontId="0" fillId="0" borderId="7" xfId="0" applyBorder="1"/>
    <xf numFmtId="165" fontId="0" fillId="0" borderId="7" xfId="0" applyNumberFormat="1" applyBorder="1"/>
    <xf numFmtId="174" fontId="1" fillId="0" borderId="13" xfId="0" applyNumberFormat="1" applyFont="1" applyBorder="1" applyAlignment="1"/>
    <xf numFmtId="174" fontId="0" fillId="0" borderId="7" xfId="0" applyNumberFormat="1" applyBorder="1" applyAlignment="1"/>
    <xf numFmtId="174" fontId="0" fillId="0" borderId="0" xfId="0" applyNumberFormat="1" applyBorder="1" applyAlignment="1"/>
    <xf numFmtId="174" fontId="0" fillId="0" borderId="9" xfId="0" applyNumberFormat="1" applyBorder="1" applyAlignment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0" fontId="1" fillId="0" borderId="7" xfId="8" applyNumberFormat="1" applyFont="1" applyBorder="1"/>
    <xf numFmtId="10" fontId="1" fillId="0" borderId="9" xfId="8" applyNumberFormat="1" applyFont="1" applyBorder="1"/>
    <xf numFmtId="0" fontId="1" fillId="0" borderId="0" xfId="0" applyFont="1" applyAlignment="1">
      <alignment horizontal="center"/>
    </xf>
    <xf numFmtId="0" fontId="0" fillId="0" borderId="18" xfId="0" applyBorder="1"/>
    <xf numFmtId="0" fontId="0" fillId="0" borderId="9" xfId="0" applyBorder="1"/>
    <xf numFmtId="0" fontId="0" fillId="0" borderId="20" xfId="0" applyBorder="1"/>
    <xf numFmtId="0" fontId="0" fillId="0" borderId="19" xfId="0" applyBorder="1"/>
    <xf numFmtId="0" fontId="0" fillId="0" borderId="17" xfId="0" applyBorder="1" applyAlignment="1">
      <alignment horizontal="center"/>
    </xf>
    <xf numFmtId="10" fontId="1" fillId="0" borderId="11" xfId="8" applyNumberFormat="1" applyFont="1" applyBorder="1"/>
    <xf numFmtId="10" fontId="1" fillId="0" borderId="16" xfId="8" applyNumberFormat="1" applyFont="1" applyBorder="1"/>
    <xf numFmtId="10" fontId="1" fillId="0" borderId="15" xfId="8" applyNumberFormat="1" applyFont="1" applyBorder="1"/>
    <xf numFmtId="0" fontId="3" fillId="0" borderId="8" xfId="0" applyFont="1" applyBorder="1"/>
    <xf numFmtId="167" fontId="3" fillId="0" borderId="6" xfId="0" applyNumberFormat="1" applyFont="1" applyBorder="1"/>
    <xf numFmtId="165" fontId="3" fillId="0" borderId="16" xfId="8" applyNumberFormat="1" applyFont="1" applyBorder="1"/>
    <xf numFmtId="167" fontId="3" fillId="0" borderId="10" xfId="0" applyNumberFormat="1" applyFont="1" applyBorder="1"/>
    <xf numFmtId="0" fontId="1" fillId="0" borderId="9" xfId="0" applyFont="1" applyBorder="1" applyAlignment="1"/>
    <xf numFmtId="10" fontId="1" fillId="0" borderId="9" xfId="0" applyNumberFormat="1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1" fillId="0" borderId="8" xfId="0" applyFont="1" applyBorder="1" applyAlignment="1">
      <alignment horizontal="center"/>
    </xf>
    <xf numFmtId="173" fontId="1" fillId="0" borderId="7" xfId="0" applyNumberFormat="1" applyFont="1" applyBorder="1" applyAlignment="1">
      <alignment horizontal="center"/>
    </xf>
    <xf numFmtId="167" fontId="1" fillId="0" borderId="7" xfId="0" applyNumberFormat="1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6" fontId="1" fillId="0" borderId="10" xfId="0" applyNumberFormat="1" applyFont="1" applyBorder="1"/>
    <xf numFmtId="0" fontId="1" fillId="0" borderId="7" xfId="0" applyFont="1" applyBorder="1" applyAlignment="1">
      <alignment horizontal="center"/>
    </xf>
    <xf numFmtId="0" fontId="3" fillId="0" borderId="16" xfId="0" applyFont="1" applyBorder="1"/>
    <xf numFmtId="0" fontId="3" fillId="0" borderId="15" xfId="0" applyFont="1" applyBorder="1"/>
    <xf numFmtId="10" fontId="1" fillId="0" borderId="0" xfId="0" applyNumberFormat="1" applyFont="1" applyBorder="1" applyAlignment="1">
      <alignment horizontal="center"/>
    </xf>
    <xf numFmtId="166" fontId="0" fillId="0" borderId="8" xfId="0" applyNumberFormat="1" applyBorder="1"/>
    <xf numFmtId="166" fontId="0" fillId="0" borderId="6" xfId="0" applyNumberFormat="1" applyBorder="1"/>
    <xf numFmtId="166" fontId="0" fillId="0" borderId="10" xfId="0" applyNumberFormat="1" applyBorder="1"/>
    <xf numFmtId="0" fontId="1" fillId="0" borderId="10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4" borderId="0" xfId="0" applyFill="1" applyBorder="1" applyAlignment="1">
      <alignment horizontal="center"/>
    </xf>
    <xf numFmtId="167" fontId="3" fillId="0" borderId="8" xfId="0" applyNumberFormat="1" applyFont="1" applyBorder="1"/>
    <xf numFmtId="165" fontId="3" fillId="0" borderId="11" xfId="8" applyNumberFormat="1" applyFont="1" applyBorder="1"/>
    <xf numFmtId="0" fontId="10" fillId="3" borderId="0" xfId="5" applyFont="1" applyFill="1" applyBorder="1"/>
    <xf numFmtId="0" fontId="3" fillId="3" borderId="0" xfId="5" applyFont="1" applyFill="1" applyBorder="1"/>
    <xf numFmtId="170" fontId="3" fillId="3" borderId="0" xfId="5" applyNumberFormat="1" applyFont="1" applyFill="1" applyBorder="1" applyAlignment="1">
      <alignment horizontal="center"/>
    </xf>
    <xf numFmtId="0" fontId="3" fillId="5" borderId="17" xfId="5" applyFont="1" applyFill="1" applyBorder="1"/>
    <xf numFmtId="167" fontId="3" fillId="3" borderId="14" xfId="8" applyNumberFormat="1" applyFont="1" applyFill="1" applyBorder="1"/>
    <xf numFmtId="0" fontId="3" fillId="0" borderId="17" xfId="0" applyFont="1" applyBorder="1"/>
    <xf numFmtId="0" fontId="3" fillId="3" borderId="0" xfId="5" applyFont="1" applyFill="1" applyBorder="1" applyAlignment="1">
      <alignment horizontal="center"/>
    </xf>
    <xf numFmtId="169" fontId="12" fillId="3" borderId="0" xfId="5" applyNumberFormat="1" applyFont="1" applyFill="1" applyBorder="1" applyAlignment="1">
      <alignment horizontal="left"/>
    </xf>
    <xf numFmtId="0" fontId="12" fillId="3" borderId="0" xfId="5" quotePrefix="1" applyFont="1" applyFill="1" applyBorder="1" applyAlignment="1">
      <alignment horizontal="left"/>
    </xf>
    <xf numFmtId="0" fontId="1" fillId="0" borderId="0" xfId="0" applyFont="1" applyBorder="1" applyAlignment="1"/>
    <xf numFmtId="165" fontId="1" fillId="0" borderId="0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4" borderId="9" xfId="0" applyFont="1" applyFill="1" applyBorder="1"/>
    <xf numFmtId="0" fontId="1" fillId="4" borderId="15" xfId="0" applyFont="1" applyFill="1" applyBorder="1"/>
    <xf numFmtId="0" fontId="1" fillId="4" borderId="7" xfId="0" applyFont="1" applyFill="1" applyBorder="1"/>
    <xf numFmtId="0" fontId="1" fillId="0" borderId="18" xfId="0" applyFont="1" applyBorder="1"/>
    <xf numFmtId="0" fontId="1" fillId="0" borderId="19" xfId="0" applyFont="1" applyBorder="1"/>
    <xf numFmtId="0" fontId="1" fillId="4" borderId="11" xfId="0" applyFont="1" applyFill="1" applyBorder="1"/>
    <xf numFmtId="174" fontId="0" fillId="0" borderId="7" xfId="0" applyNumberFormat="1" applyBorder="1"/>
    <xf numFmtId="174" fontId="0" fillId="0" borderId="9" xfId="0" applyNumberFormat="1" applyBorder="1"/>
    <xf numFmtId="167" fontId="0" fillId="4" borderId="9" xfId="0" applyNumberFormat="1" applyFill="1" applyBorder="1"/>
    <xf numFmtId="168" fontId="0" fillId="0" borderId="11" xfId="0" applyNumberFormat="1" applyBorder="1"/>
    <xf numFmtId="168" fontId="0" fillId="0" borderId="15" xfId="0" applyNumberFormat="1" applyBorder="1"/>
    <xf numFmtId="168" fontId="0" fillId="0" borderId="16" xfId="0" applyNumberFormat="1" applyBorder="1"/>
    <xf numFmtId="167" fontId="3" fillId="0" borderId="5" xfId="0" applyNumberFormat="1" applyFont="1" applyBorder="1"/>
    <xf numFmtId="165" fontId="3" fillId="0" borderId="14" xfId="8" applyNumberFormat="1" applyFont="1" applyBorder="1"/>
    <xf numFmtId="166" fontId="1" fillId="0" borderId="0" xfId="0" applyNumberFormat="1" applyFont="1" applyBorder="1" applyAlignment="1"/>
    <xf numFmtId="0" fontId="3" fillId="0" borderId="7" xfId="0" applyFont="1" applyBorder="1"/>
    <xf numFmtId="0" fontId="0" fillId="0" borderId="7" xfId="0" applyFont="1" applyBorder="1"/>
    <xf numFmtId="167" fontId="3" fillId="0" borderId="7" xfId="0" applyNumberFormat="1" applyFont="1" applyBorder="1"/>
    <xf numFmtId="165" fontId="3" fillId="0" borderId="7" xfId="8" applyNumberFormat="1" applyFont="1" applyBorder="1"/>
    <xf numFmtId="166" fontId="1" fillId="0" borderId="7" xfId="0" applyNumberFormat="1" applyFont="1" applyBorder="1" applyAlignment="1"/>
    <xf numFmtId="165" fontId="0" fillId="0" borderId="7" xfId="8" applyNumberFormat="1" applyFont="1" applyFill="1" applyBorder="1"/>
    <xf numFmtId="0" fontId="0" fillId="0" borderId="0" xfId="0" applyFont="1" applyBorder="1"/>
    <xf numFmtId="165" fontId="0" fillId="0" borderId="0" xfId="8" applyNumberFormat="1" applyFont="1" applyFill="1" applyBorder="1"/>
    <xf numFmtId="0" fontId="3" fillId="0" borderId="9" xfId="0" applyFont="1" applyBorder="1"/>
    <xf numFmtId="0" fontId="0" fillId="0" borderId="9" xfId="0" applyFont="1" applyBorder="1"/>
    <xf numFmtId="166" fontId="1" fillId="0" borderId="9" xfId="0" applyNumberFormat="1" applyFont="1" applyBorder="1" applyAlignment="1"/>
    <xf numFmtId="165" fontId="0" fillId="0" borderId="9" xfId="8" applyNumberFormat="1" applyFont="1" applyFill="1" applyBorder="1"/>
    <xf numFmtId="165" fontId="3" fillId="0" borderId="15" xfId="8" applyNumberFormat="1" applyFont="1" applyBorder="1"/>
    <xf numFmtId="168" fontId="3" fillId="0" borderId="7" xfId="8" applyNumberFormat="1" applyFont="1" applyBorder="1"/>
    <xf numFmtId="168" fontId="3" fillId="0" borderId="0" xfId="8" applyNumberFormat="1" applyFont="1" applyBorder="1"/>
    <xf numFmtId="167" fontId="1" fillId="0" borderId="11" xfId="0" applyNumberFormat="1" applyFont="1" applyBorder="1"/>
    <xf numFmtId="167" fontId="1" fillId="0" borderId="16" xfId="0" applyNumberFormat="1" applyFont="1" applyBorder="1"/>
    <xf numFmtId="167" fontId="1" fillId="0" borderId="15" xfId="0" applyNumberFormat="1" applyFont="1" applyBorder="1"/>
    <xf numFmtId="168" fontId="0" fillId="0" borderId="0" xfId="8" applyNumberFormat="1" applyFont="1"/>
    <xf numFmtId="0" fontId="1" fillId="0" borderId="6" xfId="0" applyFont="1" applyFill="1" applyBorder="1"/>
    <xf numFmtId="0" fontId="1" fillId="0" borderId="8" xfId="0" applyFont="1" applyFill="1" applyBorder="1"/>
    <xf numFmtId="0" fontId="1" fillId="0" borderId="10" xfId="0" applyFont="1" applyFill="1" applyBorder="1"/>
    <xf numFmtId="168" fontId="3" fillId="0" borderId="9" xfId="8" applyNumberFormat="1" applyFont="1" applyBorder="1"/>
    <xf numFmtId="165" fontId="3" fillId="4" borderId="9" xfId="8" applyNumberFormat="1" applyFont="1" applyFill="1" applyBorder="1"/>
    <xf numFmtId="168" fontId="0" fillId="0" borderId="7" xfId="0" applyNumberFormat="1" applyBorder="1"/>
    <xf numFmtId="168" fontId="0" fillId="0" borderId="9" xfId="0" applyNumberFormat="1" applyBorder="1"/>
    <xf numFmtId="168" fontId="1" fillId="0" borderId="7" xfId="0" applyNumberFormat="1" applyFont="1" applyBorder="1"/>
    <xf numFmtId="168" fontId="1" fillId="0" borderId="9" xfId="0" applyNumberFormat="1" applyFont="1" applyBorder="1"/>
    <xf numFmtId="168" fontId="0" fillId="0" borderId="0" xfId="0" applyNumberFormat="1" applyBorder="1"/>
    <xf numFmtId="168" fontId="1" fillId="0" borderId="0" xfId="0" applyNumberFormat="1" applyFont="1" applyBorder="1"/>
    <xf numFmtId="165" fontId="1" fillId="0" borderId="11" xfId="8" applyNumberFormat="1" applyFont="1" applyBorder="1"/>
    <xf numFmtId="165" fontId="1" fillId="0" borderId="0" xfId="8" applyNumberFormat="1" applyFont="1"/>
    <xf numFmtId="0" fontId="7" fillId="0" borderId="11" xfId="0" applyFont="1" applyBorder="1"/>
    <xf numFmtId="0" fontId="7" fillId="0" borderId="0" xfId="0" applyFont="1" applyBorder="1"/>
    <xf numFmtId="0" fontId="7" fillId="0" borderId="0" xfId="0" applyFont="1"/>
    <xf numFmtId="0" fontId="7" fillId="0" borderId="0" xfId="0" applyFont="1" applyBorder="1" applyAlignment="1">
      <alignment horizontal="center"/>
    </xf>
    <xf numFmtId="0" fontId="7" fillId="0" borderId="10" xfId="0" applyFont="1" applyBorder="1"/>
    <xf numFmtId="10" fontId="7" fillId="0" borderId="9" xfId="8" applyNumberFormat="1" applyFont="1" applyBorder="1"/>
    <xf numFmtId="0" fontId="7" fillId="0" borderId="15" xfId="0" applyFont="1" applyBorder="1"/>
    <xf numFmtId="0" fontId="7" fillId="0" borderId="8" xfId="0" applyFont="1" applyBorder="1"/>
    <xf numFmtId="0" fontId="7" fillId="0" borderId="5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167" fontId="7" fillId="0" borderId="13" xfId="0" applyNumberFormat="1" applyFont="1" applyBorder="1" applyAlignment="1">
      <alignment horizontal="center"/>
    </xf>
    <xf numFmtId="173" fontId="7" fillId="0" borderId="13" xfId="0" applyNumberFormat="1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3" xfId="0" applyFont="1" applyBorder="1" applyAlignment="1"/>
    <xf numFmtId="10" fontId="7" fillId="0" borderId="13" xfId="0" applyNumberFormat="1" applyFont="1" applyBorder="1" applyAlignment="1">
      <alignment horizontal="center"/>
    </xf>
    <xf numFmtId="165" fontId="7" fillId="0" borderId="13" xfId="0" applyNumberFormat="1" applyFont="1" applyBorder="1" applyAlignment="1">
      <alignment horizontal="center"/>
    </xf>
    <xf numFmtId="167" fontId="7" fillId="0" borderId="5" xfId="0" applyNumberFormat="1" applyFont="1" applyBorder="1"/>
    <xf numFmtId="165" fontId="7" fillId="0" borderId="14" xfId="8" applyNumberFormat="1" applyFont="1" applyBorder="1"/>
    <xf numFmtId="0" fontId="7" fillId="0" borderId="18" xfId="0" applyFont="1" applyBorder="1"/>
    <xf numFmtId="0" fontId="7" fillId="0" borderId="7" xfId="0" applyFont="1" applyBorder="1"/>
    <xf numFmtId="167" fontId="7" fillId="0" borderId="7" xfId="0" applyNumberFormat="1" applyFont="1" applyBorder="1"/>
    <xf numFmtId="165" fontId="7" fillId="0" borderId="8" xfId="0" applyNumberFormat="1" applyFont="1" applyBorder="1"/>
    <xf numFmtId="174" fontId="7" fillId="0" borderId="7" xfId="0" applyNumberFormat="1" applyFont="1" applyBorder="1"/>
    <xf numFmtId="0" fontId="7" fillId="4" borderId="7" xfId="0" applyFont="1" applyFill="1" applyBorder="1"/>
    <xf numFmtId="165" fontId="7" fillId="0" borderId="7" xfId="0" applyNumberFormat="1" applyFont="1" applyBorder="1"/>
    <xf numFmtId="10" fontId="7" fillId="0" borderId="7" xfId="0" applyNumberFormat="1" applyFont="1" applyBorder="1"/>
    <xf numFmtId="166" fontId="7" fillId="0" borderId="7" xfId="0" applyNumberFormat="1" applyFont="1" applyBorder="1"/>
    <xf numFmtId="10" fontId="7" fillId="0" borderId="11" xfId="8" applyNumberFormat="1" applyFont="1" applyBorder="1"/>
    <xf numFmtId="165" fontId="7" fillId="0" borderId="7" xfId="8" applyNumberFormat="1" applyFont="1" applyBorder="1"/>
    <xf numFmtId="168" fontId="7" fillId="0" borderId="7" xfId="0" applyNumberFormat="1" applyFont="1" applyBorder="1"/>
    <xf numFmtId="167" fontId="7" fillId="0" borderId="6" xfId="0" applyNumberFormat="1" applyFont="1" applyBorder="1"/>
    <xf numFmtId="165" fontId="7" fillId="0" borderId="16" xfId="8" applyNumberFormat="1" applyFont="1" applyBorder="1"/>
    <xf numFmtId="165" fontId="7" fillId="0" borderId="8" xfId="8" applyNumberFormat="1" applyFont="1" applyBorder="1"/>
    <xf numFmtId="0" fontId="7" fillId="0" borderId="19" xfId="0" applyFont="1" applyBorder="1"/>
    <xf numFmtId="0" fontId="7" fillId="0" borderId="9" xfId="0" applyFont="1" applyBorder="1"/>
    <xf numFmtId="167" fontId="7" fillId="4" borderId="9" xfId="0" applyNumberFormat="1" applyFont="1" applyFill="1" applyBorder="1"/>
    <xf numFmtId="165" fontId="7" fillId="0" borderId="10" xfId="0" applyNumberFormat="1" applyFont="1" applyBorder="1"/>
    <xf numFmtId="174" fontId="7" fillId="0" borderId="9" xfId="0" applyNumberFormat="1" applyFont="1" applyBorder="1"/>
    <xf numFmtId="167" fontId="7" fillId="0" borderId="9" xfId="0" applyNumberFormat="1" applyFont="1" applyBorder="1"/>
    <xf numFmtId="0" fontId="7" fillId="4" borderId="9" xfId="0" applyFont="1" applyFill="1" applyBorder="1"/>
    <xf numFmtId="165" fontId="7" fillId="0" borderId="9" xfId="0" applyNumberFormat="1" applyFont="1" applyBorder="1"/>
    <xf numFmtId="10" fontId="7" fillId="0" borderId="9" xfId="0" applyNumberFormat="1" applyFont="1" applyBorder="1"/>
    <xf numFmtId="166" fontId="7" fillId="0" borderId="9" xfId="0" applyNumberFormat="1" applyFont="1" applyBorder="1"/>
    <xf numFmtId="10" fontId="7" fillId="0" borderId="15" xfId="8" applyNumberFormat="1" applyFont="1" applyBorder="1"/>
    <xf numFmtId="165" fontId="7" fillId="0" borderId="9" xfId="8" applyNumberFormat="1" applyFont="1" applyBorder="1"/>
    <xf numFmtId="168" fontId="7" fillId="0" borderId="9" xfId="0" applyNumberFormat="1" applyFont="1" applyBorder="1"/>
    <xf numFmtId="0" fontId="7" fillId="0" borderId="6" xfId="0" applyFont="1" applyBorder="1"/>
    <xf numFmtId="165" fontId="7" fillId="0" borderId="6" xfId="8" applyNumberFormat="1" applyFont="1" applyBorder="1"/>
    <xf numFmtId="165" fontId="7" fillId="0" borderId="0" xfId="8" applyNumberFormat="1" applyFont="1" applyBorder="1"/>
    <xf numFmtId="167" fontId="7" fillId="0" borderId="0" xfId="0" applyNumberFormat="1" applyFont="1" applyBorder="1"/>
    <xf numFmtId="165" fontId="7" fillId="0" borderId="10" xfId="8" applyNumberFormat="1" applyFont="1" applyBorder="1"/>
    <xf numFmtId="0" fontId="7" fillId="0" borderId="0" xfId="0" applyFont="1" applyAlignment="1">
      <alignment horizontal="center"/>
    </xf>
    <xf numFmtId="173" fontId="7" fillId="0" borderId="7" xfId="0" applyNumberFormat="1" applyFont="1" applyBorder="1"/>
    <xf numFmtId="10" fontId="7" fillId="0" borderId="7" xfId="8" applyNumberFormat="1" applyFont="1" applyBorder="1"/>
    <xf numFmtId="165" fontId="7" fillId="0" borderId="6" xfId="0" applyNumberFormat="1" applyFont="1" applyBorder="1"/>
    <xf numFmtId="173" fontId="7" fillId="0" borderId="0" xfId="0" applyNumberFormat="1" applyFont="1" applyBorder="1"/>
    <xf numFmtId="165" fontId="7" fillId="0" borderId="0" xfId="0" applyNumberFormat="1" applyFont="1" applyBorder="1"/>
    <xf numFmtId="0" fontId="7" fillId="0" borderId="16" xfId="0" applyFont="1" applyBorder="1"/>
    <xf numFmtId="10" fontId="7" fillId="0" borderId="0" xfId="0" applyNumberFormat="1" applyFont="1" applyBorder="1"/>
    <xf numFmtId="166" fontId="7" fillId="0" borderId="0" xfId="0" applyNumberFormat="1" applyFont="1" applyBorder="1"/>
    <xf numFmtId="10" fontId="7" fillId="0" borderId="0" xfId="8" applyNumberFormat="1" applyFont="1" applyBorder="1"/>
    <xf numFmtId="168" fontId="7" fillId="0" borderId="0" xfId="0" applyNumberFormat="1" applyFont="1" applyBorder="1"/>
    <xf numFmtId="173" fontId="7" fillId="0" borderId="9" xfId="0" applyNumberFormat="1" applyFont="1" applyBorder="1"/>
    <xf numFmtId="166" fontId="7" fillId="0" borderId="6" xfId="0" applyNumberFormat="1" applyFont="1" applyBorder="1"/>
    <xf numFmtId="165" fontId="7" fillId="0" borderId="16" xfId="0" applyNumberFormat="1" applyFont="1" applyBorder="1"/>
    <xf numFmtId="166" fontId="7" fillId="0" borderId="10" xfId="0" applyNumberFormat="1" applyFont="1" applyBorder="1"/>
    <xf numFmtId="167" fontId="7" fillId="0" borderId="11" xfId="0" applyNumberFormat="1" applyFont="1" applyBorder="1"/>
    <xf numFmtId="166" fontId="7" fillId="0" borderId="7" xfId="0" applyNumberFormat="1" applyFont="1" applyBorder="1" applyAlignment="1"/>
    <xf numFmtId="165" fontId="7" fillId="0" borderId="7" xfId="8" applyNumberFormat="1" applyFont="1" applyFill="1" applyBorder="1"/>
    <xf numFmtId="168" fontId="7" fillId="0" borderId="7" xfId="8" applyNumberFormat="1" applyFont="1" applyBorder="1"/>
    <xf numFmtId="0" fontId="7" fillId="0" borderId="20" xfId="0" applyFont="1" applyBorder="1"/>
    <xf numFmtId="167" fontId="7" fillId="0" borderId="16" xfId="0" applyNumberFormat="1" applyFont="1" applyBorder="1"/>
    <xf numFmtId="166" fontId="7" fillId="0" borderId="0" xfId="0" applyNumberFormat="1" applyFont="1" applyBorder="1" applyAlignment="1"/>
    <xf numFmtId="165" fontId="7" fillId="0" borderId="0" xfId="8" applyNumberFormat="1" applyFont="1" applyFill="1" applyBorder="1"/>
    <xf numFmtId="168" fontId="7" fillId="0" borderId="0" xfId="8" applyNumberFormat="1" applyFont="1" applyBorder="1"/>
    <xf numFmtId="167" fontId="7" fillId="0" borderId="15" xfId="0" applyNumberFormat="1" applyFont="1" applyBorder="1"/>
    <xf numFmtId="165" fontId="7" fillId="4" borderId="9" xfId="8" applyNumberFormat="1" applyFont="1" applyFill="1" applyBorder="1"/>
    <xf numFmtId="166" fontId="7" fillId="0" borderId="9" xfId="0" applyNumberFormat="1" applyFont="1" applyBorder="1" applyAlignment="1"/>
    <xf numFmtId="165" fontId="7" fillId="0" borderId="9" xfId="8" applyNumberFormat="1" applyFont="1" applyFill="1" applyBorder="1"/>
    <xf numFmtId="168" fontId="7" fillId="0" borderId="9" xfId="8" applyNumberFormat="1" applyFont="1" applyBorder="1"/>
    <xf numFmtId="167" fontId="7" fillId="0" borderId="10" xfId="0" applyNumberFormat="1" applyFont="1" applyBorder="1"/>
    <xf numFmtId="165" fontId="7" fillId="0" borderId="15" xfId="8" applyNumberFormat="1" applyFont="1" applyBorder="1"/>
    <xf numFmtId="165" fontId="7" fillId="0" borderId="0" xfId="0" applyNumberFormat="1" applyFont="1"/>
    <xf numFmtId="165" fontId="7" fillId="0" borderId="0" xfId="8" applyNumberFormat="1" applyFont="1"/>
    <xf numFmtId="0" fontId="1" fillId="0" borderId="0" xfId="0" applyFont="1" applyBorder="1" applyAlignment="1">
      <alignment horizontal="center"/>
    </xf>
    <xf numFmtId="168" fontId="1" fillId="0" borderId="11" xfId="0" applyNumberFormat="1" applyFont="1" applyBorder="1"/>
    <xf numFmtId="168" fontId="1" fillId="0" borderId="15" xfId="0" applyNumberFormat="1" applyFont="1" applyBorder="1"/>
    <xf numFmtId="165" fontId="1" fillId="4" borderId="10" xfId="0" applyNumberFormat="1" applyFont="1" applyFill="1" applyBorder="1"/>
    <xf numFmtId="165" fontId="7" fillId="4" borderId="9" xfId="0" applyNumberFormat="1" applyFont="1" applyFill="1" applyBorder="1"/>
    <xf numFmtId="165" fontId="1" fillId="4" borderId="9" xfId="0" applyNumberFormat="1" applyFont="1" applyFill="1" applyBorder="1"/>
    <xf numFmtId="165" fontId="5" fillId="0" borderId="7" xfId="8" applyNumberFormat="1" applyFont="1" applyBorder="1"/>
    <xf numFmtId="165" fontId="5" fillId="0" borderId="9" xfId="8" applyNumberFormat="1" applyFont="1" applyBorder="1"/>
    <xf numFmtId="165" fontId="0" fillId="0" borderId="7" xfId="8" applyNumberFormat="1" applyFont="1" applyBorder="1"/>
    <xf numFmtId="165" fontId="0" fillId="0" borderId="9" xfId="8" applyNumberFormat="1" applyFont="1" applyBorder="1"/>
    <xf numFmtId="0" fontId="14" fillId="5" borderId="0" xfId="6" applyFont="1" applyFill="1" applyAlignment="1">
      <alignment horizontal="left"/>
    </xf>
    <xf numFmtId="0" fontId="15" fillId="5" borderId="0" xfId="6" applyFont="1" applyFill="1"/>
    <xf numFmtId="0" fontId="15" fillId="3" borderId="1" xfId="4" applyFont="1" applyFill="1" applyBorder="1"/>
    <xf numFmtId="0" fontId="15" fillId="3" borderId="0" xfId="4" applyFont="1" applyFill="1" applyBorder="1"/>
    <xf numFmtId="0" fontId="15" fillId="3" borderId="2" xfId="4" applyFont="1" applyFill="1" applyBorder="1"/>
    <xf numFmtId="0" fontId="17" fillId="5" borderId="17" xfId="4" applyFont="1" applyFill="1" applyBorder="1"/>
    <xf numFmtId="0" fontId="17" fillId="5" borderId="17" xfId="4" applyFont="1" applyFill="1" applyBorder="1" applyProtection="1"/>
    <xf numFmtId="0" fontId="15" fillId="3" borderId="3" xfId="4" applyFont="1" applyFill="1" applyBorder="1"/>
    <xf numFmtId="0" fontId="15" fillId="3" borderId="4" xfId="4" applyFont="1" applyFill="1" applyBorder="1"/>
    <xf numFmtId="0" fontId="15" fillId="3" borderId="12" xfId="4" applyFont="1" applyFill="1" applyBorder="1"/>
    <xf numFmtId="177" fontId="15" fillId="0" borderId="17" xfId="4" applyNumberFormat="1" applyFont="1" applyBorder="1" applyAlignment="1">
      <alignment horizontal="center"/>
    </xf>
    <xf numFmtId="15" fontId="0" fillId="0" borderId="0" xfId="0" applyNumberFormat="1"/>
    <xf numFmtId="0" fontId="1" fillId="0" borderId="9" xfId="0" applyFont="1" applyFill="1" applyBorder="1"/>
    <xf numFmtId="0" fontId="15" fillId="7" borderId="17" xfId="4" applyFont="1" applyFill="1" applyBorder="1"/>
    <xf numFmtId="0" fontId="3" fillId="3" borderId="17" xfId="5" applyFont="1" applyFill="1" applyBorder="1" applyAlignment="1">
      <alignment horizontal="center"/>
    </xf>
    <xf numFmtId="170" fontId="3" fillId="3" borderId="17" xfId="5" applyNumberFormat="1" applyFont="1" applyFill="1" applyBorder="1" applyAlignment="1">
      <alignment horizontal="center"/>
    </xf>
    <xf numFmtId="0" fontId="16" fillId="6" borderId="21" xfId="4" applyFont="1" applyFill="1" applyBorder="1" applyAlignment="1">
      <alignment horizontal="center"/>
    </xf>
    <xf numFmtId="0" fontId="16" fillId="6" borderId="22" xfId="4" applyFont="1" applyFill="1" applyBorder="1" applyAlignment="1">
      <alignment horizontal="center"/>
    </xf>
    <xf numFmtId="0" fontId="16" fillId="6" borderId="23" xfId="4" applyFont="1" applyFill="1" applyBorder="1" applyAlignment="1">
      <alignment horizontal="center"/>
    </xf>
    <xf numFmtId="0" fontId="10" fillId="8" borderId="0" xfId="5" applyFont="1" applyFill="1"/>
    <xf numFmtId="0" fontId="3" fillId="8" borderId="0" xfId="5" applyFont="1" applyFill="1" applyBorder="1"/>
    <xf numFmtId="0" fontId="3" fillId="8" borderId="0" xfId="6" applyFont="1" applyFill="1"/>
    <xf numFmtId="0" fontId="11" fillId="6" borderId="24" xfId="5" applyFont="1" applyFill="1" applyBorder="1" applyAlignment="1">
      <alignment horizontal="center"/>
    </xf>
    <xf numFmtId="0" fontId="11" fillId="6" borderId="25" xfId="5" applyFont="1" applyFill="1" applyBorder="1" applyAlignment="1">
      <alignment horizontal="center"/>
    </xf>
    <xf numFmtId="0" fontId="11" fillId="6" borderId="26" xfId="5" applyFont="1" applyFill="1" applyBorder="1" applyAlignment="1">
      <alignment horizontal="center"/>
    </xf>
    <xf numFmtId="0" fontId="10" fillId="3" borderId="1" xfId="5" applyFont="1" applyFill="1" applyBorder="1"/>
    <xf numFmtId="0" fontId="10" fillId="3" borderId="2" xfId="5" applyFont="1" applyFill="1" applyBorder="1"/>
    <xf numFmtId="0" fontId="3" fillId="3" borderId="2" xfId="5" applyFont="1" applyFill="1" applyBorder="1"/>
    <xf numFmtId="0" fontId="10" fillId="3" borderId="0" xfId="5" applyFont="1" applyFill="1" applyBorder="1" applyAlignment="1">
      <alignment horizontal="right"/>
    </xf>
    <xf numFmtId="0" fontId="13" fillId="3" borderId="0" xfId="5" applyFont="1" applyFill="1" applyBorder="1" applyAlignment="1">
      <alignment horizontal="right"/>
    </xf>
    <xf numFmtId="0" fontId="10" fillId="3" borderId="3" xfId="5" applyFont="1" applyFill="1" applyBorder="1"/>
    <xf numFmtId="0" fontId="3" fillId="3" borderId="4" xfId="5" applyFont="1" applyFill="1" applyBorder="1"/>
    <xf numFmtId="0" fontId="3" fillId="3" borderId="12" xfId="5" applyFont="1" applyFill="1" applyBorder="1"/>
  </cellXfs>
  <cellStyles count="12">
    <cellStyle name="Euro" xfId="1"/>
    <cellStyle name="Migliaia (0)_AZIONI" xfId="2"/>
    <cellStyle name="Migliaia_AZIONI" xfId="3"/>
    <cellStyle name="Normal" xfId="0" builtinId="0"/>
    <cellStyle name="Normal_EurDepoSwapPricer" xfId="4"/>
    <cellStyle name="Normal_InterestRateQuotesFeed" xfId="5"/>
    <cellStyle name="Normal_SwaptionATMVols" xfId="6"/>
    <cellStyle name="Normale_AZIONI" xfId="7"/>
    <cellStyle name="Percent" xfId="8" builtinId="5"/>
    <cellStyle name="result" xfId="9"/>
    <cellStyle name="Valuta (0)_AZIONI" xfId="10"/>
    <cellStyle name="Valuta_AZIONI" xfId="11"/>
  </cellStyles>
  <dxfs count="2">
    <dxf>
      <font>
        <condense val="0"/>
        <extend val="0"/>
        <color indexed="57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441887226697359E-2"/>
          <c:y val="7.9872329073995788E-2"/>
          <c:w val="0.90794016110471809"/>
          <c:h val="0.71885096166596207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'1M'!$H$23:$H$24</c:f>
              <c:numCache>
                <c:formatCode>ddd\,\ d\-mmm\-yyyy</c:formatCode>
                <c:ptCount val="2"/>
                <c:pt idx="0">
                  <c:v>41684</c:v>
                </c:pt>
                <c:pt idx="1">
                  <c:v>41684</c:v>
                </c:pt>
              </c:numCache>
            </c:numRef>
          </c:xVal>
          <c:yVal>
            <c:numRef>
              <c:f>'1M'!$J$23:$J$24</c:f>
              <c:numCache>
                <c:formatCode>0.0000%</c:formatCode>
                <c:ptCount val="2"/>
                <c:pt idx="0">
                  <c:v>4.9319999999999998E-3</c:v>
                </c:pt>
                <c:pt idx="1">
                  <c:v>4.9249999999999997E-3</c:v>
                </c:pt>
              </c:numCache>
            </c:numRef>
          </c:yVal>
          <c:smooth val="0"/>
        </c:ser>
        <c:ser>
          <c:idx val="0"/>
          <c:order val="1"/>
          <c:tx>
            <c:v>Swaps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'1M'!$H$27:$H$37</c:f>
              <c:numCache>
                <c:formatCode>ddd\,\ d\-mmm\-yyyy</c:formatCode>
                <c:ptCount val="11"/>
                <c:pt idx="0">
                  <c:v>41712</c:v>
                </c:pt>
                <c:pt idx="1">
                  <c:v>41743</c:v>
                </c:pt>
                <c:pt idx="2">
                  <c:v>41773</c:v>
                </c:pt>
                <c:pt idx="3">
                  <c:v>41806</c:v>
                </c:pt>
                <c:pt idx="4">
                  <c:v>41834</c:v>
                </c:pt>
                <c:pt idx="5">
                  <c:v>41865</c:v>
                </c:pt>
                <c:pt idx="6">
                  <c:v>41897</c:v>
                </c:pt>
                <c:pt idx="7">
                  <c:v>41926</c:v>
                </c:pt>
                <c:pt idx="8">
                  <c:v>41957</c:v>
                </c:pt>
                <c:pt idx="9">
                  <c:v>41988</c:v>
                </c:pt>
                <c:pt idx="10">
                  <c:v>42018</c:v>
                </c:pt>
              </c:numCache>
            </c:numRef>
          </c:xVal>
          <c:yVal>
            <c:numRef>
              <c:f>'1M'!$J$27:$J$37</c:f>
              <c:numCache>
                <c:formatCode>0.0000%</c:formatCode>
                <c:ptCount val="11"/>
                <c:pt idx="0">
                  <c:v>3.8974981540056478E-2</c:v>
                </c:pt>
                <c:pt idx="1">
                  <c:v>4.7478538762337763E-3</c:v>
                </c:pt>
                <c:pt idx="2">
                  <c:v>4.6595645678028002E-3</c:v>
                </c:pt>
                <c:pt idx="3">
                  <c:v>4.5247825442034408E-3</c:v>
                </c:pt>
                <c:pt idx="4">
                  <c:v>4.4492586916370621E-3</c:v>
                </c:pt>
                <c:pt idx="5">
                  <c:v>4.3568919223363478E-3</c:v>
                </c:pt>
                <c:pt idx="6">
                  <c:v>4.6372417885300957E-3</c:v>
                </c:pt>
                <c:pt idx="7">
                  <c:v>4.1965596732427713E-3</c:v>
                </c:pt>
                <c:pt idx="8">
                  <c:v>4.5840094470451752E-3</c:v>
                </c:pt>
                <c:pt idx="9">
                  <c:v>4.582200695964822E-3</c:v>
                </c:pt>
                <c:pt idx="10">
                  <c:v>4.5804516502354828E-3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'1M'!$H$38:$H$49</c:f>
              <c:numCache>
                <c:formatCode>ddd\,\ d\-mmm\-yyyy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'1M'!$J$38:$J$49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'1M'!$U$23:$U$49</c:f>
              <c:numCache>
                <c:formatCode>ddd\,\ d\-mmm\-yyyy</c:formatCode>
                <c:ptCount val="27"/>
                <c:pt idx="0">
                  <c:v>41684</c:v>
                </c:pt>
                <c:pt idx="1">
                  <c:v>41712</c:v>
                </c:pt>
                <c:pt idx="2">
                  <c:v>41743</c:v>
                </c:pt>
                <c:pt idx="3">
                  <c:v>41773</c:v>
                </c:pt>
                <c:pt idx="4">
                  <c:v>41806</c:v>
                </c:pt>
                <c:pt idx="5">
                  <c:v>41834</c:v>
                </c:pt>
                <c:pt idx="6">
                  <c:v>41865</c:v>
                </c:pt>
                <c:pt idx="7">
                  <c:v>41897</c:v>
                </c:pt>
                <c:pt idx="8">
                  <c:v>41926</c:v>
                </c:pt>
                <c:pt idx="9">
                  <c:v>41957</c:v>
                </c:pt>
                <c:pt idx="10">
                  <c:v>41988</c:v>
                </c:pt>
                <c:pt idx="11">
                  <c:v>42018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xVal>
          <c:yVal>
            <c:numRef>
              <c:f>'1M'!$V$23:$V$49</c:f>
              <c:numCache>
                <c:formatCode>0.0000%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973632"/>
        <c:axId val="299979904"/>
      </c:scatterChart>
      <c:valAx>
        <c:axId val="299973632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6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9979904"/>
        <c:crosses val="autoZero"/>
        <c:crossBetween val="midCat"/>
        <c:majorUnit val="30.4375"/>
      </c:valAx>
      <c:valAx>
        <c:axId val="299979904"/>
        <c:scaling>
          <c:orientation val="minMax"/>
          <c:min val="2.5000000000000001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9973632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85385500575374"/>
          <c:y val="0.47284412132189546"/>
          <c:w val="0.12428078250863062"/>
          <c:h val="0.268370942450085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430391267758054E-2"/>
          <c:y val="8.012845593091425E-2"/>
          <c:w val="0.91081481545997012"/>
          <c:h val="0.72115610337822822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'3M'!$H$23:$H$24</c:f>
              <c:numCache>
                <c:formatCode>ddd\,\ d\-mmm\-yyyy</c:formatCode>
                <c:ptCount val="2"/>
                <c:pt idx="0">
                  <c:v>41684</c:v>
                </c:pt>
                <c:pt idx="1">
                  <c:v>41684</c:v>
                </c:pt>
              </c:numCache>
            </c:numRef>
          </c:xVal>
          <c:yVal>
            <c:numRef>
              <c:f>'3M'!$J$23:$J$24</c:f>
              <c:numCache>
                <c:formatCode>0.0000%</c:formatCode>
                <c:ptCount val="2"/>
                <c:pt idx="0">
                  <c:v>5.1180000000000002E-3</c:v>
                </c:pt>
                <c:pt idx="1">
                  <c:v>5.0812999999999995E-3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'3M'!$H$34:$H$41</c:f>
              <c:numCache>
                <c:formatCode>ddd\,\ 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'3M'!$J$34:$J$41</c:f>
              <c:numCache>
                <c:formatCode>0.0000%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'3M'!$H$25:$H$33</c:f>
              <c:numCache>
                <c:formatCode>ddd\,\ d\-mmm\-yyyy</c:formatCode>
                <c:ptCount val="9"/>
                <c:pt idx="0">
                  <c:v>41689</c:v>
                </c:pt>
                <c:pt idx="1">
                  <c:v>41717</c:v>
                </c:pt>
                <c:pt idx="2">
                  <c:v>41808</c:v>
                </c:pt>
                <c:pt idx="3">
                  <c:v>41899</c:v>
                </c:pt>
                <c:pt idx="4">
                  <c:v>41990</c:v>
                </c:pt>
                <c:pt idx="5">
                  <c:v>42081</c:v>
                </c:pt>
                <c:pt idx="6">
                  <c:v>42172</c:v>
                </c:pt>
                <c:pt idx="7">
                  <c:v>42263</c:v>
                </c:pt>
                <c:pt idx="8">
                  <c:v>42354</c:v>
                </c:pt>
              </c:numCache>
            </c:numRef>
          </c:xVal>
          <c:yVal>
            <c:numRef>
              <c:f>'3M'!$J$25:$J$33</c:f>
              <c:numCache>
                <c:formatCode>0.0000%</c:formatCode>
                <c:ptCount val="9"/>
                <c:pt idx="0">
                  <c:v>5.1498869415273641E-3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5.2223365676554541E-3</c:v>
                </c:pt>
                <c:pt idx="6">
                  <c:v>5.4109523221271766E-3</c:v>
                </c:pt>
                <c:pt idx="7">
                  <c:v>5.7979089136822089E-3</c:v>
                </c:pt>
                <c:pt idx="8">
                  <c:v>6.1829989234680584E-3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'3M'!$U$23:$U$41</c:f>
              <c:numCache>
                <c:formatCode>ddd\,\ d\-mmm\-yyyy</c:formatCode>
                <c:ptCount val="19"/>
                <c:pt idx="0">
                  <c:v>41684</c:v>
                </c:pt>
                <c:pt idx="1">
                  <c:v>41689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'3M'!$V$23:$V$41</c:f>
              <c:numCache>
                <c:formatCode>0.0000%</c:formatCode>
                <c:ptCount val="19"/>
                <c:pt idx="0">
                  <c:v>5.1180000000000002E-3</c:v>
                </c:pt>
                <c:pt idx="1">
                  <c:v>5.1498869415273641E-3</c:v>
                </c:pt>
                <c:pt idx="2">
                  <c:v>5.2223365676554541E-3</c:v>
                </c:pt>
                <c:pt idx="3">
                  <c:v>5.4109523221271766E-3</c:v>
                </c:pt>
                <c:pt idx="4">
                  <c:v>5.7979089136822089E-3</c:v>
                </c:pt>
                <c:pt idx="5">
                  <c:v>6.1829989234677019E-3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194240"/>
        <c:axId val="301532288"/>
      </c:scatterChart>
      <c:valAx>
        <c:axId val="301194240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1532288"/>
        <c:crosses val="autoZero"/>
        <c:crossBetween val="midCat"/>
        <c:majorUnit val="91.3125"/>
        <c:minorUnit val="30.4375"/>
      </c:valAx>
      <c:valAx>
        <c:axId val="301532288"/>
        <c:scaling>
          <c:orientation val="minMax"/>
          <c:min val="5.0000000000000001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1194240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605444804349281"/>
          <c:y val="0.4807705767548287"/>
          <c:w val="0.12040145483486808"/>
          <c:h val="0.269231778719967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063132415642167E-2"/>
          <c:y val="7.9617834394904455E-2"/>
          <c:w val="0.92342443894333182"/>
          <c:h val="0.72292993630573243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'6M'!$H$23:$H$24</c:f>
              <c:numCache>
                <c:formatCode>ddd\,\ d\-mmm\-yyyy</c:formatCode>
                <c:ptCount val="2"/>
                <c:pt idx="0">
                  <c:v>41684</c:v>
                </c:pt>
                <c:pt idx="1">
                  <c:v>41684</c:v>
                </c:pt>
              </c:numCache>
            </c:numRef>
          </c:xVal>
          <c:yVal>
            <c:numRef>
              <c:f>'6M'!$J$23:$J$24</c:f>
              <c:numCache>
                <c:formatCode>0.0000%</c:formatCode>
                <c:ptCount val="2"/>
                <c:pt idx="0">
                  <c:v>5.9290000000000002E-3</c:v>
                </c:pt>
                <c:pt idx="1">
                  <c:v>5.9175E-3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'6M'!$D$25:$D$34</c:f>
              <c:numCache>
                <c:formatCode>ddd\,\ d\-mmm\-yyyy</c:formatCode>
                <c:ptCount val="10"/>
                <c:pt idx="0">
                  <c:v>41684</c:v>
                </c:pt>
                <c:pt idx="1">
                  <c:v>41687</c:v>
                </c:pt>
                <c:pt idx="2">
                  <c:v>41712</c:v>
                </c:pt>
                <c:pt idx="3">
                  <c:v>41743</c:v>
                </c:pt>
                <c:pt idx="4">
                  <c:v>41773</c:v>
                </c:pt>
                <c:pt idx="5">
                  <c:v>41806</c:v>
                </c:pt>
                <c:pt idx="6">
                  <c:v>41834</c:v>
                </c:pt>
                <c:pt idx="7">
                  <c:v>41865</c:v>
                </c:pt>
                <c:pt idx="8">
                  <c:v>42051</c:v>
                </c:pt>
                <c:pt idx="9">
                  <c:v>42230</c:v>
                </c:pt>
              </c:numCache>
            </c:numRef>
          </c:xVal>
          <c:yVal>
            <c:numRef>
              <c:f>'6M'!$J$25:$J$34</c:f>
              <c:numCache>
                <c:formatCode>0.0000%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6.5000000000000006E-3</c:v>
                </c:pt>
                <c:pt idx="3">
                  <c:v>6.45E-3</c:v>
                </c:pt>
                <c:pt idx="4">
                  <c:v>6.4000000000000003E-3</c:v>
                </c:pt>
                <c:pt idx="5">
                  <c:v>6.3499999999999997E-3</c:v>
                </c:pt>
                <c:pt idx="6">
                  <c:v>6.3499999999999997E-3</c:v>
                </c:pt>
                <c:pt idx="7">
                  <c:v>6.3499999999999997E-3</c:v>
                </c:pt>
                <c:pt idx="8">
                  <c:v>6.5500000000000003E-3</c:v>
                </c:pt>
                <c:pt idx="9">
                  <c:v>0</c:v>
                </c:pt>
              </c:numCache>
            </c:numRef>
          </c:yVal>
          <c:smooth val="0"/>
        </c:ser>
        <c:ser>
          <c:idx val="3"/>
          <c:order val="2"/>
          <c:tx>
            <c:v>IMMFRA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'6M'!$D$35:$D$39</c:f>
              <c:numCache>
                <c:formatCode>ddd\,\ d\-mmm\-yyyy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'6M'!$J$35:$J$39</c:f>
              <c:numCache>
                <c:formatCode>0.0000%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No Toy Effect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'6M'!$U$23:$U$45</c:f>
              <c:numCache>
                <c:formatCode>ddd\,\ d\-mmm\-yyyy</c:formatCode>
                <c:ptCount val="23"/>
                <c:pt idx="0">
                  <c:v>41684</c:v>
                </c:pt>
                <c:pt idx="1">
                  <c:v>41712</c:v>
                </c:pt>
                <c:pt idx="2">
                  <c:v>41743</c:v>
                </c:pt>
                <c:pt idx="3">
                  <c:v>41773</c:v>
                </c:pt>
                <c:pt idx="4">
                  <c:v>41806</c:v>
                </c:pt>
                <c:pt idx="5">
                  <c:v>41834</c:v>
                </c:pt>
                <c:pt idx="6">
                  <c:v>41865</c:v>
                </c:pt>
                <c:pt idx="7">
                  <c:v>42051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xVal>
          <c:yVal>
            <c:numRef>
              <c:f>'6M'!$V$23:$V$45</c:f>
              <c:numCache>
                <c:formatCode>0.0000%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588480"/>
        <c:axId val="301590400"/>
      </c:scatterChart>
      <c:valAx>
        <c:axId val="301588480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1590400"/>
        <c:crosses val="autoZero"/>
        <c:crossBetween val="midCat"/>
        <c:majorUnit val="91.3125"/>
        <c:minorUnit val="30.4375"/>
      </c:valAx>
      <c:valAx>
        <c:axId val="301590400"/>
        <c:scaling>
          <c:orientation val="minMax"/>
          <c:min val="7.4999999999999997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1588480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531626114303279"/>
          <c:y val="0.49363057324840764"/>
          <c:w val="0.13400912723747371"/>
          <c:h val="0.18471337579617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13</xdr:row>
          <xdr:rowOff>57150</xdr:rowOff>
        </xdr:from>
        <xdr:to>
          <xdr:col>3</xdr:col>
          <xdr:colOff>104775</xdr:colOff>
          <xdr:row>15</xdr:row>
          <xdr:rowOff>47625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123825</xdr:rowOff>
        </xdr:from>
        <xdr:to>
          <xdr:col>3</xdr:col>
          <xdr:colOff>104775</xdr:colOff>
          <xdr:row>17</xdr:row>
          <xdr:rowOff>114300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13</xdr:col>
      <xdr:colOff>457200</xdr:colOff>
      <xdr:row>20</xdr:row>
      <xdr:rowOff>123825</xdr:rowOff>
    </xdr:to>
    <xdr:graphicFrame macro="">
      <xdr:nvGraphicFramePr>
        <xdr:cNvPr id="1027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19050</xdr:rowOff>
    </xdr:from>
    <xdr:to>
      <xdr:col>14</xdr:col>
      <xdr:colOff>9525</xdr:colOff>
      <xdr:row>20</xdr:row>
      <xdr:rowOff>133350</xdr:rowOff>
    </xdr:to>
    <xdr:graphicFrame macro="">
      <xdr:nvGraphicFramePr>
        <xdr:cNvPr id="11753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19050</xdr:rowOff>
    </xdr:from>
    <xdr:to>
      <xdr:col>13</xdr:col>
      <xdr:colOff>371475</xdr:colOff>
      <xdr:row>21</xdr:row>
      <xdr:rowOff>9525</xdr:rowOff>
    </xdr:to>
    <xdr:graphicFrame macro="">
      <xdr:nvGraphicFramePr>
        <xdr:cNvPr id="12458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25"/>
  <sheetViews>
    <sheetView tabSelected="1" workbookViewId="0"/>
  </sheetViews>
  <sheetFormatPr defaultColWidth="10.6640625" defaultRowHeight="12.75" x14ac:dyDescent="0.2"/>
  <cols>
    <col min="1" max="2" width="2.83203125" style="290" customWidth="1"/>
    <col min="3" max="3" width="22.33203125" style="290" bestFit="1" customWidth="1"/>
    <col min="4" max="4" width="28" style="290" bestFit="1" customWidth="1"/>
    <col min="5" max="5" width="27" style="290" bestFit="1" customWidth="1"/>
    <col min="6" max="6" width="2.83203125" style="290" customWidth="1"/>
    <col min="7" max="16384" width="10.6640625" style="290"/>
  </cols>
  <sheetData>
    <row r="1" spans="1:36" ht="13.5" thickBot="1" x14ac:dyDescent="0.25">
      <c r="B1" s="290" t="str">
        <f>_xll.qlxlVersion(TRUE,EvaluationDate)</f>
        <v>QuantLibXL 1.4.0 - MS VC++ 9.0 - Multithreaded Dynamic Runtime library - Release Configuration - Feb  7 2014 15:33:58</v>
      </c>
    </row>
    <row r="2" spans="1:36" ht="16.5" thickBot="1" x14ac:dyDescent="0.3">
      <c r="B2" s="293" t="s">
        <v>0</v>
      </c>
      <c r="C2" s="294"/>
      <c r="D2" s="294"/>
      <c r="E2" s="294"/>
      <c r="F2" s="295"/>
    </row>
    <row r="3" spans="1:36" x14ac:dyDescent="0.2">
      <c r="B3" s="296"/>
      <c r="C3" s="117"/>
      <c r="D3" s="117"/>
      <c r="E3" s="117"/>
      <c r="F3" s="297"/>
    </row>
    <row r="4" spans="1:36" x14ac:dyDescent="0.2">
      <c r="B4" s="296"/>
      <c r="C4" s="120" t="s">
        <v>1</v>
      </c>
      <c r="D4" s="285" t="s">
        <v>46</v>
      </c>
      <c r="E4" s="118"/>
      <c r="F4" s="298"/>
    </row>
    <row r="5" spans="1:36" s="292" customFormat="1" x14ac:dyDescent="0.2">
      <c r="A5" s="290"/>
      <c r="B5" s="296"/>
      <c r="C5" s="120" t="s">
        <v>14</v>
      </c>
      <c r="D5" s="286" t="s">
        <v>47</v>
      </c>
      <c r="E5" s="118"/>
      <c r="F5" s="298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0"/>
      <c r="V5" s="290"/>
      <c r="W5" s="290"/>
      <c r="X5" s="290"/>
      <c r="Y5" s="290"/>
      <c r="Z5" s="290"/>
      <c r="AA5" s="290"/>
      <c r="AB5" s="290"/>
      <c r="AC5" s="290"/>
      <c r="AD5" s="290"/>
      <c r="AE5" s="290"/>
      <c r="AF5" s="290"/>
      <c r="AG5" s="290"/>
      <c r="AH5" s="290"/>
      <c r="AI5" s="290"/>
      <c r="AJ5" s="290"/>
    </row>
    <row r="6" spans="1:36" s="292" customFormat="1" x14ac:dyDescent="0.2">
      <c r="A6" s="290"/>
      <c r="B6" s="296"/>
      <c r="C6" s="120" t="s">
        <v>16</v>
      </c>
      <c r="D6" s="286" t="s">
        <v>11</v>
      </c>
      <c r="E6" s="118"/>
      <c r="F6" s="298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</row>
    <row r="7" spans="1:36" x14ac:dyDescent="0.2">
      <c r="B7" s="296"/>
      <c r="C7" s="118"/>
      <c r="D7" s="119"/>
      <c r="E7" s="118"/>
      <c r="F7" s="298"/>
    </row>
    <row r="8" spans="1:36" x14ac:dyDescent="0.2">
      <c r="B8" s="296"/>
      <c r="C8" s="120" t="s">
        <v>22</v>
      </c>
      <c r="D8" s="121">
        <f>_xll.qlRateHelperEarliestDate('3M'!C23,EvaluationDate)</f>
        <v>41684</v>
      </c>
      <c r="E8" s="118"/>
      <c r="F8" s="298"/>
    </row>
    <row r="9" spans="1:36" x14ac:dyDescent="0.2">
      <c r="B9" s="296"/>
      <c r="C9" s="120" t="s">
        <v>7</v>
      </c>
      <c r="D9" s="121">
        <f>_xll.qlCalendarAdjust(Calendar,DATE(YEAR(SettlementDate),12,31),"Preceding")</f>
        <v>42004</v>
      </c>
      <c r="E9" s="118"/>
      <c r="F9" s="298"/>
    </row>
    <row r="10" spans="1:36" x14ac:dyDescent="0.2">
      <c r="B10" s="296"/>
      <c r="C10" s="120" t="s">
        <v>18</v>
      </c>
      <c r="D10" s="121">
        <f>_xll.qlCalendarAdjust(Calendar,DATE(YEAR(SettlementDate)+1,12,31),"Preceding")</f>
        <v>42369</v>
      </c>
      <c r="E10" s="118"/>
      <c r="F10" s="298"/>
    </row>
    <row r="11" spans="1:36" x14ac:dyDescent="0.2">
      <c r="B11" s="296"/>
      <c r="C11" s="120" t="s">
        <v>24</v>
      </c>
      <c r="D11" s="121" t="s">
        <v>36</v>
      </c>
      <c r="E11" s="118"/>
      <c r="F11" s="298"/>
    </row>
    <row r="12" spans="1:36" x14ac:dyDescent="0.2">
      <c r="B12" s="296"/>
      <c r="C12" s="120" t="s">
        <v>23</v>
      </c>
      <c r="D12" s="122" t="s">
        <v>43</v>
      </c>
      <c r="E12" s="118"/>
      <c r="F12" s="298"/>
    </row>
    <row r="13" spans="1:36" x14ac:dyDescent="0.2">
      <c r="B13" s="296"/>
      <c r="C13" s="118"/>
      <c r="D13" s="118"/>
      <c r="E13" s="118"/>
      <c r="F13" s="298"/>
    </row>
    <row r="14" spans="1:36" x14ac:dyDescent="0.2">
      <c r="B14" s="296"/>
      <c r="C14" s="123"/>
      <c r="D14" s="123"/>
      <c r="E14" s="123"/>
      <c r="F14" s="298"/>
    </row>
    <row r="15" spans="1:36" x14ac:dyDescent="0.2">
      <c r="B15" s="296"/>
      <c r="C15" s="123"/>
      <c r="D15" s="1" t="s">
        <v>2</v>
      </c>
      <c r="E15" s="124">
        <v>41659.752453703702</v>
      </c>
      <c r="F15" s="298"/>
    </row>
    <row r="16" spans="1:36" x14ac:dyDescent="0.2">
      <c r="B16" s="296"/>
      <c r="C16" s="123"/>
      <c r="D16" s="299"/>
      <c r="E16" s="300"/>
      <c r="F16" s="298"/>
    </row>
    <row r="17" spans="2:6" x14ac:dyDescent="0.2">
      <c r="B17" s="296"/>
      <c r="C17" s="123"/>
      <c r="D17" s="1"/>
      <c r="E17" s="300"/>
      <c r="F17" s="298"/>
    </row>
    <row r="18" spans="2:6" x14ac:dyDescent="0.2">
      <c r="B18" s="296"/>
      <c r="C18" s="123"/>
      <c r="D18" s="1" t="s">
        <v>3</v>
      </c>
      <c r="E18" s="125" t="b">
        <v>0</v>
      </c>
      <c r="F18" s="298"/>
    </row>
    <row r="19" spans="2:6" ht="13.5" thickBot="1" x14ac:dyDescent="0.25">
      <c r="B19" s="301"/>
      <c r="C19" s="302"/>
      <c r="D19" s="302"/>
      <c r="E19" s="302"/>
      <c r="F19" s="303"/>
    </row>
    <row r="20" spans="2:6" x14ac:dyDescent="0.2">
      <c r="C20" s="291"/>
      <c r="D20" s="291"/>
      <c r="E20" s="291"/>
      <c r="F20" s="291"/>
    </row>
    <row r="21" spans="2:6" x14ac:dyDescent="0.2">
      <c r="C21" s="291"/>
      <c r="D21" s="291"/>
      <c r="E21" s="291"/>
      <c r="F21" s="291"/>
    </row>
    <row r="22" spans="2:6" x14ac:dyDescent="0.2">
      <c r="C22" s="291"/>
      <c r="D22" s="291"/>
      <c r="E22" s="291"/>
      <c r="F22" s="291"/>
    </row>
    <row r="23" spans="2:6" x14ac:dyDescent="0.2">
      <c r="C23" s="291"/>
      <c r="D23" s="291"/>
      <c r="E23" s="291"/>
      <c r="F23" s="291"/>
    </row>
    <row r="24" spans="2:6" x14ac:dyDescent="0.2">
      <c r="C24" s="291"/>
      <c r="D24" s="291"/>
      <c r="E24" s="291"/>
      <c r="F24" s="291"/>
    </row>
    <row r="25" spans="2:6" x14ac:dyDescent="0.2">
      <c r="C25" s="291"/>
      <c r="D25" s="291"/>
      <c r="E25" s="291"/>
      <c r="F25" s="291"/>
    </row>
  </sheetData>
  <mergeCells count="1">
    <mergeCell ref="B2:F2"/>
  </mergeCells>
  <phoneticPr fontId="1" type="noConversion"/>
  <conditionalFormatting sqref="E18">
    <cfRule type="cellIs" dxfId="0" priority="1" stopIfTrue="1" operator="equal">
      <formula>TRUE</formula>
    </cfRule>
  </conditionalFormatting>
  <dataValidations count="5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12">
      <formula1>"LogLinear,LogParabolic,MonotonicLogParabolic,LogCubicNaturalSpline,MonotonicLogCubicNaturalSpline,KrugerLogCubic,FritschButlandLogCubic,LogAbcd"</formula1>
    </dataValidation>
    <dataValidation type="list" allowBlank="1" showInputMessage="1" showErrorMessage="1" sqref="D11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</xdr:col>
                <xdr:colOff>0</xdr:colOff>
                <xdr:row>13</xdr:row>
                <xdr:rowOff>57150</xdr:rowOff>
              </from>
              <to>
                <xdr:col>3</xdr:col>
                <xdr:colOff>104775</xdr:colOff>
                <xdr:row>15</xdr:row>
                <xdr:rowOff>47625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2</xdr:col>
                <xdr:colOff>0</xdr:colOff>
                <xdr:row>15</xdr:row>
                <xdr:rowOff>123825</xdr:rowOff>
              </from>
              <to>
                <xdr:col>3</xdr:col>
                <xdr:colOff>104775</xdr:colOff>
                <xdr:row>17</xdr:row>
                <xdr:rowOff>114300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8"/>
  <sheetViews>
    <sheetView workbookViewId="0"/>
  </sheetViews>
  <sheetFormatPr defaultRowHeight="11.25" x14ac:dyDescent="0.2"/>
  <cols>
    <col min="1" max="1" width="3.6640625" style="272" customWidth="1"/>
    <col min="2" max="2" width="5" style="272" customWidth="1"/>
    <col min="3" max="3" width="17.83203125" style="272" bestFit="1" customWidth="1"/>
    <col min="4" max="4" width="26.33203125" style="272" bestFit="1" customWidth="1"/>
    <col min="5" max="6" width="5" style="272" customWidth="1"/>
    <col min="7" max="21" width="9.33203125" style="272"/>
    <col min="22" max="22" width="2.33203125" style="272" bestFit="1" customWidth="1"/>
    <col min="23" max="16384" width="9.33203125" style="272"/>
  </cols>
  <sheetData>
    <row r="1" spans="2:22" ht="14.25" thickBot="1" x14ac:dyDescent="0.3">
      <c r="B1" s="271" t="str">
        <f>_xll.qlxlVersion(TRUE)</f>
        <v>QuantLibXL 1.2.0 - MS VC++ 9.0 - Multithreaded Dynamic Runtime library - Release Configuration - Jan 18 2013 12:11:06</v>
      </c>
    </row>
    <row r="2" spans="2:22" ht="16.5" x14ac:dyDescent="0.3">
      <c r="B2" s="287" t="s">
        <v>15</v>
      </c>
      <c r="C2" s="288"/>
      <c r="D2" s="288"/>
      <c r="E2" s="289"/>
      <c r="V2" s="272" t="s">
        <v>13</v>
      </c>
    </row>
    <row r="3" spans="2:22" x14ac:dyDescent="0.2">
      <c r="B3" s="273"/>
      <c r="C3" s="274"/>
      <c r="D3" s="274"/>
      <c r="E3" s="275"/>
    </row>
    <row r="4" spans="2:22" x14ac:dyDescent="0.2">
      <c r="B4" s="273"/>
      <c r="C4" s="276" t="s">
        <v>45</v>
      </c>
      <c r="D4" s="281">
        <f>_xll.qlSettingsEvaluationDate()</f>
        <v>41659</v>
      </c>
      <c r="E4" s="275"/>
    </row>
    <row r="5" spans="2:22" x14ac:dyDescent="0.2">
      <c r="B5" s="273"/>
      <c r="C5" s="277" t="s">
        <v>19</v>
      </c>
      <c r="D5" s="284" t="s">
        <v>48</v>
      </c>
      <c r="E5" s="275"/>
    </row>
    <row r="6" spans="2:22" x14ac:dyDescent="0.2">
      <c r="B6" s="273"/>
      <c r="C6" s="277" t="s">
        <v>20</v>
      </c>
      <c r="D6" s="284" t="s">
        <v>48</v>
      </c>
      <c r="E6" s="275"/>
    </row>
    <row r="7" spans="2:22" x14ac:dyDescent="0.2">
      <c r="B7" s="273"/>
      <c r="C7" s="277" t="s">
        <v>21</v>
      </c>
      <c r="D7" s="284" t="s">
        <v>48</v>
      </c>
      <c r="E7" s="275"/>
    </row>
    <row r="8" spans="2:22" ht="12" thickBot="1" x14ac:dyDescent="0.25">
      <c r="B8" s="278"/>
      <c r="C8" s="279"/>
      <c r="D8" s="279"/>
      <c r="E8" s="280"/>
    </row>
  </sheetData>
  <mergeCells count="1">
    <mergeCell ref="B2:E2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2"/>
  <sheetViews>
    <sheetView topLeftCell="B1" workbookViewId="0">
      <selection activeCell="B1" sqref="B1"/>
    </sheetView>
  </sheetViews>
  <sheetFormatPr defaultRowHeight="11.25" x14ac:dyDescent="0.2"/>
  <cols>
    <col min="1" max="1" width="13.83203125" hidden="1" customWidth="1"/>
    <col min="3" max="3" width="23.6640625" bestFit="1" customWidth="1"/>
    <col min="4" max="4" width="16.1640625" bestFit="1" customWidth="1"/>
    <col min="5" max="5" width="16.5" bestFit="1" customWidth="1"/>
    <col min="6" max="6" width="8.83203125" bestFit="1" customWidth="1"/>
    <col min="7" max="7" width="8.33203125" bestFit="1" customWidth="1"/>
    <col min="8" max="8" width="16.5" bestFit="1" customWidth="1"/>
    <col min="9" max="9" width="6.6640625" bestFit="1" customWidth="1"/>
    <col min="10" max="10" width="9" bestFit="1" customWidth="1"/>
    <col min="11" max="11" width="6.6640625" bestFit="1" customWidth="1"/>
    <col min="12" max="13" width="8.33203125" bestFit="1" customWidth="1"/>
    <col min="14" max="14" width="6.6640625" bestFit="1" customWidth="1"/>
    <col min="15" max="15" width="15.33203125" bestFit="1" customWidth="1"/>
    <col min="16" max="16" width="8.33203125" bestFit="1" customWidth="1"/>
    <col min="17" max="18" width="10.33203125" bestFit="1" customWidth="1"/>
    <col min="19" max="20" width="8.33203125" bestFit="1" customWidth="1"/>
    <col min="21" max="21" width="16.5" bestFit="1" customWidth="1"/>
    <col min="22" max="22" width="8.33203125" bestFit="1" customWidth="1"/>
    <col min="23" max="23" width="3.33203125" customWidth="1"/>
  </cols>
  <sheetData>
    <row r="1" spans="15:15" x14ac:dyDescent="0.2">
      <c r="O1" s="79" t="s">
        <v>44</v>
      </c>
    </row>
    <row r="2" spans="15:15" x14ac:dyDescent="0.2">
      <c r="O2" s="3" t="b">
        <v>1</v>
      </c>
    </row>
    <row r="20" spans="1:22" x14ac:dyDescent="0.2">
      <c r="A20">
        <v>1</v>
      </c>
      <c r="B20" s="26"/>
      <c r="G20" s="26"/>
      <c r="H20" s="3"/>
      <c r="I20" s="3"/>
      <c r="J20" s="26"/>
      <c r="M20" s="7"/>
      <c r="N20" s="26"/>
      <c r="O20" s="46"/>
      <c r="P20" s="81" t="e">
        <f>IF(ISBLANK($O20),AVERAGE(_xll.ohFilter($P23:$P37,$L23:$L37)),$O20)</f>
        <v>#NUM!</v>
      </c>
      <c r="Q20" s="269"/>
      <c r="R20" s="267" t="e">
        <f>IF(ISBLANK($Q20),MIN(AVERAGE(_xll.ohFilter($R23:$R37,$L23:$L37)),1),$Q20)</f>
        <v>#NUM!</v>
      </c>
      <c r="S20" s="98" t="s">
        <v>12</v>
      </c>
      <c r="T20" s="26"/>
    </row>
    <row r="21" spans="1:22" x14ac:dyDescent="0.2">
      <c r="A21" s="261" t="str">
        <f>_xll.qlPeriodEquivalent(A20&amp;"M")</f>
        <v>1M</v>
      </c>
      <c r="B21" s="26"/>
      <c r="D21" s="26"/>
      <c r="E21" s="26"/>
      <c r="G21" s="26"/>
      <c r="H21" s="3"/>
      <c r="I21" s="3"/>
      <c r="J21" s="26"/>
      <c r="L21" s="26"/>
      <c r="M21" s="7"/>
      <c r="N21" s="26"/>
      <c r="O21" s="42"/>
      <c r="P21" s="82" t="e">
        <f>IF(ISBLANK($O21),AVERAGE(_xll.ohFilter($P23:$P37,$M23:$M37)),$O21)</f>
        <v>#NUM!</v>
      </c>
      <c r="Q21" s="270">
        <f>'3M'!_TOY2</f>
        <v>1</v>
      </c>
      <c r="R21" s="268">
        <f>IF(ISBLANK($Q21),MIN(AVERAGE(_xll.ohFilter($R23:$R37,$M23:$M37)),1),$Q21)</f>
        <v>1</v>
      </c>
      <c r="S21" s="99" t="s">
        <v>17</v>
      </c>
      <c r="T21" s="26"/>
      <c r="U21" s="4" t="e">
        <f>_xll.qlInterpolation(,FwdInterpolationType,_xll.ohFilter($H23:$H49,$K23:$K49),_xll.ohFilter($S23:$S49,$K23:$K49))</f>
        <v>#NUM!</v>
      </c>
      <c r="V21" s="35"/>
    </row>
    <row r="22" spans="1:22" x14ac:dyDescent="0.2">
      <c r="A22" s="48" t="str">
        <f>Currency&amp;"_YC"&amp;IndexTenor&amp;"RH_"</f>
        <v>GBP_YC1MRH_</v>
      </c>
      <c r="B22" s="88">
        <v>3</v>
      </c>
      <c r="C22" s="44" t="s">
        <v>6</v>
      </c>
      <c r="D22" s="28" t="s">
        <v>5</v>
      </c>
      <c r="E22" s="40" t="s">
        <v>4</v>
      </c>
      <c r="F22" s="44" t="s">
        <v>27</v>
      </c>
      <c r="G22" s="75"/>
      <c r="H22" s="40" t="s">
        <v>25</v>
      </c>
      <c r="I22" s="28" t="s">
        <v>30</v>
      </c>
      <c r="J22" s="28" t="s">
        <v>28</v>
      </c>
      <c r="K22" s="29" t="s">
        <v>31</v>
      </c>
      <c r="L22" s="28" t="s">
        <v>26</v>
      </c>
      <c r="M22" s="28" t="s">
        <v>17</v>
      </c>
      <c r="N22" s="29" t="s">
        <v>29</v>
      </c>
      <c r="O22" s="96" t="str">
        <f>_xll.qlInterpolation(,FwdInterpolationType,_xll.ohFilter($H23:$H49,$N23:$N49),_xll.ohFilter($J23:$J49,$N23:$N49))</f>
        <v>obj_005e1#0000</v>
      </c>
      <c r="P22" s="97" t="s">
        <v>8</v>
      </c>
      <c r="Q22" s="30" t="s">
        <v>9</v>
      </c>
      <c r="R22" s="97" t="s">
        <v>10</v>
      </c>
      <c r="S22" s="112" t="s">
        <v>32</v>
      </c>
      <c r="T22" s="113" t="s">
        <v>8</v>
      </c>
      <c r="U22" s="142">
        <f>D23</f>
        <v>41684</v>
      </c>
      <c r="V22" s="143" t="e">
        <f>_xll.qlInterpolationInterpolate(FwdInterpolator,U22,TRUE)</f>
        <v>#VALUE!</v>
      </c>
    </row>
    <row r="23" spans="1:22" x14ac:dyDescent="0.2">
      <c r="A23" s="48">
        <f>_xll.ohTrigger(Triggers!TriggerTOY1M,EvaluationDate)</f>
        <v>0</v>
      </c>
      <c r="B23" s="133" t="str">
        <f>IndexTenor&amp;"D"</f>
        <v>1MD</v>
      </c>
      <c r="C23" s="15" t="str">
        <f>RateHelperPrefix&amp;$B23</f>
        <v>GBP_YC1MRH_1MD</v>
      </c>
      <c r="D23" s="58">
        <f>_xll.qlRateHelperEarliestDate($C23,EvaluationDate)</f>
        <v>41684</v>
      </c>
      <c r="E23" s="58">
        <f>_xll.qlRateHelperLatestDate($C23,EvaluationDate)</f>
        <v>41712</v>
      </c>
      <c r="F23" s="59">
        <f>_xll.qlRateHelperQuoteValue($C23,SheetTrigger)</f>
        <v>4.9319999999999998E-3</v>
      </c>
      <c r="G23" s="136">
        <f>1/(1+F23*_xll.qlDayCounterYearFraction(DayCounter,SettlementDate,E23))</f>
        <v>0.99961654709253533</v>
      </c>
      <c r="H23" s="58">
        <f>$D23</f>
        <v>41684</v>
      </c>
      <c r="I23" s="132" t="b">
        <v>1</v>
      </c>
      <c r="J23" s="13">
        <f>F23</f>
        <v>4.9319999999999998E-3</v>
      </c>
      <c r="K23" s="98" t="b">
        <f t="shared" ref="K23:K37" si="0">AND(ISNUMBER(J23),I23)</f>
        <v>1</v>
      </c>
      <c r="L23" s="22" t="b">
        <f t="shared" ref="L23:L49" si="1">NOT(OR($H23&gt;LastDayInYear,$E23&lt;=LastDayInYear))</f>
        <v>0</v>
      </c>
      <c r="M23" s="15" t="b">
        <f t="shared" ref="M23:M49" si="2">NOT(OR($H23&gt;LastDayInNextYear,$E23&lt;=LastDayInNextYear))</f>
        <v>0</v>
      </c>
      <c r="N23" s="23" t="b">
        <f t="shared" ref="N23:N37" si="3">IF(K23,AND(NOT($L23),NOT($M23)),FALSE)</f>
        <v>1</v>
      </c>
      <c r="O23" s="55">
        <f>_xll.qlInterpolationInterpolate($O$22,$H23)</f>
        <v>4.9319999999999998E-3</v>
      </c>
      <c r="P23" s="70">
        <f>$J23-$O23</f>
        <v>0</v>
      </c>
      <c r="Q23" s="36">
        <f>_xll.qlDayCounterYearFraction(DayCounter,$H23,$E23)</f>
        <v>7.7777777777777779E-2</v>
      </c>
      <c r="R23" s="89">
        <f>(1+$O23*$Q23)/(1+$J23*$Q23)</f>
        <v>1</v>
      </c>
      <c r="S23" s="47">
        <f t="shared" ref="S23:S37" si="4">IF($L23,(TOY*(1+$J23*$Q23)-1)/$Q23,IF($M23,(_TOY2*(1+$J23*$Q23)-1)/$Q23,$J23))</f>
        <v>4.9319999999999998E-3</v>
      </c>
      <c r="T23" s="139">
        <f t="shared" ref="T23:T37" si="5">S23-J23</f>
        <v>0</v>
      </c>
      <c r="U23" s="17">
        <f t="array" ref="U23:U49">SelectionSort(_xll.ohFilter(H23:H49,K23:K49))</f>
        <v>41684</v>
      </c>
      <c r="V23" s="56" t="e">
        <f t="array" ref="V23:V49">_xll.qlInterpolationInterpolate(FwdInterpolator,_xll.ohPack(U23:U49))</f>
        <v>#VALUE!</v>
      </c>
    </row>
    <row r="24" spans="1:22" x14ac:dyDescent="0.2">
      <c r="A24" s="48" t="str">
        <f>PROPER(Currency)&amp;IF(UPPER(Currency)&lt;&gt;"EUR","L","")&amp;"ibor"&amp;IndexTenor</f>
        <v>GbpLibor1M</v>
      </c>
      <c r="B24" s="134" t="s">
        <v>33</v>
      </c>
      <c r="C24" s="21" t="str">
        <f>A24&amp;B24&amp;"_Quote"</f>
        <v>GbpLibor1MLastFixing_Quote</v>
      </c>
      <c r="D24" s="138">
        <f>_xll.qlCalendarAdvance(Calendar,_xll.qlLastFixingQuoteReferenceDate(C24),"2D","f",,SheetTrigger)</f>
        <v>41466</v>
      </c>
      <c r="E24" s="138">
        <f>_xll.qlCalendarAdvance(Calendar,D24,IndexTenor,"Modified Following",TRUE,SheetTrigger)</f>
        <v>41498</v>
      </c>
      <c r="F24" s="54">
        <f>_xll.qlQuoteValue(C24,SheetTrigger)</f>
        <v>4.9249999999999997E-3</v>
      </c>
      <c r="G24" s="137">
        <f>1/(1+F24*_xll.qlDayCounterYearFraction(DayCounter,SettlementDate,E24))</f>
        <v>1.0025510747556385</v>
      </c>
      <c r="H24" s="43">
        <f>H23</f>
        <v>41684</v>
      </c>
      <c r="I24" s="130" t="b">
        <v>0</v>
      </c>
      <c r="J24" s="19">
        <f>F24</f>
        <v>4.9249999999999997E-3</v>
      </c>
      <c r="K24" s="107" t="b">
        <f t="shared" si="0"/>
        <v>0</v>
      </c>
      <c r="L24" s="27" t="b">
        <f t="shared" si="1"/>
        <v>0</v>
      </c>
      <c r="M24" s="21" t="b">
        <f t="shared" si="2"/>
        <v>0</v>
      </c>
      <c r="N24" s="32" t="b">
        <f t="shared" si="3"/>
        <v>0</v>
      </c>
      <c r="O24" s="51">
        <f>_xll.qlInterpolationInterpolate($O$22,$H24)</f>
        <v>4.9319999999999998E-3</v>
      </c>
      <c r="P24" s="72">
        <f>$J24-$O24</f>
        <v>-7.0000000000000617E-6</v>
      </c>
      <c r="Q24" s="38">
        <f>_xll.qlDayCounterYearFraction(DayCounter,$H24,$E24)</f>
        <v>-0.51666666666666672</v>
      </c>
      <c r="R24" s="91">
        <f>(1+$O24*$Q24)/(1+$J24*$Q24)</f>
        <v>0.99999637410694631</v>
      </c>
      <c r="S24" s="31">
        <f>IF($L24,(TOY*(1+$J24*$Q24)-1)/$Q24,IF($M24,(_TOY2*(1+$J24*$Q24)-1)/$Q24,$J24))</f>
        <v>4.9249999999999997E-3</v>
      </c>
      <c r="T24" s="140">
        <f>S24-J24</f>
        <v>0</v>
      </c>
      <c r="U24" s="17">
        <v>41712</v>
      </c>
      <c r="V24" s="56" t="e">
        <v>#VALUE!</v>
      </c>
    </row>
    <row r="25" spans="1:22" x14ac:dyDescent="0.2">
      <c r="A25" s="48"/>
      <c r="B25" s="22" t="str">
        <f>"T"&amp;$A$20&amp;"F1"</f>
        <v>T1F1</v>
      </c>
      <c r="C25" s="22" t="str">
        <f>RateHelperPrefix&amp;$B25</f>
        <v>GBP_YC1MRH_T1F1</v>
      </c>
      <c r="D25" s="12" t="e">
        <f>_xll.qlRateHelperEarliestDate($C25,EvaluationDate)</f>
        <v>#NUM!</v>
      </c>
      <c r="E25" s="12" t="e">
        <f>_xll.qlRateHelperLatestDate($C25,EvaluationDate)</f>
        <v>#NUM!</v>
      </c>
      <c r="F25" s="59" t="e">
        <f>_xll.qlRateHelperQuoteValue($C25,SheetTrigger)</f>
        <v>#NUM!</v>
      </c>
      <c r="G25" s="136" t="e">
        <f>1/(1+F25*_xll.qlDayCounterYearFraction(DayCounter,SettlementDate,E25))</f>
        <v>#NUM!</v>
      </c>
      <c r="H25" s="58" t="e">
        <f>$D25</f>
        <v>#NUM!</v>
      </c>
      <c r="I25" s="132" t="b">
        <v>0</v>
      </c>
      <c r="J25" s="13" t="e">
        <f>F25</f>
        <v>#NUM!</v>
      </c>
      <c r="K25" s="98" t="b">
        <f t="shared" si="0"/>
        <v>0</v>
      </c>
      <c r="L25" s="22" t="e">
        <f t="shared" si="1"/>
        <v>#NUM!</v>
      </c>
      <c r="M25" s="15" t="e">
        <f t="shared" si="2"/>
        <v>#NUM!</v>
      </c>
      <c r="N25" s="23" t="b">
        <f t="shared" si="3"/>
        <v>0</v>
      </c>
      <c r="O25" s="13" t="e">
        <f>_xll.qlInterpolationInterpolate($O$22,$H25)</f>
        <v>#NUM!</v>
      </c>
      <c r="P25" s="81" t="e">
        <f>J25-O25</f>
        <v>#NUM!</v>
      </c>
      <c r="Q25" s="36" t="e">
        <f>_xll.qlDayCounterYearFraction(DayCounter,$H25,$E25)</f>
        <v>#NUM!</v>
      </c>
      <c r="R25" s="89" t="e">
        <f>(1+$O25*$Q25)/(1+$J25*$Q25)</f>
        <v>#NUM!</v>
      </c>
      <c r="S25" s="47" t="e">
        <f>IF($L25,(TOY*(1+$J25*$Q25)-1)/$Q25,IF($M25,(_TOY2*(1+$J25*$Q25)-1)/$Q25,$J25))</f>
        <v>#NUM!</v>
      </c>
      <c r="T25" s="262" t="e">
        <f>S25-J25</f>
        <v>#NUM!</v>
      </c>
      <c r="U25" s="17">
        <v>41743</v>
      </c>
      <c r="V25" s="56" t="e">
        <v>#VALUE!</v>
      </c>
    </row>
    <row r="26" spans="1:22" x14ac:dyDescent="0.2">
      <c r="A26" s="48"/>
      <c r="B26" s="27" t="str">
        <f>"TOM"&amp;$A$20&amp;"F1"</f>
        <v>TOM1F1</v>
      </c>
      <c r="C26" s="27" t="str">
        <f>RateHelperPrefix&amp;$B26</f>
        <v>GBP_YC1MRH_TOM1F1</v>
      </c>
      <c r="D26" s="18" t="e">
        <f>_xll.qlRateHelperEarliestDate($C26,EvaluationDate)</f>
        <v>#NUM!</v>
      </c>
      <c r="E26" s="18" t="e">
        <f>_xll.qlRateHelperLatestDate($C26,EvaluationDate)</f>
        <v>#NUM!</v>
      </c>
      <c r="F26" s="54" t="e">
        <f>_xll.qlQuoteValue(C26,SheetTrigger)</f>
        <v>#NUM!</v>
      </c>
      <c r="G26" s="137" t="e">
        <f>1/(1+F26*_xll.qlDayCounterYearFraction(DayCounter,SettlementDate,E26))</f>
        <v>#NUM!</v>
      </c>
      <c r="H26" s="43" t="e">
        <f>H25</f>
        <v>#NUM!</v>
      </c>
      <c r="I26" s="130" t="b">
        <v>1</v>
      </c>
      <c r="J26" s="19" t="e">
        <f>F26</f>
        <v>#NUM!</v>
      </c>
      <c r="K26" s="107" t="b">
        <f t="shared" si="0"/>
        <v>0</v>
      </c>
      <c r="L26" s="27" t="e">
        <f t="shared" si="1"/>
        <v>#NUM!</v>
      </c>
      <c r="M26" s="21" t="e">
        <f t="shared" si="2"/>
        <v>#NUM!</v>
      </c>
      <c r="N26" s="32" t="b">
        <f t="shared" si="3"/>
        <v>0</v>
      </c>
      <c r="O26" s="19" t="e">
        <f>_xll.qlInterpolationInterpolate($O$22,$H26)</f>
        <v>#NUM!</v>
      </c>
      <c r="P26" s="82" t="e">
        <f>J26-O26</f>
        <v>#NUM!</v>
      </c>
      <c r="Q26" s="38" t="e">
        <f>_xll.qlDayCounterYearFraction(DayCounter,$H26,$E26)</f>
        <v>#NUM!</v>
      </c>
      <c r="R26" s="91" t="e">
        <f>(1+$O26*$Q26)/(1+$J26*$Q26)</f>
        <v>#NUM!</v>
      </c>
      <c r="S26" s="31" t="e">
        <f>IF($L26,(TOY*(1+$J26*$Q26)-1)/$Q26,IF($M26,(_TOY2*(1+$J26*$Q26)-1)/$Q26,$J26))</f>
        <v>#NUM!</v>
      </c>
      <c r="T26" s="263" t="e">
        <f>S26-J26</f>
        <v>#NUM!</v>
      </c>
      <c r="U26" s="17">
        <v>41773</v>
      </c>
      <c r="V26" s="56" t="e">
        <v>#VALUE!</v>
      </c>
    </row>
    <row r="27" spans="1:22" x14ac:dyDescent="0.2">
      <c r="A27" s="79">
        <v>2</v>
      </c>
      <c r="B27" s="84" t="str">
        <f>A27&amp;"X1S"</f>
        <v>2X1S</v>
      </c>
      <c r="C27" s="73" t="str">
        <f t="shared" ref="C27:C37" si="6">RateHelperPrefix&amp;$B27</f>
        <v>GBP_YC1MRH_2X1S</v>
      </c>
      <c r="D27" s="58">
        <f>_xll.qlRateHelperEarliestDate($C27,EvaluationDate)</f>
        <v>41684</v>
      </c>
      <c r="E27" s="58">
        <f>_xll.qlRateHelperLatestDate($C27,EvaluationDate)</f>
        <v>41743</v>
      </c>
      <c r="F27" s="59">
        <f>_xll.qlRateHelperQuoteValue($C27,SheetTrigger)</f>
        <v>4.8999999999999998E-3</v>
      </c>
      <c r="G27" s="76">
        <f>1/(1+F27*_xll.qlDayCounterYearFraction(DayCounter,SettlementDate,E27))</f>
        <v>0.99919758882519616</v>
      </c>
      <c r="H27" s="58">
        <f>$E23</f>
        <v>41712</v>
      </c>
      <c r="I27" s="15" t="b">
        <v>1</v>
      </c>
      <c r="J27" s="13">
        <f>($G24/$G27-1)/$Q27</f>
        <v>3.8974981540056478E-2</v>
      </c>
      <c r="K27" s="98" t="b">
        <f t="shared" si="0"/>
        <v>1</v>
      </c>
      <c r="L27" s="15" t="b">
        <f t="shared" si="1"/>
        <v>0</v>
      </c>
      <c r="M27" s="15" t="b">
        <f t="shared" si="2"/>
        <v>0</v>
      </c>
      <c r="N27" s="23" t="b">
        <f t="shared" si="3"/>
        <v>1</v>
      </c>
      <c r="O27" s="13">
        <f>_xll.qlInterpolationInterpolate($O$22,$H27)</f>
        <v>3.8974981540056478E-2</v>
      </c>
      <c r="P27" s="70">
        <f t="shared" ref="P27:P49" si="7">$J27-$O27</f>
        <v>0</v>
      </c>
      <c r="Q27" s="36">
        <f>_xll.qlDayCounterYearFraction(DayCounter,$H27,$E27)</f>
        <v>8.611111111111111E-2</v>
      </c>
      <c r="R27" s="81">
        <f t="shared" ref="R27:R49" si="8">(1+$O27*$Q27)/(1+$J27*$Q27)</f>
        <v>1</v>
      </c>
      <c r="S27" s="60">
        <f t="shared" si="4"/>
        <v>3.8974981540056478E-2</v>
      </c>
      <c r="T27" s="139">
        <f t="shared" si="5"/>
        <v>0</v>
      </c>
      <c r="U27" s="17">
        <v>41806</v>
      </c>
      <c r="V27" s="56" t="e">
        <v>#VALUE!</v>
      </c>
    </row>
    <row r="28" spans="1:22" x14ac:dyDescent="0.2">
      <c r="A28" s="79">
        <v>3</v>
      </c>
      <c r="B28" s="86" t="str">
        <f t="shared" ref="B28:B37" si="9">A28&amp;"X1S"</f>
        <v>3X1S</v>
      </c>
      <c r="C28" s="26" t="str">
        <f t="shared" si="6"/>
        <v>GBP_YC1MRH_3X1S</v>
      </c>
      <c r="D28" s="5">
        <f>_xll.qlRateHelperEarliestDate($C28,EvaluationDate)</f>
        <v>41684</v>
      </c>
      <c r="E28" s="5">
        <f>_xll.qlRateHelperLatestDate($C28,EvaluationDate)</f>
        <v>41773</v>
      </c>
      <c r="F28" s="45">
        <f>_xll.qlRateHelperQuoteValue($C28,SheetTrigger)</f>
        <v>4.8500000000000001E-3</v>
      </c>
      <c r="G28" s="77">
        <f>1/(1+F28*_xll.qlDayCounterYearFraction(DayCounter,SettlementDate,E28))</f>
        <v>0.99880240816809507</v>
      </c>
      <c r="H28" s="5">
        <f t="shared" ref="H28:H37" si="10">$E27</f>
        <v>41743</v>
      </c>
      <c r="I28" s="7" t="b">
        <v>1</v>
      </c>
      <c r="J28" s="8">
        <f>($G27/$G28-1)/$Q28</f>
        <v>4.7478538762337763E-3</v>
      </c>
      <c r="K28" s="106" t="b">
        <f t="shared" si="0"/>
        <v>1</v>
      </c>
      <c r="L28" s="7" t="b">
        <f t="shared" si="1"/>
        <v>0</v>
      </c>
      <c r="M28" s="7" t="b">
        <f t="shared" si="2"/>
        <v>0</v>
      </c>
      <c r="N28" s="50" t="b">
        <f t="shared" si="3"/>
        <v>1</v>
      </c>
      <c r="O28" s="8">
        <f>_xll.qlInterpolationInterpolate($O$22,$H28)</f>
        <v>4.7478538762337763E-3</v>
      </c>
      <c r="P28" s="71">
        <f t="shared" si="7"/>
        <v>0</v>
      </c>
      <c r="Q28" s="37">
        <f>_xll.qlDayCounterYearFraction(DayCounter,$H28,$E28)</f>
        <v>8.3333333333333329E-2</v>
      </c>
      <c r="R28" s="69">
        <f t="shared" si="8"/>
        <v>1</v>
      </c>
      <c r="S28" s="52">
        <f t="shared" si="4"/>
        <v>4.7478538762337763E-3</v>
      </c>
      <c r="T28" s="141">
        <f t="shared" si="5"/>
        <v>0</v>
      </c>
      <c r="U28" s="17">
        <v>41834</v>
      </c>
      <c r="V28" s="56" t="e">
        <v>#VALUE!</v>
      </c>
    </row>
    <row r="29" spans="1:22" x14ac:dyDescent="0.2">
      <c r="A29" s="79">
        <v>4</v>
      </c>
      <c r="B29" s="86" t="str">
        <f t="shared" si="9"/>
        <v>4X1S</v>
      </c>
      <c r="C29" s="26" t="str">
        <f t="shared" si="6"/>
        <v>GBP_YC1MRH_4X1S</v>
      </c>
      <c r="D29" s="5">
        <f>_xll.qlRateHelperEarliestDate($C29,EvaluationDate)</f>
        <v>41684</v>
      </c>
      <c r="E29" s="5">
        <f>_xll.qlRateHelperLatestDate($C29,EvaluationDate)</f>
        <v>41806</v>
      </c>
      <c r="F29" s="45">
        <f>_xll.qlRateHelperQuoteValue($C29,SheetTrigger)</f>
        <v>4.7999999999999996E-3</v>
      </c>
      <c r="G29" s="77">
        <f>1/(1+F29*_xll.qlDayCounterYearFraction(DayCounter,SettlementDate,E29))</f>
        <v>0.99837597508053566</v>
      </c>
      <c r="H29" s="5">
        <f t="shared" si="10"/>
        <v>41773</v>
      </c>
      <c r="I29" s="7" t="b">
        <v>1</v>
      </c>
      <c r="J29" s="8">
        <f t="shared" ref="J29:J37" si="11">($G28/$G29-1)/$Q29</f>
        <v>4.6595645678028002E-3</v>
      </c>
      <c r="K29" s="106" t="b">
        <f t="shared" si="0"/>
        <v>1</v>
      </c>
      <c r="L29" s="7" t="b">
        <f t="shared" si="1"/>
        <v>0</v>
      </c>
      <c r="M29" s="7" t="b">
        <f t="shared" si="2"/>
        <v>0</v>
      </c>
      <c r="N29" s="50" t="b">
        <f t="shared" si="3"/>
        <v>1</v>
      </c>
      <c r="O29" s="8">
        <f>_xll.qlInterpolationInterpolate($O$22,$H29)</f>
        <v>4.6595645678028002E-3</v>
      </c>
      <c r="P29" s="71">
        <f t="shared" si="7"/>
        <v>0</v>
      </c>
      <c r="Q29" s="37">
        <f>_xll.qlDayCounterYearFraction(DayCounter,$H29,$E29)</f>
        <v>9.166666666666666E-2</v>
      </c>
      <c r="R29" s="69">
        <f t="shared" si="8"/>
        <v>1</v>
      </c>
      <c r="S29" s="52">
        <f t="shared" si="4"/>
        <v>4.6595645678028002E-3</v>
      </c>
      <c r="T29" s="141">
        <f t="shared" si="5"/>
        <v>0</v>
      </c>
      <c r="U29" s="17">
        <v>41865</v>
      </c>
      <c r="V29" s="56" t="e">
        <v>#VALUE!</v>
      </c>
    </row>
    <row r="30" spans="1:22" x14ac:dyDescent="0.2">
      <c r="A30" s="83">
        <v>5</v>
      </c>
      <c r="B30" s="86" t="str">
        <f t="shared" si="9"/>
        <v>5X1S</v>
      </c>
      <c r="C30" s="26" t="str">
        <f t="shared" si="6"/>
        <v>GBP_YC1MRH_5X1S</v>
      </c>
      <c r="D30" s="5">
        <f>_xll.qlRateHelperEarliestDate($C30,EvaluationDate)</f>
        <v>41684</v>
      </c>
      <c r="E30" s="5">
        <f>_xll.qlRateHelperLatestDate($C30,EvaluationDate)</f>
        <v>41834</v>
      </c>
      <c r="F30" s="45">
        <f>_xll.qlRateHelperQuoteValue($C30,SheetTrigger)</f>
        <v>4.7499999999999999E-3</v>
      </c>
      <c r="G30" s="77">
        <f>1/(1+F30*_xll.qlDayCounterYearFraction(DayCounter,SettlementDate,E30))</f>
        <v>0.99802474269674601</v>
      </c>
      <c r="H30" s="5">
        <f t="shared" si="10"/>
        <v>41806</v>
      </c>
      <c r="I30" s="7" t="b">
        <v>1</v>
      </c>
      <c r="J30" s="8">
        <f t="shared" si="11"/>
        <v>4.5247825442034408E-3</v>
      </c>
      <c r="K30" s="106" t="b">
        <f t="shared" si="0"/>
        <v>1</v>
      </c>
      <c r="L30" s="7" t="b">
        <f t="shared" si="1"/>
        <v>0</v>
      </c>
      <c r="M30" s="7" t="b">
        <f t="shared" si="2"/>
        <v>0</v>
      </c>
      <c r="N30" s="50" t="b">
        <f t="shared" si="3"/>
        <v>1</v>
      </c>
      <c r="O30" s="8">
        <f>_xll.qlInterpolationInterpolate($O$22,$H30)</f>
        <v>4.5247825442034408E-3</v>
      </c>
      <c r="P30" s="71">
        <f t="shared" si="7"/>
        <v>0</v>
      </c>
      <c r="Q30" s="37">
        <f>_xll.qlDayCounterYearFraction(DayCounter,$H30,$E30)</f>
        <v>7.7777777777777779E-2</v>
      </c>
      <c r="R30" s="69">
        <f t="shared" si="8"/>
        <v>1</v>
      </c>
      <c r="S30" s="52">
        <f t="shared" si="4"/>
        <v>4.5247825442034408E-3</v>
      </c>
      <c r="T30" s="141">
        <f t="shared" si="5"/>
        <v>0</v>
      </c>
      <c r="U30" s="17">
        <v>41897</v>
      </c>
      <c r="V30" s="56" t="e">
        <v>#VALUE!</v>
      </c>
    </row>
    <row r="31" spans="1:22" x14ac:dyDescent="0.2">
      <c r="A31" s="79">
        <v>6</v>
      </c>
      <c r="B31" s="86" t="str">
        <f t="shared" si="9"/>
        <v>6X1S</v>
      </c>
      <c r="C31" s="26" t="str">
        <f t="shared" si="6"/>
        <v>GBP_YC1MRH_6X1S</v>
      </c>
      <c r="D31" s="5">
        <f>_xll.qlRateHelperEarliestDate($C31,EvaluationDate)</f>
        <v>41684</v>
      </c>
      <c r="E31" s="5">
        <f>_xll.qlRateHelperLatestDate($C31,EvaluationDate)</f>
        <v>41865</v>
      </c>
      <c r="F31" s="45">
        <f>_xll.qlRateHelperQuoteValue($C31,SheetTrigger)</f>
        <v>4.6999999999999993E-3</v>
      </c>
      <c r="G31" s="77">
        <f>1/(1+F31*_xll.qlDayCounterYearFraction(DayCounter,SettlementDate,E31))</f>
        <v>0.99764251531173409</v>
      </c>
      <c r="H31" s="5">
        <f t="shared" si="10"/>
        <v>41834</v>
      </c>
      <c r="I31" s="7" t="b">
        <v>1</v>
      </c>
      <c r="J31" s="8">
        <f t="shared" si="11"/>
        <v>4.4492586916370621E-3</v>
      </c>
      <c r="K31" s="106" t="b">
        <f t="shared" si="0"/>
        <v>1</v>
      </c>
      <c r="L31" s="7" t="b">
        <f t="shared" si="1"/>
        <v>0</v>
      </c>
      <c r="M31" s="7" t="b">
        <f t="shared" si="2"/>
        <v>0</v>
      </c>
      <c r="N31" s="50" t="b">
        <f t="shared" si="3"/>
        <v>1</v>
      </c>
      <c r="O31" s="8">
        <f>_xll.qlInterpolationInterpolate($O$22,$H31)</f>
        <v>4.4492586916370621E-3</v>
      </c>
      <c r="P31" s="71">
        <f t="shared" si="7"/>
        <v>0</v>
      </c>
      <c r="Q31" s="37">
        <f>_xll.qlDayCounterYearFraction(DayCounter,$H31,$E31)</f>
        <v>8.611111111111111E-2</v>
      </c>
      <c r="R31" s="69">
        <f t="shared" si="8"/>
        <v>1</v>
      </c>
      <c r="S31" s="52">
        <f t="shared" si="4"/>
        <v>4.4492586916370621E-3</v>
      </c>
      <c r="T31" s="141">
        <f t="shared" si="5"/>
        <v>0</v>
      </c>
      <c r="U31" s="17">
        <v>41926</v>
      </c>
      <c r="V31" s="56" t="e">
        <v>#VALUE!</v>
      </c>
    </row>
    <row r="32" spans="1:22" x14ac:dyDescent="0.2">
      <c r="A32" s="79">
        <v>7</v>
      </c>
      <c r="B32" s="86" t="str">
        <f t="shared" si="9"/>
        <v>7X1S</v>
      </c>
      <c r="C32" s="26" t="str">
        <f t="shared" si="6"/>
        <v>GBP_YC1MRH_7X1S</v>
      </c>
      <c r="D32" s="5">
        <f>_xll.qlRateHelperEarliestDate($C32,EvaluationDate)</f>
        <v>41684</v>
      </c>
      <c r="E32" s="5">
        <f>_xll.qlRateHelperLatestDate($C32,EvaluationDate)</f>
        <v>41897</v>
      </c>
      <c r="F32" s="45">
        <f>_xll.qlRateHelperQuoteValue($C32,SheetTrigger)</f>
        <v>4.6500000000000005E-3</v>
      </c>
      <c r="G32" s="77">
        <f>1/(1+F32*_xll.qlDayCounterYearFraction(DayCounter,SettlementDate,E32))</f>
        <v>0.99725629860845355</v>
      </c>
      <c r="H32" s="5">
        <f t="shared" si="10"/>
        <v>41865</v>
      </c>
      <c r="I32" s="7" t="b">
        <v>1</v>
      </c>
      <c r="J32" s="8">
        <f t="shared" si="11"/>
        <v>4.3568919223363478E-3</v>
      </c>
      <c r="K32" s="106" t="b">
        <f t="shared" si="0"/>
        <v>1</v>
      </c>
      <c r="L32" s="7" t="b">
        <f t="shared" si="1"/>
        <v>0</v>
      </c>
      <c r="M32" s="7" t="b">
        <f t="shared" si="2"/>
        <v>0</v>
      </c>
      <c r="N32" s="50" t="b">
        <f t="shared" si="3"/>
        <v>1</v>
      </c>
      <c r="O32" s="8">
        <f>_xll.qlInterpolationInterpolate($O$22,$H32)</f>
        <v>4.3568919223363478E-3</v>
      </c>
      <c r="P32" s="71">
        <f t="shared" si="7"/>
        <v>0</v>
      </c>
      <c r="Q32" s="37">
        <f>_xll.qlDayCounterYearFraction(DayCounter,$H32,$E32)</f>
        <v>8.8888888888888892E-2</v>
      </c>
      <c r="R32" s="69">
        <f t="shared" si="8"/>
        <v>1</v>
      </c>
      <c r="S32" s="52">
        <f t="shared" si="4"/>
        <v>4.3568919223363478E-3</v>
      </c>
      <c r="T32" s="141">
        <f t="shared" si="5"/>
        <v>0</v>
      </c>
      <c r="U32" s="17">
        <v>41957</v>
      </c>
      <c r="V32" s="56" t="e">
        <v>#VALUE!</v>
      </c>
    </row>
    <row r="33" spans="1:22" x14ac:dyDescent="0.2">
      <c r="A33" s="79">
        <v>8</v>
      </c>
      <c r="B33" s="86" t="str">
        <f t="shared" si="9"/>
        <v>8X1S</v>
      </c>
      <c r="C33" s="26" t="str">
        <f t="shared" si="6"/>
        <v>GBP_YC1MRH_8X1S</v>
      </c>
      <c r="D33" s="5">
        <f>_xll.qlRateHelperEarliestDate($C33,EvaluationDate)</f>
        <v>41684</v>
      </c>
      <c r="E33" s="5">
        <f>_xll.qlRateHelperLatestDate($C33,EvaluationDate)</f>
        <v>41926</v>
      </c>
      <c r="F33" s="45">
        <f>_xll.qlRateHelperQuoteValue($C33,SheetTrigger)</f>
        <v>4.6500000000000005E-3</v>
      </c>
      <c r="G33" s="77">
        <f>1/(1+F33*_xll.qlDayCounterYearFraction(DayCounter,SettlementDate,E33))</f>
        <v>0.99688390705386754</v>
      </c>
      <c r="H33" s="5">
        <f t="shared" si="10"/>
        <v>41897</v>
      </c>
      <c r="I33" s="7" t="b">
        <v>1</v>
      </c>
      <c r="J33" s="8">
        <f t="shared" si="11"/>
        <v>4.6372417885300957E-3</v>
      </c>
      <c r="K33" s="106" t="b">
        <f t="shared" si="0"/>
        <v>1</v>
      </c>
      <c r="L33" s="7" t="b">
        <f t="shared" si="1"/>
        <v>0</v>
      </c>
      <c r="M33" s="7" t="b">
        <f t="shared" si="2"/>
        <v>0</v>
      </c>
      <c r="N33" s="50" t="b">
        <f t="shared" si="3"/>
        <v>1</v>
      </c>
      <c r="O33" s="8">
        <f>_xll.qlInterpolationInterpolate($O$22,$H33)</f>
        <v>4.6372417885300957E-3</v>
      </c>
      <c r="P33" s="71">
        <f t="shared" si="7"/>
        <v>0</v>
      </c>
      <c r="Q33" s="37">
        <f>_xll.qlDayCounterYearFraction(DayCounter,$H33,$E33)</f>
        <v>8.0555555555555561E-2</v>
      </c>
      <c r="R33" s="69">
        <f t="shared" si="8"/>
        <v>1</v>
      </c>
      <c r="S33" s="52">
        <f t="shared" si="4"/>
        <v>4.6372417885300957E-3</v>
      </c>
      <c r="T33" s="141">
        <f t="shared" si="5"/>
        <v>0</v>
      </c>
      <c r="U33" s="17">
        <v>41988</v>
      </c>
      <c r="V33" s="56" t="e">
        <v>#VALUE!</v>
      </c>
    </row>
    <row r="34" spans="1:22" x14ac:dyDescent="0.2">
      <c r="A34" s="83">
        <v>9</v>
      </c>
      <c r="B34" s="86" t="str">
        <f t="shared" si="9"/>
        <v>9X1S</v>
      </c>
      <c r="C34" s="26" t="str">
        <f t="shared" si="6"/>
        <v>GBP_YC1MRH_9X1S</v>
      </c>
      <c r="D34" s="5">
        <f>_xll.qlRateHelperEarliestDate($C34,EvaluationDate)</f>
        <v>41684</v>
      </c>
      <c r="E34" s="5">
        <f>_xll.qlRateHelperLatestDate($C34,EvaluationDate)</f>
        <v>41957</v>
      </c>
      <c r="F34" s="45">
        <f>_xll.qlRateHelperQuoteValue($C34,SheetTrigger)</f>
        <v>4.5999999999999999E-3</v>
      </c>
      <c r="G34" s="77">
        <f>1/(1+F34*_xll.qlDayCounterYearFraction(DayCounter,SettlementDate,E34))</f>
        <v>0.99652379283599046</v>
      </c>
      <c r="H34" s="5">
        <f t="shared" si="10"/>
        <v>41926</v>
      </c>
      <c r="I34" s="7" t="b">
        <v>1</v>
      </c>
      <c r="J34" s="8">
        <f t="shared" si="11"/>
        <v>4.1965596732427713E-3</v>
      </c>
      <c r="K34" s="106" t="b">
        <f t="shared" si="0"/>
        <v>1</v>
      </c>
      <c r="L34" s="7" t="b">
        <f t="shared" si="1"/>
        <v>0</v>
      </c>
      <c r="M34" s="7" t="b">
        <f t="shared" si="2"/>
        <v>0</v>
      </c>
      <c r="N34" s="50" t="b">
        <f t="shared" si="3"/>
        <v>1</v>
      </c>
      <c r="O34" s="8">
        <f>_xll.qlInterpolationInterpolate($O$22,$H34)</f>
        <v>4.1965596732427713E-3</v>
      </c>
      <c r="P34" s="71">
        <f t="shared" si="7"/>
        <v>0</v>
      </c>
      <c r="Q34" s="37">
        <f>_xll.qlDayCounterYearFraction(DayCounter,$H34,$E34)</f>
        <v>8.611111111111111E-2</v>
      </c>
      <c r="R34" s="69">
        <f t="shared" si="8"/>
        <v>1</v>
      </c>
      <c r="S34" s="52">
        <f t="shared" si="4"/>
        <v>4.1965596732427713E-3</v>
      </c>
      <c r="T34" s="141">
        <f t="shared" si="5"/>
        <v>0</v>
      </c>
      <c r="U34" s="17">
        <v>42018</v>
      </c>
      <c r="V34" s="56" t="e">
        <v>#VALUE!</v>
      </c>
    </row>
    <row r="35" spans="1:22" x14ac:dyDescent="0.2">
      <c r="A35" s="79">
        <v>10</v>
      </c>
      <c r="B35" s="86" t="str">
        <f t="shared" si="9"/>
        <v>10X1S</v>
      </c>
      <c r="C35" s="26" t="str">
        <f t="shared" si="6"/>
        <v>GBP_YC1MRH_10X1S</v>
      </c>
      <c r="D35" s="5">
        <f>_xll.qlRateHelperEarliestDate($C35,EvaluationDate)</f>
        <v>41684</v>
      </c>
      <c r="E35" s="5">
        <f>_xll.qlRateHelperLatestDate($C35,EvaluationDate)</f>
        <v>41988</v>
      </c>
      <c r="F35" s="45">
        <f>_xll.qlRateHelperQuoteValue($C35,SheetTrigger)</f>
        <v>4.5999999999999999E-3</v>
      </c>
      <c r="G35" s="77">
        <f>1/(1+F35*_xll.qlDayCounterYearFraction(DayCounter,SettlementDate,E35))</f>
        <v>0.99613058607896443</v>
      </c>
      <c r="H35" s="5">
        <f t="shared" si="10"/>
        <v>41957</v>
      </c>
      <c r="I35" s="7" t="b">
        <v>1</v>
      </c>
      <c r="J35" s="8">
        <f t="shared" si="11"/>
        <v>4.5840094470451752E-3</v>
      </c>
      <c r="K35" s="106" t="b">
        <f t="shared" si="0"/>
        <v>1</v>
      </c>
      <c r="L35" s="7" t="b">
        <f t="shared" si="1"/>
        <v>0</v>
      </c>
      <c r="M35" s="7" t="b">
        <f t="shared" si="2"/>
        <v>0</v>
      </c>
      <c r="N35" s="50" t="b">
        <f t="shared" si="3"/>
        <v>1</v>
      </c>
      <c r="O35" s="8">
        <f>_xll.qlInterpolationInterpolate($O$22,$H35)</f>
        <v>4.5840094470451752E-3</v>
      </c>
      <c r="P35" s="71">
        <f t="shared" si="7"/>
        <v>0</v>
      </c>
      <c r="Q35" s="37">
        <f>_xll.qlDayCounterYearFraction(DayCounter,$H35,$E35)</f>
        <v>8.611111111111111E-2</v>
      </c>
      <c r="R35" s="69">
        <f t="shared" si="8"/>
        <v>1</v>
      </c>
      <c r="S35" s="52">
        <f t="shared" si="4"/>
        <v>4.5840094470451752E-3</v>
      </c>
      <c r="T35" s="141">
        <f t="shared" si="5"/>
        <v>0</v>
      </c>
      <c r="U35" s="17" t="e">
        <v>#N/A</v>
      </c>
      <c r="V35" s="56" t="e">
        <v>#VALUE!</v>
      </c>
    </row>
    <row r="36" spans="1:22" x14ac:dyDescent="0.2">
      <c r="A36" s="79">
        <v>11</v>
      </c>
      <c r="B36" s="86" t="str">
        <f t="shared" si="9"/>
        <v>11X1S</v>
      </c>
      <c r="C36" s="26" t="str">
        <f t="shared" si="6"/>
        <v>GBP_YC1MRH_11X1S</v>
      </c>
      <c r="D36" s="5">
        <f>_xll.qlRateHelperEarliestDate($C36,EvaluationDate)</f>
        <v>41684</v>
      </c>
      <c r="E36" s="5">
        <f>_xll.qlRateHelperLatestDate($C36,EvaluationDate)</f>
        <v>42018</v>
      </c>
      <c r="F36" s="45">
        <f>_xll.qlRateHelperQuoteValue($C36,SheetTrigger)</f>
        <v>4.5999999999999999E-3</v>
      </c>
      <c r="G36" s="77">
        <f>1/(1+F36*_xll.qlDayCounterYearFraction(DayCounter,SettlementDate,E36))</f>
        <v>0.99575035874672646</v>
      </c>
      <c r="H36" s="5">
        <f t="shared" si="10"/>
        <v>41988</v>
      </c>
      <c r="I36" s="7" t="b">
        <v>1</v>
      </c>
      <c r="J36" s="8">
        <f t="shared" si="11"/>
        <v>4.582200695964822E-3</v>
      </c>
      <c r="K36" s="106" t="b">
        <f t="shared" si="0"/>
        <v>1</v>
      </c>
      <c r="L36" s="7" t="b">
        <f t="shared" si="1"/>
        <v>1</v>
      </c>
      <c r="M36" s="7" t="b">
        <f t="shared" si="2"/>
        <v>0</v>
      </c>
      <c r="N36" s="50" t="b">
        <f t="shared" si="3"/>
        <v>0</v>
      </c>
      <c r="O36" s="8">
        <f>_xll.qlInterpolationInterpolate($O$22,$H36)</f>
        <v>4.5848544396578329E-3</v>
      </c>
      <c r="P36" s="71">
        <f t="shared" si="7"/>
        <v>-2.6537436930108502E-6</v>
      </c>
      <c r="Q36" s="37">
        <f>_xll.qlDayCounterYearFraction(DayCounter,$H36,$E36)</f>
        <v>8.3333333333333329E-2</v>
      </c>
      <c r="R36" s="69">
        <f t="shared" si="8"/>
        <v>1.0000002210608958</v>
      </c>
      <c r="S36" s="52" t="e">
        <f t="shared" si="4"/>
        <v>#NUM!</v>
      </c>
      <c r="T36" s="141" t="e">
        <f t="shared" si="5"/>
        <v>#NUM!</v>
      </c>
      <c r="U36" s="17" t="e">
        <v>#N/A</v>
      </c>
      <c r="V36" s="56" t="e">
        <v>#VALUE!</v>
      </c>
    </row>
    <row r="37" spans="1:22" x14ac:dyDescent="0.2">
      <c r="A37" s="79">
        <v>12</v>
      </c>
      <c r="B37" s="87" t="str">
        <f t="shared" si="9"/>
        <v>12X1S</v>
      </c>
      <c r="C37" s="85" t="str">
        <f t="shared" si="6"/>
        <v>GBP_YC1MRH_12X1S</v>
      </c>
      <c r="D37" s="43">
        <f>_xll.qlRateHelperEarliestDate($C37,EvaluationDate)</f>
        <v>41684</v>
      </c>
      <c r="E37" s="43">
        <f>_xll.qlRateHelperLatestDate($C37,EvaluationDate)</f>
        <v>42051</v>
      </c>
      <c r="F37" s="54">
        <f>_xll.qlRateHelperQuoteValue($C37,SheetTrigger)</f>
        <v>4.5999999999999999E-3</v>
      </c>
      <c r="G37" s="78">
        <f>1/(1+F37*_xll.qlDayCounterYearFraction(DayCounter,SettlementDate,E37))</f>
        <v>0.9953324438010418</v>
      </c>
      <c r="H37" s="43">
        <f t="shared" si="10"/>
        <v>42018</v>
      </c>
      <c r="I37" s="21" t="b">
        <v>1</v>
      </c>
      <c r="J37" s="19">
        <f t="shared" si="11"/>
        <v>4.5804516502354828E-3</v>
      </c>
      <c r="K37" s="107" t="b">
        <f t="shared" si="0"/>
        <v>1</v>
      </c>
      <c r="L37" s="21" t="b">
        <f t="shared" si="1"/>
        <v>0</v>
      </c>
      <c r="M37" s="21" t="b">
        <f t="shared" si="2"/>
        <v>0</v>
      </c>
      <c r="N37" s="32" t="b">
        <f t="shared" si="3"/>
        <v>1</v>
      </c>
      <c r="O37" s="266">
        <f>_xll.qlInterpolationInterpolate($O$22,$H37,TRUE)</f>
        <v>4.5804516502354828E-3</v>
      </c>
      <c r="P37" s="72">
        <f t="shared" si="7"/>
        <v>0</v>
      </c>
      <c r="Q37" s="38">
        <f>_xll.qlDayCounterYearFraction(DayCounter,$H37,$E37)</f>
        <v>9.166666666666666E-2</v>
      </c>
      <c r="R37" s="82">
        <f t="shared" si="8"/>
        <v>1</v>
      </c>
      <c r="S37" s="53">
        <f t="shared" si="4"/>
        <v>4.5804516502354828E-3</v>
      </c>
      <c r="T37" s="140">
        <f t="shared" si="5"/>
        <v>0</v>
      </c>
      <c r="U37" s="17" t="e">
        <v>#N/A</v>
      </c>
      <c r="V37" s="56" t="e">
        <v>#VALUE!</v>
      </c>
    </row>
    <row r="38" spans="1:22" s="3" customFormat="1" x14ac:dyDescent="0.2">
      <c r="A38" t="b">
        <v>0</v>
      </c>
      <c r="B38" s="41" t="str">
        <f>"FUT"&amp;IndexTenor&amp;_xll.qlIMMNextCodes(SettlementDate+$B$22,A38)</f>
        <v>FUT1MG4</v>
      </c>
      <c r="C38" s="46" t="str">
        <f>RateHelperPrefix&amp;$B38</f>
        <v>GBP_YC1MRH_FUT1MG4</v>
      </c>
      <c r="D38" s="58" t="e">
        <f>_xll.qlRateHelperEarliestDate($C38,EvaluationDate)</f>
        <v>#NUM!</v>
      </c>
      <c r="E38" s="58" t="e">
        <f>_xll.qlRateHelperLatestDate($C38,EvaluationDate)</f>
        <v>#NUM!</v>
      </c>
      <c r="F38" s="109" t="e">
        <f>_xll.qlRateHelperQuoteValue($C38,SheetTrigger)</f>
        <v>#NUM!</v>
      </c>
      <c r="G38" s="74" t="e">
        <f>_xll.qlFuturesRateHelperConvexityAdjustment($C38,SheetTrigger)</f>
        <v>#NUM!</v>
      </c>
      <c r="H38" s="58" t="e">
        <f t="shared" ref="H38:H49" si="12">$D38</f>
        <v>#NUM!</v>
      </c>
      <c r="I38" s="15" t="b">
        <f>ISNA(VLOOKUP(H38,$H$23:$H$37,1,FALSE))</f>
        <v>0</v>
      </c>
      <c r="J38" s="13" t="e">
        <f>1-$F38/100-$G38</f>
        <v>#NUM!</v>
      </c>
      <c r="K38" s="98" t="b">
        <f t="shared" ref="K38:K49" si="13">AND(ISNUMBER(J38),I38,UseSecondSet)</f>
        <v>0</v>
      </c>
      <c r="L38" s="15" t="e">
        <f t="shared" si="1"/>
        <v>#NUM!</v>
      </c>
      <c r="M38" s="15" t="e">
        <f t="shared" si="2"/>
        <v>#NUM!</v>
      </c>
      <c r="N38" s="23" t="b">
        <f>IF(K38,AND(NOT($L38),NOT($M38)),FALSE)</f>
        <v>0</v>
      </c>
      <c r="O38" s="13" t="e">
        <f>_xll.qlInterpolationInterpolate($O$22,$H38)</f>
        <v>#NUM!</v>
      </c>
      <c r="P38" s="70" t="e">
        <f t="shared" si="7"/>
        <v>#NUM!</v>
      </c>
      <c r="Q38" s="36" t="e">
        <f>_xll.qlDayCounterYearFraction(DayCounter,$H38,$E38)</f>
        <v>#NUM!</v>
      </c>
      <c r="R38" s="81" t="e">
        <f t="shared" si="8"/>
        <v>#NUM!</v>
      </c>
      <c r="S38" s="60" t="e">
        <f>IF($L38,(TOY*(1+$J38*$Q38)-1)/$Q38,IF($M38,(_TOY2*(1+$J38*$Q38)-1)/$Q38,$J38))</f>
        <v>#NUM!</v>
      </c>
      <c r="T38" s="139" t="e">
        <f>S38-J38</f>
        <v>#NUM!</v>
      </c>
      <c r="U38" s="17" t="e">
        <v>#N/A</v>
      </c>
      <c r="V38" s="56" t="e">
        <v>#VALUE!</v>
      </c>
    </row>
    <row r="39" spans="1:22" s="3" customFormat="1" x14ac:dyDescent="0.2">
      <c r="A39" t="b">
        <v>0</v>
      </c>
      <c r="B39" s="41" t="e">
        <f>"FUT"&amp;IndexTenor&amp;_xll.qlIMMNextCodes(D38,A39)</f>
        <v>#NUM!</v>
      </c>
      <c r="C39" s="41" t="e">
        <f t="shared" ref="C39:C49" si="14">RateHelperPrefix&amp;$B39</f>
        <v>#NUM!</v>
      </c>
      <c r="D39" s="5" t="e">
        <f>_xll.qlRateHelperEarliestDate($C39,EvaluationDate)</f>
        <v>#VALUE!</v>
      </c>
      <c r="E39" s="5" t="e">
        <f>_xll.qlRateHelperLatestDate($C39,EvaluationDate)</f>
        <v>#VALUE!</v>
      </c>
      <c r="F39" s="110" t="e">
        <f>_xll.qlRateHelperQuoteValue($C39,SheetTrigger)</f>
        <v>#VALUE!</v>
      </c>
      <c r="G39" s="66" t="e">
        <f>_xll.qlFuturesRateHelperConvexityAdjustment($C39,SheetTrigger)</f>
        <v>#VALUE!</v>
      </c>
      <c r="H39" s="5" t="e">
        <f t="shared" si="12"/>
        <v>#VALUE!</v>
      </c>
      <c r="I39" s="7" t="b">
        <f t="shared" ref="I39:I49" si="15">ISNA(VLOOKUP(H39,$H$23:$H$37,1,FALSE))</f>
        <v>0</v>
      </c>
      <c r="J39" s="8" t="e">
        <f t="shared" ref="J39:J49" si="16">1-$F39/100-$G39</f>
        <v>#VALUE!</v>
      </c>
      <c r="K39" s="106" t="b">
        <f t="shared" si="13"/>
        <v>0</v>
      </c>
      <c r="L39" s="7" t="e">
        <f t="shared" si="1"/>
        <v>#VALUE!</v>
      </c>
      <c r="M39" s="7" t="e">
        <f t="shared" si="2"/>
        <v>#VALUE!</v>
      </c>
      <c r="N39" s="50" t="b">
        <f t="shared" ref="N39:N49" si="17">IF(K39,AND(NOT($L39),NOT($M39)),FALSE)</f>
        <v>0</v>
      </c>
      <c r="O39" s="8" t="e">
        <f>_xll.qlInterpolationInterpolate($O$22,$H39)</f>
        <v>#NUM!</v>
      </c>
      <c r="P39" s="71" t="e">
        <f t="shared" si="7"/>
        <v>#VALUE!</v>
      </c>
      <c r="Q39" s="37" t="e">
        <f>_xll.qlDayCounterYearFraction(DayCounter,$H39,$E39)</f>
        <v>#NUM!</v>
      </c>
      <c r="R39" s="69" t="e">
        <f t="shared" si="8"/>
        <v>#NUM!</v>
      </c>
      <c r="S39" s="52" t="e">
        <f t="shared" ref="S39:S49" si="18">IF($L39,(TOY*(1+$J39*$Q39)-1)/$Q39,IF($M39,(_TOY2*(1+$J39*$Q39)-1)/$Q39,$J39))</f>
        <v>#VALUE!</v>
      </c>
      <c r="T39" s="141" t="e">
        <f>S39-J39</f>
        <v>#VALUE!</v>
      </c>
      <c r="U39" s="17" t="e">
        <v>#N/A</v>
      </c>
      <c r="V39" s="56" t="e">
        <v>#VALUE!</v>
      </c>
    </row>
    <row r="40" spans="1:22" s="3" customFormat="1" x14ac:dyDescent="0.2">
      <c r="A40" t="b">
        <v>0</v>
      </c>
      <c r="B40" s="41" t="e">
        <f>"FUT"&amp;IndexTenor&amp;_xll.qlIMMNextCodes(D39,A40)</f>
        <v>#NUM!</v>
      </c>
      <c r="C40" s="41" t="e">
        <f t="shared" si="14"/>
        <v>#NUM!</v>
      </c>
      <c r="D40" s="5" t="e">
        <f>_xll.qlRateHelperEarliestDate($C40,EvaluationDate)</f>
        <v>#VALUE!</v>
      </c>
      <c r="E40" s="5" t="e">
        <f>_xll.qlRateHelperLatestDate($C40,EvaluationDate)</f>
        <v>#VALUE!</v>
      </c>
      <c r="F40" s="110" t="e">
        <f>_xll.qlRateHelperQuoteValue($C40,SheetTrigger)</f>
        <v>#VALUE!</v>
      </c>
      <c r="G40" s="66" t="e">
        <f>_xll.qlFuturesRateHelperConvexityAdjustment($C40,SheetTrigger)</f>
        <v>#VALUE!</v>
      </c>
      <c r="H40" s="5" t="e">
        <f t="shared" si="12"/>
        <v>#VALUE!</v>
      </c>
      <c r="I40" s="7" t="b">
        <f t="shared" si="15"/>
        <v>0</v>
      </c>
      <c r="J40" s="8" t="e">
        <f t="shared" si="16"/>
        <v>#VALUE!</v>
      </c>
      <c r="K40" s="106" t="b">
        <f t="shared" si="13"/>
        <v>0</v>
      </c>
      <c r="L40" s="7" t="e">
        <f t="shared" si="1"/>
        <v>#VALUE!</v>
      </c>
      <c r="M40" s="7" t="e">
        <f t="shared" si="2"/>
        <v>#VALUE!</v>
      </c>
      <c r="N40" s="50" t="b">
        <f t="shared" si="17"/>
        <v>0</v>
      </c>
      <c r="O40" s="8" t="e">
        <f>_xll.qlInterpolationInterpolate($O$22,$H40)</f>
        <v>#NUM!</v>
      </c>
      <c r="P40" s="71" t="e">
        <f t="shared" si="7"/>
        <v>#VALUE!</v>
      </c>
      <c r="Q40" s="37" t="e">
        <f>_xll.qlDayCounterYearFraction(DayCounter,$H40,$E40)</f>
        <v>#NUM!</v>
      </c>
      <c r="R40" s="69" t="e">
        <f t="shared" si="8"/>
        <v>#NUM!</v>
      </c>
      <c r="S40" s="52" t="e">
        <f t="shared" si="18"/>
        <v>#VALUE!</v>
      </c>
      <c r="T40" s="141" t="e">
        <f t="shared" ref="T40:T49" si="19">S40-J40</f>
        <v>#VALUE!</v>
      </c>
      <c r="U40" s="17" t="e">
        <v>#N/A</v>
      </c>
      <c r="V40" s="56" t="e">
        <v>#VALUE!</v>
      </c>
    </row>
    <row r="41" spans="1:22" s="3" customFormat="1" x14ac:dyDescent="0.2">
      <c r="A41" t="b">
        <v>0</v>
      </c>
      <c r="B41" s="41" t="e">
        <f>"FUT"&amp;IndexTenor&amp;_xll.qlIMMNextCodes(D40,A41)</f>
        <v>#NUM!</v>
      </c>
      <c r="C41" s="41" t="e">
        <f t="shared" si="14"/>
        <v>#NUM!</v>
      </c>
      <c r="D41" s="5" t="e">
        <f>_xll.qlRateHelperEarliestDate($C41,EvaluationDate)</f>
        <v>#VALUE!</v>
      </c>
      <c r="E41" s="5" t="e">
        <f>_xll.qlRateHelperLatestDate($C41,EvaluationDate)</f>
        <v>#VALUE!</v>
      </c>
      <c r="F41" s="110" t="e">
        <f>_xll.qlRateHelperQuoteValue($C41,SheetTrigger)</f>
        <v>#VALUE!</v>
      </c>
      <c r="G41" s="66" t="e">
        <f>_xll.qlFuturesRateHelperConvexityAdjustment($C41,SheetTrigger)</f>
        <v>#VALUE!</v>
      </c>
      <c r="H41" s="5" t="e">
        <f t="shared" si="12"/>
        <v>#VALUE!</v>
      </c>
      <c r="I41" s="7" t="b">
        <f t="shared" si="15"/>
        <v>0</v>
      </c>
      <c r="J41" s="8" t="e">
        <f t="shared" si="16"/>
        <v>#VALUE!</v>
      </c>
      <c r="K41" s="106" t="b">
        <f t="shared" si="13"/>
        <v>0</v>
      </c>
      <c r="L41" s="7" t="e">
        <f t="shared" si="1"/>
        <v>#VALUE!</v>
      </c>
      <c r="M41" s="7" t="e">
        <f t="shared" si="2"/>
        <v>#VALUE!</v>
      </c>
      <c r="N41" s="50" t="b">
        <f t="shared" si="17"/>
        <v>0</v>
      </c>
      <c r="O41" s="8" t="e">
        <f>_xll.qlInterpolationInterpolate($O$22,$H41)</f>
        <v>#NUM!</v>
      </c>
      <c r="P41" s="71" t="e">
        <f t="shared" si="7"/>
        <v>#VALUE!</v>
      </c>
      <c r="Q41" s="37" t="e">
        <f>_xll.qlDayCounterYearFraction(DayCounter,$H41,$E41)</f>
        <v>#NUM!</v>
      </c>
      <c r="R41" s="69" t="e">
        <f t="shared" si="8"/>
        <v>#NUM!</v>
      </c>
      <c r="S41" s="52" t="e">
        <f t="shared" si="18"/>
        <v>#VALUE!</v>
      </c>
      <c r="T41" s="141" t="e">
        <f t="shared" si="19"/>
        <v>#VALUE!</v>
      </c>
      <c r="U41" s="17" t="e">
        <v>#N/A</v>
      </c>
      <c r="V41" s="56" t="e">
        <v>#VALUE!</v>
      </c>
    </row>
    <row r="42" spans="1:22" s="3" customFormat="1" x14ac:dyDescent="0.2">
      <c r="A42" t="b">
        <v>0</v>
      </c>
      <c r="B42" s="41" t="e">
        <f>"FUT"&amp;IndexTenor&amp;_xll.qlIMMNextCodes(D41,A42)</f>
        <v>#NUM!</v>
      </c>
      <c r="C42" s="41" t="e">
        <f t="shared" si="14"/>
        <v>#NUM!</v>
      </c>
      <c r="D42" s="5" t="e">
        <f>_xll.qlRateHelperEarliestDate($C42,EvaluationDate)</f>
        <v>#VALUE!</v>
      </c>
      <c r="E42" s="5" t="e">
        <f>_xll.qlRateHelperLatestDate($C42,EvaluationDate)</f>
        <v>#VALUE!</v>
      </c>
      <c r="F42" s="110" t="e">
        <f>_xll.qlRateHelperQuoteValue($C42,SheetTrigger)</f>
        <v>#VALUE!</v>
      </c>
      <c r="G42" s="66" t="e">
        <f>_xll.qlFuturesRateHelperConvexityAdjustment($C42,SheetTrigger)</f>
        <v>#VALUE!</v>
      </c>
      <c r="H42" s="5" t="e">
        <f t="shared" si="12"/>
        <v>#VALUE!</v>
      </c>
      <c r="I42" s="7" t="b">
        <f t="shared" si="15"/>
        <v>0</v>
      </c>
      <c r="J42" s="8" t="e">
        <f t="shared" si="16"/>
        <v>#VALUE!</v>
      </c>
      <c r="K42" s="106" t="b">
        <f t="shared" si="13"/>
        <v>0</v>
      </c>
      <c r="L42" s="7" t="e">
        <f t="shared" si="1"/>
        <v>#VALUE!</v>
      </c>
      <c r="M42" s="7" t="e">
        <f t="shared" si="2"/>
        <v>#VALUE!</v>
      </c>
      <c r="N42" s="50" t="b">
        <f t="shared" si="17"/>
        <v>0</v>
      </c>
      <c r="O42" s="8" t="e">
        <f>_xll.qlInterpolationInterpolate($O$22,$H42)</f>
        <v>#NUM!</v>
      </c>
      <c r="P42" s="71" t="e">
        <f t="shared" si="7"/>
        <v>#VALUE!</v>
      </c>
      <c r="Q42" s="37" t="e">
        <f>_xll.qlDayCounterYearFraction(DayCounter,$H42,$E42)</f>
        <v>#NUM!</v>
      </c>
      <c r="R42" s="69" t="e">
        <f t="shared" si="8"/>
        <v>#NUM!</v>
      </c>
      <c r="S42" s="52" t="e">
        <f t="shared" si="18"/>
        <v>#VALUE!</v>
      </c>
      <c r="T42" s="141" t="e">
        <f t="shared" si="19"/>
        <v>#VALUE!</v>
      </c>
      <c r="U42" s="17" t="e">
        <v>#N/A</v>
      </c>
      <c r="V42" s="56" t="e">
        <v>#VALUE!</v>
      </c>
    </row>
    <row r="43" spans="1:22" s="3" customFormat="1" x14ac:dyDescent="0.2">
      <c r="A43" t="b">
        <v>0</v>
      </c>
      <c r="B43" s="41" t="e">
        <f>"FUT"&amp;IndexTenor&amp;_xll.qlIMMNextCodes(D42,A43)</f>
        <v>#NUM!</v>
      </c>
      <c r="C43" s="41" t="e">
        <f t="shared" si="14"/>
        <v>#NUM!</v>
      </c>
      <c r="D43" s="5" t="e">
        <f>_xll.qlRateHelperEarliestDate($C43,EvaluationDate)</f>
        <v>#VALUE!</v>
      </c>
      <c r="E43" s="5" t="e">
        <f>_xll.qlRateHelperLatestDate($C43,EvaluationDate)</f>
        <v>#VALUE!</v>
      </c>
      <c r="F43" s="110" t="e">
        <f>_xll.qlRateHelperQuoteValue($C43,SheetTrigger)</f>
        <v>#VALUE!</v>
      </c>
      <c r="G43" s="66" t="e">
        <f>_xll.qlFuturesRateHelperConvexityAdjustment($C43,SheetTrigger)</f>
        <v>#VALUE!</v>
      </c>
      <c r="H43" s="5" t="e">
        <f t="shared" si="12"/>
        <v>#VALUE!</v>
      </c>
      <c r="I43" s="7" t="b">
        <f t="shared" si="15"/>
        <v>0</v>
      </c>
      <c r="J43" s="8" t="e">
        <f t="shared" si="16"/>
        <v>#VALUE!</v>
      </c>
      <c r="K43" s="106" t="b">
        <f t="shared" si="13"/>
        <v>0</v>
      </c>
      <c r="L43" s="7" t="e">
        <f t="shared" si="1"/>
        <v>#VALUE!</v>
      </c>
      <c r="M43" s="7" t="e">
        <f t="shared" si="2"/>
        <v>#VALUE!</v>
      </c>
      <c r="N43" s="50" t="b">
        <f t="shared" si="17"/>
        <v>0</v>
      </c>
      <c r="O43" s="8" t="e">
        <f>_xll.qlInterpolationInterpolate($O$22,$H43)</f>
        <v>#NUM!</v>
      </c>
      <c r="P43" s="71" t="e">
        <f t="shared" si="7"/>
        <v>#VALUE!</v>
      </c>
      <c r="Q43" s="37" t="e">
        <f>_xll.qlDayCounterYearFraction(DayCounter,$H43,$E43)</f>
        <v>#NUM!</v>
      </c>
      <c r="R43" s="69" t="e">
        <f t="shared" si="8"/>
        <v>#NUM!</v>
      </c>
      <c r="S43" s="52" t="e">
        <f t="shared" si="18"/>
        <v>#VALUE!</v>
      </c>
      <c r="T43" s="141" t="e">
        <f t="shared" si="19"/>
        <v>#VALUE!</v>
      </c>
      <c r="U43" s="17" t="e">
        <v>#N/A</v>
      </c>
      <c r="V43" s="56" t="e">
        <v>#VALUE!</v>
      </c>
    </row>
    <row r="44" spans="1:22" s="3" customFormat="1" x14ac:dyDescent="0.2">
      <c r="A44" t="b">
        <v>0</v>
      </c>
      <c r="B44" s="41" t="e">
        <f>"FUT"&amp;IndexTenor&amp;_xll.qlIMMNextCodes(D43,A44)</f>
        <v>#NUM!</v>
      </c>
      <c r="C44" s="41" t="e">
        <f t="shared" si="14"/>
        <v>#NUM!</v>
      </c>
      <c r="D44" s="5" t="e">
        <f>_xll.qlRateHelperEarliestDate($C44,EvaluationDate)</f>
        <v>#VALUE!</v>
      </c>
      <c r="E44" s="5" t="e">
        <f>_xll.qlRateHelperLatestDate($C44,EvaluationDate)</f>
        <v>#VALUE!</v>
      </c>
      <c r="F44" s="110" t="e">
        <f>_xll.qlRateHelperQuoteValue($C44,SheetTrigger)</f>
        <v>#VALUE!</v>
      </c>
      <c r="G44" s="66" t="e">
        <f>_xll.qlFuturesRateHelperConvexityAdjustment($C44,SheetTrigger)</f>
        <v>#VALUE!</v>
      </c>
      <c r="H44" s="5" t="e">
        <f t="shared" si="12"/>
        <v>#VALUE!</v>
      </c>
      <c r="I44" s="7" t="b">
        <f t="shared" si="15"/>
        <v>0</v>
      </c>
      <c r="J44" s="8" t="e">
        <f t="shared" si="16"/>
        <v>#VALUE!</v>
      </c>
      <c r="K44" s="106" t="b">
        <f t="shared" si="13"/>
        <v>0</v>
      </c>
      <c r="L44" s="7" t="e">
        <f t="shared" si="1"/>
        <v>#VALUE!</v>
      </c>
      <c r="M44" s="7" t="e">
        <f t="shared" si="2"/>
        <v>#VALUE!</v>
      </c>
      <c r="N44" s="50" t="b">
        <f t="shared" si="17"/>
        <v>0</v>
      </c>
      <c r="O44" s="8" t="e">
        <f>_xll.qlInterpolationInterpolate($O$22,$H44)</f>
        <v>#NUM!</v>
      </c>
      <c r="P44" s="71" t="e">
        <f t="shared" si="7"/>
        <v>#VALUE!</v>
      </c>
      <c r="Q44" s="37" t="e">
        <f>_xll.qlDayCounterYearFraction(DayCounter,$H44,$E44)</f>
        <v>#NUM!</v>
      </c>
      <c r="R44" s="69" t="e">
        <f t="shared" si="8"/>
        <v>#NUM!</v>
      </c>
      <c r="S44" s="52" t="e">
        <f t="shared" si="18"/>
        <v>#VALUE!</v>
      </c>
      <c r="T44" s="141" t="e">
        <f t="shared" si="19"/>
        <v>#VALUE!</v>
      </c>
      <c r="U44" s="17" t="e">
        <v>#N/A</v>
      </c>
      <c r="V44" s="56" t="e">
        <v>#VALUE!</v>
      </c>
    </row>
    <row r="45" spans="1:22" s="3" customFormat="1" x14ac:dyDescent="0.2">
      <c r="A45" t="b">
        <v>0</v>
      </c>
      <c r="B45" s="41" t="e">
        <f>"FUT"&amp;IndexTenor&amp;_xll.qlIMMNextCodes(D44,A45)</f>
        <v>#NUM!</v>
      </c>
      <c r="C45" s="41" t="e">
        <f t="shared" si="14"/>
        <v>#NUM!</v>
      </c>
      <c r="D45" s="5" t="e">
        <f>_xll.qlRateHelperEarliestDate($C45,EvaluationDate)</f>
        <v>#VALUE!</v>
      </c>
      <c r="E45" s="5" t="e">
        <f>_xll.qlRateHelperLatestDate($C45,EvaluationDate)</f>
        <v>#VALUE!</v>
      </c>
      <c r="F45" s="110" t="e">
        <f>_xll.qlRateHelperQuoteValue($C45,SheetTrigger)</f>
        <v>#VALUE!</v>
      </c>
      <c r="G45" s="66" t="e">
        <f>_xll.qlFuturesRateHelperConvexityAdjustment($C45,SheetTrigger)</f>
        <v>#VALUE!</v>
      </c>
      <c r="H45" s="5" t="e">
        <f t="shared" si="12"/>
        <v>#VALUE!</v>
      </c>
      <c r="I45" s="7" t="b">
        <f t="shared" si="15"/>
        <v>0</v>
      </c>
      <c r="J45" s="8" t="e">
        <f t="shared" si="16"/>
        <v>#VALUE!</v>
      </c>
      <c r="K45" s="106" t="b">
        <f t="shared" si="13"/>
        <v>0</v>
      </c>
      <c r="L45" s="7" t="e">
        <f t="shared" si="1"/>
        <v>#VALUE!</v>
      </c>
      <c r="M45" s="7" t="e">
        <f t="shared" si="2"/>
        <v>#VALUE!</v>
      </c>
      <c r="N45" s="50" t="b">
        <f t="shared" si="17"/>
        <v>0</v>
      </c>
      <c r="O45" s="8" t="e">
        <f>_xll.qlInterpolationInterpolate($O$22,$H45)</f>
        <v>#NUM!</v>
      </c>
      <c r="P45" s="71" t="e">
        <f t="shared" si="7"/>
        <v>#VALUE!</v>
      </c>
      <c r="Q45" s="37" t="e">
        <f>_xll.qlDayCounterYearFraction(DayCounter,$H45,$E45)</f>
        <v>#NUM!</v>
      </c>
      <c r="R45" s="69" t="e">
        <f t="shared" si="8"/>
        <v>#NUM!</v>
      </c>
      <c r="S45" s="52" t="e">
        <f t="shared" si="18"/>
        <v>#VALUE!</v>
      </c>
      <c r="T45" s="141" t="e">
        <f t="shared" si="19"/>
        <v>#VALUE!</v>
      </c>
      <c r="U45" s="17" t="e">
        <v>#N/A</v>
      </c>
      <c r="V45" s="56" t="e">
        <v>#VALUE!</v>
      </c>
    </row>
    <row r="46" spans="1:22" s="3" customFormat="1" x14ac:dyDescent="0.2">
      <c r="A46" t="b">
        <v>0</v>
      </c>
      <c r="B46" s="41" t="e">
        <f>"FUT"&amp;IndexTenor&amp;_xll.qlIMMNextCodes(D45,A46)</f>
        <v>#NUM!</v>
      </c>
      <c r="C46" s="41" t="e">
        <f t="shared" si="14"/>
        <v>#NUM!</v>
      </c>
      <c r="D46" s="5" t="e">
        <f>_xll.qlRateHelperEarliestDate($C46,EvaluationDate)</f>
        <v>#VALUE!</v>
      </c>
      <c r="E46" s="5" t="e">
        <f>_xll.qlRateHelperLatestDate($C46,EvaluationDate)</f>
        <v>#VALUE!</v>
      </c>
      <c r="F46" s="110" t="e">
        <f>_xll.qlRateHelperQuoteValue($C46,SheetTrigger)</f>
        <v>#VALUE!</v>
      </c>
      <c r="G46" s="66" t="e">
        <f>_xll.qlFuturesRateHelperConvexityAdjustment($C46,SheetTrigger)</f>
        <v>#VALUE!</v>
      </c>
      <c r="H46" s="5" t="e">
        <f t="shared" si="12"/>
        <v>#VALUE!</v>
      </c>
      <c r="I46" s="7" t="b">
        <f t="shared" si="15"/>
        <v>0</v>
      </c>
      <c r="J46" s="8" t="e">
        <f t="shared" si="16"/>
        <v>#VALUE!</v>
      </c>
      <c r="K46" s="106" t="b">
        <f t="shared" si="13"/>
        <v>0</v>
      </c>
      <c r="L46" s="7" t="e">
        <f t="shared" si="1"/>
        <v>#VALUE!</v>
      </c>
      <c r="M46" s="7" t="e">
        <f t="shared" si="2"/>
        <v>#VALUE!</v>
      </c>
      <c r="N46" s="50" t="b">
        <f t="shared" si="17"/>
        <v>0</v>
      </c>
      <c r="O46" s="8" t="e">
        <f>_xll.qlInterpolationInterpolate($O$22,$H46)</f>
        <v>#NUM!</v>
      </c>
      <c r="P46" s="71" t="e">
        <f t="shared" si="7"/>
        <v>#VALUE!</v>
      </c>
      <c r="Q46" s="37" t="e">
        <f>_xll.qlDayCounterYearFraction(DayCounter,$H46,$E46)</f>
        <v>#NUM!</v>
      </c>
      <c r="R46" s="69" t="e">
        <f t="shared" si="8"/>
        <v>#NUM!</v>
      </c>
      <c r="S46" s="52" t="e">
        <f t="shared" si="18"/>
        <v>#VALUE!</v>
      </c>
      <c r="T46" s="141" t="e">
        <f t="shared" si="19"/>
        <v>#VALUE!</v>
      </c>
      <c r="U46" s="17" t="e">
        <v>#N/A</v>
      </c>
      <c r="V46" s="56" t="e">
        <v>#VALUE!</v>
      </c>
    </row>
    <row r="47" spans="1:22" s="3" customFormat="1" x14ac:dyDescent="0.2">
      <c r="A47" t="b">
        <v>0</v>
      </c>
      <c r="B47" s="41" t="e">
        <f>"FUT"&amp;IndexTenor&amp;_xll.qlIMMNextCodes(D46,A47)</f>
        <v>#NUM!</v>
      </c>
      <c r="C47" s="41" t="e">
        <f t="shared" si="14"/>
        <v>#NUM!</v>
      </c>
      <c r="D47" s="5" t="e">
        <f>_xll.qlRateHelperEarliestDate($C47,EvaluationDate)</f>
        <v>#VALUE!</v>
      </c>
      <c r="E47" s="5" t="e">
        <f>_xll.qlRateHelperLatestDate($C47,EvaluationDate)</f>
        <v>#VALUE!</v>
      </c>
      <c r="F47" s="110" t="e">
        <f>_xll.qlRateHelperQuoteValue($C47,SheetTrigger)</f>
        <v>#VALUE!</v>
      </c>
      <c r="G47" s="66" t="e">
        <f>_xll.qlFuturesRateHelperConvexityAdjustment($C47,SheetTrigger)</f>
        <v>#VALUE!</v>
      </c>
      <c r="H47" s="5" t="e">
        <f t="shared" si="12"/>
        <v>#VALUE!</v>
      </c>
      <c r="I47" s="7" t="b">
        <f t="shared" si="15"/>
        <v>0</v>
      </c>
      <c r="J47" s="8" t="e">
        <f t="shared" si="16"/>
        <v>#VALUE!</v>
      </c>
      <c r="K47" s="106" t="b">
        <f t="shared" si="13"/>
        <v>0</v>
      </c>
      <c r="L47" s="7" t="e">
        <f t="shared" si="1"/>
        <v>#VALUE!</v>
      </c>
      <c r="M47" s="7" t="e">
        <f t="shared" si="2"/>
        <v>#VALUE!</v>
      </c>
      <c r="N47" s="50" t="b">
        <f t="shared" si="17"/>
        <v>0</v>
      </c>
      <c r="O47" s="8" t="e">
        <f>_xll.qlInterpolationInterpolate($O$22,$H47)</f>
        <v>#NUM!</v>
      </c>
      <c r="P47" s="71" t="e">
        <f t="shared" si="7"/>
        <v>#VALUE!</v>
      </c>
      <c r="Q47" s="37" t="e">
        <f>_xll.qlDayCounterYearFraction(DayCounter,$H47,$E47)</f>
        <v>#NUM!</v>
      </c>
      <c r="R47" s="69" t="e">
        <f t="shared" si="8"/>
        <v>#NUM!</v>
      </c>
      <c r="S47" s="52" t="e">
        <f t="shared" si="18"/>
        <v>#VALUE!</v>
      </c>
      <c r="T47" s="141" t="e">
        <f t="shared" si="19"/>
        <v>#VALUE!</v>
      </c>
      <c r="U47" s="17" t="e">
        <v>#N/A</v>
      </c>
      <c r="V47" s="56" t="e">
        <v>#VALUE!</v>
      </c>
    </row>
    <row r="48" spans="1:22" s="3" customFormat="1" x14ac:dyDescent="0.2">
      <c r="A48" t="b">
        <v>0</v>
      </c>
      <c r="B48" s="41" t="e">
        <f>"FUT"&amp;IndexTenor&amp;_xll.qlIMMNextCodes(D47,A48)</f>
        <v>#NUM!</v>
      </c>
      <c r="C48" s="41" t="e">
        <f t="shared" si="14"/>
        <v>#NUM!</v>
      </c>
      <c r="D48" s="5" t="e">
        <f>_xll.qlRateHelperEarliestDate($C48,EvaluationDate)</f>
        <v>#VALUE!</v>
      </c>
      <c r="E48" s="5" t="e">
        <f>_xll.qlRateHelperLatestDate($C48,EvaluationDate)</f>
        <v>#VALUE!</v>
      </c>
      <c r="F48" s="110" t="e">
        <f>_xll.qlRateHelperQuoteValue($C48,SheetTrigger)</f>
        <v>#VALUE!</v>
      </c>
      <c r="G48" s="66" t="e">
        <f>_xll.qlFuturesRateHelperConvexityAdjustment($C48,SheetTrigger)</f>
        <v>#VALUE!</v>
      </c>
      <c r="H48" s="5" t="e">
        <f t="shared" si="12"/>
        <v>#VALUE!</v>
      </c>
      <c r="I48" s="7" t="b">
        <f t="shared" si="15"/>
        <v>0</v>
      </c>
      <c r="J48" s="8" t="e">
        <f t="shared" si="16"/>
        <v>#VALUE!</v>
      </c>
      <c r="K48" s="106" t="b">
        <f t="shared" si="13"/>
        <v>0</v>
      </c>
      <c r="L48" s="7" t="e">
        <f t="shared" si="1"/>
        <v>#VALUE!</v>
      </c>
      <c r="M48" s="7" t="e">
        <f t="shared" si="2"/>
        <v>#VALUE!</v>
      </c>
      <c r="N48" s="50" t="b">
        <f t="shared" si="17"/>
        <v>0</v>
      </c>
      <c r="O48" s="8" t="e">
        <f>_xll.qlInterpolationInterpolate($O$22,$H48)</f>
        <v>#NUM!</v>
      </c>
      <c r="P48" s="71" t="e">
        <f t="shared" si="7"/>
        <v>#VALUE!</v>
      </c>
      <c r="Q48" s="37" t="e">
        <f>_xll.qlDayCounterYearFraction(DayCounter,$H48,$E48)</f>
        <v>#NUM!</v>
      </c>
      <c r="R48" s="69" t="e">
        <f t="shared" si="8"/>
        <v>#NUM!</v>
      </c>
      <c r="S48" s="52" t="e">
        <f t="shared" si="18"/>
        <v>#VALUE!</v>
      </c>
      <c r="T48" s="141" t="e">
        <f t="shared" si="19"/>
        <v>#VALUE!</v>
      </c>
      <c r="U48" s="17" t="e">
        <v>#N/A</v>
      </c>
      <c r="V48" s="56" t="e">
        <v>#VALUE!</v>
      </c>
    </row>
    <row r="49" spans="1:22" s="3" customFormat="1" x14ac:dyDescent="0.2">
      <c r="A49" t="b">
        <v>0</v>
      </c>
      <c r="B49" s="42" t="e">
        <f>"FUT"&amp;IndexTenor&amp;_xll.qlIMMNextCodes(D48,A49)</f>
        <v>#NUM!</v>
      </c>
      <c r="C49" s="42" t="e">
        <f t="shared" si="14"/>
        <v>#NUM!</v>
      </c>
      <c r="D49" s="43" t="e">
        <f>_xll.qlRateHelperEarliestDate($C49,EvaluationDate)</f>
        <v>#VALUE!</v>
      </c>
      <c r="E49" s="43" t="e">
        <f>_xll.qlRateHelperLatestDate($C49,EvaluationDate)</f>
        <v>#VALUE!</v>
      </c>
      <c r="F49" s="111" t="e">
        <f>_xll.qlRateHelperQuoteValue($C49,SheetTrigger)</f>
        <v>#VALUE!</v>
      </c>
      <c r="G49" s="68" t="e">
        <f>_xll.qlFuturesRateHelperConvexityAdjustment($C49,SheetTrigger)</f>
        <v>#VALUE!</v>
      </c>
      <c r="H49" s="43" t="e">
        <f t="shared" si="12"/>
        <v>#VALUE!</v>
      </c>
      <c r="I49" s="21" t="b">
        <f t="shared" si="15"/>
        <v>0</v>
      </c>
      <c r="J49" s="19" t="e">
        <f t="shared" si="16"/>
        <v>#VALUE!</v>
      </c>
      <c r="K49" s="107" t="b">
        <f t="shared" si="13"/>
        <v>0</v>
      </c>
      <c r="L49" s="21" t="e">
        <f t="shared" si="1"/>
        <v>#VALUE!</v>
      </c>
      <c r="M49" s="21" t="e">
        <f t="shared" si="2"/>
        <v>#VALUE!</v>
      </c>
      <c r="N49" s="32" t="b">
        <f t="shared" si="17"/>
        <v>0</v>
      </c>
      <c r="O49" s="19" t="e">
        <f>_xll.qlInterpolationInterpolate($O$22,$H49)</f>
        <v>#NUM!</v>
      </c>
      <c r="P49" s="72" t="e">
        <f t="shared" si="7"/>
        <v>#VALUE!</v>
      </c>
      <c r="Q49" s="38" t="e">
        <f>_xll.qlDayCounterYearFraction(DayCounter,$H49,$E49)</f>
        <v>#NUM!</v>
      </c>
      <c r="R49" s="82" t="e">
        <f t="shared" si="8"/>
        <v>#NUM!</v>
      </c>
      <c r="S49" s="53" t="e">
        <f t="shared" si="18"/>
        <v>#VALUE!</v>
      </c>
      <c r="T49" s="140" t="e">
        <f t="shared" si="19"/>
        <v>#VALUE!</v>
      </c>
      <c r="U49" s="20" t="e">
        <v>#N/A</v>
      </c>
      <c r="V49" s="57" t="e">
        <v>#VALUE!</v>
      </c>
    </row>
    <row r="52" spans="1:22" x14ac:dyDescent="0.2">
      <c r="K52" s="10"/>
      <c r="Q52" s="9"/>
      <c r="R52" s="10"/>
      <c r="T52" s="11"/>
      <c r="U52" s="3"/>
    </row>
    <row r="53" spans="1:22" x14ac:dyDescent="0.2">
      <c r="K53" s="10"/>
      <c r="Q53" s="9"/>
      <c r="R53" s="10"/>
      <c r="T53" s="11"/>
      <c r="U53" s="3"/>
    </row>
    <row r="54" spans="1:22" x14ac:dyDescent="0.2">
      <c r="K54" s="10"/>
      <c r="Q54" s="9"/>
      <c r="R54" s="10"/>
      <c r="T54" s="11"/>
      <c r="U54" s="3"/>
    </row>
    <row r="55" spans="1:22" x14ac:dyDescent="0.2">
      <c r="K55" s="10"/>
      <c r="Q55" s="9"/>
      <c r="R55" s="10"/>
      <c r="T55" s="11"/>
      <c r="U55" s="3"/>
    </row>
    <row r="56" spans="1:22" x14ac:dyDescent="0.2">
      <c r="K56" s="10"/>
      <c r="Q56" s="9"/>
      <c r="R56" s="10"/>
      <c r="T56" s="11"/>
      <c r="U56" s="3"/>
    </row>
    <row r="57" spans="1:22" x14ac:dyDescent="0.2">
      <c r="K57" s="10"/>
      <c r="Q57" s="9"/>
      <c r="R57" s="10"/>
      <c r="T57" s="11"/>
      <c r="U57" s="3"/>
    </row>
    <row r="58" spans="1:22" x14ac:dyDescent="0.2">
      <c r="K58" s="10"/>
      <c r="Q58" s="9"/>
      <c r="R58" s="10"/>
      <c r="T58" s="11"/>
      <c r="U58" s="3"/>
    </row>
    <row r="59" spans="1:22" x14ac:dyDescent="0.2">
      <c r="K59" s="10"/>
      <c r="Q59" s="9"/>
      <c r="R59" s="10"/>
      <c r="T59" s="11"/>
      <c r="U59" s="3"/>
    </row>
    <row r="60" spans="1:22" x14ac:dyDescent="0.2">
      <c r="K60" s="10"/>
      <c r="Q60" s="9"/>
      <c r="R60" s="10"/>
      <c r="T60" s="11"/>
      <c r="U60" s="3"/>
    </row>
    <row r="61" spans="1:22" x14ac:dyDescent="0.2">
      <c r="K61" s="10"/>
      <c r="Q61" s="9"/>
      <c r="R61" s="10"/>
      <c r="T61" s="11"/>
      <c r="U61" s="3"/>
    </row>
    <row r="62" spans="1:22" x14ac:dyDescent="0.2">
      <c r="K62" s="10"/>
      <c r="Q62" s="9"/>
      <c r="R62" s="10"/>
      <c r="T62" s="11"/>
      <c r="U62" s="3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8"/>
  <sheetViews>
    <sheetView topLeftCell="B1" workbookViewId="0">
      <selection activeCell="B1" sqref="B1"/>
    </sheetView>
  </sheetViews>
  <sheetFormatPr defaultRowHeight="11.25" x14ac:dyDescent="0.2"/>
  <cols>
    <col min="1" max="1" width="13.83203125" style="3" hidden="1" customWidth="1"/>
    <col min="2" max="2" width="17.6640625" style="3" bestFit="1" customWidth="1"/>
    <col min="3" max="3" width="23.6640625" style="3" bestFit="1" customWidth="1"/>
    <col min="4" max="5" width="16.5" style="3" bestFit="1" customWidth="1"/>
    <col min="6" max="6" width="8.83203125" style="3" bestFit="1" customWidth="1"/>
    <col min="7" max="7" width="8.33203125" style="3" bestFit="1" customWidth="1"/>
    <col min="8" max="8" width="16.5" style="3" bestFit="1" customWidth="1"/>
    <col min="9" max="9" width="6.6640625" style="3" bestFit="1" customWidth="1"/>
    <col min="10" max="10" width="8.33203125" style="3" bestFit="1" customWidth="1"/>
    <col min="11" max="14" width="6.6640625" style="3" bestFit="1" customWidth="1"/>
    <col min="15" max="15" width="14.6640625" style="3" bestFit="1" customWidth="1"/>
    <col min="16" max="16" width="7" style="3" bestFit="1" customWidth="1"/>
    <col min="17" max="17" width="9.5" style="3" bestFit="1" customWidth="1"/>
    <col min="18" max="18" width="11.33203125" style="3" bestFit="1" customWidth="1"/>
    <col min="19" max="19" width="8.33203125" style="3" bestFit="1" customWidth="1"/>
    <col min="20" max="20" width="14.1640625" style="3" customWidth="1"/>
    <col min="21" max="21" width="16.5" style="3" bestFit="1" customWidth="1"/>
    <col min="22" max="22" width="9" style="3" bestFit="1" customWidth="1"/>
    <col min="23" max="16384" width="9.33203125" style="3"/>
  </cols>
  <sheetData>
    <row r="1" spans="1:18" customFormat="1" x14ac:dyDescent="0.2">
      <c r="O1" s="79" t="s">
        <v>35</v>
      </c>
    </row>
    <row r="2" spans="1:18" customFormat="1" x14ac:dyDescent="0.2">
      <c r="O2" s="3" t="b">
        <v>0</v>
      </c>
    </row>
    <row r="3" spans="1:18" customFormat="1" x14ac:dyDescent="0.2"/>
    <row r="4" spans="1:18" customFormat="1" x14ac:dyDescent="0.2"/>
    <row r="5" spans="1:18" customFormat="1" x14ac:dyDescent="0.2"/>
    <row r="6" spans="1:18" customFormat="1" x14ac:dyDescent="0.2"/>
    <row r="7" spans="1:18" customFormat="1" x14ac:dyDescent="0.2">
      <c r="Q7" s="282"/>
    </row>
    <row r="8" spans="1:18" customFormat="1" x14ac:dyDescent="0.2">
      <c r="A8">
        <v>3</v>
      </c>
      <c r="B8" t="str">
        <f>"AB"&amp;Months&amp;"E"&amp;A8&amp;"Y"</f>
        <v>AB3E3Y</v>
      </c>
      <c r="C8" t="str">
        <f>RateHelperPrefix&amp;$B8</f>
        <v>GBP_YC3MRH_AB3E3Y</v>
      </c>
      <c r="F8" s="163" t="e">
        <f>_xll.qlRateHelperQuoteValue(C8,SheetTrigger)</f>
        <v>#NUM!</v>
      </c>
    </row>
    <row r="9" spans="1:18" customFormat="1" x14ac:dyDescent="0.2">
      <c r="A9">
        <v>4</v>
      </c>
      <c r="B9" t="str">
        <f>"AB"&amp;Months&amp;"E"&amp;A9&amp;"Y"</f>
        <v>AB3E4Y</v>
      </c>
      <c r="C9" t="str">
        <f>RateHelperPrefix&amp;$B9</f>
        <v>GBP_YC3MRH_AB3E4Y</v>
      </c>
      <c r="F9" s="163" t="e">
        <f>_xll.qlRateHelperQuoteValue(C9,SheetTrigger)</f>
        <v>#NUM!</v>
      </c>
    </row>
    <row r="10" spans="1:18" customFormat="1" x14ac:dyDescent="0.2">
      <c r="A10">
        <v>5</v>
      </c>
      <c r="B10" t="str">
        <f>"AB"&amp;Months&amp;"E"&amp;A10&amp;"Y"</f>
        <v>AB3E5Y</v>
      </c>
      <c r="C10" t="str">
        <f>RateHelperPrefix&amp;$B10</f>
        <v>GBP_YC3MRH_AB3E5Y</v>
      </c>
      <c r="F10" s="163" t="e">
        <f>_xll.qlRateHelperQuoteValue(C10,SheetTrigger)</f>
        <v>#NUM!</v>
      </c>
    </row>
    <row r="11" spans="1:18" customFormat="1" x14ac:dyDescent="0.2"/>
    <row r="12" spans="1:18" customFormat="1" x14ac:dyDescent="0.2">
      <c r="R12" s="3"/>
    </row>
    <row r="13" spans="1:18" customFormat="1" x14ac:dyDescent="0.2">
      <c r="R13" s="3"/>
    </row>
    <row r="14" spans="1:18" customFormat="1" x14ac:dyDescent="0.2">
      <c r="R14" s="3"/>
    </row>
    <row r="15" spans="1:18" customFormat="1" x14ac:dyDescent="0.2"/>
    <row r="16" spans="1:18" customFormat="1" x14ac:dyDescent="0.2"/>
    <row r="17" spans="1:22" customFormat="1" x14ac:dyDescent="0.2"/>
    <row r="18" spans="1:22" customFormat="1" x14ac:dyDescent="0.2"/>
    <row r="19" spans="1:22" customFormat="1" x14ac:dyDescent="0.2">
      <c r="K19" s="3"/>
    </row>
    <row r="20" spans="1:22" x14ac:dyDescent="0.2">
      <c r="A20" s="79">
        <v>3</v>
      </c>
      <c r="B20" s="26"/>
      <c r="G20" s="26"/>
      <c r="J20" s="26"/>
      <c r="L20" s="26"/>
      <c r="M20" s="7"/>
      <c r="N20" s="26"/>
      <c r="O20" s="22"/>
      <c r="P20" s="81" t="e">
        <f>IF(ISBLANK($O20),AVERAGE(_xll.ohFilter($P23:$P33,$L23:$L33)),$O20)</f>
        <v>#NUM!</v>
      </c>
      <c r="Q20" s="269" t="e">
        <f>'1M'!TOY</f>
        <v>#NUM!</v>
      </c>
      <c r="R20" s="267" t="e">
        <f>IF(ISBLANK($Q20),MIN(AVERAGE(_xll.ohFilter($R23:$R33,$L23:$L33)),1),$Q20)</f>
        <v>#NUM!</v>
      </c>
      <c r="S20" s="98" t="s">
        <v>12</v>
      </c>
      <c r="T20" s="26"/>
      <c r="U20" s="2" t="str">
        <f>_xll.qlInterpolation(,FwdInterpolationType,_xll.ohFilter($H23:$H52,$K23:$K52),_xll.ohFilter($S23:$S52,$K23:$K52))</f>
        <v>obj_005e4#0000</v>
      </c>
    </row>
    <row r="21" spans="1:22" x14ac:dyDescent="0.2">
      <c r="A21" s="261" t="str">
        <f>_xll.qlPeriodEquivalent(A20&amp;"M")</f>
        <v>3M</v>
      </c>
      <c r="B21" s="26"/>
      <c r="D21" s="26"/>
      <c r="E21" s="26"/>
      <c r="G21" s="26"/>
      <c r="J21" s="26"/>
      <c r="L21" s="26"/>
      <c r="M21" s="7"/>
      <c r="N21" s="26"/>
      <c r="O21" s="42"/>
      <c r="P21" s="82">
        <f>IF(ISBLANK($O21),AVERAGE(_xll.ohFilter($P23:$P33,$M23:$M33)),$O21)</f>
        <v>-1.8665817691828485E-6</v>
      </c>
      <c r="Q21" s="270"/>
      <c r="R21" s="268">
        <f>IF(ISBLANK($Q21),MIN(AVERAGE(_xll.ohFilter($R23:$R33,$M23:$M33)),1),$Q21)</f>
        <v>1</v>
      </c>
      <c r="S21" s="99" t="s">
        <v>17</v>
      </c>
      <c r="T21" s="26"/>
      <c r="U21" s="4" t="str">
        <f>_xll.qlInterpolation(,FwdInterpolationType,_xll.ohFilter($H23:$H41,$K23:$K41),_xll.ohFilter($S23:$S41,$K23:$K41))</f>
        <v>obj_005e5#0000</v>
      </c>
      <c r="V21" s="33"/>
    </row>
    <row r="22" spans="1:22" x14ac:dyDescent="0.2">
      <c r="A22" s="26" t="str">
        <f>Currency&amp;"_YC"&amp;IndexTenor&amp;"RH_"</f>
        <v>GBP_YC3MRH_</v>
      </c>
      <c r="B22" s="80">
        <v>0</v>
      </c>
      <c r="C22" s="100" t="s">
        <v>6</v>
      </c>
      <c r="D22" s="105" t="s">
        <v>5</v>
      </c>
      <c r="E22" s="102" t="s">
        <v>4</v>
      </c>
      <c r="F22" s="100" t="s">
        <v>27</v>
      </c>
      <c r="G22" s="101"/>
      <c r="H22" s="102" t="s">
        <v>25</v>
      </c>
      <c r="I22" s="105" t="s">
        <v>30</v>
      </c>
      <c r="J22" s="105" t="s">
        <v>28</v>
      </c>
      <c r="K22" s="29" t="s">
        <v>31</v>
      </c>
      <c r="L22" s="105" t="s">
        <v>26</v>
      </c>
      <c r="M22" s="105" t="s">
        <v>17</v>
      </c>
      <c r="N22" s="103" t="s">
        <v>29</v>
      </c>
      <c r="O22" s="126" t="str">
        <f>_xll.qlInterpolation(,FwdInterpolationType,_xll.ohFilter($H23:$H41,$N23:$N41),_xll.ohFilter($J23:$J41,$N23:$N41))</f>
        <v>obj_005e3#0000</v>
      </c>
      <c r="P22" s="127" t="s">
        <v>8</v>
      </c>
      <c r="Q22" s="127" t="s">
        <v>9</v>
      </c>
      <c r="R22" s="108" t="s">
        <v>10</v>
      </c>
      <c r="S22" s="128" t="s">
        <v>32</v>
      </c>
      <c r="T22" s="129" t="s">
        <v>8</v>
      </c>
      <c r="U22" s="115">
        <f>D23</f>
        <v>41684</v>
      </c>
      <c r="V22" s="116">
        <f>_xll.qlInterpolationInterpolate(ExtFwdInterpolator,U22,TRUE)</f>
        <v>5.1180000000000002E-3</v>
      </c>
    </row>
    <row r="23" spans="1:22" x14ac:dyDescent="0.2">
      <c r="A23" s="48">
        <f>_xll.ohTrigger(Triggers!TriggerTOY3M,EvaluationDate)</f>
        <v>0</v>
      </c>
      <c r="B23" s="133" t="str">
        <f>IndexTenor&amp;"D"</f>
        <v>3MD</v>
      </c>
      <c r="C23" s="15" t="str">
        <f t="shared" ref="C23:C41" si="0">RateHelperPrefix&amp;$B23</f>
        <v>GBP_YC3MRH_3MD</v>
      </c>
      <c r="D23" s="58">
        <f>_xll.qlRateHelperEarliestDate($C23,EvaluationDate)</f>
        <v>41684</v>
      </c>
      <c r="E23" s="58">
        <f>_xll.qlRateHelperLatestDate($C23,EvaluationDate)</f>
        <v>41773</v>
      </c>
      <c r="F23" s="59">
        <f>_xll.qlRateHelperQuoteValue($C23,SheetTrigger)</f>
        <v>5.1180000000000002E-3</v>
      </c>
      <c r="G23" s="136"/>
      <c r="H23" s="58">
        <f>$D23</f>
        <v>41684</v>
      </c>
      <c r="I23" s="132" t="b">
        <v>1</v>
      </c>
      <c r="J23" s="13">
        <f>F23</f>
        <v>5.1180000000000002E-3</v>
      </c>
      <c r="K23" s="106" t="b">
        <f t="shared" ref="K23:K35" si="1">AND(ISNUMBER(J23),I23)</f>
        <v>1</v>
      </c>
      <c r="L23" s="22" t="b">
        <f t="shared" ref="L23:L52" si="2">NOT(OR($H23&gt;LastDayInYear,$E23&lt;=LastDayInYear))</f>
        <v>0</v>
      </c>
      <c r="M23" s="15" t="b">
        <f t="shared" ref="M23:M52" si="3">NOT(OR($H23&gt;LastDayInNextYear,$E23&lt;=LastDayInNextYear))</f>
        <v>0</v>
      </c>
      <c r="N23" s="135" t="b">
        <v>0</v>
      </c>
      <c r="O23" s="55" t="e">
        <f>_xll.qlInterpolationInterpolate($O$22,$H23)</f>
        <v>#NUM!</v>
      </c>
      <c r="P23" s="70" t="e">
        <f>$J23-$O23</f>
        <v>#NUM!</v>
      </c>
      <c r="Q23" s="36">
        <f>_xll.qlDayCounterYearFraction(DayCounter,$H23,$E23)</f>
        <v>0.24722222222222223</v>
      </c>
      <c r="R23" s="89" t="e">
        <f>(1+$O23*$Q23)/(1+$J23*$Q23)</f>
        <v>#NUM!</v>
      </c>
      <c r="S23" s="47">
        <f t="shared" ref="S23:S41" si="4">IF($L23,(TOY*(1+$J23*$Q23)-1)/$Q23,IF($M23,(_TOY2*(1+$J23*$Q23)-1)/$Q23,$J23))</f>
        <v>5.1180000000000002E-3</v>
      </c>
      <c r="T23" s="169">
        <f>S23-J23</f>
        <v>0</v>
      </c>
      <c r="U23" s="14">
        <f t="array" ref="U23:U52">SelectionSort(_xll.ohFilter(H23:H52,K23:K52))</f>
        <v>41684</v>
      </c>
      <c r="V23" s="175">
        <f t="array" ref="V23:V52">_xll.qlInterpolationInterpolate(ExtFwdInterpolator,_xll.ohPack(U23:U52))</f>
        <v>5.1180000000000002E-3</v>
      </c>
    </row>
    <row r="24" spans="1:22" x14ac:dyDescent="0.2">
      <c r="A24" s="48" t="str">
        <f>PROPER(Currency)&amp;IF(UPPER(Currency)&lt;&gt;"EUR","L","")&amp;"ibor"&amp;IndexTenor</f>
        <v>GbpLibor3M</v>
      </c>
      <c r="B24" s="134" t="s">
        <v>33</v>
      </c>
      <c r="C24" s="21" t="str">
        <f>A24&amp;B24&amp;"_Quote"</f>
        <v>GbpLibor3MLastFixing_Quote</v>
      </c>
      <c r="D24" s="138">
        <f>_xll.qlCalendarAdvance(Calendar,_xll.qlLastFixingQuoteReferenceDate(C24),"2D","f",,SheetTrigger)</f>
        <v>41466</v>
      </c>
      <c r="E24" s="138">
        <f>_xll.qlCalendarAdvance(Calendar,D24,IndexTenor,"Modified Following",TRUE,SheetTrigger)</f>
        <v>41558</v>
      </c>
      <c r="F24" s="54">
        <f>_xll.qlQuoteValue(C24,SheetTrigger)</f>
        <v>5.0812999999999995E-3</v>
      </c>
      <c r="G24" s="137"/>
      <c r="H24" s="43">
        <f>H23</f>
        <v>41684</v>
      </c>
      <c r="I24" s="130" t="b">
        <v>0</v>
      </c>
      <c r="J24" s="19">
        <f>F24</f>
        <v>5.0812999999999995E-3</v>
      </c>
      <c r="K24" s="107" t="b">
        <f t="shared" si="1"/>
        <v>0</v>
      </c>
      <c r="L24" s="27" t="b">
        <f t="shared" si="2"/>
        <v>0</v>
      </c>
      <c r="M24" s="21" t="b">
        <f t="shared" si="3"/>
        <v>0</v>
      </c>
      <c r="N24" s="131" t="b">
        <v>0</v>
      </c>
      <c r="O24" s="51" t="e">
        <f>_xll.qlInterpolationInterpolate($O$22,$H24)</f>
        <v>#NUM!</v>
      </c>
      <c r="P24" s="72" t="e">
        <f>$J24-$O24</f>
        <v>#NUM!</v>
      </c>
      <c r="Q24" s="38">
        <f>_xll.qlDayCounterYearFraction(DayCounter,$H24,$E24)</f>
        <v>-0.35</v>
      </c>
      <c r="R24" s="91" t="e">
        <f>(1+$O24*$Q24)/(1+$J24*$Q24)</f>
        <v>#NUM!</v>
      </c>
      <c r="S24" s="31">
        <f t="shared" si="4"/>
        <v>5.0812999999999995E-3</v>
      </c>
      <c r="T24" s="170">
        <f>S24-J24</f>
        <v>0</v>
      </c>
      <c r="U24" s="17">
        <v>41689</v>
      </c>
      <c r="V24" s="56">
        <v>5.1498869415273641E-3</v>
      </c>
    </row>
    <row r="25" spans="1:22" x14ac:dyDescent="0.2">
      <c r="A25" s="48" t="b">
        <v>0</v>
      </c>
      <c r="B25" s="86" t="str">
        <f>"FUT"&amp;IndexTenor&amp;_xll.qlIMMNextCodes(SettlementDate+$B$22,A25)</f>
        <v>FUT3MG4</v>
      </c>
      <c r="C25" s="26" t="str">
        <f t="shared" si="0"/>
        <v>GBP_YC3MRH_FUT3MG4</v>
      </c>
      <c r="D25" s="5">
        <f>_xll.qlRateHelperEarliestDate($C25,EvaluationDate)</f>
        <v>41689</v>
      </c>
      <c r="E25" s="5">
        <f>_xll.qlRateHelperLatestDate($C25,EvaluationDate)</f>
        <v>41778</v>
      </c>
      <c r="F25" s="67">
        <f>_xll.qlRateHelperQuoteValue($C25,SheetTrigger)</f>
        <v>99.484999999999999</v>
      </c>
      <c r="G25" s="66">
        <f>_xll.qlFuturesRateHelperConvexityAdjustment($C25,SheetTrigger)</f>
        <v>1.1305847262365057E-7</v>
      </c>
      <c r="H25" s="5">
        <f>$D25</f>
        <v>41689</v>
      </c>
      <c r="I25" s="7" t="b">
        <v>1</v>
      </c>
      <c r="J25" s="8">
        <f>1-$F25/100-$G25</f>
        <v>5.1498869415273641E-3</v>
      </c>
      <c r="K25" s="106" t="b">
        <f t="shared" si="1"/>
        <v>1</v>
      </c>
      <c r="L25" s="6" t="b">
        <f t="shared" si="2"/>
        <v>0</v>
      </c>
      <c r="M25" s="7" t="b">
        <f t="shared" si="3"/>
        <v>0</v>
      </c>
      <c r="N25" s="50" t="b">
        <f t="shared" ref="N25:N41" si="5">IF(K25,AND(NOT($L25),NOT($M25)),FALSE)</f>
        <v>1</v>
      </c>
      <c r="O25" s="49">
        <f>_xll.qlInterpolationInterpolate($O$22,$H25)</f>
        <v>5.1498869415273641E-3</v>
      </c>
      <c r="P25" s="71">
        <f t="shared" ref="P25:P52" si="6">$J25-$O25</f>
        <v>0</v>
      </c>
      <c r="Q25" s="37">
        <f>_xll.qlDayCounterYearFraction(DayCounter,$H25,$E25)</f>
        <v>0.24722222222222223</v>
      </c>
      <c r="R25" s="90">
        <f t="shared" ref="R25:R52" si="7">(1+$O25*$Q25)/(1+$J25*$Q25)</f>
        <v>1</v>
      </c>
      <c r="S25" s="39">
        <f t="shared" si="4"/>
        <v>5.1498869415273641E-3</v>
      </c>
      <c r="T25" s="173">
        <f>S25-J25</f>
        <v>0</v>
      </c>
      <c r="U25" s="17">
        <v>42081</v>
      </c>
      <c r="V25" s="56">
        <v>5.2223365676554541E-3</v>
      </c>
    </row>
    <row r="26" spans="1:22" x14ac:dyDescent="0.2">
      <c r="A26" s="114" t="b">
        <f>IF(ISERROR(FIND(LEFT(_xll.qlIMMcode(D25),1),"HMUZ")),TRUE,FALSE)</f>
        <v>1</v>
      </c>
      <c r="B26" s="86" t="str">
        <f>"FUT"&amp;IndexTenor&amp;_xll.qlIMMNextCodes(D25,A26)</f>
        <v>FUT3MH4</v>
      </c>
      <c r="C26" s="26" t="str">
        <f t="shared" si="0"/>
        <v>GBP_YC3MRH_FUT3MH4</v>
      </c>
      <c r="D26" s="5">
        <f>_xll.qlRateHelperEarliestDate($C26,EvaluationDate)</f>
        <v>41717</v>
      </c>
      <c r="E26" s="5">
        <f>_xll.qlRateHelperLatestDate($C26,EvaluationDate)</f>
        <v>41809</v>
      </c>
      <c r="F26" s="67" t="e">
        <f>_xll.qlRateHelperQuoteValue($C26,SheetTrigger)</f>
        <v>#NUM!</v>
      </c>
      <c r="G26" s="66" t="e">
        <f>_xll.qlFuturesRateHelperConvexityAdjustment($C26,SheetTrigger)</f>
        <v>#NUM!</v>
      </c>
      <c r="H26" s="5">
        <f t="shared" ref="H26:H41" si="8">$D26</f>
        <v>41717</v>
      </c>
      <c r="I26" s="7" t="b">
        <v>1</v>
      </c>
      <c r="J26" s="8" t="e">
        <f t="shared" ref="J26:J33" si="9">1-$F26/100-$G26</f>
        <v>#NUM!</v>
      </c>
      <c r="K26" s="106" t="b">
        <f t="shared" si="1"/>
        <v>0</v>
      </c>
      <c r="L26" s="6" t="b">
        <f t="shared" si="2"/>
        <v>0</v>
      </c>
      <c r="M26" s="7" t="b">
        <f t="shared" si="3"/>
        <v>0</v>
      </c>
      <c r="N26" s="50" t="b">
        <f t="shared" si="5"/>
        <v>0</v>
      </c>
      <c r="O26" s="49">
        <f>_xll.qlInterpolationInterpolate($O$22,$H26)</f>
        <v>5.1499133444523381E-3</v>
      </c>
      <c r="P26" s="71" t="e">
        <f t="shared" si="6"/>
        <v>#NUM!</v>
      </c>
      <c r="Q26" s="37">
        <f>_xll.qlDayCounterYearFraction(DayCounter,$H26,$E26)</f>
        <v>0.25555555555555554</v>
      </c>
      <c r="R26" s="90" t="e">
        <f t="shared" si="7"/>
        <v>#NUM!</v>
      </c>
      <c r="S26" s="39" t="e">
        <f t="shared" si="4"/>
        <v>#NUM!</v>
      </c>
      <c r="T26" s="173" t="e">
        <f>S26-J26</f>
        <v>#NUM!</v>
      </c>
      <c r="U26" s="17">
        <v>42172</v>
      </c>
      <c r="V26" s="56">
        <v>5.4109523221271766E-3</v>
      </c>
    </row>
    <row r="27" spans="1:22" x14ac:dyDescent="0.2">
      <c r="A27" t="b">
        <v>1</v>
      </c>
      <c r="B27" s="86" t="str">
        <f>"FUT"&amp;IndexTenor&amp;_xll.qlIMMNextCodes(D26,A27)</f>
        <v>FUT3MM4</v>
      </c>
      <c r="C27" s="26" t="str">
        <f t="shared" si="0"/>
        <v>GBP_YC3MRH_FUT3MM4</v>
      </c>
      <c r="D27" s="5">
        <f>_xll.qlRateHelperEarliestDate($C27,EvaluationDate)</f>
        <v>41808</v>
      </c>
      <c r="E27" s="5">
        <f>_xll.qlRateHelperLatestDate($C27,EvaluationDate)</f>
        <v>41900</v>
      </c>
      <c r="F27" s="67" t="e">
        <f>_xll.qlRateHelperQuoteValue($C27,SheetTrigger)</f>
        <v>#NUM!</v>
      </c>
      <c r="G27" s="66" t="e">
        <f>_xll.qlFuturesRateHelperConvexityAdjustment($C27,SheetTrigger)</f>
        <v>#NUM!</v>
      </c>
      <c r="H27" s="5">
        <f t="shared" si="8"/>
        <v>41808</v>
      </c>
      <c r="I27" s="7" t="b">
        <v>1</v>
      </c>
      <c r="J27" s="8" t="e">
        <f t="shared" si="9"/>
        <v>#NUM!</v>
      </c>
      <c r="K27" s="106" t="b">
        <f t="shared" si="1"/>
        <v>0</v>
      </c>
      <c r="L27" s="6" t="b">
        <f t="shared" si="2"/>
        <v>0</v>
      </c>
      <c r="M27" s="7" t="b">
        <f t="shared" si="3"/>
        <v>0</v>
      </c>
      <c r="N27" s="50" t="b">
        <f t="shared" si="5"/>
        <v>0</v>
      </c>
      <c r="O27" s="49">
        <f>_xll.qlInterpolationInterpolate($O$22,$H27)</f>
        <v>5.1519137785648057E-3</v>
      </c>
      <c r="P27" s="71" t="e">
        <f t="shared" si="6"/>
        <v>#NUM!</v>
      </c>
      <c r="Q27" s="37">
        <f>_xll.qlDayCounterYearFraction(DayCounter,$H27,$E27)</f>
        <v>0.25555555555555554</v>
      </c>
      <c r="R27" s="90" t="e">
        <f t="shared" si="7"/>
        <v>#NUM!</v>
      </c>
      <c r="S27" s="39" t="e">
        <f t="shared" si="4"/>
        <v>#NUM!</v>
      </c>
      <c r="T27" s="173" t="e">
        <f t="shared" ref="T27:T43" si="10">S27-J27</f>
        <v>#NUM!</v>
      </c>
      <c r="U27" s="17">
        <v>42263</v>
      </c>
      <c r="V27" s="56">
        <v>5.7979089136822089E-3</v>
      </c>
    </row>
    <row r="28" spans="1:22" x14ac:dyDescent="0.2">
      <c r="A28" t="b">
        <v>1</v>
      </c>
      <c r="B28" s="86" t="str">
        <f>"FUT"&amp;IndexTenor&amp;_xll.qlIMMNextCodes(D27,A28)</f>
        <v>FUT3MU4</v>
      </c>
      <c r="C28" s="26" t="str">
        <f t="shared" si="0"/>
        <v>GBP_YC3MRH_FUT3MU4</v>
      </c>
      <c r="D28" s="5">
        <f>_xll.qlRateHelperEarliestDate($C28,EvaluationDate)</f>
        <v>41899</v>
      </c>
      <c r="E28" s="5">
        <f>_xll.qlRateHelperLatestDate($C28,EvaluationDate)</f>
        <v>41990</v>
      </c>
      <c r="F28" s="67" t="e">
        <f>_xll.qlRateHelperQuoteValue($C28,SheetTrigger)</f>
        <v>#NUM!</v>
      </c>
      <c r="G28" s="66" t="e">
        <f>_xll.qlFuturesRateHelperConvexityAdjustment($C28,SheetTrigger)</f>
        <v>#NUM!</v>
      </c>
      <c r="H28" s="5">
        <f t="shared" si="8"/>
        <v>41899</v>
      </c>
      <c r="I28" s="7" t="b">
        <v>1</v>
      </c>
      <c r="J28" s="8" t="e">
        <f t="shared" si="9"/>
        <v>#NUM!</v>
      </c>
      <c r="K28" s="106" t="b">
        <f t="shared" si="1"/>
        <v>0</v>
      </c>
      <c r="L28" s="6" t="b">
        <f t="shared" si="2"/>
        <v>0</v>
      </c>
      <c r="M28" s="7" t="b">
        <f t="shared" si="3"/>
        <v>0</v>
      </c>
      <c r="N28" s="50" t="b">
        <f t="shared" si="5"/>
        <v>0</v>
      </c>
      <c r="O28" s="49">
        <f>_xll.qlInterpolationInterpolate($O$22,$H28)</f>
        <v>5.1610256755006837E-3</v>
      </c>
      <c r="P28" s="71" t="e">
        <f t="shared" si="6"/>
        <v>#NUM!</v>
      </c>
      <c r="Q28" s="37">
        <f>_xll.qlDayCounterYearFraction(DayCounter,$H28,$E28)</f>
        <v>0.25277777777777777</v>
      </c>
      <c r="R28" s="90" t="e">
        <f t="shared" si="7"/>
        <v>#NUM!</v>
      </c>
      <c r="S28" s="39" t="e">
        <f t="shared" si="4"/>
        <v>#NUM!</v>
      </c>
      <c r="T28" s="173" t="e">
        <f t="shared" si="10"/>
        <v>#NUM!</v>
      </c>
      <c r="U28" s="17">
        <v>42354</v>
      </c>
      <c r="V28" s="56">
        <v>6.1829989234677019E-3</v>
      </c>
    </row>
    <row r="29" spans="1:22" x14ac:dyDescent="0.2">
      <c r="A29" t="b">
        <v>1</v>
      </c>
      <c r="B29" s="86" t="str">
        <f>"FUT"&amp;IndexTenor&amp;_xll.qlIMMNextCodes(D28,A29)</f>
        <v>FUT3MZ4</v>
      </c>
      <c r="C29" s="26" t="str">
        <f t="shared" si="0"/>
        <v>GBP_YC3MRH_FUT3MZ4</v>
      </c>
      <c r="D29" s="5">
        <f>_xll.qlRateHelperEarliestDate($C29,EvaluationDate)</f>
        <v>41990</v>
      </c>
      <c r="E29" s="5">
        <f>_xll.qlRateHelperLatestDate($C29,EvaluationDate)</f>
        <v>42080</v>
      </c>
      <c r="F29" s="67" t="e">
        <f>_xll.qlRateHelperQuoteValue($C29,SheetTrigger)</f>
        <v>#NUM!</v>
      </c>
      <c r="G29" s="66" t="e">
        <f>_xll.qlFuturesRateHelperConvexityAdjustment($C29,SheetTrigger)</f>
        <v>#NUM!</v>
      </c>
      <c r="H29" s="5">
        <f t="shared" si="8"/>
        <v>41990</v>
      </c>
      <c r="I29" s="7" t="b">
        <v>1</v>
      </c>
      <c r="J29" s="8" t="e">
        <f t="shared" si="9"/>
        <v>#NUM!</v>
      </c>
      <c r="K29" s="106" t="b">
        <f t="shared" si="1"/>
        <v>0</v>
      </c>
      <c r="L29" s="6" t="b">
        <f t="shared" si="2"/>
        <v>1</v>
      </c>
      <c r="M29" s="7" t="b">
        <f t="shared" si="3"/>
        <v>0</v>
      </c>
      <c r="N29" s="50" t="b">
        <f t="shared" si="5"/>
        <v>0</v>
      </c>
      <c r="O29" s="49">
        <f>_xll.qlInterpolationInterpolate($O$22,$H29)</f>
        <v>5.1826872127131675E-3</v>
      </c>
      <c r="P29" s="71" t="e">
        <f t="shared" si="6"/>
        <v>#NUM!</v>
      </c>
      <c r="Q29" s="37">
        <f>_xll.qlDayCounterYearFraction(DayCounter,$H29,$E29)</f>
        <v>0.25</v>
      </c>
      <c r="R29" s="90" t="e">
        <f t="shared" si="7"/>
        <v>#NUM!</v>
      </c>
      <c r="S29" s="39" t="e">
        <f t="shared" si="4"/>
        <v>#NUM!</v>
      </c>
      <c r="T29" s="173" t="e">
        <f t="shared" si="10"/>
        <v>#NUM!</v>
      </c>
      <c r="U29" s="17" t="e">
        <v>#N/A</v>
      </c>
      <c r="V29" s="56" t="e">
        <v>#N/A</v>
      </c>
    </row>
    <row r="30" spans="1:22" x14ac:dyDescent="0.2">
      <c r="A30" t="b">
        <v>1</v>
      </c>
      <c r="B30" s="86" t="str">
        <f>"FUT"&amp;IndexTenor&amp;_xll.qlIMMNextCodes(D29,A30)</f>
        <v>FUT3MH5</v>
      </c>
      <c r="C30" s="26" t="str">
        <f t="shared" si="0"/>
        <v>GBP_YC3MRH_FUT3MH5</v>
      </c>
      <c r="D30" s="5">
        <f>_xll.qlRateHelperEarliestDate($C30,EvaluationDate)</f>
        <v>42081</v>
      </c>
      <c r="E30" s="5">
        <f>_xll.qlRateHelperLatestDate($C30,EvaluationDate)</f>
        <v>42173</v>
      </c>
      <c r="F30" s="67">
        <f>_xll.qlRateHelperQuoteValue($C30,SheetTrigger)</f>
        <v>99.474999999999994</v>
      </c>
      <c r="G30" s="66">
        <f>_xll.qlFuturesRateHelperConvexityAdjustment($C30,SheetTrigger)</f>
        <v>2.7663432344633574E-5</v>
      </c>
      <c r="H30" s="5">
        <f t="shared" si="8"/>
        <v>42081</v>
      </c>
      <c r="I30" s="7" t="b">
        <v>1</v>
      </c>
      <c r="J30" s="8">
        <f t="shared" si="9"/>
        <v>5.2223365676554541E-3</v>
      </c>
      <c r="K30" s="106" t="b">
        <f t="shared" si="1"/>
        <v>1</v>
      </c>
      <c r="L30" s="6" t="b">
        <f t="shared" si="2"/>
        <v>0</v>
      </c>
      <c r="M30" s="7" t="b">
        <f t="shared" si="3"/>
        <v>0</v>
      </c>
      <c r="N30" s="50" t="b">
        <f t="shared" si="5"/>
        <v>1</v>
      </c>
      <c r="O30" s="49">
        <f>_xll.qlInterpolationInterpolate($O$22,$H30)</f>
        <v>5.2223365676554541E-3</v>
      </c>
      <c r="P30" s="71">
        <f t="shared" si="6"/>
        <v>0</v>
      </c>
      <c r="Q30" s="37">
        <f>_xll.qlDayCounterYearFraction(DayCounter,$H30,$E30)</f>
        <v>0.25555555555555554</v>
      </c>
      <c r="R30" s="90">
        <f t="shared" si="7"/>
        <v>1</v>
      </c>
      <c r="S30" s="39">
        <f t="shared" si="4"/>
        <v>5.2223365676554541E-3</v>
      </c>
      <c r="T30" s="173">
        <f t="shared" si="10"/>
        <v>0</v>
      </c>
      <c r="U30" s="17" t="e">
        <v>#N/A</v>
      </c>
      <c r="V30" s="56" t="e">
        <v>#N/A</v>
      </c>
    </row>
    <row r="31" spans="1:22" x14ac:dyDescent="0.2">
      <c r="A31" t="b">
        <v>1</v>
      </c>
      <c r="B31" s="86" t="str">
        <f>"FUT"&amp;IndexTenor&amp;_xll.qlIMMNextCodes(D30,A31)</f>
        <v>FUT3MM5</v>
      </c>
      <c r="C31" s="26" t="str">
        <f t="shared" si="0"/>
        <v>GBP_YC3MRH_FUT3MM5</v>
      </c>
      <c r="D31" s="5">
        <f>_xll.qlRateHelperEarliestDate($C31,EvaluationDate)</f>
        <v>42172</v>
      </c>
      <c r="E31" s="5">
        <f>_xll.qlRateHelperLatestDate($C31,EvaluationDate)</f>
        <v>42264</v>
      </c>
      <c r="F31" s="67">
        <f>_xll.qlRateHelperQuoteValue($C31,SheetTrigger)</f>
        <v>99.454999999999998</v>
      </c>
      <c r="G31" s="66">
        <f>_xll.qlFuturesRateHelperConvexityAdjustment($C31,SheetTrigger)</f>
        <v>3.9047677872889325E-5</v>
      </c>
      <c r="H31" s="5">
        <f t="shared" si="8"/>
        <v>42172</v>
      </c>
      <c r="I31" s="7" t="b">
        <v>1</v>
      </c>
      <c r="J31" s="8">
        <f t="shared" si="9"/>
        <v>5.4109523221271766E-3</v>
      </c>
      <c r="K31" s="106" t="b">
        <f t="shared" si="1"/>
        <v>1</v>
      </c>
      <c r="L31" s="6" t="b">
        <f t="shared" si="2"/>
        <v>0</v>
      </c>
      <c r="M31" s="7" t="b">
        <f t="shared" si="3"/>
        <v>0</v>
      </c>
      <c r="N31" s="50" t="b">
        <f t="shared" si="5"/>
        <v>1</v>
      </c>
      <c r="O31" s="49">
        <f>_xll.qlInterpolationInterpolate($O$22,$H31)</f>
        <v>5.4109523221271766E-3</v>
      </c>
      <c r="P31" s="71">
        <f t="shared" si="6"/>
        <v>0</v>
      </c>
      <c r="Q31" s="37">
        <f>_xll.qlDayCounterYearFraction(DayCounter,$H31,$E31)</f>
        <v>0.25555555555555554</v>
      </c>
      <c r="R31" s="90">
        <f t="shared" si="7"/>
        <v>1</v>
      </c>
      <c r="S31" s="39">
        <f t="shared" si="4"/>
        <v>5.4109523221271766E-3</v>
      </c>
      <c r="T31" s="173">
        <f>S31-J31</f>
        <v>0</v>
      </c>
      <c r="U31" s="17" t="e">
        <v>#N/A</v>
      </c>
      <c r="V31" s="56" t="e">
        <v>#N/A</v>
      </c>
    </row>
    <row r="32" spans="1:22" x14ac:dyDescent="0.2">
      <c r="A32" t="b">
        <v>1</v>
      </c>
      <c r="B32" s="86" t="str">
        <f>"FUT"&amp;IndexTenor&amp;_xll.qlIMMNextCodes(D31,A32)</f>
        <v>FUT3MU5</v>
      </c>
      <c r="C32" s="26" t="str">
        <f t="shared" si="0"/>
        <v>GBP_YC3MRH_FUT3MU5</v>
      </c>
      <c r="D32" s="5">
        <f>_xll.qlRateHelperEarliestDate($C32,EvaluationDate)</f>
        <v>42263</v>
      </c>
      <c r="E32" s="5">
        <f>_xll.qlRateHelperLatestDate($C32,EvaluationDate)</f>
        <v>42354</v>
      </c>
      <c r="F32" s="67">
        <f>_xll.qlRateHelperQuoteValue($C32,SheetTrigger)</f>
        <v>99.415000000000006</v>
      </c>
      <c r="G32" s="66">
        <f>_xll.qlFuturesRateHelperConvexityAdjustment($C32,SheetTrigger)</f>
        <v>5.2091086317702287E-5</v>
      </c>
      <c r="H32" s="5">
        <f t="shared" si="8"/>
        <v>42263</v>
      </c>
      <c r="I32" s="7" t="b">
        <v>1</v>
      </c>
      <c r="J32" s="8">
        <f t="shared" si="9"/>
        <v>5.7979089136822089E-3</v>
      </c>
      <c r="K32" s="106" t="b">
        <f t="shared" si="1"/>
        <v>1</v>
      </c>
      <c r="L32" s="6" t="b">
        <f t="shared" si="2"/>
        <v>0</v>
      </c>
      <c r="M32" s="7" t="b">
        <f t="shared" si="3"/>
        <v>0</v>
      </c>
      <c r="N32" s="50" t="b">
        <f t="shared" si="5"/>
        <v>1</v>
      </c>
      <c r="O32" s="49">
        <f>_xll.qlInterpolationInterpolate($O$22,$H32)</f>
        <v>5.7979089136822089E-3</v>
      </c>
      <c r="P32" s="71">
        <f t="shared" si="6"/>
        <v>0</v>
      </c>
      <c r="Q32" s="37">
        <f>_xll.qlDayCounterYearFraction(DayCounter,$H32,$E32)</f>
        <v>0.25277777777777777</v>
      </c>
      <c r="R32" s="90">
        <f t="shared" si="7"/>
        <v>1</v>
      </c>
      <c r="S32" s="39">
        <f t="shared" si="4"/>
        <v>5.7979089136822089E-3</v>
      </c>
      <c r="T32" s="173">
        <f>S32-J32</f>
        <v>0</v>
      </c>
      <c r="U32" s="17" t="e">
        <v>#N/A</v>
      </c>
      <c r="V32" s="56" t="e">
        <v>#N/A</v>
      </c>
    </row>
    <row r="33" spans="1:22" x14ac:dyDescent="0.2">
      <c r="A33" t="b">
        <v>1</v>
      </c>
      <c r="B33" s="87" t="str">
        <f>"FUT"&amp;IndexTenor&amp;_xll.qlIMMNextCodes(D32,A33)</f>
        <v>FUT3MZ5</v>
      </c>
      <c r="C33" s="26" t="str">
        <f t="shared" si="0"/>
        <v>GBP_YC3MRH_FUT3MZ5</v>
      </c>
      <c r="D33" s="5">
        <f>_xll.qlRateHelperEarliestDate($C33,EvaluationDate)</f>
        <v>42354</v>
      </c>
      <c r="E33" s="5">
        <f>_xll.qlRateHelperLatestDate($C33,EvaluationDate)</f>
        <v>42445</v>
      </c>
      <c r="F33" s="104">
        <f>_xll.qlRateHelperQuoteValue($C33,SheetTrigger)</f>
        <v>99.375</v>
      </c>
      <c r="G33" s="68">
        <f>_xll.qlFuturesRateHelperConvexityAdjustment($C33,SheetTrigger)</f>
        <v>6.700107653191937E-5</v>
      </c>
      <c r="H33" s="43">
        <f t="shared" si="8"/>
        <v>42354</v>
      </c>
      <c r="I33" s="21" t="b">
        <v>1</v>
      </c>
      <c r="J33" s="19">
        <f t="shared" si="9"/>
        <v>6.1829989234680584E-3</v>
      </c>
      <c r="K33" s="107" t="b">
        <f t="shared" si="1"/>
        <v>1</v>
      </c>
      <c r="L33" s="27" t="b">
        <f t="shared" si="2"/>
        <v>0</v>
      </c>
      <c r="M33" s="21" t="b">
        <f t="shared" si="3"/>
        <v>1</v>
      </c>
      <c r="N33" s="32" t="b">
        <f t="shared" si="5"/>
        <v>0</v>
      </c>
      <c r="O33" s="264">
        <f>_xll.qlInterpolationInterpolate($O$22,$H33,TRUE)</f>
        <v>6.1848655052372413E-3</v>
      </c>
      <c r="P33" s="72">
        <f t="shared" si="6"/>
        <v>-1.8665817691828485E-6</v>
      </c>
      <c r="Q33" s="38">
        <f>_xll.qlDayCounterYearFraction(DayCounter,$H33,$E33)</f>
        <v>0.25277777777777777</v>
      </c>
      <c r="R33" s="91">
        <f t="shared" si="7"/>
        <v>1.0000004710941071</v>
      </c>
      <c r="S33" s="39">
        <f t="shared" si="4"/>
        <v>6.1829989234677019E-3</v>
      </c>
      <c r="T33" s="173">
        <f>S33-J33</f>
        <v>-3.5648567431323386E-16</v>
      </c>
      <c r="U33" s="17" t="e">
        <v>#N/A</v>
      </c>
      <c r="V33" s="56" t="e">
        <v>#N/A</v>
      </c>
    </row>
    <row r="34" spans="1:22" x14ac:dyDescent="0.2">
      <c r="A34" s="48"/>
      <c r="B34" s="22" t="str">
        <f>"T"&amp;$A$20&amp;"F1"</f>
        <v>T3F1</v>
      </c>
      <c r="C34" s="46" t="str">
        <f>RateHelperPrefix&amp;$B34</f>
        <v>GBP_YC3MRH_T3F1</v>
      </c>
      <c r="D34" s="58" t="e">
        <f>_xll.qlRateHelperEarliestDate($C34,EvaluationDate)</f>
        <v>#NUM!</v>
      </c>
      <c r="E34" s="58" t="e">
        <f>_xll.qlRateHelperLatestDate($C34,EvaluationDate)</f>
        <v>#NUM!</v>
      </c>
      <c r="F34" s="55" t="e">
        <f>_xll.qlRateHelperQuoteValue($C34,SheetTrigger)</f>
        <v>#NUM!</v>
      </c>
      <c r="G34" s="15"/>
      <c r="H34" s="12" t="e">
        <f>$D34</f>
        <v>#NUM!</v>
      </c>
      <c r="I34" s="132" t="b">
        <v>0</v>
      </c>
      <c r="J34" s="13" t="e">
        <f>F34</f>
        <v>#NUM!</v>
      </c>
      <c r="K34" s="106" t="b">
        <f t="shared" si="1"/>
        <v>0</v>
      </c>
      <c r="L34" s="15" t="e">
        <f>NOT(OR($H34&gt;LastDayInYear,$E34&lt;=LastDayInYear))</f>
        <v>#NUM!</v>
      </c>
      <c r="M34" s="15" t="e">
        <f>NOT(OR($H34&gt;LastDayInNextYear,$E34&lt;=LastDayInNextYear))</f>
        <v>#NUM!</v>
      </c>
      <c r="N34" s="23" t="b">
        <f>IF(K34,AND(NOT($L34),NOT($M34)),FALSE)</f>
        <v>0</v>
      </c>
      <c r="O34" s="55" t="e">
        <f>_xll.qlInterpolationInterpolate($O$22,$H34)</f>
        <v>#NUM!</v>
      </c>
      <c r="P34" s="70" t="e">
        <f>$J34-$O34</f>
        <v>#NUM!</v>
      </c>
      <c r="Q34" s="36" t="e">
        <f>_xll.qlDayCounterYearFraction(DayCounter,$H34,$E34)</f>
        <v>#NUM!</v>
      </c>
      <c r="R34" s="89" t="e">
        <f>(1+$O34*$Q34)/(1+$J34*$Q34)</f>
        <v>#NUM!</v>
      </c>
      <c r="S34" s="47" t="e">
        <f>IF($L34,(TOY*(1+$J34*$Q34)-1)/$Q34,IF($M34,(_TOY2*(1+$J34*$Q34)-1)/$Q34,$J34))</f>
        <v>#NUM!</v>
      </c>
      <c r="T34" s="171" t="e">
        <f>S34-J34</f>
        <v>#NUM!</v>
      </c>
      <c r="U34" s="17" t="e">
        <v>#N/A</v>
      </c>
      <c r="V34" s="56" t="e">
        <v>#N/A</v>
      </c>
    </row>
    <row r="35" spans="1:22" x14ac:dyDescent="0.2">
      <c r="A35" s="48"/>
      <c r="B35" s="27" t="str">
        <f>"TOM"&amp;$A$20&amp;"F1"</f>
        <v>TOM3F1</v>
      </c>
      <c r="C35" s="42" t="str">
        <f>RateHelperPrefix&amp;$B35</f>
        <v>GBP_YC3MRH_TOM3F1</v>
      </c>
      <c r="D35" s="43" t="e">
        <f>_xll.qlRateHelperEarliestDate($C35,EvaluationDate)</f>
        <v>#NUM!</v>
      </c>
      <c r="E35" s="43" t="e">
        <f>_xll.qlRateHelperLatestDate($C35,EvaluationDate)</f>
        <v>#NUM!</v>
      </c>
      <c r="F35" s="51" t="e">
        <f>_xll.qlRateHelperQuoteValue($C35,SheetTrigger)</f>
        <v>#NUM!</v>
      </c>
      <c r="G35" s="21"/>
      <c r="H35" s="18" t="e">
        <f>$D35</f>
        <v>#NUM!</v>
      </c>
      <c r="I35" s="283" t="b">
        <f t="shared" ref="I35:I41" si="11">ISNA(VLOOKUP(H35,$H$25:$H$33,1,FALSE))</f>
        <v>0</v>
      </c>
      <c r="J35" s="19" t="e">
        <f>F35</f>
        <v>#NUM!</v>
      </c>
      <c r="K35" s="107" t="b">
        <f t="shared" si="1"/>
        <v>0</v>
      </c>
      <c r="L35" s="21" t="e">
        <f>NOT(OR($H35&gt;LastDayInYear,$E35&lt;=LastDayInYear))</f>
        <v>#NUM!</v>
      </c>
      <c r="M35" s="21" t="e">
        <f>NOT(OR($H35&gt;LastDayInNextYear,$E35&lt;=LastDayInNextYear))</f>
        <v>#NUM!</v>
      </c>
      <c r="N35" s="32" t="b">
        <f>IF(K35,AND(NOT($L35),NOT($M35)),FALSE)</f>
        <v>0</v>
      </c>
      <c r="O35" s="51" t="e">
        <f>_xll.qlInterpolationInterpolate($O$22,$H35)</f>
        <v>#NUM!</v>
      </c>
      <c r="P35" s="72" t="e">
        <f>$J35-$O35</f>
        <v>#NUM!</v>
      </c>
      <c r="Q35" s="38" t="e">
        <f>_xll.qlDayCounterYearFraction(DayCounter,$H35,$E35)</f>
        <v>#NUM!</v>
      </c>
      <c r="R35" s="91" t="e">
        <f>(1+$O35*$Q35)/(1+$J35*$Q35)</f>
        <v>#NUM!</v>
      </c>
      <c r="S35" s="31" t="e">
        <f>IF($L35,(TOY*(1+$J35*$Q35)-1)/$Q35,IF($M35,(_TOY2*(1+$J35*$Q35)-1)/$Q35,$J35))</f>
        <v>#NUM!</v>
      </c>
      <c r="T35" s="172" t="e">
        <f>S35-J35</f>
        <v>#NUM!</v>
      </c>
      <c r="U35" s="17" t="e">
        <v>#N/A</v>
      </c>
      <c r="V35" s="56" t="e">
        <v>#N/A</v>
      </c>
    </row>
    <row r="36" spans="1:22" x14ac:dyDescent="0.2">
      <c r="A36" s="79">
        <v>1</v>
      </c>
      <c r="B36" s="46" t="str">
        <f t="shared" ref="B36:B52" si="12">A36&amp;"x"&amp;(A36+$A$20)&amp;"F"</f>
        <v>1x4F</v>
      </c>
      <c r="C36" s="46" t="str">
        <f t="shared" si="0"/>
        <v>GBP_YC3MRH_1x4F</v>
      </c>
      <c r="D36" s="58" t="e">
        <f>_xll.qlRateHelperEarliestDate($C36,EvaluationDate)</f>
        <v>#NUM!</v>
      </c>
      <c r="E36" s="58" t="e">
        <f>_xll.qlRateHelperLatestDate($C36,EvaluationDate)</f>
        <v>#NUM!</v>
      </c>
      <c r="F36" s="55" t="e">
        <f>_xll.qlRateHelperQuoteValue($C36,SheetTrigger)</f>
        <v>#NUM!</v>
      </c>
      <c r="G36" s="15"/>
      <c r="H36" s="12" t="e">
        <f t="shared" si="8"/>
        <v>#NUM!</v>
      </c>
      <c r="I36" s="15" t="b">
        <f t="shared" si="11"/>
        <v>0</v>
      </c>
      <c r="J36" s="13" t="e">
        <f t="shared" ref="J36:J41" si="13">F36</f>
        <v>#NUM!</v>
      </c>
      <c r="K36" s="98" t="b">
        <f t="shared" ref="K36:K41" si="14">AND(ISNUMBER(J36),I36,UseSecondSet)</f>
        <v>0</v>
      </c>
      <c r="L36" s="15" t="e">
        <f t="shared" si="2"/>
        <v>#NUM!</v>
      </c>
      <c r="M36" s="15" t="e">
        <f t="shared" si="3"/>
        <v>#NUM!</v>
      </c>
      <c r="N36" s="23" t="b">
        <f t="shared" si="5"/>
        <v>0</v>
      </c>
      <c r="O36" s="55" t="e">
        <f>_xll.qlInterpolationInterpolate($O$22,$H36)</f>
        <v>#NUM!</v>
      </c>
      <c r="P36" s="70" t="e">
        <f t="shared" si="6"/>
        <v>#NUM!</v>
      </c>
      <c r="Q36" s="36" t="e">
        <f>_xll.qlDayCounterYearFraction(DayCounter,$H36,$E36)</f>
        <v>#NUM!</v>
      </c>
      <c r="R36" s="89" t="e">
        <f t="shared" si="7"/>
        <v>#NUM!</v>
      </c>
      <c r="S36" s="47" t="e">
        <f t="shared" si="4"/>
        <v>#NUM!</v>
      </c>
      <c r="T36" s="171" t="e">
        <f t="shared" si="10"/>
        <v>#NUM!</v>
      </c>
      <c r="U36" s="17" t="e">
        <v>#N/A</v>
      </c>
      <c r="V36" s="56" t="e">
        <v>#N/A</v>
      </c>
    </row>
    <row r="37" spans="1:22" x14ac:dyDescent="0.2">
      <c r="A37" s="79">
        <v>2</v>
      </c>
      <c r="B37" s="6" t="str">
        <f t="shared" si="12"/>
        <v>2x5F</v>
      </c>
      <c r="C37" s="41" t="str">
        <f t="shared" si="0"/>
        <v>GBP_YC3MRH_2x5F</v>
      </c>
      <c r="D37" s="5" t="e">
        <f>_xll.qlRateHelperEarliestDate($C37,EvaluationDate)</f>
        <v>#NUM!</v>
      </c>
      <c r="E37" s="5" t="e">
        <f>_xll.qlRateHelperLatestDate($C37,EvaluationDate)</f>
        <v>#NUM!</v>
      </c>
      <c r="F37" s="49" t="e">
        <f>_xll.qlRateHelperQuoteValue($C37,SheetTrigger)</f>
        <v>#NUM!</v>
      </c>
      <c r="G37" s="7"/>
      <c r="H37" s="16" t="e">
        <f t="shared" si="8"/>
        <v>#NUM!</v>
      </c>
      <c r="I37" s="7" t="b">
        <f t="shared" si="11"/>
        <v>0</v>
      </c>
      <c r="J37" s="8" t="e">
        <f t="shared" si="13"/>
        <v>#NUM!</v>
      </c>
      <c r="K37" s="106" t="b">
        <f t="shared" si="14"/>
        <v>0</v>
      </c>
      <c r="L37" s="7" t="e">
        <f t="shared" si="2"/>
        <v>#NUM!</v>
      </c>
      <c r="M37" s="7" t="e">
        <f t="shared" si="3"/>
        <v>#NUM!</v>
      </c>
      <c r="N37" s="50" t="b">
        <f t="shared" si="5"/>
        <v>0</v>
      </c>
      <c r="O37" s="49" t="e">
        <f>_xll.qlInterpolationInterpolate($O$22,$H37)</f>
        <v>#NUM!</v>
      </c>
      <c r="P37" s="71" t="e">
        <f t="shared" si="6"/>
        <v>#NUM!</v>
      </c>
      <c r="Q37" s="37" t="e">
        <f>_xll.qlDayCounterYearFraction(DayCounter,$H37,$E37)</f>
        <v>#NUM!</v>
      </c>
      <c r="R37" s="90" t="e">
        <f t="shared" si="7"/>
        <v>#NUM!</v>
      </c>
      <c r="S37" s="39" t="e">
        <f t="shared" si="4"/>
        <v>#NUM!</v>
      </c>
      <c r="T37" s="174" t="e">
        <f t="shared" si="10"/>
        <v>#NUM!</v>
      </c>
      <c r="U37" s="17" t="e">
        <v>#N/A</v>
      </c>
      <c r="V37" s="56" t="e">
        <v>#N/A</v>
      </c>
    </row>
    <row r="38" spans="1:22" x14ac:dyDescent="0.2">
      <c r="A38" s="79">
        <v>3</v>
      </c>
      <c r="B38" s="6" t="str">
        <f t="shared" si="12"/>
        <v>3x6F</v>
      </c>
      <c r="C38" s="41" t="str">
        <f t="shared" si="0"/>
        <v>GBP_YC3MRH_3x6F</v>
      </c>
      <c r="D38" s="5" t="e">
        <f>_xll.qlRateHelperEarliestDate($C38,EvaluationDate)</f>
        <v>#NUM!</v>
      </c>
      <c r="E38" s="5" t="e">
        <f>_xll.qlRateHelperLatestDate($C38,EvaluationDate)</f>
        <v>#NUM!</v>
      </c>
      <c r="F38" s="49" t="e">
        <f>_xll.qlRateHelperQuoteValue($C38,SheetTrigger)</f>
        <v>#NUM!</v>
      </c>
      <c r="G38" s="7"/>
      <c r="H38" s="16" t="e">
        <f t="shared" si="8"/>
        <v>#NUM!</v>
      </c>
      <c r="I38" s="7" t="b">
        <f t="shared" si="11"/>
        <v>0</v>
      </c>
      <c r="J38" s="8" t="e">
        <f t="shared" si="13"/>
        <v>#NUM!</v>
      </c>
      <c r="K38" s="106" t="b">
        <f t="shared" si="14"/>
        <v>0</v>
      </c>
      <c r="L38" s="7" t="e">
        <f t="shared" si="2"/>
        <v>#NUM!</v>
      </c>
      <c r="M38" s="7" t="e">
        <f t="shared" si="3"/>
        <v>#NUM!</v>
      </c>
      <c r="N38" s="50" t="b">
        <f t="shared" si="5"/>
        <v>0</v>
      </c>
      <c r="O38" s="49" t="e">
        <f>_xll.qlInterpolationInterpolate($O$22,$H38)</f>
        <v>#NUM!</v>
      </c>
      <c r="P38" s="71" t="e">
        <f t="shared" si="6"/>
        <v>#NUM!</v>
      </c>
      <c r="Q38" s="37" t="e">
        <f>_xll.qlDayCounterYearFraction(DayCounter,$H38,$E38)</f>
        <v>#NUM!</v>
      </c>
      <c r="R38" s="90" t="e">
        <f t="shared" si="7"/>
        <v>#NUM!</v>
      </c>
      <c r="S38" s="39" t="e">
        <f t="shared" si="4"/>
        <v>#NUM!</v>
      </c>
      <c r="T38" s="174" t="e">
        <f t="shared" si="10"/>
        <v>#NUM!</v>
      </c>
      <c r="U38" s="17" t="e">
        <v>#N/A</v>
      </c>
      <c r="V38" s="56" t="e">
        <v>#N/A</v>
      </c>
    </row>
    <row r="39" spans="1:22" x14ac:dyDescent="0.2">
      <c r="A39" s="83">
        <v>4</v>
      </c>
      <c r="B39" s="6" t="str">
        <f t="shared" si="12"/>
        <v>4x7F</v>
      </c>
      <c r="C39" s="41" t="str">
        <f t="shared" si="0"/>
        <v>GBP_YC3MRH_4x7F</v>
      </c>
      <c r="D39" s="5" t="e">
        <f>_xll.qlRateHelperEarliestDate($C39,EvaluationDate)</f>
        <v>#NUM!</v>
      </c>
      <c r="E39" s="5" t="e">
        <f>_xll.qlRateHelperLatestDate($C39,EvaluationDate)</f>
        <v>#NUM!</v>
      </c>
      <c r="F39" s="49" t="e">
        <f>_xll.qlRateHelperQuoteValue($C39,SheetTrigger)</f>
        <v>#NUM!</v>
      </c>
      <c r="G39" s="7"/>
      <c r="H39" s="16" t="e">
        <f t="shared" si="8"/>
        <v>#NUM!</v>
      </c>
      <c r="I39" s="7" t="b">
        <f t="shared" si="11"/>
        <v>0</v>
      </c>
      <c r="J39" s="8" t="e">
        <f t="shared" si="13"/>
        <v>#NUM!</v>
      </c>
      <c r="K39" s="106" t="b">
        <f t="shared" si="14"/>
        <v>0</v>
      </c>
      <c r="L39" s="7" t="e">
        <f t="shared" si="2"/>
        <v>#NUM!</v>
      </c>
      <c r="M39" s="7" t="e">
        <f t="shared" si="3"/>
        <v>#NUM!</v>
      </c>
      <c r="N39" s="50" t="b">
        <f t="shared" si="5"/>
        <v>0</v>
      </c>
      <c r="O39" s="49" t="e">
        <f>_xll.qlInterpolationInterpolate($O$22,$H39)</f>
        <v>#NUM!</v>
      </c>
      <c r="P39" s="71" t="e">
        <f t="shared" si="6"/>
        <v>#NUM!</v>
      </c>
      <c r="Q39" s="37" t="e">
        <f>_xll.qlDayCounterYearFraction(DayCounter,$H39,$E39)</f>
        <v>#NUM!</v>
      </c>
      <c r="R39" s="90" t="e">
        <f t="shared" si="7"/>
        <v>#NUM!</v>
      </c>
      <c r="S39" s="39" t="e">
        <f t="shared" si="4"/>
        <v>#NUM!</v>
      </c>
      <c r="T39" s="174" t="e">
        <f t="shared" si="10"/>
        <v>#NUM!</v>
      </c>
      <c r="U39" s="17" t="e">
        <v>#N/A</v>
      </c>
      <c r="V39" s="56" t="e">
        <v>#N/A</v>
      </c>
    </row>
    <row r="40" spans="1:22" x14ac:dyDescent="0.2">
      <c r="A40" s="83">
        <v>5</v>
      </c>
      <c r="B40" s="6" t="str">
        <f t="shared" si="12"/>
        <v>5x8F</v>
      </c>
      <c r="C40" s="41" t="str">
        <f t="shared" si="0"/>
        <v>GBP_YC3MRH_5x8F</v>
      </c>
      <c r="D40" s="5" t="e">
        <f>_xll.qlRateHelperEarliestDate($C40,EvaluationDate)</f>
        <v>#NUM!</v>
      </c>
      <c r="E40" s="5" t="e">
        <f>_xll.qlRateHelperLatestDate($C40,EvaluationDate)</f>
        <v>#NUM!</v>
      </c>
      <c r="F40" s="49" t="e">
        <f>_xll.qlRateHelperQuoteValue($C40,SheetTrigger)</f>
        <v>#NUM!</v>
      </c>
      <c r="G40" s="7"/>
      <c r="H40" s="16" t="e">
        <f t="shared" si="8"/>
        <v>#NUM!</v>
      </c>
      <c r="I40" s="7" t="b">
        <f t="shared" si="11"/>
        <v>0</v>
      </c>
      <c r="J40" s="8" t="e">
        <f t="shared" si="13"/>
        <v>#NUM!</v>
      </c>
      <c r="K40" s="106" t="b">
        <f t="shared" si="14"/>
        <v>0</v>
      </c>
      <c r="L40" s="7" t="e">
        <f t="shared" si="2"/>
        <v>#NUM!</v>
      </c>
      <c r="M40" s="7" t="e">
        <f t="shared" si="3"/>
        <v>#NUM!</v>
      </c>
      <c r="N40" s="50" t="b">
        <f t="shared" si="5"/>
        <v>0</v>
      </c>
      <c r="O40" s="49" t="e">
        <f>_xll.qlInterpolationInterpolate($O$22,$H40)</f>
        <v>#NUM!</v>
      </c>
      <c r="P40" s="71" t="e">
        <f t="shared" si="6"/>
        <v>#NUM!</v>
      </c>
      <c r="Q40" s="37" t="e">
        <f>_xll.qlDayCounterYearFraction(DayCounter,$H40,$E40)</f>
        <v>#NUM!</v>
      </c>
      <c r="R40" s="90" t="e">
        <f t="shared" si="7"/>
        <v>#NUM!</v>
      </c>
      <c r="S40" s="39" t="e">
        <f t="shared" si="4"/>
        <v>#NUM!</v>
      </c>
      <c r="T40" s="174" t="e">
        <f t="shared" si="10"/>
        <v>#NUM!</v>
      </c>
      <c r="U40" s="17" t="e">
        <v>#N/A</v>
      </c>
      <c r="V40" s="56" t="e">
        <v>#N/A</v>
      </c>
    </row>
    <row r="41" spans="1:22" x14ac:dyDescent="0.2">
      <c r="A41" s="83">
        <v>6</v>
      </c>
      <c r="B41" s="27" t="str">
        <f t="shared" si="12"/>
        <v>6x9F</v>
      </c>
      <c r="C41" s="42" t="str">
        <f t="shared" si="0"/>
        <v>GBP_YC3MRH_6x9F</v>
      </c>
      <c r="D41" s="43" t="e">
        <f>_xll.qlRateHelperEarliestDate($C41,EvaluationDate)</f>
        <v>#NUM!</v>
      </c>
      <c r="E41" s="43" t="e">
        <f>_xll.qlRateHelperLatestDate($C41,EvaluationDate)</f>
        <v>#NUM!</v>
      </c>
      <c r="F41" s="51" t="e">
        <f>_xll.qlRateHelperQuoteValue($C41,SheetTrigger)</f>
        <v>#NUM!</v>
      </c>
      <c r="G41" s="21"/>
      <c r="H41" s="18" t="e">
        <f t="shared" si="8"/>
        <v>#NUM!</v>
      </c>
      <c r="I41" s="21" t="b">
        <f t="shared" si="11"/>
        <v>0</v>
      </c>
      <c r="J41" s="19" t="e">
        <f t="shared" si="13"/>
        <v>#NUM!</v>
      </c>
      <c r="K41" s="107" t="b">
        <f t="shared" si="14"/>
        <v>0</v>
      </c>
      <c r="L41" s="21" t="e">
        <f t="shared" si="2"/>
        <v>#NUM!</v>
      </c>
      <c r="M41" s="21" t="e">
        <f t="shared" si="3"/>
        <v>#NUM!</v>
      </c>
      <c r="N41" s="32" t="b">
        <f t="shared" si="5"/>
        <v>0</v>
      </c>
      <c r="O41" s="51" t="e">
        <f>_xll.qlInterpolationInterpolate($O$22,$H41)</f>
        <v>#NUM!</v>
      </c>
      <c r="P41" s="72" t="e">
        <f t="shared" si="6"/>
        <v>#NUM!</v>
      </c>
      <c r="Q41" s="38" t="e">
        <f>_xll.qlDayCounterYearFraction(DayCounter,$H41,$E41)</f>
        <v>#NUM!</v>
      </c>
      <c r="R41" s="91" t="e">
        <f t="shared" si="7"/>
        <v>#NUM!</v>
      </c>
      <c r="S41" s="31" t="e">
        <f t="shared" si="4"/>
        <v>#NUM!</v>
      </c>
      <c r="T41" s="172" t="e">
        <f t="shared" si="10"/>
        <v>#NUM!</v>
      </c>
      <c r="U41" s="17" t="e">
        <v>#N/A</v>
      </c>
      <c r="V41" s="56" t="e">
        <v>#N/A</v>
      </c>
    </row>
    <row r="42" spans="1:22" x14ac:dyDescent="0.2">
      <c r="A42" s="83">
        <v>27</v>
      </c>
      <c r="B42" s="165" t="str">
        <f t="shared" si="12"/>
        <v>27x30F</v>
      </c>
      <c r="C42" s="92"/>
      <c r="D42" s="146" t="str">
        <f>A42&amp;"M"</f>
        <v>27M</v>
      </c>
      <c r="E42" s="160">
        <f>_xll.qlCalendarAdvance(Calendar,H42,$A$21,"Modified Following",TRUE)</f>
        <v>42598</v>
      </c>
      <c r="F42" s="145"/>
      <c r="G42" s="145"/>
      <c r="H42" s="147">
        <f>_xll.qlCalendarAdvance(Calendar,SettlementDate,D42,"MF",TRUE)</f>
        <v>42506</v>
      </c>
      <c r="I42" s="145" t="b">
        <v>1</v>
      </c>
      <c r="J42" s="148" t="e">
        <f>(_xll.qlInterpolationInterpolate(DiscountCurve,H42)/_xll.qlInterpolationInterpolate(DiscountCurve,E42)-1)/Q42</f>
        <v>#NUM!</v>
      </c>
      <c r="K42" s="98" t="b">
        <f t="shared" ref="K42:K52" si="15">AND(ISNUMBER(J42),I42)</f>
        <v>0</v>
      </c>
      <c r="L42" s="92" t="b">
        <f t="shared" si="2"/>
        <v>0</v>
      </c>
      <c r="M42" s="145" t="b">
        <f t="shared" si="3"/>
        <v>0</v>
      </c>
      <c r="N42" s="98" t="b">
        <v>0</v>
      </c>
      <c r="O42" s="148" t="e">
        <f>_xll.qlInterpolationInterpolate($O$22,$H42)</f>
        <v>#NUM!</v>
      </c>
      <c r="P42" s="145" t="e">
        <f t="shared" si="6"/>
        <v>#NUM!</v>
      </c>
      <c r="Q42" s="149">
        <f>_xll.qlDayCounterYearFraction(DayCounter,H42,E42)</f>
        <v>0.25555555555555554</v>
      </c>
      <c r="R42" s="145" t="e">
        <f t="shared" si="7"/>
        <v>#NUM!</v>
      </c>
      <c r="S42" s="150" t="e">
        <f>IF($L42,(TOY*(1+$J42*$Q42)-1)/$Q42,IF($M42,(_TOY2*(1+$J42*$Q42)-1)/$Q42,$J42))</f>
        <v>#NUM!</v>
      </c>
      <c r="T42" s="158" t="e">
        <f t="shared" si="10"/>
        <v>#NUM!</v>
      </c>
      <c r="U42" s="93" t="e">
        <v>#N/A</v>
      </c>
      <c r="V42" s="94" t="e">
        <v>#N/A</v>
      </c>
    </row>
    <row r="43" spans="1:22" x14ac:dyDescent="0.2">
      <c r="A43" s="83">
        <v>30</v>
      </c>
      <c r="B43" s="164" t="str">
        <f t="shared" si="12"/>
        <v>30x33F</v>
      </c>
      <c r="C43" s="61"/>
      <c r="D43" s="151" t="str">
        <f>A43&amp;"M"</f>
        <v>30M</v>
      </c>
      <c r="E43" s="161">
        <f>_xll.qlCalendarAdvance(Calendar,H43,$A$21,"Modified Following",TRUE)</f>
        <v>42689</v>
      </c>
      <c r="F43" s="25"/>
      <c r="G43" s="25"/>
      <c r="H43" s="34">
        <f>_xll.qlCalendarAdvance(Calendar,SettlementDate,D43,"MF",TRUE)</f>
        <v>42597</v>
      </c>
      <c r="I43" s="25" t="b">
        <v>1</v>
      </c>
      <c r="J43" s="62" t="e">
        <f>(_xll.qlInterpolationInterpolate(DiscountCurve,H43)/_xll.qlInterpolationInterpolate(DiscountCurve,E43)-1)/Q43</f>
        <v>#NUM!</v>
      </c>
      <c r="K43" s="106" t="b">
        <f t="shared" si="15"/>
        <v>0</v>
      </c>
      <c r="L43" s="61" t="b">
        <f t="shared" si="2"/>
        <v>0</v>
      </c>
      <c r="M43" s="25" t="b">
        <f t="shared" si="3"/>
        <v>0</v>
      </c>
      <c r="N43" s="106" t="b">
        <v>0</v>
      </c>
      <c r="O43" s="62" t="e">
        <f>_xll.qlInterpolationInterpolate($O$22,$H43)</f>
        <v>#NUM!</v>
      </c>
      <c r="P43" s="25" t="e">
        <f t="shared" si="6"/>
        <v>#NUM!</v>
      </c>
      <c r="Q43" s="144">
        <f>_xll.qlDayCounterYearFraction(DayCounter,H43,E43)</f>
        <v>0.25555555555555554</v>
      </c>
      <c r="R43" s="25" t="e">
        <f t="shared" si="7"/>
        <v>#NUM!</v>
      </c>
      <c r="S43" s="152" t="e">
        <f t="shared" ref="S43:S52" si="16">IF($L43,(TOY*(1+$J43*$Q43)-1)/$Q43,IF($M43,(_TOY2*(1+$J43*$Q43)-1)/$Q43,$J43))</f>
        <v>#NUM!</v>
      </c>
      <c r="T43" s="159" t="e">
        <f t="shared" si="10"/>
        <v>#NUM!</v>
      </c>
      <c r="U43" s="93" t="e">
        <v>#N/A</v>
      </c>
      <c r="V43" s="94" t="e">
        <v>#N/A</v>
      </c>
    </row>
    <row r="44" spans="1:22" x14ac:dyDescent="0.2">
      <c r="A44" s="83">
        <v>33</v>
      </c>
      <c r="B44" s="164" t="str">
        <f t="shared" si="12"/>
        <v>33x36F</v>
      </c>
      <c r="C44" s="61"/>
      <c r="D44" s="151" t="str">
        <f t="shared" ref="D44:D52" si="17">A44&amp;"M"</f>
        <v>33M</v>
      </c>
      <c r="E44" s="161">
        <f>_xll.qlCalendarAdvance(Calendar,H44,$A$21,"Modified Following",TRUE)</f>
        <v>42780</v>
      </c>
      <c r="F44" s="25"/>
      <c r="G44" s="25"/>
      <c r="H44" s="34">
        <f>_xll.qlCalendarAdvance(Calendar,SettlementDate,D44,"MF",TRUE)</f>
        <v>42688</v>
      </c>
      <c r="I44" s="25" t="b">
        <v>1</v>
      </c>
      <c r="J44" s="62" t="e">
        <f>(_xll.qlInterpolationInterpolate(DiscountCurve,H44)/_xll.qlInterpolationInterpolate(DiscountCurve,E44)-1)/Q44</f>
        <v>#NUM!</v>
      </c>
      <c r="K44" s="106" t="b">
        <f t="shared" si="15"/>
        <v>0</v>
      </c>
      <c r="L44" s="61" t="b">
        <f t="shared" si="2"/>
        <v>0</v>
      </c>
      <c r="M44" s="25" t="b">
        <f t="shared" si="3"/>
        <v>0</v>
      </c>
      <c r="N44" s="106" t="b">
        <v>0</v>
      </c>
      <c r="O44" s="62" t="e">
        <f>_xll.qlInterpolationInterpolate($O$22,$H44)</f>
        <v>#NUM!</v>
      </c>
      <c r="P44" s="25" t="e">
        <f t="shared" si="6"/>
        <v>#NUM!</v>
      </c>
      <c r="Q44" s="144">
        <f>_xll.qlDayCounterYearFraction(DayCounter,H44,E44)</f>
        <v>0.25555555555555554</v>
      </c>
      <c r="R44" s="25" t="e">
        <f t="shared" si="7"/>
        <v>#NUM!</v>
      </c>
      <c r="S44" s="152" t="e">
        <f t="shared" si="16"/>
        <v>#NUM!</v>
      </c>
      <c r="T44" s="159" t="e">
        <f t="shared" ref="T44:T52" si="18">S44-J44</f>
        <v>#NUM!</v>
      </c>
      <c r="U44" s="93" t="e">
        <v>#N/A</v>
      </c>
      <c r="V44" s="94" t="e">
        <v>#N/A</v>
      </c>
    </row>
    <row r="45" spans="1:22" x14ac:dyDescent="0.2">
      <c r="A45" s="83">
        <v>36</v>
      </c>
      <c r="B45" s="164" t="str">
        <f t="shared" si="12"/>
        <v>36x39F</v>
      </c>
      <c r="C45" s="61"/>
      <c r="D45" s="151" t="str">
        <f t="shared" si="17"/>
        <v>36M</v>
      </c>
      <c r="E45" s="161">
        <f>_xll.qlCalendarAdvance(Calendar,H45,$A$21,"Modified Following",TRUE)</f>
        <v>42870</v>
      </c>
      <c r="F45" s="25"/>
      <c r="G45" s="25"/>
      <c r="H45" s="34">
        <f>_xll.qlCalendarAdvance(Calendar,SettlementDate,D45,"MF",TRUE)</f>
        <v>42780</v>
      </c>
      <c r="I45" s="25" t="b">
        <v>1</v>
      </c>
      <c r="J45" s="62" t="e">
        <f>(_xll.qlInterpolationInterpolate(DiscountCurve,H45)/_xll.qlInterpolationInterpolate(DiscountCurve,E45)-1)/Q45</f>
        <v>#NUM!</v>
      </c>
      <c r="K45" s="106" t="b">
        <f t="shared" si="15"/>
        <v>0</v>
      </c>
      <c r="L45" s="61" t="b">
        <f t="shared" si="2"/>
        <v>0</v>
      </c>
      <c r="M45" s="25" t="b">
        <f t="shared" si="3"/>
        <v>0</v>
      </c>
      <c r="N45" s="106" t="b">
        <v>0</v>
      </c>
      <c r="O45" s="62" t="e">
        <f>_xll.qlInterpolationInterpolate($O$22,$H45)</f>
        <v>#NUM!</v>
      </c>
      <c r="P45" s="25" t="e">
        <f t="shared" si="6"/>
        <v>#NUM!</v>
      </c>
      <c r="Q45" s="144">
        <f>_xll.qlDayCounterYearFraction(DayCounter,H45,E45)</f>
        <v>0.25</v>
      </c>
      <c r="R45" s="25" t="e">
        <f t="shared" si="7"/>
        <v>#NUM!</v>
      </c>
      <c r="S45" s="152" t="e">
        <f t="shared" si="16"/>
        <v>#NUM!</v>
      </c>
      <c r="T45" s="159" t="e">
        <f t="shared" si="18"/>
        <v>#NUM!</v>
      </c>
      <c r="U45" s="93" t="e">
        <v>#N/A</v>
      </c>
      <c r="V45" s="94" t="e">
        <v>#N/A</v>
      </c>
    </row>
    <row r="46" spans="1:22" x14ac:dyDescent="0.2">
      <c r="A46" s="83">
        <v>39</v>
      </c>
      <c r="B46" s="164" t="str">
        <f t="shared" si="12"/>
        <v>39x42F</v>
      </c>
      <c r="C46" s="61"/>
      <c r="D46" s="151" t="str">
        <f t="shared" si="17"/>
        <v>39M</v>
      </c>
      <c r="E46" s="161">
        <f>_xll.qlCalendarAdvance(Calendar,H46,$A$21,"Modified Following",TRUE)</f>
        <v>42962</v>
      </c>
      <c r="F46" s="25"/>
      <c r="G46" s="25"/>
      <c r="H46" s="34">
        <f>_xll.qlCalendarAdvance(Calendar,SettlementDate,D46,"MF",TRUE)</f>
        <v>42870</v>
      </c>
      <c r="I46" s="25" t="b">
        <v>1</v>
      </c>
      <c r="J46" s="62" t="e">
        <f>(_xll.qlInterpolationInterpolate(DiscountCurve,H46)/_xll.qlInterpolationInterpolate(DiscountCurve,E46)-1)/Q46</f>
        <v>#NUM!</v>
      </c>
      <c r="K46" s="106" t="b">
        <f t="shared" si="15"/>
        <v>0</v>
      </c>
      <c r="L46" s="61" t="b">
        <f t="shared" si="2"/>
        <v>0</v>
      </c>
      <c r="M46" s="25" t="b">
        <f t="shared" si="3"/>
        <v>0</v>
      </c>
      <c r="N46" s="106" t="b">
        <v>0</v>
      </c>
      <c r="O46" s="62" t="e">
        <f>_xll.qlInterpolationInterpolate($O$22,$H46)</f>
        <v>#NUM!</v>
      </c>
      <c r="P46" s="25" t="e">
        <f t="shared" si="6"/>
        <v>#NUM!</v>
      </c>
      <c r="Q46" s="144">
        <f>_xll.qlDayCounterYearFraction(DayCounter,H46,E46)</f>
        <v>0.25555555555555554</v>
      </c>
      <c r="R46" s="25" t="e">
        <f t="shared" si="7"/>
        <v>#NUM!</v>
      </c>
      <c r="S46" s="152" t="e">
        <f t="shared" si="16"/>
        <v>#NUM!</v>
      </c>
      <c r="T46" s="159" t="e">
        <f t="shared" si="18"/>
        <v>#NUM!</v>
      </c>
      <c r="U46" s="93" t="e">
        <v>#N/A</v>
      </c>
      <c r="V46" s="94" t="e">
        <v>#N/A</v>
      </c>
    </row>
    <row r="47" spans="1:22" x14ac:dyDescent="0.2">
      <c r="A47" s="83">
        <v>42</v>
      </c>
      <c r="B47" s="164" t="str">
        <f t="shared" si="12"/>
        <v>42x45F</v>
      </c>
      <c r="C47" s="61"/>
      <c r="D47" s="151" t="str">
        <f t="shared" si="17"/>
        <v>42M</v>
      </c>
      <c r="E47" s="161">
        <f>_xll.qlCalendarAdvance(Calendar,H47,$A$21,"Modified Following",TRUE)</f>
        <v>43053</v>
      </c>
      <c r="F47" s="25"/>
      <c r="G47" s="25"/>
      <c r="H47" s="34">
        <f>_xll.qlCalendarAdvance(Calendar,SettlementDate,D47,"MF",TRUE)</f>
        <v>42961</v>
      </c>
      <c r="I47" s="25" t="b">
        <v>1</v>
      </c>
      <c r="J47" s="62" t="e">
        <f>(_xll.qlInterpolationInterpolate(DiscountCurve,H47)/_xll.qlInterpolationInterpolate(DiscountCurve,E47)-1)/Q47</f>
        <v>#NUM!</v>
      </c>
      <c r="K47" s="106" t="b">
        <f t="shared" si="15"/>
        <v>0</v>
      </c>
      <c r="L47" s="61" t="b">
        <f t="shared" si="2"/>
        <v>0</v>
      </c>
      <c r="M47" s="25" t="b">
        <f t="shared" si="3"/>
        <v>0</v>
      </c>
      <c r="N47" s="106" t="b">
        <v>0</v>
      </c>
      <c r="O47" s="62" t="e">
        <f>_xll.qlInterpolationInterpolate($O$22,$H47)</f>
        <v>#NUM!</v>
      </c>
      <c r="P47" s="25" t="e">
        <f t="shared" si="6"/>
        <v>#NUM!</v>
      </c>
      <c r="Q47" s="144">
        <f>_xll.qlDayCounterYearFraction(DayCounter,H47,E47)</f>
        <v>0.25555555555555554</v>
      </c>
      <c r="R47" s="25" t="e">
        <f t="shared" si="7"/>
        <v>#NUM!</v>
      </c>
      <c r="S47" s="152" t="e">
        <f t="shared" si="16"/>
        <v>#NUM!</v>
      </c>
      <c r="T47" s="159" t="e">
        <f t="shared" si="18"/>
        <v>#NUM!</v>
      </c>
      <c r="U47" s="93" t="e">
        <v>#N/A</v>
      </c>
      <c r="V47" s="94" t="e">
        <v>#N/A</v>
      </c>
    </row>
    <row r="48" spans="1:22" x14ac:dyDescent="0.2">
      <c r="A48" s="83">
        <v>45</v>
      </c>
      <c r="B48" s="164" t="str">
        <f t="shared" si="12"/>
        <v>45x48F</v>
      </c>
      <c r="C48" s="61"/>
      <c r="D48" s="151" t="str">
        <f t="shared" si="17"/>
        <v>45M</v>
      </c>
      <c r="E48" s="161">
        <f>_xll.qlCalendarAdvance(Calendar,H48,$A$21,"Modified Following",TRUE)</f>
        <v>43145</v>
      </c>
      <c r="F48" s="25"/>
      <c r="G48" s="25"/>
      <c r="H48" s="34">
        <f>_xll.qlCalendarAdvance(Calendar,SettlementDate,D48,"MF",TRUE)</f>
        <v>43053</v>
      </c>
      <c r="I48" s="25" t="b">
        <v>1</v>
      </c>
      <c r="J48" s="62" t="e">
        <f>(_xll.qlInterpolationInterpolate(DiscountCurve,H48)/_xll.qlInterpolationInterpolate(DiscountCurve,E48)-1)/Q48</f>
        <v>#NUM!</v>
      </c>
      <c r="K48" s="106" t="b">
        <f t="shared" si="15"/>
        <v>0</v>
      </c>
      <c r="L48" s="61" t="b">
        <f t="shared" si="2"/>
        <v>0</v>
      </c>
      <c r="M48" s="25" t="b">
        <f t="shared" si="3"/>
        <v>0</v>
      </c>
      <c r="N48" s="106" t="b">
        <v>0</v>
      </c>
      <c r="O48" s="62" t="e">
        <f>_xll.qlInterpolationInterpolate($O$22,$H48)</f>
        <v>#NUM!</v>
      </c>
      <c r="P48" s="25" t="e">
        <f t="shared" si="6"/>
        <v>#NUM!</v>
      </c>
      <c r="Q48" s="144">
        <f>_xll.qlDayCounterYearFraction(DayCounter,H48,E48)</f>
        <v>0.25555555555555554</v>
      </c>
      <c r="R48" s="25" t="e">
        <f t="shared" si="7"/>
        <v>#NUM!</v>
      </c>
      <c r="S48" s="152" t="e">
        <f t="shared" si="16"/>
        <v>#NUM!</v>
      </c>
      <c r="T48" s="159" t="e">
        <f t="shared" si="18"/>
        <v>#NUM!</v>
      </c>
      <c r="U48" s="93" t="e">
        <v>#N/A</v>
      </c>
      <c r="V48" s="94" t="e">
        <v>#N/A</v>
      </c>
    </row>
    <row r="49" spans="1:22" x14ac:dyDescent="0.2">
      <c r="A49" s="83">
        <v>48</v>
      </c>
      <c r="B49" s="164" t="str">
        <f t="shared" si="12"/>
        <v>48x51F</v>
      </c>
      <c r="C49" s="61"/>
      <c r="D49" s="151" t="str">
        <f t="shared" si="17"/>
        <v>48M</v>
      </c>
      <c r="E49" s="161">
        <f>_xll.qlCalendarAdvance(Calendar,H49,$A$21,"Modified Following",TRUE)</f>
        <v>43234</v>
      </c>
      <c r="F49" s="25"/>
      <c r="G49" s="25"/>
      <c r="H49" s="34">
        <f>_xll.qlCalendarAdvance(Calendar,SettlementDate,D49,"MF",TRUE)</f>
        <v>43145</v>
      </c>
      <c r="I49" s="25" t="b">
        <v>1</v>
      </c>
      <c r="J49" s="62" t="e">
        <f>(_xll.qlInterpolationInterpolate(DiscountCurve,H49)/_xll.qlInterpolationInterpolate(DiscountCurve,E49)-1)/Q49</f>
        <v>#NUM!</v>
      </c>
      <c r="K49" s="106" t="b">
        <f t="shared" si="15"/>
        <v>0</v>
      </c>
      <c r="L49" s="61" t="b">
        <f t="shared" si="2"/>
        <v>0</v>
      </c>
      <c r="M49" s="25" t="b">
        <f t="shared" si="3"/>
        <v>0</v>
      </c>
      <c r="N49" s="106" t="b">
        <v>0</v>
      </c>
      <c r="O49" s="62" t="e">
        <f>_xll.qlInterpolationInterpolate($O$22,$H49)</f>
        <v>#NUM!</v>
      </c>
      <c r="P49" s="25" t="e">
        <f t="shared" si="6"/>
        <v>#NUM!</v>
      </c>
      <c r="Q49" s="144">
        <f>_xll.qlDayCounterYearFraction(DayCounter,H49,E49)</f>
        <v>0.24722222222222223</v>
      </c>
      <c r="R49" s="25" t="e">
        <f t="shared" si="7"/>
        <v>#NUM!</v>
      </c>
      <c r="S49" s="152" t="e">
        <f t="shared" si="16"/>
        <v>#NUM!</v>
      </c>
      <c r="T49" s="159" t="e">
        <f t="shared" si="18"/>
        <v>#NUM!</v>
      </c>
      <c r="U49" s="93" t="e">
        <v>#N/A</v>
      </c>
      <c r="V49" s="94" t="e">
        <v>#N/A</v>
      </c>
    </row>
    <row r="50" spans="1:22" x14ac:dyDescent="0.2">
      <c r="A50" s="83">
        <v>51</v>
      </c>
      <c r="B50" s="164" t="str">
        <f t="shared" si="12"/>
        <v>51x54F</v>
      </c>
      <c r="C50" s="61"/>
      <c r="D50" s="151" t="str">
        <f t="shared" si="17"/>
        <v>51M</v>
      </c>
      <c r="E50" s="161">
        <f>_xll.qlCalendarAdvance(Calendar,H50,$A$21,"Modified Following",TRUE)</f>
        <v>43326</v>
      </c>
      <c r="F50" s="25"/>
      <c r="G50" s="25"/>
      <c r="H50" s="34">
        <f>_xll.qlCalendarAdvance(Calendar,SettlementDate,D50,"MF",TRUE)</f>
        <v>43234</v>
      </c>
      <c r="I50" s="25" t="b">
        <v>1</v>
      </c>
      <c r="J50" s="62" t="e">
        <f>(_xll.qlInterpolationInterpolate(DiscountCurve,H50)/_xll.qlInterpolationInterpolate(DiscountCurve,E50)-1)/Q50</f>
        <v>#NUM!</v>
      </c>
      <c r="K50" s="106" t="b">
        <f t="shared" si="15"/>
        <v>0</v>
      </c>
      <c r="L50" s="61" t="b">
        <f t="shared" si="2"/>
        <v>0</v>
      </c>
      <c r="M50" s="25" t="b">
        <f t="shared" si="3"/>
        <v>0</v>
      </c>
      <c r="N50" s="106" t="b">
        <v>0</v>
      </c>
      <c r="O50" s="62" t="e">
        <f>_xll.qlInterpolationInterpolate($O$22,$H50)</f>
        <v>#NUM!</v>
      </c>
      <c r="P50" s="25" t="e">
        <f t="shared" si="6"/>
        <v>#NUM!</v>
      </c>
      <c r="Q50" s="144">
        <f>_xll.qlDayCounterYearFraction(DayCounter,H50,E50)</f>
        <v>0.25555555555555554</v>
      </c>
      <c r="R50" s="25" t="e">
        <f t="shared" si="7"/>
        <v>#NUM!</v>
      </c>
      <c r="S50" s="152" t="e">
        <f t="shared" si="16"/>
        <v>#NUM!</v>
      </c>
      <c r="T50" s="159" t="e">
        <f t="shared" si="18"/>
        <v>#NUM!</v>
      </c>
      <c r="U50" s="93" t="e">
        <v>#N/A</v>
      </c>
      <c r="V50" s="94" t="e">
        <v>#N/A</v>
      </c>
    </row>
    <row r="51" spans="1:22" x14ac:dyDescent="0.2">
      <c r="A51" s="83">
        <v>54</v>
      </c>
      <c r="B51" s="164" t="str">
        <f t="shared" si="12"/>
        <v>54x57F</v>
      </c>
      <c r="C51" s="61"/>
      <c r="D51" s="151" t="str">
        <f t="shared" si="17"/>
        <v>54M</v>
      </c>
      <c r="E51" s="161">
        <f>_xll.qlCalendarAdvance(Calendar,H51,$A$21,"Modified Following",TRUE)</f>
        <v>43418</v>
      </c>
      <c r="F51" s="25"/>
      <c r="G51" s="25"/>
      <c r="H51" s="34">
        <f>_xll.qlCalendarAdvance(Calendar,SettlementDate,D51,"MF",TRUE)</f>
        <v>43326</v>
      </c>
      <c r="I51" s="25" t="b">
        <v>1</v>
      </c>
      <c r="J51" s="62" t="e">
        <f>(_xll.qlInterpolationInterpolate(DiscountCurve,H51)/_xll.qlInterpolationInterpolate(DiscountCurve,E51)-1)/Q51</f>
        <v>#NUM!</v>
      </c>
      <c r="K51" s="106" t="b">
        <f t="shared" si="15"/>
        <v>0</v>
      </c>
      <c r="L51" s="61" t="b">
        <f t="shared" si="2"/>
        <v>0</v>
      </c>
      <c r="M51" s="25" t="b">
        <f t="shared" si="3"/>
        <v>0</v>
      </c>
      <c r="N51" s="106" t="b">
        <v>0</v>
      </c>
      <c r="O51" s="62" t="e">
        <f>_xll.qlInterpolationInterpolate($O$22,$H51)</f>
        <v>#NUM!</v>
      </c>
      <c r="P51" s="25" t="e">
        <f t="shared" si="6"/>
        <v>#NUM!</v>
      </c>
      <c r="Q51" s="144">
        <f>_xll.qlDayCounterYearFraction(DayCounter,H51,E51)</f>
        <v>0.25555555555555554</v>
      </c>
      <c r="R51" s="25" t="e">
        <f t="shared" si="7"/>
        <v>#NUM!</v>
      </c>
      <c r="S51" s="152" t="e">
        <f t="shared" si="16"/>
        <v>#NUM!</v>
      </c>
      <c r="T51" s="159" t="e">
        <f t="shared" si="18"/>
        <v>#NUM!</v>
      </c>
      <c r="U51" s="93" t="e">
        <v>#N/A</v>
      </c>
      <c r="V51" s="94" t="e">
        <v>#N/A</v>
      </c>
    </row>
    <row r="52" spans="1:22" x14ac:dyDescent="0.2">
      <c r="A52" s="83">
        <v>57</v>
      </c>
      <c r="B52" s="166" t="str">
        <f t="shared" si="12"/>
        <v>57x60F</v>
      </c>
      <c r="C52" s="63"/>
      <c r="D52" s="154" t="str">
        <f t="shared" si="17"/>
        <v>57M</v>
      </c>
      <c r="E52" s="162">
        <f>_xll.qlCalendarAdvance(Calendar,H52,$A$21,"Modified Following",TRUE)</f>
        <v>43510</v>
      </c>
      <c r="F52" s="153"/>
      <c r="G52" s="153"/>
      <c r="H52" s="64">
        <f>_xll.qlCalendarAdvance(Calendar,SettlementDate,D52,"MF",TRUE)</f>
        <v>43418</v>
      </c>
      <c r="I52" s="153" t="b">
        <v>1</v>
      </c>
      <c r="J52" s="168" t="e">
        <f>(_xll.qlInterpolationInterpolate(DiscountCurve,H52)/_xll.qlInterpolationInterpolate(DiscountCurve,E52,TRUE)-1)/Q52</f>
        <v>#NUM!</v>
      </c>
      <c r="K52" s="107" t="b">
        <f t="shared" si="15"/>
        <v>0</v>
      </c>
      <c r="L52" s="63" t="b">
        <f t="shared" si="2"/>
        <v>0</v>
      </c>
      <c r="M52" s="153" t="b">
        <f t="shared" si="3"/>
        <v>0</v>
      </c>
      <c r="N52" s="107" t="b">
        <v>0</v>
      </c>
      <c r="O52" s="65" t="e">
        <f>_xll.qlInterpolationInterpolate($O$22,$H52)</f>
        <v>#NUM!</v>
      </c>
      <c r="P52" s="153" t="e">
        <f t="shared" si="6"/>
        <v>#NUM!</v>
      </c>
      <c r="Q52" s="155">
        <f>_xll.qlDayCounterYearFraction(DayCounter,H52,E52)</f>
        <v>0.25555555555555554</v>
      </c>
      <c r="R52" s="153" t="e">
        <f t="shared" si="7"/>
        <v>#NUM!</v>
      </c>
      <c r="S52" s="156" t="e">
        <f t="shared" si="16"/>
        <v>#NUM!</v>
      </c>
      <c r="T52" s="167" t="e">
        <f t="shared" si="18"/>
        <v>#NUM!</v>
      </c>
      <c r="U52" s="95" t="e">
        <v>#N/A</v>
      </c>
      <c r="V52" s="157" t="e">
        <v>#N/A</v>
      </c>
    </row>
    <row r="53" spans="1:22" x14ac:dyDescent="0.2">
      <c r="I53" s="24"/>
    </row>
    <row r="54" spans="1:22" x14ac:dyDescent="0.2">
      <c r="I54" s="24"/>
    </row>
    <row r="55" spans="1:22" x14ac:dyDescent="0.2">
      <c r="I55" s="24"/>
    </row>
    <row r="56" spans="1:22" x14ac:dyDescent="0.2">
      <c r="I56" s="24"/>
    </row>
    <row r="57" spans="1:22" x14ac:dyDescent="0.2">
      <c r="I57" s="24"/>
    </row>
    <row r="58" spans="1:22" x14ac:dyDescent="0.2">
      <c r="I58" s="24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52"/>
  <sheetViews>
    <sheetView topLeftCell="B1" workbookViewId="0">
      <selection activeCell="B1" sqref="B1"/>
    </sheetView>
  </sheetViews>
  <sheetFormatPr defaultRowHeight="11.25" x14ac:dyDescent="0.2"/>
  <cols>
    <col min="1" max="1" width="13.83203125" style="179" hidden="1" customWidth="1"/>
    <col min="2" max="2" width="12.33203125" style="179" bestFit="1" customWidth="1"/>
    <col min="3" max="3" width="25.33203125" style="179" bestFit="1" customWidth="1"/>
    <col min="4" max="4" width="16.5" style="179" bestFit="1" customWidth="1"/>
    <col min="5" max="5" width="16.33203125" style="179" bestFit="1" customWidth="1"/>
    <col min="6" max="6" width="8.83203125" style="179" bestFit="1" customWidth="1"/>
    <col min="7" max="7" width="8.33203125" style="179" bestFit="1" customWidth="1"/>
    <col min="8" max="8" width="16.5" style="179" bestFit="1" customWidth="1"/>
    <col min="9" max="9" width="6.6640625" style="179" bestFit="1" customWidth="1"/>
    <col min="10" max="10" width="8.33203125" style="179" bestFit="1" customWidth="1"/>
    <col min="11" max="11" width="9" style="179" bestFit="1" customWidth="1"/>
    <col min="12" max="14" width="6.6640625" style="179" bestFit="1" customWidth="1"/>
    <col min="15" max="15" width="14.6640625" style="179" bestFit="1" customWidth="1"/>
    <col min="16" max="16" width="7" style="179" bestFit="1" customWidth="1"/>
    <col min="17" max="18" width="10.33203125" style="179" bestFit="1" customWidth="1"/>
    <col min="19" max="19" width="8.33203125" style="179" bestFit="1" customWidth="1"/>
    <col min="20" max="20" width="14.6640625" style="179" customWidth="1"/>
    <col min="21" max="21" width="18" style="179" bestFit="1" customWidth="1"/>
    <col min="22" max="22" width="8.33203125" style="179" bestFit="1" customWidth="1"/>
    <col min="23" max="23" width="3.83203125" style="179" customWidth="1"/>
    <col min="24" max="16384" width="9.33203125" style="179"/>
  </cols>
  <sheetData>
    <row r="1" spans="1:15" s="3" customFormat="1" x14ac:dyDescent="0.2">
      <c r="O1" s="83" t="s">
        <v>34</v>
      </c>
    </row>
    <row r="2" spans="1:15" s="3" customFormat="1" x14ac:dyDescent="0.2">
      <c r="O2" s="3" t="b">
        <v>0</v>
      </c>
    </row>
    <row r="3" spans="1:15" s="3" customFormat="1" x14ac:dyDescent="0.2"/>
    <row r="4" spans="1:15" s="3" customFormat="1" x14ac:dyDescent="0.2"/>
    <row r="5" spans="1:15" s="3" customFormat="1" x14ac:dyDescent="0.2"/>
    <row r="6" spans="1:15" s="3" customFormat="1" x14ac:dyDescent="0.2"/>
    <row r="7" spans="1:15" s="3" customFormat="1" x14ac:dyDescent="0.2"/>
    <row r="8" spans="1:15" s="3" customFormat="1" x14ac:dyDescent="0.2">
      <c r="A8" s="3">
        <v>3</v>
      </c>
      <c r="B8" s="3" t="str">
        <f>"AB"&amp;Months&amp;"E"&amp;A8&amp;"Y"</f>
        <v>AB6E3Y</v>
      </c>
      <c r="C8" s="3" t="str">
        <f>RateHelperPrefix&amp;$B8</f>
        <v>GBP_YC6MRH_AB6E3Y</v>
      </c>
      <c r="F8" s="176" t="e">
        <f>_xll.qlRateHelperQuoteValue(C8,SheetTrigger)</f>
        <v>#NUM!</v>
      </c>
    </row>
    <row r="9" spans="1:15" s="3" customFormat="1" x14ac:dyDescent="0.2">
      <c r="A9" s="3">
        <v>4</v>
      </c>
      <c r="B9" s="3" t="str">
        <f>"AB"&amp;Months&amp;"E"&amp;A9&amp;"Y"</f>
        <v>AB6E4Y</v>
      </c>
      <c r="C9" s="3" t="str">
        <f>RateHelperPrefix&amp;$B9</f>
        <v>GBP_YC6MRH_AB6E4Y</v>
      </c>
      <c r="F9" s="176" t="e">
        <f>_xll.qlRateHelperQuoteValue(C9,SheetTrigger)</f>
        <v>#NUM!</v>
      </c>
    </row>
    <row r="10" spans="1:15" s="3" customFormat="1" x14ac:dyDescent="0.2">
      <c r="A10" s="3">
        <v>5</v>
      </c>
      <c r="B10" s="3" t="str">
        <f>"AB"&amp;Months&amp;"E"&amp;A10&amp;"Y"</f>
        <v>AB6E5Y</v>
      </c>
      <c r="C10" s="3" t="str">
        <f>RateHelperPrefix&amp;$B10</f>
        <v>GBP_YC6MRH_AB6E5Y</v>
      </c>
      <c r="F10" s="176" t="e">
        <f>_xll.qlRateHelperQuoteValue(C10,SheetTrigger)</f>
        <v>#NUM!</v>
      </c>
    </row>
    <row r="11" spans="1:15" s="3" customFormat="1" x14ac:dyDescent="0.2"/>
    <row r="12" spans="1:15" s="3" customFormat="1" x14ac:dyDescent="0.2"/>
    <row r="13" spans="1:15" s="3" customFormat="1" x14ac:dyDescent="0.2"/>
    <row r="14" spans="1:15" s="3" customFormat="1" x14ac:dyDescent="0.2"/>
    <row r="15" spans="1:15" s="3" customFormat="1" x14ac:dyDescent="0.2"/>
    <row r="16" spans="1:15" s="3" customFormat="1" x14ac:dyDescent="0.2"/>
    <row r="17" spans="1:22" s="3" customFormat="1" x14ac:dyDescent="0.2"/>
    <row r="18" spans="1:22" s="3" customFormat="1" x14ac:dyDescent="0.2"/>
    <row r="19" spans="1:22" s="3" customFormat="1" x14ac:dyDescent="0.2"/>
    <row r="20" spans="1:22" x14ac:dyDescent="0.2">
      <c r="A20" s="83">
        <v>6</v>
      </c>
      <c r="B20" s="7"/>
      <c r="C20" s="3"/>
      <c r="D20" s="3"/>
      <c r="E20" s="3"/>
      <c r="F20" s="3"/>
      <c r="G20" s="7"/>
      <c r="H20" s="3"/>
      <c r="I20" s="3"/>
      <c r="J20" s="7"/>
      <c r="K20" s="3"/>
      <c r="L20" s="7"/>
      <c r="M20" s="7"/>
      <c r="N20" s="7"/>
      <c r="O20" s="22"/>
      <c r="P20" s="81">
        <f>IF(ISBLANK($O20),AVERAGE(_xll.ohFilter($P23:$P34,$L23:$L34)),$O20)</f>
        <v>4.0748520730748191E-5</v>
      </c>
      <c r="Q20" s="47" t="e">
        <f>'3M'!TOY</f>
        <v>#NUM!</v>
      </c>
      <c r="R20" s="267" t="e">
        <f>IF(ISBLANK($Q20),MIN(AVERAGE(_xll.ohFilter($R23:$R34,$L23:$L34)),1),$Q20)</f>
        <v>#NUM!</v>
      </c>
      <c r="S20" s="177" t="s">
        <v>12</v>
      </c>
      <c r="T20" s="178"/>
      <c r="U20" s="179" t="e">
        <f>_xll.qlInterpolation(,FwdInterpolationType,_xll.ohFilter($H23:$H45,$K23:$K45),_xll.ohFilter($S23:$S45,$K23:$K45))</f>
        <v>#NUM!</v>
      </c>
    </row>
    <row r="21" spans="1:22" x14ac:dyDescent="0.2">
      <c r="A21" s="261" t="str">
        <f>_xll.qlPeriodEquivalent(A20&amp;"M")</f>
        <v>6M</v>
      </c>
      <c r="B21" s="178"/>
      <c r="D21" s="178"/>
      <c r="E21" s="178"/>
      <c r="G21" s="178"/>
      <c r="J21" s="178"/>
      <c r="L21" s="178"/>
      <c r="M21" s="178"/>
      <c r="N21" s="178"/>
      <c r="O21" s="181"/>
      <c r="P21" s="182" t="e">
        <f>IF(ISBLANK($O21),AVERAGE(_xll.ohFilter($P23:$P34,$M23:$M34)),$O21)</f>
        <v>#NUM!</v>
      </c>
      <c r="Q21" s="221">
        <f>'3M'!_TOY2</f>
        <v>1</v>
      </c>
      <c r="R21" s="268">
        <f>IF(ISBLANK($Q21),MIN(AVERAGE(_xll.ohFilter($R23:$R34,$M23:$M34)),1),$Q21)</f>
        <v>1</v>
      </c>
      <c r="S21" s="183" t="s">
        <v>17</v>
      </c>
      <c r="T21" s="178"/>
      <c r="U21" s="184" t="e">
        <f>_xll.qlInterpolation(,FwdInterpolationType,_xll.ohFilter($H23:$H39,$K23:$K39),_xll.ohFilter($S23:$S39,$K23:$K39))</f>
        <v>#NUM!</v>
      </c>
      <c r="V21" s="177"/>
    </row>
    <row r="22" spans="1:22" x14ac:dyDescent="0.2">
      <c r="A22" s="180" t="str">
        <f>Currency&amp;"_YC"&amp;IndexTenor&amp;"RH_"</f>
        <v>GBP_YC6MRH_</v>
      </c>
      <c r="B22" s="184"/>
      <c r="C22" s="185" t="s">
        <v>6</v>
      </c>
      <c r="D22" s="186" t="s">
        <v>5</v>
      </c>
      <c r="E22" s="187" t="s">
        <v>4</v>
      </c>
      <c r="F22" s="185" t="s">
        <v>27</v>
      </c>
      <c r="G22" s="188"/>
      <c r="H22" s="187" t="s">
        <v>25</v>
      </c>
      <c r="I22" s="186" t="s">
        <v>30</v>
      </c>
      <c r="J22" s="186" t="s">
        <v>28</v>
      </c>
      <c r="K22" s="189" t="s">
        <v>31</v>
      </c>
      <c r="L22" s="186" t="s">
        <v>26</v>
      </c>
      <c r="M22" s="186" t="s">
        <v>17</v>
      </c>
      <c r="N22" s="189" t="s">
        <v>29</v>
      </c>
      <c r="O22" s="190" t="str">
        <f>_xll.qlInterpolation(,FwdInterpolationType,_xll.ohFilter($H23:$H39,$N23:$N39),_xll.ohFilter($J23:$J39,$N23:$N39))</f>
        <v>obj_005e2#0000</v>
      </c>
      <c r="P22" s="191" t="s">
        <v>8</v>
      </c>
      <c r="Q22" s="192" t="s">
        <v>9</v>
      </c>
      <c r="R22" s="191" t="s">
        <v>10</v>
      </c>
      <c r="S22" s="185" t="s">
        <v>32</v>
      </c>
      <c r="T22" s="186" t="s">
        <v>8</v>
      </c>
      <c r="U22" s="193">
        <f>D23</f>
        <v>41684</v>
      </c>
      <c r="V22" s="194" t="e">
        <f>_xll.qlInterpolationInterpolate(ExtFwdInterpolator,U22,TRUE)</f>
        <v>#VALUE!</v>
      </c>
    </row>
    <row r="23" spans="1:22" x14ac:dyDescent="0.2">
      <c r="A23" s="48">
        <f>_xll.ohTrigger(Triggers!TriggerTOY6M,EvaluationDate)</f>
        <v>0</v>
      </c>
      <c r="B23" s="195" t="str">
        <f>IndexTenor&amp;"D"</f>
        <v>6MD</v>
      </c>
      <c r="C23" s="196" t="str">
        <f>RateHelperPrefix&amp;$B23</f>
        <v>GBP_YC6MRH_6MD</v>
      </c>
      <c r="D23" s="197">
        <f>_xll.qlRateHelperEarliestDate($C23,EvaluationDate)</f>
        <v>41684</v>
      </c>
      <c r="E23" s="197">
        <f>_xll.qlRateHelperLatestDate($C23,EvaluationDate)</f>
        <v>41865</v>
      </c>
      <c r="F23" s="198">
        <f>_xll.qlRateHelperQuoteValue($C23,SheetTrigger)</f>
        <v>5.9290000000000002E-3</v>
      </c>
      <c r="G23" s="199"/>
      <c r="H23" s="197">
        <f t="shared" ref="H23:H34" si="0">$D23</f>
        <v>41684</v>
      </c>
      <c r="I23" s="200" t="b">
        <v>1</v>
      </c>
      <c r="J23" s="201">
        <f>F23</f>
        <v>5.9290000000000002E-3</v>
      </c>
      <c r="K23" s="177" t="b">
        <f>AND(ISNUMBER(J23),I23)</f>
        <v>1</v>
      </c>
      <c r="L23" s="196" t="b">
        <f t="shared" ref="L23:L45" si="1">NOT(OR($H23&gt;LastDayInYear,$E23&lt;=LastDayInYear))</f>
        <v>0</v>
      </c>
      <c r="M23" s="196" t="b">
        <f t="shared" ref="M23:M45" si="2">NOT(OR($H23&gt;LastDayInNextYear,$E23&lt;=LastDayInNextYear))</f>
        <v>0</v>
      </c>
      <c r="N23" s="177" t="b">
        <f>IF(K23,AND(NOT($L23),NOT($M23)),FALSE)</f>
        <v>1</v>
      </c>
      <c r="O23" s="198">
        <f>_xll.qlInterpolationInterpolate($O$22,$H23)</f>
        <v>5.9290000000000002E-3</v>
      </c>
      <c r="P23" s="202">
        <f t="shared" ref="P23:P45" si="3">$J23-$O23</f>
        <v>0</v>
      </c>
      <c r="Q23" s="203">
        <f>_xll.qlDayCounterYearFraction(DayCounter,$H23,$E23)</f>
        <v>0.50277777777777777</v>
      </c>
      <c r="R23" s="204">
        <f t="shared" ref="R23:R45" si="4">(1+$O23*$Q23)/(1+$J23*$Q23)</f>
        <v>1</v>
      </c>
      <c r="S23" s="205">
        <f t="shared" ref="S23:S34" si="5">IF($L23,(TOY*(1+$J23*$Q23)-1)/$Q23,IF($M23,(_TOY2*(1+$J23*$Q23)-1)/$Q23,$J23))</f>
        <v>5.9290000000000002E-3</v>
      </c>
      <c r="T23" s="206">
        <f t="shared" ref="T23:T34" si="6">S23-J23</f>
        <v>0</v>
      </c>
      <c r="U23" s="207">
        <f t="array" ref="U23:U45">SelectionSort(_xll.ohFilter(H23:H45,K23:K45))</f>
        <v>41684</v>
      </c>
      <c r="V23" s="208" t="e">
        <f t="array" ref="V23:V45">_xll.qlInterpolationInterpolate(ExtFwdInterpolator,_xll.ohPack(U23:U45))</f>
        <v>#VALUE!</v>
      </c>
    </row>
    <row r="24" spans="1:22" x14ac:dyDescent="0.2">
      <c r="A24" s="180" t="str">
        <f>PROPER(Currency)&amp;IF(UPPER(Currency)&lt;&gt;"EUR","L","")&amp;"ibor"&amp;IndexTenor</f>
        <v>GbpLibor6M</v>
      </c>
      <c r="B24" s="210" t="s">
        <v>33</v>
      </c>
      <c r="C24" s="211" t="str">
        <f>A24&amp;B24&amp;"_Quote"</f>
        <v>GbpLibor6MLastFixing_Quote</v>
      </c>
      <c r="D24" s="212">
        <f>_xll.qlCalendarAdvance(Calendar,_xll.qlLastFixingQuoteReferenceDate(C24),"2D","f",,SheetTrigger)</f>
        <v>41466</v>
      </c>
      <c r="E24" s="212">
        <f>_xll.qlCalendarAdvance(Calendar,D24,IndexTenor,"Modified Following",TRUE,SheetTrigger)</f>
        <v>41652</v>
      </c>
      <c r="F24" s="213">
        <f>_xll.qlQuoteValue(C24,SheetTrigger)</f>
        <v>5.9175E-3</v>
      </c>
      <c r="G24" s="214"/>
      <c r="H24" s="215">
        <f>H23</f>
        <v>41684</v>
      </c>
      <c r="I24" s="216" t="b">
        <v>0</v>
      </c>
      <c r="J24" s="217">
        <f>F24</f>
        <v>5.9175E-3</v>
      </c>
      <c r="K24" s="183" t="b">
        <f>AND(ISNUMBER(J24),I24)</f>
        <v>0</v>
      </c>
      <c r="L24" s="211" t="b">
        <f t="shared" si="1"/>
        <v>0</v>
      </c>
      <c r="M24" s="211" t="b">
        <f t="shared" si="2"/>
        <v>0</v>
      </c>
      <c r="N24" s="183" t="b">
        <f>IF(K24,AND(NOT($L24),NOT($M24)),FALSE)</f>
        <v>0</v>
      </c>
      <c r="O24" s="213">
        <f>_xll.qlInterpolationInterpolate($O$22,$H24)</f>
        <v>5.9290000000000002E-3</v>
      </c>
      <c r="P24" s="218">
        <f>$J24-$O24</f>
        <v>-1.1500000000000225E-5</v>
      </c>
      <c r="Q24" s="219">
        <f>_xll.qlDayCounterYearFraction(DayCounter,$H24,$E24)</f>
        <v>-8.8888888888888892E-2</v>
      </c>
      <c r="R24" s="220">
        <f>(1+$O24*$Q24)/(1+$J24*$Q24)</f>
        <v>0.99999897723980591</v>
      </c>
      <c r="S24" s="221">
        <f>IF($L24,(TOY*(1+$J24*$Q24)-1)/$Q24,IF($M24,(_TOY2*(1+$J24*$Q24)-1)/$Q24,$J24))</f>
        <v>5.9175E-3</v>
      </c>
      <c r="T24" s="222">
        <f>S24-J24</f>
        <v>0</v>
      </c>
      <c r="U24" s="207">
        <v>41712</v>
      </c>
      <c r="V24" s="208" t="e">
        <v>#VALUE!</v>
      </c>
    </row>
    <row r="25" spans="1:22" x14ac:dyDescent="0.2">
      <c r="A25" s="180"/>
      <c r="B25" s="184" t="str">
        <f>"T"&amp;$A$20&amp;"F1"</f>
        <v>T6F1</v>
      </c>
      <c r="C25" s="184" t="str">
        <f>RateHelperPrefix&amp;$B25</f>
        <v>GBP_YC6MRH_T6F1</v>
      </c>
      <c r="D25" s="197">
        <f>_xll.qlRateHelperEarliestDate($C25,EvaluationDate)</f>
        <v>41684</v>
      </c>
      <c r="E25" s="197">
        <f>_xll.qlRateHelperLatestDate($C25,EvaluationDate)</f>
        <v>41865</v>
      </c>
      <c r="F25" s="198" t="e">
        <f>_xll.qlRateHelperQuoteValue($C25,SheetTrigger)</f>
        <v>#NUM!</v>
      </c>
      <c r="G25" s="196"/>
      <c r="H25" s="197">
        <f>$D25</f>
        <v>41684</v>
      </c>
      <c r="I25" s="200" t="b">
        <v>0</v>
      </c>
      <c r="J25" s="201" t="e">
        <f>F25</f>
        <v>#NUM!</v>
      </c>
      <c r="K25" s="177" t="b">
        <f t="shared" ref="K25:K34" si="7">AND(ISNUMBER(J25),I25)</f>
        <v>0</v>
      </c>
      <c r="L25" s="196" t="b">
        <f>NOT(OR($H25&gt;LastDayInYear,$E25&lt;=LastDayInYear))</f>
        <v>0</v>
      </c>
      <c r="M25" s="196" t="b">
        <f>NOT(OR($H25&gt;LastDayInNextYear,$E25&lt;=LastDayInNextYear))</f>
        <v>0</v>
      </c>
      <c r="N25" s="177" t="b">
        <f>IF(K25,AND(NOT($L25),NOT($M25)),FALSE)</f>
        <v>0</v>
      </c>
      <c r="O25" s="198">
        <f>_xll.qlInterpolationInterpolate($O$22,$H25)</f>
        <v>5.9290000000000002E-3</v>
      </c>
      <c r="P25" s="202" t="e">
        <f>$J25-$O25</f>
        <v>#NUM!</v>
      </c>
      <c r="Q25" s="203">
        <f>_xll.qlDayCounterYearFraction(DayCounter,$H25,$E25)</f>
        <v>0.50277777777777777</v>
      </c>
      <c r="R25" s="204" t="e">
        <f>(1+$O25*$Q25)/(1+$J25*$Q25)</f>
        <v>#NUM!</v>
      </c>
      <c r="S25" s="205" t="e">
        <f>IF($L25,(TOY*(1+$J25*$Q25)-1)/$Q25,IF($M25,(_TOY2*(1+$J25*$Q25)-1)/$Q25,$J25))</f>
        <v>#NUM!</v>
      </c>
      <c r="T25" s="206" t="e">
        <f>S25-J25</f>
        <v>#NUM!</v>
      </c>
      <c r="U25" s="207">
        <v>41743</v>
      </c>
      <c r="V25" s="208" t="e">
        <v>#VALUE!</v>
      </c>
    </row>
    <row r="26" spans="1:22" x14ac:dyDescent="0.2">
      <c r="A26" s="180"/>
      <c r="B26" s="181" t="str">
        <f>"TOM"&amp;$A$20&amp;"F1"</f>
        <v>TOM6F1</v>
      </c>
      <c r="C26" s="181" t="str">
        <f>RateHelperPrefix&amp;$B26</f>
        <v>GBP_YC6MRH_TOM6F1</v>
      </c>
      <c r="D26" s="215">
        <f>_xll.qlRateHelperEarliestDate($C26,EvaluationDate)</f>
        <v>41687</v>
      </c>
      <c r="E26" s="215">
        <f>_xll.qlRateHelperLatestDate($C26,EvaluationDate)</f>
        <v>41869</v>
      </c>
      <c r="F26" s="213" t="e">
        <f>_xll.qlRateHelperQuoteValue($C26,SheetTrigger)</f>
        <v>#NUM!</v>
      </c>
      <c r="G26" s="211"/>
      <c r="H26" s="215">
        <f>$D26</f>
        <v>41687</v>
      </c>
      <c r="I26" s="216" t="b">
        <v>1</v>
      </c>
      <c r="J26" s="217" t="e">
        <f>F26</f>
        <v>#NUM!</v>
      </c>
      <c r="K26" s="183" t="b">
        <f>AND(ISNUMBER(J26),I26)</f>
        <v>0</v>
      </c>
      <c r="L26" s="211" t="b">
        <f>NOT(OR($H26&gt;LastDayInYear,$E26&lt;=LastDayInYear))</f>
        <v>0</v>
      </c>
      <c r="M26" s="211" t="b">
        <f>NOT(OR($H26&gt;LastDayInNextYear,$E26&lt;=LastDayInNextYear))</f>
        <v>0</v>
      </c>
      <c r="N26" s="183" t="b">
        <f>IF(K26,AND(NOT($L26),NOT($M26)),FALSE)</f>
        <v>0</v>
      </c>
      <c r="O26" s="213">
        <f>_xll.qlInterpolationInterpolate($O$22,$H26)</f>
        <v>6.0080752627404256E-3</v>
      </c>
      <c r="P26" s="218" t="e">
        <f>$J26-$O26</f>
        <v>#NUM!</v>
      </c>
      <c r="Q26" s="219">
        <f>_xll.qlDayCounterYearFraction(DayCounter,$H26,$E26)</f>
        <v>0.50555555555555554</v>
      </c>
      <c r="R26" s="220" t="e">
        <f>(1+$O26*$Q26)/(1+$J26*$Q26)</f>
        <v>#NUM!</v>
      </c>
      <c r="S26" s="221" t="e">
        <f>IF($L26,(TOY*(1+$J26*$Q26)-1)/$Q26,IF($M26,(_TOY2*(1+$J26*$Q26)-1)/$Q26,$J26))</f>
        <v>#NUM!</v>
      </c>
      <c r="T26" s="222" t="e">
        <f>S26-J26</f>
        <v>#NUM!</v>
      </c>
      <c r="U26" s="207">
        <v>41773</v>
      </c>
      <c r="V26" s="208" t="e">
        <v>#VALUE!</v>
      </c>
    </row>
    <row r="27" spans="1:22" x14ac:dyDescent="0.2">
      <c r="A27" s="228">
        <v>1</v>
      </c>
      <c r="B27" s="184" t="str">
        <f>A27&amp;"x"&amp;(A27+$A$20)&amp;"F"</f>
        <v>1x7F</v>
      </c>
      <c r="C27" s="184" t="str">
        <f t="shared" ref="C27:C34" si="8">RateHelperPrefix&amp;$B27</f>
        <v>GBP_YC6MRH_1x7F</v>
      </c>
      <c r="D27" s="197">
        <f>_xll.qlRateHelperEarliestDate($C27,EvaluationDate)</f>
        <v>41712</v>
      </c>
      <c r="E27" s="197">
        <f>_xll.qlRateHelperLatestDate($C27,EvaluationDate)</f>
        <v>41897</v>
      </c>
      <c r="F27" s="198">
        <f>_xll.qlRateHelperQuoteValue($C27,SheetTrigger)</f>
        <v>6.5000000000000006E-3</v>
      </c>
      <c r="G27" s="229"/>
      <c r="H27" s="197">
        <f t="shared" si="0"/>
        <v>41712</v>
      </c>
      <c r="I27" s="197" t="b">
        <v>1</v>
      </c>
      <c r="J27" s="201">
        <f t="shared" ref="J27:J34" si="9">F27</f>
        <v>6.5000000000000006E-3</v>
      </c>
      <c r="K27" s="177" t="b">
        <f t="shared" si="7"/>
        <v>1</v>
      </c>
      <c r="L27" s="196" t="b">
        <f t="shared" si="1"/>
        <v>0</v>
      </c>
      <c r="M27" s="196" t="b">
        <f t="shared" si="2"/>
        <v>0</v>
      </c>
      <c r="N27" s="177" t="b">
        <f t="shared" ref="N27:N39" si="10">IF(K27,AND(NOT($L27),NOT($M27)),FALSE)</f>
        <v>1</v>
      </c>
      <c r="O27" s="201">
        <f>_xll.qlInterpolationInterpolate($O$22,$H27)</f>
        <v>6.5000000000000006E-3</v>
      </c>
      <c r="P27" s="202">
        <f t="shared" si="3"/>
        <v>0</v>
      </c>
      <c r="Q27" s="203">
        <f>_xll.qlDayCounterYearFraction(DayCounter,$H27,$E27)</f>
        <v>0.51388888888888884</v>
      </c>
      <c r="R27" s="230">
        <f t="shared" si="4"/>
        <v>1</v>
      </c>
      <c r="S27" s="209">
        <f t="shared" si="5"/>
        <v>6.5000000000000006E-3</v>
      </c>
      <c r="T27" s="206">
        <f t="shared" si="6"/>
        <v>0</v>
      </c>
      <c r="U27" s="207">
        <v>41806</v>
      </c>
      <c r="V27" s="208" t="e">
        <v>#VALUE!</v>
      </c>
    </row>
    <row r="28" spans="1:22" x14ac:dyDescent="0.2">
      <c r="A28" s="228">
        <v>2</v>
      </c>
      <c r="B28" s="223" t="str">
        <f t="shared" ref="B28:B34" si="11">A28&amp;"x"&amp;(A28+$A$20)&amp;"F"</f>
        <v>2x8F</v>
      </c>
      <c r="C28" s="223" t="str">
        <f t="shared" si="8"/>
        <v>GBP_YC6MRH_2x8F</v>
      </c>
      <c r="D28" s="226">
        <f>_xll.qlRateHelperEarliestDate($C28,EvaluationDate)</f>
        <v>41743</v>
      </c>
      <c r="E28" s="226">
        <f>_xll.qlRateHelperLatestDate($C28,EvaluationDate)</f>
        <v>41926</v>
      </c>
      <c r="F28" s="231">
        <f>_xll.qlRateHelperQuoteValue($C28,SheetTrigger)</f>
        <v>6.45E-3</v>
      </c>
      <c r="G28" s="232"/>
      <c r="H28" s="226">
        <f t="shared" si="0"/>
        <v>41743</v>
      </c>
      <c r="I28" s="226" t="b">
        <v>1</v>
      </c>
      <c r="J28" s="233">
        <f t="shared" si="9"/>
        <v>6.45E-3</v>
      </c>
      <c r="K28" s="234" t="b">
        <f t="shared" si="7"/>
        <v>1</v>
      </c>
      <c r="L28" s="178" t="b">
        <f t="shared" si="1"/>
        <v>0</v>
      </c>
      <c r="M28" s="178" t="b">
        <f t="shared" si="2"/>
        <v>0</v>
      </c>
      <c r="N28" s="234" t="b">
        <f t="shared" si="10"/>
        <v>1</v>
      </c>
      <c r="O28" s="233">
        <f>_xll.qlInterpolationInterpolate($O$22,$H28)</f>
        <v>6.45E-3</v>
      </c>
      <c r="P28" s="235">
        <f t="shared" si="3"/>
        <v>0</v>
      </c>
      <c r="Q28" s="236">
        <f>_xll.qlDayCounterYearFraction(DayCounter,$H28,$E28)</f>
        <v>0.5083333333333333</v>
      </c>
      <c r="R28" s="237">
        <f t="shared" si="4"/>
        <v>1</v>
      </c>
      <c r="S28" s="224">
        <f t="shared" si="5"/>
        <v>6.45E-3</v>
      </c>
      <c r="T28" s="238">
        <f t="shared" si="6"/>
        <v>0</v>
      </c>
      <c r="U28" s="207">
        <v>41834</v>
      </c>
      <c r="V28" s="208" t="e">
        <v>#VALUE!</v>
      </c>
    </row>
    <row r="29" spans="1:22" x14ac:dyDescent="0.2">
      <c r="A29" s="228">
        <v>3</v>
      </c>
      <c r="B29" s="223" t="str">
        <f t="shared" si="11"/>
        <v>3x9F</v>
      </c>
      <c r="C29" s="223" t="str">
        <f t="shared" si="8"/>
        <v>GBP_YC6MRH_3x9F</v>
      </c>
      <c r="D29" s="226">
        <f>_xll.qlRateHelperEarliestDate($C29,EvaluationDate)</f>
        <v>41773</v>
      </c>
      <c r="E29" s="226">
        <f>_xll.qlRateHelperLatestDate($C29,EvaluationDate)</f>
        <v>41957</v>
      </c>
      <c r="F29" s="231">
        <f>_xll.qlRateHelperQuoteValue($C29,SheetTrigger)</f>
        <v>6.4000000000000003E-3</v>
      </c>
      <c r="G29" s="232"/>
      <c r="H29" s="226">
        <f t="shared" si="0"/>
        <v>41773</v>
      </c>
      <c r="I29" s="226" t="b">
        <v>1</v>
      </c>
      <c r="J29" s="233">
        <f t="shared" si="9"/>
        <v>6.4000000000000003E-3</v>
      </c>
      <c r="K29" s="234" t="b">
        <f t="shared" si="7"/>
        <v>1</v>
      </c>
      <c r="L29" s="178" t="b">
        <f t="shared" si="1"/>
        <v>0</v>
      </c>
      <c r="M29" s="178" t="b">
        <f t="shared" si="2"/>
        <v>0</v>
      </c>
      <c r="N29" s="234" t="b">
        <f t="shared" si="10"/>
        <v>1</v>
      </c>
      <c r="O29" s="233">
        <f>_xll.qlInterpolationInterpolate($O$22,$H29)</f>
        <v>6.4000000000000003E-3</v>
      </c>
      <c r="P29" s="235">
        <f t="shared" si="3"/>
        <v>0</v>
      </c>
      <c r="Q29" s="236">
        <f>_xll.qlDayCounterYearFraction(DayCounter,$H29,$E29)</f>
        <v>0.51111111111111107</v>
      </c>
      <c r="R29" s="237">
        <f t="shared" si="4"/>
        <v>1</v>
      </c>
      <c r="S29" s="224">
        <f t="shared" si="5"/>
        <v>6.4000000000000003E-3</v>
      </c>
      <c r="T29" s="238">
        <f t="shared" si="6"/>
        <v>0</v>
      </c>
      <c r="U29" s="207">
        <v>41865</v>
      </c>
      <c r="V29" s="208" t="e">
        <v>#VALUE!</v>
      </c>
    </row>
    <row r="30" spans="1:22" x14ac:dyDescent="0.2">
      <c r="A30" s="228">
        <v>4</v>
      </c>
      <c r="B30" s="223" t="str">
        <f t="shared" si="11"/>
        <v>4x10F</v>
      </c>
      <c r="C30" s="223" t="str">
        <f t="shared" si="8"/>
        <v>GBP_YC6MRH_4x10F</v>
      </c>
      <c r="D30" s="226">
        <f>_xll.qlRateHelperEarliestDate($C30,EvaluationDate)</f>
        <v>41806</v>
      </c>
      <c r="E30" s="226">
        <f>_xll.qlRateHelperLatestDate($C30,EvaluationDate)</f>
        <v>41989</v>
      </c>
      <c r="F30" s="231">
        <f>_xll.qlRateHelperQuoteValue($C30,SheetTrigger)</f>
        <v>6.3499999999999997E-3</v>
      </c>
      <c r="G30" s="232"/>
      <c r="H30" s="226">
        <f t="shared" si="0"/>
        <v>41806</v>
      </c>
      <c r="I30" s="226" t="b">
        <v>1</v>
      </c>
      <c r="J30" s="233">
        <f t="shared" si="9"/>
        <v>6.3499999999999997E-3</v>
      </c>
      <c r="K30" s="234" t="b">
        <f t="shared" si="7"/>
        <v>1</v>
      </c>
      <c r="L30" s="178" t="b">
        <f t="shared" si="1"/>
        <v>0</v>
      </c>
      <c r="M30" s="178" t="b">
        <f t="shared" si="2"/>
        <v>0</v>
      </c>
      <c r="N30" s="234" t="b">
        <f t="shared" si="10"/>
        <v>1</v>
      </c>
      <c r="O30" s="233">
        <f>_xll.qlInterpolationInterpolate($O$22,$H30)</f>
        <v>6.3499999999999997E-3</v>
      </c>
      <c r="P30" s="235">
        <f t="shared" si="3"/>
        <v>0</v>
      </c>
      <c r="Q30" s="236">
        <f>_xll.qlDayCounterYearFraction(DayCounter,$H30,$E30)</f>
        <v>0.5083333333333333</v>
      </c>
      <c r="R30" s="237">
        <f t="shared" si="4"/>
        <v>1</v>
      </c>
      <c r="S30" s="224">
        <f t="shared" si="5"/>
        <v>6.3499999999999997E-3</v>
      </c>
      <c r="T30" s="238">
        <f t="shared" si="6"/>
        <v>0</v>
      </c>
      <c r="U30" s="207">
        <v>42051</v>
      </c>
      <c r="V30" s="208" t="e">
        <v>#VALUE!</v>
      </c>
    </row>
    <row r="31" spans="1:22" x14ac:dyDescent="0.2">
      <c r="A31" s="228">
        <v>5</v>
      </c>
      <c r="B31" s="223" t="str">
        <f t="shared" si="11"/>
        <v>5x11F</v>
      </c>
      <c r="C31" s="223" t="str">
        <f t="shared" si="8"/>
        <v>GBP_YC6MRH_5x11F</v>
      </c>
      <c r="D31" s="226">
        <f>_xll.qlRateHelperEarliestDate($C31,EvaluationDate)</f>
        <v>41834</v>
      </c>
      <c r="E31" s="226">
        <f>_xll.qlRateHelperLatestDate($C31,EvaluationDate)</f>
        <v>42018</v>
      </c>
      <c r="F31" s="231">
        <f>_xll.qlRateHelperQuoteValue($C31,SheetTrigger)</f>
        <v>6.3499999999999997E-3</v>
      </c>
      <c r="G31" s="232"/>
      <c r="H31" s="226">
        <f t="shared" si="0"/>
        <v>41834</v>
      </c>
      <c r="I31" s="226" t="b">
        <v>1</v>
      </c>
      <c r="J31" s="233">
        <f t="shared" si="9"/>
        <v>6.3499999999999997E-3</v>
      </c>
      <c r="K31" s="234" t="b">
        <f t="shared" si="7"/>
        <v>1</v>
      </c>
      <c r="L31" s="178" t="b">
        <f t="shared" si="1"/>
        <v>1</v>
      </c>
      <c r="M31" s="178" t="b">
        <f t="shared" si="2"/>
        <v>0</v>
      </c>
      <c r="N31" s="234" t="b">
        <f t="shared" si="10"/>
        <v>0</v>
      </c>
      <c r="O31" s="233">
        <f>_xll.qlInterpolationInterpolate($O$22,$H31)</f>
        <v>6.3160521935780797E-3</v>
      </c>
      <c r="P31" s="235">
        <f t="shared" si="3"/>
        <v>3.394780642192001E-5</v>
      </c>
      <c r="Q31" s="236">
        <f>_xll.qlDayCounterYearFraction(DayCounter,$H31,$E31)</f>
        <v>0.51111111111111107</v>
      </c>
      <c r="R31" s="237">
        <f t="shared" si="4"/>
        <v>0.99998270503072373</v>
      </c>
      <c r="S31" s="224" t="e">
        <f t="shared" si="5"/>
        <v>#NUM!</v>
      </c>
      <c r="T31" s="238" t="e">
        <f t="shared" si="6"/>
        <v>#NUM!</v>
      </c>
      <c r="U31" s="207" t="e">
        <v>#N/A</v>
      </c>
      <c r="V31" s="208" t="e">
        <v>#VALUE!</v>
      </c>
    </row>
    <row r="32" spans="1:22" x14ac:dyDescent="0.2">
      <c r="A32" s="228">
        <v>6</v>
      </c>
      <c r="B32" s="223" t="str">
        <f t="shared" si="11"/>
        <v>6x12F</v>
      </c>
      <c r="C32" s="223" t="str">
        <f t="shared" si="8"/>
        <v>GBP_YC6MRH_6x12F</v>
      </c>
      <c r="D32" s="226">
        <f>_xll.qlRateHelperEarliestDate($C32,EvaluationDate)</f>
        <v>41865</v>
      </c>
      <c r="E32" s="226">
        <f>_xll.qlRateHelperLatestDate($C32,EvaluationDate)</f>
        <v>42051</v>
      </c>
      <c r="F32" s="231">
        <f>_xll.qlRateHelperQuoteValue($C32,SheetTrigger)</f>
        <v>6.3499999999999997E-3</v>
      </c>
      <c r="G32" s="232"/>
      <c r="H32" s="226">
        <f t="shared" si="0"/>
        <v>41865</v>
      </c>
      <c r="I32" s="226" t="b">
        <v>1</v>
      </c>
      <c r="J32" s="233">
        <f t="shared" si="9"/>
        <v>6.3499999999999997E-3</v>
      </c>
      <c r="K32" s="234" t="b">
        <f t="shared" si="7"/>
        <v>1</v>
      </c>
      <c r="L32" s="178" t="b">
        <f t="shared" si="1"/>
        <v>1</v>
      </c>
      <c r="M32" s="178" t="b">
        <f t="shared" si="2"/>
        <v>0</v>
      </c>
      <c r="N32" s="234" t="b">
        <f t="shared" si="10"/>
        <v>0</v>
      </c>
      <c r="O32" s="233">
        <f>_xll.qlInterpolationInterpolate($O$22,$H32)</f>
        <v>6.3024507649604234E-3</v>
      </c>
      <c r="P32" s="235">
        <f t="shared" si="3"/>
        <v>4.7549235039576372E-5</v>
      </c>
      <c r="Q32" s="236">
        <f>_xll.qlDayCounterYearFraction(DayCounter,$H32,$E32)</f>
        <v>0.51666666666666672</v>
      </c>
      <c r="R32" s="237">
        <f t="shared" si="4"/>
        <v>0.99997551323223344</v>
      </c>
      <c r="S32" s="224" t="e">
        <f t="shared" si="5"/>
        <v>#NUM!</v>
      </c>
      <c r="T32" s="238" t="e">
        <f t="shared" si="6"/>
        <v>#NUM!</v>
      </c>
      <c r="U32" s="207" t="e">
        <v>#N/A</v>
      </c>
      <c r="V32" s="208" t="e">
        <v>#VALUE!</v>
      </c>
    </row>
    <row r="33" spans="1:23" x14ac:dyDescent="0.2">
      <c r="A33" s="228">
        <v>12</v>
      </c>
      <c r="B33" s="223" t="str">
        <f t="shared" si="11"/>
        <v>12x18F</v>
      </c>
      <c r="C33" s="223" t="str">
        <f t="shared" si="8"/>
        <v>GBP_YC6MRH_12x18F</v>
      </c>
      <c r="D33" s="226">
        <f>_xll.qlRateHelperEarliestDate($C33,EvaluationDate)</f>
        <v>42051</v>
      </c>
      <c r="E33" s="226">
        <f>_xll.qlRateHelperLatestDate($C33,EvaluationDate)</f>
        <v>42233</v>
      </c>
      <c r="F33" s="231">
        <f>_xll.qlRateHelperQuoteValue($C33,SheetTrigger)</f>
        <v>6.5500000000000003E-3</v>
      </c>
      <c r="G33" s="232"/>
      <c r="H33" s="226">
        <f t="shared" si="0"/>
        <v>42051</v>
      </c>
      <c r="I33" s="226" t="b">
        <v>1</v>
      </c>
      <c r="J33" s="233">
        <f t="shared" si="9"/>
        <v>6.5500000000000003E-3</v>
      </c>
      <c r="K33" s="234" t="b">
        <f t="shared" si="7"/>
        <v>1</v>
      </c>
      <c r="L33" s="178" t="b">
        <f t="shared" si="1"/>
        <v>0</v>
      </c>
      <c r="M33" s="178" t="b">
        <f t="shared" si="2"/>
        <v>0</v>
      </c>
      <c r="N33" s="234" t="b">
        <f t="shared" si="10"/>
        <v>1</v>
      </c>
      <c r="O33" s="233">
        <f>_xll.qlInterpolationInterpolate($O$22,$H33)</f>
        <v>6.5500000000000003E-3</v>
      </c>
      <c r="P33" s="235">
        <f t="shared" si="3"/>
        <v>0</v>
      </c>
      <c r="Q33" s="236">
        <f>_xll.qlDayCounterYearFraction(DayCounter,$H33,$E33)</f>
        <v>0.50555555555555554</v>
      </c>
      <c r="R33" s="237">
        <f t="shared" si="4"/>
        <v>1</v>
      </c>
      <c r="S33" s="224">
        <f t="shared" si="5"/>
        <v>6.5500000000000003E-3</v>
      </c>
      <c r="T33" s="238">
        <f t="shared" si="6"/>
        <v>0</v>
      </c>
      <c r="U33" s="207" t="e">
        <v>#N/A</v>
      </c>
      <c r="V33" s="208" t="e">
        <v>#VALUE!</v>
      </c>
      <c r="W33" s="225"/>
    </row>
    <row r="34" spans="1:23" x14ac:dyDescent="0.2">
      <c r="A34" s="228">
        <v>18</v>
      </c>
      <c r="B34" s="181" t="str">
        <f t="shared" si="11"/>
        <v>18x24F</v>
      </c>
      <c r="C34" s="181" t="str">
        <f t="shared" si="8"/>
        <v>GBP_YC6MRH_18x24F</v>
      </c>
      <c r="D34" s="215">
        <f>_xll.qlRateHelperEarliestDate($C34,EvaluationDate)</f>
        <v>42230</v>
      </c>
      <c r="E34" s="215">
        <f>_xll.qlRateHelperLatestDate($C34,EvaluationDate)</f>
        <v>42415</v>
      </c>
      <c r="F34" s="213" t="e">
        <f>_xll.qlRateHelperQuoteValue($C34,SheetTrigger)</f>
        <v>#NUM!</v>
      </c>
      <c r="G34" s="239"/>
      <c r="H34" s="215">
        <f t="shared" si="0"/>
        <v>42230</v>
      </c>
      <c r="I34" s="215" t="b">
        <v>1</v>
      </c>
      <c r="J34" s="217" t="e">
        <f t="shared" si="9"/>
        <v>#NUM!</v>
      </c>
      <c r="K34" s="183" t="b">
        <f t="shared" si="7"/>
        <v>0</v>
      </c>
      <c r="L34" s="211" t="b">
        <f t="shared" si="1"/>
        <v>0</v>
      </c>
      <c r="M34" s="211" t="b">
        <f t="shared" si="2"/>
        <v>1</v>
      </c>
      <c r="N34" s="183" t="b">
        <f t="shared" si="10"/>
        <v>0</v>
      </c>
      <c r="O34" s="265">
        <f>_xll.qlInterpolationInterpolate($O$22,$H34,TRUE)</f>
        <v>6.7974877370093993E-3</v>
      </c>
      <c r="P34" s="218" t="e">
        <f t="shared" si="3"/>
        <v>#NUM!</v>
      </c>
      <c r="Q34" s="219">
        <f>_xll.qlDayCounterYearFraction(DayCounter,$H34,$E34)</f>
        <v>0.51388888888888884</v>
      </c>
      <c r="R34" s="182" t="e">
        <f t="shared" si="4"/>
        <v>#NUM!</v>
      </c>
      <c r="S34" s="227" t="e">
        <f t="shared" si="5"/>
        <v>#NUM!</v>
      </c>
      <c r="T34" s="222" t="e">
        <f t="shared" si="6"/>
        <v>#NUM!</v>
      </c>
      <c r="U34" s="207" t="e">
        <v>#N/A</v>
      </c>
      <c r="V34" s="208" t="e">
        <v>#VALUE!</v>
      </c>
      <c r="W34" s="225"/>
    </row>
    <row r="35" spans="1:23" x14ac:dyDescent="0.2">
      <c r="A35" s="179" t="b">
        <v>0</v>
      </c>
      <c r="B35" s="223" t="str">
        <f>"IMMFRA"&amp;IndexTenor&amp;_xll.qlIMMNextCodes(EvaluationDate+2,A35)</f>
        <v>IMMFRA6MG4</v>
      </c>
      <c r="C35" s="223" t="str">
        <f>RateHelperPrefix&amp;$B35</f>
        <v>GBP_YC6MRH_IMMFRA6MG4</v>
      </c>
      <c r="D35" s="226" t="e">
        <f>_xll.qlRateHelperEarliestDate($C35,EvaluationDate)</f>
        <v>#NUM!</v>
      </c>
      <c r="E35" s="226" t="e">
        <f>_xll.qlRateHelperLatestDate($C35,EvaluationDate)</f>
        <v>#NUM!</v>
      </c>
      <c r="F35" s="240" t="e">
        <f>_xll.qlRateHelperQuoteValue($C35,SheetTrigger)</f>
        <v>#NUM!</v>
      </c>
      <c r="G35" s="233" t="e">
        <f>_xll.qlFuturesRateHelperConvexityAdjustment($C35,SheetTrigger)</f>
        <v>#NUM!</v>
      </c>
      <c r="H35" s="226" t="e">
        <f>$D35</f>
        <v>#NUM!</v>
      </c>
      <c r="I35" s="178" t="b">
        <f>ISNA(VLOOKUP(H35,$H$25:$H$34,1,FALSE))</f>
        <v>0</v>
      </c>
      <c r="J35" s="233" t="e">
        <f>1-$F35/100-$G35</f>
        <v>#NUM!</v>
      </c>
      <c r="K35" s="234" t="b">
        <f>AND(ISNUMBER(J35),I35,UseSecondSet)</f>
        <v>0</v>
      </c>
      <c r="L35" s="178" t="e">
        <f t="shared" si="1"/>
        <v>#NUM!</v>
      </c>
      <c r="M35" s="178" t="e">
        <f t="shared" si="2"/>
        <v>#NUM!</v>
      </c>
      <c r="N35" s="234" t="b">
        <f t="shared" si="10"/>
        <v>0</v>
      </c>
      <c r="O35" s="233" t="e">
        <f>_xll.qlInterpolationInterpolate($O$22,$H35)</f>
        <v>#NUM!</v>
      </c>
      <c r="P35" s="235" t="e">
        <f t="shared" si="3"/>
        <v>#NUM!</v>
      </c>
      <c r="Q35" s="236" t="e">
        <f>_xll.qlDayCounterYearFraction(DayCounter,$H35,$E35)</f>
        <v>#NUM!</v>
      </c>
      <c r="R35" s="237" t="e">
        <f t="shared" si="4"/>
        <v>#NUM!</v>
      </c>
      <c r="S35" s="224" t="e">
        <f t="shared" ref="S35:S45" si="12">IF($L35,(TOY*(1+$J35*$Q35)-1)/$Q35,IF($M35,(_TOY2*(1+$J35*$Q35)-1)/$Q35,$J35))</f>
        <v>#NUM!</v>
      </c>
      <c r="T35" s="238" t="e">
        <f>S35-J35</f>
        <v>#NUM!</v>
      </c>
      <c r="U35" s="207" t="e">
        <v>#N/A</v>
      </c>
      <c r="V35" s="241" t="e">
        <v>#VALUE!</v>
      </c>
      <c r="W35" s="233"/>
    </row>
    <row r="36" spans="1:23" x14ac:dyDescent="0.2">
      <c r="A36" s="179" t="b">
        <v>0</v>
      </c>
      <c r="B36" s="223" t="e">
        <f>"IMMFRA"&amp;IndexTenor&amp;_xll.qlIMMNextCodes(D35,A36)</f>
        <v>#NUM!</v>
      </c>
      <c r="C36" s="223" t="e">
        <f>RateHelperPrefix&amp;$B36</f>
        <v>#NUM!</v>
      </c>
      <c r="D36" s="226" t="e">
        <f>_xll.qlRateHelperEarliestDate($C36,EvaluationDate)</f>
        <v>#VALUE!</v>
      </c>
      <c r="E36" s="226" t="e">
        <f>_xll.qlRateHelperLatestDate($C36,EvaluationDate)</f>
        <v>#VALUE!</v>
      </c>
      <c r="F36" s="240" t="e">
        <f>_xll.qlRateHelperQuoteValue($C36,SheetTrigger)</f>
        <v>#VALUE!</v>
      </c>
      <c r="G36" s="233" t="e">
        <f>_xll.qlFuturesRateHelperConvexityAdjustment($C36,SheetTrigger)</f>
        <v>#VALUE!</v>
      </c>
      <c r="H36" s="226" t="e">
        <f>$D36</f>
        <v>#VALUE!</v>
      </c>
      <c r="I36" s="178" t="b">
        <f>ISNA(VLOOKUP(H36,$H$25:$H$34,1,FALSE))</f>
        <v>0</v>
      </c>
      <c r="J36" s="233" t="e">
        <f>1-$F36/100-$G36</f>
        <v>#VALUE!</v>
      </c>
      <c r="K36" s="234" t="b">
        <f>AND(ISNUMBER(J36),I36,UseSecondSet)</f>
        <v>0</v>
      </c>
      <c r="L36" s="178" t="e">
        <f t="shared" si="1"/>
        <v>#VALUE!</v>
      </c>
      <c r="M36" s="178" t="e">
        <f t="shared" si="2"/>
        <v>#VALUE!</v>
      </c>
      <c r="N36" s="234" t="b">
        <f>IF(K36,AND(NOT($L36),NOT($M36)),FALSE)</f>
        <v>0</v>
      </c>
      <c r="O36" s="233" t="e">
        <f>_xll.qlInterpolationInterpolate($O$22,$H36)</f>
        <v>#NUM!</v>
      </c>
      <c r="P36" s="235" t="e">
        <f t="shared" si="3"/>
        <v>#VALUE!</v>
      </c>
      <c r="Q36" s="236" t="e">
        <f>_xll.qlDayCounterYearFraction(DayCounter,$H36,$E36)</f>
        <v>#NUM!</v>
      </c>
      <c r="R36" s="237" t="e">
        <f t="shared" si="4"/>
        <v>#NUM!</v>
      </c>
      <c r="S36" s="224" t="e">
        <f t="shared" si="12"/>
        <v>#VALUE!</v>
      </c>
      <c r="T36" s="238" t="e">
        <f>S36-J36</f>
        <v>#VALUE!</v>
      </c>
      <c r="U36" s="207" t="e">
        <v>#N/A</v>
      </c>
      <c r="V36" s="241" t="e">
        <v>#VALUE!</v>
      </c>
      <c r="W36" s="233"/>
    </row>
    <row r="37" spans="1:23" x14ac:dyDescent="0.2">
      <c r="A37" s="179" t="b">
        <v>0</v>
      </c>
      <c r="B37" s="223" t="e">
        <f>"IMMFRA"&amp;IndexTenor&amp;_xll.qlIMMNextCodes(D36,A37)</f>
        <v>#NUM!</v>
      </c>
      <c r="C37" s="223" t="e">
        <f>RateHelperPrefix&amp;$B37</f>
        <v>#NUM!</v>
      </c>
      <c r="D37" s="226" t="e">
        <f>_xll.qlRateHelperEarliestDate($C37,EvaluationDate)</f>
        <v>#VALUE!</v>
      </c>
      <c r="E37" s="226" t="e">
        <f>_xll.qlRateHelperLatestDate($C37,EvaluationDate)</f>
        <v>#VALUE!</v>
      </c>
      <c r="F37" s="240" t="e">
        <f>_xll.qlRateHelperQuoteValue($C37,SheetTrigger)</f>
        <v>#VALUE!</v>
      </c>
      <c r="G37" s="233" t="e">
        <f>_xll.qlFuturesRateHelperConvexityAdjustment($C37,SheetTrigger)</f>
        <v>#VALUE!</v>
      </c>
      <c r="H37" s="226" t="e">
        <f>$D37</f>
        <v>#VALUE!</v>
      </c>
      <c r="I37" s="178" t="b">
        <f>ISNA(VLOOKUP(H37,$H$25:$H$34,1,FALSE))</f>
        <v>0</v>
      </c>
      <c r="J37" s="233" t="e">
        <f>1-$F37/100-$G37</f>
        <v>#VALUE!</v>
      </c>
      <c r="K37" s="234" t="b">
        <f>AND(ISNUMBER(J37),I37,UseSecondSet)</f>
        <v>0</v>
      </c>
      <c r="L37" s="178" t="e">
        <f t="shared" si="1"/>
        <v>#VALUE!</v>
      </c>
      <c r="M37" s="178" t="e">
        <f t="shared" si="2"/>
        <v>#VALUE!</v>
      </c>
      <c r="N37" s="234" t="b">
        <f t="shared" si="10"/>
        <v>0</v>
      </c>
      <c r="O37" s="233" t="e">
        <f>_xll.qlInterpolationInterpolate($O$22,$H37)</f>
        <v>#NUM!</v>
      </c>
      <c r="P37" s="235" t="e">
        <f t="shared" si="3"/>
        <v>#VALUE!</v>
      </c>
      <c r="Q37" s="236" t="e">
        <f>_xll.qlDayCounterYearFraction(DayCounter,$H37,$E37)</f>
        <v>#NUM!</v>
      </c>
      <c r="R37" s="237" t="e">
        <f t="shared" si="4"/>
        <v>#NUM!</v>
      </c>
      <c r="S37" s="224" t="e">
        <f t="shared" si="12"/>
        <v>#VALUE!</v>
      </c>
      <c r="T37" s="238" t="e">
        <f>S37-J37</f>
        <v>#VALUE!</v>
      </c>
      <c r="U37" s="207" t="e">
        <v>#N/A</v>
      </c>
      <c r="V37" s="241" t="e">
        <v>#VALUE!</v>
      </c>
      <c r="W37" s="233"/>
    </row>
    <row r="38" spans="1:23" x14ac:dyDescent="0.2">
      <c r="A38" s="179" t="b">
        <v>0</v>
      </c>
      <c r="B38" s="223" t="e">
        <f>"IMMFRA"&amp;IndexTenor&amp;_xll.qlIMMNextCodes(D37,A38)</f>
        <v>#NUM!</v>
      </c>
      <c r="C38" s="223" t="e">
        <f>RateHelperPrefix&amp;$B38</f>
        <v>#NUM!</v>
      </c>
      <c r="D38" s="226" t="e">
        <f>_xll.qlRateHelperEarliestDate($C38,EvaluationDate)</f>
        <v>#VALUE!</v>
      </c>
      <c r="E38" s="226" t="e">
        <f>_xll.qlRateHelperLatestDate($C38,EvaluationDate)</f>
        <v>#VALUE!</v>
      </c>
      <c r="F38" s="240" t="e">
        <f>_xll.qlRateHelperQuoteValue($C38,SheetTrigger)</f>
        <v>#VALUE!</v>
      </c>
      <c r="G38" s="233" t="e">
        <f>_xll.qlFuturesRateHelperConvexityAdjustment($C38,SheetTrigger)</f>
        <v>#VALUE!</v>
      </c>
      <c r="H38" s="226" t="e">
        <f>$D38</f>
        <v>#VALUE!</v>
      </c>
      <c r="I38" s="178" t="b">
        <f>ISNA(VLOOKUP(H38,$H$25:$H$34,1,FALSE))</f>
        <v>0</v>
      </c>
      <c r="J38" s="233" t="e">
        <f>1-$F38/100-$G38</f>
        <v>#VALUE!</v>
      </c>
      <c r="K38" s="234" t="b">
        <f>AND(ISNUMBER(J38),I38,UseSecondSet)</f>
        <v>0</v>
      </c>
      <c r="L38" s="178" t="e">
        <f t="shared" si="1"/>
        <v>#VALUE!</v>
      </c>
      <c r="M38" s="178" t="e">
        <f t="shared" si="2"/>
        <v>#VALUE!</v>
      </c>
      <c r="N38" s="234" t="b">
        <f t="shared" si="10"/>
        <v>0</v>
      </c>
      <c r="O38" s="233" t="e">
        <f>_xll.qlInterpolationInterpolate($O$22,$H38)</f>
        <v>#NUM!</v>
      </c>
      <c r="P38" s="235" t="e">
        <f t="shared" si="3"/>
        <v>#VALUE!</v>
      </c>
      <c r="Q38" s="236" t="e">
        <f>_xll.qlDayCounterYearFraction(DayCounter,$H38,$E38)</f>
        <v>#NUM!</v>
      </c>
      <c r="R38" s="237" t="e">
        <f t="shared" si="4"/>
        <v>#NUM!</v>
      </c>
      <c r="S38" s="224" t="e">
        <f t="shared" si="12"/>
        <v>#VALUE!</v>
      </c>
      <c r="T38" s="238" t="e">
        <f>S38-J38</f>
        <v>#VALUE!</v>
      </c>
      <c r="U38" s="207" t="e">
        <v>#N/A</v>
      </c>
      <c r="V38" s="241" t="e">
        <v>#VALUE!</v>
      </c>
      <c r="W38" s="233"/>
    </row>
    <row r="39" spans="1:23" x14ac:dyDescent="0.2">
      <c r="A39" s="179" t="b">
        <v>0</v>
      </c>
      <c r="B39" s="181" t="e">
        <f>"IMMFRA"&amp;IndexTenor&amp;_xll.qlIMMNextCodes(D38,A39)</f>
        <v>#NUM!</v>
      </c>
      <c r="C39" s="181" t="e">
        <f>RateHelperPrefix&amp;$B39</f>
        <v>#NUM!</v>
      </c>
      <c r="D39" s="215" t="e">
        <f>_xll.qlRateHelperEarliestDate($C39,EvaluationDate)</f>
        <v>#VALUE!</v>
      </c>
      <c r="E39" s="215" t="e">
        <f>_xll.qlRateHelperLatestDate($C39,EvaluationDate)</f>
        <v>#VALUE!</v>
      </c>
      <c r="F39" s="242" t="e">
        <f>_xll.qlRateHelperQuoteValue($C39,SheetTrigger)</f>
        <v>#VALUE!</v>
      </c>
      <c r="G39" s="217" t="e">
        <f>_xll.qlFuturesRateHelperConvexityAdjustment($C39,SheetTrigger)</f>
        <v>#VALUE!</v>
      </c>
      <c r="H39" s="215" t="e">
        <f>$D39</f>
        <v>#VALUE!</v>
      </c>
      <c r="I39" s="211" t="b">
        <f>ISNA(VLOOKUP(H39,$H$25:$H$34,1,FALSE))</f>
        <v>0</v>
      </c>
      <c r="J39" s="217" t="e">
        <f>1-$F39/100-$G39</f>
        <v>#VALUE!</v>
      </c>
      <c r="K39" s="183" t="b">
        <f>AND(ISNUMBER(J39),I39,UseSecondSet)</f>
        <v>0</v>
      </c>
      <c r="L39" s="211" t="e">
        <f t="shared" si="1"/>
        <v>#VALUE!</v>
      </c>
      <c r="M39" s="211" t="e">
        <f t="shared" si="2"/>
        <v>#VALUE!</v>
      </c>
      <c r="N39" s="183" t="b">
        <f t="shared" si="10"/>
        <v>0</v>
      </c>
      <c r="O39" s="217" t="e">
        <f>_xll.qlInterpolationInterpolate($O$22,$H39)</f>
        <v>#NUM!</v>
      </c>
      <c r="P39" s="218" t="e">
        <f t="shared" si="3"/>
        <v>#VALUE!</v>
      </c>
      <c r="Q39" s="219" t="e">
        <f>_xll.qlDayCounterYearFraction(DayCounter,$H39,$E39)</f>
        <v>#NUM!</v>
      </c>
      <c r="R39" s="182" t="e">
        <f t="shared" si="4"/>
        <v>#NUM!</v>
      </c>
      <c r="S39" s="227" t="e">
        <f t="shared" si="12"/>
        <v>#VALUE!</v>
      </c>
      <c r="T39" s="222" t="e">
        <f>S39-J39</f>
        <v>#VALUE!</v>
      </c>
      <c r="U39" s="207" t="e">
        <v>#N/A</v>
      </c>
      <c r="V39" s="241" t="e">
        <v>#VALUE!</v>
      </c>
      <c r="W39" s="233"/>
    </row>
    <row r="40" spans="1:23" x14ac:dyDescent="0.2">
      <c r="A40" s="179">
        <v>24</v>
      </c>
      <c r="B40" s="195" t="str">
        <f t="shared" ref="B40:B45" si="13">A40&amp;"x"&amp;(A40+$A$20)&amp;"F"</f>
        <v>24x30F</v>
      </c>
      <c r="C40" s="184"/>
      <c r="D40" s="196" t="str">
        <f t="shared" ref="D40:D45" si="14">A40&amp;"M"</f>
        <v>24M</v>
      </c>
      <c r="E40" s="243">
        <f>_xll.qlCalendarAdvance(Calendar,H40,$A$21,"Modified Following",TRUE)</f>
        <v>42597</v>
      </c>
      <c r="F40" s="196"/>
      <c r="G40" s="196"/>
      <c r="H40" s="197">
        <f>_xll.qlCalendarAdvance(Calendar,SettlementDate,D40,"MF",TRUE)</f>
        <v>42415</v>
      </c>
      <c r="I40" s="196" t="b">
        <v>1</v>
      </c>
      <c r="J40" s="205" t="e">
        <f>(_xll.qlInterpolationInterpolate(DiscountCurve,H40)/_xll.qlInterpolationInterpolate(DiscountCurve,E40)-1)/Q40</f>
        <v>#NUM!</v>
      </c>
      <c r="K40" s="177" t="b">
        <f t="shared" ref="K40:K45" si="15">AND(ISNUMBER(J40),I40)</f>
        <v>0</v>
      </c>
      <c r="L40" s="184" t="b">
        <f t="shared" si="1"/>
        <v>0</v>
      </c>
      <c r="M40" s="196" t="b">
        <f t="shared" si="2"/>
        <v>0</v>
      </c>
      <c r="N40" s="177" t="b">
        <v>0</v>
      </c>
      <c r="O40" s="205" t="e">
        <f>_xll.qlInterpolationInterpolate($O$22,$H40)</f>
        <v>#NUM!</v>
      </c>
      <c r="P40" s="196" t="e">
        <f t="shared" si="3"/>
        <v>#NUM!</v>
      </c>
      <c r="Q40" s="244">
        <f>_xll.qlDayCounterYearFraction(DayCounter,H40,E40)</f>
        <v>0.50555555555555554</v>
      </c>
      <c r="R40" s="196" t="e">
        <f t="shared" si="4"/>
        <v>#NUM!</v>
      </c>
      <c r="S40" s="245" t="e">
        <f t="shared" si="12"/>
        <v>#NUM!</v>
      </c>
      <c r="T40" s="246" t="e">
        <f t="shared" ref="T40:T45" si="16">S40-J40</f>
        <v>#NUM!</v>
      </c>
      <c r="U40" s="207" t="e">
        <v>#N/A</v>
      </c>
      <c r="V40" s="208" t="e">
        <v>#VALUE!</v>
      </c>
      <c r="W40" s="225"/>
    </row>
    <row r="41" spans="1:23" x14ac:dyDescent="0.2">
      <c r="A41" s="179">
        <v>30</v>
      </c>
      <c r="B41" s="247" t="str">
        <f t="shared" si="13"/>
        <v>30x36F</v>
      </c>
      <c r="C41" s="223"/>
      <c r="D41" s="178" t="str">
        <f t="shared" si="14"/>
        <v>30M</v>
      </c>
      <c r="E41" s="248">
        <f>_xll.qlCalendarAdvance(Calendar,H41,$A$21,"Modified Following",TRUE)</f>
        <v>42781</v>
      </c>
      <c r="F41" s="178"/>
      <c r="G41" s="178"/>
      <c r="H41" s="226">
        <f>_xll.qlCalendarAdvance(Calendar,SettlementDate,D41,"MF",TRUE)</f>
        <v>42597</v>
      </c>
      <c r="I41" s="178" t="b">
        <v>1</v>
      </c>
      <c r="J41" s="225" t="e">
        <f>(_xll.qlInterpolationInterpolate(DiscountCurve,H41)/_xll.qlInterpolationInterpolate(DiscountCurve,E41)-1)/Q41</f>
        <v>#NUM!</v>
      </c>
      <c r="K41" s="234" t="b">
        <f t="shared" si="15"/>
        <v>0</v>
      </c>
      <c r="L41" s="223" t="b">
        <f t="shared" si="1"/>
        <v>0</v>
      </c>
      <c r="M41" s="178" t="b">
        <f t="shared" si="2"/>
        <v>0</v>
      </c>
      <c r="N41" s="234" t="b">
        <v>0</v>
      </c>
      <c r="O41" s="225" t="e">
        <f>_xll.qlInterpolationInterpolate($O$22,$H41)</f>
        <v>#NUM!</v>
      </c>
      <c r="P41" s="178" t="e">
        <f t="shared" si="3"/>
        <v>#NUM!</v>
      </c>
      <c r="Q41" s="249">
        <f>_xll.qlDayCounterYearFraction(DayCounter,H41,E41)</f>
        <v>0.51111111111111107</v>
      </c>
      <c r="R41" s="178" t="e">
        <f t="shared" si="4"/>
        <v>#NUM!</v>
      </c>
      <c r="S41" s="250" t="e">
        <f t="shared" si="12"/>
        <v>#NUM!</v>
      </c>
      <c r="T41" s="251" t="e">
        <f t="shared" si="16"/>
        <v>#NUM!</v>
      </c>
      <c r="U41" s="207" t="e">
        <v>#N/A</v>
      </c>
      <c r="V41" s="208" t="e">
        <v>#VALUE!</v>
      </c>
      <c r="W41" s="225"/>
    </row>
    <row r="42" spans="1:23" x14ac:dyDescent="0.2">
      <c r="A42" s="179">
        <v>36</v>
      </c>
      <c r="B42" s="247" t="str">
        <f t="shared" si="13"/>
        <v>36x42F</v>
      </c>
      <c r="C42" s="223"/>
      <c r="D42" s="178" t="str">
        <f t="shared" si="14"/>
        <v>36M</v>
      </c>
      <c r="E42" s="248">
        <f>_xll.qlCalendarAdvance(Calendar,H42,$A$21,"Modified Following",TRUE)</f>
        <v>42961</v>
      </c>
      <c r="F42" s="178"/>
      <c r="G42" s="178"/>
      <c r="H42" s="226">
        <f>_xll.qlCalendarAdvance(Calendar,SettlementDate,D42,"MF",TRUE)</f>
        <v>42780</v>
      </c>
      <c r="I42" s="178" t="b">
        <v>1</v>
      </c>
      <c r="J42" s="225" t="e">
        <f>(_xll.qlInterpolationInterpolate(DiscountCurve,H42)/_xll.qlInterpolationInterpolate(DiscountCurve,E42)-1)/Q42</f>
        <v>#NUM!</v>
      </c>
      <c r="K42" s="234" t="b">
        <f t="shared" si="15"/>
        <v>0</v>
      </c>
      <c r="L42" s="223" t="b">
        <f t="shared" si="1"/>
        <v>0</v>
      </c>
      <c r="M42" s="178" t="b">
        <f t="shared" si="2"/>
        <v>0</v>
      </c>
      <c r="N42" s="234" t="b">
        <v>0</v>
      </c>
      <c r="O42" s="225" t="e">
        <f>_xll.qlInterpolationInterpolate($O$22,$H42)</f>
        <v>#NUM!</v>
      </c>
      <c r="P42" s="178" t="e">
        <f t="shared" si="3"/>
        <v>#NUM!</v>
      </c>
      <c r="Q42" s="249">
        <f>_xll.qlDayCounterYearFraction(DayCounter,H42,E42)</f>
        <v>0.50277777777777777</v>
      </c>
      <c r="R42" s="178" t="e">
        <f t="shared" si="4"/>
        <v>#NUM!</v>
      </c>
      <c r="S42" s="250" t="e">
        <f t="shared" si="12"/>
        <v>#NUM!</v>
      </c>
      <c r="T42" s="251" t="e">
        <f t="shared" si="16"/>
        <v>#NUM!</v>
      </c>
      <c r="U42" s="207" t="e">
        <v>#N/A</v>
      </c>
      <c r="V42" s="208" t="e">
        <v>#VALUE!</v>
      </c>
      <c r="W42" s="225"/>
    </row>
    <row r="43" spans="1:23" x14ac:dyDescent="0.2">
      <c r="A43" s="179">
        <v>42</v>
      </c>
      <c r="B43" s="247" t="str">
        <f t="shared" si="13"/>
        <v>42x48F</v>
      </c>
      <c r="C43" s="223"/>
      <c r="D43" s="178" t="str">
        <f t="shared" si="14"/>
        <v>42M</v>
      </c>
      <c r="E43" s="248">
        <f>_xll.qlCalendarAdvance(Calendar,H43,$A$21,"Modified Following",TRUE)</f>
        <v>43145</v>
      </c>
      <c r="F43" s="178"/>
      <c r="G43" s="178"/>
      <c r="H43" s="226">
        <f>_xll.qlCalendarAdvance(Calendar,SettlementDate,D43,"MF",TRUE)</f>
        <v>42961</v>
      </c>
      <c r="I43" s="178" t="b">
        <v>1</v>
      </c>
      <c r="J43" s="225" t="e">
        <f>(_xll.qlInterpolationInterpolate(DiscountCurve,H43)/_xll.qlInterpolationInterpolate(DiscountCurve,E43)-1)/Q43</f>
        <v>#NUM!</v>
      </c>
      <c r="K43" s="234" t="b">
        <f t="shared" si="15"/>
        <v>0</v>
      </c>
      <c r="L43" s="223" t="b">
        <f t="shared" si="1"/>
        <v>0</v>
      </c>
      <c r="M43" s="178" t="b">
        <f t="shared" si="2"/>
        <v>0</v>
      </c>
      <c r="N43" s="234" t="b">
        <v>0</v>
      </c>
      <c r="O43" s="225" t="e">
        <f>_xll.qlInterpolationInterpolate($O$22,$H43)</f>
        <v>#NUM!</v>
      </c>
      <c r="P43" s="178" t="e">
        <f t="shared" si="3"/>
        <v>#NUM!</v>
      </c>
      <c r="Q43" s="249">
        <f>_xll.qlDayCounterYearFraction(DayCounter,H43,E43)</f>
        <v>0.51111111111111107</v>
      </c>
      <c r="R43" s="178" t="e">
        <f t="shared" si="4"/>
        <v>#NUM!</v>
      </c>
      <c r="S43" s="250" t="e">
        <f t="shared" si="12"/>
        <v>#NUM!</v>
      </c>
      <c r="T43" s="251" t="e">
        <f t="shared" si="16"/>
        <v>#NUM!</v>
      </c>
      <c r="U43" s="207" t="e">
        <v>#N/A</v>
      </c>
      <c r="V43" s="208" t="e">
        <v>#VALUE!</v>
      </c>
      <c r="W43" s="225"/>
    </row>
    <row r="44" spans="1:23" x14ac:dyDescent="0.2">
      <c r="A44" s="179">
        <v>48</v>
      </c>
      <c r="B44" s="247" t="str">
        <f t="shared" si="13"/>
        <v>48x54F</v>
      </c>
      <c r="C44" s="223"/>
      <c r="D44" s="178" t="str">
        <f t="shared" si="14"/>
        <v>48M</v>
      </c>
      <c r="E44" s="248">
        <f>_xll.qlCalendarAdvance(Calendar,H44,$A$21,"Modified Following",TRUE)</f>
        <v>43326</v>
      </c>
      <c r="F44" s="178"/>
      <c r="G44" s="178"/>
      <c r="H44" s="226">
        <f>_xll.qlCalendarAdvance(Calendar,SettlementDate,D44,"MF",TRUE)</f>
        <v>43145</v>
      </c>
      <c r="I44" s="178" t="b">
        <v>1</v>
      </c>
      <c r="J44" s="225" t="e">
        <f>(_xll.qlInterpolationInterpolate(DiscountCurve,H44)/_xll.qlInterpolationInterpolate(DiscountCurve,E44)-1)/Q44</f>
        <v>#NUM!</v>
      </c>
      <c r="K44" s="234" t="b">
        <f t="shared" si="15"/>
        <v>0</v>
      </c>
      <c r="L44" s="223" t="b">
        <f t="shared" si="1"/>
        <v>0</v>
      </c>
      <c r="M44" s="178" t="b">
        <f t="shared" si="2"/>
        <v>0</v>
      </c>
      <c r="N44" s="234" t="b">
        <v>0</v>
      </c>
      <c r="O44" s="225" t="e">
        <f>_xll.qlInterpolationInterpolate($O$22,$H44)</f>
        <v>#NUM!</v>
      </c>
      <c r="P44" s="178" t="e">
        <f t="shared" si="3"/>
        <v>#NUM!</v>
      </c>
      <c r="Q44" s="249">
        <f>_xll.qlDayCounterYearFraction(DayCounter,H44,E44)</f>
        <v>0.50277777777777777</v>
      </c>
      <c r="R44" s="178" t="e">
        <f t="shared" si="4"/>
        <v>#NUM!</v>
      </c>
      <c r="S44" s="250" t="e">
        <f t="shared" si="12"/>
        <v>#NUM!</v>
      </c>
      <c r="T44" s="251" t="e">
        <f t="shared" si="16"/>
        <v>#NUM!</v>
      </c>
      <c r="U44" s="207" t="e">
        <v>#N/A</v>
      </c>
      <c r="V44" s="208" t="e">
        <v>#VALUE!</v>
      </c>
      <c r="W44" s="225"/>
    </row>
    <row r="45" spans="1:23" x14ac:dyDescent="0.2">
      <c r="A45" s="179">
        <v>54</v>
      </c>
      <c r="B45" s="210" t="str">
        <f t="shared" si="13"/>
        <v>54x60F</v>
      </c>
      <c r="C45" s="181"/>
      <c r="D45" s="211" t="str">
        <f t="shared" si="14"/>
        <v>54M</v>
      </c>
      <c r="E45" s="252">
        <f>_xll.qlCalendarAdvance(Calendar,H45,$A$21,"Modified Following",TRUE)</f>
        <v>43510</v>
      </c>
      <c r="F45" s="211"/>
      <c r="G45" s="211"/>
      <c r="H45" s="215">
        <f>_xll.qlCalendarAdvance(Calendar,SettlementDate,D45,"MF",TRUE)</f>
        <v>43326</v>
      </c>
      <c r="I45" s="211" t="b">
        <v>1</v>
      </c>
      <c r="J45" s="253" t="e">
        <f>(_xll.qlInterpolationInterpolate(DiscountCurve,H45)/_xll.qlInterpolationInterpolate(DiscountCurve,E45,TRUE)-1)/Q45</f>
        <v>#NUM!</v>
      </c>
      <c r="K45" s="183" t="b">
        <f t="shared" si="15"/>
        <v>0</v>
      </c>
      <c r="L45" s="181" t="b">
        <f t="shared" si="1"/>
        <v>0</v>
      </c>
      <c r="M45" s="211" t="b">
        <f t="shared" si="2"/>
        <v>0</v>
      </c>
      <c r="N45" s="183" t="b">
        <v>0</v>
      </c>
      <c r="O45" s="221" t="e">
        <f>_xll.qlInterpolationInterpolate($O$22,$H45)</f>
        <v>#NUM!</v>
      </c>
      <c r="P45" s="211" t="e">
        <f t="shared" si="3"/>
        <v>#NUM!</v>
      </c>
      <c r="Q45" s="254">
        <f>_xll.qlDayCounterYearFraction(DayCounter,H45,E45)</f>
        <v>0.51111111111111107</v>
      </c>
      <c r="R45" s="211" t="e">
        <f t="shared" si="4"/>
        <v>#NUM!</v>
      </c>
      <c r="S45" s="255" t="e">
        <f t="shared" si="12"/>
        <v>#NUM!</v>
      </c>
      <c r="T45" s="256" t="e">
        <f t="shared" si="16"/>
        <v>#NUM!</v>
      </c>
      <c r="U45" s="257" t="e">
        <v>#N/A</v>
      </c>
      <c r="V45" s="258" t="e">
        <v>#VALUE!</v>
      </c>
      <c r="W45" s="225"/>
    </row>
    <row r="47" spans="1:23" x14ac:dyDescent="0.2">
      <c r="I47" s="179" t="s">
        <v>37</v>
      </c>
      <c r="J47" s="260">
        <v>3.3352706097987871E-2</v>
      </c>
      <c r="K47" s="259" t="e">
        <f t="shared" ref="K47:K52" si="17">J47-J40</f>
        <v>#NUM!</v>
      </c>
    </row>
    <row r="48" spans="1:23" x14ac:dyDescent="0.2">
      <c r="I48" s="179" t="s">
        <v>38</v>
      </c>
      <c r="J48" s="260">
        <v>3.506774331127567E-2</v>
      </c>
      <c r="K48" s="259" t="e">
        <f t="shared" si="17"/>
        <v>#NUM!</v>
      </c>
    </row>
    <row r="49" spans="9:11" x14ac:dyDescent="0.2">
      <c r="I49" s="179" t="s">
        <v>39</v>
      </c>
      <c r="J49" s="260">
        <v>3.637961089895949E-2</v>
      </c>
      <c r="K49" s="259" t="e">
        <f t="shared" si="17"/>
        <v>#NUM!</v>
      </c>
    </row>
    <row r="50" spans="9:11" x14ac:dyDescent="0.2">
      <c r="I50" s="179" t="s">
        <v>40</v>
      </c>
      <c r="J50" s="260">
        <v>3.7546817940022424E-2</v>
      </c>
      <c r="K50" s="259" t="e">
        <f t="shared" si="17"/>
        <v>#NUM!</v>
      </c>
    </row>
    <row r="51" spans="9:11" x14ac:dyDescent="0.2">
      <c r="I51" s="179" t="s">
        <v>41</v>
      </c>
      <c r="J51" s="260">
        <v>3.8540578384056494E-2</v>
      </c>
      <c r="K51" s="259" t="e">
        <f t="shared" si="17"/>
        <v>#NUM!</v>
      </c>
    </row>
    <row r="52" spans="9:11" x14ac:dyDescent="0.2">
      <c r="I52" s="179" t="s">
        <v>42</v>
      </c>
      <c r="J52" s="260">
        <v>3.9088983473700809E-2</v>
      </c>
      <c r="K52" s="259" t="e">
        <f t="shared" si="17"/>
        <v>#NUM!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43</vt:i4>
      </vt:variant>
    </vt:vector>
  </HeadingPairs>
  <TitlesOfParts>
    <vt:vector size="48" baseType="lpstr">
      <vt:lpstr>General Settings</vt:lpstr>
      <vt:lpstr>Triggers</vt:lpstr>
      <vt:lpstr>1M</vt:lpstr>
      <vt:lpstr>3M</vt:lpstr>
      <vt:lpstr>6M</vt:lpstr>
      <vt:lpstr>'1M'!_TOY2</vt:lpstr>
      <vt:lpstr>'3M'!_TOY2</vt:lpstr>
      <vt:lpstr>'6M'!_TOY2</vt:lpstr>
      <vt:lpstr>Triggers!AllTriggers</vt:lpstr>
      <vt:lpstr>Calendar</vt:lpstr>
      <vt:lpstr>Currency</vt:lpstr>
      <vt:lpstr>DayCounter</vt:lpstr>
      <vt:lpstr>'1M'!DiscountCurve</vt:lpstr>
      <vt:lpstr>'3M'!DiscountCurve</vt:lpstr>
      <vt:lpstr>'6M'!DiscountCurve</vt:lpstr>
      <vt:lpstr>DiscountInterpolationType</vt:lpstr>
      <vt:lpstr>EvaluationDate</vt:lpstr>
      <vt:lpstr>'3M'!ExtFwdInterpolator</vt:lpstr>
      <vt:lpstr>'6M'!ExtFwdInterpolator</vt:lpstr>
      <vt:lpstr>FwdInterpolationType</vt:lpstr>
      <vt:lpstr>'1M'!FwdInterpolator</vt:lpstr>
      <vt:lpstr>'3M'!FwdInterpolator</vt:lpstr>
      <vt:lpstr>'6M'!FwdInterpolator</vt:lpstr>
      <vt:lpstr>'1M'!IndexTenor</vt:lpstr>
      <vt:lpstr>'3M'!IndexTenor</vt:lpstr>
      <vt:lpstr>'6M'!IndexTenor</vt:lpstr>
      <vt:lpstr>LastDayInNextYear</vt:lpstr>
      <vt:lpstr>LastDayInYear</vt:lpstr>
      <vt:lpstr>LastUpdate</vt:lpstr>
      <vt:lpstr>LiveDataFeed</vt:lpstr>
      <vt:lpstr>'3M'!Months</vt:lpstr>
      <vt:lpstr>'6M'!Months</vt:lpstr>
      <vt:lpstr>'1M'!RateHelperPrefix</vt:lpstr>
      <vt:lpstr>'3M'!RateHelperPrefix</vt:lpstr>
      <vt:lpstr>'6M'!RateHelperPrefix</vt:lpstr>
      <vt:lpstr>SettlementDate</vt:lpstr>
      <vt:lpstr>'1M'!SheetTrigger</vt:lpstr>
      <vt:lpstr>'3M'!SheetTrigger</vt:lpstr>
      <vt:lpstr>'6M'!SheetTrigger</vt:lpstr>
      <vt:lpstr>'1M'!TOY</vt:lpstr>
      <vt:lpstr>'3M'!TOY</vt:lpstr>
      <vt:lpstr>'6M'!TOY</vt:lpstr>
      <vt:lpstr>Triggers!TriggerTOY1M</vt:lpstr>
      <vt:lpstr>Triggers!TriggerTOY3M</vt:lpstr>
      <vt:lpstr>Triggers!TriggerTOY6M</vt:lpstr>
      <vt:lpstr>'1M'!UseSecondSet</vt:lpstr>
      <vt:lpstr>'3M'!UseSecondSet</vt:lpstr>
      <vt:lpstr>'6M'!UseSecondSet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2014-02-14T13:10:06Z</dcterms:modified>
</cp:coreProperties>
</file>
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95" yWindow="-15" windowWidth="19140" windowHeight="12450" tabRatio="652"/>
  </bookViews>
  <sheets>
    <sheet name="General Settings" sheetId="4" r:id="rId1"/>
    <sheet name="Triggers" sheetId="16" r:id="rId2"/>
    <sheet name="1M" sheetId="12" r:id="rId3"/>
    <sheet name="3M" sheetId="13" r:id="rId4"/>
    <sheet name="6M" sheetId="14" r:id="rId5"/>
    <sheet name="Optimize1M" sheetId="10" r:id="rId6"/>
    <sheet name="Optimize3M" sheetId="6" r:id="rId7"/>
    <sheet name="Optimize6M" sheetId="9" r:id="rId8"/>
    <sheet name="Interpolated6M" sheetId="18" r:id="rId9"/>
  </sheets>
  <functionGroups builtInGroupCount="17"/>
  <definedNames>
    <definedName name="_TOY2" localSheetId="2">'1M'!$R$21</definedName>
    <definedName name="_TOY2" localSheetId="3">'3M'!$R$21</definedName>
    <definedName name="_TOY2" localSheetId="4">'6M'!$R$21</definedName>
    <definedName name="AllTriggers" localSheetId="1">Triggers!$D$5:$D$7</definedName>
    <definedName name="Calendar">'General Settings'!$D$5</definedName>
    <definedName name="Currency">'General Settings'!$D$4</definedName>
    <definedName name="DayCounter">'General Settings'!$D$6</definedName>
    <definedName name="DiscountCurve" localSheetId="2">'1M'!$U$1</definedName>
    <definedName name="DiscountCurve" localSheetId="3">'3M'!$U$2</definedName>
    <definedName name="DiscountCurve" localSheetId="4">'6M'!$U$2</definedName>
    <definedName name="DiscountInterpolationType">'General Settings'!$D$13</definedName>
    <definedName name="EvaluationDate">Triggers!$D$4</definedName>
    <definedName name="ExtFwdInterpolator" localSheetId="3">'3M'!$U$20</definedName>
    <definedName name="ExtFwdInterpolator" localSheetId="4">'6M'!$U$20</definedName>
    <definedName name="FwdInterpolationType">'General Settings'!$D$12</definedName>
    <definedName name="FwdInterpolator" localSheetId="2">'1M'!$U$21</definedName>
    <definedName name="FwdInterpolator" localSheetId="3">'3M'!$U$21</definedName>
    <definedName name="FwdInterpolator" localSheetId="4">'6M'!$U$21</definedName>
    <definedName name="GENERAL_SETTINGS">'General Settings'!$B$2</definedName>
    <definedName name="IndexTenor" localSheetId="2">'1M'!$A$21</definedName>
    <definedName name="IndexTenor" localSheetId="3">'3M'!$A$21</definedName>
    <definedName name="IndexTenor" localSheetId="4">'6M'!$A$21</definedName>
    <definedName name="LastDayInNextYear">'General Settings'!$D$11</definedName>
    <definedName name="LastDayInYear">'General Settings'!$D$10</definedName>
    <definedName name="LastUpdate">'General Settings'!$E$16</definedName>
    <definedName name="LiveDataFeed">'General Settings'!$E$19</definedName>
    <definedName name="Months" localSheetId="3">'3M'!$A$20</definedName>
    <definedName name="Months" localSheetId="4">'6M'!$A$20</definedName>
    <definedName name="Quote" localSheetId="8">Interpolated6M!$O$5:$O$17</definedName>
    <definedName name="Quote" localSheetId="5">Optimize1M!$H$5:$H$6</definedName>
    <definedName name="Quote" localSheetId="6">Optimize3M!$H$5:$H$6</definedName>
    <definedName name="Quote" localSheetId="7">Optimize6M!$H$5:$H$6</definedName>
    <definedName name="QuoteLive" localSheetId="8">Interpolated6M!$I$5:$I$17</definedName>
    <definedName name="QuoteLive" localSheetId="5">Optimize1M!$C$5:$C$6</definedName>
    <definedName name="QuoteLive" localSheetId="6">Optimize3M!$C$5:$C$6</definedName>
    <definedName name="QuoteLive" localSheetId="7">Optimize6M!$C$5:$C$6</definedName>
    <definedName name="QuoteStatic" localSheetId="8">Interpolated6M!$L$5:$L$17</definedName>
    <definedName name="QuoteStatic" localSheetId="5">Optimize1M!$E$5:$E$6</definedName>
    <definedName name="QuoteStatic" localSheetId="6">Optimize3M!$E$5:$E$6</definedName>
    <definedName name="QuoteStatic" localSheetId="7">Optimize6M!$E$5:$E$6</definedName>
    <definedName name="RateHelperPrefix" localSheetId="2">'1M'!$A$22</definedName>
    <definedName name="RateHelperPrefix" localSheetId="3">'3M'!$A$22</definedName>
    <definedName name="RateHelperPrefix" localSheetId="4">'6M'!$A$22</definedName>
    <definedName name="SettlementDate">'General Settings'!$D$9</definedName>
    <definedName name="SheetTrigger" localSheetId="2">'1M'!$A$23</definedName>
    <definedName name="SheetTrigger" localSheetId="3">'3M'!$A$23</definedName>
    <definedName name="SheetTrigger" localSheetId="4">'6M'!$A$23</definedName>
    <definedName name="solver_cvg" localSheetId="5" hidden="1">0.0001</definedName>
    <definedName name="solver_cvg" localSheetId="6" hidden="1">0.0001</definedName>
    <definedName name="solver_drv" localSheetId="5" hidden="1">1</definedName>
    <definedName name="solver_drv" localSheetId="6" hidden="1">1</definedName>
    <definedName name="solver_est" localSheetId="5" hidden="1">1</definedName>
    <definedName name="solver_est" localSheetId="6" hidden="1">1</definedName>
    <definedName name="solver_itr" localSheetId="5" hidden="1">100</definedName>
    <definedName name="solver_itr" localSheetId="6" hidden="1">100</definedName>
    <definedName name="solver_lhs1" localSheetId="5" hidden="1">Optimize1M!#REF!</definedName>
    <definedName name="solver_lhs1" localSheetId="6" hidden="1">Optimize3M!#REF!</definedName>
    <definedName name="solver_lhs2" localSheetId="5" hidden="1">Optimize1M!#REF!</definedName>
    <definedName name="solver_lhs2" localSheetId="6" hidden="1">Optimize3M!#REF!</definedName>
    <definedName name="solver_lhs3" localSheetId="5" hidden="1">Optimize1M!#REF!</definedName>
    <definedName name="solver_lhs3" localSheetId="6" hidden="1">Optimize3M!#REF!</definedName>
    <definedName name="solver_lhs4" localSheetId="5" hidden="1">Optimize1M!#REF!</definedName>
    <definedName name="solver_lhs4" localSheetId="6" hidden="1">Optimize3M!#REF!</definedName>
    <definedName name="solver_lin" localSheetId="5" hidden="1">2</definedName>
    <definedName name="solver_lin" localSheetId="6" hidden="1">2</definedName>
    <definedName name="solver_neg" localSheetId="5" hidden="1">2</definedName>
    <definedName name="solver_neg" localSheetId="6" hidden="1">2</definedName>
    <definedName name="solver_num" localSheetId="5" hidden="1">0</definedName>
    <definedName name="solver_num" localSheetId="6" hidden="1">0</definedName>
    <definedName name="solver_nwt" localSheetId="5" hidden="1">1</definedName>
    <definedName name="solver_nwt" localSheetId="6" hidden="1">1</definedName>
    <definedName name="solver_pre" localSheetId="5" hidden="1">0.000001</definedName>
    <definedName name="solver_pre" localSheetId="6" hidden="1">0.000001</definedName>
    <definedName name="solver_rel1" localSheetId="5" hidden="1">1</definedName>
    <definedName name="solver_rel1" localSheetId="6" hidden="1">1</definedName>
    <definedName name="solver_rel2" localSheetId="5" hidden="1">3</definedName>
    <definedName name="solver_rel2" localSheetId="6" hidden="1">3</definedName>
    <definedName name="solver_rel3" localSheetId="5" hidden="1">1</definedName>
    <definedName name="solver_rel3" localSheetId="6" hidden="1">1</definedName>
    <definedName name="solver_rel4" localSheetId="5" hidden="1">3</definedName>
    <definedName name="solver_rel4" localSheetId="6" hidden="1">3</definedName>
    <definedName name="solver_rhs1" localSheetId="5" hidden="1">0.2</definedName>
    <definedName name="solver_rhs1" localSheetId="6" hidden="1">0.2</definedName>
    <definedName name="solver_rhs2" localSheetId="5" hidden="1">0.0005</definedName>
    <definedName name="solver_rhs2" localSheetId="6" hidden="1">0.0005</definedName>
    <definedName name="solver_rhs3" localSheetId="5" hidden="1">0.2</definedName>
    <definedName name="solver_rhs3" localSheetId="6" hidden="1">0.2</definedName>
    <definedName name="solver_rhs4" localSheetId="5" hidden="1">0.0005</definedName>
    <definedName name="solver_rhs4" localSheetId="6" hidden="1">0.0005</definedName>
    <definedName name="solver_scl" localSheetId="5" hidden="1">2</definedName>
    <definedName name="solver_scl" localSheetId="6" hidden="1">2</definedName>
    <definedName name="solver_sho" localSheetId="5" hidden="1">2</definedName>
    <definedName name="solver_sho" localSheetId="6" hidden="1">2</definedName>
    <definedName name="solver_tim" localSheetId="5" hidden="1">100</definedName>
    <definedName name="solver_tim" localSheetId="6" hidden="1">100</definedName>
    <definedName name="solver_tol" localSheetId="5" hidden="1">0.05</definedName>
    <definedName name="solver_tol" localSheetId="6" hidden="1">0.05</definedName>
    <definedName name="solver_typ" localSheetId="5" hidden="1">1</definedName>
    <definedName name="solver_typ" localSheetId="6" hidden="1">1</definedName>
    <definedName name="solver_val" localSheetId="5" hidden="1">0</definedName>
    <definedName name="solver_val" localSheetId="6" hidden="1">0</definedName>
    <definedName name="TOY" localSheetId="2">'1M'!$R$20</definedName>
    <definedName name="TOY" localSheetId="3">'3M'!$R$20</definedName>
    <definedName name="TOY" localSheetId="4">'6M'!$R$20</definedName>
    <definedName name="TriggerCounter">'General Settings'!$D$7</definedName>
    <definedName name="TriggerTOY1M" localSheetId="1">Triggers!$D$5</definedName>
    <definedName name="TriggerTOY3M" localSheetId="1">Triggers!$D$6</definedName>
    <definedName name="TriggerTOY6M" localSheetId="1">Triggers!$D$7</definedName>
    <definedName name="UseSecondSet" localSheetId="2">'1M'!$O$2</definedName>
    <definedName name="UseSecondSet" localSheetId="3">'3M'!$O$2</definedName>
    <definedName name="UseSecondSet" localSheetId="4">'6M'!$O$2</definedName>
  </definedNames>
  <calcPr calcId="145621"/>
</workbook>
</file>

<file path=xl/calcChain.xml><?xml version="1.0" encoding="utf-8"?>
<calcChain xmlns="http://schemas.openxmlformats.org/spreadsheetml/2006/main">
  <c r="O5" i="18" l="1" a="1"/>
  <c r="O10" i="18" s="1"/>
  <c r="O5" i="18"/>
  <c r="O6" i="18"/>
  <c r="O7" i="18"/>
  <c r="O8" i="18"/>
  <c r="O9" i="18"/>
  <c r="O12" i="18"/>
  <c r="O13" i="18"/>
  <c r="O14" i="18"/>
  <c r="O15" i="18"/>
  <c r="O16" i="18"/>
  <c r="O17" i="18"/>
  <c r="H5" i="9" a="1"/>
  <c r="H5" i="9"/>
  <c r="H6" i="9"/>
  <c r="H5" i="6" a="1"/>
  <c r="H5" i="6"/>
  <c r="H6" i="6"/>
  <c r="H5" i="10" a="1"/>
  <c r="H6" i="10" s="1"/>
  <c r="H5" i="10"/>
  <c r="O11" i="18" l="1"/>
  <c r="B35" i="13"/>
  <c r="B27" i="12"/>
  <c r="B25" i="14"/>
  <c r="B26" i="14"/>
  <c r="B27" i="14"/>
  <c r="B28" i="14"/>
  <c r="B29" i="14"/>
  <c r="B30" i="14"/>
  <c r="B31" i="14"/>
  <c r="B32" i="14"/>
  <c r="B33" i="14"/>
  <c r="B34" i="14"/>
  <c r="B36" i="13"/>
  <c r="B37" i="13"/>
  <c r="B38" i="13"/>
  <c r="B39" i="13"/>
  <c r="B40" i="13"/>
  <c r="B41" i="13"/>
  <c r="B34" i="13"/>
  <c r="B26" i="12"/>
  <c r="B25" i="12"/>
  <c r="B28" i="12"/>
  <c r="B29" i="12"/>
  <c r="B30" i="12"/>
  <c r="B31" i="12"/>
  <c r="B32" i="12"/>
  <c r="B33" i="12"/>
  <c r="B34" i="12"/>
  <c r="B35" i="12"/>
  <c r="B36" i="12"/>
  <c r="B37" i="12"/>
  <c r="D40" i="14"/>
  <c r="D41" i="14"/>
  <c r="D42" i="14"/>
  <c r="D43" i="14"/>
  <c r="D44" i="14"/>
  <c r="D45" i="14"/>
  <c r="B17" i="18"/>
  <c r="N17" i="18"/>
  <c r="B16" i="18"/>
  <c r="B15" i="18"/>
  <c r="B14" i="18"/>
  <c r="N14" i="18"/>
  <c r="B13" i="18"/>
  <c r="N13" i="18"/>
  <c r="B12" i="18"/>
  <c r="B11" i="18"/>
  <c r="B10" i="18"/>
  <c r="B9" i="18"/>
  <c r="N9" i="18"/>
  <c r="B8" i="18"/>
  <c r="B7" i="18"/>
  <c r="N7" i="18"/>
  <c r="B6" i="18"/>
  <c r="N6" i="18"/>
  <c r="B5" i="18"/>
  <c r="N5" i="18"/>
  <c r="B8" i="13"/>
  <c r="B9" i="13"/>
  <c r="B10" i="13"/>
  <c r="D42" i="13"/>
  <c r="D43" i="13"/>
  <c r="D44" i="13"/>
  <c r="D45" i="13"/>
  <c r="D46" i="13"/>
  <c r="D47" i="13"/>
  <c r="D48" i="13"/>
  <c r="D49" i="13"/>
  <c r="D50" i="13"/>
  <c r="D51" i="13"/>
  <c r="D52" i="13"/>
  <c r="B42" i="13"/>
  <c r="B43" i="13"/>
  <c r="B44" i="13"/>
  <c r="B45" i="13"/>
  <c r="B46" i="13"/>
  <c r="B47" i="13"/>
  <c r="B48" i="13"/>
  <c r="B49" i="13"/>
  <c r="B50" i="13"/>
  <c r="B51" i="13"/>
  <c r="B52" i="13"/>
  <c r="B8" i="14"/>
  <c r="B9" i="14"/>
  <c r="B10" i="14"/>
  <c r="B40" i="14"/>
  <c r="B41" i="14"/>
  <c r="B42" i="14"/>
  <c r="B43" i="14"/>
  <c r="B44" i="14"/>
  <c r="B45" i="14"/>
  <c r="G5" i="10"/>
  <c r="G6" i="10"/>
  <c r="G5" i="6"/>
  <c r="G6" i="6"/>
  <c r="G5" i="9"/>
  <c r="G6" i="9"/>
  <c r="N8" i="18"/>
  <c r="N10" i="18"/>
  <c r="N11" i="18"/>
  <c r="N12" i="18"/>
  <c r="N15" i="18"/>
  <c r="N16" i="18"/>
  <c r="B1" i="16"/>
  <c r="A21" i="14"/>
  <c r="A21" i="12"/>
  <c r="A21" i="13"/>
  <c r="B23" i="13"/>
  <c r="A24" i="13"/>
  <c r="C24" i="13"/>
  <c r="A22" i="13"/>
  <c r="A24" i="12"/>
  <c r="C24" i="12"/>
  <c r="B23" i="12"/>
  <c r="A22" i="12"/>
  <c r="A22" i="14"/>
  <c r="B23" i="14"/>
  <c r="A24" i="14"/>
  <c r="C24" i="14"/>
  <c r="C27" i="12"/>
  <c r="C26" i="12"/>
  <c r="C31" i="12"/>
  <c r="C30" i="12"/>
  <c r="C23" i="12"/>
  <c r="C29" i="12"/>
  <c r="C35" i="12"/>
  <c r="C32" i="12"/>
  <c r="C34" i="12"/>
  <c r="C36" i="12"/>
  <c r="C37" i="12"/>
  <c r="C28" i="12"/>
  <c r="C33" i="12"/>
  <c r="C25" i="12"/>
  <c r="C8" i="14"/>
  <c r="C26" i="14"/>
  <c r="C28" i="14"/>
  <c r="C30" i="14"/>
  <c r="C32" i="14"/>
  <c r="C34" i="14"/>
  <c r="C29" i="14"/>
  <c r="C27" i="14"/>
  <c r="C31" i="14"/>
  <c r="C9" i="14"/>
  <c r="C23" i="14"/>
  <c r="C25" i="14"/>
  <c r="C10" i="14"/>
  <c r="C33" i="14"/>
  <c r="C41" i="13"/>
  <c r="C10" i="13"/>
  <c r="C23" i="13"/>
  <c r="C38" i="13"/>
  <c r="C35" i="13"/>
  <c r="C40" i="13"/>
  <c r="C34" i="13"/>
  <c r="C36" i="13"/>
  <c r="C8" i="13"/>
  <c r="C37" i="13"/>
  <c r="C9" i="13"/>
  <c r="C39" i="13"/>
  <c r="D4" i="16"/>
  <c r="D26" i="14"/>
  <c r="E35" i="13"/>
  <c r="D27" i="12"/>
  <c r="D25" i="12"/>
  <c r="E36" i="13"/>
  <c r="D28" i="14"/>
  <c r="D33" i="14"/>
  <c r="E37" i="13"/>
  <c r="E27" i="12"/>
  <c r="E25" i="12"/>
  <c r="D36" i="13"/>
  <c r="E27" i="14"/>
  <c r="D34" i="13"/>
  <c r="E32" i="14"/>
  <c r="E33" i="14"/>
  <c r="D37" i="13"/>
  <c r="D23" i="12"/>
  <c r="D31" i="12"/>
  <c r="D27" i="14"/>
  <c r="D32" i="14"/>
  <c r="E38" i="13"/>
  <c r="D32" i="12"/>
  <c r="E23" i="12"/>
  <c r="E31" i="12"/>
  <c r="B1" i="4"/>
  <c r="D38" i="13"/>
  <c r="E32" i="12"/>
  <c r="E33" i="12"/>
  <c r="D25" i="14"/>
  <c r="E35" i="12"/>
  <c r="D30" i="14"/>
  <c r="D33" i="12"/>
  <c r="E25" i="14"/>
  <c r="D35" i="12"/>
  <c r="E30" i="14"/>
  <c r="E34" i="14"/>
  <c r="E37" i="12"/>
  <c r="E28" i="12"/>
  <c r="D34" i="12"/>
  <c r="D34" i="14"/>
  <c r="D37" i="12"/>
  <c r="D28" i="12"/>
  <c r="E34" i="12"/>
  <c r="E34" i="13"/>
  <c r="D40" i="13"/>
  <c r="E28" i="14"/>
  <c r="E40" i="13"/>
  <c r="D39" i="13"/>
  <c r="D41" i="13"/>
  <c r="D29" i="14"/>
  <c r="D36" i="12"/>
  <c r="E36" i="12"/>
  <c r="E29" i="14"/>
  <c r="D35" i="13"/>
  <c r="D9" i="4"/>
  <c r="D30" i="12"/>
  <c r="D29" i="12"/>
  <c r="E23" i="14"/>
  <c r="C7" i="18"/>
  <c r="H43" i="13"/>
  <c r="E26" i="14"/>
  <c r="E31" i="14"/>
  <c r="D31" i="14"/>
  <c r="E41" i="13"/>
  <c r="D23" i="14"/>
  <c r="D23" i="13"/>
  <c r="H41" i="14"/>
  <c r="E23" i="13"/>
  <c r="C14" i="18"/>
  <c r="E39" i="13"/>
  <c r="H44" i="13"/>
  <c r="D26" i="12"/>
  <c r="H51" i="13"/>
  <c r="E26" i="12"/>
  <c r="H47" i="13"/>
  <c r="E30" i="12"/>
  <c r="E29" i="12"/>
  <c r="H42" i="13"/>
  <c r="C16" i="18"/>
  <c r="H43" i="14"/>
  <c r="H42" i="14"/>
  <c r="H49" i="13"/>
  <c r="H45" i="13"/>
  <c r="C5" i="18"/>
  <c r="C9" i="18"/>
  <c r="C8" i="18"/>
  <c r="C11" i="18"/>
  <c r="H45" i="14"/>
  <c r="C15" i="18"/>
  <c r="H46" i="13"/>
  <c r="H50" i="13"/>
  <c r="C13" i="18"/>
  <c r="H52" i="13"/>
  <c r="C17" i="18"/>
  <c r="H40" i="14"/>
  <c r="C6" i="18"/>
  <c r="H48" i="13"/>
  <c r="C12" i="18"/>
  <c r="H44" i="14"/>
  <c r="C10" i="18"/>
  <c r="D7" i="18"/>
  <c r="H7" i="18"/>
  <c r="E43" i="13"/>
  <c r="Q43" i="13"/>
  <c r="E41" i="14"/>
  <c r="Q41" i="14"/>
  <c r="D14" i="18"/>
  <c r="H14" i="18"/>
  <c r="E44" i="13"/>
  <c r="Q44" i="13"/>
  <c r="E51" i="13"/>
  <c r="Q51" i="13"/>
  <c r="E47" i="13"/>
  <c r="Q47" i="13"/>
  <c r="E42" i="13"/>
  <c r="Q42" i="13"/>
  <c r="D16" i="18"/>
  <c r="H16" i="18"/>
  <c r="E43" i="14"/>
  <c r="Q43" i="14"/>
  <c r="E42" i="14"/>
  <c r="Q42" i="14"/>
  <c r="E49" i="13"/>
  <c r="Q49" i="13"/>
  <c r="E45" i="13"/>
  <c r="Q45" i="13"/>
  <c r="D5" i="18"/>
  <c r="H5" i="18"/>
  <c r="D9" i="18"/>
  <c r="H9" i="18"/>
  <c r="D8" i="18"/>
  <c r="H8" i="18"/>
  <c r="D11" i="18"/>
  <c r="H11" i="18"/>
  <c r="E45" i="14"/>
  <c r="Q45" i="14"/>
  <c r="D15" i="18"/>
  <c r="H15" i="18"/>
  <c r="E46" i="13"/>
  <c r="Q46" i="13"/>
  <c r="E50" i="13"/>
  <c r="Q50" i="13"/>
  <c r="D13" i="18"/>
  <c r="H13" i="18"/>
  <c r="E52" i="13"/>
  <c r="Q52" i="13"/>
  <c r="D17" i="18"/>
  <c r="H17" i="18"/>
  <c r="E40" i="14"/>
  <c r="Q40" i="14"/>
  <c r="D6" i="18"/>
  <c r="H6" i="18"/>
  <c r="E48" i="13"/>
  <c r="Q48" i="13"/>
  <c r="D12" i="18"/>
  <c r="H12" i="18"/>
  <c r="E44" i="14"/>
  <c r="Q44" i="14"/>
  <c r="D10" i="18"/>
  <c r="H10" i="18"/>
  <c r="H30" i="12"/>
  <c r="H31" i="12"/>
  <c r="U22" i="13"/>
  <c r="H23" i="13"/>
  <c r="H23" i="14"/>
  <c r="U22" i="14"/>
  <c r="H31" i="14"/>
  <c r="H35" i="13"/>
  <c r="H37" i="12"/>
  <c r="H29" i="14"/>
  <c r="H41" i="13"/>
  <c r="H39" i="13"/>
  <c r="H40" i="13"/>
  <c r="H35" i="12"/>
  <c r="H34" i="14"/>
  <c r="H29" i="12"/>
  <c r="H30" i="14"/>
  <c r="H36" i="12"/>
  <c r="H25" i="14"/>
  <c r="H34" i="12"/>
  <c r="H33" i="12"/>
  <c r="H38" i="13"/>
  <c r="H32" i="12"/>
  <c r="H27" i="12"/>
  <c r="H32" i="14"/>
  <c r="H27" i="14"/>
  <c r="H23" i="12"/>
  <c r="U22" i="12"/>
  <c r="H37" i="13"/>
  <c r="H34" i="13"/>
  <c r="H36" i="13"/>
  <c r="H28" i="12"/>
  <c r="H33" i="14"/>
  <c r="H28" i="14"/>
  <c r="H25" i="12"/>
  <c r="H26" i="14"/>
  <c r="J44" i="14"/>
  <c r="J43" i="13"/>
  <c r="Q31" i="12"/>
  <c r="Q29" i="12"/>
  <c r="Q28" i="12"/>
  <c r="J52" i="13"/>
  <c r="Q25" i="12"/>
  <c r="Q26" i="14"/>
  <c r="J46" i="13"/>
  <c r="D11" i="4"/>
  <c r="Q35" i="12"/>
  <c r="Q36" i="13"/>
  <c r="J48" i="13"/>
  <c r="Q30" i="14"/>
  <c r="Q33" i="14"/>
  <c r="J50" i="13"/>
  <c r="Q34" i="12"/>
  <c r="Q33" i="12"/>
  <c r="B35" i="14"/>
  <c r="D10" i="4"/>
  <c r="J44" i="13"/>
  <c r="Q30" i="12"/>
  <c r="J40" i="14"/>
  <c r="Q36" i="12"/>
  <c r="Q28" i="14"/>
  <c r="Q25" i="14"/>
  <c r="B25" i="13"/>
  <c r="J51" i="13"/>
  <c r="Q23" i="14"/>
  <c r="Q40" i="13"/>
  <c r="Q37" i="13"/>
  <c r="Q34" i="13"/>
  <c r="J41" i="14"/>
  <c r="Q34" i="14"/>
  <c r="J45" i="14"/>
  <c r="Q38" i="13"/>
  <c r="J45" i="13"/>
  <c r="B38" i="12"/>
  <c r="Q32" i="12"/>
  <c r="J49" i="13"/>
  <c r="Q35" i="13"/>
  <c r="Q27" i="12"/>
  <c r="J42" i="14"/>
  <c r="Q37" i="12"/>
  <c r="Q32" i="14"/>
  <c r="J43" i="14"/>
  <c r="Q29" i="14"/>
  <c r="Q27" i="14"/>
  <c r="J42" i="13"/>
  <c r="Q41" i="13"/>
  <c r="Q23" i="12"/>
  <c r="J47" i="13"/>
  <c r="Q23" i="13"/>
  <c r="Q39" i="13"/>
  <c r="Q31" i="14"/>
  <c r="K47" i="13"/>
  <c r="K42" i="13"/>
  <c r="K43" i="14"/>
  <c r="K50" i="14"/>
  <c r="K42" i="14"/>
  <c r="K49" i="14"/>
  <c r="K49" i="13"/>
  <c r="C38" i="12"/>
  <c r="K45" i="13"/>
  <c r="K52" i="14"/>
  <c r="K45" i="14"/>
  <c r="K48" i="14"/>
  <c r="K41" i="14"/>
  <c r="K51" i="13"/>
  <c r="C25" i="13"/>
  <c r="K40" i="14"/>
  <c r="K47" i="14"/>
  <c r="K44" i="13"/>
  <c r="L52" i="13"/>
  <c r="L51" i="13"/>
  <c r="S51" i="13"/>
  <c r="T51" i="13"/>
  <c r="F8" i="18"/>
  <c r="F9" i="18"/>
  <c r="F13" i="18"/>
  <c r="L43" i="13"/>
  <c r="L50" i="13"/>
  <c r="L45" i="13"/>
  <c r="S45" i="13"/>
  <c r="T45" i="13"/>
  <c r="F17" i="18"/>
  <c r="F10" i="18"/>
  <c r="F5" i="18"/>
  <c r="L47" i="13"/>
  <c r="S47" i="13"/>
  <c r="T47" i="13"/>
  <c r="F7" i="18"/>
  <c r="L44" i="14"/>
  <c r="L46" i="13"/>
  <c r="F12" i="18"/>
  <c r="L44" i="13"/>
  <c r="L49" i="13"/>
  <c r="S49" i="13"/>
  <c r="T49" i="13"/>
  <c r="L48" i="13"/>
  <c r="F14" i="18"/>
  <c r="F15" i="18"/>
  <c r="L42" i="14"/>
  <c r="F6" i="18"/>
  <c r="L45" i="14"/>
  <c r="L43" i="14"/>
  <c r="L41" i="14"/>
  <c r="S41" i="14"/>
  <c r="T41" i="14"/>
  <c r="F11" i="18"/>
  <c r="L40" i="14"/>
  <c r="S40" i="14"/>
  <c r="T40" i="14"/>
  <c r="F16" i="18"/>
  <c r="L42" i="13"/>
  <c r="S42" i="13"/>
  <c r="T42" i="13"/>
  <c r="C35" i="14"/>
  <c r="K50" i="13"/>
  <c r="K48" i="13"/>
  <c r="G9" i="18"/>
  <c r="M43" i="13"/>
  <c r="M50" i="13"/>
  <c r="G8" i="18"/>
  <c r="G10" i="18"/>
  <c r="G5" i="18"/>
  <c r="M47" i="13"/>
  <c r="G7" i="18"/>
  <c r="G12" i="18"/>
  <c r="M44" i="13"/>
  <c r="M46" i="13"/>
  <c r="G13" i="18"/>
  <c r="M44" i="14"/>
  <c r="M51" i="13"/>
  <c r="M45" i="13"/>
  <c r="M49" i="13"/>
  <c r="M42" i="13"/>
  <c r="G15" i="18"/>
  <c r="M42" i="14"/>
  <c r="M48" i="13"/>
  <c r="G14" i="18"/>
  <c r="M41" i="14"/>
  <c r="G6" i="18"/>
  <c r="M45" i="14"/>
  <c r="M43" i="14"/>
  <c r="M40" i="14"/>
  <c r="G16" i="18"/>
  <c r="G11" i="18"/>
  <c r="G17" i="18"/>
  <c r="M52" i="13"/>
  <c r="K46" i="13"/>
  <c r="K52" i="13"/>
  <c r="K43" i="13"/>
  <c r="K44" i="14"/>
  <c r="K51" i="14"/>
  <c r="L31" i="14"/>
  <c r="M31" i="14"/>
  <c r="L39" i="13"/>
  <c r="M39" i="13"/>
  <c r="M23" i="13"/>
  <c r="H24" i="13"/>
  <c r="L23" i="13"/>
  <c r="M23" i="12"/>
  <c r="H24" i="12"/>
  <c r="L23" i="12"/>
  <c r="L41" i="13"/>
  <c r="M41" i="13"/>
  <c r="L27" i="14"/>
  <c r="M27" i="14"/>
  <c r="L29" i="14"/>
  <c r="M29" i="14"/>
  <c r="M32" i="14"/>
  <c r="L32" i="14"/>
  <c r="M37" i="12"/>
  <c r="L37" i="12"/>
  <c r="L27" i="12"/>
  <c r="M27" i="12"/>
  <c r="L35" i="13"/>
  <c r="M35" i="13"/>
  <c r="L32" i="12"/>
  <c r="M32" i="12"/>
  <c r="M38" i="13"/>
  <c r="L38" i="13"/>
  <c r="M34" i="14"/>
  <c r="L34" i="14"/>
  <c r="M34" i="13"/>
  <c r="L34" i="13"/>
  <c r="L37" i="13"/>
  <c r="M37" i="13"/>
  <c r="L40" i="13"/>
  <c r="M40" i="13"/>
  <c r="H24" i="14"/>
  <c r="M23" i="14"/>
  <c r="L23" i="14"/>
  <c r="L25" i="14"/>
  <c r="M25" i="14"/>
  <c r="M28" i="14"/>
  <c r="L28" i="14"/>
  <c r="M36" i="12"/>
  <c r="L36" i="12"/>
  <c r="L30" i="12"/>
  <c r="M30" i="12"/>
  <c r="L33" i="12"/>
  <c r="M33" i="12"/>
  <c r="L34" i="12"/>
  <c r="M34" i="12"/>
  <c r="L33" i="14"/>
  <c r="M33" i="14"/>
  <c r="M30" i="14"/>
  <c r="L30" i="14"/>
  <c r="L36" i="13"/>
  <c r="M36" i="13"/>
  <c r="L35" i="12"/>
  <c r="M35" i="12"/>
  <c r="M26" i="14"/>
  <c r="L26" i="14"/>
  <c r="H26" i="12"/>
  <c r="M25" i="12"/>
  <c r="L25" i="12"/>
  <c r="M28" i="12"/>
  <c r="L28" i="12"/>
  <c r="L29" i="12"/>
  <c r="M29" i="12"/>
  <c r="L31" i="12"/>
  <c r="M31" i="12"/>
  <c r="D35" i="14"/>
  <c r="E35" i="14"/>
  <c r="E25" i="13"/>
  <c r="D25" i="13"/>
  <c r="E38" i="12"/>
  <c r="D38" i="12"/>
  <c r="Q26" i="12"/>
  <c r="B36" i="14"/>
  <c r="A26" i="13"/>
  <c r="B26" i="13"/>
  <c r="B39" i="12"/>
  <c r="C39" i="12"/>
  <c r="C26" i="13"/>
  <c r="C36" i="14"/>
  <c r="H38" i="12"/>
  <c r="H25" i="13"/>
  <c r="H35" i="14"/>
  <c r="S44" i="14"/>
  <c r="T44" i="14"/>
  <c r="L26" i="12"/>
  <c r="M26" i="12"/>
  <c r="S43" i="14"/>
  <c r="T43" i="14"/>
  <c r="S45" i="14"/>
  <c r="T45" i="14"/>
  <c r="S50" i="13"/>
  <c r="T50" i="13"/>
  <c r="S42" i="14"/>
  <c r="T42" i="14"/>
  <c r="S43" i="13"/>
  <c r="T43" i="13"/>
  <c r="S48" i="13"/>
  <c r="T48" i="13"/>
  <c r="S44" i="13"/>
  <c r="T44" i="13"/>
  <c r="S52" i="13"/>
  <c r="T52" i="13"/>
  <c r="S46" i="13"/>
  <c r="T46" i="13"/>
  <c r="D39" i="12"/>
  <c r="E39" i="12"/>
  <c r="E26" i="13"/>
  <c r="D26" i="13"/>
  <c r="Q38" i="12"/>
  <c r="E36" i="14"/>
  <c r="D36" i="14"/>
  <c r="Q25" i="13"/>
  <c r="Q35" i="14"/>
  <c r="B40" i="12"/>
  <c r="B27" i="13"/>
  <c r="B37" i="14"/>
  <c r="C37" i="14"/>
  <c r="C27" i="13"/>
  <c r="C40" i="12"/>
  <c r="H36" i="14"/>
  <c r="H26" i="13"/>
  <c r="H39" i="12"/>
  <c r="I35" i="14"/>
  <c r="L35" i="14"/>
  <c r="M35" i="14"/>
  <c r="L25" i="13"/>
  <c r="M25" i="13"/>
  <c r="M38" i="12"/>
  <c r="I38" i="12"/>
  <c r="L38" i="12"/>
  <c r="E37" i="14"/>
  <c r="D37" i="14"/>
  <c r="E27" i="13"/>
  <c r="D27" i="13"/>
  <c r="D40" i="12"/>
  <c r="E40" i="12"/>
  <c r="Q36" i="14"/>
  <c r="Q39" i="12"/>
  <c r="Q26" i="13"/>
  <c r="B38" i="14"/>
  <c r="B28" i="13"/>
  <c r="B41" i="12"/>
  <c r="C41" i="12"/>
  <c r="C28" i="13"/>
  <c r="C38" i="14"/>
  <c r="H40" i="12"/>
  <c r="H27" i="13"/>
  <c r="H37" i="14"/>
  <c r="L26" i="13"/>
  <c r="M26" i="13"/>
  <c r="I39" i="12"/>
  <c r="M39" i="12"/>
  <c r="L39" i="12"/>
  <c r="L36" i="14"/>
  <c r="M36" i="14"/>
  <c r="I36" i="14"/>
  <c r="Q27" i="13"/>
  <c r="D28" i="13"/>
  <c r="E28" i="13"/>
  <c r="D38" i="14"/>
  <c r="E38" i="14"/>
  <c r="Q37" i="14"/>
  <c r="E41" i="12"/>
  <c r="D41" i="12"/>
  <c r="Q40" i="12"/>
  <c r="B29" i="13"/>
  <c r="B39" i="14"/>
  <c r="B42" i="12"/>
  <c r="C42" i="12"/>
  <c r="C39" i="14"/>
  <c r="C29" i="13"/>
  <c r="H41" i="12"/>
  <c r="H38" i="14"/>
  <c r="H28" i="13"/>
  <c r="I40" i="12"/>
  <c r="M40" i="12"/>
  <c r="L40" i="12"/>
  <c r="M37" i="14"/>
  <c r="L37" i="14"/>
  <c r="I37" i="14"/>
  <c r="L27" i="13"/>
  <c r="M27" i="13"/>
  <c r="D42" i="12"/>
  <c r="E42" i="12"/>
  <c r="E39" i="14"/>
  <c r="D39" i="14"/>
  <c r="Q38" i="14"/>
  <c r="D29" i="13"/>
  <c r="E29" i="13"/>
  <c r="Q28" i="13"/>
  <c r="Q41" i="12"/>
  <c r="B43" i="12"/>
  <c r="B30" i="13"/>
  <c r="C30" i="13"/>
  <c r="C43" i="12"/>
  <c r="H29" i="13"/>
  <c r="H39" i="14"/>
  <c r="H42" i="12"/>
  <c r="I41" i="12"/>
  <c r="L41" i="12"/>
  <c r="M41" i="12"/>
  <c r="L28" i="13"/>
  <c r="M28" i="13"/>
  <c r="M38" i="14"/>
  <c r="L38" i="14"/>
  <c r="I38" i="14"/>
  <c r="E30" i="13"/>
  <c r="D30" i="13"/>
  <c r="E43" i="12"/>
  <c r="D43" i="12"/>
  <c r="Q39" i="14"/>
  <c r="Q29" i="13"/>
  <c r="Q42" i="12"/>
  <c r="B31" i="13"/>
  <c r="B44" i="12"/>
  <c r="C44" i="12"/>
  <c r="C31" i="13"/>
  <c r="H43" i="12"/>
  <c r="H30" i="13"/>
  <c r="M42" i="12"/>
  <c r="I42" i="12"/>
  <c r="L42" i="12"/>
  <c r="M29" i="13"/>
  <c r="L29" i="13"/>
  <c r="I39" i="14"/>
  <c r="L39" i="14"/>
  <c r="M39" i="14"/>
  <c r="E44" i="12"/>
  <c r="D44" i="12"/>
  <c r="Q30" i="13"/>
  <c r="D31" i="13"/>
  <c r="E31" i="13"/>
  <c r="Q43" i="12"/>
  <c r="B45" i="12"/>
  <c r="B32" i="13"/>
  <c r="C32" i="13"/>
  <c r="C45" i="12"/>
  <c r="H31" i="13"/>
  <c r="H44" i="12"/>
  <c r="I43" i="12"/>
  <c r="L43" i="12"/>
  <c r="M43" i="12"/>
  <c r="L30" i="13"/>
  <c r="M30" i="13"/>
  <c r="D32" i="13"/>
  <c r="E32" i="13"/>
  <c r="E45" i="12"/>
  <c r="D45" i="12"/>
  <c r="Q31" i="13"/>
  <c r="Q44" i="12"/>
  <c r="B33" i="13"/>
  <c r="B46" i="12"/>
  <c r="C46" i="12"/>
  <c r="C33" i="13"/>
  <c r="H45" i="12"/>
  <c r="H32" i="13"/>
  <c r="I44" i="12"/>
  <c r="L44" i="12"/>
  <c r="M44" i="12"/>
  <c r="L31" i="13"/>
  <c r="M31" i="13"/>
  <c r="D46" i="12"/>
  <c r="E46" i="12"/>
  <c r="E33" i="13"/>
  <c r="D33" i="13"/>
  <c r="Q45" i="12"/>
  <c r="Q32" i="13"/>
  <c r="B47" i="12"/>
  <c r="C47" i="12"/>
  <c r="H33" i="13"/>
  <c r="H46" i="12"/>
  <c r="M32" i="13"/>
  <c r="L32" i="13"/>
  <c r="L45" i="12"/>
  <c r="I45" i="12"/>
  <c r="M45" i="12"/>
  <c r="E47" i="12"/>
  <c r="D47" i="12"/>
  <c r="Q33" i="13"/>
  <c r="Q46" i="12"/>
  <c r="B48" i="12"/>
  <c r="C48" i="12"/>
  <c r="H47" i="12"/>
  <c r="M46" i="12"/>
  <c r="I46" i="12"/>
  <c r="L46" i="12"/>
  <c r="M33" i="13"/>
  <c r="L33" i="13"/>
  <c r="I40" i="13"/>
  <c r="I37" i="13"/>
  <c r="I41" i="13"/>
  <c r="I38" i="13"/>
  <c r="I36" i="13"/>
  <c r="I35" i="13"/>
  <c r="I39" i="13"/>
  <c r="D48" i="12"/>
  <c r="E48" i="12"/>
  <c r="Q47" i="12"/>
  <c r="B49" i="12"/>
  <c r="C49" i="12"/>
  <c r="H48" i="12"/>
  <c r="I47" i="12"/>
  <c r="M47" i="12"/>
  <c r="L47" i="12"/>
  <c r="E49" i="12"/>
  <c r="D49" i="12"/>
  <c r="Q48" i="12"/>
  <c r="H49" i="12"/>
  <c r="M48" i="12"/>
  <c r="L48" i="12"/>
  <c r="I48" i="12"/>
  <c r="Q49" i="12"/>
  <c r="I49" i="12"/>
  <c r="L49" i="12"/>
  <c r="M49" i="12"/>
  <c r="A23" i="13"/>
  <c r="F33" i="13"/>
  <c r="G33" i="13"/>
  <c r="F32" i="13"/>
  <c r="G32" i="13"/>
  <c r="G31" i="13"/>
  <c r="F31" i="13"/>
  <c r="G30" i="13"/>
  <c r="F30" i="13"/>
  <c r="F29" i="13"/>
  <c r="G29" i="13"/>
  <c r="G28" i="13"/>
  <c r="F28" i="13"/>
  <c r="G27" i="13"/>
  <c r="F27" i="13"/>
  <c r="F26" i="13"/>
  <c r="G26" i="13"/>
  <c r="F25" i="13"/>
  <c r="G25" i="13"/>
  <c r="F41" i="13"/>
  <c r="F38" i="13"/>
  <c r="F34" i="13"/>
  <c r="F35" i="13"/>
  <c r="F37" i="13"/>
  <c r="F39" i="13"/>
  <c r="F8" i="13"/>
  <c r="F40" i="13"/>
  <c r="F36" i="13"/>
  <c r="F24" i="13"/>
  <c r="F10" i="13"/>
  <c r="F9" i="13"/>
  <c r="D24" i="13"/>
  <c r="E24" i="13"/>
  <c r="F23" i="13"/>
  <c r="Q24" i="13"/>
  <c r="J23" i="13"/>
  <c r="L24" i="13"/>
  <c r="M24" i="13"/>
  <c r="J24" i="13"/>
  <c r="J36" i="13"/>
  <c r="J40" i="13"/>
  <c r="J39" i="13"/>
  <c r="J37" i="13"/>
  <c r="J35" i="13"/>
  <c r="J34" i="13"/>
  <c r="J38" i="13"/>
  <c r="J41" i="13"/>
  <c r="J25" i="13"/>
  <c r="J26" i="13"/>
  <c r="J27" i="13"/>
  <c r="J28" i="13"/>
  <c r="J29" i="13"/>
  <c r="J30" i="13"/>
  <c r="J31" i="13"/>
  <c r="J32" i="13"/>
  <c r="J33" i="13"/>
  <c r="S24" i="13"/>
  <c r="T24" i="13"/>
  <c r="K25" i="13"/>
  <c r="N25" i="13"/>
  <c r="S25" i="13"/>
  <c r="T25" i="13"/>
  <c r="K38" i="13"/>
  <c r="N38" i="13"/>
  <c r="S35" i="13"/>
  <c r="T35" i="13"/>
  <c r="K35" i="13"/>
  <c r="N35" i="13"/>
  <c r="S37" i="13"/>
  <c r="T37" i="13"/>
  <c r="K37" i="13"/>
  <c r="N37" i="13"/>
  <c r="K39" i="13"/>
  <c r="N39" i="13"/>
  <c r="K40" i="13"/>
  <c r="N40" i="13"/>
  <c r="K33" i="13"/>
  <c r="N33" i="13"/>
  <c r="S36" i="13"/>
  <c r="T36" i="13"/>
  <c r="K36" i="13"/>
  <c r="N36" i="13"/>
  <c r="K32" i="13"/>
  <c r="N32" i="13"/>
  <c r="S32" i="13"/>
  <c r="T32" i="13"/>
  <c r="K24" i="13"/>
  <c r="K31" i="13"/>
  <c r="N31" i="13"/>
  <c r="K28" i="13"/>
  <c r="N28" i="13"/>
  <c r="S28" i="13"/>
  <c r="T28" i="13"/>
  <c r="K27" i="13"/>
  <c r="N27" i="13"/>
  <c r="K26" i="13"/>
  <c r="N26" i="13"/>
  <c r="S26" i="13"/>
  <c r="T26" i="13"/>
  <c r="S41" i="13"/>
  <c r="T41" i="13"/>
  <c r="K41" i="13"/>
  <c r="N41" i="13"/>
  <c r="K34" i="13"/>
  <c r="N34" i="13"/>
  <c r="S34" i="13"/>
  <c r="T34" i="13"/>
  <c r="K30" i="13"/>
  <c r="N30" i="13"/>
  <c r="S30" i="13"/>
  <c r="T30" i="13"/>
  <c r="K29" i="13"/>
  <c r="N29" i="13"/>
  <c r="K23" i="13"/>
  <c r="S23" i="13"/>
  <c r="T23" i="13"/>
  <c r="O22" i="13"/>
  <c r="O40" i="13"/>
  <c r="O35" i="13"/>
  <c r="O31" i="13"/>
  <c r="O45" i="13"/>
  <c r="O29" i="13"/>
  <c r="O41" i="13"/>
  <c r="O37" i="13"/>
  <c r="O42" i="13"/>
  <c r="O47" i="13"/>
  <c r="O46" i="13"/>
  <c r="O49" i="13"/>
  <c r="O28" i="13"/>
  <c r="O32" i="13"/>
  <c r="O30" i="13"/>
  <c r="O25" i="13"/>
  <c r="O51" i="13"/>
  <c r="O24" i="13"/>
  <c r="O52" i="13"/>
  <c r="O36" i="13"/>
  <c r="O44" i="13"/>
  <c r="O48" i="13"/>
  <c r="O34" i="13"/>
  <c r="O27" i="13"/>
  <c r="O39" i="13"/>
  <c r="O43" i="13"/>
  <c r="O38" i="13"/>
  <c r="O50" i="13"/>
  <c r="O26" i="13"/>
  <c r="O23" i="13"/>
  <c r="O33" i="13"/>
  <c r="R33" i="13"/>
  <c r="P33" i="13"/>
  <c r="R23" i="13"/>
  <c r="P23" i="13"/>
  <c r="R26" i="13"/>
  <c r="P26" i="13"/>
  <c r="P50" i="13"/>
  <c r="R50" i="13"/>
  <c r="R38" i="13"/>
  <c r="P38" i="13"/>
  <c r="P43" i="13"/>
  <c r="R43" i="13"/>
  <c r="R39" i="13"/>
  <c r="P39" i="13"/>
  <c r="R27" i="13"/>
  <c r="P27" i="13"/>
  <c r="R34" i="13"/>
  <c r="P34" i="13"/>
  <c r="R48" i="13"/>
  <c r="P48" i="13"/>
  <c r="R44" i="13"/>
  <c r="P44" i="13"/>
  <c r="R36" i="13"/>
  <c r="P36" i="13"/>
  <c r="P52" i="13"/>
  <c r="R52" i="13"/>
  <c r="R24" i="13"/>
  <c r="P24" i="13"/>
  <c r="R51" i="13"/>
  <c r="P51" i="13"/>
  <c r="R25" i="13"/>
  <c r="P25" i="13"/>
  <c r="R30" i="13"/>
  <c r="P30" i="13"/>
  <c r="R32" i="13"/>
  <c r="P32" i="13"/>
  <c r="R28" i="13"/>
  <c r="P28" i="13"/>
  <c r="P49" i="13"/>
  <c r="R49" i="13"/>
  <c r="R46" i="13"/>
  <c r="P46" i="13"/>
  <c r="R47" i="13"/>
  <c r="P47" i="13"/>
  <c r="P42" i="13"/>
  <c r="R42" i="13"/>
  <c r="R37" i="13"/>
  <c r="P37" i="13"/>
  <c r="R41" i="13"/>
  <c r="P41" i="13"/>
  <c r="R29" i="13"/>
  <c r="P29" i="13"/>
  <c r="P45" i="13"/>
  <c r="R45" i="13"/>
  <c r="R31" i="13"/>
  <c r="P31" i="13"/>
  <c r="R35" i="13"/>
  <c r="P35" i="13"/>
  <c r="R40" i="13"/>
  <c r="P40" i="13"/>
  <c r="A23" i="12"/>
  <c r="A23" i="14"/>
  <c r="G49" i="12"/>
  <c r="F49" i="12"/>
  <c r="G48" i="12"/>
  <c r="F48" i="12"/>
  <c r="F47" i="12"/>
  <c r="G47" i="12"/>
  <c r="G46" i="12"/>
  <c r="F46" i="12"/>
  <c r="G45" i="12"/>
  <c r="F45" i="12"/>
  <c r="G44" i="12"/>
  <c r="F44" i="12"/>
  <c r="G43" i="12"/>
  <c r="F43" i="12"/>
  <c r="G42" i="12"/>
  <c r="F42" i="12"/>
  <c r="G41" i="12"/>
  <c r="F41" i="12"/>
  <c r="F40" i="12"/>
  <c r="G40" i="12"/>
  <c r="F39" i="12"/>
  <c r="G39" i="12"/>
  <c r="G38" i="12"/>
  <c r="F38" i="12"/>
  <c r="F32" i="12"/>
  <c r="G32" i="12"/>
  <c r="F37" i="12"/>
  <c r="G37" i="12"/>
  <c r="F31" i="12"/>
  <c r="G31" i="12"/>
  <c r="F28" i="12"/>
  <c r="G28" i="12"/>
  <c r="F34" i="12"/>
  <c r="G34" i="12"/>
  <c r="F27" i="12"/>
  <c r="G27" i="12"/>
  <c r="F23" i="12"/>
  <c r="F29" i="12"/>
  <c r="G29" i="12"/>
  <c r="D24" i="12"/>
  <c r="E24" i="12"/>
  <c r="F33" i="12"/>
  <c r="G33" i="12"/>
  <c r="F24" i="12"/>
  <c r="F26" i="12"/>
  <c r="F30" i="12"/>
  <c r="G30" i="12"/>
  <c r="F36" i="12"/>
  <c r="G36" i="12"/>
  <c r="F25" i="12"/>
  <c r="F35" i="12"/>
  <c r="G35" i="12"/>
  <c r="G39" i="14"/>
  <c r="F39" i="14"/>
  <c r="F38" i="14"/>
  <c r="G38" i="14"/>
  <c r="G37" i="14"/>
  <c r="F37" i="14"/>
  <c r="F36" i="14"/>
  <c r="G36" i="14"/>
  <c r="F35" i="14"/>
  <c r="G35" i="14"/>
  <c r="F23" i="14"/>
  <c r="F32" i="14"/>
  <c r="F30" i="14"/>
  <c r="F31" i="14"/>
  <c r="F34" i="14"/>
  <c r="F25" i="14"/>
  <c r="F24" i="14"/>
  <c r="F29" i="14"/>
  <c r="F27" i="14"/>
  <c r="D24" i="14"/>
  <c r="E24" i="14"/>
  <c r="F8" i="14"/>
  <c r="F26" i="14"/>
  <c r="F33" i="14"/>
  <c r="F28" i="14"/>
  <c r="F10" i="14"/>
  <c r="F9" i="14"/>
  <c r="G23" i="12"/>
  <c r="Q24" i="12"/>
  <c r="G24" i="12"/>
  <c r="G26" i="12"/>
  <c r="G25" i="12"/>
  <c r="Q24" i="14"/>
  <c r="J27" i="12"/>
  <c r="J28" i="14"/>
  <c r="K28" i="14"/>
  <c r="N28" i="14"/>
  <c r="J33" i="14"/>
  <c r="K33" i="14"/>
  <c r="N33" i="14"/>
  <c r="J26" i="14"/>
  <c r="K26" i="14"/>
  <c r="N26" i="14"/>
  <c r="L24" i="14"/>
  <c r="M24" i="14"/>
  <c r="J27" i="14"/>
  <c r="K27" i="14"/>
  <c r="N27" i="14"/>
  <c r="J29" i="14"/>
  <c r="K29" i="14"/>
  <c r="N29" i="14"/>
  <c r="J24" i="14"/>
  <c r="K24" i="14"/>
  <c r="N24" i="14"/>
  <c r="J25" i="14"/>
  <c r="K25" i="14"/>
  <c r="N25" i="14"/>
  <c r="J34" i="14"/>
  <c r="K34" i="14"/>
  <c r="N34" i="14"/>
  <c r="J31" i="14"/>
  <c r="K31" i="14"/>
  <c r="N31" i="14"/>
  <c r="J30" i="14"/>
  <c r="K30" i="14"/>
  <c r="N30" i="14"/>
  <c r="J32" i="14"/>
  <c r="K32" i="14"/>
  <c r="N32" i="14"/>
  <c r="J23" i="14"/>
  <c r="K23" i="14"/>
  <c r="J35" i="14"/>
  <c r="K35" i="14"/>
  <c r="N35" i="14"/>
  <c r="J36" i="14"/>
  <c r="K36" i="14"/>
  <c r="N36" i="14"/>
  <c r="J37" i="14"/>
  <c r="K37" i="14"/>
  <c r="N37" i="14"/>
  <c r="J38" i="14"/>
  <c r="K38" i="14"/>
  <c r="N38" i="14"/>
  <c r="J39" i="14"/>
  <c r="K39" i="14"/>
  <c r="N39" i="14"/>
  <c r="J36" i="12"/>
  <c r="J25" i="12"/>
  <c r="J37" i="12"/>
  <c r="K37" i="12"/>
  <c r="N37" i="12"/>
  <c r="J31" i="12"/>
  <c r="K31" i="12"/>
  <c r="N31" i="12"/>
  <c r="J26" i="12"/>
  <c r="J24" i="12"/>
  <c r="K24" i="12"/>
  <c r="N24" i="12"/>
  <c r="J34" i="12"/>
  <c r="L24" i="12"/>
  <c r="M24" i="12"/>
  <c r="J30" i="12"/>
  <c r="J23" i="12"/>
  <c r="J28" i="12"/>
  <c r="J35" i="12"/>
  <c r="J29" i="12"/>
  <c r="J32" i="12"/>
  <c r="J33" i="12"/>
  <c r="J38" i="12"/>
  <c r="J39" i="12"/>
  <c r="J40" i="12"/>
  <c r="J41" i="12"/>
  <c r="J42" i="12"/>
  <c r="J43" i="12"/>
  <c r="K43" i="12"/>
  <c r="N43" i="12"/>
  <c r="J44" i="12"/>
  <c r="J45" i="12"/>
  <c r="J46" i="12"/>
  <c r="J47" i="12"/>
  <c r="J48" i="12"/>
  <c r="K48" i="12"/>
  <c r="N48" i="12"/>
  <c r="J49" i="12"/>
  <c r="S28" i="12"/>
  <c r="T28" i="12"/>
  <c r="K28" i="12"/>
  <c r="N28" i="12"/>
  <c r="K23" i="12"/>
  <c r="N23" i="12"/>
  <c r="S23" i="12"/>
  <c r="T23" i="12"/>
  <c r="N23" i="14"/>
  <c r="K47" i="12"/>
  <c r="N47" i="12"/>
  <c r="S47" i="12"/>
  <c r="T47" i="12"/>
  <c r="S30" i="12"/>
  <c r="T30" i="12"/>
  <c r="K30" i="12"/>
  <c r="N30" i="12"/>
  <c r="S46" i="12"/>
  <c r="T46" i="12"/>
  <c r="K46" i="12"/>
  <c r="N46" i="12"/>
  <c r="S45" i="12"/>
  <c r="T45" i="12"/>
  <c r="K45" i="12"/>
  <c r="N45" i="12"/>
  <c r="S24" i="12"/>
  <c r="T24" i="12"/>
  <c r="K44" i="12"/>
  <c r="N44" i="12"/>
  <c r="S44" i="12"/>
  <c r="T44" i="12"/>
  <c r="K34" i="12"/>
  <c r="N34" i="12"/>
  <c r="S34" i="12"/>
  <c r="T34" i="12"/>
  <c r="K49" i="12"/>
  <c r="N49" i="12"/>
  <c r="S49" i="12"/>
  <c r="T49" i="12"/>
  <c r="K41" i="12"/>
  <c r="N41" i="12"/>
  <c r="S41" i="12"/>
  <c r="T41" i="12"/>
  <c r="K39" i="12"/>
  <c r="N39" i="12"/>
  <c r="S39" i="12"/>
  <c r="T39" i="12"/>
  <c r="K38" i="12"/>
  <c r="N38" i="12"/>
  <c r="S38" i="12"/>
  <c r="T38" i="12"/>
  <c r="S36" i="12"/>
  <c r="T36" i="12"/>
  <c r="K36" i="12"/>
  <c r="N36" i="12"/>
  <c r="K42" i="12"/>
  <c r="N42" i="12"/>
  <c r="S42" i="12"/>
  <c r="T42" i="12"/>
  <c r="K26" i="12"/>
  <c r="N26" i="12"/>
  <c r="S26" i="12"/>
  <c r="T26" i="12"/>
  <c r="K40" i="12"/>
  <c r="N40" i="12"/>
  <c r="S40" i="12"/>
  <c r="T40" i="12"/>
  <c r="K25" i="12"/>
  <c r="N25" i="12"/>
  <c r="S25" i="12"/>
  <c r="T25" i="12"/>
  <c r="K33" i="12"/>
  <c r="N33" i="12"/>
  <c r="S33" i="12"/>
  <c r="T33" i="12"/>
  <c r="K32" i="12"/>
  <c r="N32" i="12"/>
  <c r="S32" i="12"/>
  <c r="T32" i="12"/>
  <c r="S29" i="12"/>
  <c r="T29" i="12"/>
  <c r="K29" i="12"/>
  <c r="N29" i="12"/>
  <c r="S35" i="12"/>
  <c r="T35" i="12"/>
  <c r="K35" i="12"/>
  <c r="N35" i="12"/>
  <c r="K27" i="12"/>
  <c r="N27" i="12"/>
  <c r="S27" i="12"/>
  <c r="T27" i="12"/>
  <c r="S31" i="12"/>
  <c r="S43" i="12"/>
  <c r="S39" i="13"/>
  <c r="S38" i="13"/>
  <c r="S27" i="13"/>
  <c r="S40" i="13"/>
  <c r="T27" i="13"/>
  <c r="S29" i="14"/>
  <c r="S30" i="14"/>
  <c r="S35" i="14"/>
  <c r="T35" i="14"/>
  <c r="S31" i="14"/>
  <c r="T31" i="14"/>
  <c r="S37" i="14"/>
  <c r="T37" i="14"/>
  <c r="S24" i="14"/>
  <c r="S27" i="14"/>
  <c r="S38" i="14"/>
  <c r="S26" i="14"/>
  <c r="S36" i="14"/>
  <c r="S39" i="14"/>
  <c r="S23" i="14"/>
  <c r="S25" i="14"/>
  <c r="S28" i="14"/>
  <c r="T23" i="14"/>
  <c r="T27" i="14"/>
  <c r="T24" i="14"/>
  <c r="T26" i="14"/>
  <c r="T38" i="14"/>
  <c r="T29" i="14"/>
  <c r="T28" i="14"/>
  <c r="T36" i="14"/>
  <c r="T39" i="14"/>
  <c r="T25" i="14"/>
  <c r="T30" i="14"/>
  <c r="T38" i="13"/>
  <c r="T40" i="13"/>
  <c r="T39" i="13"/>
  <c r="T31" i="12"/>
  <c r="T43" i="12"/>
  <c r="R21" i="13"/>
  <c r="S33" i="13"/>
  <c r="T33" i="13"/>
  <c r="Q21" i="14"/>
  <c r="R21" i="14"/>
  <c r="S33" i="14"/>
  <c r="T33" i="14"/>
  <c r="S31" i="13"/>
  <c r="T31" i="13"/>
  <c r="Q21" i="12"/>
  <c r="R21" i="12"/>
  <c r="C6" i="10"/>
  <c r="C6" i="6"/>
  <c r="P20" i="13"/>
  <c r="P21" i="13"/>
  <c r="S34" i="14"/>
  <c r="T34" i="14"/>
  <c r="C6" i="9"/>
  <c r="O22" i="14"/>
  <c r="O32" i="14"/>
  <c r="R32" i="14"/>
  <c r="O37" i="14"/>
  <c r="R37" i="14"/>
  <c r="O25" i="14"/>
  <c r="R25" i="14"/>
  <c r="O31" i="14"/>
  <c r="R31" i="14"/>
  <c r="O35" i="14"/>
  <c r="R35" i="14"/>
  <c r="O23" i="14"/>
  <c r="R23" i="14"/>
  <c r="O24" i="14"/>
  <c r="R24" i="14"/>
  <c r="O30" i="14"/>
  <c r="R30" i="14"/>
  <c r="O43" i="14"/>
  <c r="P43" i="14"/>
  <c r="R43" i="14"/>
  <c r="O34" i="14"/>
  <c r="R34" i="14"/>
  <c r="O27" i="14"/>
  <c r="R27" i="14"/>
  <c r="O44" i="14"/>
  <c r="R44" i="14"/>
  <c r="P44" i="14"/>
  <c r="O26" i="14"/>
  <c r="R26" i="14"/>
  <c r="O29" i="14"/>
  <c r="R29" i="14"/>
  <c r="O28" i="14"/>
  <c r="R28" i="14"/>
  <c r="O41" i="14"/>
  <c r="R41" i="14"/>
  <c r="P41" i="14"/>
  <c r="O40" i="14"/>
  <c r="R40" i="14"/>
  <c r="P40" i="14"/>
  <c r="O45" i="14"/>
  <c r="R45" i="14"/>
  <c r="P45" i="14"/>
  <c r="O38" i="14"/>
  <c r="R38" i="14"/>
  <c r="O39" i="14"/>
  <c r="R39" i="14"/>
  <c r="O42" i="14"/>
  <c r="R42" i="14"/>
  <c r="P42" i="14"/>
  <c r="O36" i="14"/>
  <c r="R36" i="14"/>
  <c r="O33" i="14"/>
  <c r="R33" i="14"/>
  <c r="P28" i="14"/>
  <c r="P37" i="14"/>
  <c r="P38" i="14"/>
  <c r="P32" i="14"/>
  <c r="P35" i="14"/>
  <c r="P31" i="14"/>
  <c r="P26" i="14"/>
  <c r="P29" i="14"/>
  <c r="P39" i="14"/>
  <c r="P33" i="14"/>
  <c r="P34" i="14"/>
  <c r="P23" i="14"/>
  <c r="P30" i="14"/>
  <c r="P36" i="14"/>
  <c r="P27" i="14"/>
  <c r="P24" i="14"/>
  <c r="P25" i="14"/>
  <c r="P20" i="14"/>
  <c r="P21" i="14"/>
  <c r="O22" i="12"/>
  <c r="O25" i="12"/>
  <c r="R25" i="12"/>
  <c r="O47" i="12"/>
  <c r="R47" i="12"/>
  <c r="O49" i="12"/>
  <c r="R49" i="12"/>
  <c r="O48" i="12"/>
  <c r="R48" i="12"/>
  <c r="O28" i="12"/>
  <c r="R28" i="12"/>
  <c r="O39" i="12"/>
  <c r="R39" i="12"/>
  <c r="O41" i="12"/>
  <c r="R41" i="12"/>
  <c r="O27" i="12"/>
  <c r="R27" i="12"/>
  <c r="O32" i="12"/>
  <c r="R32" i="12"/>
  <c r="O34" i="12"/>
  <c r="R34" i="12"/>
  <c r="O36" i="12"/>
  <c r="R36" i="12"/>
  <c r="O31" i="12"/>
  <c r="R31" i="12"/>
  <c r="O26" i="12"/>
  <c r="R26" i="12"/>
  <c r="O35" i="12"/>
  <c r="R35" i="12"/>
  <c r="O42" i="12"/>
  <c r="R42" i="12"/>
  <c r="O29" i="12"/>
  <c r="R29" i="12"/>
  <c r="O46" i="12"/>
  <c r="R46" i="12"/>
  <c r="O37" i="12"/>
  <c r="R37" i="12"/>
  <c r="O23" i="12"/>
  <c r="R23" i="12"/>
  <c r="O44" i="12"/>
  <c r="R44" i="12"/>
  <c r="O24" i="12"/>
  <c r="R24" i="12"/>
  <c r="O40" i="12"/>
  <c r="R40" i="12"/>
  <c r="O43" i="12"/>
  <c r="R43" i="12"/>
  <c r="O45" i="12"/>
  <c r="R45" i="12"/>
  <c r="O30" i="12"/>
  <c r="R30" i="12"/>
  <c r="O38" i="12"/>
  <c r="R38" i="12"/>
  <c r="O33" i="12"/>
  <c r="R33" i="12"/>
  <c r="P47" i="12"/>
  <c r="P36" i="12"/>
  <c r="P49" i="12"/>
  <c r="P32" i="12"/>
  <c r="P24" i="12"/>
  <c r="P37" i="12"/>
  <c r="P33" i="12"/>
  <c r="P27" i="12"/>
  <c r="P28" i="12"/>
  <c r="P31" i="12"/>
  <c r="P38" i="12"/>
  <c r="P42" i="12"/>
  <c r="P35" i="12"/>
  <c r="P30" i="12"/>
  <c r="P46" i="12"/>
  <c r="P45" i="12"/>
  <c r="P41" i="12"/>
  <c r="P40" i="12"/>
  <c r="P29" i="12"/>
  <c r="P23" i="12"/>
  <c r="P43" i="12"/>
  <c r="P25" i="12"/>
  <c r="P34" i="12"/>
  <c r="P26" i="12"/>
  <c r="P48" i="12"/>
  <c r="P39" i="12"/>
  <c r="P44" i="12"/>
  <c r="R20" i="12"/>
  <c r="S37" i="12"/>
  <c r="T37" i="12"/>
  <c r="S48" i="12"/>
  <c r="T48" i="12"/>
  <c r="U21" i="12"/>
  <c r="Q20" i="13"/>
  <c r="R20" i="13"/>
  <c r="C5" i="10"/>
  <c r="S29" i="13"/>
  <c r="T29" i="13"/>
  <c r="Q20" i="14"/>
  <c r="R20" i="14"/>
  <c r="S32" i="14"/>
  <c r="T32" i="14"/>
  <c r="C5" i="9"/>
  <c r="C5" i="6"/>
  <c r="P20" i="12"/>
  <c r="P21" i="12"/>
  <c r="V22" i="12"/>
  <c r="U20" i="13"/>
  <c r="U21" i="13"/>
  <c r="V22" i="13"/>
  <c r="U20" i="14"/>
  <c r="E15" i="18"/>
  <c r="I15" i="18"/>
  <c r="J15" i="18"/>
  <c r="U21" i="14"/>
  <c r="E11" i="18"/>
  <c r="I11" i="18"/>
  <c r="J11" i="18"/>
  <c r="E7" i="18"/>
  <c r="I7" i="18"/>
  <c r="J7" i="18"/>
  <c r="V22" i="14"/>
  <c r="E17" i="18"/>
  <c r="I17" i="18"/>
  <c r="J17" i="18"/>
  <c r="E8" i="18"/>
  <c r="I8" i="18"/>
  <c r="J8" i="18"/>
  <c r="E14" i="18"/>
  <c r="I14" i="18"/>
  <c r="J14" i="18"/>
  <c r="E10" i="18"/>
  <c r="I10" i="18"/>
  <c r="J10" i="18"/>
  <c r="E6" i="18"/>
  <c r="I6" i="18"/>
  <c r="E5" i="18"/>
  <c r="I5" i="18"/>
  <c r="E9" i="18"/>
  <c r="I9" i="18"/>
  <c r="E12" i="18"/>
  <c r="I12" i="18"/>
  <c r="E13" i="18"/>
  <c r="I13" i="18"/>
  <c r="E16" i="18"/>
  <c r="I16" i="18"/>
  <c r="J6" i="18"/>
  <c r="J13" i="18"/>
  <c r="J5" i="18"/>
  <c r="J9" i="18"/>
  <c r="J16" i="18"/>
  <c r="J12" i="18"/>
  <c r="U23" i="13" a="1"/>
  <c r="U23" i="12" a="1"/>
  <c r="U23" i="14" a="1"/>
  <c r="I6" i="10"/>
  <c r="P16" i="18"/>
  <c r="P15" i="18"/>
  <c r="I5" i="6"/>
  <c r="I5" i="10"/>
  <c r="I6" i="6"/>
  <c r="I6" i="9"/>
  <c r="I5" i="9"/>
  <c r="P9" i="18"/>
  <c r="P14" i="18"/>
  <c r="P13" i="18"/>
  <c r="P17" i="18"/>
  <c r="P12" i="18"/>
  <c r="P8" i="18"/>
  <c r="P7" i="18"/>
  <c r="P11" i="18"/>
  <c r="P10" i="18"/>
  <c r="P5" i="18"/>
  <c r="P6" i="18"/>
  <c r="U35" i="14" l="1"/>
  <c r="U45" i="14"/>
  <c r="U27" i="14"/>
  <c r="U43" i="14"/>
  <c r="U26" i="14"/>
  <c r="U40" i="14"/>
  <c r="U28" i="14"/>
  <c r="U38" i="14"/>
  <c r="U29" i="14"/>
  <c r="U25" i="14"/>
  <c r="U30" i="14"/>
  <c r="U37" i="14"/>
  <c r="U24" i="14"/>
  <c r="U31" i="14"/>
  <c r="U34" i="14"/>
  <c r="U23" i="14"/>
  <c r="U36" i="14"/>
  <c r="U32" i="14"/>
  <c r="U42" i="14"/>
  <c r="U41" i="14"/>
  <c r="U44" i="14"/>
  <c r="U39" i="14"/>
  <c r="U33" i="14"/>
  <c r="U48" i="12"/>
  <c r="U43" i="12"/>
  <c r="U38" i="12"/>
  <c r="U27" i="12"/>
  <c r="U33" i="12"/>
  <c r="U47" i="12"/>
  <c r="U49" i="12"/>
  <c r="U28" i="12"/>
  <c r="U42" i="12"/>
  <c r="U34" i="12"/>
  <c r="U36" i="12"/>
  <c r="U39" i="12"/>
  <c r="U26" i="12"/>
  <c r="U25" i="12"/>
  <c r="U32" i="12"/>
  <c r="U46" i="12"/>
  <c r="U23" i="12"/>
  <c r="U31" i="12"/>
  <c r="U29" i="12"/>
  <c r="U45" i="12"/>
  <c r="U37" i="12"/>
  <c r="U41" i="12"/>
  <c r="U40" i="12"/>
  <c r="U44" i="12"/>
  <c r="U24" i="12"/>
  <c r="U35" i="12"/>
  <c r="U30" i="12"/>
  <c r="U46" i="13"/>
  <c r="U41" i="13"/>
  <c r="U52" i="13"/>
  <c r="U29" i="13"/>
  <c r="U44" i="13"/>
  <c r="U32" i="13"/>
  <c r="U40" i="13"/>
  <c r="U28" i="13"/>
  <c r="U26" i="13"/>
  <c r="U37" i="13"/>
  <c r="U51" i="13"/>
  <c r="U27" i="13"/>
  <c r="U38" i="13"/>
  <c r="U39" i="13"/>
  <c r="U49" i="13"/>
  <c r="U30" i="13"/>
  <c r="U50" i="13"/>
  <c r="U23" i="13"/>
  <c r="U48" i="13"/>
  <c r="U35" i="13"/>
  <c r="U43" i="13"/>
  <c r="U45" i="13"/>
  <c r="U33" i="13"/>
  <c r="U24" i="13"/>
  <c r="U36" i="13"/>
  <c r="U47" i="13"/>
  <c r="U34" i="13"/>
  <c r="U42" i="13"/>
  <c r="U25" i="13"/>
  <c r="U31" i="13"/>
  <c r="P3" i="18"/>
  <c r="V23" i="14" l="1" a="1"/>
  <c r="V38" i="14"/>
  <c r="V42" i="14"/>
  <c r="V43" i="14"/>
  <c r="V34" i="14"/>
  <c r="V28" i="14"/>
  <c r="V25" i="14"/>
  <c r="V40" i="14"/>
  <c r="V44" i="14"/>
  <c r="V41" i="14"/>
  <c r="V27" i="14"/>
  <c r="V31" i="14"/>
  <c r="V36" i="14"/>
  <c r="V37" i="14"/>
  <c r="V30" i="14"/>
  <c r="V26" i="14"/>
  <c r="V45" i="14"/>
  <c r="V32" i="14"/>
  <c r="V35" i="14"/>
  <c r="V24" i="14"/>
  <c r="V29" i="14"/>
  <c r="V33" i="14"/>
  <c r="V39" i="14"/>
  <c r="V23" i="14"/>
  <c r="V23" i="12" a="1"/>
  <c r="V49" i="12"/>
  <c r="V48" i="12"/>
  <c r="V38" i="12"/>
  <c r="V26" i="12"/>
  <c r="V36" i="12"/>
  <c r="V46" i="12"/>
  <c r="V43" i="12"/>
  <c r="V37" i="12"/>
  <c r="V44" i="12"/>
  <c r="V34" i="12"/>
  <c r="V30" i="12"/>
  <c r="V35" i="12"/>
  <c r="V42" i="12"/>
  <c r="V31" i="12"/>
  <c r="V24" i="12"/>
  <c r="V28" i="12"/>
  <c r="V23" i="12"/>
  <c r="V45" i="12"/>
  <c r="V39" i="12"/>
  <c r="V47" i="12"/>
  <c r="V33" i="12"/>
  <c r="V27" i="12"/>
  <c r="V29" i="12"/>
  <c r="V40" i="12"/>
  <c r="V41" i="12"/>
  <c r="V25" i="12"/>
  <c r="V32" i="12"/>
  <c r="V23" i="13" a="1"/>
  <c r="V39" i="13"/>
  <c r="V40" i="13"/>
  <c r="V35" i="13"/>
  <c r="V25" i="13"/>
  <c r="V34" i="13"/>
  <c r="V41" i="13"/>
  <c r="V36" i="13"/>
  <c r="V28" i="13"/>
  <c r="V37" i="13"/>
  <c r="V29" i="13"/>
  <c r="V51" i="13"/>
  <c r="V24" i="13"/>
  <c r="V43" i="13"/>
  <c r="V50" i="13"/>
  <c r="V46" i="13"/>
  <c r="V32" i="13"/>
  <c r="V44" i="13"/>
  <c r="V52" i="13"/>
  <c r="V45" i="13"/>
  <c r="V49" i="13"/>
  <c r="V33" i="13"/>
  <c r="V38" i="13"/>
  <c r="V48" i="13"/>
  <c r="V26" i="13"/>
  <c r="V30" i="13"/>
  <c r="V31" i="13"/>
  <c r="V42" i="13"/>
  <c r="V23" i="13"/>
  <c r="V27" i="13"/>
  <c r="V47" i="13"/>
  <c r="I3" i="6"/>
  <c r="I3" i="9"/>
  <c r="I3" i="10"/>
  <c r="D7" i="4" s="1"/>
</calcChain>
</file>

<file path=xl/sharedStrings.xml><?xml version="1.0" encoding="utf-8"?>
<sst xmlns="http://schemas.openxmlformats.org/spreadsheetml/2006/main" count="134" uniqueCount="62">
  <si>
    <t>GENERAL_SETTINGS</t>
  </si>
  <si>
    <t>Currency</t>
  </si>
  <si>
    <t>TriggerCounter</t>
  </si>
  <si>
    <t>Last update</t>
  </si>
  <si>
    <t>Live Data Feed</t>
  </si>
  <si>
    <t>Quote suffix</t>
  </si>
  <si>
    <t>_SYNTH3M_Quote</t>
  </si>
  <si>
    <t>Object ID</t>
  </si>
  <si>
    <t>Effective</t>
  </si>
  <si>
    <t>Change</t>
  </si>
  <si>
    <t>end</t>
  </si>
  <si>
    <t>start</t>
  </si>
  <si>
    <t>Instrument</t>
  </si>
  <si>
    <t>_SYNTH1M_Quote</t>
  </si>
  <si>
    <t>LastDayInYear</t>
  </si>
  <si>
    <t>spike</t>
  </si>
  <si>
    <t>y frac</t>
  </si>
  <si>
    <t>discount</t>
  </si>
  <si>
    <t>Actual/360</t>
  </si>
  <si>
    <t>TOY</t>
  </si>
  <si>
    <t xml:space="preserve"> </t>
  </si>
  <si>
    <t>Calendar</t>
  </si>
  <si>
    <t>Triggers</t>
  </si>
  <si>
    <t>DayCounter</t>
  </si>
  <si>
    <t>TOY2</t>
  </si>
  <si>
    <t>LastDayInNextYear</t>
  </si>
  <si>
    <t>TriggerTOY1M</t>
  </si>
  <si>
    <t>TriggerTOY3M</t>
  </si>
  <si>
    <t>TriggerTOY6M</t>
  </si>
  <si>
    <t>Static</t>
  </si>
  <si>
    <t>Live</t>
  </si>
  <si>
    <t>SettlementDate</t>
  </si>
  <si>
    <t>DiscountInterpolationType</t>
  </si>
  <si>
    <t>FwdInterpolationType</t>
  </si>
  <si>
    <t>real start</t>
  </si>
  <si>
    <t>interpolated</t>
  </si>
  <si>
    <t>_SYNTH6M_Quote</t>
  </si>
  <si>
    <t xml:space="preserve">  TOY</t>
  </si>
  <si>
    <t>mkt quote</t>
  </si>
  <si>
    <t>fwd rate</t>
  </si>
  <si>
    <t>Year Frac</t>
  </si>
  <si>
    <t>Used</t>
  </si>
  <si>
    <t>Unique</t>
  </si>
  <si>
    <t>Usable</t>
  </si>
  <si>
    <t>No Toy</t>
  </si>
  <si>
    <t>LastFixing</t>
  </si>
  <si>
    <t>?</t>
  </si>
  <si>
    <t>Use IMM FRA</t>
  </si>
  <si>
    <t>Use FRA</t>
  </si>
  <si>
    <t>MonotonicCubicNaturalSpline</t>
  </si>
  <si>
    <t>24M</t>
  </si>
  <si>
    <t>30M</t>
  </si>
  <si>
    <t>36M</t>
  </si>
  <si>
    <t>42M</t>
  </si>
  <si>
    <t>48M</t>
  </si>
  <si>
    <t>54M</t>
  </si>
  <si>
    <t>MonotonicLogCubicNaturalSpline</t>
  </si>
  <si>
    <t>Use Futures</t>
  </si>
  <si>
    <t>EvaluationDate</t>
  </si>
  <si>
    <t>GBP</t>
  </si>
  <si>
    <t>UnitedKingdom::Exchange</t>
  </si>
  <si>
    <t>ExternalLinkCleanedUp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</si>
</sst>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0.000%"/>
    <numFmt numFmtId="169" formatCode="ddd\,\ dd\-mmm\-yyyy\,\ h:mm:ss"/>
    <numFmt numFmtId="170" formatCode="ddd\,\ dd\-mmm\-yyyy\ h:mm:ss"/>
    <numFmt numFmtId="171" formatCode="#,##0.0;#,##0.0"/>
    <numFmt numFmtId="172" formatCode="_([$€-2]* #,##0.00_);_([$€-2]* \(#,##0.00\);_([$€-2]* &quot;-&quot;??_)"/>
    <numFmt numFmtId="173" formatCode="0.000000000"/>
    <numFmt numFmtId="174" formatCode="0.00000"/>
    <numFmt numFmtId="175" formatCode="0.000"/>
    <numFmt numFmtId="176" formatCode="General_)"/>
    <numFmt numFmtId="177" formatCode="ddd\,\ dd\-mmm\-yyyy"/>
  </numFmts>
  <fonts count="23" x14ac:knownFonts="1">
    <font>
      <sz val="8"/>
      <name val="Arial"/>
    </font>
    <font>
      <sz val="8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Arial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b/>
      <sz val="12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b/>
      <sz val="12"/>
      <name val="Courier New"/>
      <family val="3"/>
    </font>
    <font>
      <b/>
      <sz val="8"/>
      <name val="Courier New"/>
      <family val="3"/>
    </font>
    <font>
      <b/>
      <u/>
      <sz val="8"/>
      <name val="Courier New"/>
      <family val="3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172" fontId="2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2" fillId="0" borderId="0"/>
    <xf numFmtId="176" fontId="13" fillId="0" borderId="0"/>
    <xf numFmtId="9" fontId="1" fillId="0" borderId="0" applyFont="0" applyFill="0" applyBorder="0" applyAlignment="0" applyProtection="0"/>
    <xf numFmtId="171" fontId="9" fillId="2" borderId="0">
      <alignment horizontal="center" vertical="center"/>
    </xf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402">
    <xf numFmtId="0" fontId="0" fillId="0" borderId="0" xfId="0"/>
    <xf numFmtId="0" fontId="4" fillId="3" borderId="0" xfId="5" applyFont="1" applyFill="1" applyBorder="1" applyAlignment="1">
      <alignment horizontal="righ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6" fillId="3" borderId="0" xfId="0" applyFont="1" applyFill="1" applyBorder="1"/>
    <xf numFmtId="0" fontId="3" fillId="3" borderId="0" xfId="0" applyFont="1" applyFill="1" applyBorder="1"/>
    <xf numFmtId="0" fontId="3" fillId="3" borderId="0" xfId="0" applyFont="1" applyFill="1" applyBorder="1" applyAlignment="1">
      <alignment horizontal="center"/>
    </xf>
    <xf numFmtId="0" fontId="3" fillId="3" borderId="5" xfId="0" applyFont="1" applyFill="1" applyBorder="1"/>
    <xf numFmtId="0" fontId="3" fillId="3" borderId="4" xfId="0" applyFont="1" applyFill="1" applyBorder="1" applyAlignment="1">
      <alignment horizontal="center"/>
    </xf>
    <xf numFmtId="0" fontId="1" fillId="0" borderId="0" xfId="0" applyFont="1" applyFill="1" applyBorder="1"/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/>
    <xf numFmtId="0" fontId="3" fillId="3" borderId="7" xfId="0" applyFont="1" applyFill="1" applyBorder="1"/>
    <xf numFmtId="0" fontId="1" fillId="3" borderId="0" xfId="7" applyFont="1" applyFill="1"/>
    <xf numFmtId="0" fontId="10" fillId="3" borderId="0" xfId="7" applyFont="1" applyFill="1"/>
    <xf numFmtId="0" fontId="3" fillId="0" borderId="0" xfId="0" applyFont="1"/>
    <xf numFmtId="0" fontId="11" fillId="3" borderId="0" xfId="0" applyFont="1" applyFill="1" applyBorder="1"/>
    <xf numFmtId="0" fontId="3" fillId="0" borderId="0" xfId="0" applyFont="1" applyFill="1" applyBorder="1"/>
    <xf numFmtId="0" fontId="1" fillId="0" borderId="0" xfId="0" applyFont="1"/>
    <xf numFmtId="0" fontId="1" fillId="0" borderId="8" xfId="0" applyFont="1" applyBorder="1"/>
    <xf numFmtId="167" fontId="0" fillId="0" borderId="0" xfId="0" applyNumberFormat="1" applyBorder="1"/>
    <xf numFmtId="0" fontId="1" fillId="0" borderId="9" xfId="0" applyFont="1" applyBorder="1"/>
    <xf numFmtId="0" fontId="1" fillId="0" borderId="0" xfId="0" applyFont="1" applyBorder="1"/>
    <xf numFmtId="165" fontId="1" fillId="0" borderId="0" xfId="0" applyNumberFormat="1" applyFont="1" applyBorder="1"/>
    <xf numFmtId="167" fontId="1" fillId="0" borderId="0" xfId="0" applyNumberFormat="1" applyFont="1"/>
    <xf numFmtId="175" fontId="1" fillId="0" borderId="0" xfId="0" applyNumberFormat="1" applyFont="1"/>
    <xf numFmtId="165" fontId="1" fillId="0" borderId="0" xfId="0" applyNumberFormat="1" applyFont="1"/>
    <xf numFmtId="167" fontId="1" fillId="0" borderId="10" xfId="0" applyNumberFormat="1" applyFont="1" applyBorder="1"/>
    <xf numFmtId="165" fontId="1" fillId="0" borderId="10" xfId="0" applyNumberFormat="1" applyFont="1" applyBorder="1"/>
    <xf numFmtId="167" fontId="1" fillId="0" borderId="11" xfId="0" applyNumberFormat="1" applyFont="1" applyBorder="1"/>
    <xf numFmtId="0" fontId="1" fillId="0" borderId="10" xfId="0" applyFont="1" applyBorder="1"/>
    <xf numFmtId="167" fontId="1" fillId="0" borderId="0" xfId="0" applyNumberFormat="1" applyFont="1" applyBorder="1"/>
    <xf numFmtId="167" fontId="1" fillId="0" borderId="9" xfId="0" applyNumberFormat="1" applyFont="1" applyBorder="1"/>
    <xf numFmtId="167" fontId="1" fillId="0" borderId="12" xfId="0" applyNumberFormat="1" applyFont="1" applyBorder="1"/>
    <xf numFmtId="165" fontId="1" fillId="0" borderId="12" xfId="0" applyNumberFormat="1" applyFont="1" applyBorder="1"/>
    <xf numFmtId="167" fontId="1" fillId="0" borderId="13" xfId="0" applyNumberFormat="1" applyFont="1" applyBorder="1"/>
    <xf numFmtId="0" fontId="1" fillId="0" borderId="12" xfId="0" applyFont="1" applyBorder="1"/>
    <xf numFmtId="0" fontId="1" fillId="0" borderId="11" xfId="0" applyFont="1" applyBorder="1"/>
    <xf numFmtId="0" fontId="1" fillId="0" borderId="14" xfId="0" applyFont="1" applyBorder="1"/>
    <xf numFmtId="9" fontId="1" fillId="0" borderId="0" xfId="9" applyFont="1"/>
    <xf numFmtId="0" fontId="3" fillId="0" borderId="0" xfId="0" applyFont="1" applyBorder="1"/>
    <xf numFmtId="0" fontId="1" fillId="3" borderId="5" xfId="7" applyFont="1" applyFill="1" applyBorder="1"/>
    <xf numFmtId="0" fontId="10" fillId="3" borderId="3" xfId="7" applyFont="1" applyFill="1" applyBorder="1"/>
    <xf numFmtId="0" fontId="0" fillId="0" borderId="0" xfId="0" applyBorder="1"/>
    <xf numFmtId="0" fontId="10" fillId="3" borderId="5" xfId="7" applyFont="1" applyFill="1" applyBorder="1"/>
    <xf numFmtId="0" fontId="10" fillId="3" borderId="6" xfId="7" applyFont="1" applyFill="1" applyBorder="1"/>
    <xf numFmtId="0" fontId="10" fillId="3" borderId="7" xfId="7" applyFont="1" applyFill="1" applyBorder="1"/>
    <xf numFmtId="0" fontId="10" fillId="3" borderId="15" xfId="7" applyFont="1" applyFill="1" applyBorder="1"/>
    <xf numFmtId="0" fontId="1" fillId="3" borderId="3" xfId="7" applyFont="1" applyFill="1" applyBorder="1"/>
    <xf numFmtId="0" fontId="1" fillId="3" borderId="15" xfId="7" applyFont="1" applyFill="1" applyBorder="1"/>
    <xf numFmtId="0" fontId="1" fillId="0" borderId="13" xfId="0" applyFont="1" applyBorder="1"/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165" fontId="1" fillId="0" borderId="12" xfId="0" applyNumberFormat="1" applyFont="1" applyBorder="1" applyAlignment="1">
      <alignment horizontal="center"/>
    </xf>
    <xf numFmtId="165" fontId="1" fillId="0" borderId="12" xfId="9" applyNumberFormat="1" applyFont="1" applyBorder="1"/>
    <xf numFmtId="0" fontId="1" fillId="0" borderId="18" xfId="0" applyFont="1" applyBorder="1"/>
    <xf numFmtId="165" fontId="3" fillId="0" borderId="12" xfId="9" applyNumberFormat="1" applyFont="1" applyFill="1" applyBorder="1" applyAlignment="1"/>
    <xf numFmtId="0" fontId="1" fillId="0" borderId="17" xfId="0" applyFont="1" applyBorder="1"/>
    <xf numFmtId="167" fontId="3" fillId="0" borderId="0" xfId="0" applyNumberFormat="1" applyFont="1" applyBorder="1"/>
    <xf numFmtId="0" fontId="0" fillId="0" borderId="17" xfId="0" applyBorder="1"/>
    <xf numFmtId="166" fontId="1" fillId="0" borderId="10" xfId="0" applyNumberFormat="1" applyFont="1" applyBorder="1"/>
    <xf numFmtId="166" fontId="1" fillId="0" borderId="0" xfId="0" applyNumberFormat="1" applyFont="1" applyBorder="1"/>
    <xf numFmtId="166" fontId="1" fillId="0" borderId="12" xfId="0" applyNumberFormat="1" applyFont="1" applyBorder="1"/>
    <xf numFmtId="165" fontId="1" fillId="0" borderId="0" xfId="9" applyNumberFormat="1" applyFont="1" applyBorder="1"/>
    <xf numFmtId="167" fontId="1" fillId="0" borderId="16" xfId="0" applyNumberFormat="1" applyFont="1" applyBorder="1" applyAlignment="1">
      <alignment horizontal="center"/>
    </xf>
    <xf numFmtId="0" fontId="0" fillId="0" borderId="9" xfId="0" applyBorder="1"/>
    <xf numFmtId="0" fontId="0" fillId="0" borderId="13" xfId="0" applyBorder="1"/>
    <xf numFmtId="167" fontId="0" fillId="0" borderId="12" xfId="0" applyNumberFormat="1" applyBorder="1"/>
    <xf numFmtId="0" fontId="1" fillId="0" borderId="8" xfId="0" applyFont="1" applyBorder="1" applyAlignment="1">
      <alignment horizontal="center"/>
    </xf>
    <xf numFmtId="165" fontId="0" fillId="0" borderId="9" xfId="0" applyNumberFormat="1" applyBorder="1"/>
    <xf numFmtId="0" fontId="0" fillId="0" borderId="11" xfId="0" applyBorder="1"/>
    <xf numFmtId="165" fontId="1" fillId="0" borderId="10" xfId="9" applyNumberFormat="1" applyFont="1" applyBorder="1"/>
    <xf numFmtId="0" fontId="0" fillId="0" borderId="0" xfId="0" applyBorder="1" applyAlignment="1">
      <alignment horizontal="center"/>
    </xf>
    <xf numFmtId="165" fontId="1" fillId="0" borderId="9" xfId="0" applyNumberFormat="1" applyFont="1" applyBorder="1"/>
    <xf numFmtId="0" fontId="1" fillId="0" borderId="19" xfId="0" applyFont="1" applyBorder="1"/>
    <xf numFmtId="165" fontId="1" fillId="0" borderId="13" xfId="0" applyNumberFormat="1" applyFont="1" applyBorder="1"/>
    <xf numFmtId="165" fontId="1" fillId="0" borderId="9" xfId="9" applyNumberFormat="1" applyFont="1" applyBorder="1"/>
    <xf numFmtId="165" fontId="1" fillId="0" borderId="13" xfId="9" applyNumberFormat="1" applyFont="1" applyBorder="1"/>
    <xf numFmtId="165" fontId="0" fillId="0" borderId="13" xfId="0" applyNumberFormat="1" applyBorder="1"/>
    <xf numFmtId="165" fontId="1" fillId="0" borderId="11" xfId="0" applyNumberFormat="1" applyFont="1" applyBorder="1"/>
    <xf numFmtId="165" fontId="1" fillId="0" borderId="19" xfId="9" applyNumberFormat="1" applyFont="1" applyBorder="1"/>
    <xf numFmtId="165" fontId="1" fillId="0" borderId="18" xfId="9" applyNumberFormat="1" applyFont="1" applyBorder="1"/>
    <xf numFmtId="167" fontId="0" fillId="0" borderId="10" xfId="0" applyNumberFormat="1" applyBorder="1"/>
    <xf numFmtId="165" fontId="0" fillId="0" borderId="11" xfId="0" applyNumberFormat="1" applyBorder="1"/>
    <xf numFmtId="165" fontId="1" fillId="0" borderId="11" xfId="9" applyNumberFormat="1" applyFont="1" applyBorder="1"/>
    <xf numFmtId="0" fontId="3" fillId="0" borderId="9" xfId="0" applyFont="1" applyBorder="1"/>
    <xf numFmtId="165" fontId="3" fillId="0" borderId="0" xfId="9" applyNumberFormat="1" applyFont="1" applyBorder="1"/>
    <xf numFmtId="0" fontId="3" fillId="0" borderId="13" xfId="0" applyFont="1" applyBorder="1"/>
    <xf numFmtId="167" fontId="3" fillId="0" borderId="12" xfId="0" applyNumberFormat="1" applyFont="1" applyBorder="1"/>
    <xf numFmtId="165" fontId="8" fillId="0" borderId="8" xfId="9" applyNumberFormat="1" applyFont="1" applyFill="1" applyBorder="1" applyAlignment="1">
      <alignment horizontal="center" vertical="center" wrapText="1"/>
    </xf>
    <xf numFmtId="166" fontId="8" fillId="0" borderId="17" xfId="9" applyNumberFormat="1" applyFont="1" applyFill="1" applyBorder="1" applyAlignment="1">
      <alignment horizontal="center" vertical="center" wrapText="1"/>
    </xf>
    <xf numFmtId="0" fontId="3" fillId="0" borderId="11" xfId="9" applyNumberFormat="1" applyFont="1" applyFill="1" applyBorder="1" applyAlignment="1"/>
    <xf numFmtId="165" fontId="0" fillId="0" borderId="14" xfId="9" applyNumberFormat="1" applyFont="1" applyBorder="1"/>
    <xf numFmtId="0" fontId="3" fillId="0" borderId="13" xfId="9" applyNumberFormat="1" applyFont="1" applyFill="1" applyBorder="1" applyAlignment="1"/>
    <xf numFmtId="165" fontId="3" fillId="0" borderId="18" xfId="9" applyNumberFormat="1" applyFont="1" applyFill="1" applyBorder="1" applyAlignment="1"/>
    <xf numFmtId="165" fontId="8" fillId="0" borderId="20" xfId="9" applyNumberFormat="1" applyFont="1" applyFill="1" applyBorder="1" applyAlignment="1">
      <alignment horizontal="center" vertical="center" wrapText="1"/>
    </xf>
    <xf numFmtId="165" fontId="1" fillId="0" borderId="21" xfId="9" applyNumberFormat="1" applyFont="1" applyBorder="1" applyAlignment="1"/>
    <xf numFmtId="165" fontId="1" fillId="0" borderId="22" xfId="9" applyNumberFormat="1" applyFont="1" applyBorder="1" applyAlignment="1"/>
    <xf numFmtId="165" fontId="8" fillId="0" borderId="16" xfId="9" applyNumberFormat="1" applyFont="1" applyFill="1" applyBorder="1" applyAlignment="1">
      <alignment horizontal="center" vertical="center" wrapText="1"/>
    </xf>
    <xf numFmtId="165" fontId="8" fillId="0" borderId="17" xfId="9" applyNumberFormat="1" applyFont="1" applyFill="1" applyBorder="1" applyAlignment="1">
      <alignment horizontal="center" vertical="center" wrapText="1"/>
    </xf>
    <xf numFmtId="165" fontId="3" fillId="0" borderId="11" xfId="9" applyNumberFormat="1" applyFont="1" applyFill="1" applyBorder="1" applyAlignment="1"/>
    <xf numFmtId="165" fontId="3" fillId="0" borderId="10" xfId="9" applyNumberFormat="1" applyFont="1" applyFill="1" applyBorder="1" applyAlignment="1"/>
    <xf numFmtId="165" fontId="3" fillId="0" borderId="14" xfId="9" applyNumberFormat="1" applyFont="1" applyFill="1" applyBorder="1" applyAlignment="1"/>
    <xf numFmtId="165" fontId="3" fillId="0" borderId="13" xfId="9" applyNumberFormat="1" applyFont="1" applyFill="1" applyBorder="1" applyAlignment="1"/>
    <xf numFmtId="0" fontId="1" fillId="3" borderId="20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165" fontId="3" fillId="0" borderId="12" xfId="9" applyNumberFormat="1" applyFont="1" applyBorder="1"/>
    <xf numFmtId="165" fontId="0" fillId="0" borderId="0" xfId="0" applyNumberFormat="1" applyBorder="1"/>
    <xf numFmtId="166" fontId="1" fillId="0" borderId="9" xfId="0" applyNumberFormat="1" applyFont="1" applyBorder="1"/>
    <xf numFmtId="165" fontId="0" fillId="0" borderId="12" xfId="0" applyNumberFormat="1" applyBorder="1"/>
    <xf numFmtId="10" fontId="1" fillId="0" borderId="0" xfId="9" applyNumberFormat="1" applyFont="1" applyBorder="1"/>
    <xf numFmtId="10" fontId="1" fillId="0" borderId="10" xfId="0" applyNumberFormat="1" applyFont="1" applyBorder="1"/>
    <xf numFmtId="10" fontId="1" fillId="0" borderId="0" xfId="0" applyNumberFormat="1" applyFont="1" applyBorder="1"/>
    <xf numFmtId="10" fontId="1" fillId="0" borderId="12" xfId="0" applyNumberFormat="1" applyFont="1" applyBorder="1"/>
    <xf numFmtId="0" fontId="0" fillId="0" borderId="10" xfId="0" applyBorder="1"/>
    <xf numFmtId="165" fontId="0" fillId="0" borderId="10" xfId="0" applyNumberFormat="1" applyBorder="1"/>
    <xf numFmtId="174" fontId="1" fillId="0" borderId="16" xfId="0" applyNumberFormat="1" applyFont="1" applyBorder="1" applyAlignment="1"/>
    <xf numFmtId="174" fontId="0" fillId="0" borderId="10" xfId="0" applyNumberFormat="1" applyBorder="1" applyAlignment="1"/>
    <xf numFmtId="174" fontId="0" fillId="0" borderId="0" xfId="0" applyNumberFormat="1" applyBorder="1" applyAlignment="1"/>
    <xf numFmtId="174" fontId="0" fillId="0" borderId="12" xfId="0" applyNumberFormat="1" applyBorder="1" applyAlignment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10" fontId="1" fillId="0" borderId="10" xfId="9" applyNumberFormat="1" applyFont="1" applyBorder="1"/>
    <xf numFmtId="10" fontId="1" fillId="0" borderId="12" xfId="9" applyNumberFormat="1" applyFont="1" applyBorder="1"/>
    <xf numFmtId="0" fontId="1" fillId="0" borderId="0" xfId="0" applyFont="1" applyAlignment="1">
      <alignment horizontal="center"/>
    </xf>
    <xf numFmtId="0" fontId="0" fillId="0" borderId="21" xfId="0" applyBorder="1"/>
    <xf numFmtId="0" fontId="0" fillId="0" borderId="12" xfId="0" applyBorder="1"/>
    <xf numFmtId="0" fontId="0" fillId="0" borderId="23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10" fontId="1" fillId="0" borderId="14" xfId="9" applyNumberFormat="1" applyFont="1" applyBorder="1"/>
    <xf numFmtId="10" fontId="1" fillId="0" borderId="19" xfId="9" applyNumberFormat="1" applyFont="1" applyBorder="1"/>
    <xf numFmtId="10" fontId="1" fillId="0" borderId="18" xfId="9" applyNumberFormat="1" applyFont="1" applyBorder="1"/>
    <xf numFmtId="0" fontId="3" fillId="0" borderId="11" xfId="0" applyFont="1" applyBorder="1"/>
    <xf numFmtId="167" fontId="3" fillId="0" borderId="9" xfId="0" applyNumberFormat="1" applyFont="1" applyBorder="1"/>
    <xf numFmtId="165" fontId="3" fillId="0" borderId="19" xfId="9" applyNumberFormat="1" applyFont="1" applyBorder="1"/>
    <xf numFmtId="167" fontId="3" fillId="0" borderId="13" xfId="0" applyNumberFormat="1" applyFont="1" applyBorder="1"/>
    <xf numFmtId="0" fontId="1" fillId="0" borderId="12" xfId="0" applyFont="1" applyBorder="1" applyAlignment="1"/>
    <xf numFmtId="10" fontId="1" fillId="0" borderId="12" xfId="0" applyNumberFormat="1" applyFont="1" applyBorder="1" applyAlignment="1">
      <alignment horizontal="center"/>
    </xf>
    <xf numFmtId="0" fontId="3" fillId="0" borderId="14" xfId="0" applyFont="1" applyBorder="1"/>
    <xf numFmtId="0" fontId="0" fillId="0" borderId="18" xfId="0" applyBorder="1"/>
    <xf numFmtId="0" fontId="1" fillId="0" borderId="11" xfId="0" applyFont="1" applyBorder="1" applyAlignment="1">
      <alignment horizontal="center"/>
    </xf>
    <xf numFmtId="173" fontId="1" fillId="0" borderId="10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6" fontId="1" fillId="0" borderId="13" xfId="0" applyNumberFormat="1" applyFont="1" applyBorder="1"/>
    <xf numFmtId="0" fontId="1" fillId="0" borderId="10" xfId="0" applyFont="1" applyBorder="1" applyAlignment="1">
      <alignment horizontal="center"/>
    </xf>
    <xf numFmtId="0" fontId="3" fillId="0" borderId="19" xfId="0" applyFont="1" applyBorder="1"/>
    <xf numFmtId="0" fontId="3" fillId="0" borderId="18" xfId="0" applyFont="1" applyBorder="1"/>
    <xf numFmtId="10" fontId="1" fillId="0" borderId="0" xfId="0" applyNumberFormat="1" applyFont="1" applyBorder="1" applyAlignment="1">
      <alignment horizontal="center"/>
    </xf>
    <xf numFmtId="166" fontId="0" fillId="0" borderId="11" xfId="0" applyNumberFormat="1" applyBorder="1"/>
    <xf numFmtId="166" fontId="0" fillId="0" borderId="9" xfId="0" applyNumberFormat="1" applyBorder="1"/>
    <xf numFmtId="166" fontId="0" fillId="0" borderId="13" xfId="0" applyNumberFormat="1" applyBorder="1"/>
    <xf numFmtId="0" fontId="1" fillId="0" borderId="13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5" borderId="0" xfId="0" applyFill="1" applyBorder="1" applyAlignment="1">
      <alignment horizontal="center"/>
    </xf>
    <xf numFmtId="167" fontId="3" fillId="0" borderId="11" xfId="0" applyNumberFormat="1" applyFont="1" applyBorder="1"/>
    <xf numFmtId="165" fontId="3" fillId="0" borderId="14" xfId="9" applyNumberFormat="1" applyFont="1" applyBorder="1"/>
    <xf numFmtId="0" fontId="14" fillId="6" borderId="0" xfId="5" applyFont="1" applyFill="1"/>
    <xf numFmtId="0" fontId="14" fillId="3" borderId="9" xfId="5" applyFont="1" applyFill="1" applyBorder="1"/>
    <xf numFmtId="0" fontId="14" fillId="3" borderId="0" xfId="5" applyFont="1" applyFill="1" applyBorder="1"/>
    <xf numFmtId="0" fontId="14" fillId="3" borderId="19" xfId="5" applyFont="1" applyFill="1" applyBorder="1"/>
    <xf numFmtId="0" fontId="14" fillId="0" borderId="0" xfId="5" applyFont="1"/>
    <xf numFmtId="0" fontId="3" fillId="3" borderId="0" xfId="5" applyFont="1" applyFill="1" applyBorder="1"/>
    <xf numFmtId="0" fontId="3" fillId="3" borderId="19" xfId="5" applyFont="1" applyFill="1" applyBorder="1"/>
    <xf numFmtId="0" fontId="3" fillId="7" borderId="0" xfId="6" applyFont="1" applyFill="1"/>
    <xf numFmtId="170" fontId="3" fillId="3" borderId="0" xfId="5" applyNumberFormat="1" applyFont="1" applyFill="1" applyBorder="1" applyAlignment="1">
      <alignment horizontal="center"/>
    </xf>
    <xf numFmtId="0" fontId="3" fillId="7" borderId="20" xfId="5" applyFont="1" applyFill="1" applyBorder="1"/>
    <xf numFmtId="167" fontId="3" fillId="3" borderId="17" xfId="9" applyNumberFormat="1" applyFont="1" applyFill="1" applyBorder="1"/>
    <xf numFmtId="0" fontId="3" fillId="0" borderId="20" xfId="0" applyFont="1" applyBorder="1"/>
    <xf numFmtId="0" fontId="3" fillId="3" borderId="0" xfId="5" applyFont="1" applyFill="1" applyBorder="1" applyAlignment="1">
      <alignment horizontal="center"/>
    </xf>
    <xf numFmtId="169" fontId="16" fillId="3" borderId="0" xfId="5" applyNumberFormat="1" applyFont="1" applyFill="1" applyBorder="1" applyAlignment="1">
      <alignment horizontal="left"/>
    </xf>
    <xf numFmtId="0" fontId="14" fillId="3" borderId="0" xfId="5" applyFont="1" applyFill="1" applyAlignment="1">
      <alignment horizontal="right"/>
    </xf>
    <xf numFmtId="0" fontId="17" fillId="3" borderId="0" xfId="5" applyFont="1" applyFill="1" applyAlignment="1">
      <alignment horizontal="right"/>
    </xf>
    <xf numFmtId="0" fontId="16" fillId="3" borderId="0" xfId="5" quotePrefix="1" applyFont="1" applyFill="1" applyBorder="1" applyAlignment="1">
      <alignment horizontal="left"/>
    </xf>
    <xf numFmtId="0" fontId="14" fillId="3" borderId="13" xfId="5" applyFont="1" applyFill="1" applyBorder="1"/>
    <xf numFmtId="0" fontId="3" fillId="3" borderId="12" xfId="5" applyFont="1" applyFill="1" applyBorder="1"/>
    <xf numFmtId="0" fontId="3" fillId="3" borderId="18" xfId="5" applyFont="1" applyFill="1" applyBorder="1"/>
    <xf numFmtId="0" fontId="3" fillId="6" borderId="0" xfId="5" applyFont="1" applyFill="1" applyBorder="1"/>
    <xf numFmtId="0" fontId="14" fillId="3" borderId="0" xfId="5" applyFont="1" applyFill="1"/>
    <xf numFmtId="0" fontId="1" fillId="0" borderId="0" xfId="0" applyFont="1" applyBorder="1" applyAlignment="1"/>
    <xf numFmtId="165" fontId="1" fillId="0" borderId="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1" fillId="5" borderId="12" xfId="0" applyFont="1" applyFill="1" applyBorder="1"/>
    <xf numFmtId="0" fontId="1" fillId="5" borderId="18" xfId="0" applyFont="1" applyFill="1" applyBorder="1"/>
    <xf numFmtId="0" fontId="1" fillId="5" borderId="10" xfId="0" applyFont="1" applyFill="1" applyBorder="1"/>
    <xf numFmtId="0" fontId="1" fillId="0" borderId="21" xfId="0" applyFont="1" applyBorder="1"/>
    <xf numFmtId="0" fontId="1" fillId="0" borderId="22" xfId="0" applyFont="1" applyBorder="1"/>
    <xf numFmtId="0" fontId="1" fillId="5" borderId="14" xfId="0" applyFont="1" applyFill="1" applyBorder="1"/>
    <xf numFmtId="174" fontId="0" fillId="0" borderId="10" xfId="0" applyNumberFormat="1" applyBorder="1"/>
    <xf numFmtId="174" fontId="0" fillId="0" borderId="12" xfId="0" applyNumberFormat="1" applyBorder="1"/>
    <xf numFmtId="167" fontId="0" fillId="5" borderId="12" xfId="0" applyNumberFormat="1" applyFill="1" applyBorder="1"/>
    <xf numFmtId="0" fontId="3" fillId="7" borderId="21" xfId="5" applyFont="1" applyFill="1" applyBorder="1"/>
    <xf numFmtId="0" fontId="3" fillId="3" borderId="14" xfId="5" applyFont="1" applyFill="1" applyBorder="1" applyAlignment="1">
      <alignment horizontal="center"/>
    </xf>
    <xf numFmtId="0" fontId="3" fillId="7" borderId="23" xfId="5" applyFont="1" applyFill="1" applyBorder="1"/>
    <xf numFmtId="170" fontId="3" fillId="3" borderId="19" xfId="5" applyNumberFormat="1" applyFont="1" applyFill="1" applyBorder="1" applyAlignment="1">
      <alignment horizontal="center"/>
    </xf>
    <xf numFmtId="0" fontId="3" fillId="7" borderId="22" xfId="5" applyFont="1" applyFill="1" applyBorder="1"/>
    <xf numFmtId="1" fontId="3" fillId="3" borderId="18" xfId="5" applyNumberFormat="1" applyFont="1" applyFill="1" applyBorder="1" applyAlignment="1">
      <alignment horizontal="center"/>
    </xf>
    <xf numFmtId="165" fontId="0" fillId="0" borderId="18" xfId="9" applyNumberFormat="1" applyFont="1" applyBorder="1"/>
    <xf numFmtId="168" fontId="0" fillId="0" borderId="14" xfId="0" applyNumberFormat="1" applyBorder="1"/>
    <xf numFmtId="168" fontId="0" fillId="0" borderId="18" xfId="0" applyNumberFormat="1" applyBorder="1"/>
    <xf numFmtId="168" fontId="0" fillId="0" borderId="19" xfId="0" applyNumberFormat="1" applyBorder="1"/>
    <xf numFmtId="167" fontId="3" fillId="0" borderId="8" xfId="0" applyNumberFormat="1" applyFont="1" applyBorder="1"/>
    <xf numFmtId="165" fontId="3" fillId="0" borderId="17" xfId="9" applyNumberFormat="1" applyFont="1" applyBorder="1"/>
    <xf numFmtId="166" fontId="1" fillId="0" borderId="0" xfId="0" applyNumberFormat="1" applyFont="1" applyBorder="1" applyAlignment="1"/>
    <xf numFmtId="0" fontId="3" fillId="0" borderId="10" xfId="0" applyFont="1" applyBorder="1"/>
    <xf numFmtId="0" fontId="0" fillId="0" borderId="10" xfId="0" applyFont="1" applyBorder="1"/>
    <xf numFmtId="167" fontId="3" fillId="0" borderId="10" xfId="0" applyNumberFormat="1" applyFont="1" applyBorder="1"/>
    <xf numFmtId="165" fontId="3" fillId="0" borderId="10" xfId="9" applyNumberFormat="1" applyFont="1" applyBorder="1"/>
    <xf numFmtId="166" fontId="1" fillId="0" borderId="10" xfId="0" applyNumberFormat="1" applyFont="1" applyBorder="1" applyAlignment="1"/>
    <xf numFmtId="165" fontId="0" fillId="0" borderId="10" xfId="9" applyNumberFormat="1" applyFont="1" applyFill="1" applyBorder="1"/>
    <xf numFmtId="0" fontId="0" fillId="0" borderId="0" xfId="0" applyFont="1" applyBorder="1"/>
    <xf numFmtId="165" fontId="0" fillId="0" borderId="0" xfId="9" applyNumberFormat="1" applyFont="1" applyFill="1" applyBorder="1"/>
    <xf numFmtId="0" fontId="3" fillId="0" borderId="12" xfId="0" applyFont="1" applyBorder="1"/>
    <xf numFmtId="0" fontId="0" fillId="0" borderId="12" xfId="0" applyFont="1" applyBorder="1"/>
    <xf numFmtId="166" fontId="1" fillId="0" borderId="12" xfId="0" applyNumberFormat="1" applyFont="1" applyBorder="1" applyAlignment="1"/>
    <xf numFmtId="165" fontId="0" fillId="0" borderId="12" xfId="9" applyNumberFormat="1" applyFont="1" applyFill="1" applyBorder="1"/>
    <xf numFmtId="165" fontId="3" fillId="0" borderId="18" xfId="9" applyNumberFormat="1" applyFont="1" applyBorder="1"/>
    <xf numFmtId="168" fontId="3" fillId="0" borderId="10" xfId="9" applyNumberFormat="1" applyFont="1" applyBorder="1"/>
    <xf numFmtId="168" fontId="3" fillId="0" borderId="0" xfId="9" applyNumberFormat="1" applyFont="1" applyBorder="1"/>
    <xf numFmtId="167" fontId="1" fillId="0" borderId="14" xfId="0" applyNumberFormat="1" applyFont="1" applyBorder="1"/>
    <xf numFmtId="167" fontId="1" fillId="0" borderId="19" xfId="0" applyNumberFormat="1" applyFont="1" applyBorder="1"/>
    <xf numFmtId="167" fontId="1" fillId="0" borderId="18" xfId="0" applyNumberFormat="1" applyFont="1" applyBorder="1"/>
    <xf numFmtId="168" fontId="0" fillId="0" borderId="0" xfId="9" applyNumberFormat="1" applyFont="1"/>
    <xf numFmtId="0" fontId="1" fillId="0" borderId="9" xfId="0" applyFont="1" applyFill="1" applyBorder="1"/>
    <xf numFmtId="0" fontId="1" fillId="0" borderId="11" xfId="0" applyFont="1" applyFill="1" applyBorder="1"/>
    <xf numFmtId="0" fontId="1" fillId="0" borderId="13" xfId="0" applyFont="1" applyFill="1" applyBorder="1"/>
    <xf numFmtId="168" fontId="3" fillId="0" borderId="12" xfId="9" applyNumberFormat="1" applyFont="1" applyBorder="1"/>
    <xf numFmtId="165" fontId="3" fillId="5" borderId="12" xfId="9" applyNumberFormat="1" applyFont="1" applyFill="1" applyBorder="1"/>
    <xf numFmtId="168" fontId="0" fillId="0" borderId="10" xfId="0" applyNumberFormat="1" applyBorder="1"/>
    <xf numFmtId="168" fontId="0" fillId="0" borderId="12" xfId="0" applyNumberFormat="1" applyBorder="1"/>
    <xf numFmtId="168" fontId="1" fillId="0" borderId="10" xfId="0" applyNumberFormat="1" applyFont="1" applyBorder="1"/>
    <xf numFmtId="168" fontId="1" fillId="0" borderId="12" xfId="0" applyNumberFormat="1" applyFont="1" applyBorder="1"/>
    <xf numFmtId="168" fontId="0" fillId="0" borderId="0" xfId="0" applyNumberFormat="1" applyBorder="1"/>
    <xf numFmtId="168" fontId="1" fillId="0" borderId="0" xfId="0" applyNumberFormat="1" applyFont="1" applyBorder="1"/>
    <xf numFmtId="165" fontId="1" fillId="0" borderId="14" xfId="9" applyNumberFormat="1" applyFont="1" applyBorder="1"/>
    <xf numFmtId="165" fontId="1" fillId="0" borderId="0" xfId="9" applyNumberFormat="1" applyFont="1"/>
    <xf numFmtId="0" fontId="10" fillId="0" borderId="14" xfId="0" applyFont="1" applyBorder="1"/>
    <xf numFmtId="0" fontId="10" fillId="0" borderId="0" xfId="0" applyFont="1" applyBorder="1"/>
    <xf numFmtId="0" fontId="10" fillId="0" borderId="0" xfId="0" applyFont="1"/>
    <xf numFmtId="0" fontId="10" fillId="0" borderId="0" xfId="0" applyFont="1" applyBorder="1" applyAlignment="1">
      <alignment horizontal="center"/>
    </xf>
    <xf numFmtId="0" fontId="10" fillId="0" borderId="13" xfId="0" applyFont="1" applyBorder="1"/>
    <xf numFmtId="10" fontId="10" fillId="0" borderId="12" xfId="9" applyNumberFormat="1" applyFont="1" applyBorder="1"/>
    <xf numFmtId="0" fontId="10" fillId="0" borderId="18" xfId="0" applyFont="1" applyBorder="1"/>
    <xf numFmtId="0" fontId="10" fillId="0" borderId="11" xfId="0" applyFont="1" applyBorder="1"/>
    <xf numFmtId="0" fontId="10" fillId="0" borderId="8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167" fontId="10" fillId="0" borderId="16" xfId="0" applyNumberFormat="1" applyFont="1" applyBorder="1" applyAlignment="1">
      <alignment horizontal="center"/>
    </xf>
    <xf numFmtId="173" fontId="10" fillId="0" borderId="16" xfId="0" applyNumberFormat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6" xfId="0" applyFont="1" applyBorder="1" applyAlignment="1"/>
    <xf numFmtId="10" fontId="10" fillId="0" borderId="16" xfId="0" applyNumberFormat="1" applyFont="1" applyBorder="1" applyAlignment="1">
      <alignment horizontal="center"/>
    </xf>
    <xf numFmtId="165" fontId="10" fillId="0" borderId="16" xfId="0" applyNumberFormat="1" applyFont="1" applyBorder="1" applyAlignment="1">
      <alignment horizontal="center"/>
    </xf>
    <xf numFmtId="167" fontId="10" fillId="0" borderId="8" xfId="0" applyNumberFormat="1" applyFont="1" applyBorder="1"/>
    <xf numFmtId="165" fontId="10" fillId="0" borderId="17" xfId="9" applyNumberFormat="1" applyFont="1" applyBorder="1"/>
    <xf numFmtId="0" fontId="10" fillId="0" borderId="21" xfId="0" applyFont="1" applyBorder="1"/>
    <xf numFmtId="0" fontId="10" fillId="0" borderId="10" xfId="0" applyFont="1" applyBorder="1"/>
    <xf numFmtId="167" fontId="10" fillId="0" borderId="10" xfId="0" applyNumberFormat="1" applyFont="1" applyBorder="1"/>
    <xf numFmtId="165" fontId="10" fillId="0" borderId="11" xfId="0" applyNumberFormat="1" applyFont="1" applyBorder="1"/>
    <xf numFmtId="174" fontId="10" fillId="0" borderId="10" xfId="0" applyNumberFormat="1" applyFont="1" applyBorder="1"/>
    <xf numFmtId="0" fontId="10" fillId="5" borderId="10" xfId="0" applyFont="1" applyFill="1" applyBorder="1"/>
    <xf numFmtId="165" fontId="10" fillId="0" borderId="10" xfId="0" applyNumberFormat="1" applyFont="1" applyBorder="1"/>
    <xf numFmtId="10" fontId="10" fillId="0" borderId="10" xfId="0" applyNumberFormat="1" applyFont="1" applyBorder="1"/>
    <xf numFmtId="166" fontId="10" fillId="0" borderId="10" xfId="0" applyNumberFormat="1" applyFont="1" applyBorder="1"/>
    <xf numFmtId="10" fontId="10" fillId="0" borderId="14" xfId="9" applyNumberFormat="1" applyFont="1" applyBorder="1"/>
    <xf numFmtId="165" fontId="10" fillId="0" borderId="10" xfId="9" applyNumberFormat="1" applyFont="1" applyBorder="1"/>
    <xf numFmtId="168" fontId="10" fillId="0" borderId="10" xfId="0" applyNumberFormat="1" applyFont="1" applyBorder="1"/>
    <xf numFmtId="167" fontId="10" fillId="0" borderId="9" xfId="0" applyNumberFormat="1" applyFont="1" applyBorder="1"/>
    <xf numFmtId="165" fontId="10" fillId="0" borderId="19" xfId="9" applyNumberFormat="1" applyFont="1" applyBorder="1"/>
    <xf numFmtId="165" fontId="10" fillId="0" borderId="11" xfId="9" applyNumberFormat="1" applyFont="1" applyBorder="1"/>
    <xf numFmtId="0" fontId="10" fillId="0" borderId="22" xfId="0" applyFont="1" applyBorder="1"/>
    <xf numFmtId="0" fontId="10" fillId="0" borderId="12" xfId="0" applyFont="1" applyBorder="1"/>
    <xf numFmtId="167" fontId="10" fillId="5" borderId="12" xfId="0" applyNumberFormat="1" applyFont="1" applyFill="1" applyBorder="1"/>
    <xf numFmtId="165" fontId="10" fillId="0" borderId="13" xfId="0" applyNumberFormat="1" applyFont="1" applyBorder="1"/>
    <xf numFmtId="174" fontId="10" fillId="0" borderId="12" xfId="0" applyNumberFormat="1" applyFont="1" applyBorder="1"/>
    <xf numFmtId="167" fontId="10" fillId="0" borderId="12" xfId="0" applyNumberFormat="1" applyFont="1" applyBorder="1"/>
    <xf numFmtId="0" fontId="10" fillId="5" borderId="12" xfId="0" applyFont="1" applyFill="1" applyBorder="1"/>
    <xf numFmtId="165" fontId="10" fillId="0" borderId="12" xfId="0" applyNumberFormat="1" applyFont="1" applyBorder="1"/>
    <xf numFmtId="10" fontId="10" fillId="0" borderId="12" xfId="0" applyNumberFormat="1" applyFont="1" applyBorder="1"/>
    <xf numFmtId="166" fontId="10" fillId="0" borderId="12" xfId="0" applyNumberFormat="1" applyFont="1" applyBorder="1"/>
    <xf numFmtId="10" fontId="10" fillId="0" borderId="18" xfId="9" applyNumberFormat="1" applyFont="1" applyBorder="1"/>
    <xf numFmtId="165" fontId="10" fillId="0" borderId="12" xfId="9" applyNumberFormat="1" applyFont="1" applyBorder="1"/>
    <xf numFmtId="168" fontId="10" fillId="0" borderId="12" xfId="0" applyNumberFormat="1" applyFont="1" applyBorder="1"/>
    <xf numFmtId="0" fontId="10" fillId="0" borderId="9" xfId="0" applyFont="1" applyBorder="1"/>
    <xf numFmtId="165" fontId="10" fillId="0" borderId="9" xfId="9" applyNumberFormat="1" applyFont="1" applyBorder="1"/>
    <xf numFmtId="165" fontId="10" fillId="0" borderId="0" xfId="9" applyNumberFormat="1" applyFont="1" applyBorder="1"/>
    <xf numFmtId="167" fontId="10" fillId="0" borderId="0" xfId="0" applyNumberFormat="1" applyFont="1" applyBorder="1"/>
    <xf numFmtId="165" fontId="10" fillId="0" borderId="13" xfId="9" applyNumberFormat="1" applyFont="1" applyBorder="1"/>
    <xf numFmtId="0" fontId="10" fillId="0" borderId="0" xfId="0" applyFont="1" applyAlignment="1">
      <alignment horizontal="center"/>
    </xf>
    <xf numFmtId="173" fontId="10" fillId="0" borderId="10" xfId="0" applyNumberFormat="1" applyFont="1" applyBorder="1"/>
    <xf numFmtId="10" fontId="10" fillId="0" borderId="10" xfId="9" applyNumberFormat="1" applyFont="1" applyBorder="1"/>
    <xf numFmtId="165" fontId="10" fillId="0" borderId="9" xfId="0" applyNumberFormat="1" applyFont="1" applyBorder="1"/>
    <xf numFmtId="173" fontId="10" fillId="0" borderId="0" xfId="0" applyNumberFormat="1" applyFont="1" applyBorder="1"/>
    <xf numFmtId="165" fontId="10" fillId="0" borderId="0" xfId="0" applyNumberFormat="1" applyFont="1" applyBorder="1"/>
    <xf numFmtId="0" fontId="10" fillId="0" borderId="19" xfId="0" applyFont="1" applyBorder="1"/>
    <xf numFmtId="10" fontId="10" fillId="0" borderId="0" xfId="0" applyNumberFormat="1" applyFont="1" applyBorder="1"/>
    <xf numFmtId="166" fontId="10" fillId="0" borderId="0" xfId="0" applyNumberFormat="1" applyFont="1" applyBorder="1"/>
    <xf numFmtId="10" fontId="10" fillId="0" borderId="0" xfId="9" applyNumberFormat="1" applyFont="1" applyBorder="1"/>
    <xf numFmtId="168" fontId="10" fillId="0" borderId="0" xfId="0" applyNumberFormat="1" applyFont="1" applyBorder="1"/>
    <xf numFmtId="173" fontId="10" fillId="0" borderId="12" xfId="0" applyNumberFormat="1" applyFont="1" applyBorder="1"/>
    <xf numFmtId="166" fontId="10" fillId="0" borderId="9" xfId="0" applyNumberFormat="1" applyFont="1" applyBorder="1"/>
    <xf numFmtId="165" fontId="10" fillId="0" borderId="19" xfId="0" applyNumberFormat="1" applyFont="1" applyBorder="1"/>
    <xf numFmtId="166" fontId="10" fillId="0" borderId="13" xfId="0" applyNumberFormat="1" applyFont="1" applyBorder="1"/>
    <xf numFmtId="167" fontId="10" fillId="0" borderId="14" xfId="0" applyNumberFormat="1" applyFont="1" applyBorder="1"/>
    <xf numFmtId="166" fontId="10" fillId="0" borderId="10" xfId="0" applyNumberFormat="1" applyFont="1" applyBorder="1" applyAlignment="1"/>
    <xf numFmtId="165" fontId="10" fillId="0" borderId="10" xfId="9" applyNumberFormat="1" applyFont="1" applyFill="1" applyBorder="1"/>
    <xf numFmtId="168" fontId="10" fillId="0" borderId="10" xfId="9" applyNumberFormat="1" applyFont="1" applyBorder="1"/>
    <xf numFmtId="0" fontId="10" fillId="0" borderId="23" xfId="0" applyFont="1" applyBorder="1"/>
    <xf numFmtId="167" fontId="10" fillId="0" borderId="19" xfId="0" applyNumberFormat="1" applyFont="1" applyBorder="1"/>
    <xf numFmtId="166" fontId="10" fillId="0" borderId="0" xfId="0" applyNumberFormat="1" applyFont="1" applyBorder="1" applyAlignment="1"/>
    <xf numFmtId="165" fontId="10" fillId="0" borderId="0" xfId="9" applyNumberFormat="1" applyFont="1" applyFill="1" applyBorder="1"/>
    <xf numFmtId="168" fontId="10" fillId="0" borderId="0" xfId="9" applyNumberFormat="1" applyFont="1" applyBorder="1"/>
    <xf numFmtId="167" fontId="10" fillId="0" borderId="18" xfId="0" applyNumberFormat="1" applyFont="1" applyBorder="1"/>
    <xf numFmtId="165" fontId="10" fillId="5" borderId="12" xfId="9" applyNumberFormat="1" applyFont="1" applyFill="1" applyBorder="1"/>
    <xf numFmtId="166" fontId="10" fillId="0" borderId="12" xfId="0" applyNumberFormat="1" applyFont="1" applyBorder="1" applyAlignment="1"/>
    <xf numFmtId="165" fontId="10" fillId="0" borderId="12" xfId="9" applyNumberFormat="1" applyFont="1" applyFill="1" applyBorder="1"/>
    <xf numFmtId="168" fontId="10" fillId="0" borderId="12" xfId="9" applyNumberFormat="1" applyFont="1" applyBorder="1"/>
    <xf numFmtId="167" fontId="10" fillId="0" borderId="13" xfId="0" applyNumberFormat="1" applyFont="1" applyBorder="1"/>
    <xf numFmtId="165" fontId="10" fillId="0" borderId="18" xfId="9" applyNumberFormat="1" applyFont="1" applyBorder="1"/>
    <xf numFmtId="165" fontId="10" fillId="0" borderId="0" xfId="0" applyNumberFormat="1" applyFont="1"/>
    <xf numFmtId="165" fontId="10" fillId="0" borderId="0" xfId="9" applyNumberFormat="1" applyFont="1"/>
    <xf numFmtId="0" fontId="1" fillId="0" borderId="0" xfId="0" applyFont="1" applyBorder="1" applyAlignment="1">
      <alignment horizontal="center"/>
    </xf>
    <xf numFmtId="168" fontId="1" fillId="0" borderId="14" xfId="0" applyNumberFormat="1" applyFont="1" applyBorder="1"/>
    <xf numFmtId="168" fontId="1" fillId="0" borderId="18" xfId="0" applyNumberFormat="1" applyFont="1" applyBorder="1"/>
    <xf numFmtId="165" fontId="1" fillId="5" borderId="13" xfId="0" applyNumberFormat="1" applyFont="1" applyFill="1" applyBorder="1"/>
    <xf numFmtId="165" fontId="10" fillId="5" borderId="12" xfId="0" applyNumberFormat="1" applyFont="1" applyFill="1" applyBorder="1"/>
    <xf numFmtId="165" fontId="1" fillId="5" borderId="12" xfId="0" applyNumberFormat="1" applyFont="1" applyFill="1" applyBorder="1"/>
    <xf numFmtId="165" fontId="5" fillId="0" borderId="10" xfId="9" applyNumberFormat="1" applyFont="1" applyBorder="1"/>
    <xf numFmtId="165" fontId="5" fillId="0" borderId="12" xfId="9" applyNumberFormat="1" applyFont="1" applyBorder="1"/>
    <xf numFmtId="165" fontId="0" fillId="0" borderId="10" xfId="9" applyNumberFormat="1" applyFont="1" applyBorder="1"/>
    <xf numFmtId="165" fontId="0" fillId="0" borderId="12" xfId="9" applyNumberFormat="1" applyFont="1" applyBorder="1"/>
    <xf numFmtId="0" fontId="18" fillId="7" borderId="0" xfId="6" applyFont="1" applyFill="1" applyAlignment="1">
      <alignment horizontal="left"/>
    </xf>
    <xf numFmtId="0" fontId="19" fillId="7" borderId="0" xfId="6" applyFont="1" applyFill="1"/>
    <xf numFmtId="0" fontId="19" fillId="3" borderId="4" xfId="4" applyFont="1" applyFill="1" applyBorder="1"/>
    <xf numFmtId="0" fontId="19" fillId="3" borderId="0" xfId="4" applyFont="1" applyFill="1" applyBorder="1"/>
    <xf numFmtId="0" fontId="19" fillId="3" borderId="5" xfId="4" applyFont="1" applyFill="1" applyBorder="1"/>
    <xf numFmtId="0" fontId="21" fillId="7" borderId="20" xfId="4" applyFont="1" applyFill="1" applyBorder="1"/>
    <xf numFmtId="0" fontId="21" fillId="7" borderId="20" xfId="4" applyFont="1" applyFill="1" applyBorder="1" applyProtection="1"/>
    <xf numFmtId="0" fontId="19" fillId="3" borderId="6" xfId="4" applyFont="1" applyFill="1" applyBorder="1"/>
    <xf numFmtId="0" fontId="19" fillId="3" borderId="7" xfId="4" applyFont="1" applyFill="1" applyBorder="1"/>
    <xf numFmtId="0" fontId="19" fillId="3" borderId="15" xfId="4" applyFont="1" applyFill="1" applyBorder="1"/>
    <xf numFmtId="177" fontId="19" fillId="0" borderId="20" xfId="4" applyNumberFormat="1" applyFont="1" applyBorder="1" applyAlignment="1">
      <alignment horizontal="center"/>
    </xf>
    <xf numFmtId="15" fontId="0" fillId="0" borderId="0" xfId="0" applyNumberFormat="1"/>
    <xf numFmtId="0" fontId="1" fillId="0" borderId="12" xfId="0" applyFont="1" applyFill="1" applyBorder="1"/>
    <xf numFmtId="0" fontId="19" fillId="3" borderId="1" xfId="0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0" borderId="0" xfId="0" applyFont="1"/>
    <xf numFmtId="0" fontId="19" fillId="3" borderId="4" xfId="0" applyFont="1" applyFill="1" applyBorder="1"/>
    <xf numFmtId="0" fontId="22" fillId="3" borderId="0" xfId="0" applyFont="1" applyFill="1" applyBorder="1"/>
    <xf numFmtId="0" fontId="19" fillId="3" borderId="0" xfId="0" applyFont="1" applyFill="1" applyBorder="1" applyAlignment="1">
      <alignment horizontal="center"/>
    </xf>
    <xf numFmtId="0" fontId="19" fillId="0" borderId="0" xfId="0" applyFont="1" applyBorder="1"/>
    <xf numFmtId="0" fontId="21" fillId="4" borderId="20" xfId="0" applyFont="1" applyFill="1" applyBorder="1" applyAlignment="1">
      <alignment horizontal="center" vertical="center"/>
    </xf>
    <xf numFmtId="0" fontId="19" fillId="3" borderId="20" xfId="0" applyFont="1" applyFill="1" applyBorder="1" applyAlignment="1">
      <alignment horizontal="center" vertical="center"/>
    </xf>
    <xf numFmtId="0" fontId="19" fillId="3" borderId="0" xfId="0" applyFont="1" applyFill="1" applyBorder="1"/>
    <xf numFmtId="0" fontId="19" fillId="3" borderId="5" xfId="0" applyFont="1" applyFill="1" applyBorder="1"/>
    <xf numFmtId="0" fontId="19" fillId="3" borderId="4" xfId="0" applyFont="1" applyFill="1" applyBorder="1" applyAlignment="1">
      <alignment horizontal="center"/>
    </xf>
    <xf numFmtId="0" fontId="19" fillId="0" borderId="0" xfId="0" applyFont="1" applyFill="1" applyBorder="1"/>
    <xf numFmtId="0" fontId="19" fillId="3" borderId="5" xfId="0" applyFont="1" applyFill="1" applyBorder="1" applyAlignment="1">
      <alignment horizontal="center"/>
    </xf>
    <xf numFmtId="0" fontId="19" fillId="0" borderId="8" xfId="0" applyFont="1" applyBorder="1" applyAlignment="1">
      <alignment horizontal="center"/>
    </xf>
    <xf numFmtId="167" fontId="19" fillId="0" borderId="16" xfId="0" applyNumberFormat="1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165" fontId="19" fillId="0" borderId="17" xfId="0" applyNumberFormat="1" applyFont="1" applyBorder="1" applyAlignment="1">
      <alignment horizontal="center"/>
    </xf>
    <xf numFmtId="165" fontId="21" fillId="0" borderId="20" xfId="9" applyNumberFormat="1" applyFont="1" applyFill="1" applyBorder="1" applyAlignment="1">
      <alignment horizontal="center" vertical="center" wrapText="1"/>
    </xf>
    <xf numFmtId="165" fontId="21" fillId="0" borderId="8" xfId="9" applyNumberFormat="1" applyFont="1" applyFill="1" applyBorder="1" applyAlignment="1">
      <alignment horizontal="center" vertical="center" wrapText="1"/>
    </xf>
    <xf numFmtId="165" fontId="21" fillId="0" borderId="16" xfId="9" applyNumberFormat="1" applyFont="1" applyFill="1" applyBorder="1" applyAlignment="1">
      <alignment horizontal="center" vertical="center" wrapText="1"/>
    </xf>
    <xf numFmtId="165" fontId="21" fillId="0" borderId="14" xfId="9" applyNumberFormat="1" applyFont="1" applyFill="1" applyBorder="1" applyAlignment="1">
      <alignment horizontal="center" vertical="center" wrapText="1"/>
    </xf>
    <xf numFmtId="0" fontId="19" fillId="0" borderId="9" xfId="0" applyFont="1" applyBorder="1"/>
    <xf numFmtId="165" fontId="19" fillId="0" borderId="0" xfId="9" applyNumberFormat="1" applyFont="1" applyFill="1" applyBorder="1"/>
    <xf numFmtId="166" fontId="19" fillId="0" borderId="0" xfId="0" applyNumberFormat="1" applyFont="1" applyBorder="1"/>
    <xf numFmtId="165" fontId="19" fillId="0" borderId="0" xfId="0" applyNumberFormat="1" applyFont="1" applyBorder="1"/>
    <xf numFmtId="165" fontId="19" fillId="0" borderId="19" xfId="0" applyNumberFormat="1" applyFont="1" applyFill="1" applyBorder="1"/>
    <xf numFmtId="165" fontId="19" fillId="0" borderId="23" xfId="9" applyNumberFormat="1" applyFont="1" applyBorder="1" applyAlignment="1"/>
    <xf numFmtId="165" fontId="19" fillId="0" borderId="0" xfId="9" applyNumberFormat="1" applyFont="1" applyBorder="1"/>
    <xf numFmtId="165" fontId="19" fillId="0" borderId="19" xfId="9" applyNumberFormat="1" applyFont="1" applyFill="1" applyBorder="1" applyAlignment="1"/>
    <xf numFmtId="0" fontId="19" fillId="0" borderId="13" xfId="0" applyFont="1" applyBorder="1"/>
    <xf numFmtId="165" fontId="19" fillId="0" borderId="12" xfId="9" applyNumberFormat="1" applyFont="1" applyFill="1" applyBorder="1"/>
    <xf numFmtId="0" fontId="19" fillId="0" borderId="12" xfId="0" applyFont="1" applyBorder="1"/>
    <xf numFmtId="166" fontId="19" fillId="0" borderId="12" xfId="0" applyNumberFormat="1" applyFont="1" applyBorder="1"/>
    <xf numFmtId="165" fontId="19" fillId="0" borderId="12" xfId="0" applyNumberFormat="1" applyFont="1" applyBorder="1"/>
    <xf numFmtId="165" fontId="19" fillId="0" borderId="18" xfId="0" applyNumberFormat="1" applyFont="1" applyFill="1" applyBorder="1"/>
    <xf numFmtId="165" fontId="19" fillId="0" borderId="22" xfId="9" applyNumberFormat="1" applyFont="1" applyBorder="1" applyAlignment="1"/>
    <xf numFmtId="165" fontId="19" fillId="0" borderId="12" xfId="9" applyNumberFormat="1" applyFont="1" applyBorder="1"/>
    <xf numFmtId="165" fontId="19" fillId="0" borderId="18" xfId="9" applyNumberFormat="1" applyFont="1" applyFill="1" applyBorder="1" applyAlignment="1"/>
    <xf numFmtId="0" fontId="19" fillId="3" borderId="6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15" xfId="0" applyFont="1" applyFill="1" applyBorder="1" applyAlignment="1">
      <alignment horizontal="center"/>
    </xf>
    <xf numFmtId="177" fontId="19" fillId="0" borderId="0" xfId="0" applyNumberFormat="1" applyFont="1" applyBorder="1"/>
    <xf numFmtId="177" fontId="19" fillId="0" borderId="12" xfId="0" applyNumberFormat="1" applyFont="1" applyBorder="1"/>
    <xf numFmtId="0" fontId="15" fillId="8" borderId="8" xfId="5" applyFont="1" applyFill="1" applyBorder="1" applyAlignment="1">
      <alignment horizontal="center"/>
    </xf>
    <xf numFmtId="0" fontId="15" fillId="8" borderId="16" xfId="5" applyFont="1" applyFill="1" applyBorder="1" applyAlignment="1">
      <alignment horizontal="center"/>
    </xf>
    <xf numFmtId="0" fontId="15" fillId="8" borderId="17" xfId="5" applyFont="1" applyFill="1" applyBorder="1" applyAlignment="1">
      <alignment horizontal="center"/>
    </xf>
    <xf numFmtId="0" fontId="20" fillId="8" borderId="24" xfId="4" applyFont="1" applyFill="1" applyBorder="1" applyAlignment="1">
      <alignment horizontal="center"/>
    </xf>
    <xf numFmtId="0" fontId="20" fillId="8" borderId="25" xfId="4" applyFont="1" applyFill="1" applyBorder="1" applyAlignment="1">
      <alignment horizontal="center"/>
    </xf>
    <xf numFmtId="0" fontId="20" fillId="8" borderId="26" xfId="4" applyFont="1" applyFill="1" applyBorder="1" applyAlignment="1">
      <alignment horizontal="center"/>
    </xf>
    <xf numFmtId="0" fontId="19" fillId="9" borderId="20" xfId="4" applyFont="1" applyFill="1" applyBorder="1"/>
  </cellXfs>
  <cellStyles count="13">
    <cellStyle name="Euro" xfId="1"/>
    <cellStyle name="Migliaia (0)_AZIONI" xfId="2"/>
    <cellStyle name="Migliaia_AZIONI" xfId="3"/>
    <cellStyle name="Normal" xfId="0" builtinId="0"/>
    <cellStyle name="Normal_EurDepoSwapPricer" xfId="4"/>
    <cellStyle name="Normal_InterestRateQuotesFeed" xfId="5"/>
    <cellStyle name="Normal_SwaptionATMVols" xfId="6"/>
    <cellStyle name="Normal_TestSyntDisc" xfId="7"/>
    <cellStyle name="Normale_AZIONI" xfId="8"/>
    <cellStyle name="Percent" xfId="9" builtinId="5"/>
    <cellStyle name="result" xfId="10"/>
    <cellStyle name="Valuta (0)_AZIONI" xfId="11"/>
    <cellStyle name="Valuta_AZIONI" xfId="12"/>
  </cellStyles>
  <dxfs count="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41887226697359E-2"/>
          <c:y val="7.9872329073995788E-2"/>
          <c:w val="0.90794016110471809"/>
          <c:h val="0.71885096166596207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'1M'!$H$23:$H$24</c:f>
              <c:numCache>
                <c:formatCode>ddd\,\ d\-mmm\-yyyy</c:formatCode>
                <c:ptCount val="2"/>
                <c:pt idx="0">
                  <c:v>41659</c:v>
                </c:pt>
                <c:pt idx="1">
                  <c:v>41659</c:v>
                </c:pt>
              </c:numCache>
            </c:numRef>
          </c:xVal>
          <c:yVal>
            <c:numRef>
              <c:f>'1M'!$J$23:$J$24</c:f>
              <c:numCache>
                <c:formatCode>0.0000%</c:formatCode>
                <c:ptCount val="2"/>
                <c:pt idx="0">
                  <c:v>4.8310000000000002E-3</c:v>
                </c:pt>
                <c:pt idx="1">
                  <c:v>4.8187999999999998E-3</c:v>
                </c:pt>
              </c:numCache>
            </c:numRef>
          </c:yVal>
          <c:smooth val="0"/>
        </c:ser>
        <c:ser>
          <c:idx val="0"/>
          <c:order val="1"/>
          <c:tx>
            <c:v>Swaps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'1M'!$H$27:$H$37</c:f>
              <c:numCache>
                <c:formatCode>ddd\,\ d\-mmm\-yyyy</c:formatCode>
                <c:ptCount val="11"/>
                <c:pt idx="0">
                  <c:v>41690</c:v>
                </c:pt>
                <c:pt idx="1">
                  <c:v>41718</c:v>
                </c:pt>
                <c:pt idx="2">
                  <c:v>41751</c:v>
                </c:pt>
                <c:pt idx="3">
                  <c:v>41779</c:v>
                </c:pt>
                <c:pt idx="4">
                  <c:v>41810</c:v>
                </c:pt>
                <c:pt idx="5">
                  <c:v>41841</c:v>
                </c:pt>
                <c:pt idx="6">
                  <c:v>41871</c:v>
                </c:pt>
                <c:pt idx="7">
                  <c:v>41904</c:v>
                </c:pt>
                <c:pt idx="8">
                  <c:v>41932</c:v>
                </c:pt>
                <c:pt idx="9">
                  <c:v>41963</c:v>
                </c:pt>
                <c:pt idx="10">
                  <c:v>41995</c:v>
                </c:pt>
              </c:numCache>
            </c:numRef>
          </c:xVal>
          <c:yVal>
            <c:numRef>
              <c:f>'1M'!$J$27:$J$37</c:f>
              <c:numCache>
                <c:formatCode>0.0000%</c:formatCode>
                <c:ptCount val="11"/>
                <c:pt idx="0">
                  <c:v>4.2205048597776518E-3</c:v>
                </c:pt>
                <c:pt idx="1">
                  <c:v>4.9979110554832966E-3</c:v>
                </c:pt>
                <c:pt idx="2">
                  <c:v>5.12035753209921E-3</c:v>
                </c:pt>
                <c:pt idx="3">
                  <c:v>5.2582374827026346E-3</c:v>
                </c:pt>
                <c:pt idx="4">
                  <c:v>5.3073620159464537E-3</c:v>
                </c:pt>
                <c:pt idx="5">
                  <c:v>5.5906560847445164E-3</c:v>
                </c:pt>
                <c:pt idx="6">
                  <c:v>5.7820854319132961E-3</c:v>
                </c:pt>
                <c:pt idx="7">
                  <c:v>6.0689926236848612E-3</c:v>
                </c:pt>
                <c:pt idx="8">
                  <c:v>6.4023722271044558E-3</c:v>
                </c:pt>
                <c:pt idx="9">
                  <c:v>6.9804481090970927E-3</c:v>
                </c:pt>
                <c:pt idx="10">
                  <c:v>7.2801375310527598E-3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'1M'!$H$38:$H$49</c:f>
              <c:numCache>
                <c:formatCode>ddd\,\ d\-mmm\-yyyy</c:formatCode>
                <c:ptCount val="12"/>
                <c:pt idx="0">
                  <c:v>41689</c:v>
                </c:pt>
                <c:pt idx="1">
                  <c:v>41717</c:v>
                </c:pt>
                <c:pt idx="2">
                  <c:v>41745</c:v>
                </c:pt>
                <c:pt idx="3">
                  <c:v>41780</c:v>
                </c:pt>
                <c:pt idx="4">
                  <c:v>41808</c:v>
                </c:pt>
                <c:pt idx="5">
                  <c:v>41836</c:v>
                </c:pt>
                <c:pt idx="6">
                  <c:v>41871</c:v>
                </c:pt>
                <c:pt idx="7">
                  <c:v>41899</c:v>
                </c:pt>
                <c:pt idx="8">
                  <c:v>41927</c:v>
                </c:pt>
                <c:pt idx="9">
                  <c:v>41962</c:v>
                </c:pt>
                <c:pt idx="10">
                  <c:v>41990</c:v>
                </c:pt>
                <c:pt idx="11">
                  <c:v>42025</c:v>
                </c:pt>
              </c:numCache>
            </c:numRef>
          </c:xVal>
          <c:yVal>
            <c:numRef>
              <c:f>'1M'!$J$38:$J$49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'1M'!$U$23:$U$49</c:f>
              <c:numCache>
                <c:formatCode>ddd\,\ d\-mmm\-yyyy</c:formatCode>
                <c:ptCount val="27"/>
                <c:pt idx="0">
                  <c:v>41659</c:v>
                </c:pt>
                <c:pt idx="1">
                  <c:v>41690</c:v>
                </c:pt>
                <c:pt idx="2">
                  <c:v>41718</c:v>
                </c:pt>
                <c:pt idx="3">
                  <c:v>41751</c:v>
                </c:pt>
                <c:pt idx="4">
                  <c:v>41779</c:v>
                </c:pt>
                <c:pt idx="5">
                  <c:v>41810</c:v>
                </c:pt>
                <c:pt idx="6">
                  <c:v>41841</c:v>
                </c:pt>
                <c:pt idx="7">
                  <c:v>41871</c:v>
                </c:pt>
                <c:pt idx="8">
                  <c:v>41904</c:v>
                </c:pt>
                <c:pt idx="9">
                  <c:v>41932</c:v>
                </c:pt>
                <c:pt idx="10">
                  <c:v>41963</c:v>
                </c:pt>
                <c:pt idx="11">
                  <c:v>41995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'1M'!$V$23:$V$49</c:f>
              <c:numCache>
                <c:formatCode>0.0000%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98656"/>
        <c:axId val="377800576"/>
      </c:scatterChart>
      <c:valAx>
        <c:axId val="377798656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6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00576"/>
        <c:crosses val="autoZero"/>
        <c:crossBetween val="midCat"/>
        <c:majorUnit val="30.4375"/>
      </c:valAx>
      <c:valAx>
        <c:axId val="377800576"/>
        <c:scaling>
          <c:orientation val="minMax"/>
          <c:min val="2.5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98656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285385500575374"/>
          <c:y val="0.47284412132189546"/>
          <c:w val="0.95281933256616802"/>
          <c:h val="0.741215063771980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430391267758054E-2"/>
          <c:y val="8.012845593091425E-2"/>
          <c:w val="0.91081481545997012"/>
          <c:h val="0.72115610337822822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'3M'!$H$23:$H$24</c:f>
              <c:numCache>
                <c:formatCode>ddd\,\ d\-mmm\-yyyy</c:formatCode>
                <c:ptCount val="2"/>
                <c:pt idx="0">
                  <c:v>41659</c:v>
                </c:pt>
                <c:pt idx="1">
                  <c:v>41659</c:v>
                </c:pt>
              </c:numCache>
            </c:numRef>
          </c:xVal>
          <c:yVal>
            <c:numRef>
              <c:f>'3M'!$J$23:$J$24</c:f>
              <c:numCache>
                <c:formatCode>0.0000%</c:formatCode>
                <c:ptCount val="2"/>
                <c:pt idx="0">
                  <c:v>5.2069999999999998E-3</c:v>
                </c:pt>
                <c:pt idx="1">
                  <c:v>5.1969E-3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'3M'!$H$34:$H$41</c:f>
              <c:numCache>
                <c:formatCode>ddd\,\ d\-mmm\-yyyy</c:formatCode>
                <c:ptCount val="8"/>
                <c:pt idx="0">
                  <c:v>41659</c:v>
                </c:pt>
                <c:pt idx="1">
                  <c:v>41660</c:v>
                </c:pt>
                <c:pt idx="2">
                  <c:v>41690</c:v>
                </c:pt>
                <c:pt idx="3">
                  <c:v>41718</c:v>
                </c:pt>
                <c:pt idx="4">
                  <c:v>41751</c:v>
                </c:pt>
                <c:pt idx="5">
                  <c:v>41779</c:v>
                </c:pt>
                <c:pt idx="6">
                  <c:v>41810</c:v>
                </c:pt>
                <c:pt idx="7">
                  <c:v>41841</c:v>
                </c:pt>
              </c:numCache>
            </c:numRef>
          </c:xVal>
          <c:yVal>
            <c:numRef>
              <c:f>'3M'!$J$34:$J$41</c:f>
              <c:numCache>
                <c:formatCode>0.0000%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5.3500000000000006E-3</c:v>
                </c:pt>
                <c:pt idx="3">
                  <c:v>5.4499999999999991E-3</c:v>
                </c:pt>
                <c:pt idx="4">
                  <c:v>5.6499999999999996E-3</c:v>
                </c:pt>
                <c:pt idx="5">
                  <c:v>5.7499999999999999E-3</c:v>
                </c:pt>
                <c:pt idx="6">
                  <c:v>5.9499999999999996E-3</c:v>
                </c:pt>
                <c:pt idx="7">
                  <c:v>6.2500000000000003E-3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'3M'!$H$25:$H$33</c:f>
              <c:numCache>
                <c:formatCode>ddd\,\ d\-mmm\-yyyy</c:formatCode>
                <c:ptCount val="9"/>
                <c:pt idx="0">
                  <c:v>41689</c:v>
                </c:pt>
                <c:pt idx="1">
                  <c:v>41717</c:v>
                </c:pt>
                <c:pt idx="2">
                  <c:v>41808</c:v>
                </c:pt>
                <c:pt idx="3">
                  <c:v>41899</c:v>
                </c:pt>
                <c:pt idx="4">
                  <c:v>41990</c:v>
                </c:pt>
                <c:pt idx="5">
                  <c:v>42081</c:v>
                </c:pt>
                <c:pt idx="6">
                  <c:v>42172</c:v>
                </c:pt>
                <c:pt idx="7">
                  <c:v>42263</c:v>
                </c:pt>
                <c:pt idx="8">
                  <c:v>42354</c:v>
                </c:pt>
              </c:numCache>
            </c:numRef>
          </c:xVal>
          <c:yVal>
            <c:numRef>
              <c:f>'3M'!$J$25:$J$33</c:f>
              <c:numCache>
                <c:formatCode>0.0000%</c:formatCode>
                <c:ptCount val="9"/>
                <c:pt idx="0">
                  <c:v>0</c:v>
                </c:pt>
                <c:pt idx="1">
                  <c:v>5.446041257814881E-3</c:v>
                </c:pt>
                <c:pt idx="2">
                  <c:v>5.9360973266710006E-3</c:v>
                </c:pt>
                <c:pt idx="3">
                  <c:v>6.8218116990404563E-3</c:v>
                </c:pt>
                <c:pt idx="4">
                  <c:v>8.2032421304612455E-3</c:v>
                </c:pt>
                <c:pt idx="5">
                  <c:v>9.9797882929700266E-3</c:v>
                </c:pt>
                <c:pt idx="6">
                  <c:v>1.1852496144223738E-2</c:v>
                </c:pt>
                <c:pt idx="7">
                  <c:v>1.3921412923693664E-2</c:v>
                </c:pt>
                <c:pt idx="8">
                  <c:v>1.6186019638919441E-2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'3M'!$U$23:$U$41</c:f>
              <c:numCache>
                <c:formatCode>ddd\,\ d\-mmm\-yyyy</c:formatCode>
                <c:ptCount val="19"/>
                <c:pt idx="0">
                  <c:v>41659</c:v>
                </c:pt>
                <c:pt idx="1">
                  <c:v>41717</c:v>
                </c:pt>
                <c:pt idx="2">
                  <c:v>41808</c:v>
                </c:pt>
                <c:pt idx="3">
                  <c:v>41899</c:v>
                </c:pt>
                <c:pt idx="4">
                  <c:v>41990</c:v>
                </c:pt>
                <c:pt idx="5">
                  <c:v>42081</c:v>
                </c:pt>
                <c:pt idx="6">
                  <c:v>42172</c:v>
                </c:pt>
                <c:pt idx="7">
                  <c:v>42263</c:v>
                </c:pt>
                <c:pt idx="8">
                  <c:v>42354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'3M'!$V$23:$V$41</c:f>
              <c:numCache>
                <c:formatCode>0.0000%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892864"/>
        <c:axId val="377894784"/>
      </c:scatterChart>
      <c:valAx>
        <c:axId val="377892864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94784"/>
        <c:crosses val="autoZero"/>
        <c:crossBetween val="midCat"/>
        <c:majorUnit val="91.3125"/>
        <c:minorUnit val="30.4375"/>
      </c:valAx>
      <c:valAx>
        <c:axId val="377894784"/>
        <c:scaling>
          <c:orientation val="minMax"/>
          <c:min val="5.0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92864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605444804349281"/>
          <c:y val="0.4807705767548287"/>
          <c:w val="0.93645590287836089"/>
          <c:h val="0.750002355474796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063132415642167E-2"/>
          <c:y val="7.9617834394904455E-2"/>
          <c:w val="0.92342443894333182"/>
          <c:h val="0.72292993630573243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'6M'!$H$23:$H$24</c:f>
              <c:numCache>
                <c:formatCode>ddd\,\ d\-mmm\-yyyy</c:formatCode>
                <c:ptCount val="2"/>
                <c:pt idx="0">
                  <c:v>41659</c:v>
                </c:pt>
                <c:pt idx="1">
                  <c:v>41659</c:v>
                </c:pt>
              </c:numCache>
            </c:numRef>
          </c:xVal>
          <c:yVal>
            <c:numRef>
              <c:f>'6M'!$J$23:$J$24</c:f>
              <c:numCache>
                <c:formatCode>0.0000%</c:formatCode>
                <c:ptCount val="2"/>
                <c:pt idx="0">
                  <c:v>6.1599999999999997E-3</c:v>
                </c:pt>
                <c:pt idx="1">
                  <c:v>6.1500000000000001E-3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'6M'!$D$25:$D$34</c:f>
              <c:numCache>
                <c:formatCode>ddd\,\ d\-mmm\-yyyy</c:formatCode>
                <c:ptCount val="10"/>
                <c:pt idx="0">
                  <c:v>41659</c:v>
                </c:pt>
                <c:pt idx="1">
                  <c:v>41660</c:v>
                </c:pt>
                <c:pt idx="2">
                  <c:v>41690</c:v>
                </c:pt>
                <c:pt idx="3">
                  <c:v>41718</c:v>
                </c:pt>
                <c:pt idx="4">
                  <c:v>41751</c:v>
                </c:pt>
                <c:pt idx="5">
                  <c:v>41779</c:v>
                </c:pt>
                <c:pt idx="6">
                  <c:v>41810</c:v>
                </c:pt>
                <c:pt idx="7">
                  <c:v>41841</c:v>
                </c:pt>
                <c:pt idx="8">
                  <c:v>42024</c:v>
                </c:pt>
                <c:pt idx="9">
                  <c:v>42205</c:v>
                </c:pt>
              </c:numCache>
            </c:numRef>
          </c:xVal>
          <c:yVal>
            <c:numRef>
              <c:f>'6M'!$J$25:$J$34</c:f>
              <c:numCache>
                <c:formatCode>0.0000%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6.3E-3</c:v>
                </c:pt>
                <c:pt idx="3">
                  <c:v>6.45E-3</c:v>
                </c:pt>
                <c:pt idx="4">
                  <c:v>6.6999999999999994E-3</c:v>
                </c:pt>
                <c:pt idx="5">
                  <c:v>6.8999999999999999E-3</c:v>
                </c:pt>
                <c:pt idx="6">
                  <c:v>7.1500000000000001E-3</c:v>
                </c:pt>
                <c:pt idx="7">
                  <c:v>7.5500000000000003E-3</c:v>
                </c:pt>
                <c:pt idx="8">
                  <c:v>1.06E-2</c:v>
                </c:pt>
                <c:pt idx="9">
                  <c:v>0</c:v>
                </c:pt>
              </c:numCache>
            </c:numRef>
          </c:yVal>
          <c:smooth val="0"/>
        </c:ser>
        <c:ser>
          <c:idx val="3"/>
          <c:order val="2"/>
          <c:tx>
            <c:v>IMMFRA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'6M'!$D$35:$D$39</c:f>
              <c:numCache>
                <c:formatCode>ddd\,\ d\-mmm\-yyyy</c:formatCode>
                <c:ptCount val="5"/>
                <c:pt idx="0">
                  <c:v>41689</c:v>
                </c:pt>
                <c:pt idx="1">
                  <c:v>41717</c:v>
                </c:pt>
                <c:pt idx="2">
                  <c:v>41745</c:v>
                </c:pt>
                <c:pt idx="3">
                  <c:v>41780</c:v>
                </c:pt>
                <c:pt idx="4">
                  <c:v>41808</c:v>
                </c:pt>
              </c:numCache>
            </c:numRef>
          </c:xVal>
          <c:yVal>
            <c:numRef>
              <c:f>'6M'!$J$35:$J$39</c:f>
              <c:numCache>
                <c:formatCode>0.0000%</c:formatCode>
                <c:ptCount val="5"/>
                <c:pt idx="0">
                  <c:v>6.4499999999999558E-3</c:v>
                </c:pt>
                <c:pt idx="1">
                  <c:v>7.0999999999998842E-3</c:v>
                </c:pt>
                <c:pt idx="2">
                  <c:v>8.2999999999999741E-3</c:v>
                </c:pt>
                <c:pt idx="3">
                  <c:v>9.8999999999999089E-3</c:v>
                </c:pt>
                <c:pt idx="4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No Toy Effect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'6M'!$U$23:$U$45</c:f>
              <c:numCache>
                <c:formatCode>ddd\,\ d\-mmm\-yyyy</c:formatCode>
                <c:ptCount val="23"/>
                <c:pt idx="0">
                  <c:v>41659</c:v>
                </c:pt>
                <c:pt idx="1">
                  <c:v>41690</c:v>
                </c:pt>
                <c:pt idx="2">
                  <c:v>41718</c:v>
                </c:pt>
                <c:pt idx="3">
                  <c:v>41751</c:v>
                </c:pt>
                <c:pt idx="4">
                  <c:v>41779</c:v>
                </c:pt>
                <c:pt idx="5">
                  <c:v>41810</c:v>
                </c:pt>
                <c:pt idx="6">
                  <c:v>41841</c:v>
                </c:pt>
                <c:pt idx="7">
                  <c:v>42024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'6M'!$V$23:$V$45</c:f>
              <c:numCache>
                <c:formatCode>0.0000%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098432"/>
        <c:axId val="378100352"/>
      </c:scatterChart>
      <c:valAx>
        <c:axId val="378098432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100352"/>
        <c:crosses val="autoZero"/>
        <c:crossBetween val="midCat"/>
        <c:majorUnit val="91.3125"/>
        <c:minorUnit val="30.4375"/>
      </c:valAx>
      <c:valAx>
        <c:axId val="378100352"/>
        <c:scaling>
          <c:orientation val="minMax"/>
          <c:min val="7.4999999999999997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098432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531626114303279"/>
          <c:y val="0.49363057324840764"/>
          <c:w val="0.94932538838050651"/>
          <c:h val="0.678343949044585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997568"/>
        <c:axId val="378515840"/>
      </c:scatterChart>
      <c:valAx>
        <c:axId val="377997568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515840"/>
        <c:crosses val="autoZero"/>
        <c:crossBetween val="midCat"/>
      </c:valAx>
      <c:valAx>
        <c:axId val="37851584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97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14</xdr:row>
          <xdr:rowOff>57150</xdr:rowOff>
        </xdr:from>
        <xdr:to>
          <xdr:col>3</xdr:col>
          <xdr:colOff>95250</xdr:colOff>
          <xdr:row>16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3</xdr:col>
          <xdr:colOff>104775</xdr:colOff>
          <xdr:row>18</xdr:row>
          <xdr:rowOff>114300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13</xdr:col>
      <xdr:colOff>457200</xdr:colOff>
      <xdr:row>20</xdr:row>
      <xdr:rowOff>123825</xdr:rowOff>
    </xdr:to>
    <xdr:graphicFrame macro="">
      <xdr:nvGraphicFramePr>
        <xdr:cNvPr id="1027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19050</xdr:rowOff>
    </xdr:from>
    <xdr:to>
      <xdr:col>14</xdr:col>
      <xdr:colOff>9525</xdr:colOff>
      <xdr:row>20</xdr:row>
      <xdr:rowOff>133350</xdr:rowOff>
    </xdr:to>
    <xdr:graphicFrame macro="">
      <xdr:nvGraphicFramePr>
        <xdr:cNvPr id="11753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19050</xdr:rowOff>
    </xdr:from>
    <xdr:to>
      <xdr:col>13</xdr:col>
      <xdr:colOff>371475</xdr:colOff>
      <xdr:row>21</xdr:row>
      <xdr:rowOff>9525</xdr:rowOff>
    </xdr:to>
    <xdr:graphicFrame macro="">
      <xdr:nvGraphicFramePr>
        <xdr:cNvPr id="12458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6</xdr:row>
      <xdr:rowOff>0</xdr:rowOff>
    </xdr:from>
    <xdr:to>
      <xdr:col>10</xdr:col>
      <xdr:colOff>0</xdr:colOff>
      <xdr:row>6</xdr:row>
      <xdr:rowOff>0</xdr:rowOff>
    </xdr:to>
    <xdr:graphicFrame macro="">
      <xdr:nvGraphicFramePr>
        <xdr:cNvPr id="717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2"/>
  <sheetViews>
    <sheetView tabSelected="1" workbookViewId="0"/>
  </sheetViews>
  <sheetFormatPr defaultColWidth="10.6640625" defaultRowHeight="12.75" x14ac:dyDescent="0.2"/>
  <cols>
    <col min="1" max="1" width="3.5" style="183" customWidth="1"/>
    <col min="2" max="2" width="6" style="183" customWidth="1"/>
    <col min="3" max="3" width="22.33203125" style="183" bestFit="1" customWidth="1"/>
    <col min="4" max="4" width="28" style="183" bestFit="1" customWidth="1"/>
    <col min="5" max="5" width="27" style="183" bestFit="1" customWidth="1"/>
    <col min="6" max="6" width="6.33203125" style="183" customWidth="1"/>
    <col min="7" max="16384" width="10.6640625" style="183"/>
  </cols>
  <sheetData>
    <row r="1" spans="1:36" s="162" customFormat="1" x14ac:dyDescent="0.2">
      <c r="B1" s="162" t="str">
        <f>_xll.qlxlVersion(TRUE,EvaluationDate)</f>
        <v>QuantLibXL 1.2.0 - MS VC++ 9.0 - Multithreaded Dynamic Runtime library - Release Configuration - Jan 18 2013 12:11:06</v>
      </c>
    </row>
    <row r="2" spans="1:36" s="162" customFormat="1" ht="15.75" x14ac:dyDescent="0.25">
      <c r="B2" s="395" t="s">
        <v>0</v>
      </c>
      <c r="C2" s="396"/>
      <c r="D2" s="396"/>
      <c r="E2" s="396"/>
      <c r="F2" s="397"/>
    </row>
    <row r="3" spans="1:36" s="166" customFormat="1" x14ac:dyDescent="0.2">
      <c r="A3" s="162"/>
      <c r="B3" s="163"/>
      <c r="C3" s="164"/>
      <c r="D3" s="164"/>
      <c r="E3" s="164"/>
      <c r="F3" s="165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  <c r="AG3" s="162"/>
      <c r="AH3" s="162"/>
      <c r="AI3" s="162"/>
      <c r="AJ3" s="162"/>
    </row>
    <row r="4" spans="1:36" s="166" customFormat="1" x14ac:dyDescent="0.2">
      <c r="A4" s="162"/>
      <c r="B4" s="163"/>
      <c r="C4" s="197" t="s">
        <v>1</v>
      </c>
      <c r="D4" s="198" t="s">
        <v>59</v>
      </c>
      <c r="E4" s="167"/>
      <c r="F4" s="168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2"/>
      <c r="AG4" s="162"/>
      <c r="AH4" s="162"/>
      <c r="AI4" s="162"/>
      <c r="AJ4" s="162"/>
    </row>
    <row r="5" spans="1:36" s="169" customFormat="1" x14ac:dyDescent="0.2">
      <c r="A5" s="162"/>
      <c r="B5" s="163"/>
      <c r="C5" s="199" t="s">
        <v>21</v>
      </c>
      <c r="D5" s="200" t="s">
        <v>60</v>
      </c>
      <c r="E5" s="167"/>
      <c r="F5" s="168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2"/>
      <c r="AJ5" s="162"/>
    </row>
    <row r="6" spans="1:36" s="169" customFormat="1" x14ac:dyDescent="0.2">
      <c r="A6" s="162"/>
      <c r="B6" s="163"/>
      <c r="C6" s="199" t="s">
        <v>23</v>
      </c>
      <c r="D6" s="200" t="s">
        <v>18</v>
      </c>
      <c r="E6" s="167"/>
      <c r="F6" s="168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2"/>
      <c r="AJ6" s="162"/>
    </row>
    <row r="7" spans="1:36" s="166" customFormat="1" x14ac:dyDescent="0.2">
      <c r="A7" s="162"/>
      <c r="B7" s="163"/>
      <c r="C7" s="201" t="s">
        <v>2</v>
      </c>
      <c r="D7" s="202">
        <f>_xll.ohTrigger(Optimize1M!I3,Optimize3M!I3,Optimize6M!I3)</f>
        <v>0</v>
      </c>
      <c r="E7" s="167"/>
      <c r="F7" s="168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2"/>
      <c r="AJ7" s="162"/>
    </row>
    <row r="8" spans="1:36" s="166" customFormat="1" x14ac:dyDescent="0.2">
      <c r="A8" s="162"/>
      <c r="B8" s="163"/>
      <c r="C8" s="167"/>
      <c r="D8" s="170"/>
      <c r="E8" s="167"/>
      <c r="F8" s="168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</row>
    <row r="9" spans="1:36" s="166" customFormat="1" x14ac:dyDescent="0.2">
      <c r="A9" s="162"/>
      <c r="B9" s="163"/>
      <c r="C9" s="171" t="s">
        <v>31</v>
      </c>
      <c r="D9" s="172">
        <f>_xll.qlRateHelperEarliestDate('3M'!C23,EvaluationDate)</f>
        <v>41659</v>
      </c>
      <c r="E9" s="167"/>
      <c r="F9" s="168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2"/>
      <c r="AJ9" s="162"/>
    </row>
    <row r="10" spans="1:36" s="166" customFormat="1" x14ac:dyDescent="0.2">
      <c r="A10" s="162"/>
      <c r="B10" s="163"/>
      <c r="C10" s="171" t="s">
        <v>14</v>
      </c>
      <c r="D10" s="172">
        <f>_xll.qlCalendarAdjust(Calendar,DATE(YEAR(SettlementDate),12,31),"Preceding")</f>
        <v>42004</v>
      </c>
      <c r="E10" s="167"/>
      <c r="F10" s="168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</row>
    <row r="11" spans="1:36" s="166" customFormat="1" x14ac:dyDescent="0.2">
      <c r="A11" s="162"/>
      <c r="B11" s="163"/>
      <c r="C11" s="171" t="s">
        <v>25</v>
      </c>
      <c r="D11" s="172">
        <f>_xll.qlCalendarAdjust(Calendar,DATE(YEAR(SettlementDate)+1,12,31),"Preceding")</f>
        <v>42369</v>
      </c>
      <c r="E11" s="167"/>
      <c r="F11" s="168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2"/>
      <c r="AJ11" s="162"/>
    </row>
    <row r="12" spans="1:36" s="166" customFormat="1" x14ac:dyDescent="0.2">
      <c r="A12" s="162"/>
      <c r="B12" s="163"/>
      <c r="C12" s="171" t="s">
        <v>33</v>
      </c>
      <c r="D12" s="172" t="s">
        <v>49</v>
      </c>
      <c r="E12" s="167"/>
      <c r="F12" s="168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</row>
    <row r="13" spans="1:36" s="166" customFormat="1" x14ac:dyDescent="0.2">
      <c r="A13" s="162"/>
      <c r="B13" s="163"/>
      <c r="C13" s="171" t="s">
        <v>32</v>
      </c>
      <c r="D13" s="173" t="s">
        <v>56</v>
      </c>
      <c r="E13" s="167"/>
      <c r="F13" s="168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</row>
    <row r="14" spans="1:36" s="166" customFormat="1" x14ac:dyDescent="0.2">
      <c r="A14" s="162"/>
      <c r="B14" s="163"/>
      <c r="C14" s="167"/>
      <c r="D14" s="167"/>
      <c r="E14" s="167"/>
      <c r="F14" s="168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62"/>
      <c r="AG14" s="162"/>
      <c r="AH14" s="162"/>
      <c r="AI14" s="162"/>
      <c r="AJ14" s="162"/>
    </row>
    <row r="15" spans="1:36" s="166" customFormat="1" x14ac:dyDescent="0.2">
      <c r="A15" s="162"/>
      <c r="B15" s="163"/>
      <c r="C15" s="174"/>
      <c r="D15" s="174"/>
      <c r="E15" s="174"/>
      <c r="F15" s="168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</row>
    <row r="16" spans="1:36" s="166" customFormat="1" x14ac:dyDescent="0.2">
      <c r="A16" s="162"/>
      <c r="B16" s="163"/>
      <c r="C16" s="174"/>
      <c r="D16" s="1" t="s">
        <v>3</v>
      </c>
      <c r="E16" s="175">
        <v>41659.752453703702</v>
      </c>
      <c r="F16" s="168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</row>
    <row r="17" spans="1:36" s="166" customFormat="1" x14ac:dyDescent="0.2">
      <c r="A17" s="162"/>
      <c r="B17" s="163"/>
      <c r="C17" s="174"/>
      <c r="D17" s="176"/>
      <c r="E17" s="177"/>
      <c r="F17" s="168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</row>
    <row r="18" spans="1:36" s="166" customFormat="1" x14ac:dyDescent="0.2">
      <c r="A18" s="162"/>
      <c r="B18" s="163"/>
      <c r="C18" s="174"/>
      <c r="D18" s="1"/>
      <c r="E18" s="177"/>
      <c r="F18" s="168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</row>
    <row r="19" spans="1:36" s="166" customFormat="1" x14ac:dyDescent="0.2">
      <c r="A19" s="162"/>
      <c r="B19" s="163"/>
      <c r="C19" s="174"/>
      <c r="D19" s="1" t="s">
        <v>4</v>
      </c>
      <c r="E19" s="178" t="b">
        <v>0</v>
      </c>
      <c r="F19" s="168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</row>
    <row r="20" spans="1:36" s="166" customFormat="1" x14ac:dyDescent="0.2">
      <c r="A20" s="162"/>
      <c r="B20" s="179"/>
      <c r="C20" s="180"/>
      <c r="D20" s="180"/>
      <c r="E20" s="180"/>
      <c r="F20" s="181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</row>
    <row r="21" spans="1:36" s="162" customFormat="1" x14ac:dyDescent="0.2">
      <c r="C21" s="182"/>
      <c r="D21" s="182"/>
      <c r="E21" s="182"/>
      <c r="F21" s="182"/>
    </row>
    <row r="22" spans="1:36" s="162" customFormat="1" x14ac:dyDescent="0.2">
      <c r="C22" s="182"/>
      <c r="D22" s="182"/>
      <c r="E22" s="182"/>
      <c r="F22" s="182"/>
    </row>
    <row r="23" spans="1:36" s="162" customFormat="1" x14ac:dyDescent="0.2">
      <c r="C23" s="182"/>
      <c r="D23" s="182"/>
      <c r="E23" s="182"/>
      <c r="F23" s="182"/>
    </row>
    <row r="24" spans="1:36" s="162" customFormat="1" x14ac:dyDescent="0.2">
      <c r="C24" s="182"/>
      <c r="D24" s="182"/>
      <c r="E24" s="182"/>
      <c r="F24" s="182"/>
    </row>
    <row r="25" spans="1:36" s="162" customFormat="1" x14ac:dyDescent="0.2">
      <c r="C25" s="182"/>
      <c r="D25" s="182"/>
      <c r="E25" s="182"/>
      <c r="F25" s="182"/>
    </row>
    <row r="26" spans="1:36" s="162" customFormat="1" x14ac:dyDescent="0.2">
      <c r="C26" s="182"/>
      <c r="D26" s="182"/>
      <c r="E26" s="182"/>
      <c r="F26" s="182"/>
    </row>
    <row r="27" spans="1:36" s="162" customFormat="1" x14ac:dyDescent="0.2"/>
    <row r="28" spans="1:36" s="162" customFormat="1" x14ac:dyDescent="0.2"/>
    <row r="29" spans="1:36" s="162" customFormat="1" x14ac:dyDescent="0.2"/>
    <row r="30" spans="1:36" s="162" customFormat="1" x14ac:dyDescent="0.2"/>
    <row r="31" spans="1:36" s="162" customFormat="1" x14ac:dyDescent="0.2"/>
    <row r="32" spans="1:36" s="162" customFormat="1" x14ac:dyDescent="0.2"/>
    <row r="33" s="162" customFormat="1" x14ac:dyDescent="0.2"/>
    <row r="34" s="162" customFormat="1" x14ac:dyDescent="0.2"/>
    <row r="35" s="162" customFormat="1" x14ac:dyDescent="0.2"/>
    <row r="36" s="162" customFormat="1" x14ac:dyDescent="0.2"/>
    <row r="37" s="162" customFormat="1" x14ac:dyDescent="0.2"/>
    <row r="38" s="162" customFormat="1" x14ac:dyDescent="0.2"/>
    <row r="39" s="162" customFormat="1" x14ac:dyDescent="0.2"/>
    <row r="40" s="162" customFormat="1" x14ac:dyDescent="0.2"/>
    <row r="41" s="162" customFormat="1" x14ac:dyDescent="0.2"/>
    <row r="42" s="162" customFormat="1" x14ac:dyDescent="0.2"/>
    <row r="43" s="162" customFormat="1" x14ac:dyDescent="0.2"/>
    <row r="44" s="162" customFormat="1" x14ac:dyDescent="0.2"/>
    <row r="45" s="162" customFormat="1" x14ac:dyDescent="0.2"/>
    <row r="46" s="162" customFormat="1" x14ac:dyDescent="0.2"/>
    <row r="47" s="162" customFormat="1" x14ac:dyDescent="0.2"/>
    <row r="48" s="162" customFormat="1" x14ac:dyDescent="0.2"/>
    <row r="49" s="162" customFormat="1" x14ac:dyDescent="0.2"/>
    <row r="50" s="162" customFormat="1" x14ac:dyDescent="0.2"/>
    <row r="51" s="162" customFormat="1" x14ac:dyDescent="0.2"/>
    <row r="52" s="162" customFormat="1" x14ac:dyDescent="0.2"/>
  </sheetData>
  <mergeCells count="1">
    <mergeCell ref="B2:F2"/>
  </mergeCells>
  <phoneticPr fontId="1" type="noConversion"/>
  <conditionalFormatting sqref="E19">
    <cfRule type="cellIs" dxfId="8" priority="1" stopIfTrue="1" operator="equal">
      <formula>TRUE</formula>
    </cfRule>
  </conditionalFormatting>
  <dataValidations count="5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13">
      <formula1>"LogLinear,LogParabolic,MonotonicLogParabolic,LogCubicNaturalSpline,MonotonicLogCubicNaturalSpline,KrugerLogCubic,FritschButlandLogCubic,LogAbcd"</formula1>
    </dataValidation>
    <dataValidation type="list" allowBlank="1" showInputMessage="1" showErrorMessage="1" sqref="D12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2</xdr:col>
                <xdr:colOff>0</xdr:colOff>
                <xdr:row>16</xdr:row>
                <xdr:rowOff>123825</xdr:rowOff>
              </from>
              <to>
                <xdr:col>3</xdr:col>
                <xdr:colOff>104775</xdr:colOff>
                <xdr:row>18</xdr:row>
                <xdr:rowOff>114300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</xdr:col>
                <xdr:colOff>333375</xdr:colOff>
                <xdr:row>14</xdr:row>
                <xdr:rowOff>57150</xdr:rowOff>
              </from>
              <to>
                <xdr:col>3</xdr:col>
                <xdr:colOff>95250</xdr:colOff>
                <xdr:row>16</xdr:row>
                <xdr:rowOff>47625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8"/>
  <sheetViews>
    <sheetView workbookViewId="0"/>
  </sheetViews>
  <sheetFormatPr defaultRowHeight="11.25" x14ac:dyDescent="0.2"/>
  <cols>
    <col min="1" max="1" width="3.6640625" style="337" customWidth="1"/>
    <col min="2" max="2" width="5" style="337" customWidth="1"/>
    <col min="3" max="3" width="17.83203125" style="337" bestFit="1" customWidth="1"/>
    <col min="4" max="4" width="26.33203125" style="337" bestFit="1" customWidth="1"/>
    <col min="5" max="6" width="5" style="337" customWidth="1"/>
    <col min="7" max="21" width="9.33203125" style="337"/>
    <col min="22" max="22" width="2.33203125" style="337" bestFit="1" customWidth="1"/>
    <col min="23" max="16384" width="9.33203125" style="337"/>
  </cols>
  <sheetData>
    <row r="1" spans="2:22" ht="14.25" thickBot="1" x14ac:dyDescent="0.3">
      <c r="B1" s="336" t="str">
        <f>_xll.qlxlVersion(TRUE)</f>
        <v>QuantLibXL 1.2.0 - MS VC++ 9.0 - Multithreaded Dynamic Runtime library - Release Configuration - Jan 18 2013 12:11:06</v>
      </c>
    </row>
    <row r="2" spans="2:22" ht="16.5" x14ac:dyDescent="0.3">
      <c r="B2" s="398" t="s">
        <v>22</v>
      </c>
      <c r="C2" s="399"/>
      <c r="D2" s="399"/>
      <c r="E2" s="400"/>
      <c r="V2" s="337" t="s">
        <v>20</v>
      </c>
    </row>
    <row r="3" spans="2:22" x14ac:dyDescent="0.2">
      <c r="B3" s="338"/>
      <c r="C3" s="339"/>
      <c r="D3" s="339"/>
      <c r="E3" s="340"/>
    </row>
    <row r="4" spans="2:22" x14ac:dyDescent="0.2">
      <c r="B4" s="338"/>
      <c r="C4" s="341" t="s">
        <v>58</v>
      </c>
      <c r="D4" s="346">
        <f>_xll.qlSettingsEvaluationDate()</f>
        <v>41659</v>
      </c>
      <c r="E4" s="340"/>
    </row>
    <row r="5" spans="2:22" x14ac:dyDescent="0.2">
      <c r="B5" s="338"/>
      <c r="C5" s="342" t="s">
        <v>26</v>
      </c>
      <c r="D5" s="401" t="s">
        <v>61</v>
      </c>
      <c r="E5" s="340"/>
    </row>
    <row r="6" spans="2:22" x14ac:dyDescent="0.2">
      <c r="B6" s="338"/>
      <c r="C6" s="342" t="s">
        <v>27</v>
      </c>
      <c r="D6" s="401" t="s">
        <v>61</v>
      </c>
      <c r="E6" s="340"/>
    </row>
    <row r="7" spans="2:22" x14ac:dyDescent="0.2">
      <c r="B7" s="338"/>
      <c r="C7" s="342" t="s">
        <v>28</v>
      </c>
      <c r="D7" s="401" t="s">
        <v>61</v>
      </c>
      <c r="E7" s="340"/>
    </row>
    <row r="8" spans="2:22" ht="12" thickBot="1" x14ac:dyDescent="0.25">
      <c r="B8" s="343"/>
      <c r="C8" s="344"/>
      <c r="D8" s="344"/>
      <c r="E8" s="345"/>
    </row>
  </sheetData>
  <mergeCells count="1">
    <mergeCell ref="B2:E2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2"/>
  <sheetViews>
    <sheetView topLeftCell="B1" workbookViewId="0">
      <selection activeCell="Q21" sqref="Q21"/>
    </sheetView>
  </sheetViews>
  <sheetFormatPr defaultRowHeight="11.25" x14ac:dyDescent="0.2"/>
  <cols>
    <col min="1" max="1" width="13.83203125" hidden="1" customWidth="1"/>
    <col min="3" max="3" width="23.6640625" bestFit="1" customWidth="1"/>
    <col min="4" max="4" width="16.1640625" bestFit="1" customWidth="1"/>
    <col min="5" max="5" width="16.5" bestFit="1" customWidth="1"/>
    <col min="6" max="6" width="8.83203125" bestFit="1" customWidth="1"/>
    <col min="7" max="7" width="8.33203125" bestFit="1" customWidth="1"/>
    <col min="8" max="8" width="16.5" bestFit="1" customWidth="1"/>
    <col min="9" max="9" width="6.6640625" bestFit="1" customWidth="1"/>
    <col min="10" max="10" width="9" bestFit="1" customWidth="1"/>
    <col min="11" max="11" width="6.6640625" bestFit="1" customWidth="1"/>
    <col min="12" max="13" width="8.33203125" bestFit="1" customWidth="1"/>
    <col min="14" max="14" width="6.6640625" bestFit="1" customWidth="1"/>
    <col min="15" max="15" width="15.33203125" bestFit="1" customWidth="1"/>
    <col min="16" max="16" width="8.33203125" bestFit="1" customWidth="1"/>
    <col min="17" max="18" width="10.33203125" bestFit="1" customWidth="1"/>
    <col min="19" max="20" width="8.33203125" bestFit="1" customWidth="1"/>
    <col min="21" max="21" width="16.5" bestFit="1" customWidth="1"/>
    <col min="22" max="22" width="8.33203125" bestFit="1" customWidth="1"/>
    <col min="23" max="23" width="3.33203125" customWidth="1"/>
  </cols>
  <sheetData>
    <row r="1" spans="15:15" x14ac:dyDescent="0.2">
      <c r="O1" s="124" t="s">
        <v>57</v>
      </c>
    </row>
    <row r="2" spans="15:15" x14ac:dyDescent="0.2">
      <c r="O2" s="20" t="b">
        <v>1</v>
      </c>
    </row>
    <row r="20" spans="1:22" x14ac:dyDescent="0.2">
      <c r="A20">
        <v>1</v>
      </c>
      <c r="B20" s="45"/>
      <c r="G20" s="45"/>
      <c r="H20" s="20"/>
      <c r="I20" s="20"/>
      <c r="J20" s="45"/>
      <c r="M20" s="24"/>
      <c r="N20" s="45"/>
      <c r="O20" s="72"/>
      <c r="P20" s="126">
        <f>IF(ISBLANK($O20),AVERAGE(_xll.ohFilter($P23:$P37,$L23:$L37)),$O20)</f>
        <v>-2.9340304062094782E-4</v>
      </c>
      <c r="Q20" s="334"/>
      <c r="R20" s="332">
        <f>IF(ISBLANK($Q20),MIN(AVERAGE(_xll.ohFilter($R23:$R37,$L23:$L37)),1),$Q20)</f>
        <v>1</v>
      </c>
      <c r="S20" s="143" t="s">
        <v>19</v>
      </c>
      <c r="T20" s="45"/>
    </row>
    <row r="21" spans="1:22" x14ac:dyDescent="0.2">
      <c r="A21" s="326" t="str">
        <f>_xll.qlPeriodEquivalent(A20&amp;"M")</f>
        <v>1M</v>
      </c>
      <c r="B21" s="45"/>
      <c r="D21" s="45"/>
      <c r="E21" s="45"/>
      <c r="G21" s="45"/>
      <c r="H21" s="20"/>
      <c r="I21" s="20"/>
      <c r="J21" s="45"/>
      <c r="L21" s="45"/>
      <c r="M21" s="24"/>
      <c r="N21" s="45"/>
      <c r="O21" s="68"/>
      <c r="P21" s="127">
        <f>IF(ISBLANK($O21),AVERAGE(_xll.ohFilter($P23:$P37,$M23:$M37)),$O21)</f>
        <v>0</v>
      </c>
      <c r="Q21" s="335">
        <f>'3M'!_TOY2</f>
        <v>0.99995073549694913</v>
      </c>
      <c r="R21" s="333">
        <f>IF(ISBLANK($Q21),MIN(AVERAGE(_xll.ohFilter($R23:$R37,$M23:$M37)),1),$Q21)</f>
        <v>0.99995073549694913</v>
      </c>
      <c r="S21" s="144" t="s">
        <v>24</v>
      </c>
      <c r="T21" s="45"/>
      <c r="U21" s="21" t="str">
        <f>_xll.qlInterpolation(,FwdInterpolationType,_xll.ohFilter($H23:$H49,$K23:$K49),_xll.ohFilter($S23:$S49,$K23:$K49))</f>
        <v>obj_00098#0005</v>
      </c>
      <c r="V21" s="61"/>
    </row>
    <row r="22" spans="1:22" x14ac:dyDescent="0.2">
      <c r="A22" s="74" t="str">
        <f>Currency&amp;"_YC"&amp;IndexTenor&amp;"RH_"</f>
        <v>GBP_YC1MRH_</v>
      </c>
      <c r="B22" s="133">
        <v>3</v>
      </c>
      <c r="C22" s="70" t="s">
        <v>12</v>
      </c>
      <c r="D22" s="53" t="s">
        <v>11</v>
      </c>
      <c r="E22" s="66" t="s">
        <v>10</v>
      </c>
      <c r="F22" s="70" t="s">
        <v>38</v>
      </c>
      <c r="G22" s="120"/>
      <c r="H22" s="66" t="s">
        <v>34</v>
      </c>
      <c r="I22" s="53" t="s">
        <v>42</v>
      </c>
      <c r="J22" s="53" t="s">
        <v>39</v>
      </c>
      <c r="K22" s="54" t="s">
        <v>43</v>
      </c>
      <c r="L22" s="53" t="s">
        <v>37</v>
      </c>
      <c r="M22" s="53" t="s">
        <v>24</v>
      </c>
      <c r="N22" s="54" t="s">
        <v>41</v>
      </c>
      <c r="O22" s="141" t="str">
        <f>_xll.qlInterpolation(,FwdInterpolationType,_xll.ohFilter($H23:$H49,$N23:$N49),_xll.ohFilter($J23:$J49,$N23:$N49))</f>
        <v>obj_00083#0015</v>
      </c>
      <c r="P22" s="142" t="s">
        <v>15</v>
      </c>
      <c r="Q22" s="55" t="s">
        <v>16</v>
      </c>
      <c r="R22" s="142" t="s">
        <v>17</v>
      </c>
      <c r="S22" s="157" t="s">
        <v>44</v>
      </c>
      <c r="T22" s="158" t="s">
        <v>15</v>
      </c>
      <c r="U22" s="207">
        <f>D23</f>
        <v>41659</v>
      </c>
      <c r="V22" s="208">
        <f>_xll.qlInterpolationInterpolate(FwdInterpolator,U22,TRUE)</f>
        <v>4.8310000000000002E-3</v>
      </c>
    </row>
    <row r="23" spans="1:22" x14ac:dyDescent="0.2">
      <c r="A23" s="74">
        <f>_xll.ohTrigger(Triggers!TriggerTOY1M,EvaluationDate)</f>
        <v>15</v>
      </c>
      <c r="B23" s="191" t="str">
        <f>IndexTenor&amp;"D"</f>
        <v>1MD</v>
      </c>
      <c r="C23" s="32" t="str">
        <f>RateHelperPrefix&amp;$B23</f>
        <v>GBP_YC1MRH_1MD</v>
      </c>
      <c r="D23" s="84">
        <f>_xll.qlRateHelperEarliestDate($C23,EvaluationDate)</f>
        <v>41659</v>
      </c>
      <c r="E23" s="84">
        <f>_xll.qlRateHelperLatestDate($C23,EvaluationDate)</f>
        <v>41690</v>
      </c>
      <c r="F23" s="85">
        <f>_xll.qlRateHelperQuoteValue($C23,SheetTrigger)</f>
        <v>4.8310000000000002E-3</v>
      </c>
      <c r="G23" s="194">
        <f>1/(1+F23*_xll.qlDayCounterYearFraction(DayCounter,SettlementDate,E23))</f>
        <v>0.9995841702085706</v>
      </c>
      <c r="H23" s="84">
        <f>$D23</f>
        <v>41659</v>
      </c>
      <c r="I23" s="190" t="b">
        <v>1</v>
      </c>
      <c r="J23" s="30">
        <f>F23</f>
        <v>4.8310000000000002E-3</v>
      </c>
      <c r="K23" s="143" t="b">
        <f t="shared" ref="K23:K37" si="0">AND(ISNUMBER(J23),I23)</f>
        <v>1</v>
      </c>
      <c r="L23" s="39" t="b">
        <f t="shared" ref="L23:L49" si="1">NOT(OR($H23&gt;LastDayInYear,$E23&lt;=LastDayInYear))</f>
        <v>0</v>
      </c>
      <c r="M23" s="32" t="b">
        <f t="shared" ref="M23:M49" si="2">NOT(OR($H23&gt;LastDayInNextYear,$E23&lt;=LastDayInNextYear))</f>
        <v>0</v>
      </c>
      <c r="N23" s="40" t="b">
        <f t="shared" ref="N23:N37" si="3">IF(K23,AND(NOT($L23),NOT($M23)),FALSE)</f>
        <v>1</v>
      </c>
      <c r="O23" s="81">
        <f>_xll.qlInterpolationInterpolate($O$22,$H23)</f>
        <v>4.8310000000000002E-3</v>
      </c>
      <c r="P23" s="115">
        <f>$J23-$O23</f>
        <v>0</v>
      </c>
      <c r="Q23" s="62">
        <f>_xll.qlDayCounterYearFraction(DayCounter,$H23,$E23)</f>
        <v>8.611111111111111E-2</v>
      </c>
      <c r="R23" s="134">
        <f>(1+$O23*$Q23)/(1+$J23*$Q23)</f>
        <v>1</v>
      </c>
      <c r="S23" s="73">
        <f t="shared" ref="S23:S37" si="4">IF($L23,(TOY*(1+$J23*$Q23)-1)/$Q23,IF($M23,(_TOY2*(1+$J23*$Q23)-1)/$Q23,$J23))</f>
        <v>4.8310000000000002E-3</v>
      </c>
      <c r="T23" s="204">
        <f t="shared" ref="T23:T37" si="5">S23-J23</f>
        <v>0</v>
      </c>
      <c r="U23" s="34">
        <f t="array" ref="U23:U49">SelectionSort(_xll.ohFilter(H23:H49,K23:K49))</f>
        <v>41659</v>
      </c>
      <c r="V23" s="82" t="e">
        <f t="array" ref="V23:V49">_xll.qlInterpolationInterpolate(FwdInterpolator,_xll.ohPack(U23:U49))</f>
        <v>#NUM!</v>
      </c>
    </row>
    <row r="24" spans="1:22" x14ac:dyDescent="0.2">
      <c r="A24" s="74" t="str">
        <f>PROPER(Currency)&amp;IF(UPPER(Currency)&lt;&gt;"EUR","L","")&amp;"ibor"&amp;IndexTenor</f>
        <v>GbpLibor1M</v>
      </c>
      <c r="B24" s="192" t="s">
        <v>45</v>
      </c>
      <c r="C24" s="38" t="str">
        <f>A24&amp;B24&amp;"_Quote"</f>
        <v>GbpLibor1MLastFixing_Quote</v>
      </c>
      <c r="D24" s="196">
        <f>_xll.qlCalendarAdvance(Calendar,_xll.qlLastFixingQuoteReferenceDate(C24),"2D","f",,SheetTrigger)</f>
        <v>41661</v>
      </c>
      <c r="E24" s="196">
        <f>_xll.qlCalendarAdvance(Calendar,D24,IndexTenor,"Modified Following",TRUE,SheetTrigger)</f>
        <v>41694</v>
      </c>
      <c r="F24" s="80">
        <f>_xll.qlQuoteValue(C24,SheetTrigger)</f>
        <v>4.8187999999999998E-3</v>
      </c>
      <c r="G24" s="195">
        <f>1/(1+F24*_xll.qlDayCounterYearFraction(DayCounter,SettlementDate,E24))</f>
        <v>0.99953172493981979</v>
      </c>
      <c r="H24" s="69">
        <f>H23</f>
        <v>41659</v>
      </c>
      <c r="I24" s="188" t="b">
        <v>0</v>
      </c>
      <c r="J24" s="36">
        <f>F24</f>
        <v>4.8187999999999998E-3</v>
      </c>
      <c r="K24" s="152" t="b">
        <f t="shared" si="0"/>
        <v>0</v>
      </c>
      <c r="L24" s="52" t="b">
        <f t="shared" si="1"/>
        <v>0</v>
      </c>
      <c r="M24" s="38" t="b">
        <f t="shared" si="2"/>
        <v>0</v>
      </c>
      <c r="N24" s="57" t="b">
        <f t="shared" si="3"/>
        <v>0</v>
      </c>
      <c r="O24" s="77">
        <f>_xll.qlInterpolationInterpolate($O$22,$H24)</f>
        <v>4.8310000000000002E-3</v>
      </c>
      <c r="P24" s="117">
        <f>$J24-$O24</f>
        <v>-1.2200000000000405E-5</v>
      </c>
      <c r="Q24" s="64">
        <f>_xll.qlDayCounterYearFraction(DayCounter,$H24,$E24)</f>
        <v>9.7222222222222224E-2</v>
      </c>
      <c r="R24" s="136">
        <f>(1+$O24*$Q24)/(1+$J24*$Q24)</f>
        <v>1.000001185555685</v>
      </c>
      <c r="S24" s="56">
        <f>IF($L24,(TOY*(1+$J24*$Q24)-1)/$Q24,IF($M24,(_TOY2*(1+$J24*$Q24)-1)/$Q24,$J24))</f>
        <v>4.8187999999999998E-3</v>
      </c>
      <c r="T24" s="205">
        <f>S24-J24</f>
        <v>0</v>
      </c>
      <c r="U24" s="34">
        <v>41690</v>
      </c>
      <c r="V24" s="82" t="e">
        <v>#NUM!</v>
      </c>
    </row>
    <row r="25" spans="1:22" x14ac:dyDescent="0.2">
      <c r="A25" s="74"/>
      <c r="B25" s="39" t="str">
        <f>"T"&amp;$A$20&amp;"F1"</f>
        <v>T1F1</v>
      </c>
      <c r="C25" s="39" t="str">
        <f>RateHelperPrefix&amp;$B25</f>
        <v>GBP_YC1MRH_T1F1</v>
      </c>
      <c r="D25" s="29">
        <f>_xll.qlRateHelperEarliestDate($C25,EvaluationDate)</f>
        <v>41659</v>
      </c>
      <c r="E25" s="29">
        <f>_xll.qlRateHelperLatestDate($C25,EvaluationDate)</f>
        <v>41690</v>
      </c>
      <c r="F25" s="85" t="e">
        <f>_xll.qlRateHelperQuoteValue($C25,SheetTrigger)</f>
        <v>#NUM!</v>
      </c>
      <c r="G25" s="194" t="e">
        <f>1/(1+F25*_xll.qlDayCounterYearFraction(DayCounter,SettlementDate,E25))</f>
        <v>#NUM!</v>
      </c>
      <c r="H25" s="84">
        <f>$D25</f>
        <v>41659</v>
      </c>
      <c r="I25" s="190" t="b">
        <v>0</v>
      </c>
      <c r="J25" s="30" t="e">
        <f>F25</f>
        <v>#NUM!</v>
      </c>
      <c r="K25" s="143" t="b">
        <f t="shared" si="0"/>
        <v>0</v>
      </c>
      <c r="L25" s="39" t="b">
        <f t="shared" si="1"/>
        <v>0</v>
      </c>
      <c r="M25" s="32" t="b">
        <f t="shared" si="2"/>
        <v>0</v>
      </c>
      <c r="N25" s="40" t="b">
        <f t="shared" si="3"/>
        <v>0</v>
      </c>
      <c r="O25" s="30">
        <f>_xll.qlInterpolationInterpolate($O$22,$H25)</f>
        <v>4.8310000000000002E-3</v>
      </c>
      <c r="P25" s="126" t="e">
        <f>J25-O25</f>
        <v>#NUM!</v>
      </c>
      <c r="Q25" s="62">
        <f>_xll.qlDayCounterYearFraction(DayCounter,$H25,$E25)</f>
        <v>8.611111111111111E-2</v>
      </c>
      <c r="R25" s="134" t="e">
        <f>(1+$O25*$Q25)/(1+$J25*$Q25)</f>
        <v>#NUM!</v>
      </c>
      <c r="S25" s="73" t="e">
        <f>IF($L25,(TOY*(1+$J25*$Q25)-1)/$Q25,IF($M25,(_TOY2*(1+$J25*$Q25)-1)/$Q25,$J25))</f>
        <v>#NUM!</v>
      </c>
      <c r="T25" s="327" t="e">
        <f>S25-J25</f>
        <v>#NUM!</v>
      </c>
      <c r="U25" s="34">
        <v>41718</v>
      </c>
      <c r="V25" s="82" t="e">
        <v>#NUM!</v>
      </c>
    </row>
    <row r="26" spans="1:22" x14ac:dyDescent="0.2">
      <c r="A26" s="74"/>
      <c r="B26" s="52" t="str">
        <f>"TOM"&amp;$A$20&amp;"F1"</f>
        <v>TOM1F1</v>
      </c>
      <c r="C26" s="52" t="str">
        <f>RateHelperPrefix&amp;$B26</f>
        <v>GBP_YC1MRH_TOM1F1</v>
      </c>
      <c r="D26" s="35">
        <f>_xll.qlRateHelperEarliestDate($C26,EvaluationDate)</f>
        <v>41660</v>
      </c>
      <c r="E26" s="35">
        <f>_xll.qlRateHelperLatestDate($C26,EvaluationDate)</f>
        <v>41691</v>
      </c>
      <c r="F26" s="80" t="e">
        <f>_xll.qlQuoteValue(C26,SheetTrigger)</f>
        <v>#NUM!</v>
      </c>
      <c r="G26" s="195" t="e">
        <f>1/(1+F26*_xll.qlDayCounterYearFraction(DayCounter,SettlementDate,E26))</f>
        <v>#NUM!</v>
      </c>
      <c r="H26" s="69">
        <f>H25</f>
        <v>41659</v>
      </c>
      <c r="I26" s="188" t="b">
        <v>1</v>
      </c>
      <c r="J26" s="36" t="e">
        <f>F26</f>
        <v>#NUM!</v>
      </c>
      <c r="K26" s="152" t="b">
        <f t="shared" si="0"/>
        <v>0</v>
      </c>
      <c r="L26" s="52" t="b">
        <f t="shared" si="1"/>
        <v>0</v>
      </c>
      <c r="M26" s="38" t="b">
        <f t="shared" si="2"/>
        <v>0</v>
      </c>
      <c r="N26" s="57" t="b">
        <f t="shared" si="3"/>
        <v>0</v>
      </c>
      <c r="O26" s="36">
        <f>_xll.qlInterpolationInterpolate($O$22,$H26)</f>
        <v>4.8310000000000002E-3</v>
      </c>
      <c r="P26" s="127" t="e">
        <f>J26-O26</f>
        <v>#NUM!</v>
      </c>
      <c r="Q26" s="64">
        <f>_xll.qlDayCounterYearFraction(DayCounter,$H26,$E26)</f>
        <v>8.8888888888888892E-2</v>
      </c>
      <c r="R26" s="136" t="e">
        <f>(1+$O26*$Q26)/(1+$J26*$Q26)</f>
        <v>#NUM!</v>
      </c>
      <c r="S26" s="56" t="e">
        <f>IF($L26,(TOY*(1+$J26*$Q26)-1)/$Q26,IF($M26,(_TOY2*(1+$J26*$Q26)-1)/$Q26,$J26))</f>
        <v>#NUM!</v>
      </c>
      <c r="T26" s="328" t="e">
        <f>S26-J26</f>
        <v>#NUM!</v>
      </c>
      <c r="U26" s="34">
        <v>41751</v>
      </c>
      <c r="V26" s="82" t="e">
        <v>#NUM!</v>
      </c>
    </row>
    <row r="27" spans="1:22" x14ac:dyDescent="0.2">
      <c r="A27" s="124">
        <v>2</v>
      </c>
      <c r="B27" s="129" t="str">
        <f>A27&amp;"X1S"</f>
        <v>2X1S</v>
      </c>
      <c r="C27" s="118" t="str">
        <f t="shared" ref="C27:C37" si="6">RateHelperPrefix&amp;$B27</f>
        <v>GBP_YC1MRH_2X1S</v>
      </c>
      <c r="D27" s="84">
        <f>_xll.qlRateHelperEarliestDate($C27,EvaluationDate)</f>
        <v>41659</v>
      </c>
      <c r="E27" s="84">
        <f>_xll.qlRateHelperLatestDate($C27,EvaluationDate)</f>
        <v>41718</v>
      </c>
      <c r="F27" s="85">
        <f>_xll.qlRateHelperQuoteValue($C27,SheetTrigger)</f>
        <v>4.8625000000000005E-3</v>
      </c>
      <c r="G27" s="121">
        <f>1/(1+F27*_xll.qlDayCounterYearFraction(DayCounter,SettlementDate,E27))</f>
        <v>0.99920372483719655</v>
      </c>
      <c r="H27" s="84">
        <f>$E23</f>
        <v>41690</v>
      </c>
      <c r="I27" s="32" t="b">
        <v>1</v>
      </c>
      <c r="J27" s="30">
        <f>($G24/$G27-1)/$Q27</f>
        <v>4.2205048597776518E-3</v>
      </c>
      <c r="K27" s="143" t="b">
        <f t="shared" si="0"/>
        <v>1</v>
      </c>
      <c r="L27" s="32" t="b">
        <f t="shared" si="1"/>
        <v>0</v>
      </c>
      <c r="M27" s="32" t="b">
        <f t="shared" si="2"/>
        <v>0</v>
      </c>
      <c r="N27" s="40" t="b">
        <f t="shared" si="3"/>
        <v>1</v>
      </c>
      <c r="O27" s="30">
        <f>_xll.qlInterpolationInterpolate($O$22,$H27)</f>
        <v>4.2205048597776518E-3</v>
      </c>
      <c r="P27" s="115">
        <f t="shared" ref="P27:P49" si="7">$J27-$O27</f>
        <v>0</v>
      </c>
      <c r="Q27" s="62">
        <f>_xll.qlDayCounterYearFraction(DayCounter,$H27,$E27)</f>
        <v>7.7777777777777779E-2</v>
      </c>
      <c r="R27" s="126">
        <f t="shared" ref="R27:R49" si="8">(1+$O27*$Q27)/(1+$J27*$Q27)</f>
        <v>1</v>
      </c>
      <c r="S27" s="86">
        <f t="shared" si="4"/>
        <v>4.2205048597776518E-3</v>
      </c>
      <c r="T27" s="204">
        <f t="shared" si="5"/>
        <v>0</v>
      </c>
      <c r="U27" s="34">
        <v>41779</v>
      </c>
      <c r="V27" s="82" t="e">
        <v>#NUM!</v>
      </c>
    </row>
    <row r="28" spans="1:22" x14ac:dyDescent="0.2">
      <c r="A28" s="124">
        <v>3</v>
      </c>
      <c r="B28" s="131" t="str">
        <f t="shared" ref="B28:B37" si="9">A28&amp;"X1S"</f>
        <v>3X1S</v>
      </c>
      <c r="C28" s="45" t="str">
        <f t="shared" si="6"/>
        <v>GBP_YC1MRH_3X1S</v>
      </c>
      <c r="D28" s="22">
        <f>_xll.qlRateHelperEarliestDate($C28,EvaluationDate)</f>
        <v>41659</v>
      </c>
      <c r="E28" s="22">
        <f>_xll.qlRateHelperLatestDate($C28,EvaluationDate)</f>
        <v>41751</v>
      </c>
      <c r="F28" s="71">
        <f>_xll.qlRateHelperQuoteValue($C28,SheetTrigger)</f>
        <v>4.9124999999999993E-3</v>
      </c>
      <c r="G28" s="122">
        <f>1/(1+F28*_xll.qlDayCounterYearFraction(DayCounter,SettlementDate,E28))</f>
        <v>0.99874615742819528</v>
      </c>
      <c r="H28" s="22">
        <f t="shared" ref="H28:H37" si="10">$E27</f>
        <v>41718</v>
      </c>
      <c r="I28" s="24" t="b">
        <v>1</v>
      </c>
      <c r="J28" s="25">
        <f>($G27/$G28-1)/$Q28</f>
        <v>4.9979110554832966E-3</v>
      </c>
      <c r="K28" s="151" t="b">
        <f t="shared" si="0"/>
        <v>1</v>
      </c>
      <c r="L28" s="24" t="b">
        <f t="shared" si="1"/>
        <v>0</v>
      </c>
      <c r="M28" s="24" t="b">
        <f t="shared" si="2"/>
        <v>0</v>
      </c>
      <c r="N28" s="76" t="b">
        <f t="shared" si="3"/>
        <v>1</v>
      </c>
      <c r="O28" s="25">
        <f>_xll.qlInterpolationInterpolate($O$22,$H28)</f>
        <v>4.9979110554832966E-3</v>
      </c>
      <c r="P28" s="116">
        <f t="shared" si="7"/>
        <v>0</v>
      </c>
      <c r="Q28" s="63">
        <f>_xll.qlDayCounterYearFraction(DayCounter,$H28,$E28)</f>
        <v>9.166666666666666E-2</v>
      </c>
      <c r="R28" s="114">
        <f t="shared" si="8"/>
        <v>1</v>
      </c>
      <c r="S28" s="78">
        <f t="shared" si="4"/>
        <v>4.9979110554832966E-3</v>
      </c>
      <c r="T28" s="206">
        <f t="shared" si="5"/>
        <v>0</v>
      </c>
      <c r="U28" s="34">
        <v>41810</v>
      </c>
      <c r="V28" s="82" t="e">
        <v>#NUM!</v>
      </c>
    </row>
    <row r="29" spans="1:22" x14ac:dyDescent="0.2">
      <c r="A29" s="124">
        <v>4</v>
      </c>
      <c r="B29" s="131" t="str">
        <f t="shared" si="9"/>
        <v>4X1S</v>
      </c>
      <c r="C29" s="45" t="str">
        <f t="shared" si="6"/>
        <v>GBP_YC1MRH_4X1S</v>
      </c>
      <c r="D29" s="22">
        <f>_xll.qlRateHelperEarliestDate($C29,EvaluationDate)</f>
        <v>41659</v>
      </c>
      <c r="E29" s="22">
        <f>_xll.qlRateHelperLatestDate($C29,EvaluationDate)</f>
        <v>41779</v>
      </c>
      <c r="F29" s="71">
        <f>_xll.qlRateHelperQuoteValue($C29,SheetTrigger)</f>
        <v>4.9624999999999999E-3</v>
      </c>
      <c r="G29" s="122">
        <f>1/(1+F29*_xll.qlDayCounterYearFraction(DayCounter,SettlementDate,E29))</f>
        <v>0.99834856508192693</v>
      </c>
      <c r="H29" s="22">
        <f t="shared" si="10"/>
        <v>41751</v>
      </c>
      <c r="I29" s="24" t="b">
        <v>1</v>
      </c>
      <c r="J29" s="25">
        <f t="shared" ref="J29:J37" si="11">($G28/$G29-1)/$Q29</f>
        <v>5.12035753209921E-3</v>
      </c>
      <c r="K29" s="151" t="b">
        <f t="shared" si="0"/>
        <v>1</v>
      </c>
      <c r="L29" s="24" t="b">
        <f t="shared" si="1"/>
        <v>0</v>
      </c>
      <c r="M29" s="24" t="b">
        <f t="shared" si="2"/>
        <v>0</v>
      </c>
      <c r="N29" s="76" t="b">
        <f t="shared" si="3"/>
        <v>1</v>
      </c>
      <c r="O29" s="25">
        <f>_xll.qlInterpolationInterpolate($O$22,$H29)</f>
        <v>5.12035753209921E-3</v>
      </c>
      <c r="P29" s="116">
        <f t="shared" si="7"/>
        <v>0</v>
      </c>
      <c r="Q29" s="63">
        <f>_xll.qlDayCounterYearFraction(DayCounter,$H29,$E29)</f>
        <v>7.7777777777777779E-2</v>
      </c>
      <c r="R29" s="114">
        <f t="shared" si="8"/>
        <v>1</v>
      </c>
      <c r="S29" s="78">
        <f t="shared" si="4"/>
        <v>5.12035753209921E-3</v>
      </c>
      <c r="T29" s="206">
        <f t="shared" si="5"/>
        <v>0</v>
      </c>
      <c r="U29" s="34">
        <v>41841</v>
      </c>
      <c r="V29" s="82" t="e">
        <v>#NUM!</v>
      </c>
    </row>
    <row r="30" spans="1:22" x14ac:dyDescent="0.2">
      <c r="A30" s="128">
        <v>5</v>
      </c>
      <c r="B30" s="131" t="str">
        <f t="shared" si="9"/>
        <v>5X1S</v>
      </c>
      <c r="C30" s="45" t="str">
        <f t="shared" si="6"/>
        <v>GBP_YC1MRH_5X1S</v>
      </c>
      <c r="D30" s="22">
        <f>_xll.qlRateHelperEarliestDate($C30,EvaluationDate)</f>
        <v>41659</v>
      </c>
      <c r="E30" s="22">
        <f>_xll.qlRateHelperLatestDate($C30,EvaluationDate)</f>
        <v>41810</v>
      </c>
      <c r="F30" s="71">
        <f>_xll.qlRateHelperQuoteValue($C30,SheetTrigger)</f>
        <v>5.0249999999999991E-3</v>
      </c>
      <c r="G30" s="122">
        <f>1/(1+F30*_xll.qlDayCounterYearFraction(DayCounter,SettlementDate,E30))</f>
        <v>0.99789672475742264</v>
      </c>
      <c r="H30" s="22">
        <f t="shared" si="10"/>
        <v>41779</v>
      </c>
      <c r="I30" s="24" t="b">
        <v>1</v>
      </c>
      <c r="J30" s="25">
        <f t="shared" si="11"/>
        <v>5.2582374827026346E-3</v>
      </c>
      <c r="K30" s="151" t="b">
        <f t="shared" si="0"/>
        <v>1</v>
      </c>
      <c r="L30" s="24" t="b">
        <f t="shared" si="1"/>
        <v>0</v>
      </c>
      <c r="M30" s="24" t="b">
        <f t="shared" si="2"/>
        <v>0</v>
      </c>
      <c r="N30" s="76" t="b">
        <f t="shared" si="3"/>
        <v>1</v>
      </c>
      <c r="O30" s="25">
        <f>_xll.qlInterpolationInterpolate($O$22,$H30)</f>
        <v>5.2582374827026346E-3</v>
      </c>
      <c r="P30" s="116">
        <f t="shared" si="7"/>
        <v>0</v>
      </c>
      <c r="Q30" s="63">
        <f>_xll.qlDayCounterYearFraction(DayCounter,$H30,$E30)</f>
        <v>8.611111111111111E-2</v>
      </c>
      <c r="R30" s="114">
        <f t="shared" si="8"/>
        <v>1</v>
      </c>
      <c r="S30" s="78">
        <f t="shared" si="4"/>
        <v>5.2582374827026346E-3</v>
      </c>
      <c r="T30" s="206">
        <f t="shared" si="5"/>
        <v>0</v>
      </c>
      <c r="U30" s="34">
        <v>41871</v>
      </c>
      <c r="V30" s="82" t="e">
        <v>#NUM!</v>
      </c>
    </row>
    <row r="31" spans="1:22" x14ac:dyDescent="0.2">
      <c r="A31" s="124">
        <v>6</v>
      </c>
      <c r="B31" s="131" t="str">
        <f t="shared" si="9"/>
        <v>6X1S</v>
      </c>
      <c r="C31" s="45" t="str">
        <f t="shared" si="6"/>
        <v>GBP_YC1MRH_6X1S</v>
      </c>
      <c r="D31" s="22">
        <f>_xll.qlRateHelperEarliestDate($C31,EvaluationDate)</f>
        <v>41659</v>
      </c>
      <c r="E31" s="22">
        <f>_xll.qlRateHelperLatestDate($C31,EvaluationDate)</f>
        <v>41841</v>
      </c>
      <c r="F31" s="71">
        <f>_xll.qlRateHelperQuoteValue($C31,SheetTrigger)</f>
        <v>5.0750000000000005E-3</v>
      </c>
      <c r="G31" s="122">
        <f>1/(1+F31*_xll.qlDayCounterYearFraction(DayCounter,SettlementDate,E31))</f>
        <v>0.9974408714973374</v>
      </c>
      <c r="H31" s="22">
        <f t="shared" si="10"/>
        <v>41810</v>
      </c>
      <c r="I31" s="24" t="b">
        <v>1</v>
      </c>
      <c r="J31" s="25">
        <f t="shared" si="11"/>
        <v>5.3073620159464537E-3</v>
      </c>
      <c r="K31" s="151" t="b">
        <f t="shared" si="0"/>
        <v>1</v>
      </c>
      <c r="L31" s="24" t="b">
        <f t="shared" si="1"/>
        <v>0</v>
      </c>
      <c r="M31" s="24" t="b">
        <f t="shared" si="2"/>
        <v>0</v>
      </c>
      <c r="N31" s="76" t="b">
        <f t="shared" si="3"/>
        <v>1</v>
      </c>
      <c r="O31" s="25">
        <f>_xll.qlInterpolationInterpolate($O$22,$H31)</f>
        <v>5.3073620159464537E-3</v>
      </c>
      <c r="P31" s="116">
        <f t="shared" si="7"/>
        <v>0</v>
      </c>
      <c r="Q31" s="63">
        <f>_xll.qlDayCounterYearFraction(DayCounter,$H31,$E31)</f>
        <v>8.611111111111111E-2</v>
      </c>
      <c r="R31" s="114">
        <f t="shared" si="8"/>
        <v>1</v>
      </c>
      <c r="S31" s="78">
        <f t="shared" si="4"/>
        <v>5.3073620159464537E-3</v>
      </c>
      <c r="T31" s="206">
        <f t="shared" si="5"/>
        <v>0</v>
      </c>
      <c r="U31" s="34">
        <v>41904</v>
      </c>
      <c r="V31" s="82" t="e">
        <v>#NUM!</v>
      </c>
    </row>
    <row r="32" spans="1:22" x14ac:dyDescent="0.2">
      <c r="A32" s="124">
        <v>7</v>
      </c>
      <c r="B32" s="131" t="str">
        <f t="shared" si="9"/>
        <v>7X1S</v>
      </c>
      <c r="C32" s="45" t="str">
        <f t="shared" si="6"/>
        <v>GBP_YC1MRH_7X1S</v>
      </c>
      <c r="D32" s="22">
        <f>_xll.qlRateHelperEarliestDate($C32,EvaluationDate)</f>
        <v>41659</v>
      </c>
      <c r="E32" s="22">
        <f>_xll.qlRateHelperLatestDate($C32,EvaluationDate)</f>
        <v>41871</v>
      </c>
      <c r="F32" s="71">
        <f>_xll.qlRateHelperQuoteValue($C32,SheetTrigger)</f>
        <v>5.1500000000000001E-3</v>
      </c>
      <c r="G32" s="122">
        <f>1/(1+F32*_xll.qlDayCounterYearFraction(DayCounter,SettlementDate,E32))</f>
        <v>0.99697639215290945</v>
      </c>
      <c r="H32" s="22">
        <f t="shared" si="10"/>
        <v>41841</v>
      </c>
      <c r="I32" s="24" t="b">
        <v>1</v>
      </c>
      <c r="J32" s="25">
        <f t="shared" si="11"/>
        <v>5.5906560847445164E-3</v>
      </c>
      <c r="K32" s="151" t="b">
        <f t="shared" si="0"/>
        <v>1</v>
      </c>
      <c r="L32" s="24" t="b">
        <f t="shared" si="1"/>
        <v>0</v>
      </c>
      <c r="M32" s="24" t="b">
        <f t="shared" si="2"/>
        <v>0</v>
      </c>
      <c r="N32" s="76" t="b">
        <f t="shared" si="3"/>
        <v>1</v>
      </c>
      <c r="O32" s="25">
        <f>_xll.qlInterpolationInterpolate($O$22,$H32)</f>
        <v>5.5906560847445164E-3</v>
      </c>
      <c r="P32" s="116">
        <f t="shared" si="7"/>
        <v>0</v>
      </c>
      <c r="Q32" s="63">
        <f>_xll.qlDayCounterYearFraction(DayCounter,$H32,$E32)</f>
        <v>8.3333333333333329E-2</v>
      </c>
      <c r="R32" s="114">
        <f t="shared" si="8"/>
        <v>1</v>
      </c>
      <c r="S32" s="78">
        <f t="shared" si="4"/>
        <v>5.5906560847445164E-3</v>
      </c>
      <c r="T32" s="206">
        <f t="shared" si="5"/>
        <v>0</v>
      </c>
      <c r="U32" s="34">
        <v>41932</v>
      </c>
      <c r="V32" s="82" t="e">
        <v>#NUM!</v>
      </c>
    </row>
    <row r="33" spans="1:22" x14ac:dyDescent="0.2">
      <c r="A33" s="124">
        <v>8</v>
      </c>
      <c r="B33" s="131" t="str">
        <f t="shared" si="9"/>
        <v>8X1S</v>
      </c>
      <c r="C33" s="45" t="str">
        <f t="shared" si="6"/>
        <v>GBP_YC1MRH_8X1S</v>
      </c>
      <c r="D33" s="22">
        <f>_xll.qlRateHelperEarliestDate($C33,EvaluationDate)</f>
        <v>41659</v>
      </c>
      <c r="E33" s="22">
        <f>_xll.qlRateHelperLatestDate($C33,EvaluationDate)</f>
        <v>41904</v>
      </c>
      <c r="F33" s="71">
        <f>_xll.qlRateHelperQuoteValue($C33,SheetTrigger)</f>
        <v>5.2374999999999991E-3</v>
      </c>
      <c r="G33" s="122">
        <f>1/(1+F33*_xll.qlDayCounterYearFraction(DayCounter,SettlementDate,E33))</f>
        <v>0.99644825016940475</v>
      </c>
      <c r="H33" s="22">
        <f t="shared" si="10"/>
        <v>41871</v>
      </c>
      <c r="I33" s="24" t="b">
        <v>1</v>
      </c>
      <c r="J33" s="25">
        <f t="shared" si="11"/>
        <v>5.7820854319132961E-3</v>
      </c>
      <c r="K33" s="151" t="b">
        <f t="shared" si="0"/>
        <v>1</v>
      </c>
      <c r="L33" s="24" t="b">
        <f t="shared" si="1"/>
        <v>0</v>
      </c>
      <c r="M33" s="24" t="b">
        <f t="shared" si="2"/>
        <v>0</v>
      </c>
      <c r="N33" s="76" t="b">
        <f t="shared" si="3"/>
        <v>1</v>
      </c>
      <c r="O33" s="25">
        <f>_xll.qlInterpolationInterpolate($O$22,$H33)</f>
        <v>5.7820854319132961E-3</v>
      </c>
      <c r="P33" s="116">
        <f t="shared" si="7"/>
        <v>0</v>
      </c>
      <c r="Q33" s="63">
        <f>_xll.qlDayCounterYearFraction(DayCounter,$H33,$E33)</f>
        <v>9.166666666666666E-2</v>
      </c>
      <c r="R33" s="114">
        <f t="shared" si="8"/>
        <v>1</v>
      </c>
      <c r="S33" s="78">
        <f t="shared" si="4"/>
        <v>5.7820854319132961E-3</v>
      </c>
      <c r="T33" s="206">
        <f t="shared" si="5"/>
        <v>0</v>
      </c>
      <c r="U33" s="34">
        <v>41963</v>
      </c>
      <c r="V33" s="82" t="e">
        <v>#NUM!</v>
      </c>
    </row>
    <row r="34" spans="1:22" x14ac:dyDescent="0.2">
      <c r="A34" s="128">
        <v>9</v>
      </c>
      <c r="B34" s="131" t="str">
        <f t="shared" si="9"/>
        <v>9X1S</v>
      </c>
      <c r="C34" s="45" t="str">
        <f t="shared" si="6"/>
        <v>GBP_YC1MRH_9X1S</v>
      </c>
      <c r="D34" s="22">
        <f>_xll.qlRateHelperEarliestDate($C34,EvaluationDate)</f>
        <v>41659</v>
      </c>
      <c r="E34" s="22">
        <f>_xll.qlRateHelperLatestDate($C34,EvaluationDate)</f>
        <v>41932</v>
      </c>
      <c r="F34" s="71">
        <f>_xll.qlRateHelperQuoteValue($C34,SheetTrigger)</f>
        <v>5.3249999999999999E-3</v>
      </c>
      <c r="G34" s="122">
        <f>1/(1+F34*_xll.qlDayCounterYearFraction(DayCounter,SettlementDate,E34))</f>
        <v>0.99597811587084917</v>
      </c>
      <c r="H34" s="22">
        <f t="shared" si="10"/>
        <v>41904</v>
      </c>
      <c r="I34" s="24" t="b">
        <v>1</v>
      </c>
      <c r="J34" s="25">
        <f t="shared" si="11"/>
        <v>6.0689926236848612E-3</v>
      </c>
      <c r="K34" s="151" t="b">
        <f t="shared" si="0"/>
        <v>1</v>
      </c>
      <c r="L34" s="24" t="b">
        <f t="shared" si="1"/>
        <v>0</v>
      </c>
      <c r="M34" s="24" t="b">
        <f t="shared" si="2"/>
        <v>0</v>
      </c>
      <c r="N34" s="76" t="b">
        <f t="shared" si="3"/>
        <v>1</v>
      </c>
      <c r="O34" s="25">
        <f>_xll.qlInterpolationInterpolate($O$22,$H34)</f>
        <v>6.0689926236848612E-3</v>
      </c>
      <c r="P34" s="116">
        <f t="shared" si="7"/>
        <v>0</v>
      </c>
      <c r="Q34" s="63">
        <f>_xll.qlDayCounterYearFraction(DayCounter,$H34,$E34)</f>
        <v>7.7777777777777779E-2</v>
      </c>
      <c r="R34" s="114">
        <f t="shared" si="8"/>
        <v>1</v>
      </c>
      <c r="S34" s="78">
        <f t="shared" si="4"/>
        <v>6.0689926236848612E-3</v>
      </c>
      <c r="T34" s="206">
        <f t="shared" si="5"/>
        <v>0</v>
      </c>
      <c r="U34" s="34">
        <v>41995</v>
      </c>
      <c r="V34" s="82" t="e">
        <v>#NUM!</v>
      </c>
    </row>
    <row r="35" spans="1:22" x14ac:dyDescent="0.2">
      <c r="A35" s="124">
        <v>10</v>
      </c>
      <c r="B35" s="131" t="str">
        <f t="shared" si="9"/>
        <v>10X1S</v>
      </c>
      <c r="C35" s="45" t="str">
        <f t="shared" si="6"/>
        <v>GBP_YC1MRH_10X1S</v>
      </c>
      <c r="D35" s="22">
        <f>_xll.qlRateHelperEarliestDate($C35,EvaluationDate)</f>
        <v>41659</v>
      </c>
      <c r="E35" s="22">
        <f>_xll.qlRateHelperLatestDate($C35,EvaluationDate)</f>
        <v>41963</v>
      </c>
      <c r="F35" s="71">
        <f>_xll.qlRateHelperQuoteValue($C35,SheetTrigger)</f>
        <v>5.4374999999999996E-3</v>
      </c>
      <c r="G35" s="122">
        <f>1/(1+F35*_xll.qlDayCounterYearFraction(DayCounter,SettlementDate,E35))</f>
        <v>0.99542932037063137</v>
      </c>
      <c r="H35" s="22">
        <f t="shared" si="10"/>
        <v>41932</v>
      </c>
      <c r="I35" s="24" t="b">
        <v>1</v>
      </c>
      <c r="J35" s="25">
        <f t="shared" si="11"/>
        <v>6.4023722271044558E-3</v>
      </c>
      <c r="K35" s="151" t="b">
        <f t="shared" si="0"/>
        <v>1</v>
      </c>
      <c r="L35" s="24" t="b">
        <f t="shared" si="1"/>
        <v>0</v>
      </c>
      <c r="M35" s="24" t="b">
        <f t="shared" si="2"/>
        <v>0</v>
      </c>
      <c r="N35" s="76" t="b">
        <f t="shared" si="3"/>
        <v>1</v>
      </c>
      <c r="O35" s="25">
        <f>_xll.qlInterpolationInterpolate($O$22,$H35)</f>
        <v>6.4023722271044558E-3</v>
      </c>
      <c r="P35" s="116">
        <f t="shared" si="7"/>
        <v>0</v>
      </c>
      <c r="Q35" s="63">
        <f>_xll.qlDayCounterYearFraction(DayCounter,$H35,$E35)</f>
        <v>8.611111111111111E-2</v>
      </c>
      <c r="R35" s="114">
        <f t="shared" si="8"/>
        <v>1</v>
      </c>
      <c r="S35" s="78">
        <f t="shared" si="4"/>
        <v>6.4023722271044558E-3</v>
      </c>
      <c r="T35" s="206">
        <f t="shared" si="5"/>
        <v>0</v>
      </c>
      <c r="U35" s="34" t="e">
        <v>#N/A</v>
      </c>
      <c r="V35" s="82" t="e">
        <v>#NUM!</v>
      </c>
    </row>
    <row r="36" spans="1:22" x14ac:dyDescent="0.2">
      <c r="A36" s="124">
        <v>11</v>
      </c>
      <c r="B36" s="131" t="str">
        <f t="shared" si="9"/>
        <v>11X1S</v>
      </c>
      <c r="C36" s="45" t="str">
        <f t="shared" si="6"/>
        <v>GBP_YC1MRH_11X1S</v>
      </c>
      <c r="D36" s="22">
        <f>_xll.qlRateHelperEarliestDate($C36,EvaluationDate)</f>
        <v>41659</v>
      </c>
      <c r="E36" s="22">
        <f>_xll.qlRateHelperLatestDate($C36,EvaluationDate)</f>
        <v>41995</v>
      </c>
      <c r="F36" s="71">
        <f>_xll.qlRateHelperQuoteValue($C36,SheetTrigger)</f>
        <v>5.5875000000000005E-3</v>
      </c>
      <c r="G36" s="122">
        <f>1/(1+F36*_xll.qlDayCounterYearFraction(DayCounter,SettlementDate,E36))</f>
        <v>0.99481205513248416</v>
      </c>
      <c r="H36" s="22">
        <f t="shared" si="10"/>
        <v>41963</v>
      </c>
      <c r="I36" s="24" t="b">
        <v>1</v>
      </c>
      <c r="J36" s="25">
        <f t="shared" si="11"/>
        <v>6.9804481090970927E-3</v>
      </c>
      <c r="K36" s="151" t="b">
        <f t="shared" si="0"/>
        <v>1</v>
      </c>
      <c r="L36" s="24" t="b">
        <f t="shared" si="1"/>
        <v>0</v>
      </c>
      <c r="M36" s="24" t="b">
        <f t="shared" si="2"/>
        <v>0</v>
      </c>
      <c r="N36" s="76" t="b">
        <f t="shared" si="3"/>
        <v>1</v>
      </c>
      <c r="O36" s="25">
        <f>_xll.qlInterpolationInterpolate($O$22,$H36)</f>
        <v>6.9804481090970927E-3</v>
      </c>
      <c r="P36" s="116">
        <f t="shared" si="7"/>
        <v>0</v>
      </c>
      <c r="Q36" s="63">
        <f>_xll.qlDayCounterYearFraction(DayCounter,$H36,$E36)</f>
        <v>8.8888888888888892E-2</v>
      </c>
      <c r="R36" s="114">
        <f t="shared" si="8"/>
        <v>1</v>
      </c>
      <c r="S36" s="78">
        <f t="shared" si="4"/>
        <v>6.9804481090970927E-3</v>
      </c>
      <c r="T36" s="206">
        <f t="shared" si="5"/>
        <v>0</v>
      </c>
      <c r="U36" s="34" t="e">
        <v>#N/A</v>
      </c>
      <c r="V36" s="82" t="e">
        <v>#NUM!</v>
      </c>
    </row>
    <row r="37" spans="1:22" x14ac:dyDescent="0.2">
      <c r="A37" s="124">
        <v>12</v>
      </c>
      <c r="B37" s="132" t="str">
        <f t="shared" si="9"/>
        <v>12X1S</v>
      </c>
      <c r="C37" s="130" t="str">
        <f t="shared" si="6"/>
        <v>GBP_YC1MRH_12X1S</v>
      </c>
      <c r="D37" s="69">
        <f>_xll.qlRateHelperEarliestDate($C37,EvaluationDate)</f>
        <v>41659</v>
      </c>
      <c r="E37" s="69">
        <f>_xll.qlRateHelperLatestDate($C37,EvaluationDate)</f>
        <v>42024</v>
      </c>
      <c r="F37" s="80">
        <f>_xll.qlRateHelperQuoteValue($C37,SheetTrigger)</f>
        <v>5.7250000000000001E-3</v>
      </c>
      <c r="G37" s="123">
        <f>1/(1+F37*_xll.qlDayCounterYearFraction(DayCounter,SettlementDate,E37))</f>
        <v>0.99422898405332649</v>
      </c>
      <c r="H37" s="69">
        <f t="shared" si="10"/>
        <v>41995</v>
      </c>
      <c r="I37" s="38" t="b">
        <v>1</v>
      </c>
      <c r="J37" s="36">
        <f t="shared" si="11"/>
        <v>7.2801375310527598E-3</v>
      </c>
      <c r="K37" s="152" t="b">
        <f t="shared" si="0"/>
        <v>1</v>
      </c>
      <c r="L37" s="38" t="b">
        <f t="shared" si="1"/>
        <v>1</v>
      </c>
      <c r="M37" s="38" t="b">
        <f t="shared" si="2"/>
        <v>0</v>
      </c>
      <c r="N37" s="57" t="b">
        <f t="shared" si="3"/>
        <v>0</v>
      </c>
      <c r="O37" s="331">
        <f>_xll.qlInterpolationInterpolate($O$22,$H37,TRUE)</f>
        <v>7.5735405716737076E-3</v>
      </c>
      <c r="P37" s="117">
        <f t="shared" si="7"/>
        <v>-2.9340304062094782E-4</v>
      </c>
      <c r="Q37" s="64">
        <f>_xll.qlDayCounterYearFraction(DayCounter,$H37,$E37)</f>
        <v>8.0555555555555561E-2</v>
      </c>
      <c r="R37" s="127">
        <f t="shared" si="8"/>
        <v>1.000023621392043</v>
      </c>
      <c r="S37" s="79">
        <f t="shared" si="4"/>
        <v>7.2801375310527598E-3</v>
      </c>
      <c r="T37" s="205">
        <f t="shared" si="5"/>
        <v>0</v>
      </c>
      <c r="U37" s="34" t="e">
        <v>#N/A</v>
      </c>
      <c r="V37" s="82" t="e">
        <v>#NUM!</v>
      </c>
    </row>
    <row r="38" spans="1:22" s="20" customFormat="1" x14ac:dyDescent="0.2">
      <c r="A38" t="b">
        <v>0</v>
      </c>
      <c r="B38" s="67" t="str">
        <f>"FUT"&amp;IndexTenor&amp;_xll.qlIMMNextCodes(SettlementDate+$B$22,A38)</f>
        <v>FUT1MG4</v>
      </c>
      <c r="C38" s="72" t="str">
        <f>RateHelperPrefix&amp;$B38</f>
        <v>GBP_YC1MRH_FUT1MG4</v>
      </c>
      <c r="D38" s="84">
        <f>_xll.qlRateHelperEarliestDate($C38,EvaluationDate)</f>
        <v>41689</v>
      </c>
      <c r="E38" s="84">
        <f>_xll.qlRateHelperLatestDate($C38,EvaluationDate)</f>
        <v>41717</v>
      </c>
      <c r="F38" s="154" t="e">
        <f>_xll.qlRateHelperQuoteValue($C38,SheetTrigger)</f>
        <v>#NUM!</v>
      </c>
      <c r="G38" s="119" t="e">
        <f>_xll.qlFuturesRateHelperConvexityAdjustment($C38,SheetTrigger)</f>
        <v>#NUM!</v>
      </c>
      <c r="H38" s="84">
        <f t="shared" ref="H38:H49" si="12">$D38</f>
        <v>41689</v>
      </c>
      <c r="I38" s="32" t="b">
        <f>ISNA(VLOOKUP(H38,$H$23:$H$37,1,FALSE))</f>
        <v>1</v>
      </c>
      <c r="J38" s="30" t="e">
        <f>1-$F38/100-$G38</f>
        <v>#NUM!</v>
      </c>
      <c r="K38" s="143" t="b">
        <f t="shared" ref="K38:K49" si="13">AND(ISNUMBER(J38),I38,UseSecondSet)</f>
        <v>0</v>
      </c>
      <c r="L38" s="32" t="b">
        <f t="shared" si="1"/>
        <v>0</v>
      </c>
      <c r="M38" s="32" t="b">
        <f t="shared" si="2"/>
        <v>0</v>
      </c>
      <c r="N38" s="40" t="b">
        <f>IF(K38,AND(NOT($L38),NOT($M38)),FALSE)</f>
        <v>0</v>
      </c>
      <c r="O38" s="30">
        <f>_xll.qlInterpolationInterpolate($O$22,$H38)</f>
        <v>4.2116834686970195E-3</v>
      </c>
      <c r="P38" s="115" t="e">
        <f t="shared" si="7"/>
        <v>#NUM!</v>
      </c>
      <c r="Q38" s="62">
        <f>_xll.qlDayCounterYearFraction(DayCounter,$H38,$E38)</f>
        <v>7.7777777777777779E-2</v>
      </c>
      <c r="R38" s="126" t="e">
        <f t="shared" si="8"/>
        <v>#NUM!</v>
      </c>
      <c r="S38" s="86" t="e">
        <f>IF($L38,(TOY*(1+$J38*$Q38)-1)/$Q38,IF($M38,(_TOY2*(1+$J38*$Q38)-1)/$Q38,$J38))</f>
        <v>#NUM!</v>
      </c>
      <c r="T38" s="204" t="e">
        <f>S38-J38</f>
        <v>#NUM!</v>
      </c>
      <c r="U38" s="34" t="e">
        <v>#N/A</v>
      </c>
      <c r="V38" s="82" t="e">
        <v>#NUM!</v>
      </c>
    </row>
    <row r="39" spans="1:22" s="20" customFormat="1" x14ac:dyDescent="0.2">
      <c r="A39" t="b">
        <v>0</v>
      </c>
      <c r="B39" s="67" t="str">
        <f>"FUT"&amp;IndexTenor&amp;_xll.qlIMMNextCodes(D38,A39)</f>
        <v>FUT1MH4</v>
      </c>
      <c r="C39" s="67" t="str">
        <f t="shared" ref="C39:C49" si="14">RateHelperPrefix&amp;$B39</f>
        <v>GBP_YC1MRH_FUT1MH4</v>
      </c>
      <c r="D39" s="22">
        <f>_xll.qlRateHelperEarliestDate($C39,EvaluationDate)</f>
        <v>41717</v>
      </c>
      <c r="E39" s="22">
        <f>_xll.qlRateHelperLatestDate($C39,EvaluationDate)</f>
        <v>41751</v>
      </c>
      <c r="F39" s="155" t="e">
        <f>_xll.qlRateHelperQuoteValue($C39,SheetTrigger)</f>
        <v>#NUM!</v>
      </c>
      <c r="G39" s="111" t="e">
        <f>_xll.qlFuturesRateHelperConvexityAdjustment($C39,SheetTrigger)</f>
        <v>#NUM!</v>
      </c>
      <c r="H39" s="22">
        <f t="shared" si="12"/>
        <v>41717</v>
      </c>
      <c r="I39" s="24" t="b">
        <f t="shared" ref="I39:I49" si="15">ISNA(VLOOKUP(H39,$H$23:$H$37,1,FALSE))</f>
        <v>1</v>
      </c>
      <c r="J39" s="25" t="e">
        <f t="shared" ref="J39:J49" si="16">1-$F39/100-$G39</f>
        <v>#NUM!</v>
      </c>
      <c r="K39" s="151" t="b">
        <f t="shared" si="13"/>
        <v>0</v>
      </c>
      <c r="L39" s="24" t="b">
        <f t="shared" si="1"/>
        <v>0</v>
      </c>
      <c r="M39" s="24" t="b">
        <f t="shared" si="2"/>
        <v>0</v>
      </c>
      <c r="N39" s="76" t="b">
        <f t="shared" ref="N39:N49" si="17">IF(K39,AND(NOT($L39),NOT($M39)),FALSE)</f>
        <v>0</v>
      </c>
      <c r="O39" s="25">
        <f>_xll.qlInterpolationInterpolate($O$22,$H39)</f>
        <v>4.9850096924059584E-3</v>
      </c>
      <c r="P39" s="116" t="e">
        <f t="shared" si="7"/>
        <v>#NUM!</v>
      </c>
      <c r="Q39" s="63">
        <f>_xll.qlDayCounterYearFraction(DayCounter,$H39,$E39)</f>
        <v>9.4444444444444442E-2</v>
      </c>
      <c r="R39" s="114" t="e">
        <f t="shared" si="8"/>
        <v>#NUM!</v>
      </c>
      <c r="S39" s="78" t="e">
        <f t="shared" ref="S39:S49" si="18">IF($L39,(TOY*(1+$J39*$Q39)-1)/$Q39,IF($M39,(_TOY2*(1+$J39*$Q39)-1)/$Q39,$J39))</f>
        <v>#NUM!</v>
      </c>
      <c r="T39" s="206" t="e">
        <f>S39-J39</f>
        <v>#NUM!</v>
      </c>
      <c r="U39" s="34" t="e">
        <v>#N/A</v>
      </c>
      <c r="V39" s="82" t="e">
        <v>#NUM!</v>
      </c>
    </row>
    <row r="40" spans="1:22" s="20" customFormat="1" x14ac:dyDescent="0.2">
      <c r="A40" t="b">
        <v>0</v>
      </c>
      <c r="B40" s="67" t="str">
        <f>"FUT"&amp;IndexTenor&amp;_xll.qlIMMNextCodes(D39,A40)</f>
        <v>FUT1MJ4</v>
      </c>
      <c r="C40" s="67" t="str">
        <f t="shared" si="14"/>
        <v>GBP_YC1MRH_FUT1MJ4</v>
      </c>
      <c r="D40" s="22">
        <f>_xll.qlRateHelperEarliestDate($C40,EvaluationDate)</f>
        <v>41745</v>
      </c>
      <c r="E40" s="22">
        <f>_xll.qlRateHelperLatestDate($C40,EvaluationDate)</f>
        <v>41775</v>
      </c>
      <c r="F40" s="155" t="e">
        <f>_xll.qlRateHelperQuoteValue($C40,SheetTrigger)</f>
        <v>#NUM!</v>
      </c>
      <c r="G40" s="111" t="e">
        <f>_xll.qlFuturesRateHelperConvexityAdjustment($C40,SheetTrigger)</f>
        <v>#NUM!</v>
      </c>
      <c r="H40" s="22">
        <f t="shared" si="12"/>
        <v>41745</v>
      </c>
      <c r="I40" s="24" t="b">
        <f t="shared" si="15"/>
        <v>1</v>
      </c>
      <c r="J40" s="25" t="e">
        <f t="shared" si="16"/>
        <v>#NUM!</v>
      </c>
      <c r="K40" s="151" t="b">
        <f t="shared" si="13"/>
        <v>0</v>
      </c>
      <c r="L40" s="24" t="b">
        <f t="shared" si="1"/>
        <v>0</v>
      </c>
      <c r="M40" s="24" t="b">
        <f t="shared" si="2"/>
        <v>0</v>
      </c>
      <c r="N40" s="76" t="b">
        <f t="shared" si="17"/>
        <v>0</v>
      </c>
      <c r="O40" s="25">
        <f>_xll.qlInterpolationInterpolate($O$22,$H40)</f>
        <v>5.1178265768501629E-3</v>
      </c>
      <c r="P40" s="116" t="e">
        <f t="shared" si="7"/>
        <v>#NUM!</v>
      </c>
      <c r="Q40" s="63">
        <f>_xll.qlDayCounterYearFraction(DayCounter,$H40,$E40)</f>
        <v>8.3333333333333329E-2</v>
      </c>
      <c r="R40" s="114" t="e">
        <f t="shared" si="8"/>
        <v>#NUM!</v>
      </c>
      <c r="S40" s="78" t="e">
        <f t="shared" si="18"/>
        <v>#NUM!</v>
      </c>
      <c r="T40" s="206" t="e">
        <f t="shared" ref="T40:T49" si="19">S40-J40</f>
        <v>#NUM!</v>
      </c>
      <c r="U40" s="34" t="e">
        <v>#N/A</v>
      </c>
      <c r="V40" s="82" t="e">
        <v>#NUM!</v>
      </c>
    </row>
    <row r="41" spans="1:22" s="20" customFormat="1" x14ac:dyDescent="0.2">
      <c r="A41" t="b">
        <v>0</v>
      </c>
      <c r="B41" s="67" t="str">
        <f>"FUT"&amp;IndexTenor&amp;_xll.qlIMMNextCodes(D40,A41)</f>
        <v>FUT1MK4</v>
      </c>
      <c r="C41" s="67" t="str">
        <f t="shared" si="14"/>
        <v>GBP_YC1MRH_FUT1MK4</v>
      </c>
      <c r="D41" s="22">
        <f>_xll.qlRateHelperEarliestDate($C41,EvaluationDate)</f>
        <v>41780</v>
      </c>
      <c r="E41" s="22">
        <f>_xll.qlRateHelperLatestDate($C41,EvaluationDate)</f>
        <v>41813</v>
      </c>
      <c r="F41" s="155" t="e">
        <f>_xll.qlRateHelperQuoteValue($C41,SheetTrigger)</f>
        <v>#NUM!</v>
      </c>
      <c r="G41" s="111" t="e">
        <f>_xll.qlFuturesRateHelperConvexityAdjustment($C41,SheetTrigger)</f>
        <v>#NUM!</v>
      </c>
      <c r="H41" s="22">
        <f t="shared" si="12"/>
        <v>41780</v>
      </c>
      <c r="I41" s="24" t="b">
        <f t="shared" si="15"/>
        <v>1</v>
      </c>
      <c r="J41" s="25" t="e">
        <f t="shared" si="16"/>
        <v>#NUM!</v>
      </c>
      <c r="K41" s="151" t="b">
        <f t="shared" si="13"/>
        <v>0</v>
      </c>
      <c r="L41" s="24" t="b">
        <f t="shared" si="1"/>
        <v>0</v>
      </c>
      <c r="M41" s="24" t="b">
        <f t="shared" si="2"/>
        <v>0</v>
      </c>
      <c r="N41" s="76" t="b">
        <f t="shared" si="17"/>
        <v>0</v>
      </c>
      <c r="O41" s="25">
        <f>_xll.qlInterpolationInterpolate($O$22,$H41)</f>
        <v>5.2617248454157771E-3</v>
      </c>
      <c r="P41" s="116" t="e">
        <f t="shared" si="7"/>
        <v>#NUM!</v>
      </c>
      <c r="Q41" s="63">
        <f>_xll.qlDayCounterYearFraction(DayCounter,$H41,$E41)</f>
        <v>9.166666666666666E-2</v>
      </c>
      <c r="R41" s="114" t="e">
        <f t="shared" si="8"/>
        <v>#NUM!</v>
      </c>
      <c r="S41" s="78" t="e">
        <f t="shared" si="18"/>
        <v>#NUM!</v>
      </c>
      <c r="T41" s="206" t="e">
        <f t="shared" si="19"/>
        <v>#NUM!</v>
      </c>
      <c r="U41" s="34" t="e">
        <v>#N/A</v>
      </c>
      <c r="V41" s="82" t="e">
        <v>#NUM!</v>
      </c>
    </row>
    <row r="42" spans="1:22" s="20" customFormat="1" x14ac:dyDescent="0.2">
      <c r="A42" t="b">
        <v>0</v>
      </c>
      <c r="B42" s="67" t="str">
        <f>"FUT"&amp;IndexTenor&amp;_xll.qlIMMNextCodes(D41,A42)</f>
        <v>FUT1MM4</v>
      </c>
      <c r="C42" s="67" t="str">
        <f t="shared" si="14"/>
        <v>GBP_YC1MRH_FUT1MM4</v>
      </c>
      <c r="D42" s="22">
        <f>_xll.qlRateHelperEarliestDate($C42,EvaluationDate)</f>
        <v>41808</v>
      </c>
      <c r="E42" s="22">
        <f>_xll.qlRateHelperLatestDate($C42,EvaluationDate)</f>
        <v>41838</v>
      </c>
      <c r="F42" s="155" t="e">
        <f>_xll.qlRateHelperQuoteValue($C42,SheetTrigger)</f>
        <v>#NUM!</v>
      </c>
      <c r="G42" s="111" t="e">
        <f>_xll.qlFuturesRateHelperConvexityAdjustment($C42,SheetTrigger)</f>
        <v>#NUM!</v>
      </c>
      <c r="H42" s="22">
        <f t="shared" si="12"/>
        <v>41808</v>
      </c>
      <c r="I42" s="24" t="b">
        <f t="shared" si="15"/>
        <v>1</v>
      </c>
      <c r="J42" s="25" t="e">
        <f t="shared" si="16"/>
        <v>#NUM!</v>
      </c>
      <c r="K42" s="151" t="b">
        <f t="shared" si="13"/>
        <v>0</v>
      </c>
      <c r="L42" s="24" t="b">
        <f t="shared" si="1"/>
        <v>0</v>
      </c>
      <c r="M42" s="24" t="b">
        <f t="shared" si="2"/>
        <v>0</v>
      </c>
      <c r="N42" s="76" t="b">
        <f t="shared" si="17"/>
        <v>0</v>
      </c>
      <c r="O42" s="25">
        <f>_xll.qlInterpolationInterpolate($O$22,$H42)</f>
        <v>5.2989035374518103E-3</v>
      </c>
      <c r="P42" s="116" t="e">
        <f t="shared" si="7"/>
        <v>#NUM!</v>
      </c>
      <c r="Q42" s="63">
        <f>_xll.qlDayCounterYearFraction(DayCounter,$H42,$E42)</f>
        <v>8.3333333333333329E-2</v>
      </c>
      <c r="R42" s="114" t="e">
        <f t="shared" si="8"/>
        <v>#NUM!</v>
      </c>
      <c r="S42" s="78" t="e">
        <f t="shared" si="18"/>
        <v>#NUM!</v>
      </c>
      <c r="T42" s="206" t="e">
        <f t="shared" si="19"/>
        <v>#NUM!</v>
      </c>
      <c r="U42" s="34" t="e">
        <v>#N/A</v>
      </c>
      <c r="V42" s="82" t="e">
        <v>#NUM!</v>
      </c>
    </row>
    <row r="43" spans="1:22" s="20" customFormat="1" x14ac:dyDescent="0.2">
      <c r="A43" t="b">
        <v>0</v>
      </c>
      <c r="B43" s="67" t="str">
        <f>"FUT"&amp;IndexTenor&amp;_xll.qlIMMNextCodes(D42,A43)</f>
        <v>FUT1MN4</v>
      </c>
      <c r="C43" s="67" t="str">
        <f t="shared" si="14"/>
        <v>GBP_YC1MRH_FUT1MN4</v>
      </c>
      <c r="D43" s="22">
        <f>_xll.qlRateHelperEarliestDate($C43,EvaluationDate)</f>
        <v>41836</v>
      </c>
      <c r="E43" s="22">
        <f>_xll.qlRateHelperLatestDate($C43,EvaluationDate)</f>
        <v>41869</v>
      </c>
      <c r="F43" s="155" t="e">
        <f>_xll.qlRateHelperQuoteValue($C43,SheetTrigger)</f>
        <v>#NUM!</v>
      </c>
      <c r="G43" s="111" t="e">
        <f>_xll.qlFuturesRateHelperConvexityAdjustment($C43,SheetTrigger)</f>
        <v>#NUM!</v>
      </c>
      <c r="H43" s="22">
        <f t="shared" si="12"/>
        <v>41836</v>
      </c>
      <c r="I43" s="24" t="b">
        <f t="shared" si="15"/>
        <v>1</v>
      </c>
      <c r="J43" s="25" t="e">
        <f t="shared" si="16"/>
        <v>#NUM!</v>
      </c>
      <c r="K43" s="151" t="b">
        <f t="shared" si="13"/>
        <v>0</v>
      </c>
      <c r="L43" s="24" t="b">
        <f t="shared" si="1"/>
        <v>0</v>
      </c>
      <c r="M43" s="24" t="b">
        <f t="shared" si="2"/>
        <v>0</v>
      </c>
      <c r="N43" s="76" t="b">
        <f t="shared" si="17"/>
        <v>0</v>
      </c>
      <c r="O43" s="25">
        <f>_xll.qlInterpolationInterpolate($O$22,$H43)</f>
        <v>5.5434351829222218E-3</v>
      </c>
      <c r="P43" s="116" t="e">
        <f t="shared" si="7"/>
        <v>#NUM!</v>
      </c>
      <c r="Q43" s="63">
        <f>_xll.qlDayCounterYearFraction(DayCounter,$H43,$E43)</f>
        <v>9.166666666666666E-2</v>
      </c>
      <c r="R43" s="114" t="e">
        <f t="shared" si="8"/>
        <v>#NUM!</v>
      </c>
      <c r="S43" s="78" t="e">
        <f t="shared" si="18"/>
        <v>#NUM!</v>
      </c>
      <c r="T43" s="206" t="e">
        <f t="shared" si="19"/>
        <v>#NUM!</v>
      </c>
      <c r="U43" s="34" t="e">
        <v>#N/A</v>
      </c>
      <c r="V43" s="82" t="e">
        <v>#NUM!</v>
      </c>
    </row>
    <row r="44" spans="1:22" s="20" customFormat="1" x14ac:dyDescent="0.2">
      <c r="A44" t="b">
        <v>0</v>
      </c>
      <c r="B44" s="67" t="str">
        <f>"FUT"&amp;IndexTenor&amp;_xll.qlIMMNextCodes(D43,A44)</f>
        <v>FUT1MQ4</v>
      </c>
      <c r="C44" s="67" t="str">
        <f t="shared" si="14"/>
        <v>GBP_YC1MRH_FUT1MQ4</v>
      </c>
      <c r="D44" s="22">
        <f>_xll.qlRateHelperEarliestDate($C44,EvaluationDate)</f>
        <v>41871</v>
      </c>
      <c r="E44" s="22">
        <f>_xll.qlRateHelperLatestDate($C44,EvaluationDate)</f>
        <v>41904</v>
      </c>
      <c r="F44" s="155" t="e">
        <f>_xll.qlRateHelperQuoteValue($C44,SheetTrigger)</f>
        <v>#NUM!</v>
      </c>
      <c r="G44" s="111" t="e">
        <f>_xll.qlFuturesRateHelperConvexityAdjustment($C44,SheetTrigger)</f>
        <v>#NUM!</v>
      </c>
      <c r="H44" s="22">
        <f t="shared" si="12"/>
        <v>41871</v>
      </c>
      <c r="I44" s="24" t="b">
        <f t="shared" si="15"/>
        <v>0</v>
      </c>
      <c r="J44" s="25" t="e">
        <f t="shared" si="16"/>
        <v>#NUM!</v>
      </c>
      <c r="K44" s="151" t="b">
        <f t="shared" si="13"/>
        <v>0</v>
      </c>
      <c r="L44" s="24" t="b">
        <f t="shared" si="1"/>
        <v>0</v>
      </c>
      <c r="M44" s="24" t="b">
        <f t="shared" si="2"/>
        <v>0</v>
      </c>
      <c r="N44" s="76" t="b">
        <f t="shared" si="17"/>
        <v>0</v>
      </c>
      <c r="O44" s="25">
        <f>_xll.qlInterpolationInterpolate($O$22,$H44)</f>
        <v>5.7820854319132961E-3</v>
      </c>
      <c r="P44" s="116" t="e">
        <f t="shared" si="7"/>
        <v>#NUM!</v>
      </c>
      <c r="Q44" s="63">
        <f>_xll.qlDayCounterYearFraction(DayCounter,$H44,$E44)</f>
        <v>9.166666666666666E-2</v>
      </c>
      <c r="R44" s="114" t="e">
        <f t="shared" si="8"/>
        <v>#NUM!</v>
      </c>
      <c r="S44" s="78" t="e">
        <f t="shared" si="18"/>
        <v>#NUM!</v>
      </c>
      <c r="T44" s="206" t="e">
        <f t="shared" si="19"/>
        <v>#NUM!</v>
      </c>
      <c r="U44" s="34" t="e">
        <v>#N/A</v>
      </c>
      <c r="V44" s="82" t="e">
        <v>#NUM!</v>
      </c>
    </row>
    <row r="45" spans="1:22" s="20" customFormat="1" x14ac:dyDescent="0.2">
      <c r="A45" t="b">
        <v>0</v>
      </c>
      <c r="B45" s="67" t="str">
        <f>"FUT"&amp;IndexTenor&amp;_xll.qlIMMNextCodes(D44,A45)</f>
        <v>FUT1MU4</v>
      </c>
      <c r="C45" s="67" t="str">
        <f t="shared" si="14"/>
        <v>GBP_YC1MRH_FUT1MU4</v>
      </c>
      <c r="D45" s="22">
        <f>_xll.qlRateHelperEarliestDate($C45,EvaluationDate)</f>
        <v>41899</v>
      </c>
      <c r="E45" s="22">
        <f>_xll.qlRateHelperLatestDate($C45,EvaluationDate)</f>
        <v>41929</v>
      </c>
      <c r="F45" s="155" t="e">
        <f>_xll.qlRateHelperQuoteValue($C45,SheetTrigger)</f>
        <v>#NUM!</v>
      </c>
      <c r="G45" s="111" t="e">
        <f>_xll.qlFuturesRateHelperConvexityAdjustment($C45,SheetTrigger)</f>
        <v>#NUM!</v>
      </c>
      <c r="H45" s="22">
        <f t="shared" si="12"/>
        <v>41899</v>
      </c>
      <c r="I45" s="24" t="b">
        <f t="shared" si="15"/>
        <v>1</v>
      </c>
      <c r="J45" s="25" t="e">
        <f t="shared" si="16"/>
        <v>#NUM!</v>
      </c>
      <c r="K45" s="151" t="b">
        <f t="shared" si="13"/>
        <v>0</v>
      </c>
      <c r="L45" s="24" t="b">
        <f t="shared" si="1"/>
        <v>0</v>
      </c>
      <c r="M45" s="24" t="b">
        <f t="shared" si="2"/>
        <v>0</v>
      </c>
      <c r="N45" s="76" t="b">
        <f t="shared" si="17"/>
        <v>0</v>
      </c>
      <c r="O45" s="25">
        <f>_xll.qlInterpolationInterpolate($O$22,$H45)</f>
        <v>6.019306222156677E-3</v>
      </c>
      <c r="P45" s="116" t="e">
        <f t="shared" si="7"/>
        <v>#NUM!</v>
      </c>
      <c r="Q45" s="63">
        <f>_xll.qlDayCounterYearFraction(DayCounter,$H45,$E45)</f>
        <v>8.3333333333333329E-2</v>
      </c>
      <c r="R45" s="114" t="e">
        <f t="shared" si="8"/>
        <v>#NUM!</v>
      </c>
      <c r="S45" s="78" t="e">
        <f t="shared" si="18"/>
        <v>#NUM!</v>
      </c>
      <c r="T45" s="206" t="e">
        <f t="shared" si="19"/>
        <v>#NUM!</v>
      </c>
      <c r="U45" s="34" t="e">
        <v>#N/A</v>
      </c>
      <c r="V45" s="82" t="e">
        <v>#NUM!</v>
      </c>
    </row>
    <row r="46" spans="1:22" s="20" customFormat="1" x14ac:dyDescent="0.2">
      <c r="A46" t="b">
        <v>0</v>
      </c>
      <c r="B46" s="67" t="str">
        <f>"FUT"&amp;IndexTenor&amp;_xll.qlIMMNextCodes(D45,A46)</f>
        <v>FUT1MV4</v>
      </c>
      <c r="C46" s="67" t="str">
        <f t="shared" si="14"/>
        <v>GBP_YC1MRH_FUT1MV4</v>
      </c>
      <c r="D46" s="22">
        <f>_xll.qlRateHelperEarliestDate($C46,EvaluationDate)</f>
        <v>41927</v>
      </c>
      <c r="E46" s="22">
        <f>_xll.qlRateHelperLatestDate($C46,EvaluationDate)</f>
        <v>41960</v>
      </c>
      <c r="F46" s="155" t="e">
        <f>_xll.qlRateHelperQuoteValue($C46,SheetTrigger)</f>
        <v>#NUM!</v>
      </c>
      <c r="G46" s="111" t="e">
        <f>_xll.qlFuturesRateHelperConvexityAdjustment($C46,SheetTrigger)</f>
        <v>#NUM!</v>
      </c>
      <c r="H46" s="22">
        <f t="shared" si="12"/>
        <v>41927</v>
      </c>
      <c r="I46" s="24" t="b">
        <f t="shared" si="15"/>
        <v>1</v>
      </c>
      <c r="J46" s="25" t="e">
        <f t="shared" si="16"/>
        <v>#NUM!</v>
      </c>
      <c r="K46" s="151" t="b">
        <f t="shared" si="13"/>
        <v>0</v>
      </c>
      <c r="L46" s="24" t="b">
        <f t="shared" si="1"/>
        <v>0</v>
      </c>
      <c r="M46" s="24" t="b">
        <f t="shared" si="2"/>
        <v>0</v>
      </c>
      <c r="N46" s="76" t="b">
        <f t="shared" si="17"/>
        <v>0</v>
      </c>
      <c r="O46" s="25">
        <f>_xll.qlInterpolationInterpolate($O$22,$H46)</f>
        <v>6.3304054690479505E-3</v>
      </c>
      <c r="P46" s="116" t="e">
        <f t="shared" si="7"/>
        <v>#NUM!</v>
      </c>
      <c r="Q46" s="63">
        <f>_xll.qlDayCounterYearFraction(DayCounter,$H46,$E46)</f>
        <v>9.166666666666666E-2</v>
      </c>
      <c r="R46" s="114" t="e">
        <f t="shared" si="8"/>
        <v>#NUM!</v>
      </c>
      <c r="S46" s="78" t="e">
        <f t="shared" si="18"/>
        <v>#NUM!</v>
      </c>
      <c r="T46" s="206" t="e">
        <f t="shared" si="19"/>
        <v>#NUM!</v>
      </c>
      <c r="U46" s="34" t="e">
        <v>#N/A</v>
      </c>
      <c r="V46" s="82" t="e">
        <v>#NUM!</v>
      </c>
    </row>
    <row r="47" spans="1:22" s="20" customFormat="1" x14ac:dyDescent="0.2">
      <c r="A47" t="b">
        <v>0</v>
      </c>
      <c r="B47" s="67" t="str">
        <f>"FUT"&amp;IndexTenor&amp;_xll.qlIMMNextCodes(D46,A47)</f>
        <v>FUT1MX4</v>
      </c>
      <c r="C47" s="67" t="str">
        <f t="shared" si="14"/>
        <v>GBP_YC1MRH_FUT1MX4</v>
      </c>
      <c r="D47" s="22">
        <f>_xll.qlRateHelperEarliestDate($C47,EvaluationDate)</f>
        <v>41962</v>
      </c>
      <c r="E47" s="22">
        <f>_xll.qlRateHelperLatestDate($C47,EvaluationDate)</f>
        <v>41992</v>
      </c>
      <c r="F47" s="155" t="e">
        <f>_xll.qlRateHelperQuoteValue($C47,SheetTrigger)</f>
        <v>#NUM!</v>
      </c>
      <c r="G47" s="111" t="e">
        <f>_xll.qlFuturesRateHelperConvexityAdjustment($C47,SheetTrigger)</f>
        <v>#NUM!</v>
      </c>
      <c r="H47" s="22">
        <f t="shared" si="12"/>
        <v>41962</v>
      </c>
      <c r="I47" s="24" t="b">
        <f t="shared" si="15"/>
        <v>1</v>
      </c>
      <c r="J47" s="25" t="e">
        <f t="shared" si="16"/>
        <v>#NUM!</v>
      </c>
      <c r="K47" s="151" t="b">
        <f t="shared" si="13"/>
        <v>0</v>
      </c>
      <c r="L47" s="24" t="b">
        <f t="shared" si="1"/>
        <v>0</v>
      </c>
      <c r="M47" s="24" t="b">
        <f t="shared" si="2"/>
        <v>0</v>
      </c>
      <c r="N47" s="76" t="b">
        <f t="shared" si="17"/>
        <v>0</v>
      </c>
      <c r="O47" s="25">
        <f>_xll.qlInterpolationInterpolate($O$22,$H47)</f>
        <v>6.9600714388040998E-3</v>
      </c>
      <c r="P47" s="116" t="e">
        <f t="shared" si="7"/>
        <v>#NUM!</v>
      </c>
      <c r="Q47" s="63">
        <f>_xll.qlDayCounterYearFraction(DayCounter,$H47,$E47)</f>
        <v>8.3333333333333329E-2</v>
      </c>
      <c r="R47" s="114" t="e">
        <f t="shared" si="8"/>
        <v>#NUM!</v>
      </c>
      <c r="S47" s="78" t="e">
        <f t="shared" si="18"/>
        <v>#NUM!</v>
      </c>
      <c r="T47" s="206" t="e">
        <f t="shared" si="19"/>
        <v>#NUM!</v>
      </c>
      <c r="U47" s="34" t="e">
        <v>#N/A</v>
      </c>
      <c r="V47" s="82" t="e">
        <v>#NUM!</v>
      </c>
    </row>
    <row r="48" spans="1:22" s="20" customFormat="1" x14ac:dyDescent="0.2">
      <c r="A48" t="b">
        <v>0</v>
      </c>
      <c r="B48" s="67" t="str">
        <f>"FUT"&amp;IndexTenor&amp;_xll.qlIMMNextCodes(D47,A48)</f>
        <v>FUT1MZ4</v>
      </c>
      <c r="C48" s="67" t="str">
        <f t="shared" si="14"/>
        <v>GBP_YC1MRH_FUT1MZ4</v>
      </c>
      <c r="D48" s="22">
        <f>_xll.qlRateHelperEarliestDate($C48,EvaluationDate)</f>
        <v>41990</v>
      </c>
      <c r="E48" s="22">
        <f>_xll.qlRateHelperLatestDate($C48,EvaluationDate)</f>
        <v>42023</v>
      </c>
      <c r="F48" s="155" t="e">
        <f>_xll.qlRateHelperQuoteValue($C48,SheetTrigger)</f>
        <v>#NUM!</v>
      </c>
      <c r="G48" s="111" t="e">
        <f>_xll.qlFuturesRateHelperConvexityAdjustment($C48,SheetTrigger)</f>
        <v>#NUM!</v>
      </c>
      <c r="H48" s="22">
        <f t="shared" si="12"/>
        <v>41990</v>
      </c>
      <c r="I48" s="24" t="b">
        <f t="shared" si="15"/>
        <v>1</v>
      </c>
      <c r="J48" s="25" t="e">
        <f t="shared" si="16"/>
        <v>#NUM!</v>
      </c>
      <c r="K48" s="151" t="b">
        <f t="shared" si="13"/>
        <v>0</v>
      </c>
      <c r="L48" s="24" t="b">
        <f t="shared" si="1"/>
        <v>1</v>
      </c>
      <c r="M48" s="24" t="b">
        <f t="shared" si="2"/>
        <v>0</v>
      </c>
      <c r="N48" s="76" t="b">
        <f t="shared" si="17"/>
        <v>0</v>
      </c>
      <c r="O48" s="25" t="e">
        <f>_xll.qlInterpolationInterpolate($O$22,$H48)</f>
        <v>#NUM!</v>
      </c>
      <c r="P48" s="116" t="e">
        <f t="shared" si="7"/>
        <v>#NUM!</v>
      </c>
      <c r="Q48" s="63">
        <f>_xll.qlDayCounterYearFraction(DayCounter,$H48,$E48)</f>
        <v>9.166666666666666E-2</v>
      </c>
      <c r="R48" s="114" t="e">
        <f t="shared" si="8"/>
        <v>#NUM!</v>
      </c>
      <c r="S48" s="78" t="e">
        <f t="shared" si="18"/>
        <v>#NUM!</v>
      </c>
      <c r="T48" s="206" t="e">
        <f t="shared" si="19"/>
        <v>#NUM!</v>
      </c>
      <c r="U48" s="34" t="e">
        <v>#N/A</v>
      </c>
      <c r="V48" s="82" t="e">
        <v>#NUM!</v>
      </c>
    </row>
    <row r="49" spans="1:22" s="20" customFormat="1" x14ac:dyDescent="0.2">
      <c r="A49" t="b">
        <v>0</v>
      </c>
      <c r="B49" s="68" t="str">
        <f>"FUT"&amp;IndexTenor&amp;_xll.qlIMMNextCodes(D48,A49)</f>
        <v>FUT1MF5</v>
      </c>
      <c r="C49" s="68" t="str">
        <f t="shared" si="14"/>
        <v>GBP_YC1MRH_FUT1MF5</v>
      </c>
      <c r="D49" s="69">
        <f>_xll.qlRateHelperEarliestDate($C49,EvaluationDate)</f>
        <v>42025</v>
      </c>
      <c r="E49" s="69">
        <f>_xll.qlRateHelperLatestDate($C49,EvaluationDate)</f>
        <v>42058</v>
      </c>
      <c r="F49" s="156" t="e">
        <f>_xll.qlRateHelperQuoteValue($C49,SheetTrigger)</f>
        <v>#NUM!</v>
      </c>
      <c r="G49" s="113" t="e">
        <f>_xll.qlFuturesRateHelperConvexityAdjustment($C49,SheetTrigger)</f>
        <v>#NUM!</v>
      </c>
      <c r="H49" s="69">
        <f t="shared" si="12"/>
        <v>42025</v>
      </c>
      <c r="I49" s="38" t="b">
        <f t="shared" si="15"/>
        <v>1</v>
      </c>
      <c r="J49" s="36" t="e">
        <f t="shared" si="16"/>
        <v>#NUM!</v>
      </c>
      <c r="K49" s="152" t="b">
        <f t="shared" si="13"/>
        <v>0</v>
      </c>
      <c r="L49" s="38" t="b">
        <f t="shared" si="1"/>
        <v>0</v>
      </c>
      <c r="M49" s="38" t="b">
        <f t="shared" si="2"/>
        <v>0</v>
      </c>
      <c r="N49" s="57" t="b">
        <f t="shared" si="17"/>
        <v>0</v>
      </c>
      <c r="O49" s="36" t="e">
        <f>_xll.qlInterpolationInterpolate($O$22,$H49)</f>
        <v>#NUM!</v>
      </c>
      <c r="P49" s="117" t="e">
        <f t="shared" si="7"/>
        <v>#NUM!</v>
      </c>
      <c r="Q49" s="64">
        <f>_xll.qlDayCounterYearFraction(DayCounter,$H49,$E49)</f>
        <v>9.166666666666666E-2</v>
      </c>
      <c r="R49" s="127" t="e">
        <f t="shared" si="8"/>
        <v>#NUM!</v>
      </c>
      <c r="S49" s="79" t="e">
        <f t="shared" si="18"/>
        <v>#NUM!</v>
      </c>
      <c r="T49" s="205" t="e">
        <f t="shared" si="19"/>
        <v>#NUM!</v>
      </c>
      <c r="U49" s="37" t="e">
        <v>#N/A</v>
      </c>
      <c r="V49" s="83" t="e">
        <v>#NUM!</v>
      </c>
    </row>
    <row r="52" spans="1:22" x14ac:dyDescent="0.2">
      <c r="K52" s="27"/>
      <c r="Q52" s="26"/>
      <c r="R52" s="27"/>
      <c r="T52" s="28"/>
      <c r="U52" s="20"/>
    </row>
    <row r="53" spans="1:22" x14ac:dyDescent="0.2">
      <c r="K53" s="27"/>
      <c r="Q53" s="26"/>
      <c r="R53" s="27"/>
      <c r="T53" s="28"/>
      <c r="U53" s="20"/>
    </row>
    <row r="54" spans="1:22" x14ac:dyDescent="0.2">
      <c r="K54" s="27"/>
      <c r="Q54" s="26"/>
      <c r="R54" s="27"/>
      <c r="T54" s="28"/>
      <c r="U54" s="20"/>
    </row>
    <row r="55" spans="1:22" x14ac:dyDescent="0.2">
      <c r="K55" s="27"/>
      <c r="Q55" s="26"/>
      <c r="R55" s="27"/>
      <c r="T55" s="28"/>
      <c r="U55" s="20"/>
    </row>
    <row r="56" spans="1:22" x14ac:dyDescent="0.2">
      <c r="K56" s="27"/>
      <c r="Q56" s="26"/>
      <c r="R56" s="27"/>
      <c r="T56" s="28"/>
      <c r="U56" s="20"/>
    </row>
    <row r="57" spans="1:22" x14ac:dyDescent="0.2">
      <c r="K57" s="27"/>
      <c r="Q57" s="26"/>
      <c r="R57" s="27"/>
      <c r="T57" s="28"/>
      <c r="U57" s="20"/>
    </row>
    <row r="58" spans="1:22" x14ac:dyDescent="0.2">
      <c r="K58" s="27"/>
      <c r="Q58" s="26"/>
      <c r="R58" s="27"/>
      <c r="T58" s="28"/>
      <c r="U58" s="20"/>
    </row>
    <row r="59" spans="1:22" x14ac:dyDescent="0.2">
      <c r="K59" s="27"/>
      <c r="Q59" s="26"/>
      <c r="R59" s="27"/>
      <c r="T59" s="28"/>
      <c r="U59" s="20"/>
    </row>
    <row r="60" spans="1:22" x14ac:dyDescent="0.2">
      <c r="K60" s="27"/>
      <c r="Q60" s="26"/>
      <c r="R60" s="27"/>
      <c r="T60" s="28"/>
      <c r="U60" s="20"/>
    </row>
    <row r="61" spans="1:22" x14ac:dyDescent="0.2">
      <c r="K61" s="27"/>
      <c r="Q61" s="26"/>
      <c r="R61" s="27"/>
      <c r="T61" s="28"/>
      <c r="U61" s="20"/>
    </row>
    <row r="62" spans="1:22" x14ac:dyDescent="0.2">
      <c r="K62" s="27"/>
      <c r="Q62" s="26"/>
      <c r="R62" s="27"/>
      <c r="T62" s="28"/>
      <c r="U62" s="20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8"/>
  <sheetViews>
    <sheetView topLeftCell="B1" workbookViewId="0">
      <selection activeCell="Q21" sqref="Q21"/>
    </sheetView>
  </sheetViews>
  <sheetFormatPr defaultRowHeight="11.25" x14ac:dyDescent="0.2"/>
  <cols>
    <col min="1" max="1" width="13.83203125" style="20" hidden="1" customWidth="1"/>
    <col min="2" max="2" width="17.6640625" style="20" bestFit="1" customWidth="1"/>
    <col min="3" max="3" width="23.6640625" style="20" bestFit="1" customWidth="1"/>
    <col min="4" max="5" width="16.5" style="20" bestFit="1" customWidth="1"/>
    <col min="6" max="6" width="8.83203125" style="20" bestFit="1" customWidth="1"/>
    <col min="7" max="7" width="8.33203125" style="20" bestFit="1" customWidth="1"/>
    <col min="8" max="8" width="16.5" style="20" bestFit="1" customWidth="1"/>
    <col min="9" max="9" width="6.6640625" style="20" bestFit="1" customWidth="1"/>
    <col min="10" max="10" width="8.33203125" style="20" bestFit="1" customWidth="1"/>
    <col min="11" max="14" width="6.6640625" style="20" bestFit="1" customWidth="1"/>
    <col min="15" max="15" width="14.6640625" style="20" bestFit="1" customWidth="1"/>
    <col min="16" max="16" width="7" style="20" bestFit="1" customWidth="1"/>
    <col min="17" max="17" width="9.5" style="20" bestFit="1" customWidth="1"/>
    <col min="18" max="18" width="11.33203125" style="20" bestFit="1" customWidth="1"/>
    <col min="19" max="19" width="8.33203125" style="20" bestFit="1" customWidth="1"/>
    <col min="20" max="20" width="14.1640625" style="20" customWidth="1"/>
    <col min="21" max="21" width="16.5" style="20" bestFit="1" customWidth="1"/>
    <col min="22" max="22" width="9" style="20" bestFit="1" customWidth="1"/>
    <col min="23" max="16384" width="9.33203125" style="20"/>
  </cols>
  <sheetData>
    <row r="1" spans="1:18" customFormat="1" x14ac:dyDescent="0.2">
      <c r="O1" s="124" t="s">
        <v>48</v>
      </c>
    </row>
    <row r="2" spans="1:18" customFormat="1" x14ac:dyDescent="0.2">
      <c r="O2" s="20" t="b">
        <v>0</v>
      </c>
    </row>
    <row r="3" spans="1:18" customFormat="1" x14ac:dyDescent="0.2"/>
    <row r="4" spans="1:18" customFormat="1" x14ac:dyDescent="0.2"/>
    <row r="5" spans="1:18" customFormat="1" x14ac:dyDescent="0.2"/>
    <row r="6" spans="1:18" customFormat="1" x14ac:dyDescent="0.2"/>
    <row r="7" spans="1:18" customFormat="1" x14ac:dyDescent="0.2">
      <c r="Q7" s="347"/>
    </row>
    <row r="8" spans="1:18" customFormat="1" x14ac:dyDescent="0.2">
      <c r="A8">
        <v>3</v>
      </c>
      <c r="B8" t="str">
        <f>"AB"&amp;Months&amp;"E"&amp;A8&amp;"Y"</f>
        <v>AB3E3Y</v>
      </c>
      <c r="C8" t="str">
        <f>RateHelperPrefix&amp;$B8</f>
        <v>GBP_YC3MRH_AB3E3Y</v>
      </c>
      <c r="F8" s="228" t="e">
        <f>_xll.qlRateHelperQuoteValue(C8,SheetTrigger)</f>
        <v>#NUM!</v>
      </c>
    </row>
    <row r="9" spans="1:18" customFormat="1" x14ac:dyDescent="0.2">
      <c r="A9">
        <v>4</v>
      </c>
      <c r="B9" t="str">
        <f>"AB"&amp;Months&amp;"E"&amp;A9&amp;"Y"</f>
        <v>AB3E4Y</v>
      </c>
      <c r="C9" t="str">
        <f>RateHelperPrefix&amp;$B9</f>
        <v>GBP_YC3MRH_AB3E4Y</v>
      </c>
      <c r="F9" s="228" t="e">
        <f>_xll.qlRateHelperQuoteValue(C9,SheetTrigger)</f>
        <v>#NUM!</v>
      </c>
    </row>
    <row r="10" spans="1:18" customFormat="1" x14ac:dyDescent="0.2">
      <c r="A10">
        <v>5</v>
      </c>
      <c r="B10" t="str">
        <f>"AB"&amp;Months&amp;"E"&amp;A10&amp;"Y"</f>
        <v>AB3E5Y</v>
      </c>
      <c r="C10" t="str">
        <f>RateHelperPrefix&amp;$B10</f>
        <v>GBP_YC3MRH_AB3E5Y</v>
      </c>
      <c r="F10" s="228" t="e">
        <f>_xll.qlRateHelperQuoteValue(C10,SheetTrigger)</f>
        <v>#NUM!</v>
      </c>
    </row>
    <row r="11" spans="1:18" customFormat="1" x14ac:dyDescent="0.2"/>
    <row r="12" spans="1:18" customFormat="1" x14ac:dyDescent="0.2">
      <c r="R12" s="20"/>
    </row>
    <row r="13" spans="1:18" customFormat="1" x14ac:dyDescent="0.2">
      <c r="R13" s="20"/>
    </row>
    <row r="14" spans="1:18" customFormat="1" x14ac:dyDescent="0.2">
      <c r="R14" s="20"/>
    </row>
    <row r="15" spans="1:18" customFormat="1" x14ac:dyDescent="0.2"/>
    <row r="16" spans="1:18" customFormat="1" x14ac:dyDescent="0.2"/>
    <row r="17" spans="1:22" customFormat="1" x14ac:dyDescent="0.2"/>
    <row r="18" spans="1:22" customFormat="1" x14ac:dyDescent="0.2"/>
    <row r="19" spans="1:22" customFormat="1" x14ac:dyDescent="0.2">
      <c r="K19" s="20"/>
    </row>
    <row r="20" spans="1:22" x14ac:dyDescent="0.2">
      <c r="A20" s="124">
        <v>3</v>
      </c>
      <c r="B20" s="45"/>
      <c r="G20" s="45"/>
      <c r="J20" s="45"/>
      <c r="L20" s="45"/>
      <c r="M20" s="24"/>
      <c r="N20" s="45"/>
      <c r="O20" s="39"/>
      <c r="P20" s="126">
        <f>IF(ISBLANK($O20),AVERAGE(_xll.ohFilter($P23:$P33,$L23:$L33)),$O20)</f>
        <v>-3.5165606650086265E-5</v>
      </c>
      <c r="Q20" s="334">
        <f>'1M'!TOY</f>
        <v>1</v>
      </c>
      <c r="R20" s="332">
        <f>IF(ISBLANK($Q20),MIN(AVERAGE(_xll.ohFilter($R23:$R33,$L23:$L33)),1),$Q20)</f>
        <v>1</v>
      </c>
      <c r="S20" s="143" t="s">
        <v>19</v>
      </c>
      <c r="T20" s="45"/>
      <c r="U20" s="17" t="str">
        <f>_xll.qlInterpolation(,FwdInterpolationType,_xll.ohFilter($H23:$H52,$K23:$K52),_xll.ohFilter($S23:$S52,$K23:$K52))</f>
        <v>obj_00099#0005</v>
      </c>
    </row>
    <row r="21" spans="1:22" x14ac:dyDescent="0.2">
      <c r="A21" s="326" t="str">
        <f>_xll.qlPeriodEquivalent(A20&amp;"M")</f>
        <v>3M</v>
      </c>
      <c r="B21" s="45"/>
      <c r="D21" s="45"/>
      <c r="E21" s="45"/>
      <c r="G21" s="45"/>
      <c r="J21" s="45"/>
      <c r="L21" s="45"/>
      <c r="M21" s="24"/>
      <c r="N21" s="45"/>
      <c r="O21" s="68"/>
      <c r="P21" s="127">
        <f>IF(ISBLANK($O21),AVERAGE(_xll.ohFilter($P23:$P33,$M23:$M33)),$O21)</f>
        <v>1.9568993575585017E-4</v>
      </c>
      <c r="Q21" s="335"/>
      <c r="R21" s="333">
        <f>IF(ISBLANK($Q21),MIN(AVERAGE(_xll.ohFilter($R23:$R33,$M23:$M33)),1),$Q21)</f>
        <v>0.99995073549694913</v>
      </c>
      <c r="S21" s="144" t="s">
        <v>24</v>
      </c>
      <c r="T21" s="45"/>
      <c r="U21" s="21" t="str">
        <f>_xll.qlInterpolation(,FwdInterpolationType,_xll.ohFilter($H23:$H41,$K23:$K41),_xll.ohFilter($S23:$S41,$K23:$K41))</f>
        <v>obj_0009a#0005</v>
      </c>
      <c r="V21" s="59"/>
    </row>
    <row r="22" spans="1:22" x14ac:dyDescent="0.2">
      <c r="A22" s="45" t="str">
        <f>Currency&amp;"_YC"&amp;IndexTenor&amp;"RH_"</f>
        <v>GBP_YC3MRH_</v>
      </c>
      <c r="B22" s="125">
        <v>0</v>
      </c>
      <c r="C22" s="145" t="s">
        <v>12</v>
      </c>
      <c r="D22" s="150" t="s">
        <v>11</v>
      </c>
      <c r="E22" s="147" t="s">
        <v>10</v>
      </c>
      <c r="F22" s="145" t="s">
        <v>38</v>
      </c>
      <c r="G22" s="146"/>
      <c r="H22" s="147" t="s">
        <v>34</v>
      </c>
      <c r="I22" s="150" t="s">
        <v>42</v>
      </c>
      <c r="J22" s="150" t="s">
        <v>39</v>
      </c>
      <c r="K22" s="54" t="s">
        <v>43</v>
      </c>
      <c r="L22" s="150" t="s">
        <v>37</v>
      </c>
      <c r="M22" s="150" t="s">
        <v>24</v>
      </c>
      <c r="N22" s="148" t="s">
        <v>41</v>
      </c>
      <c r="O22" s="184" t="str">
        <f>_xll.qlInterpolation(,FwdInterpolationType,_xll.ohFilter($H23:$H41,$N23:$N41),_xll.ohFilter($J23:$J41,$N23:$N41))</f>
        <v>obj_00084#0015</v>
      </c>
      <c r="P22" s="185" t="s">
        <v>15</v>
      </c>
      <c r="Q22" s="185" t="s">
        <v>16</v>
      </c>
      <c r="R22" s="153" t="s">
        <v>17</v>
      </c>
      <c r="S22" s="186" t="s">
        <v>44</v>
      </c>
      <c r="T22" s="187" t="s">
        <v>15</v>
      </c>
      <c r="U22" s="160">
        <f>D23</f>
        <v>41659</v>
      </c>
      <c r="V22" s="161">
        <f>_xll.qlInterpolationInterpolate(ExtFwdInterpolator,U22,TRUE)</f>
        <v>5.2069999999999998E-3</v>
      </c>
    </row>
    <row r="23" spans="1:22" x14ac:dyDescent="0.2">
      <c r="A23" s="74">
        <f>_xll.ohTrigger(Triggers!TriggerTOY3M,EvaluationDate)</f>
        <v>15</v>
      </c>
      <c r="B23" s="191" t="str">
        <f>IndexTenor&amp;"D"</f>
        <v>3MD</v>
      </c>
      <c r="C23" s="32" t="str">
        <f t="shared" ref="C23:C41" si="0">RateHelperPrefix&amp;$B23</f>
        <v>GBP_YC3MRH_3MD</v>
      </c>
      <c r="D23" s="84">
        <f>_xll.qlRateHelperEarliestDate($C23,EvaluationDate)</f>
        <v>41659</v>
      </c>
      <c r="E23" s="84">
        <f>_xll.qlRateHelperLatestDate($C23,EvaluationDate)</f>
        <v>41751</v>
      </c>
      <c r="F23" s="85">
        <f>_xll.qlRateHelperQuoteValue($C23,SheetTrigger)</f>
        <v>5.2069999999999998E-3</v>
      </c>
      <c r="G23" s="194"/>
      <c r="H23" s="84">
        <f>$D23</f>
        <v>41659</v>
      </c>
      <c r="I23" s="190" t="b">
        <v>1</v>
      </c>
      <c r="J23" s="30">
        <f>F23</f>
        <v>5.2069999999999998E-3</v>
      </c>
      <c r="K23" s="151" t="b">
        <f t="shared" ref="K23:K35" si="1">AND(ISNUMBER(J23),I23)</f>
        <v>1</v>
      </c>
      <c r="L23" s="39" t="b">
        <f t="shared" ref="L23:L52" si="2">NOT(OR($H23&gt;LastDayInYear,$E23&lt;=LastDayInYear))</f>
        <v>0</v>
      </c>
      <c r="M23" s="32" t="b">
        <f t="shared" ref="M23:M52" si="3">NOT(OR($H23&gt;LastDayInNextYear,$E23&lt;=LastDayInNextYear))</f>
        <v>0</v>
      </c>
      <c r="N23" s="193" t="b">
        <v>0</v>
      </c>
      <c r="O23" s="81" t="e">
        <f>_xll.qlInterpolationInterpolate($O$22,$H23)</f>
        <v>#NUM!</v>
      </c>
      <c r="P23" s="115" t="e">
        <f>$J23-$O23</f>
        <v>#NUM!</v>
      </c>
      <c r="Q23" s="62">
        <f>_xll.qlDayCounterYearFraction(DayCounter,$H23,$E23)</f>
        <v>0.25555555555555554</v>
      </c>
      <c r="R23" s="134" t="e">
        <f>(1+$O23*$Q23)/(1+$J23*$Q23)</f>
        <v>#NUM!</v>
      </c>
      <c r="S23" s="73">
        <f t="shared" ref="S23:S41" si="4">IF($L23,(TOY*(1+$J23*$Q23)-1)/$Q23,IF($M23,(_TOY2*(1+$J23*$Q23)-1)/$Q23,$J23))</f>
        <v>5.2069999999999998E-3</v>
      </c>
      <c r="T23" s="234">
        <f>S23-J23</f>
        <v>0</v>
      </c>
      <c r="U23" s="31">
        <f t="array" ref="U23:U52">SelectionSort(_xll.ohFilter(H23:H52,K23:K52))</f>
        <v>41659</v>
      </c>
      <c r="V23" s="240" t="e">
        <f t="array" ref="V23:V52">_xll.qlInterpolationInterpolate(ExtFwdInterpolator,_xll.ohPack(U23:U52))</f>
        <v>#NUM!</v>
      </c>
    </row>
    <row r="24" spans="1:22" x14ac:dyDescent="0.2">
      <c r="A24" s="74" t="str">
        <f>PROPER(Currency)&amp;IF(UPPER(Currency)&lt;&gt;"EUR","L","")&amp;"ibor"&amp;IndexTenor</f>
        <v>GbpLibor3M</v>
      </c>
      <c r="B24" s="192" t="s">
        <v>45</v>
      </c>
      <c r="C24" s="38" t="str">
        <f>A24&amp;B24&amp;"_Quote"</f>
        <v>GbpLibor3MLastFixing_Quote</v>
      </c>
      <c r="D24" s="196">
        <f>_xll.qlCalendarAdvance(Calendar,_xll.qlLastFixingQuoteReferenceDate(C24),"2D","f",,SheetTrigger)</f>
        <v>41661</v>
      </c>
      <c r="E24" s="196">
        <f>_xll.qlCalendarAdvance(Calendar,D24,IndexTenor,"Modified Following",TRUE,SheetTrigger)</f>
        <v>41751</v>
      </c>
      <c r="F24" s="80">
        <f>_xll.qlQuoteValue(C24,SheetTrigger)</f>
        <v>5.1969E-3</v>
      </c>
      <c r="G24" s="195"/>
      <c r="H24" s="69">
        <f>H23</f>
        <v>41659</v>
      </c>
      <c r="I24" s="188" t="b">
        <v>0</v>
      </c>
      <c r="J24" s="36">
        <f>F24</f>
        <v>5.1969E-3</v>
      </c>
      <c r="K24" s="152" t="b">
        <f t="shared" si="1"/>
        <v>0</v>
      </c>
      <c r="L24" s="52" t="b">
        <f t="shared" si="2"/>
        <v>0</v>
      </c>
      <c r="M24" s="38" t="b">
        <f t="shared" si="3"/>
        <v>0</v>
      </c>
      <c r="N24" s="189" t="b">
        <v>0</v>
      </c>
      <c r="O24" s="77" t="e">
        <f>_xll.qlInterpolationInterpolate($O$22,$H24)</f>
        <v>#NUM!</v>
      </c>
      <c r="P24" s="117" t="e">
        <f>$J24-$O24</f>
        <v>#NUM!</v>
      </c>
      <c r="Q24" s="64">
        <f>_xll.qlDayCounterYearFraction(DayCounter,$H24,$E24)</f>
        <v>0.25555555555555554</v>
      </c>
      <c r="R24" s="136" t="e">
        <f>(1+$O24*$Q24)/(1+$J24*$Q24)</f>
        <v>#NUM!</v>
      </c>
      <c r="S24" s="56">
        <f t="shared" si="4"/>
        <v>5.1969E-3</v>
      </c>
      <c r="T24" s="235">
        <f>S24-J24</f>
        <v>0</v>
      </c>
      <c r="U24" s="34">
        <v>41717</v>
      </c>
      <c r="V24" s="82" t="e">
        <v>#NUM!</v>
      </c>
    </row>
    <row r="25" spans="1:22" x14ac:dyDescent="0.2">
      <c r="A25" s="74" t="b">
        <v>0</v>
      </c>
      <c r="B25" s="131" t="str">
        <f>"FUT"&amp;IndexTenor&amp;_xll.qlIMMNextCodes(SettlementDate+$B$22,A25)</f>
        <v>FUT3MG4</v>
      </c>
      <c r="C25" s="45" t="str">
        <f t="shared" si="0"/>
        <v>GBP_YC3MRH_FUT3MG4</v>
      </c>
      <c r="D25" s="22">
        <f>_xll.qlRateHelperEarliestDate($C25,EvaluationDate)</f>
        <v>41689</v>
      </c>
      <c r="E25" s="22">
        <f>_xll.qlRateHelperLatestDate($C25,EvaluationDate)</f>
        <v>41778</v>
      </c>
      <c r="F25" s="112" t="e">
        <f>_xll.qlRateHelperQuoteValue($C25,SheetTrigger)</f>
        <v>#NUM!</v>
      </c>
      <c r="G25" s="111" t="e">
        <f>_xll.qlFuturesRateHelperConvexityAdjustment($C25,SheetTrigger)</f>
        <v>#NUM!</v>
      </c>
      <c r="H25" s="22">
        <f>$D25</f>
        <v>41689</v>
      </c>
      <c r="I25" s="24" t="b">
        <v>1</v>
      </c>
      <c r="J25" s="25" t="e">
        <f>1-$F25/100-$G25</f>
        <v>#NUM!</v>
      </c>
      <c r="K25" s="151" t="b">
        <f t="shared" si="1"/>
        <v>0</v>
      </c>
      <c r="L25" s="23" t="b">
        <f t="shared" si="2"/>
        <v>0</v>
      </c>
      <c r="M25" s="24" t="b">
        <f t="shared" si="3"/>
        <v>0</v>
      </c>
      <c r="N25" s="76" t="b">
        <f t="shared" ref="N25:N41" si="5">IF(K25,AND(NOT($L25),NOT($M25)),FALSE)</f>
        <v>0</v>
      </c>
      <c r="O25" s="75" t="e">
        <f>_xll.qlInterpolationInterpolate($O$22,$H25)</f>
        <v>#NUM!</v>
      </c>
      <c r="P25" s="116" t="e">
        <f t="shared" ref="P25:P52" si="6">$J25-$O25</f>
        <v>#NUM!</v>
      </c>
      <c r="Q25" s="63">
        <f>_xll.qlDayCounterYearFraction(DayCounter,$H25,$E25)</f>
        <v>0.24722222222222223</v>
      </c>
      <c r="R25" s="135" t="e">
        <f t="shared" ref="R25:R52" si="7">(1+$O25*$Q25)/(1+$J25*$Q25)</f>
        <v>#NUM!</v>
      </c>
      <c r="S25" s="65" t="e">
        <f t="shared" si="4"/>
        <v>#NUM!</v>
      </c>
      <c r="T25" s="238" t="e">
        <f>S25-J25</f>
        <v>#NUM!</v>
      </c>
      <c r="U25" s="34">
        <v>41808</v>
      </c>
      <c r="V25" s="82" t="e">
        <v>#NUM!</v>
      </c>
    </row>
    <row r="26" spans="1:22" x14ac:dyDescent="0.2">
      <c r="A26" s="159" t="b">
        <f>IF(ISERROR(FIND(LEFT(_xll.qlIMMcode(D25),1),"HMUZ")),TRUE,FALSE)</f>
        <v>1</v>
      </c>
      <c r="B26" s="131" t="str">
        <f>"FUT"&amp;IndexTenor&amp;_xll.qlIMMNextCodes(D25,A26)</f>
        <v>FUT3MH4</v>
      </c>
      <c r="C26" s="45" t="str">
        <f t="shared" si="0"/>
        <v>GBP_YC3MRH_FUT3MH4</v>
      </c>
      <c r="D26" s="22">
        <f>_xll.qlRateHelperEarliestDate($C26,EvaluationDate)</f>
        <v>41717</v>
      </c>
      <c r="E26" s="22">
        <f>_xll.qlRateHelperLatestDate($C26,EvaluationDate)</f>
        <v>41809</v>
      </c>
      <c r="F26" s="112">
        <f>_xll.qlRateHelperQuoteValue($C26,SheetTrigger)</f>
        <v>99.454999999999998</v>
      </c>
      <c r="G26" s="111">
        <f>_xll.qlFuturesRateHelperConvexityAdjustment($C26,SheetTrigger)</f>
        <v>3.9587421851852799E-6</v>
      </c>
      <c r="H26" s="22">
        <f t="shared" ref="H26:H41" si="8">$D26</f>
        <v>41717</v>
      </c>
      <c r="I26" s="24" t="b">
        <v>1</v>
      </c>
      <c r="J26" s="25">
        <f t="shared" ref="J26:J33" si="9">1-$F26/100-$G26</f>
        <v>5.446041257814881E-3</v>
      </c>
      <c r="K26" s="151" t="b">
        <f t="shared" si="1"/>
        <v>1</v>
      </c>
      <c r="L26" s="23" t="b">
        <f t="shared" si="2"/>
        <v>0</v>
      </c>
      <c r="M26" s="24" t="b">
        <f t="shared" si="3"/>
        <v>0</v>
      </c>
      <c r="N26" s="76" t="b">
        <f t="shared" si="5"/>
        <v>1</v>
      </c>
      <c r="O26" s="75">
        <f>_xll.qlInterpolationInterpolate($O$22,$H26)</f>
        <v>5.446041257814881E-3</v>
      </c>
      <c r="P26" s="116">
        <f t="shared" si="6"/>
        <v>0</v>
      </c>
      <c r="Q26" s="63">
        <f>_xll.qlDayCounterYearFraction(DayCounter,$H26,$E26)</f>
        <v>0.25555555555555554</v>
      </c>
      <c r="R26" s="135">
        <f t="shared" si="7"/>
        <v>1</v>
      </c>
      <c r="S26" s="65">
        <f t="shared" si="4"/>
        <v>5.446041257814881E-3</v>
      </c>
      <c r="T26" s="238">
        <f>S26-J26</f>
        <v>0</v>
      </c>
      <c r="U26" s="34">
        <v>41899</v>
      </c>
      <c r="V26" s="82" t="e">
        <v>#NUM!</v>
      </c>
    </row>
    <row r="27" spans="1:22" x14ac:dyDescent="0.2">
      <c r="A27" t="b">
        <v>1</v>
      </c>
      <c r="B27" s="131" t="str">
        <f>"FUT"&amp;IndexTenor&amp;_xll.qlIMMNextCodes(D26,A27)</f>
        <v>FUT3MM4</v>
      </c>
      <c r="C27" s="45" t="str">
        <f t="shared" si="0"/>
        <v>GBP_YC3MRH_FUT3MM4</v>
      </c>
      <c r="D27" s="22">
        <f>_xll.qlRateHelperEarliestDate($C27,EvaluationDate)</f>
        <v>41808</v>
      </c>
      <c r="E27" s="22">
        <f>_xll.qlRateHelperLatestDate($C27,EvaluationDate)</f>
        <v>41900</v>
      </c>
      <c r="F27" s="112">
        <f>_xll.qlRateHelperQuoteValue($C27,SheetTrigger)</f>
        <v>99.405000000000001</v>
      </c>
      <c r="G27" s="111">
        <f>_xll.qlFuturesRateHelperConvexityAdjustment($C27,SheetTrigger)</f>
        <v>1.3902673329010408E-5</v>
      </c>
      <c r="H27" s="22">
        <f t="shared" si="8"/>
        <v>41808</v>
      </c>
      <c r="I27" s="24" t="b">
        <v>1</v>
      </c>
      <c r="J27" s="25">
        <f t="shared" si="9"/>
        <v>5.9360973266710006E-3</v>
      </c>
      <c r="K27" s="151" t="b">
        <f t="shared" si="1"/>
        <v>1</v>
      </c>
      <c r="L27" s="23" t="b">
        <f t="shared" si="2"/>
        <v>0</v>
      </c>
      <c r="M27" s="24" t="b">
        <f t="shared" si="3"/>
        <v>0</v>
      </c>
      <c r="N27" s="76" t="b">
        <f t="shared" si="5"/>
        <v>1</v>
      </c>
      <c r="O27" s="75">
        <f>_xll.qlInterpolationInterpolate($O$22,$H27)</f>
        <v>5.9360973266710006E-3</v>
      </c>
      <c r="P27" s="116">
        <f t="shared" si="6"/>
        <v>0</v>
      </c>
      <c r="Q27" s="63">
        <f>_xll.qlDayCounterYearFraction(DayCounter,$H27,$E27)</f>
        <v>0.25555555555555554</v>
      </c>
      <c r="R27" s="135">
        <f t="shared" si="7"/>
        <v>1</v>
      </c>
      <c r="S27" s="65">
        <f t="shared" si="4"/>
        <v>5.9360973266710006E-3</v>
      </c>
      <c r="T27" s="238">
        <f t="shared" ref="T27:T43" si="10">S27-J27</f>
        <v>0</v>
      </c>
      <c r="U27" s="34">
        <v>41990</v>
      </c>
      <c r="V27" s="82" t="e">
        <v>#NUM!</v>
      </c>
    </row>
    <row r="28" spans="1:22" x14ac:dyDescent="0.2">
      <c r="A28" t="b">
        <v>1</v>
      </c>
      <c r="B28" s="131" t="str">
        <f>"FUT"&amp;IndexTenor&amp;_xll.qlIMMNextCodes(D27,A28)</f>
        <v>FUT3MU4</v>
      </c>
      <c r="C28" s="45" t="str">
        <f t="shared" si="0"/>
        <v>GBP_YC3MRH_FUT3MU4</v>
      </c>
      <c r="D28" s="22">
        <f>_xll.qlRateHelperEarliestDate($C28,EvaluationDate)</f>
        <v>41899</v>
      </c>
      <c r="E28" s="22">
        <f>_xll.qlRateHelperLatestDate($C28,EvaluationDate)</f>
        <v>41990</v>
      </c>
      <c r="F28" s="112">
        <f>_xll.qlRateHelperQuoteValue($C28,SheetTrigger)</f>
        <v>99.314999999999998</v>
      </c>
      <c r="G28" s="111">
        <f>_xll.qlFuturesRateHelperConvexityAdjustment($C28,SheetTrigger)</f>
        <v>2.8188300959566827E-5</v>
      </c>
      <c r="H28" s="22">
        <f t="shared" si="8"/>
        <v>41899</v>
      </c>
      <c r="I28" s="24" t="b">
        <v>1</v>
      </c>
      <c r="J28" s="25">
        <f t="shared" si="9"/>
        <v>6.8218116990404563E-3</v>
      </c>
      <c r="K28" s="151" t="b">
        <f t="shared" si="1"/>
        <v>1</v>
      </c>
      <c r="L28" s="23" t="b">
        <f t="shared" si="2"/>
        <v>0</v>
      </c>
      <c r="M28" s="24" t="b">
        <f t="shared" si="3"/>
        <v>0</v>
      </c>
      <c r="N28" s="76" t="b">
        <f t="shared" si="5"/>
        <v>1</v>
      </c>
      <c r="O28" s="75">
        <f>_xll.qlInterpolationInterpolate($O$22,$H28)</f>
        <v>6.8218116990404563E-3</v>
      </c>
      <c r="P28" s="116">
        <f t="shared" si="6"/>
        <v>0</v>
      </c>
      <c r="Q28" s="63">
        <f>_xll.qlDayCounterYearFraction(DayCounter,$H28,$E28)</f>
        <v>0.25277777777777777</v>
      </c>
      <c r="R28" s="135">
        <f t="shared" si="7"/>
        <v>1</v>
      </c>
      <c r="S28" s="65">
        <f t="shared" si="4"/>
        <v>6.8218116990404563E-3</v>
      </c>
      <c r="T28" s="238">
        <f t="shared" si="10"/>
        <v>0</v>
      </c>
      <c r="U28" s="34">
        <v>42081</v>
      </c>
      <c r="V28" s="82" t="e">
        <v>#NUM!</v>
      </c>
    </row>
    <row r="29" spans="1:22" x14ac:dyDescent="0.2">
      <c r="A29" t="b">
        <v>1</v>
      </c>
      <c r="B29" s="131" t="str">
        <f>"FUT"&amp;IndexTenor&amp;_xll.qlIMMNextCodes(D28,A29)</f>
        <v>FUT3MZ4</v>
      </c>
      <c r="C29" s="45" t="str">
        <f t="shared" si="0"/>
        <v>GBP_YC3MRH_FUT3MZ4</v>
      </c>
      <c r="D29" s="22">
        <f>_xll.qlRateHelperEarliestDate($C29,EvaluationDate)</f>
        <v>41990</v>
      </c>
      <c r="E29" s="22">
        <f>_xll.qlRateHelperLatestDate($C29,EvaluationDate)</f>
        <v>42080</v>
      </c>
      <c r="F29" s="112">
        <f>_xll.qlRateHelperQuoteValue($C29,SheetTrigger)</f>
        <v>99.175000000000011</v>
      </c>
      <c r="G29" s="111">
        <f>_xll.qlFuturesRateHelperConvexityAdjustment($C29,SheetTrigger)</f>
        <v>4.6757869538622671E-5</v>
      </c>
      <c r="H29" s="22">
        <f t="shared" si="8"/>
        <v>41990</v>
      </c>
      <c r="I29" s="24" t="b">
        <v>1</v>
      </c>
      <c r="J29" s="25">
        <f t="shared" si="9"/>
        <v>8.2032421304612455E-3</v>
      </c>
      <c r="K29" s="151" t="b">
        <f t="shared" si="1"/>
        <v>1</v>
      </c>
      <c r="L29" s="23" t="b">
        <f t="shared" si="2"/>
        <v>1</v>
      </c>
      <c r="M29" s="24" t="b">
        <f t="shared" si="3"/>
        <v>0</v>
      </c>
      <c r="N29" s="76" t="b">
        <f t="shared" si="5"/>
        <v>0</v>
      </c>
      <c r="O29" s="75">
        <f>_xll.qlInterpolationInterpolate($O$22,$H29)</f>
        <v>8.2384077371113317E-3</v>
      </c>
      <c r="P29" s="116">
        <f t="shared" si="6"/>
        <v>-3.5165606650086265E-5</v>
      </c>
      <c r="Q29" s="63">
        <f>_xll.qlDayCounterYearFraction(DayCounter,$H29,$E29)</f>
        <v>0.25</v>
      </c>
      <c r="R29" s="135">
        <f t="shared" si="7"/>
        <v>1.0000087734090628</v>
      </c>
      <c r="S29" s="65">
        <f t="shared" si="4"/>
        <v>8.2032421304614189E-3</v>
      </c>
      <c r="T29" s="238">
        <f t="shared" si="10"/>
        <v>1.7347234759768071E-16</v>
      </c>
      <c r="U29" s="34">
        <v>42172</v>
      </c>
      <c r="V29" s="82" t="e">
        <v>#NUM!</v>
      </c>
    </row>
    <row r="30" spans="1:22" x14ac:dyDescent="0.2">
      <c r="A30" t="b">
        <v>1</v>
      </c>
      <c r="B30" s="131" t="str">
        <f>"FUT"&amp;IndexTenor&amp;_xll.qlIMMNextCodes(D29,A30)</f>
        <v>FUT3MH5</v>
      </c>
      <c r="C30" s="45" t="str">
        <f t="shared" si="0"/>
        <v>GBP_YC3MRH_FUT3MH5</v>
      </c>
      <c r="D30" s="22">
        <f>_xll.qlRateHelperEarliestDate($C30,EvaluationDate)</f>
        <v>42081</v>
      </c>
      <c r="E30" s="22">
        <f>_xll.qlRateHelperLatestDate($C30,EvaluationDate)</f>
        <v>42173</v>
      </c>
      <c r="F30" s="112">
        <f>_xll.qlRateHelperQuoteValue($C30,SheetTrigger)</f>
        <v>98.995000000000005</v>
      </c>
      <c r="G30" s="111">
        <f>_xll.qlFuturesRateHelperConvexityAdjustment($C30,SheetTrigger)</f>
        <v>7.021170702997738E-5</v>
      </c>
      <c r="H30" s="22">
        <f t="shared" si="8"/>
        <v>42081</v>
      </c>
      <c r="I30" s="24" t="b">
        <v>1</v>
      </c>
      <c r="J30" s="25">
        <f t="shared" si="9"/>
        <v>9.9797882929700266E-3</v>
      </c>
      <c r="K30" s="151" t="b">
        <f t="shared" si="1"/>
        <v>1</v>
      </c>
      <c r="L30" s="23" t="b">
        <f t="shared" si="2"/>
        <v>0</v>
      </c>
      <c r="M30" s="24" t="b">
        <f t="shared" si="3"/>
        <v>0</v>
      </c>
      <c r="N30" s="76" t="b">
        <f t="shared" si="5"/>
        <v>1</v>
      </c>
      <c r="O30" s="75">
        <f>_xll.qlInterpolationInterpolate($O$22,$H30)</f>
        <v>9.9797882929700266E-3</v>
      </c>
      <c r="P30" s="116">
        <f t="shared" si="6"/>
        <v>0</v>
      </c>
      <c r="Q30" s="63">
        <f>_xll.qlDayCounterYearFraction(DayCounter,$H30,$E30)</f>
        <v>0.25555555555555554</v>
      </c>
      <c r="R30" s="135">
        <f t="shared" si="7"/>
        <v>1</v>
      </c>
      <c r="S30" s="65">
        <f t="shared" si="4"/>
        <v>9.9797882929700266E-3</v>
      </c>
      <c r="T30" s="238">
        <f t="shared" si="10"/>
        <v>0</v>
      </c>
      <c r="U30" s="34">
        <v>42263</v>
      </c>
      <c r="V30" s="82" t="e">
        <v>#NUM!</v>
      </c>
    </row>
    <row r="31" spans="1:22" x14ac:dyDescent="0.2">
      <c r="A31" t="b">
        <v>1</v>
      </c>
      <c r="B31" s="131" t="str">
        <f>"FUT"&amp;IndexTenor&amp;_xll.qlIMMNextCodes(D30,A31)</f>
        <v>FUT3MM5</v>
      </c>
      <c r="C31" s="45" t="str">
        <f t="shared" si="0"/>
        <v>GBP_YC3MRH_FUT3MM5</v>
      </c>
      <c r="D31" s="22">
        <f>_xll.qlRateHelperEarliestDate($C31,EvaluationDate)</f>
        <v>42172</v>
      </c>
      <c r="E31" s="22">
        <f>_xll.qlRateHelperLatestDate($C31,EvaluationDate)</f>
        <v>42264</v>
      </c>
      <c r="F31" s="112">
        <f>_xll.qlRateHelperQuoteValue($C31,SheetTrigger)</f>
        <v>98.805000000000007</v>
      </c>
      <c r="G31" s="111">
        <f>_xll.qlFuturesRateHelperConvexityAdjustment($C31,SheetTrigger)</f>
        <v>9.7503855776168101E-5</v>
      </c>
      <c r="H31" s="22">
        <f t="shared" si="8"/>
        <v>42172</v>
      </c>
      <c r="I31" s="24" t="b">
        <v>1</v>
      </c>
      <c r="J31" s="25">
        <f t="shared" si="9"/>
        <v>1.1852496144223738E-2</v>
      </c>
      <c r="K31" s="151" t="b">
        <f t="shared" si="1"/>
        <v>1</v>
      </c>
      <c r="L31" s="23" t="b">
        <f t="shared" si="2"/>
        <v>0</v>
      </c>
      <c r="M31" s="24" t="b">
        <f t="shared" si="3"/>
        <v>0</v>
      </c>
      <c r="N31" s="76" t="b">
        <f t="shared" si="5"/>
        <v>1</v>
      </c>
      <c r="O31" s="75">
        <f>_xll.qlInterpolationInterpolate($O$22,$H31)</f>
        <v>1.1852496144223738E-2</v>
      </c>
      <c r="P31" s="116">
        <f t="shared" si="6"/>
        <v>0</v>
      </c>
      <c r="Q31" s="63">
        <f>_xll.qlDayCounterYearFraction(DayCounter,$H31,$E31)</f>
        <v>0.25555555555555554</v>
      </c>
      <c r="R31" s="135">
        <f t="shared" si="7"/>
        <v>1</v>
      </c>
      <c r="S31" s="65">
        <f t="shared" si="4"/>
        <v>1.1852496144223738E-2</v>
      </c>
      <c r="T31" s="238">
        <f>S31-J31</f>
        <v>0</v>
      </c>
      <c r="U31" s="34">
        <v>42354</v>
      </c>
      <c r="V31" s="82" t="e">
        <v>#NUM!</v>
      </c>
    </row>
    <row r="32" spans="1:22" x14ac:dyDescent="0.2">
      <c r="A32" t="b">
        <v>1</v>
      </c>
      <c r="B32" s="131" t="str">
        <f>"FUT"&amp;IndexTenor&amp;_xll.qlIMMNextCodes(D31,A32)</f>
        <v>FUT3MU5</v>
      </c>
      <c r="C32" s="45" t="str">
        <f t="shared" si="0"/>
        <v>GBP_YC3MRH_FUT3MU5</v>
      </c>
      <c r="D32" s="22">
        <f>_xll.qlRateHelperEarliestDate($C32,EvaluationDate)</f>
        <v>42263</v>
      </c>
      <c r="E32" s="22">
        <f>_xll.qlRateHelperLatestDate($C32,EvaluationDate)</f>
        <v>42354</v>
      </c>
      <c r="F32" s="112">
        <f>_xll.qlRateHelperQuoteValue($C32,SheetTrigger)</f>
        <v>98.594999999999999</v>
      </c>
      <c r="G32" s="111">
        <f>_xll.qlFuturesRateHelperConvexityAdjustment($C32,SheetTrigger)</f>
        <v>1.2858707630634343E-4</v>
      </c>
      <c r="H32" s="22">
        <f t="shared" si="8"/>
        <v>42263</v>
      </c>
      <c r="I32" s="24" t="b">
        <v>1</v>
      </c>
      <c r="J32" s="25">
        <f t="shared" si="9"/>
        <v>1.3921412923693664E-2</v>
      </c>
      <c r="K32" s="151" t="b">
        <f t="shared" si="1"/>
        <v>1</v>
      </c>
      <c r="L32" s="23" t="b">
        <f t="shared" si="2"/>
        <v>0</v>
      </c>
      <c r="M32" s="24" t="b">
        <f t="shared" si="3"/>
        <v>0</v>
      </c>
      <c r="N32" s="76" t="b">
        <f t="shared" si="5"/>
        <v>1</v>
      </c>
      <c r="O32" s="75">
        <f>_xll.qlInterpolationInterpolate($O$22,$H32)</f>
        <v>1.3921412923693664E-2</v>
      </c>
      <c r="P32" s="116">
        <f t="shared" si="6"/>
        <v>0</v>
      </c>
      <c r="Q32" s="63">
        <f>_xll.qlDayCounterYearFraction(DayCounter,$H32,$E32)</f>
        <v>0.25277777777777777</v>
      </c>
      <c r="R32" s="135">
        <f t="shared" si="7"/>
        <v>1</v>
      </c>
      <c r="S32" s="65">
        <f t="shared" si="4"/>
        <v>1.3921412923693664E-2</v>
      </c>
      <c r="T32" s="238">
        <f>S32-J32</f>
        <v>0</v>
      </c>
      <c r="U32" s="34" t="e">
        <v>#N/A</v>
      </c>
      <c r="V32" s="82" t="e">
        <v>#NUM!</v>
      </c>
    </row>
    <row r="33" spans="1:22" x14ac:dyDescent="0.2">
      <c r="A33" t="b">
        <v>1</v>
      </c>
      <c r="B33" s="132" t="str">
        <f>"FUT"&amp;IndexTenor&amp;_xll.qlIMMNextCodes(D32,A33)</f>
        <v>FUT3MZ5</v>
      </c>
      <c r="C33" s="45" t="str">
        <f t="shared" si="0"/>
        <v>GBP_YC3MRH_FUT3MZ5</v>
      </c>
      <c r="D33" s="22">
        <f>_xll.qlRateHelperEarliestDate($C33,EvaluationDate)</f>
        <v>42354</v>
      </c>
      <c r="E33" s="22">
        <f>_xll.qlRateHelperLatestDate($C33,EvaluationDate)</f>
        <v>42445</v>
      </c>
      <c r="F33" s="149">
        <f>_xll.qlRateHelperQuoteValue($C33,SheetTrigger)</f>
        <v>98.365000000000009</v>
      </c>
      <c r="G33" s="113">
        <f>_xll.qlFuturesRateHelperConvexityAdjustment($C33,SheetTrigger)</f>
        <v>1.639803610804226E-4</v>
      </c>
      <c r="H33" s="69">
        <f t="shared" si="8"/>
        <v>42354</v>
      </c>
      <c r="I33" s="38" t="b">
        <v>1</v>
      </c>
      <c r="J33" s="36">
        <f t="shared" si="9"/>
        <v>1.6186019638919441E-2</v>
      </c>
      <c r="K33" s="152" t="b">
        <f t="shared" si="1"/>
        <v>1</v>
      </c>
      <c r="L33" s="52" t="b">
        <f t="shared" si="2"/>
        <v>0</v>
      </c>
      <c r="M33" s="38" t="b">
        <f t="shared" si="3"/>
        <v>1</v>
      </c>
      <c r="N33" s="57" t="b">
        <f t="shared" si="5"/>
        <v>0</v>
      </c>
      <c r="O33" s="329">
        <f>_xll.qlInterpolationInterpolate($O$22,$H33,TRUE)</f>
        <v>1.5990329703163591E-2</v>
      </c>
      <c r="P33" s="117">
        <f t="shared" si="6"/>
        <v>1.9568993575585017E-4</v>
      </c>
      <c r="Q33" s="64">
        <f>_xll.qlDayCounterYearFraction(DayCounter,$H33,$E33)</f>
        <v>0.25277777777777777</v>
      </c>
      <c r="R33" s="136">
        <f t="shared" si="7"/>
        <v>0.99995073549694913</v>
      </c>
      <c r="S33" s="65">
        <f t="shared" si="4"/>
        <v>1.5990329703163587E-2</v>
      </c>
      <c r="T33" s="238">
        <f>S33-J33</f>
        <v>-1.9568993575585364E-4</v>
      </c>
      <c r="U33" s="34" t="e">
        <v>#N/A</v>
      </c>
      <c r="V33" s="82" t="e">
        <v>#NUM!</v>
      </c>
    </row>
    <row r="34" spans="1:22" x14ac:dyDescent="0.2">
      <c r="A34" s="74"/>
      <c r="B34" s="39" t="str">
        <f>"T"&amp;$A$20&amp;"F1"</f>
        <v>T3F1</v>
      </c>
      <c r="C34" s="72" t="str">
        <f>RateHelperPrefix&amp;$B34</f>
        <v>GBP_YC3MRH_T3F1</v>
      </c>
      <c r="D34" s="84">
        <f>_xll.qlRateHelperEarliestDate($C34,EvaluationDate)</f>
        <v>41659</v>
      </c>
      <c r="E34" s="84">
        <f>_xll.qlRateHelperLatestDate($C34,EvaluationDate)</f>
        <v>41751</v>
      </c>
      <c r="F34" s="81" t="e">
        <f>_xll.qlRateHelperQuoteValue($C34,SheetTrigger)</f>
        <v>#NUM!</v>
      </c>
      <c r="G34" s="32"/>
      <c r="H34" s="29">
        <f>$D34</f>
        <v>41659</v>
      </c>
      <c r="I34" s="190" t="b">
        <v>0</v>
      </c>
      <c r="J34" s="30" t="e">
        <f>F34</f>
        <v>#NUM!</v>
      </c>
      <c r="K34" s="151" t="b">
        <f t="shared" si="1"/>
        <v>0</v>
      </c>
      <c r="L34" s="32" t="b">
        <f>NOT(OR($H34&gt;LastDayInYear,$E34&lt;=LastDayInYear))</f>
        <v>0</v>
      </c>
      <c r="M34" s="32" t="b">
        <f>NOT(OR($H34&gt;LastDayInNextYear,$E34&lt;=LastDayInNextYear))</f>
        <v>0</v>
      </c>
      <c r="N34" s="40" t="b">
        <f>IF(K34,AND(NOT($L34),NOT($M34)),FALSE)</f>
        <v>0</v>
      </c>
      <c r="O34" s="81" t="e">
        <f>_xll.qlInterpolationInterpolate($O$22,$H34)</f>
        <v>#NUM!</v>
      </c>
      <c r="P34" s="115" t="e">
        <f>$J34-$O34</f>
        <v>#NUM!</v>
      </c>
      <c r="Q34" s="62">
        <f>_xll.qlDayCounterYearFraction(DayCounter,$H34,$E34)</f>
        <v>0.25555555555555554</v>
      </c>
      <c r="R34" s="134" t="e">
        <f>(1+$O34*$Q34)/(1+$J34*$Q34)</f>
        <v>#NUM!</v>
      </c>
      <c r="S34" s="73" t="e">
        <f>IF($L34,(TOY*(1+$J34*$Q34)-1)/$Q34,IF($M34,(_TOY2*(1+$J34*$Q34)-1)/$Q34,$J34))</f>
        <v>#NUM!</v>
      </c>
      <c r="T34" s="236" t="e">
        <f>S34-J34</f>
        <v>#NUM!</v>
      </c>
      <c r="U34" s="34" t="e">
        <v>#N/A</v>
      </c>
      <c r="V34" s="82" t="e">
        <v>#NUM!</v>
      </c>
    </row>
    <row r="35" spans="1:22" x14ac:dyDescent="0.2">
      <c r="A35" s="74"/>
      <c r="B35" s="52" t="str">
        <f>"TOM"&amp;$A$20&amp;"F1"</f>
        <v>TOM3F1</v>
      </c>
      <c r="C35" s="68" t="str">
        <f>RateHelperPrefix&amp;$B35</f>
        <v>GBP_YC3MRH_TOM3F1</v>
      </c>
      <c r="D35" s="69">
        <f>_xll.qlRateHelperEarliestDate($C35,EvaluationDate)</f>
        <v>41660</v>
      </c>
      <c r="E35" s="69">
        <f>_xll.qlRateHelperLatestDate($C35,EvaluationDate)</f>
        <v>41751</v>
      </c>
      <c r="F35" s="77" t="e">
        <f>_xll.qlRateHelperQuoteValue($C35,SheetTrigger)</f>
        <v>#NUM!</v>
      </c>
      <c r="G35" s="38"/>
      <c r="H35" s="35">
        <f>$D35</f>
        <v>41660</v>
      </c>
      <c r="I35" s="348" t="b">
        <f t="shared" ref="I35:I41" si="11">ISNA(VLOOKUP(H35,$H$25:$H$33,1,FALSE))</f>
        <v>1</v>
      </c>
      <c r="J35" s="36" t="e">
        <f>F35</f>
        <v>#NUM!</v>
      </c>
      <c r="K35" s="152" t="b">
        <f t="shared" si="1"/>
        <v>0</v>
      </c>
      <c r="L35" s="38" t="b">
        <f>NOT(OR($H35&gt;LastDayInYear,$E35&lt;=LastDayInYear))</f>
        <v>0</v>
      </c>
      <c r="M35" s="38" t="b">
        <f>NOT(OR($H35&gt;LastDayInNextYear,$E35&lt;=LastDayInNextYear))</f>
        <v>0</v>
      </c>
      <c r="N35" s="57" t="b">
        <f>IF(K35,AND(NOT($L35),NOT($M35)),FALSE)</f>
        <v>0</v>
      </c>
      <c r="O35" s="77" t="e">
        <f>_xll.qlInterpolationInterpolate($O$22,$H35)</f>
        <v>#NUM!</v>
      </c>
      <c r="P35" s="117" t="e">
        <f>$J35-$O35</f>
        <v>#NUM!</v>
      </c>
      <c r="Q35" s="64">
        <f>_xll.qlDayCounterYearFraction(DayCounter,$H35,$E35)</f>
        <v>0.25277777777777777</v>
      </c>
      <c r="R35" s="136" t="e">
        <f>(1+$O35*$Q35)/(1+$J35*$Q35)</f>
        <v>#NUM!</v>
      </c>
      <c r="S35" s="56" t="e">
        <f>IF($L35,(TOY*(1+$J35*$Q35)-1)/$Q35,IF($M35,(_TOY2*(1+$J35*$Q35)-1)/$Q35,$J35))</f>
        <v>#NUM!</v>
      </c>
      <c r="T35" s="237" t="e">
        <f>S35-J35</f>
        <v>#NUM!</v>
      </c>
      <c r="U35" s="34" t="e">
        <v>#N/A</v>
      </c>
      <c r="V35" s="82" t="e">
        <v>#NUM!</v>
      </c>
    </row>
    <row r="36" spans="1:22" x14ac:dyDescent="0.2">
      <c r="A36" s="124">
        <v>1</v>
      </c>
      <c r="B36" s="72" t="str">
        <f t="shared" ref="B36:B52" si="12">A36&amp;"x"&amp;(A36+$A$20)&amp;"F"</f>
        <v>1x4F</v>
      </c>
      <c r="C36" s="72" t="str">
        <f t="shared" si="0"/>
        <v>GBP_YC3MRH_1x4F</v>
      </c>
      <c r="D36" s="84">
        <f>_xll.qlRateHelperEarliestDate($C36,EvaluationDate)</f>
        <v>41690</v>
      </c>
      <c r="E36" s="84">
        <f>_xll.qlRateHelperLatestDate($C36,EvaluationDate)</f>
        <v>41779</v>
      </c>
      <c r="F36" s="81">
        <f>_xll.qlRateHelperQuoteValue($C36,SheetTrigger)</f>
        <v>5.3500000000000006E-3</v>
      </c>
      <c r="G36" s="32"/>
      <c r="H36" s="29">
        <f t="shared" si="8"/>
        <v>41690</v>
      </c>
      <c r="I36" s="32" t="b">
        <f t="shared" si="11"/>
        <v>1</v>
      </c>
      <c r="J36" s="30">
        <f t="shared" ref="J36:J41" si="13">F36</f>
        <v>5.3500000000000006E-3</v>
      </c>
      <c r="K36" s="143" t="b">
        <f t="shared" ref="K36:K41" si="14">AND(ISNUMBER(J36),I36,UseSecondSet)</f>
        <v>0</v>
      </c>
      <c r="L36" s="32" t="b">
        <f t="shared" si="2"/>
        <v>0</v>
      </c>
      <c r="M36" s="32" t="b">
        <f t="shared" si="3"/>
        <v>0</v>
      </c>
      <c r="N36" s="40" t="b">
        <f t="shared" si="5"/>
        <v>0</v>
      </c>
      <c r="O36" s="81" t="e">
        <f>_xll.qlInterpolationInterpolate($O$22,$H36)</f>
        <v>#NUM!</v>
      </c>
      <c r="P36" s="115" t="e">
        <f t="shared" si="6"/>
        <v>#NUM!</v>
      </c>
      <c r="Q36" s="62">
        <f>_xll.qlDayCounterYearFraction(DayCounter,$H36,$E36)</f>
        <v>0.24722222222222223</v>
      </c>
      <c r="R36" s="134" t="e">
        <f t="shared" si="7"/>
        <v>#NUM!</v>
      </c>
      <c r="S36" s="73">
        <f t="shared" si="4"/>
        <v>5.3500000000000006E-3</v>
      </c>
      <c r="T36" s="236">
        <f t="shared" si="10"/>
        <v>0</v>
      </c>
      <c r="U36" s="34" t="e">
        <v>#N/A</v>
      </c>
      <c r="V36" s="82" t="e">
        <v>#NUM!</v>
      </c>
    </row>
    <row r="37" spans="1:22" x14ac:dyDescent="0.2">
      <c r="A37" s="124">
        <v>2</v>
      </c>
      <c r="B37" s="23" t="str">
        <f t="shared" si="12"/>
        <v>2x5F</v>
      </c>
      <c r="C37" s="67" t="str">
        <f t="shared" si="0"/>
        <v>GBP_YC3MRH_2x5F</v>
      </c>
      <c r="D37" s="22">
        <f>_xll.qlRateHelperEarliestDate($C37,EvaluationDate)</f>
        <v>41718</v>
      </c>
      <c r="E37" s="22">
        <f>_xll.qlRateHelperLatestDate($C37,EvaluationDate)</f>
        <v>41810</v>
      </c>
      <c r="F37" s="75">
        <f>_xll.qlRateHelperQuoteValue($C37,SheetTrigger)</f>
        <v>5.4499999999999991E-3</v>
      </c>
      <c r="G37" s="24"/>
      <c r="H37" s="33">
        <f t="shared" si="8"/>
        <v>41718</v>
      </c>
      <c r="I37" s="24" t="b">
        <f t="shared" si="11"/>
        <v>1</v>
      </c>
      <c r="J37" s="25">
        <f t="shared" si="13"/>
        <v>5.4499999999999991E-3</v>
      </c>
      <c r="K37" s="151" t="b">
        <f t="shared" si="14"/>
        <v>0</v>
      </c>
      <c r="L37" s="24" t="b">
        <f t="shared" si="2"/>
        <v>0</v>
      </c>
      <c r="M37" s="24" t="b">
        <f t="shared" si="3"/>
        <v>0</v>
      </c>
      <c r="N37" s="76" t="b">
        <f t="shared" si="5"/>
        <v>0</v>
      </c>
      <c r="O37" s="75">
        <f>_xll.qlInterpolationInterpolate($O$22,$H37)</f>
        <v>5.4506164169914823E-3</v>
      </c>
      <c r="P37" s="116">
        <f t="shared" si="6"/>
        <v>-6.1641699148316798E-7</v>
      </c>
      <c r="Q37" s="63">
        <f>_xll.qlDayCounterYearFraction(DayCounter,$H37,$E37)</f>
        <v>0.25555555555555554</v>
      </c>
      <c r="R37" s="135">
        <f t="shared" si="7"/>
        <v>1.0000001573096893</v>
      </c>
      <c r="S37" s="65">
        <f t="shared" si="4"/>
        <v>5.4499999999999991E-3</v>
      </c>
      <c r="T37" s="239">
        <f t="shared" si="10"/>
        <v>0</v>
      </c>
      <c r="U37" s="34" t="e">
        <v>#N/A</v>
      </c>
      <c r="V37" s="82" t="e">
        <v>#NUM!</v>
      </c>
    </row>
    <row r="38" spans="1:22" x14ac:dyDescent="0.2">
      <c r="A38" s="124">
        <v>3</v>
      </c>
      <c r="B38" s="23" t="str">
        <f t="shared" si="12"/>
        <v>3x6F</v>
      </c>
      <c r="C38" s="67" t="str">
        <f t="shared" si="0"/>
        <v>GBP_YC3MRH_3x6F</v>
      </c>
      <c r="D38" s="22">
        <f>_xll.qlRateHelperEarliestDate($C38,EvaluationDate)</f>
        <v>41751</v>
      </c>
      <c r="E38" s="22">
        <f>_xll.qlRateHelperLatestDate($C38,EvaluationDate)</f>
        <v>41842</v>
      </c>
      <c r="F38" s="75">
        <f>_xll.qlRateHelperQuoteValue($C38,SheetTrigger)</f>
        <v>5.6499999999999996E-3</v>
      </c>
      <c r="G38" s="24"/>
      <c r="H38" s="33">
        <f t="shared" si="8"/>
        <v>41751</v>
      </c>
      <c r="I38" s="24" t="b">
        <f t="shared" si="11"/>
        <v>1</v>
      </c>
      <c r="J38" s="25">
        <f t="shared" si="13"/>
        <v>5.6499999999999996E-3</v>
      </c>
      <c r="K38" s="151" t="b">
        <f t="shared" si="14"/>
        <v>0</v>
      </c>
      <c r="L38" s="24" t="b">
        <f t="shared" si="2"/>
        <v>0</v>
      </c>
      <c r="M38" s="24" t="b">
        <f t="shared" si="3"/>
        <v>0</v>
      </c>
      <c r="N38" s="76" t="b">
        <f t="shared" si="5"/>
        <v>0</v>
      </c>
      <c r="O38" s="75">
        <f>_xll.qlInterpolationInterpolate($O$22,$H38)</f>
        <v>5.6054386433889722E-3</v>
      </c>
      <c r="P38" s="116">
        <f t="shared" si="6"/>
        <v>4.456135661102742E-5</v>
      </c>
      <c r="Q38" s="63">
        <f>_xll.qlDayCounterYearFraction(DayCounter,$H38,$E38)</f>
        <v>0.25277777777777777</v>
      </c>
      <c r="R38" s="135">
        <f t="shared" si="7"/>
        <v>0.9999887519437124</v>
      </c>
      <c r="S38" s="65">
        <f t="shared" si="4"/>
        <v>5.6499999999999996E-3</v>
      </c>
      <c r="T38" s="239">
        <f t="shared" si="10"/>
        <v>0</v>
      </c>
      <c r="U38" s="34" t="e">
        <v>#N/A</v>
      </c>
      <c r="V38" s="82" t="e">
        <v>#NUM!</v>
      </c>
    </row>
    <row r="39" spans="1:22" x14ac:dyDescent="0.2">
      <c r="A39" s="128">
        <v>4</v>
      </c>
      <c r="B39" s="23" t="str">
        <f t="shared" si="12"/>
        <v>4x7F</v>
      </c>
      <c r="C39" s="67" t="str">
        <f t="shared" si="0"/>
        <v>GBP_YC3MRH_4x7F</v>
      </c>
      <c r="D39" s="22">
        <f>_xll.qlRateHelperEarliestDate($C39,EvaluationDate)</f>
        <v>41779</v>
      </c>
      <c r="E39" s="22">
        <f>_xll.qlRateHelperLatestDate($C39,EvaluationDate)</f>
        <v>41871</v>
      </c>
      <c r="F39" s="75">
        <f>_xll.qlRateHelperQuoteValue($C39,SheetTrigger)</f>
        <v>5.7499999999999999E-3</v>
      </c>
      <c r="G39" s="24"/>
      <c r="H39" s="33">
        <f t="shared" si="8"/>
        <v>41779</v>
      </c>
      <c r="I39" s="24" t="b">
        <f t="shared" si="11"/>
        <v>1</v>
      </c>
      <c r="J39" s="25">
        <f t="shared" si="13"/>
        <v>5.7499999999999999E-3</v>
      </c>
      <c r="K39" s="151" t="b">
        <f t="shared" si="14"/>
        <v>0</v>
      </c>
      <c r="L39" s="24" t="b">
        <f t="shared" si="2"/>
        <v>0</v>
      </c>
      <c r="M39" s="24" t="b">
        <f t="shared" si="3"/>
        <v>0</v>
      </c>
      <c r="N39" s="76" t="b">
        <f t="shared" si="5"/>
        <v>0</v>
      </c>
      <c r="O39" s="75">
        <f>_xll.qlInterpolationInterpolate($O$22,$H39)</f>
        <v>5.7530118391284149E-3</v>
      </c>
      <c r="P39" s="116">
        <f t="shared" si="6"/>
        <v>-3.0118391284150031E-6</v>
      </c>
      <c r="Q39" s="63">
        <f>_xll.qlDayCounterYearFraction(DayCounter,$H39,$E39)</f>
        <v>0.25555555555555554</v>
      </c>
      <c r="R39" s="135">
        <f t="shared" si="7"/>
        <v>1.0000007685628614</v>
      </c>
      <c r="S39" s="65">
        <f t="shared" si="4"/>
        <v>5.7499999999999999E-3</v>
      </c>
      <c r="T39" s="239">
        <f t="shared" si="10"/>
        <v>0</v>
      </c>
      <c r="U39" s="34" t="e">
        <v>#N/A</v>
      </c>
      <c r="V39" s="82" t="e">
        <v>#NUM!</v>
      </c>
    </row>
    <row r="40" spans="1:22" x14ac:dyDescent="0.2">
      <c r="A40" s="128">
        <v>5</v>
      </c>
      <c r="B40" s="23" t="str">
        <f t="shared" si="12"/>
        <v>5x8F</v>
      </c>
      <c r="C40" s="67" t="str">
        <f t="shared" si="0"/>
        <v>GBP_YC3MRH_5x8F</v>
      </c>
      <c r="D40" s="22">
        <f>_xll.qlRateHelperEarliestDate($C40,EvaluationDate)</f>
        <v>41810</v>
      </c>
      <c r="E40" s="22">
        <f>_xll.qlRateHelperLatestDate($C40,EvaluationDate)</f>
        <v>41904</v>
      </c>
      <c r="F40" s="75">
        <f>_xll.qlRateHelperQuoteValue($C40,SheetTrigger)</f>
        <v>5.9499999999999996E-3</v>
      </c>
      <c r="G40" s="24"/>
      <c r="H40" s="33">
        <f t="shared" si="8"/>
        <v>41810</v>
      </c>
      <c r="I40" s="24" t="b">
        <f t="shared" si="11"/>
        <v>1</v>
      </c>
      <c r="J40" s="25">
        <f t="shared" si="13"/>
        <v>5.9499999999999996E-3</v>
      </c>
      <c r="K40" s="151" t="b">
        <f t="shared" si="14"/>
        <v>0</v>
      </c>
      <c r="L40" s="24" t="b">
        <f t="shared" si="2"/>
        <v>0</v>
      </c>
      <c r="M40" s="24" t="b">
        <f t="shared" si="3"/>
        <v>0</v>
      </c>
      <c r="N40" s="76" t="b">
        <f t="shared" si="5"/>
        <v>0</v>
      </c>
      <c r="O40" s="75">
        <f>_xll.qlInterpolationInterpolate($O$22,$H40)</f>
        <v>5.950215593050868E-3</v>
      </c>
      <c r="P40" s="116">
        <f t="shared" si="6"/>
        <v>-2.1559305086842062E-7</v>
      </c>
      <c r="Q40" s="63">
        <f>_xll.qlDayCounterYearFraction(DayCounter,$H40,$E40)</f>
        <v>0.26111111111111113</v>
      </c>
      <c r="R40" s="135">
        <f t="shared" si="7"/>
        <v>1.0000000562064182</v>
      </c>
      <c r="S40" s="65">
        <f t="shared" si="4"/>
        <v>5.9499999999999996E-3</v>
      </c>
      <c r="T40" s="239">
        <f t="shared" si="10"/>
        <v>0</v>
      </c>
      <c r="U40" s="34" t="e">
        <v>#N/A</v>
      </c>
      <c r="V40" s="82" t="e">
        <v>#NUM!</v>
      </c>
    </row>
    <row r="41" spans="1:22" x14ac:dyDescent="0.2">
      <c r="A41" s="128">
        <v>6</v>
      </c>
      <c r="B41" s="52" t="str">
        <f t="shared" si="12"/>
        <v>6x9F</v>
      </c>
      <c r="C41" s="68" t="str">
        <f t="shared" si="0"/>
        <v>GBP_YC3MRH_6x9F</v>
      </c>
      <c r="D41" s="69">
        <f>_xll.qlRateHelperEarliestDate($C41,EvaluationDate)</f>
        <v>41841</v>
      </c>
      <c r="E41" s="69">
        <f>_xll.qlRateHelperLatestDate($C41,EvaluationDate)</f>
        <v>41933</v>
      </c>
      <c r="F41" s="77">
        <f>_xll.qlRateHelperQuoteValue($C41,SheetTrigger)</f>
        <v>6.2500000000000003E-3</v>
      </c>
      <c r="G41" s="38"/>
      <c r="H41" s="35">
        <f t="shared" si="8"/>
        <v>41841</v>
      </c>
      <c r="I41" s="38" t="b">
        <f t="shared" si="11"/>
        <v>1</v>
      </c>
      <c r="J41" s="36">
        <f t="shared" si="13"/>
        <v>6.2500000000000003E-3</v>
      </c>
      <c r="K41" s="152" t="b">
        <f t="shared" si="14"/>
        <v>0</v>
      </c>
      <c r="L41" s="38" t="b">
        <f t="shared" si="2"/>
        <v>0</v>
      </c>
      <c r="M41" s="38" t="b">
        <f t="shared" si="3"/>
        <v>0</v>
      </c>
      <c r="N41" s="57" t="b">
        <f t="shared" si="5"/>
        <v>0</v>
      </c>
      <c r="O41" s="77">
        <f>_xll.qlInterpolationInterpolate($O$22,$H41)</f>
        <v>6.1976562725297593E-3</v>
      </c>
      <c r="P41" s="117">
        <f t="shared" si="6"/>
        <v>5.2343727470240999E-5</v>
      </c>
      <c r="Q41" s="64">
        <f>_xll.qlDayCounterYearFraction(DayCounter,$H41,$E41)</f>
        <v>0.25555555555555554</v>
      </c>
      <c r="R41" s="136">
        <f t="shared" si="7"/>
        <v>0.99998664460118614</v>
      </c>
      <c r="S41" s="56">
        <f t="shared" si="4"/>
        <v>6.2500000000000003E-3</v>
      </c>
      <c r="T41" s="237">
        <f t="shared" si="10"/>
        <v>0</v>
      </c>
      <c r="U41" s="34" t="e">
        <v>#N/A</v>
      </c>
      <c r="V41" s="82" t="e">
        <v>#NUM!</v>
      </c>
    </row>
    <row r="42" spans="1:22" x14ac:dyDescent="0.2">
      <c r="A42" s="128">
        <v>27</v>
      </c>
      <c r="B42" s="230" t="str">
        <f t="shared" si="12"/>
        <v>27x30F</v>
      </c>
      <c r="C42" s="137"/>
      <c r="D42" s="211" t="str">
        <f>A42&amp;"M"</f>
        <v>27M</v>
      </c>
      <c r="E42" s="225">
        <f>_xll.qlCalendarAdvance(Calendar,H42,$A$21,"Modified Following",TRUE)</f>
        <v>42571</v>
      </c>
      <c r="F42" s="210"/>
      <c r="G42" s="210"/>
      <c r="H42" s="212">
        <f>_xll.qlCalendarAdvance(Calendar,SettlementDate,D42,"MF",TRUE)</f>
        <v>42480</v>
      </c>
      <c r="I42" s="210" t="b">
        <v>1</v>
      </c>
      <c r="J42" s="213" t="e">
        <f>(_xll.qlInterpolationInterpolate(DiscountCurve,H42)/_xll.qlInterpolationInterpolate(DiscountCurve,E42)-1)/Q42</f>
        <v>#NUM!</v>
      </c>
      <c r="K42" s="143" t="b">
        <f t="shared" ref="K42:K52" si="15">AND(ISNUMBER(J42),I42)</f>
        <v>0</v>
      </c>
      <c r="L42" s="137" t="b">
        <f t="shared" si="2"/>
        <v>0</v>
      </c>
      <c r="M42" s="210" t="b">
        <f t="shared" si="3"/>
        <v>0</v>
      </c>
      <c r="N42" s="143" t="b">
        <v>0</v>
      </c>
      <c r="O42" s="213" t="e">
        <f>_xll.qlInterpolationInterpolate($O$22,$H42)</f>
        <v>#NUM!</v>
      </c>
      <c r="P42" s="210" t="e">
        <f t="shared" si="6"/>
        <v>#NUM!</v>
      </c>
      <c r="Q42" s="214">
        <f>_xll.qlDayCounterYearFraction(DayCounter,H42,E42)</f>
        <v>0.25277777777777777</v>
      </c>
      <c r="R42" s="210" t="e">
        <f t="shared" si="7"/>
        <v>#NUM!</v>
      </c>
      <c r="S42" s="215" t="e">
        <f>IF($L42,(TOY*(1+$J42*$Q42)-1)/$Q42,IF($M42,(_TOY2*(1+$J42*$Q42)-1)/$Q42,$J42))</f>
        <v>#NUM!</v>
      </c>
      <c r="T42" s="223" t="e">
        <f t="shared" si="10"/>
        <v>#NUM!</v>
      </c>
      <c r="U42" s="138" t="e">
        <v>#N/A</v>
      </c>
      <c r="V42" s="139" t="e">
        <v>#NUM!</v>
      </c>
    </row>
    <row r="43" spans="1:22" x14ac:dyDescent="0.2">
      <c r="A43" s="128">
        <v>30</v>
      </c>
      <c r="B43" s="229" t="str">
        <f t="shared" si="12"/>
        <v>30x33F</v>
      </c>
      <c r="C43" s="87"/>
      <c r="D43" s="216" t="str">
        <f>A43&amp;"M"</f>
        <v>30M</v>
      </c>
      <c r="E43" s="226">
        <f>_xll.qlCalendarAdvance(Calendar,H43,$A$21,"Modified Following",TRUE)</f>
        <v>42663</v>
      </c>
      <c r="F43" s="42"/>
      <c r="G43" s="42"/>
      <c r="H43" s="60">
        <f>_xll.qlCalendarAdvance(Calendar,SettlementDate,D43,"MF",TRUE)</f>
        <v>42571</v>
      </c>
      <c r="I43" s="42" t="b">
        <v>1</v>
      </c>
      <c r="J43" s="88" t="e">
        <f>(_xll.qlInterpolationInterpolate(DiscountCurve,H43)/_xll.qlInterpolationInterpolate(DiscountCurve,E43)-1)/Q43</f>
        <v>#NUM!</v>
      </c>
      <c r="K43" s="151" t="b">
        <f t="shared" si="15"/>
        <v>0</v>
      </c>
      <c r="L43" s="87" t="b">
        <f t="shared" si="2"/>
        <v>0</v>
      </c>
      <c r="M43" s="42" t="b">
        <f t="shared" si="3"/>
        <v>0</v>
      </c>
      <c r="N43" s="151" t="b">
        <v>0</v>
      </c>
      <c r="O43" s="88" t="e">
        <f>_xll.qlInterpolationInterpolate($O$22,$H43)</f>
        <v>#NUM!</v>
      </c>
      <c r="P43" s="42" t="e">
        <f t="shared" si="6"/>
        <v>#NUM!</v>
      </c>
      <c r="Q43" s="209">
        <f>_xll.qlDayCounterYearFraction(DayCounter,H43,E43)</f>
        <v>0.25555555555555554</v>
      </c>
      <c r="R43" s="42" t="e">
        <f t="shared" si="7"/>
        <v>#NUM!</v>
      </c>
      <c r="S43" s="217" t="e">
        <f t="shared" ref="S43:S52" si="16">IF($L43,(TOY*(1+$J43*$Q43)-1)/$Q43,IF($M43,(_TOY2*(1+$J43*$Q43)-1)/$Q43,$J43))</f>
        <v>#NUM!</v>
      </c>
      <c r="T43" s="224" t="e">
        <f t="shared" si="10"/>
        <v>#NUM!</v>
      </c>
      <c r="U43" s="138" t="e">
        <v>#N/A</v>
      </c>
      <c r="V43" s="139" t="e">
        <v>#NUM!</v>
      </c>
    </row>
    <row r="44" spans="1:22" x14ac:dyDescent="0.2">
      <c r="A44" s="128">
        <v>33</v>
      </c>
      <c r="B44" s="229" t="str">
        <f t="shared" si="12"/>
        <v>33x36F</v>
      </c>
      <c r="C44" s="87"/>
      <c r="D44" s="216" t="str">
        <f t="shared" ref="D44:D52" si="17">A44&amp;"M"</f>
        <v>33M</v>
      </c>
      <c r="E44" s="226">
        <f>_xll.qlCalendarAdvance(Calendar,H44,$A$21,"Modified Following",TRUE)</f>
        <v>42755</v>
      </c>
      <c r="F44" s="42"/>
      <c r="G44" s="42"/>
      <c r="H44" s="60">
        <f>_xll.qlCalendarAdvance(Calendar,SettlementDate,D44,"MF",TRUE)</f>
        <v>42663</v>
      </c>
      <c r="I44" s="42" t="b">
        <v>1</v>
      </c>
      <c r="J44" s="88" t="e">
        <f>(_xll.qlInterpolationInterpolate(DiscountCurve,H44)/_xll.qlInterpolationInterpolate(DiscountCurve,E44)-1)/Q44</f>
        <v>#NUM!</v>
      </c>
      <c r="K44" s="151" t="b">
        <f t="shared" si="15"/>
        <v>0</v>
      </c>
      <c r="L44" s="87" t="b">
        <f t="shared" si="2"/>
        <v>0</v>
      </c>
      <c r="M44" s="42" t="b">
        <f t="shared" si="3"/>
        <v>0</v>
      </c>
      <c r="N44" s="151" t="b">
        <v>0</v>
      </c>
      <c r="O44" s="88" t="e">
        <f>_xll.qlInterpolationInterpolate($O$22,$H44)</f>
        <v>#NUM!</v>
      </c>
      <c r="P44" s="42" t="e">
        <f t="shared" si="6"/>
        <v>#NUM!</v>
      </c>
      <c r="Q44" s="209">
        <f>_xll.qlDayCounterYearFraction(DayCounter,H44,E44)</f>
        <v>0.25555555555555554</v>
      </c>
      <c r="R44" s="42" t="e">
        <f t="shared" si="7"/>
        <v>#NUM!</v>
      </c>
      <c r="S44" s="217" t="e">
        <f t="shared" si="16"/>
        <v>#NUM!</v>
      </c>
      <c r="T44" s="224" t="e">
        <f t="shared" ref="T44:T52" si="18">S44-J44</f>
        <v>#NUM!</v>
      </c>
      <c r="U44" s="138" t="e">
        <v>#N/A</v>
      </c>
      <c r="V44" s="139" t="e">
        <v>#NUM!</v>
      </c>
    </row>
    <row r="45" spans="1:22" x14ac:dyDescent="0.2">
      <c r="A45" s="128">
        <v>36</v>
      </c>
      <c r="B45" s="229" t="str">
        <f t="shared" si="12"/>
        <v>36x39F</v>
      </c>
      <c r="C45" s="87"/>
      <c r="D45" s="216" t="str">
        <f t="shared" si="17"/>
        <v>36M</v>
      </c>
      <c r="E45" s="226">
        <f>_xll.qlCalendarAdvance(Calendar,H45,$A$21,"Modified Following",TRUE)</f>
        <v>42845</v>
      </c>
      <c r="F45" s="42"/>
      <c r="G45" s="42"/>
      <c r="H45" s="60">
        <f>_xll.qlCalendarAdvance(Calendar,SettlementDate,D45,"MF",TRUE)</f>
        <v>42755</v>
      </c>
      <c r="I45" s="42" t="b">
        <v>1</v>
      </c>
      <c r="J45" s="88" t="e">
        <f>(_xll.qlInterpolationInterpolate(DiscountCurve,H45)/_xll.qlInterpolationInterpolate(DiscountCurve,E45)-1)/Q45</f>
        <v>#NUM!</v>
      </c>
      <c r="K45" s="151" t="b">
        <f t="shared" si="15"/>
        <v>0</v>
      </c>
      <c r="L45" s="87" t="b">
        <f t="shared" si="2"/>
        <v>0</v>
      </c>
      <c r="M45" s="42" t="b">
        <f t="shared" si="3"/>
        <v>0</v>
      </c>
      <c r="N45" s="151" t="b">
        <v>0</v>
      </c>
      <c r="O45" s="88" t="e">
        <f>_xll.qlInterpolationInterpolate($O$22,$H45)</f>
        <v>#NUM!</v>
      </c>
      <c r="P45" s="42" t="e">
        <f t="shared" si="6"/>
        <v>#NUM!</v>
      </c>
      <c r="Q45" s="209">
        <f>_xll.qlDayCounterYearFraction(DayCounter,H45,E45)</f>
        <v>0.25</v>
      </c>
      <c r="R45" s="42" t="e">
        <f t="shared" si="7"/>
        <v>#NUM!</v>
      </c>
      <c r="S45" s="217" t="e">
        <f t="shared" si="16"/>
        <v>#NUM!</v>
      </c>
      <c r="T45" s="224" t="e">
        <f t="shared" si="18"/>
        <v>#NUM!</v>
      </c>
      <c r="U45" s="138" t="e">
        <v>#N/A</v>
      </c>
      <c r="V45" s="139" t="e">
        <v>#NUM!</v>
      </c>
    </row>
    <row r="46" spans="1:22" x14ac:dyDescent="0.2">
      <c r="A46" s="128">
        <v>39</v>
      </c>
      <c r="B46" s="229" t="str">
        <f t="shared" si="12"/>
        <v>39x42F</v>
      </c>
      <c r="C46" s="87"/>
      <c r="D46" s="216" t="str">
        <f t="shared" si="17"/>
        <v>39M</v>
      </c>
      <c r="E46" s="226">
        <f>_xll.qlCalendarAdvance(Calendar,H46,$A$21,"Modified Following",TRUE)</f>
        <v>42936</v>
      </c>
      <c r="F46" s="42"/>
      <c r="G46" s="42"/>
      <c r="H46" s="60">
        <f>_xll.qlCalendarAdvance(Calendar,SettlementDate,D46,"MF",TRUE)</f>
        <v>42845</v>
      </c>
      <c r="I46" s="42" t="b">
        <v>1</v>
      </c>
      <c r="J46" s="88" t="e">
        <f>(_xll.qlInterpolationInterpolate(DiscountCurve,H46)/_xll.qlInterpolationInterpolate(DiscountCurve,E46)-1)/Q46</f>
        <v>#NUM!</v>
      </c>
      <c r="K46" s="151" t="b">
        <f t="shared" si="15"/>
        <v>0</v>
      </c>
      <c r="L46" s="87" t="b">
        <f t="shared" si="2"/>
        <v>0</v>
      </c>
      <c r="M46" s="42" t="b">
        <f t="shared" si="3"/>
        <v>0</v>
      </c>
      <c r="N46" s="151" t="b">
        <v>0</v>
      </c>
      <c r="O46" s="88" t="e">
        <f>_xll.qlInterpolationInterpolate($O$22,$H46)</f>
        <v>#NUM!</v>
      </c>
      <c r="P46" s="42" t="e">
        <f t="shared" si="6"/>
        <v>#NUM!</v>
      </c>
      <c r="Q46" s="209">
        <f>_xll.qlDayCounterYearFraction(DayCounter,H46,E46)</f>
        <v>0.25277777777777777</v>
      </c>
      <c r="R46" s="42" t="e">
        <f t="shared" si="7"/>
        <v>#NUM!</v>
      </c>
      <c r="S46" s="217" t="e">
        <f t="shared" si="16"/>
        <v>#NUM!</v>
      </c>
      <c r="T46" s="224" t="e">
        <f t="shared" si="18"/>
        <v>#NUM!</v>
      </c>
      <c r="U46" s="138" t="e">
        <v>#N/A</v>
      </c>
      <c r="V46" s="139" t="e">
        <v>#NUM!</v>
      </c>
    </row>
    <row r="47" spans="1:22" x14ac:dyDescent="0.2">
      <c r="A47" s="128">
        <v>42</v>
      </c>
      <c r="B47" s="229" t="str">
        <f t="shared" si="12"/>
        <v>42x45F</v>
      </c>
      <c r="C47" s="87"/>
      <c r="D47" s="216" t="str">
        <f t="shared" si="17"/>
        <v>42M</v>
      </c>
      <c r="E47" s="226">
        <f>_xll.qlCalendarAdvance(Calendar,H47,$A$21,"Modified Following",TRUE)</f>
        <v>43028</v>
      </c>
      <c r="F47" s="42"/>
      <c r="G47" s="42"/>
      <c r="H47" s="60">
        <f>_xll.qlCalendarAdvance(Calendar,SettlementDate,D47,"MF",TRUE)</f>
        <v>42936</v>
      </c>
      <c r="I47" s="42" t="b">
        <v>1</v>
      </c>
      <c r="J47" s="88" t="e">
        <f>(_xll.qlInterpolationInterpolate(DiscountCurve,H47)/_xll.qlInterpolationInterpolate(DiscountCurve,E47)-1)/Q47</f>
        <v>#NUM!</v>
      </c>
      <c r="K47" s="151" t="b">
        <f t="shared" si="15"/>
        <v>0</v>
      </c>
      <c r="L47" s="87" t="b">
        <f t="shared" si="2"/>
        <v>0</v>
      </c>
      <c r="M47" s="42" t="b">
        <f t="shared" si="3"/>
        <v>0</v>
      </c>
      <c r="N47" s="151" t="b">
        <v>0</v>
      </c>
      <c r="O47" s="88" t="e">
        <f>_xll.qlInterpolationInterpolate($O$22,$H47)</f>
        <v>#NUM!</v>
      </c>
      <c r="P47" s="42" t="e">
        <f t="shared" si="6"/>
        <v>#NUM!</v>
      </c>
      <c r="Q47" s="209">
        <f>_xll.qlDayCounterYearFraction(DayCounter,H47,E47)</f>
        <v>0.25555555555555554</v>
      </c>
      <c r="R47" s="42" t="e">
        <f t="shared" si="7"/>
        <v>#NUM!</v>
      </c>
      <c r="S47" s="217" t="e">
        <f t="shared" si="16"/>
        <v>#NUM!</v>
      </c>
      <c r="T47" s="224" t="e">
        <f t="shared" si="18"/>
        <v>#NUM!</v>
      </c>
      <c r="U47" s="138" t="e">
        <v>#N/A</v>
      </c>
      <c r="V47" s="139" t="e">
        <v>#NUM!</v>
      </c>
    </row>
    <row r="48" spans="1:22" x14ac:dyDescent="0.2">
      <c r="A48" s="128">
        <v>45</v>
      </c>
      <c r="B48" s="229" t="str">
        <f t="shared" si="12"/>
        <v>45x48F</v>
      </c>
      <c r="C48" s="87"/>
      <c r="D48" s="216" t="str">
        <f t="shared" si="17"/>
        <v>45M</v>
      </c>
      <c r="E48" s="226">
        <f>_xll.qlCalendarAdvance(Calendar,H48,$A$21,"Modified Following",TRUE)</f>
        <v>43122</v>
      </c>
      <c r="F48" s="42"/>
      <c r="G48" s="42"/>
      <c r="H48" s="60">
        <f>_xll.qlCalendarAdvance(Calendar,SettlementDate,D48,"MF",TRUE)</f>
        <v>43028</v>
      </c>
      <c r="I48" s="42" t="b">
        <v>1</v>
      </c>
      <c r="J48" s="88" t="e">
        <f>(_xll.qlInterpolationInterpolate(DiscountCurve,H48)/_xll.qlInterpolationInterpolate(DiscountCurve,E48)-1)/Q48</f>
        <v>#NUM!</v>
      </c>
      <c r="K48" s="151" t="b">
        <f t="shared" si="15"/>
        <v>0</v>
      </c>
      <c r="L48" s="87" t="b">
        <f t="shared" si="2"/>
        <v>0</v>
      </c>
      <c r="M48" s="42" t="b">
        <f t="shared" si="3"/>
        <v>0</v>
      </c>
      <c r="N48" s="151" t="b">
        <v>0</v>
      </c>
      <c r="O48" s="88" t="e">
        <f>_xll.qlInterpolationInterpolate($O$22,$H48)</f>
        <v>#NUM!</v>
      </c>
      <c r="P48" s="42" t="e">
        <f t="shared" si="6"/>
        <v>#NUM!</v>
      </c>
      <c r="Q48" s="209">
        <f>_xll.qlDayCounterYearFraction(DayCounter,H48,E48)</f>
        <v>0.26111111111111113</v>
      </c>
      <c r="R48" s="42" t="e">
        <f t="shared" si="7"/>
        <v>#NUM!</v>
      </c>
      <c r="S48" s="217" t="e">
        <f t="shared" si="16"/>
        <v>#NUM!</v>
      </c>
      <c r="T48" s="224" t="e">
        <f t="shared" si="18"/>
        <v>#NUM!</v>
      </c>
      <c r="U48" s="138" t="e">
        <v>#N/A</v>
      </c>
      <c r="V48" s="139" t="e">
        <v>#NUM!</v>
      </c>
    </row>
    <row r="49" spans="1:22" x14ac:dyDescent="0.2">
      <c r="A49" s="128">
        <v>48</v>
      </c>
      <c r="B49" s="229" t="str">
        <f t="shared" si="12"/>
        <v>48x51F</v>
      </c>
      <c r="C49" s="87"/>
      <c r="D49" s="216" t="str">
        <f t="shared" si="17"/>
        <v>48M</v>
      </c>
      <c r="E49" s="226">
        <f>_xll.qlCalendarAdvance(Calendar,H49,$A$21,"Modified Following",TRUE)</f>
        <v>43213</v>
      </c>
      <c r="F49" s="42"/>
      <c r="G49" s="42"/>
      <c r="H49" s="60">
        <f>_xll.qlCalendarAdvance(Calendar,SettlementDate,D49,"MF",TRUE)</f>
        <v>43122</v>
      </c>
      <c r="I49" s="42" t="b">
        <v>1</v>
      </c>
      <c r="J49" s="88" t="e">
        <f>(_xll.qlInterpolationInterpolate(DiscountCurve,H49)/_xll.qlInterpolationInterpolate(DiscountCurve,E49)-1)/Q49</f>
        <v>#NUM!</v>
      </c>
      <c r="K49" s="151" t="b">
        <f t="shared" si="15"/>
        <v>0</v>
      </c>
      <c r="L49" s="87" t="b">
        <f t="shared" si="2"/>
        <v>0</v>
      </c>
      <c r="M49" s="42" t="b">
        <f t="shared" si="3"/>
        <v>0</v>
      </c>
      <c r="N49" s="151" t="b">
        <v>0</v>
      </c>
      <c r="O49" s="88" t="e">
        <f>_xll.qlInterpolationInterpolate($O$22,$H49)</f>
        <v>#NUM!</v>
      </c>
      <c r="P49" s="42" t="e">
        <f t="shared" si="6"/>
        <v>#NUM!</v>
      </c>
      <c r="Q49" s="209">
        <f>_xll.qlDayCounterYearFraction(DayCounter,H49,E49)</f>
        <v>0.25277777777777777</v>
      </c>
      <c r="R49" s="42" t="e">
        <f t="shared" si="7"/>
        <v>#NUM!</v>
      </c>
      <c r="S49" s="217" t="e">
        <f t="shared" si="16"/>
        <v>#NUM!</v>
      </c>
      <c r="T49" s="224" t="e">
        <f t="shared" si="18"/>
        <v>#NUM!</v>
      </c>
      <c r="U49" s="138" t="e">
        <v>#N/A</v>
      </c>
      <c r="V49" s="139" t="e">
        <v>#NUM!</v>
      </c>
    </row>
    <row r="50" spans="1:22" x14ac:dyDescent="0.2">
      <c r="A50" s="128">
        <v>51</v>
      </c>
      <c r="B50" s="229" t="str">
        <f t="shared" si="12"/>
        <v>51x54F</v>
      </c>
      <c r="C50" s="87"/>
      <c r="D50" s="216" t="str">
        <f t="shared" si="17"/>
        <v>51M</v>
      </c>
      <c r="E50" s="226">
        <f>_xll.qlCalendarAdvance(Calendar,H50,$A$21,"Modified Following",TRUE)</f>
        <v>43301</v>
      </c>
      <c r="F50" s="42"/>
      <c r="G50" s="42"/>
      <c r="H50" s="60">
        <f>_xll.qlCalendarAdvance(Calendar,SettlementDate,D50,"MF",TRUE)</f>
        <v>43210</v>
      </c>
      <c r="I50" s="42" t="b">
        <v>1</v>
      </c>
      <c r="J50" s="88" t="e">
        <f>(_xll.qlInterpolationInterpolate(DiscountCurve,H50)/_xll.qlInterpolationInterpolate(DiscountCurve,E50)-1)/Q50</f>
        <v>#NUM!</v>
      </c>
      <c r="K50" s="151" t="b">
        <f t="shared" si="15"/>
        <v>0</v>
      </c>
      <c r="L50" s="87" t="b">
        <f t="shared" si="2"/>
        <v>0</v>
      </c>
      <c r="M50" s="42" t="b">
        <f t="shared" si="3"/>
        <v>0</v>
      </c>
      <c r="N50" s="151" t="b">
        <v>0</v>
      </c>
      <c r="O50" s="88" t="e">
        <f>_xll.qlInterpolationInterpolate($O$22,$H50)</f>
        <v>#NUM!</v>
      </c>
      <c r="P50" s="42" t="e">
        <f t="shared" si="6"/>
        <v>#NUM!</v>
      </c>
      <c r="Q50" s="209">
        <f>_xll.qlDayCounterYearFraction(DayCounter,H50,E50)</f>
        <v>0.25277777777777777</v>
      </c>
      <c r="R50" s="42" t="e">
        <f t="shared" si="7"/>
        <v>#NUM!</v>
      </c>
      <c r="S50" s="217" t="e">
        <f t="shared" si="16"/>
        <v>#NUM!</v>
      </c>
      <c r="T50" s="224" t="e">
        <f t="shared" si="18"/>
        <v>#NUM!</v>
      </c>
      <c r="U50" s="138" t="e">
        <v>#N/A</v>
      </c>
      <c r="V50" s="139" t="e">
        <v>#NUM!</v>
      </c>
    </row>
    <row r="51" spans="1:22" x14ac:dyDescent="0.2">
      <c r="A51" s="128">
        <v>54</v>
      </c>
      <c r="B51" s="229" t="str">
        <f t="shared" si="12"/>
        <v>54x57F</v>
      </c>
      <c r="C51" s="87"/>
      <c r="D51" s="216" t="str">
        <f t="shared" si="17"/>
        <v>54M</v>
      </c>
      <c r="E51" s="226">
        <f>_xll.qlCalendarAdvance(Calendar,H51,$A$21,"Modified Following",TRUE)</f>
        <v>43395</v>
      </c>
      <c r="F51" s="42"/>
      <c r="G51" s="42"/>
      <c r="H51" s="60">
        <f>_xll.qlCalendarAdvance(Calendar,SettlementDate,D51,"MF",TRUE)</f>
        <v>43301</v>
      </c>
      <c r="I51" s="42" t="b">
        <v>1</v>
      </c>
      <c r="J51" s="88" t="e">
        <f>(_xll.qlInterpolationInterpolate(DiscountCurve,H51)/_xll.qlInterpolationInterpolate(DiscountCurve,E51)-1)/Q51</f>
        <v>#NUM!</v>
      </c>
      <c r="K51" s="151" t="b">
        <f t="shared" si="15"/>
        <v>0</v>
      </c>
      <c r="L51" s="87" t="b">
        <f t="shared" si="2"/>
        <v>0</v>
      </c>
      <c r="M51" s="42" t="b">
        <f t="shared" si="3"/>
        <v>0</v>
      </c>
      <c r="N51" s="151" t="b">
        <v>0</v>
      </c>
      <c r="O51" s="88" t="e">
        <f>_xll.qlInterpolationInterpolate($O$22,$H51)</f>
        <v>#NUM!</v>
      </c>
      <c r="P51" s="42" t="e">
        <f t="shared" si="6"/>
        <v>#NUM!</v>
      </c>
      <c r="Q51" s="209">
        <f>_xll.qlDayCounterYearFraction(DayCounter,H51,E51)</f>
        <v>0.26111111111111113</v>
      </c>
      <c r="R51" s="42" t="e">
        <f t="shared" si="7"/>
        <v>#NUM!</v>
      </c>
      <c r="S51" s="217" t="e">
        <f t="shared" si="16"/>
        <v>#NUM!</v>
      </c>
      <c r="T51" s="224" t="e">
        <f t="shared" si="18"/>
        <v>#NUM!</v>
      </c>
      <c r="U51" s="138" t="e">
        <v>#N/A</v>
      </c>
      <c r="V51" s="139" t="e">
        <v>#NUM!</v>
      </c>
    </row>
    <row r="52" spans="1:22" x14ac:dyDescent="0.2">
      <c r="A52" s="128">
        <v>57</v>
      </c>
      <c r="B52" s="231" t="str">
        <f t="shared" si="12"/>
        <v>57x60F</v>
      </c>
      <c r="C52" s="89"/>
      <c r="D52" s="219" t="str">
        <f t="shared" si="17"/>
        <v>57M</v>
      </c>
      <c r="E52" s="227">
        <f>_xll.qlCalendarAdvance(Calendar,H52,$A$21,"Modified Following",TRUE)</f>
        <v>43487</v>
      </c>
      <c r="F52" s="218"/>
      <c r="G52" s="218"/>
      <c r="H52" s="90">
        <f>_xll.qlCalendarAdvance(Calendar,SettlementDate,D52,"MF",TRUE)</f>
        <v>43395</v>
      </c>
      <c r="I52" s="218" t="b">
        <v>1</v>
      </c>
      <c r="J52" s="233" t="e">
        <f>(_xll.qlInterpolationInterpolate(DiscountCurve,H52)/_xll.qlInterpolationInterpolate(DiscountCurve,E52,TRUE)-1)/Q52</f>
        <v>#NUM!</v>
      </c>
      <c r="K52" s="152" t="b">
        <f t="shared" si="15"/>
        <v>0</v>
      </c>
      <c r="L52" s="89" t="b">
        <f t="shared" si="2"/>
        <v>0</v>
      </c>
      <c r="M52" s="218" t="b">
        <f t="shared" si="3"/>
        <v>0</v>
      </c>
      <c r="N52" s="152" t="b">
        <v>0</v>
      </c>
      <c r="O52" s="110" t="e">
        <f>_xll.qlInterpolationInterpolate($O$22,$H52)</f>
        <v>#NUM!</v>
      </c>
      <c r="P52" s="218" t="e">
        <f t="shared" si="6"/>
        <v>#NUM!</v>
      </c>
      <c r="Q52" s="220">
        <f>_xll.qlDayCounterYearFraction(DayCounter,H52,E52)</f>
        <v>0.25555555555555554</v>
      </c>
      <c r="R52" s="218" t="e">
        <f t="shared" si="7"/>
        <v>#NUM!</v>
      </c>
      <c r="S52" s="221" t="e">
        <f t="shared" si="16"/>
        <v>#NUM!</v>
      </c>
      <c r="T52" s="232" t="e">
        <f t="shared" si="18"/>
        <v>#NUM!</v>
      </c>
      <c r="U52" s="140" t="e">
        <v>#N/A</v>
      </c>
      <c r="V52" s="222" t="e">
        <v>#NUM!</v>
      </c>
    </row>
    <row r="53" spans="1:22" x14ac:dyDescent="0.2">
      <c r="I53" s="41"/>
    </row>
    <row r="54" spans="1:22" x14ac:dyDescent="0.2">
      <c r="I54" s="41"/>
    </row>
    <row r="55" spans="1:22" x14ac:dyDescent="0.2">
      <c r="I55" s="41"/>
    </row>
    <row r="56" spans="1:22" x14ac:dyDescent="0.2">
      <c r="I56" s="41"/>
    </row>
    <row r="57" spans="1:22" x14ac:dyDescent="0.2">
      <c r="I57" s="41"/>
    </row>
    <row r="58" spans="1:22" x14ac:dyDescent="0.2">
      <c r="I58" s="41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52"/>
  <sheetViews>
    <sheetView topLeftCell="B1" workbookViewId="0">
      <selection activeCell="O2" sqref="O2"/>
    </sheetView>
  </sheetViews>
  <sheetFormatPr defaultRowHeight="11.25" x14ac:dyDescent="0.2"/>
  <cols>
    <col min="1" max="1" width="13.83203125" style="244" hidden="1" customWidth="1"/>
    <col min="2" max="2" width="12.33203125" style="244" bestFit="1" customWidth="1"/>
    <col min="3" max="3" width="25.33203125" style="244" bestFit="1" customWidth="1"/>
    <col min="4" max="4" width="16.5" style="244" bestFit="1" customWidth="1"/>
    <col min="5" max="5" width="16.33203125" style="244" bestFit="1" customWidth="1"/>
    <col min="6" max="6" width="8.83203125" style="244" bestFit="1" customWidth="1"/>
    <col min="7" max="7" width="8.33203125" style="244" bestFit="1" customWidth="1"/>
    <col min="8" max="8" width="16.5" style="244" bestFit="1" customWidth="1"/>
    <col min="9" max="9" width="6.6640625" style="244" bestFit="1" customWidth="1"/>
    <col min="10" max="10" width="8.33203125" style="244" bestFit="1" customWidth="1"/>
    <col min="11" max="11" width="9" style="244" bestFit="1" customWidth="1"/>
    <col min="12" max="14" width="6.6640625" style="244" bestFit="1" customWidth="1"/>
    <col min="15" max="15" width="14.6640625" style="244" bestFit="1" customWidth="1"/>
    <col min="16" max="16" width="7" style="244" bestFit="1" customWidth="1"/>
    <col min="17" max="18" width="10.33203125" style="244" bestFit="1" customWidth="1"/>
    <col min="19" max="19" width="8.33203125" style="244" bestFit="1" customWidth="1"/>
    <col min="20" max="20" width="14.6640625" style="244" customWidth="1"/>
    <col min="21" max="21" width="18" style="244" bestFit="1" customWidth="1"/>
    <col min="22" max="22" width="8.33203125" style="244" bestFit="1" customWidth="1"/>
    <col min="23" max="23" width="3.83203125" style="244" customWidth="1"/>
    <col min="24" max="16384" width="9.33203125" style="244"/>
  </cols>
  <sheetData>
    <row r="1" spans="1:15" s="20" customFormat="1" x14ac:dyDescent="0.2">
      <c r="O1" s="128" t="s">
        <v>47</v>
      </c>
    </row>
    <row r="2" spans="1:15" s="20" customFormat="1" x14ac:dyDescent="0.2">
      <c r="O2" s="20" t="b">
        <v>0</v>
      </c>
    </row>
    <row r="3" spans="1:15" s="20" customFormat="1" x14ac:dyDescent="0.2"/>
    <row r="4" spans="1:15" s="20" customFormat="1" x14ac:dyDescent="0.2"/>
    <row r="5" spans="1:15" s="20" customFormat="1" x14ac:dyDescent="0.2"/>
    <row r="6" spans="1:15" s="20" customFormat="1" x14ac:dyDescent="0.2"/>
    <row r="7" spans="1:15" s="20" customFormat="1" x14ac:dyDescent="0.2"/>
    <row r="8" spans="1:15" s="20" customFormat="1" x14ac:dyDescent="0.2">
      <c r="A8" s="20">
        <v>3</v>
      </c>
      <c r="B8" s="20" t="str">
        <f>"AB"&amp;Months&amp;"E"&amp;A8&amp;"Y"</f>
        <v>AB6E3Y</v>
      </c>
      <c r="C8" s="20" t="str">
        <f>RateHelperPrefix&amp;$B8</f>
        <v>GBP_YC6MRH_AB6E3Y</v>
      </c>
      <c r="F8" s="241" t="e">
        <f>_xll.qlRateHelperQuoteValue(C8,SheetTrigger)</f>
        <v>#NUM!</v>
      </c>
    </row>
    <row r="9" spans="1:15" s="20" customFormat="1" x14ac:dyDescent="0.2">
      <c r="A9" s="20">
        <v>4</v>
      </c>
      <c r="B9" s="20" t="str">
        <f>"AB"&amp;Months&amp;"E"&amp;A9&amp;"Y"</f>
        <v>AB6E4Y</v>
      </c>
      <c r="C9" s="20" t="str">
        <f>RateHelperPrefix&amp;$B9</f>
        <v>GBP_YC6MRH_AB6E4Y</v>
      </c>
      <c r="F9" s="241" t="e">
        <f>_xll.qlRateHelperQuoteValue(C9,SheetTrigger)</f>
        <v>#NUM!</v>
      </c>
    </row>
    <row r="10" spans="1:15" s="20" customFormat="1" x14ac:dyDescent="0.2">
      <c r="A10" s="20">
        <v>5</v>
      </c>
      <c r="B10" s="20" t="str">
        <f>"AB"&amp;Months&amp;"E"&amp;A10&amp;"Y"</f>
        <v>AB6E5Y</v>
      </c>
      <c r="C10" s="20" t="str">
        <f>RateHelperPrefix&amp;$B10</f>
        <v>GBP_YC6MRH_AB6E5Y</v>
      </c>
      <c r="F10" s="241" t="e">
        <f>_xll.qlRateHelperQuoteValue(C10,SheetTrigger)</f>
        <v>#NUM!</v>
      </c>
    </row>
    <row r="11" spans="1:15" s="20" customFormat="1" x14ac:dyDescent="0.2"/>
    <row r="12" spans="1:15" s="20" customFormat="1" x14ac:dyDescent="0.2"/>
    <row r="13" spans="1:15" s="20" customFormat="1" x14ac:dyDescent="0.2"/>
    <row r="14" spans="1:15" s="20" customFormat="1" x14ac:dyDescent="0.2"/>
    <row r="15" spans="1:15" s="20" customFormat="1" x14ac:dyDescent="0.2"/>
    <row r="16" spans="1:15" s="20" customFormat="1" x14ac:dyDescent="0.2"/>
    <row r="17" spans="1:22" s="20" customFormat="1" x14ac:dyDescent="0.2"/>
    <row r="18" spans="1:22" s="20" customFormat="1" x14ac:dyDescent="0.2"/>
    <row r="19" spans="1:22" s="20" customFormat="1" x14ac:dyDescent="0.2"/>
    <row r="20" spans="1:22" x14ac:dyDescent="0.2">
      <c r="A20" s="128">
        <v>6</v>
      </c>
      <c r="B20" s="24"/>
      <c r="C20" s="20"/>
      <c r="D20" s="20"/>
      <c r="E20" s="20"/>
      <c r="F20" s="20"/>
      <c r="G20" s="24"/>
      <c r="H20" s="20"/>
      <c r="I20" s="20"/>
      <c r="J20" s="24"/>
      <c r="K20" s="20"/>
      <c r="L20" s="24"/>
      <c r="M20" s="24"/>
      <c r="N20" s="24"/>
      <c r="O20" s="39"/>
      <c r="P20" s="126">
        <f>IF(ISBLANK($O20),AVERAGE(_xll.ohFilter($P23:$P34,$L23:$L34)),$O20)</f>
        <v>6.9232311613904619E-5</v>
      </c>
      <c r="Q20" s="73">
        <f>'3M'!TOY</f>
        <v>1</v>
      </c>
      <c r="R20" s="332">
        <f>IF(ISBLANK($Q20),MIN(AVERAGE(_xll.ohFilter($R23:$R34,$L23:$L34)),1),$Q20)</f>
        <v>1</v>
      </c>
      <c r="S20" s="242" t="s">
        <v>19</v>
      </c>
      <c r="T20" s="243"/>
      <c r="U20" s="244" t="str">
        <f>_xll.qlInterpolation(,FwdInterpolationType,_xll.ohFilter($H23:$H45,$K23:$K45),_xll.ohFilter($S23:$S45,$K23:$K45))</f>
        <v>obj_0009b#0006</v>
      </c>
    </row>
    <row r="21" spans="1:22" x14ac:dyDescent="0.2">
      <c r="A21" s="326" t="str">
        <f>_xll.qlPeriodEquivalent(A20&amp;"M")</f>
        <v>6M</v>
      </c>
      <c r="B21" s="243"/>
      <c r="D21" s="243"/>
      <c r="E21" s="243"/>
      <c r="G21" s="243"/>
      <c r="J21" s="243"/>
      <c r="L21" s="243"/>
      <c r="M21" s="243"/>
      <c r="N21" s="243"/>
      <c r="O21" s="246"/>
      <c r="P21" s="247" t="e">
        <f>IF(ISBLANK($O21),AVERAGE(_xll.ohFilter($P23:$P34,$M23:$M34)),$O21)</f>
        <v>#NUM!</v>
      </c>
      <c r="Q21" s="286">
        <f>'3M'!_TOY2</f>
        <v>0.99995073549694913</v>
      </c>
      <c r="R21" s="333">
        <f>IF(ISBLANK($Q21),MIN(AVERAGE(_xll.ohFilter($R23:$R34,$M23:$M34)),1),$Q21)</f>
        <v>0.99995073549694913</v>
      </c>
      <c r="S21" s="248" t="s">
        <v>24</v>
      </c>
      <c r="T21" s="243"/>
      <c r="U21" s="249" t="str">
        <f>_xll.qlInterpolation(,FwdInterpolationType,_xll.ohFilter($H23:$H39,$K23:$K39),_xll.ohFilter($S23:$S39,$K23:$K39))</f>
        <v>obj_0009c#0006</v>
      </c>
      <c r="V21" s="242"/>
    </row>
    <row r="22" spans="1:22" x14ac:dyDescent="0.2">
      <c r="A22" s="245" t="str">
        <f>Currency&amp;"_YC"&amp;IndexTenor&amp;"RH_"</f>
        <v>GBP_YC6MRH_</v>
      </c>
      <c r="B22" s="249"/>
      <c r="C22" s="250" t="s">
        <v>12</v>
      </c>
      <c r="D22" s="251" t="s">
        <v>11</v>
      </c>
      <c r="E22" s="252" t="s">
        <v>10</v>
      </c>
      <c r="F22" s="250" t="s">
        <v>38</v>
      </c>
      <c r="G22" s="253"/>
      <c r="H22" s="252" t="s">
        <v>34</v>
      </c>
      <c r="I22" s="251" t="s">
        <v>42</v>
      </c>
      <c r="J22" s="251" t="s">
        <v>39</v>
      </c>
      <c r="K22" s="254" t="s">
        <v>43</v>
      </c>
      <c r="L22" s="251" t="s">
        <v>37</v>
      </c>
      <c r="M22" s="251" t="s">
        <v>24</v>
      </c>
      <c r="N22" s="254" t="s">
        <v>41</v>
      </c>
      <c r="O22" s="255" t="str">
        <f>_xll.qlInterpolation(,FwdInterpolationType,_xll.ohFilter($H23:$H39,$N23:$N39),_xll.ohFilter($J23:$J39,$N23:$N39))</f>
        <v>obj_00085#0013</v>
      </c>
      <c r="P22" s="256" t="s">
        <v>15</v>
      </c>
      <c r="Q22" s="257" t="s">
        <v>16</v>
      </c>
      <c r="R22" s="256" t="s">
        <v>17</v>
      </c>
      <c r="S22" s="250" t="s">
        <v>44</v>
      </c>
      <c r="T22" s="251" t="s">
        <v>15</v>
      </c>
      <c r="U22" s="258">
        <f>D23</f>
        <v>41659</v>
      </c>
      <c r="V22" s="259">
        <f>_xll.qlInterpolationInterpolate(ExtFwdInterpolator,U22,TRUE)</f>
        <v>6.1599999999999997E-3</v>
      </c>
    </row>
    <row r="23" spans="1:22" x14ac:dyDescent="0.2">
      <c r="A23" s="74">
        <f>_xll.ohTrigger(Triggers!TriggerTOY6M,EvaluationDate)</f>
        <v>15</v>
      </c>
      <c r="B23" s="260" t="str">
        <f>IndexTenor&amp;"D"</f>
        <v>6MD</v>
      </c>
      <c r="C23" s="261" t="str">
        <f>RateHelperPrefix&amp;$B23</f>
        <v>GBP_YC6MRH_6MD</v>
      </c>
      <c r="D23" s="262">
        <f>_xll.qlRateHelperEarliestDate($C23,EvaluationDate)</f>
        <v>41659</v>
      </c>
      <c r="E23" s="262">
        <f>_xll.qlRateHelperLatestDate($C23,EvaluationDate)</f>
        <v>41841</v>
      </c>
      <c r="F23" s="263">
        <f>_xll.qlRateHelperQuoteValue($C23,SheetTrigger)</f>
        <v>6.1599999999999997E-3</v>
      </c>
      <c r="G23" s="264"/>
      <c r="H23" s="262">
        <f t="shared" ref="H23:H34" si="0">$D23</f>
        <v>41659</v>
      </c>
      <c r="I23" s="265" t="b">
        <v>1</v>
      </c>
      <c r="J23" s="266">
        <f>F23</f>
        <v>6.1599999999999997E-3</v>
      </c>
      <c r="K23" s="242" t="b">
        <f>AND(ISNUMBER(J23),I23)</f>
        <v>1</v>
      </c>
      <c r="L23" s="261" t="b">
        <f t="shared" ref="L23:L45" si="1">NOT(OR($H23&gt;LastDayInYear,$E23&lt;=LastDayInYear))</f>
        <v>0</v>
      </c>
      <c r="M23" s="261" t="b">
        <f t="shared" ref="M23:M45" si="2">NOT(OR($H23&gt;LastDayInNextYear,$E23&lt;=LastDayInNextYear))</f>
        <v>0</v>
      </c>
      <c r="N23" s="242" t="b">
        <f>IF(K23,AND(NOT($L23),NOT($M23)),FALSE)</f>
        <v>1</v>
      </c>
      <c r="O23" s="263">
        <f>_xll.qlInterpolationInterpolate($O$22,$H23)</f>
        <v>6.1599999999999997E-3</v>
      </c>
      <c r="P23" s="267">
        <f t="shared" ref="P23:P45" si="3">$J23-$O23</f>
        <v>0</v>
      </c>
      <c r="Q23" s="268">
        <f>_xll.qlDayCounterYearFraction(DayCounter,$H23,$E23)</f>
        <v>0.50555555555555554</v>
      </c>
      <c r="R23" s="269">
        <f t="shared" ref="R23:R45" si="4">(1+$O23*$Q23)/(1+$J23*$Q23)</f>
        <v>1</v>
      </c>
      <c r="S23" s="270">
        <f t="shared" ref="S23:S34" si="5">IF($L23,(TOY*(1+$J23*$Q23)-1)/$Q23,IF($M23,(_TOY2*(1+$J23*$Q23)-1)/$Q23,$J23))</f>
        <v>6.1599999999999997E-3</v>
      </c>
      <c r="T23" s="271">
        <f t="shared" ref="T23:T34" si="6">S23-J23</f>
        <v>0</v>
      </c>
      <c r="U23" s="272">
        <f t="array" ref="U23:U45">SelectionSort(_xll.ohFilter(H23:H45,K23:K45))</f>
        <v>41659</v>
      </c>
      <c r="V23" s="273" t="e">
        <f t="array" ref="V23:V45">_xll.qlInterpolationInterpolate(ExtFwdInterpolator,_xll.ohPack(U23:U45))</f>
        <v>#NUM!</v>
      </c>
    </row>
    <row r="24" spans="1:22" x14ac:dyDescent="0.2">
      <c r="A24" s="245" t="str">
        <f>PROPER(Currency)&amp;IF(UPPER(Currency)&lt;&gt;"EUR","L","")&amp;"ibor"&amp;IndexTenor</f>
        <v>GbpLibor6M</v>
      </c>
      <c r="B24" s="275" t="s">
        <v>45</v>
      </c>
      <c r="C24" s="276" t="str">
        <f>A24&amp;B24&amp;"_Quote"</f>
        <v>GbpLibor6MLastFixing_Quote</v>
      </c>
      <c r="D24" s="277">
        <f>_xll.qlCalendarAdvance(Calendar,_xll.qlLastFixingQuoteReferenceDate(C24),"2D","f",,SheetTrigger)</f>
        <v>41661</v>
      </c>
      <c r="E24" s="277">
        <f>_xll.qlCalendarAdvance(Calendar,D24,IndexTenor,"Modified Following",TRUE,SheetTrigger)</f>
        <v>41842</v>
      </c>
      <c r="F24" s="278">
        <f>_xll.qlQuoteValue(C24,SheetTrigger)</f>
        <v>6.1500000000000001E-3</v>
      </c>
      <c r="G24" s="279"/>
      <c r="H24" s="280">
        <f>H23</f>
        <v>41659</v>
      </c>
      <c r="I24" s="281" t="b">
        <v>0</v>
      </c>
      <c r="J24" s="282">
        <f>F24</f>
        <v>6.1500000000000001E-3</v>
      </c>
      <c r="K24" s="248" t="b">
        <f>AND(ISNUMBER(J24),I24)</f>
        <v>0</v>
      </c>
      <c r="L24" s="276" t="b">
        <f t="shared" si="1"/>
        <v>0</v>
      </c>
      <c r="M24" s="276" t="b">
        <f t="shared" si="2"/>
        <v>0</v>
      </c>
      <c r="N24" s="248" t="b">
        <f>IF(K24,AND(NOT($L24),NOT($M24)),FALSE)</f>
        <v>0</v>
      </c>
      <c r="O24" s="278">
        <f>_xll.qlInterpolationInterpolate($O$22,$H24)</f>
        <v>6.1599999999999997E-3</v>
      </c>
      <c r="P24" s="283">
        <f>$J24-$O24</f>
        <v>-9.9999999999995925E-6</v>
      </c>
      <c r="Q24" s="284">
        <f>_xll.qlDayCounterYearFraction(DayCounter,$H24,$E24)</f>
        <v>0.5083333333333333</v>
      </c>
      <c r="R24" s="285">
        <f>(1+$O24*$Q24)/(1+$J24*$Q24)</f>
        <v>1.0000050674910894</v>
      </c>
      <c r="S24" s="286">
        <f>IF($L24,(TOY*(1+$J24*$Q24)-1)/$Q24,IF($M24,(_TOY2*(1+$J24*$Q24)-1)/$Q24,$J24))</f>
        <v>6.1500000000000001E-3</v>
      </c>
      <c r="T24" s="287">
        <f>S24-J24</f>
        <v>0</v>
      </c>
      <c r="U24" s="272">
        <v>41690</v>
      </c>
      <c r="V24" s="273" t="e">
        <v>#NUM!</v>
      </c>
    </row>
    <row r="25" spans="1:22" x14ac:dyDescent="0.2">
      <c r="A25" s="245"/>
      <c r="B25" s="249" t="str">
        <f>"T"&amp;$A$20&amp;"F1"</f>
        <v>T6F1</v>
      </c>
      <c r="C25" s="249" t="str">
        <f>RateHelperPrefix&amp;$B25</f>
        <v>GBP_YC6MRH_T6F1</v>
      </c>
      <c r="D25" s="262">
        <f>_xll.qlRateHelperEarliestDate($C25,EvaluationDate)</f>
        <v>41659</v>
      </c>
      <c r="E25" s="262">
        <f>_xll.qlRateHelperLatestDate($C25,EvaluationDate)</f>
        <v>41841</v>
      </c>
      <c r="F25" s="263" t="e">
        <f>_xll.qlRateHelperQuoteValue($C25,SheetTrigger)</f>
        <v>#NUM!</v>
      </c>
      <c r="G25" s="261"/>
      <c r="H25" s="262">
        <f>$D25</f>
        <v>41659</v>
      </c>
      <c r="I25" s="265" t="b">
        <v>0</v>
      </c>
      <c r="J25" s="266" t="e">
        <f>F25</f>
        <v>#NUM!</v>
      </c>
      <c r="K25" s="242" t="b">
        <f t="shared" ref="K25:K34" si="7">AND(ISNUMBER(J25),I25)</f>
        <v>0</v>
      </c>
      <c r="L25" s="261" t="b">
        <f>NOT(OR($H25&gt;LastDayInYear,$E25&lt;=LastDayInYear))</f>
        <v>0</v>
      </c>
      <c r="M25" s="261" t="b">
        <f>NOT(OR($H25&gt;LastDayInNextYear,$E25&lt;=LastDayInNextYear))</f>
        <v>0</v>
      </c>
      <c r="N25" s="242" t="b">
        <f>IF(K25,AND(NOT($L25),NOT($M25)),FALSE)</f>
        <v>0</v>
      </c>
      <c r="O25" s="263">
        <f>_xll.qlInterpolationInterpolate($O$22,$H25)</f>
        <v>6.1599999999999997E-3</v>
      </c>
      <c r="P25" s="267" t="e">
        <f>$J25-$O25</f>
        <v>#NUM!</v>
      </c>
      <c r="Q25" s="268">
        <f>_xll.qlDayCounterYearFraction(DayCounter,$H25,$E25)</f>
        <v>0.50555555555555554</v>
      </c>
      <c r="R25" s="269" t="e">
        <f>(1+$O25*$Q25)/(1+$J25*$Q25)</f>
        <v>#NUM!</v>
      </c>
      <c r="S25" s="270" t="e">
        <f>IF($L25,(TOY*(1+$J25*$Q25)-1)/$Q25,IF($M25,(_TOY2*(1+$J25*$Q25)-1)/$Q25,$J25))</f>
        <v>#NUM!</v>
      </c>
      <c r="T25" s="271" t="e">
        <f>S25-J25</f>
        <v>#NUM!</v>
      </c>
      <c r="U25" s="272">
        <v>41718</v>
      </c>
      <c r="V25" s="273" t="e">
        <v>#NUM!</v>
      </c>
    </row>
    <row r="26" spans="1:22" x14ac:dyDescent="0.2">
      <c r="A26" s="245"/>
      <c r="B26" s="246" t="str">
        <f>"TOM"&amp;$A$20&amp;"F1"</f>
        <v>TOM6F1</v>
      </c>
      <c r="C26" s="246" t="str">
        <f>RateHelperPrefix&amp;$B26</f>
        <v>GBP_YC6MRH_TOM6F1</v>
      </c>
      <c r="D26" s="280">
        <f>_xll.qlRateHelperEarliestDate($C26,EvaluationDate)</f>
        <v>41660</v>
      </c>
      <c r="E26" s="280">
        <f>_xll.qlRateHelperLatestDate($C26,EvaluationDate)</f>
        <v>41841</v>
      </c>
      <c r="F26" s="278" t="e">
        <f>_xll.qlRateHelperQuoteValue($C26,SheetTrigger)</f>
        <v>#NUM!</v>
      </c>
      <c r="G26" s="276"/>
      <c r="H26" s="280">
        <f>$D26</f>
        <v>41660</v>
      </c>
      <c r="I26" s="281" t="b">
        <v>1</v>
      </c>
      <c r="J26" s="282" t="e">
        <f>F26</f>
        <v>#NUM!</v>
      </c>
      <c r="K26" s="248" t="b">
        <f>AND(ISNUMBER(J26),I26)</f>
        <v>0</v>
      </c>
      <c r="L26" s="276" t="b">
        <f>NOT(OR($H26&gt;LastDayInYear,$E26&lt;=LastDayInYear))</f>
        <v>0</v>
      </c>
      <c r="M26" s="276" t="b">
        <f>NOT(OR($H26&gt;LastDayInNextYear,$E26&lt;=LastDayInNextYear))</f>
        <v>0</v>
      </c>
      <c r="N26" s="248" t="b">
        <f>IF(K26,AND(NOT($L26),NOT($M26)),FALSE)</f>
        <v>0</v>
      </c>
      <c r="O26" s="278">
        <f>_xll.qlInterpolationInterpolate($O$22,$H26)</f>
        <v>6.1644460817294995E-3</v>
      </c>
      <c r="P26" s="283" t="e">
        <f>$J26-$O26</f>
        <v>#NUM!</v>
      </c>
      <c r="Q26" s="284">
        <f>_xll.qlDayCounterYearFraction(DayCounter,$H26,$E26)</f>
        <v>0.50277777777777777</v>
      </c>
      <c r="R26" s="285" t="e">
        <f>(1+$O26*$Q26)/(1+$J26*$Q26)</f>
        <v>#NUM!</v>
      </c>
      <c r="S26" s="286" t="e">
        <f>IF($L26,(TOY*(1+$J26*$Q26)-1)/$Q26,IF($M26,(_TOY2*(1+$J26*$Q26)-1)/$Q26,$J26))</f>
        <v>#NUM!</v>
      </c>
      <c r="T26" s="287" t="e">
        <f>S26-J26</f>
        <v>#NUM!</v>
      </c>
      <c r="U26" s="272">
        <v>41751</v>
      </c>
      <c r="V26" s="273" t="e">
        <v>#NUM!</v>
      </c>
    </row>
    <row r="27" spans="1:22" x14ac:dyDescent="0.2">
      <c r="A27" s="293">
        <v>1</v>
      </c>
      <c r="B27" s="249" t="str">
        <f>A27&amp;"x"&amp;(A27+$A$20)&amp;"F"</f>
        <v>1x7F</v>
      </c>
      <c r="C27" s="249" t="str">
        <f t="shared" ref="C27:C34" si="8">RateHelperPrefix&amp;$B27</f>
        <v>GBP_YC6MRH_1x7F</v>
      </c>
      <c r="D27" s="262">
        <f>_xll.qlRateHelperEarliestDate($C27,EvaluationDate)</f>
        <v>41690</v>
      </c>
      <c r="E27" s="262">
        <f>_xll.qlRateHelperLatestDate($C27,EvaluationDate)</f>
        <v>41871</v>
      </c>
      <c r="F27" s="263">
        <f>_xll.qlRateHelperQuoteValue($C27,SheetTrigger)</f>
        <v>6.3E-3</v>
      </c>
      <c r="G27" s="294"/>
      <c r="H27" s="262">
        <f t="shared" si="0"/>
        <v>41690</v>
      </c>
      <c r="I27" s="262" t="b">
        <v>1</v>
      </c>
      <c r="J27" s="266">
        <f t="shared" ref="J27:J34" si="9">F27</f>
        <v>6.3E-3</v>
      </c>
      <c r="K27" s="242" t="b">
        <f t="shared" si="7"/>
        <v>1</v>
      </c>
      <c r="L27" s="261" t="b">
        <f t="shared" si="1"/>
        <v>0</v>
      </c>
      <c r="M27" s="261" t="b">
        <f t="shared" si="2"/>
        <v>0</v>
      </c>
      <c r="N27" s="242" t="b">
        <f t="shared" ref="N27:N39" si="10">IF(K27,AND(NOT($L27),NOT($M27)),FALSE)</f>
        <v>1</v>
      </c>
      <c r="O27" s="266">
        <f>_xll.qlInterpolationInterpolate($O$22,$H27)</f>
        <v>6.3E-3</v>
      </c>
      <c r="P27" s="267">
        <f t="shared" si="3"/>
        <v>0</v>
      </c>
      <c r="Q27" s="268">
        <f>_xll.qlDayCounterYearFraction(DayCounter,$H27,$E27)</f>
        <v>0.50277777777777777</v>
      </c>
      <c r="R27" s="295">
        <f t="shared" si="4"/>
        <v>1</v>
      </c>
      <c r="S27" s="274">
        <f t="shared" si="5"/>
        <v>6.3E-3</v>
      </c>
      <c r="T27" s="271">
        <f t="shared" si="6"/>
        <v>0</v>
      </c>
      <c r="U27" s="272">
        <v>41779</v>
      </c>
      <c r="V27" s="273" t="e">
        <v>#NUM!</v>
      </c>
    </row>
    <row r="28" spans="1:22" x14ac:dyDescent="0.2">
      <c r="A28" s="293">
        <v>2</v>
      </c>
      <c r="B28" s="288" t="str">
        <f t="shared" ref="B28:B34" si="11">A28&amp;"x"&amp;(A28+$A$20)&amp;"F"</f>
        <v>2x8F</v>
      </c>
      <c r="C28" s="288" t="str">
        <f t="shared" si="8"/>
        <v>GBP_YC6MRH_2x8F</v>
      </c>
      <c r="D28" s="291">
        <f>_xll.qlRateHelperEarliestDate($C28,EvaluationDate)</f>
        <v>41718</v>
      </c>
      <c r="E28" s="291">
        <f>_xll.qlRateHelperLatestDate($C28,EvaluationDate)</f>
        <v>41904</v>
      </c>
      <c r="F28" s="296">
        <f>_xll.qlRateHelperQuoteValue($C28,SheetTrigger)</f>
        <v>6.45E-3</v>
      </c>
      <c r="G28" s="297"/>
      <c r="H28" s="291">
        <f t="shared" si="0"/>
        <v>41718</v>
      </c>
      <c r="I28" s="291" t="b">
        <v>1</v>
      </c>
      <c r="J28" s="298">
        <f t="shared" si="9"/>
        <v>6.45E-3</v>
      </c>
      <c r="K28" s="299" t="b">
        <f t="shared" si="7"/>
        <v>1</v>
      </c>
      <c r="L28" s="243" t="b">
        <f t="shared" si="1"/>
        <v>0</v>
      </c>
      <c r="M28" s="243" t="b">
        <f t="shared" si="2"/>
        <v>0</v>
      </c>
      <c r="N28" s="299" t="b">
        <f t="shared" si="10"/>
        <v>1</v>
      </c>
      <c r="O28" s="298">
        <f>_xll.qlInterpolationInterpolate($O$22,$H28)</f>
        <v>6.45E-3</v>
      </c>
      <c r="P28" s="300">
        <f t="shared" si="3"/>
        <v>0</v>
      </c>
      <c r="Q28" s="301">
        <f>_xll.qlDayCounterYearFraction(DayCounter,$H28,$E28)</f>
        <v>0.51666666666666672</v>
      </c>
      <c r="R28" s="302">
        <f t="shared" si="4"/>
        <v>1</v>
      </c>
      <c r="S28" s="289">
        <f t="shared" si="5"/>
        <v>6.45E-3</v>
      </c>
      <c r="T28" s="303">
        <f t="shared" si="6"/>
        <v>0</v>
      </c>
      <c r="U28" s="272">
        <v>41810</v>
      </c>
      <c r="V28" s="273" t="e">
        <v>#NUM!</v>
      </c>
    </row>
    <row r="29" spans="1:22" x14ac:dyDescent="0.2">
      <c r="A29" s="293">
        <v>3</v>
      </c>
      <c r="B29" s="288" t="str">
        <f t="shared" si="11"/>
        <v>3x9F</v>
      </c>
      <c r="C29" s="288" t="str">
        <f t="shared" si="8"/>
        <v>GBP_YC6MRH_3x9F</v>
      </c>
      <c r="D29" s="291">
        <f>_xll.qlRateHelperEarliestDate($C29,EvaluationDate)</f>
        <v>41751</v>
      </c>
      <c r="E29" s="291">
        <f>_xll.qlRateHelperLatestDate($C29,EvaluationDate)</f>
        <v>41934</v>
      </c>
      <c r="F29" s="296">
        <f>_xll.qlRateHelperQuoteValue($C29,SheetTrigger)</f>
        <v>6.6999999999999994E-3</v>
      </c>
      <c r="G29" s="297"/>
      <c r="H29" s="291">
        <f t="shared" si="0"/>
        <v>41751</v>
      </c>
      <c r="I29" s="291" t="b">
        <v>1</v>
      </c>
      <c r="J29" s="298">
        <f t="shared" si="9"/>
        <v>6.6999999999999994E-3</v>
      </c>
      <c r="K29" s="299" t="b">
        <f t="shared" si="7"/>
        <v>1</v>
      </c>
      <c r="L29" s="243" t="b">
        <f t="shared" si="1"/>
        <v>0</v>
      </c>
      <c r="M29" s="243" t="b">
        <f t="shared" si="2"/>
        <v>0</v>
      </c>
      <c r="N29" s="299" t="b">
        <f t="shared" si="10"/>
        <v>1</v>
      </c>
      <c r="O29" s="298">
        <f>_xll.qlInterpolationInterpolate($O$22,$H29)</f>
        <v>6.6999999999999994E-3</v>
      </c>
      <c r="P29" s="300">
        <f t="shared" si="3"/>
        <v>0</v>
      </c>
      <c r="Q29" s="301">
        <f>_xll.qlDayCounterYearFraction(DayCounter,$H29,$E29)</f>
        <v>0.5083333333333333</v>
      </c>
      <c r="R29" s="302">
        <f t="shared" si="4"/>
        <v>1</v>
      </c>
      <c r="S29" s="289">
        <f t="shared" si="5"/>
        <v>6.6999999999999994E-3</v>
      </c>
      <c r="T29" s="303">
        <f t="shared" si="6"/>
        <v>0</v>
      </c>
      <c r="U29" s="272">
        <v>41841</v>
      </c>
      <c r="V29" s="273" t="e">
        <v>#NUM!</v>
      </c>
    </row>
    <row r="30" spans="1:22" x14ac:dyDescent="0.2">
      <c r="A30" s="293">
        <v>4</v>
      </c>
      <c r="B30" s="288" t="str">
        <f t="shared" si="11"/>
        <v>4x10F</v>
      </c>
      <c r="C30" s="288" t="str">
        <f t="shared" si="8"/>
        <v>GBP_YC6MRH_4x10F</v>
      </c>
      <c r="D30" s="291">
        <f>_xll.qlRateHelperEarliestDate($C30,EvaluationDate)</f>
        <v>41779</v>
      </c>
      <c r="E30" s="291">
        <f>_xll.qlRateHelperLatestDate($C30,EvaluationDate)</f>
        <v>41963</v>
      </c>
      <c r="F30" s="296">
        <f>_xll.qlRateHelperQuoteValue($C30,SheetTrigger)</f>
        <v>6.8999999999999999E-3</v>
      </c>
      <c r="G30" s="297"/>
      <c r="H30" s="291">
        <f t="shared" si="0"/>
        <v>41779</v>
      </c>
      <c r="I30" s="291" t="b">
        <v>1</v>
      </c>
      <c r="J30" s="298">
        <f t="shared" si="9"/>
        <v>6.8999999999999999E-3</v>
      </c>
      <c r="K30" s="299" t="b">
        <f t="shared" si="7"/>
        <v>1</v>
      </c>
      <c r="L30" s="243" t="b">
        <f t="shared" si="1"/>
        <v>0</v>
      </c>
      <c r="M30" s="243" t="b">
        <f t="shared" si="2"/>
        <v>0</v>
      </c>
      <c r="N30" s="299" t="b">
        <f t="shared" si="10"/>
        <v>1</v>
      </c>
      <c r="O30" s="298">
        <f>_xll.qlInterpolationInterpolate($O$22,$H30)</f>
        <v>6.8999999999999999E-3</v>
      </c>
      <c r="P30" s="300">
        <f t="shared" si="3"/>
        <v>0</v>
      </c>
      <c r="Q30" s="301">
        <f>_xll.qlDayCounterYearFraction(DayCounter,$H30,$E30)</f>
        <v>0.51111111111111107</v>
      </c>
      <c r="R30" s="302">
        <f t="shared" si="4"/>
        <v>1</v>
      </c>
      <c r="S30" s="289">
        <f t="shared" si="5"/>
        <v>6.8999999999999999E-3</v>
      </c>
      <c r="T30" s="303">
        <f t="shared" si="6"/>
        <v>0</v>
      </c>
      <c r="U30" s="272">
        <v>42024</v>
      </c>
      <c r="V30" s="273" t="e">
        <v>#NUM!</v>
      </c>
    </row>
    <row r="31" spans="1:22" x14ac:dyDescent="0.2">
      <c r="A31" s="293">
        <v>5</v>
      </c>
      <c r="B31" s="288" t="str">
        <f t="shared" si="11"/>
        <v>5x11F</v>
      </c>
      <c r="C31" s="288" t="str">
        <f t="shared" si="8"/>
        <v>GBP_YC6MRH_5x11F</v>
      </c>
      <c r="D31" s="291">
        <f>_xll.qlRateHelperEarliestDate($C31,EvaluationDate)</f>
        <v>41810</v>
      </c>
      <c r="E31" s="291">
        <f>_xll.qlRateHelperLatestDate($C31,EvaluationDate)</f>
        <v>41995</v>
      </c>
      <c r="F31" s="296">
        <f>_xll.qlRateHelperQuoteValue($C31,SheetTrigger)</f>
        <v>7.1500000000000001E-3</v>
      </c>
      <c r="G31" s="297"/>
      <c r="H31" s="291">
        <f t="shared" si="0"/>
        <v>41810</v>
      </c>
      <c r="I31" s="291" t="b">
        <v>1</v>
      </c>
      <c r="J31" s="298">
        <f t="shared" si="9"/>
        <v>7.1500000000000001E-3</v>
      </c>
      <c r="K31" s="299" t="b">
        <f t="shared" si="7"/>
        <v>1</v>
      </c>
      <c r="L31" s="243" t="b">
        <f t="shared" si="1"/>
        <v>0</v>
      </c>
      <c r="M31" s="243" t="b">
        <f t="shared" si="2"/>
        <v>0</v>
      </c>
      <c r="N31" s="299" t="b">
        <f t="shared" si="10"/>
        <v>1</v>
      </c>
      <c r="O31" s="298">
        <f>_xll.qlInterpolationInterpolate($O$22,$H31)</f>
        <v>7.1500000000000001E-3</v>
      </c>
      <c r="P31" s="300">
        <f t="shared" si="3"/>
        <v>0</v>
      </c>
      <c r="Q31" s="301">
        <f>_xll.qlDayCounterYearFraction(DayCounter,$H31,$E31)</f>
        <v>0.51388888888888884</v>
      </c>
      <c r="R31" s="302">
        <f t="shared" si="4"/>
        <v>1</v>
      </c>
      <c r="S31" s="289">
        <f t="shared" si="5"/>
        <v>7.1500000000000001E-3</v>
      </c>
      <c r="T31" s="303">
        <f t="shared" si="6"/>
        <v>0</v>
      </c>
      <c r="U31" s="272" t="e">
        <v>#N/A</v>
      </c>
      <c r="V31" s="273" t="e">
        <v>#NUM!</v>
      </c>
    </row>
    <row r="32" spans="1:22" x14ac:dyDescent="0.2">
      <c r="A32" s="293">
        <v>6</v>
      </c>
      <c r="B32" s="288" t="str">
        <f t="shared" si="11"/>
        <v>6x12F</v>
      </c>
      <c r="C32" s="288" t="str">
        <f t="shared" si="8"/>
        <v>GBP_YC6MRH_6x12F</v>
      </c>
      <c r="D32" s="291">
        <f>_xll.qlRateHelperEarliestDate($C32,EvaluationDate)</f>
        <v>41841</v>
      </c>
      <c r="E32" s="291">
        <f>_xll.qlRateHelperLatestDate($C32,EvaluationDate)</f>
        <v>42025</v>
      </c>
      <c r="F32" s="296">
        <f>_xll.qlRateHelperQuoteValue($C32,SheetTrigger)</f>
        <v>7.5500000000000003E-3</v>
      </c>
      <c r="G32" s="297"/>
      <c r="H32" s="291">
        <f t="shared" si="0"/>
        <v>41841</v>
      </c>
      <c r="I32" s="291" t="b">
        <v>1</v>
      </c>
      <c r="J32" s="298">
        <f t="shared" si="9"/>
        <v>7.5500000000000003E-3</v>
      </c>
      <c r="K32" s="299" t="b">
        <f t="shared" si="7"/>
        <v>1</v>
      </c>
      <c r="L32" s="243" t="b">
        <f t="shared" si="1"/>
        <v>1</v>
      </c>
      <c r="M32" s="243" t="b">
        <f t="shared" si="2"/>
        <v>0</v>
      </c>
      <c r="N32" s="299" t="b">
        <f t="shared" si="10"/>
        <v>0</v>
      </c>
      <c r="O32" s="298">
        <f>_xll.qlInterpolationInterpolate($O$22,$H32)</f>
        <v>7.4807676883860957E-3</v>
      </c>
      <c r="P32" s="300">
        <f t="shared" si="3"/>
        <v>6.9232311613904619E-5</v>
      </c>
      <c r="Q32" s="301">
        <f>_xll.qlDayCounterYearFraction(DayCounter,$H32,$E32)</f>
        <v>0.51111111111111107</v>
      </c>
      <c r="R32" s="302">
        <f t="shared" si="4"/>
        <v>0.999964750619728</v>
      </c>
      <c r="S32" s="289">
        <f t="shared" si="5"/>
        <v>7.549999999999937E-3</v>
      </c>
      <c r="T32" s="303">
        <f t="shared" si="6"/>
        <v>-6.3317406873153459E-17</v>
      </c>
      <c r="U32" s="272" t="e">
        <v>#N/A</v>
      </c>
      <c r="V32" s="273" t="e">
        <v>#NUM!</v>
      </c>
    </row>
    <row r="33" spans="1:23" x14ac:dyDescent="0.2">
      <c r="A33" s="293">
        <v>12</v>
      </c>
      <c r="B33" s="288" t="str">
        <f t="shared" si="11"/>
        <v>12x18F</v>
      </c>
      <c r="C33" s="288" t="str">
        <f t="shared" si="8"/>
        <v>GBP_YC6MRH_12x18F</v>
      </c>
      <c r="D33" s="291">
        <f>_xll.qlRateHelperEarliestDate($C33,EvaluationDate)</f>
        <v>42024</v>
      </c>
      <c r="E33" s="291">
        <f>_xll.qlRateHelperLatestDate($C33,EvaluationDate)</f>
        <v>42205</v>
      </c>
      <c r="F33" s="296">
        <f>_xll.qlRateHelperQuoteValue($C33,SheetTrigger)</f>
        <v>1.06E-2</v>
      </c>
      <c r="G33" s="297"/>
      <c r="H33" s="291">
        <f t="shared" si="0"/>
        <v>42024</v>
      </c>
      <c r="I33" s="291" t="b">
        <v>1</v>
      </c>
      <c r="J33" s="298">
        <f t="shared" si="9"/>
        <v>1.06E-2</v>
      </c>
      <c r="K33" s="299" t="b">
        <f t="shared" si="7"/>
        <v>1</v>
      </c>
      <c r="L33" s="243" t="b">
        <f t="shared" si="1"/>
        <v>0</v>
      </c>
      <c r="M33" s="243" t="b">
        <f t="shared" si="2"/>
        <v>0</v>
      </c>
      <c r="N33" s="299" t="b">
        <f t="shared" si="10"/>
        <v>1</v>
      </c>
      <c r="O33" s="298">
        <f>_xll.qlInterpolationInterpolate($O$22,$H33)</f>
        <v>1.06E-2</v>
      </c>
      <c r="P33" s="300">
        <f t="shared" si="3"/>
        <v>0</v>
      </c>
      <c r="Q33" s="301">
        <f>_xll.qlDayCounterYearFraction(DayCounter,$H33,$E33)</f>
        <v>0.50277777777777777</v>
      </c>
      <c r="R33" s="302">
        <f t="shared" si="4"/>
        <v>1</v>
      </c>
      <c r="S33" s="289">
        <f t="shared" si="5"/>
        <v>1.06E-2</v>
      </c>
      <c r="T33" s="303">
        <f t="shared" si="6"/>
        <v>0</v>
      </c>
      <c r="U33" s="272" t="e">
        <v>#N/A</v>
      </c>
      <c r="V33" s="273" t="e">
        <v>#NUM!</v>
      </c>
      <c r="W33" s="290"/>
    </row>
    <row r="34" spans="1:23" x14ac:dyDescent="0.2">
      <c r="A34" s="293">
        <v>18</v>
      </c>
      <c r="B34" s="246" t="str">
        <f t="shared" si="11"/>
        <v>18x24F</v>
      </c>
      <c r="C34" s="246" t="str">
        <f t="shared" si="8"/>
        <v>GBP_YC6MRH_18x24F</v>
      </c>
      <c r="D34" s="280">
        <f>_xll.qlRateHelperEarliestDate($C34,EvaluationDate)</f>
        <v>42205</v>
      </c>
      <c r="E34" s="280">
        <f>_xll.qlRateHelperLatestDate($C34,EvaluationDate)</f>
        <v>42389</v>
      </c>
      <c r="F34" s="278" t="e">
        <f>_xll.qlRateHelperQuoteValue($C34,SheetTrigger)</f>
        <v>#NUM!</v>
      </c>
      <c r="G34" s="304"/>
      <c r="H34" s="280">
        <f t="shared" si="0"/>
        <v>42205</v>
      </c>
      <c r="I34" s="280" t="b">
        <v>1</v>
      </c>
      <c r="J34" s="282" t="e">
        <f t="shared" si="9"/>
        <v>#NUM!</v>
      </c>
      <c r="K34" s="248" t="b">
        <f t="shared" si="7"/>
        <v>0</v>
      </c>
      <c r="L34" s="276" t="b">
        <f t="shared" si="1"/>
        <v>0</v>
      </c>
      <c r="M34" s="276" t="b">
        <f t="shared" si="2"/>
        <v>1</v>
      </c>
      <c r="N34" s="248" t="b">
        <f t="shared" si="10"/>
        <v>0</v>
      </c>
      <c r="O34" s="330">
        <f>_xll.qlInterpolationInterpolate($O$22,$H34,TRUE)</f>
        <v>1.3695029919445063E-2</v>
      </c>
      <c r="P34" s="283" t="e">
        <f t="shared" si="3"/>
        <v>#NUM!</v>
      </c>
      <c r="Q34" s="284">
        <f>_xll.qlDayCounterYearFraction(DayCounter,$H34,$E34)</f>
        <v>0.51111111111111107</v>
      </c>
      <c r="R34" s="247" t="e">
        <f t="shared" si="4"/>
        <v>#NUM!</v>
      </c>
      <c r="S34" s="292" t="e">
        <f t="shared" si="5"/>
        <v>#NUM!</v>
      </c>
      <c r="T34" s="287" t="e">
        <f t="shared" si="6"/>
        <v>#NUM!</v>
      </c>
      <c r="U34" s="272" t="e">
        <v>#N/A</v>
      </c>
      <c r="V34" s="273" t="e">
        <v>#NUM!</v>
      </c>
      <c r="W34" s="290"/>
    </row>
    <row r="35" spans="1:23" x14ac:dyDescent="0.2">
      <c r="A35" s="244" t="b">
        <v>0</v>
      </c>
      <c r="B35" s="288" t="str">
        <f>"IMMFRA"&amp;IndexTenor&amp;_xll.qlIMMNextCodes(EvaluationDate+2,A35)</f>
        <v>IMMFRA6MG4</v>
      </c>
      <c r="C35" s="288" t="str">
        <f>RateHelperPrefix&amp;$B35</f>
        <v>GBP_YC6MRH_IMMFRA6MG4</v>
      </c>
      <c r="D35" s="291">
        <f>_xll.qlRateHelperEarliestDate($C35,EvaluationDate)</f>
        <v>41689</v>
      </c>
      <c r="E35" s="291">
        <f>_xll.qlRateHelperLatestDate($C35,EvaluationDate)</f>
        <v>41870</v>
      </c>
      <c r="F35" s="305">
        <f>_xll.qlRateHelperQuoteValue($C35,SheetTrigger)</f>
        <v>99.355000000000004</v>
      </c>
      <c r="G35" s="298">
        <f>_xll.qlFuturesRateHelperConvexityAdjustment($C35,SheetTrigger)</f>
        <v>0</v>
      </c>
      <c r="H35" s="291">
        <f>$D35</f>
        <v>41689</v>
      </c>
      <c r="I35" s="243" t="b">
        <f>ISNA(VLOOKUP(H35,$H$25:$H$34,1,FALSE))</f>
        <v>1</v>
      </c>
      <c r="J35" s="298">
        <f>1-$F35/100-$G35</f>
        <v>6.4499999999999558E-3</v>
      </c>
      <c r="K35" s="299" t="b">
        <f>AND(ISNUMBER(J35),I35,UseSecondSet)</f>
        <v>0</v>
      </c>
      <c r="L35" s="243" t="b">
        <f t="shared" si="1"/>
        <v>0</v>
      </c>
      <c r="M35" s="243" t="b">
        <f t="shared" si="2"/>
        <v>0</v>
      </c>
      <c r="N35" s="299" t="b">
        <f t="shared" si="10"/>
        <v>0</v>
      </c>
      <c r="O35" s="298">
        <f>_xll.qlInterpolationInterpolate($O$22,$H35)</f>
        <v>6.2953503432968596E-3</v>
      </c>
      <c r="P35" s="300">
        <f t="shared" si="3"/>
        <v>1.5464965670309617E-4</v>
      </c>
      <c r="Q35" s="301">
        <f>_xll.qlDayCounterYearFraction(DayCounter,$H35,$E35)</f>
        <v>0.50277777777777777</v>
      </c>
      <c r="R35" s="302">
        <f t="shared" si="4"/>
        <v>0.99992249692528157</v>
      </c>
      <c r="S35" s="289">
        <f t="shared" ref="S35:S45" si="12">IF($L35,(TOY*(1+$J35*$Q35)-1)/$Q35,IF($M35,(_TOY2*(1+$J35*$Q35)-1)/$Q35,$J35))</f>
        <v>6.4499999999999558E-3</v>
      </c>
      <c r="T35" s="303">
        <f>S35-J35</f>
        <v>0</v>
      </c>
      <c r="U35" s="272" t="e">
        <v>#N/A</v>
      </c>
      <c r="V35" s="306" t="e">
        <v>#NUM!</v>
      </c>
      <c r="W35" s="298"/>
    </row>
    <row r="36" spans="1:23" x14ac:dyDescent="0.2">
      <c r="A36" s="244" t="b">
        <v>0</v>
      </c>
      <c r="B36" s="288" t="str">
        <f>"IMMFRA"&amp;IndexTenor&amp;_xll.qlIMMNextCodes(D35,A36)</f>
        <v>IMMFRA6MH4</v>
      </c>
      <c r="C36" s="288" t="str">
        <f>RateHelperPrefix&amp;$B36</f>
        <v>GBP_YC6MRH_IMMFRA6MH4</v>
      </c>
      <c r="D36" s="291">
        <f>_xll.qlRateHelperEarliestDate($C36,EvaluationDate)</f>
        <v>41717</v>
      </c>
      <c r="E36" s="291">
        <f>_xll.qlRateHelperLatestDate($C36,EvaluationDate)</f>
        <v>41901</v>
      </c>
      <c r="F36" s="305">
        <f>_xll.qlRateHelperQuoteValue($C36,SheetTrigger)</f>
        <v>99.29</v>
      </c>
      <c r="G36" s="298">
        <f>_xll.qlFuturesRateHelperConvexityAdjustment($C36,SheetTrigger)</f>
        <v>0</v>
      </c>
      <c r="H36" s="291">
        <f>$D36</f>
        <v>41717</v>
      </c>
      <c r="I36" s="243" t="b">
        <f>ISNA(VLOOKUP(H36,$H$25:$H$34,1,FALSE))</f>
        <v>1</v>
      </c>
      <c r="J36" s="298">
        <f>1-$F36/100-$G36</f>
        <v>7.0999999999998842E-3</v>
      </c>
      <c r="K36" s="299" t="b">
        <f>AND(ISNUMBER(J36),I36,UseSecondSet)</f>
        <v>0</v>
      </c>
      <c r="L36" s="243" t="b">
        <f t="shared" si="1"/>
        <v>0</v>
      </c>
      <c r="M36" s="243" t="b">
        <f t="shared" si="2"/>
        <v>0</v>
      </c>
      <c r="N36" s="299" t="b">
        <f>IF(K36,AND(NOT($L36),NOT($M36)),FALSE)</f>
        <v>0</v>
      </c>
      <c r="O36" s="298">
        <f>_xll.qlInterpolationInterpolate($O$22,$H36)</f>
        <v>6.4434921735716149E-3</v>
      </c>
      <c r="P36" s="300">
        <f t="shared" si="3"/>
        <v>6.5650782642826932E-4</v>
      </c>
      <c r="Q36" s="301">
        <f>_xll.qlDayCounterYearFraction(DayCounter,$H36,$E36)</f>
        <v>0.51111111111111107</v>
      </c>
      <c r="R36" s="302">
        <f t="shared" si="4"/>
        <v>0.99966566482059871</v>
      </c>
      <c r="S36" s="289">
        <f t="shared" si="12"/>
        <v>7.0999999999998842E-3</v>
      </c>
      <c r="T36" s="303">
        <f>S36-J36</f>
        <v>0</v>
      </c>
      <c r="U36" s="272" t="e">
        <v>#N/A</v>
      </c>
      <c r="V36" s="306" t="e">
        <v>#NUM!</v>
      </c>
      <c r="W36" s="298"/>
    </row>
    <row r="37" spans="1:23" x14ac:dyDescent="0.2">
      <c r="A37" s="244" t="b">
        <v>0</v>
      </c>
      <c r="B37" s="288" t="str">
        <f>"IMMFRA"&amp;IndexTenor&amp;_xll.qlIMMNextCodes(D36,A37)</f>
        <v>IMMFRA6MJ4</v>
      </c>
      <c r="C37" s="288" t="str">
        <f>RateHelperPrefix&amp;$B37</f>
        <v>GBP_YC6MRH_IMMFRA6MJ4</v>
      </c>
      <c r="D37" s="291">
        <f>_xll.qlRateHelperEarliestDate($C37,EvaluationDate)</f>
        <v>41745</v>
      </c>
      <c r="E37" s="291">
        <f>_xll.qlRateHelperLatestDate($C37,EvaluationDate)</f>
        <v>41928</v>
      </c>
      <c r="F37" s="305">
        <f>_xll.qlRateHelperQuoteValue($C37,SheetTrigger)</f>
        <v>99.17</v>
      </c>
      <c r="G37" s="298">
        <f>_xll.qlFuturesRateHelperConvexityAdjustment($C37,SheetTrigger)</f>
        <v>0</v>
      </c>
      <c r="H37" s="291">
        <f>$D37</f>
        <v>41745</v>
      </c>
      <c r="I37" s="243" t="b">
        <f>ISNA(VLOOKUP(H37,$H$25:$H$34,1,FALSE))</f>
        <v>1</v>
      </c>
      <c r="J37" s="298">
        <f>1-$F37/100-$G37</f>
        <v>8.2999999999999741E-3</v>
      </c>
      <c r="K37" s="299" t="b">
        <f>AND(ISNUMBER(J37),I37,UseSecondSet)</f>
        <v>0</v>
      </c>
      <c r="L37" s="243" t="b">
        <f t="shared" si="1"/>
        <v>0</v>
      </c>
      <c r="M37" s="243" t="b">
        <f t="shared" si="2"/>
        <v>0</v>
      </c>
      <c r="N37" s="299" t="b">
        <f t="shared" si="10"/>
        <v>0</v>
      </c>
      <c r="O37" s="298">
        <f>_xll.qlInterpolationInterpolate($O$22,$H37)</f>
        <v>6.6537097458983568E-3</v>
      </c>
      <c r="P37" s="300">
        <f t="shared" si="3"/>
        <v>1.6462902541016173E-3</v>
      </c>
      <c r="Q37" s="301">
        <f>_xll.qlDayCounterYearFraction(DayCounter,$H37,$E37)</f>
        <v>0.5083333333333333</v>
      </c>
      <c r="R37" s="302">
        <f t="shared" si="4"/>
        <v>0.9991666518223512</v>
      </c>
      <c r="S37" s="289">
        <f t="shared" si="12"/>
        <v>8.2999999999999741E-3</v>
      </c>
      <c r="T37" s="303">
        <f>S37-J37</f>
        <v>0</v>
      </c>
      <c r="U37" s="272" t="e">
        <v>#N/A</v>
      </c>
      <c r="V37" s="306" t="e">
        <v>#NUM!</v>
      </c>
      <c r="W37" s="298"/>
    </row>
    <row r="38" spans="1:23" x14ac:dyDescent="0.2">
      <c r="A38" s="244" t="b">
        <v>0</v>
      </c>
      <c r="B38" s="288" t="str">
        <f>"IMMFRA"&amp;IndexTenor&amp;_xll.qlIMMNextCodes(D37,A38)</f>
        <v>IMMFRA6MK4</v>
      </c>
      <c r="C38" s="288" t="str">
        <f>RateHelperPrefix&amp;$B38</f>
        <v>GBP_YC6MRH_IMMFRA6MK4</v>
      </c>
      <c r="D38" s="291">
        <f>_xll.qlRateHelperEarliestDate($C38,EvaluationDate)</f>
        <v>41780</v>
      </c>
      <c r="E38" s="291">
        <f>_xll.qlRateHelperLatestDate($C38,EvaluationDate)</f>
        <v>41964</v>
      </c>
      <c r="F38" s="305">
        <f>_xll.qlRateHelperQuoteValue($C38,SheetTrigger)</f>
        <v>99.01</v>
      </c>
      <c r="G38" s="298">
        <f>_xll.qlFuturesRateHelperConvexityAdjustment($C38,SheetTrigger)</f>
        <v>0</v>
      </c>
      <c r="H38" s="291">
        <f>$D38</f>
        <v>41780</v>
      </c>
      <c r="I38" s="243" t="b">
        <f>ISNA(VLOOKUP(H38,$H$25:$H$34,1,FALSE))</f>
        <v>1</v>
      </c>
      <c r="J38" s="298">
        <f>1-$F38/100-$G38</f>
        <v>9.8999999999999089E-3</v>
      </c>
      <c r="K38" s="299" t="b">
        <f>AND(ISNUMBER(J38),I38,UseSecondSet)</f>
        <v>0</v>
      </c>
      <c r="L38" s="243" t="b">
        <f t="shared" si="1"/>
        <v>0</v>
      </c>
      <c r="M38" s="243" t="b">
        <f t="shared" si="2"/>
        <v>0</v>
      </c>
      <c r="N38" s="299" t="b">
        <f t="shared" si="10"/>
        <v>0</v>
      </c>
      <c r="O38" s="298">
        <f>_xll.qlInterpolationInterpolate($O$22,$H38)</f>
        <v>6.9072082461674265E-3</v>
      </c>
      <c r="P38" s="300">
        <f t="shared" si="3"/>
        <v>2.9927917538324824E-3</v>
      </c>
      <c r="Q38" s="301">
        <f>_xll.qlDayCounterYearFraction(DayCounter,$H38,$E38)</f>
        <v>0.51111111111111107</v>
      </c>
      <c r="R38" s="302">
        <f t="shared" si="4"/>
        <v>0.99847805193856543</v>
      </c>
      <c r="S38" s="289">
        <f t="shared" si="12"/>
        <v>9.8999999999999089E-3</v>
      </c>
      <c r="T38" s="303">
        <f>S38-J38</f>
        <v>0</v>
      </c>
      <c r="U38" s="272" t="e">
        <v>#N/A</v>
      </c>
      <c r="V38" s="306" t="e">
        <v>#NUM!</v>
      </c>
      <c r="W38" s="298"/>
    </row>
    <row r="39" spans="1:23" x14ac:dyDescent="0.2">
      <c r="A39" s="244" t="b">
        <v>0</v>
      </c>
      <c r="B39" s="246" t="str">
        <f>"IMMFRA"&amp;IndexTenor&amp;_xll.qlIMMNextCodes(D38,A39)</f>
        <v>IMMFRA6MM4</v>
      </c>
      <c r="C39" s="246" t="str">
        <f>RateHelperPrefix&amp;$B39</f>
        <v>GBP_YC6MRH_IMMFRA6MM4</v>
      </c>
      <c r="D39" s="280">
        <f>_xll.qlRateHelperEarliestDate($C39,EvaluationDate)</f>
        <v>41808</v>
      </c>
      <c r="E39" s="280">
        <f>_xll.qlRateHelperLatestDate($C39,EvaluationDate)</f>
        <v>41991</v>
      </c>
      <c r="F39" s="307" t="e">
        <f>_xll.qlRateHelperQuoteValue($C39,SheetTrigger)</f>
        <v>#NUM!</v>
      </c>
      <c r="G39" s="282">
        <f>_xll.qlFuturesRateHelperConvexityAdjustment($C39,SheetTrigger)</f>
        <v>0</v>
      </c>
      <c r="H39" s="280">
        <f>$D39</f>
        <v>41808</v>
      </c>
      <c r="I39" s="276" t="b">
        <f>ISNA(VLOOKUP(H39,$H$25:$H$34,1,FALSE))</f>
        <v>1</v>
      </c>
      <c r="J39" s="282" t="e">
        <f>1-$F39/100-$G39</f>
        <v>#NUM!</v>
      </c>
      <c r="K39" s="248" t="b">
        <f>AND(ISNUMBER(J39),I39,UseSecondSet)</f>
        <v>0</v>
      </c>
      <c r="L39" s="276" t="b">
        <f t="shared" si="1"/>
        <v>0</v>
      </c>
      <c r="M39" s="276" t="b">
        <f t="shared" si="2"/>
        <v>0</v>
      </c>
      <c r="N39" s="248" t="b">
        <f t="shared" si="10"/>
        <v>0</v>
      </c>
      <c r="O39" s="282">
        <f>_xll.qlInterpolationInterpolate($O$22,$H39)</f>
        <v>7.1316928527370644E-3</v>
      </c>
      <c r="P39" s="283" t="e">
        <f t="shared" si="3"/>
        <v>#NUM!</v>
      </c>
      <c r="Q39" s="284">
        <f>_xll.qlDayCounterYearFraction(DayCounter,$H39,$E39)</f>
        <v>0.5083333333333333</v>
      </c>
      <c r="R39" s="247" t="e">
        <f t="shared" si="4"/>
        <v>#NUM!</v>
      </c>
      <c r="S39" s="292" t="e">
        <f t="shared" si="12"/>
        <v>#NUM!</v>
      </c>
      <c r="T39" s="287" t="e">
        <f>S39-J39</f>
        <v>#NUM!</v>
      </c>
      <c r="U39" s="272" t="e">
        <v>#N/A</v>
      </c>
      <c r="V39" s="306" t="e">
        <v>#NUM!</v>
      </c>
      <c r="W39" s="298"/>
    </row>
    <row r="40" spans="1:23" x14ac:dyDescent="0.2">
      <c r="A40" s="244">
        <v>24</v>
      </c>
      <c r="B40" s="260" t="str">
        <f t="shared" ref="B40:B45" si="13">A40&amp;"x"&amp;(A40+$A$20)&amp;"F"</f>
        <v>24x30F</v>
      </c>
      <c r="C40" s="249"/>
      <c r="D40" s="261" t="str">
        <f t="shared" ref="D40:D45" si="14">A40&amp;"M"</f>
        <v>24M</v>
      </c>
      <c r="E40" s="308">
        <f>_xll.qlCalendarAdvance(Calendar,H40,$A$21,"Modified Following",TRUE)</f>
        <v>42571</v>
      </c>
      <c r="F40" s="261"/>
      <c r="G40" s="261"/>
      <c r="H40" s="262">
        <f>_xll.qlCalendarAdvance(Calendar,SettlementDate,D40,"MF",TRUE)</f>
        <v>42389</v>
      </c>
      <c r="I40" s="261" t="b">
        <v>1</v>
      </c>
      <c r="J40" s="270" t="e">
        <f>(_xll.qlInterpolationInterpolate(DiscountCurve,H40)/_xll.qlInterpolationInterpolate(DiscountCurve,E40)-1)/Q40</f>
        <v>#NUM!</v>
      </c>
      <c r="K40" s="242" t="b">
        <f t="shared" ref="K40:K45" si="15">AND(ISNUMBER(J40),I40)</f>
        <v>0</v>
      </c>
      <c r="L40" s="249" t="b">
        <f t="shared" si="1"/>
        <v>0</v>
      </c>
      <c r="M40" s="261" t="b">
        <f t="shared" si="2"/>
        <v>0</v>
      </c>
      <c r="N40" s="242" t="b">
        <v>0</v>
      </c>
      <c r="O40" s="270" t="e">
        <f>_xll.qlInterpolationInterpolate($O$22,$H40)</f>
        <v>#NUM!</v>
      </c>
      <c r="P40" s="261" t="e">
        <f t="shared" si="3"/>
        <v>#NUM!</v>
      </c>
      <c r="Q40" s="309">
        <f>_xll.qlDayCounterYearFraction(DayCounter,H40,E40)</f>
        <v>0.50555555555555554</v>
      </c>
      <c r="R40" s="261" t="e">
        <f t="shared" si="4"/>
        <v>#NUM!</v>
      </c>
      <c r="S40" s="310" t="e">
        <f t="shared" si="12"/>
        <v>#NUM!</v>
      </c>
      <c r="T40" s="311" t="e">
        <f t="shared" ref="T40:T45" si="16">S40-J40</f>
        <v>#NUM!</v>
      </c>
      <c r="U40" s="272" t="e">
        <v>#N/A</v>
      </c>
      <c r="V40" s="273" t="e">
        <v>#NUM!</v>
      </c>
      <c r="W40" s="290"/>
    </row>
    <row r="41" spans="1:23" x14ac:dyDescent="0.2">
      <c r="A41" s="244">
        <v>30</v>
      </c>
      <c r="B41" s="312" t="str">
        <f t="shared" si="13"/>
        <v>30x36F</v>
      </c>
      <c r="C41" s="288"/>
      <c r="D41" s="243" t="str">
        <f t="shared" si="14"/>
        <v>30M</v>
      </c>
      <c r="E41" s="313">
        <f>_xll.qlCalendarAdvance(Calendar,H41,$A$21,"Modified Following",TRUE)</f>
        <v>42755</v>
      </c>
      <c r="F41" s="243"/>
      <c r="G41" s="243"/>
      <c r="H41" s="291">
        <f>_xll.qlCalendarAdvance(Calendar,SettlementDate,D41,"MF",TRUE)</f>
        <v>42571</v>
      </c>
      <c r="I41" s="243" t="b">
        <v>1</v>
      </c>
      <c r="J41" s="290" t="e">
        <f>(_xll.qlInterpolationInterpolate(DiscountCurve,H41)/_xll.qlInterpolationInterpolate(DiscountCurve,E41)-1)/Q41</f>
        <v>#NUM!</v>
      </c>
      <c r="K41" s="299" t="b">
        <f t="shared" si="15"/>
        <v>0</v>
      </c>
      <c r="L41" s="288" t="b">
        <f t="shared" si="1"/>
        <v>0</v>
      </c>
      <c r="M41" s="243" t="b">
        <f t="shared" si="2"/>
        <v>0</v>
      </c>
      <c r="N41" s="299" t="b">
        <v>0</v>
      </c>
      <c r="O41" s="290" t="e">
        <f>_xll.qlInterpolationInterpolate($O$22,$H41)</f>
        <v>#NUM!</v>
      </c>
      <c r="P41" s="243" t="e">
        <f t="shared" si="3"/>
        <v>#NUM!</v>
      </c>
      <c r="Q41" s="314">
        <f>_xll.qlDayCounterYearFraction(DayCounter,H41,E41)</f>
        <v>0.51111111111111107</v>
      </c>
      <c r="R41" s="243" t="e">
        <f t="shared" si="4"/>
        <v>#NUM!</v>
      </c>
      <c r="S41" s="315" t="e">
        <f t="shared" si="12"/>
        <v>#NUM!</v>
      </c>
      <c r="T41" s="316" t="e">
        <f t="shared" si="16"/>
        <v>#NUM!</v>
      </c>
      <c r="U41" s="272" t="e">
        <v>#N/A</v>
      </c>
      <c r="V41" s="273" t="e">
        <v>#NUM!</v>
      </c>
      <c r="W41" s="290"/>
    </row>
    <row r="42" spans="1:23" x14ac:dyDescent="0.2">
      <c r="A42" s="244">
        <v>36</v>
      </c>
      <c r="B42" s="312" t="str">
        <f t="shared" si="13"/>
        <v>36x42F</v>
      </c>
      <c r="C42" s="288"/>
      <c r="D42" s="243" t="str">
        <f t="shared" si="14"/>
        <v>36M</v>
      </c>
      <c r="E42" s="313">
        <f>_xll.qlCalendarAdvance(Calendar,H42,$A$21,"Modified Following",TRUE)</f>
        <v>42936</v>
      </c>
      <c r="F42" s="243"/>
      <c r="G42" s="243"/>
      <c r="H42" s="291">
        <f>_xll.qlCalendarAdvance(Calendar,SettlementDate,D42,"MF",TRUE)</f>
        <v>42755</v>
      </c>
      <c r="I42" s="243" t="b">
        <v>1</v>
      </c>
      <c r="J42" s="290" t="e">
        <f>(_xll.qlInterpolationInterpolate(DiscountCurve,H42)/_xll.qlInterpolationInterpolate(DiscountCurve,E42)-1)/Q42</f>
        <v>#NUM!</v>
      </c>
      <c r="K42" s="299" t="b">
        <f t="shared" si="15"/>
        <v>0</v>
      </c>
      <c r="L42" s="288" t="b">
        <f t="shared" si="1"/>
        <v>0</v>
      </c>
      <c r="M42" s="243" t="b">
        <f t="shared" si="2"/>
        <v>0</v>
      </c>
      <c r="N42" s="299" t="b">
        <v>0</v>
      </c>
      <c r="O42" s="290" t="e">
        <f>_xll.qlInterpolationInterpolate($O$22,$H42)</f>
        <v>#NUM!</v>
      </c>
      <c r="P42" s="243" t="e">
        <f t="shared" si="3"/>
        <v>#NUM!</v>
      </c>
      <c r="Q42" s="314">
        <f>_xll.qlDayCounterYearFraction(DayCounter,H42,E42)</f>
        <v>0.50277777777777777</v>
      </c>
      <c r="R42" s="243" t="e">
        <f t="shared" si="4"/>
        <v>#NUM!</v>
      </c>
      <c r="S42" s="315" t="e">
        <f t="shared" si="12"/>
        <v>#NUM!</v>
      </c>
      <c r="T42" s="316" t="e">
        <f t="shared" si="16"/>
        <v>#NUM!</v>
      </c>
      <c r="U42" s="272" t="e">
        <v>#N/A</v>
      </c>
      <c r="V42" s="273" t="e">
        <v>#NUM!</v>
      </c>
      <c r="W42" s="290"/>
    </row>
    <row r="43" spans="1:23" x14ac:dyDescent="0.2">
      <c r="A43" s="244">
        <v>42</v>
      </c>
      <c r="B43" s="312" t="str">
        <f t="shared" si="13"/>
        <v>42x48F</v>
      </c>
      <c r="C43" s="288"/>
      <c r="D43" s="243" t="str">
        <f t="shared" si="14"/>
        <v>42M</v>
      </c>
      <c r="E43" s="313">
        <f>_xll.qlCalendarAdvance(Calendar,H43,$A$21,"Modified Following",TRUE)</f>
        <v>43122</v>
      </c>
      <c r="F43" s="243"/>
      <c r="G43" s="243"/>
      <c r="H43" s="291">
        <f>_xll.qlCalendarAdvance(Calendar,SettlementDate,D43,"MF",TRUE)</f>
        <v>42936</v>
      </c>
      <c r="I43" s="243" t="b">
        <v>1</v>
      </c>
      <c r="J43" s="290" t="e">
        <f>(_xll.qlInterpolationInterpolate(DiscountCurve,H43)/_xll.qlInterpolationInterpolate(DiscountCurve,E43)-1)/Q43</f>
        <v>#NUM!</v>
      </c>
      <c r="K43" s="299" t="b">
        <f t="shared" si="15"/>
        <v>0</v>
      </c>
      <c r="L43" s="288" t="b">
        <f t="shared" si="1"/>
        <v>0</v>
      </c>
      <c r="M43" s="243" t="b">
        <f t="shared" si="2"/>
        <v>0</v>
      </c>
      <c r="N43" s="299" t="b">
        <v>0</v>
      </c>
      <c r="O43" s="290" t="e">
        <f>_xll.qlInterpolationInterpolate($O$22,$H43)</f>
        <v>#NUM!</v>
      </c>
      <c r="P43" s="243" t="e">
        <f t="shared" si="3"/>
        <v>#NUM!</v>
      </c>
      <c r="Q43" s="314">
        <f>_xll.qlDayCounterYearFraction(DayCounter,H43,E43)</f>
        <v>0.51666666666666672</v>
      </c>
      <c r="R43" s="243" t="e">
        <f t="shared" si="4"/>
        <v>#NUM!</v>
      </c>
      <c r="S43" s="315" t="e">
        <f t="shared" si="12"/>
        <v>#NUM!</v>
      </c>
      <c r="T43" s="316" t="e">
        <f t="shared" si="16"/>
        <v>#NUM!</v>
      </c>
      <c r="U43" s="272" t="e">
        <v>#N/A</v>
      </c>
      <c r="V43" s="273" t="e">
        <v>#NUM!</v>
      </c>
      <c r="W43" s="290"/>
    </row>
    <row r="44" spans="1:23" x14ac:dyDescent="0.2">
      <c r="A44" s="244">
        <v>48</v>
      </c>
      <c r="B44" s="312" t="str">
        <f t="shared" si="13"/>
        <v>48x54F</v>
      </c>
      <c r="C44" s="288"/>
      <c r="D44" s="243" t="str">
        <f t="shared" si="14"/>
        <v>48M</v>
      </c>
      <c r="E44" s="313">
        <f>_xll.qlCalendarAdvance(Calendar,H44,$A$21,"Modified Following",TRUE)</f>
        <v>43304</v>
      </c>
      <c r="F44" s="243"/>
      <c r="G44" s="243"/>
      <c r="H44" s="291">
        <f>_xll.qlCalendarAdvance(Calendar,SettlementDate,D44,"MF",TRUE)</f>
        <v>43122</v>
      </c>
      <c r="I44" s="243" t="b">
        <v>1</v>
      </c>
      <c r="J44" s="290" t="e">
        <f>(_xll.qlInterpolationInterpolate(DiscountCurve,H44)/_xll.qlInterpolationInterpolate(DiscountCurve,E44)-1)/Q44</f>
        <v>#NUM!</v>
      </c>
      <c r="K44" s="299" t="b">
        <f t="shared" si="15"/>
        <v>0</v>
      </c>
      <c r="L44" s="288" t="b">
        <f t="shared" si="1"/>
        <v>0</v>
      </c>
      <c r="M44" s="243" t="b">
        <f t="shared" si="2"/>
        <v>0</v>
      </c>
      <c r="N44" s="299" t="b">
        <v>0</v>
      </c>
      <c r="O44" s="290" t="e">
        <f>_xll.qlInterpolationInterpolate($O$22,$H44)</f>
        <v>#NUM!</v>
      </c>
      <c r="P44" s="243" t="e">
        <f t="shared" si="3"/>
        <v>#NUM!</v>
      </c>
      <c r="Q44" s="314">
        <f>_xll.qlDayCounterYearFraction(DayCounter,H44,E44)</f>
        <v>0.50555555555555554</v>
      </c>
      <c r="R44" s="243" t="e">
        <f t="shared" si="4"/>
        <v>#NUM!</v>
      </c>
      <c r="S44" s="315" t="e">
        <f t="shared" si="12"/>
        <v>#NUM!</v>
      </c>
      <c r="T44" s="316" t="e">
        <f t="shared" si="16"/>
        <v>#NUM!</v>
      </c>
      <c r="U44" s="272" t="e">
        <v>#N/A</v>
      </c>
      <c r="V44" s="273" t="e">
        <v>#NUM!</v>
      </c>
      <c r="W44" s="290"/>
    </row>
    <row r="45" spans="1:23" x14ac:dyDescent="0.2">
      <c r="A45" s="244">
        <v>54</v>
      </c>
      <c r="B45" s="275" t="str">
        <f t="shared" si="13"/>
        <v>54x60F</v>
      </c>
      <c r="C45" s="246"/>
      <c r="D45" s="276" t="str">
        <f t="shared" si="14"/>
        <v>54M</v>
      </c>
      <c r="E45" s="317">
        <f>_xll.qlCalendarAdvance(Calendar,H45,$A$21,"Modified Following",TRUE)</f>
        <v>43486</v>
      </c>
      <c r="F45" s="276"/>
      <c r="G45" s="276"/>
      <c r="H45" s="280">
        <f>_xll.qlCalendarAdvance(Calendar,SettlementDate,D45,"MF",TRUE)</f>
        <v>43301</v>
      </c>
      <c r="I45" s="276" t="b">
        <v>1</v>
      </c>
      <c r="J45" s="318" t="e">
        <f>(_xll.qlInterpolationInterpolate(DiscountCurve,H45)/_xll.qlInterpolationInterpolate(DiscountCurve,E45,TRUE)-1)/Q45</f>
        <v>#NUM!</v>
      </c>
      <c r="K45" s="248" t="b">
        <f t="shared" si="15"/>
        <v>0</v>
      </c>
      <c r="L45" s="246" t="b">
        <f t="shared" si="1"/>
        <v>0</v>
      </c>
      <c r="M45" s="276" t="b">
        <f t="shared" si="2"/>
        <v>0</v>
      </c>
      <c r="N45" s="248" t="b">
        <v>0</v>
      </c>
      <c r="O45" s="286" t="e">
        <f>_xll.qlInterpolationInterpolate($O$22,$H45)</f>
        <v>#NUM!</v>
      </c>
      <c r="P45" s="276" t="e">
        <f t="shared" si="3"/>
        <v>#NUM!</v>
      </c>
      <c r="Q45" s="319">
        <f>_xll.qlDayCounterYearFraction(DayCounter,H45,E45)</f>
        <v>0.51388888888888884</v>
      </c>
      <c r="R45" s="276" t="e">
        <f t="shared" si="4"/>
        <v>#NUM!</v>
      </c>
      <c r="S45" s="320" t="e">
        <f t="shared" si="12"/>
        <v>#NUM!</v>
      </c>
      <c r="T45" s="321" t="e">
        <f t="shared" si="16"/>
        <v>#NUM!</v>
      </c>
      <c r="U45" s="322" t="e">
        <v>#N/A</v>
      </c>
      <c r="V45" s="323" t="e">
        <v>#NUM!</v>
      </c>
      <c r="W45" s="290"/>
    </row>
    <row r="47" spans="1:23" x14ac:dyDescent="0.2">
      <c r="I47" s="244" t="s">
        <v>50</v>
      </c>
      <c r="J47" s="325">
        <v>3.3352706097987871E-2</v>
      </c>
      <c r="K47" s="324" t="e">
        <f t="shared" ref="K47:K52" si="17">J47-J40</f>
        <v>#NUM!</v>
      </c>
    </row>
    <row r="48" spans="1:23" x14ac:dyDescent="0.2">
      <c r="I48" s="244" t="s">
        <v>51</v>
      </c>
      <c r="J48" s="325">
        <v>3.506774331127567E-2</v>
      </c>
      <c r="K48" s="324" t="e">
        <f t="shared" si="17"/>
        <v>#NUM!</v>
      </c>
    </row>
    <row r="49" spans="9:11" x14ac:dyDescent="0.2">
      <c r="I49" s="244" t="s">
        <v>52</v>
      </c>
      <c r="J49" s="325">
        <v>3.637961089895949E-2</v>
      </c>
      <c r="K49" s="324" t="e">
        <f t="shared" si="17"/>
        <v>#NUM!</v>
      </c>
    </row>
    <row r="50" spans="9:11" x14ac:dyDescent="0.2">
      <c r="I50" s="244" t="s">
        <v>53</v>
      </c>
      <c r="J50" s="325">
        <v>3.7546817940022424E-2</v>
      </c>
      <c r="K50" s="324" t="e">
        <f t="shared" si="17"/>
        <v>#NUM!</v>
      </c>
    </row>
    <row r="51" spans="9:11" x14ac:dyDescent="0.2">
      <c r="I51" s="244" t="s">
        <v>54</v>
      </c>
      <c r="J51" s="325">
        <v>3.8540578384056494E-2</v>
      </c>
      <c r="K51" s="324" t="e">
        <f t="shared" si="17"/>
        <v>#NUM!</v>
      </c>
    </row>
    <row r="52" spans="9:11" x14ac:dyDescent="0.2">
      <c r="I52" s="244" t="s">
        <v>55</v>
      </c>
      <c r="J52" s="325">
        <v>3.9088983473700809E-2</v>
      </c>
      <c r="K52" s="324" t="e">
        <f t="shared" si="17"/>
        <v>#NUM!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7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15" bestFit="1" customWidth="1"/>
    <col min="2" max="2" width="5.83203125" style="15" bestFit="1" customWidth="1"/>
    <col min="3" max="3" width="10" style="15" customWidth="1"/>
    <col min="4" max="4" width="8.33203125" style="15" bestFit="1" customWidth="1"/>
    <col min="5" max="5" width="10.33203125" style="15" bestFit="1" customWidth="1"/>
    <col min="6" max="6" width="9.6640625" style="15" bestFit="1" customWidth="1"/>
    <col min="7" max="7" width="24" style="15" bestFit="1" customWidth="1"/>
    <col min="8" max="8" width="16.33203125" style="15" bestFit="1" customWidth="1"/>
    <col min="9" max="9" width="9.83203125" style="15" bestFit="1" customWidth="1"/>
    <col min="10" max="10" width="12" style="15" bestFit="1" customWidth="1"/>
    <col min="11" max="11" width="12" style="15" customWidth="1"/>
    <col min="12" max="12" width="11.33203125" style="15" customWidth="1"/>
    <col min="13" max="13" width="2.33203125" style="15" customWidth="1"/>
    <col min="14" max="14" width="9.33203125" style="15" customWidth="1"/>
    <col min="15" max="17" width="19.1640625" style="15" bestFit="1" customWidth="1"/>
    <col min="18" max="18" width="12.83203125" style="15" bestFit="1" customWidth="1"/>
    <col min="19" max="19" width="10.6640625" style="15" customWidth="1"/>
    <col min="20" max="20" width="8.5" style="15" bestFit="1" customWidth="1"/>
    <col min="21" max="21" width="7.5" style="15" customWidth="1"/>
    <col min="22" max="16384" width="10.6640625" style="15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50"/>
    </row>
    <row r="2" spans="1:10" ht="12.75" x14ac:dyDescent="0.2">
      <c r="A2" s="5"/>
      <c r="B2" s="6"/>
      <c r="C2" s="8"/>
      <c r="D2" s="45"/>
      <c r="E2" s="8"/>
      <c r="F2" s="8"/>
      <c r="G2" s="107" t="s">
        <v>5</v>
      </c>
      <c r="H2" s="106" t="s">
        <v>13</v>
      </c>
      <c r="I2" s="7"/>
      <c r="J2" s="43"/>
    </row>
    <row r="3" spans="1:10" x14ac:dyDescent="0.2">
      <c r="A3" s="10"/>
      <c r="B3" s="7"/>
      <c r="C3" s="7"/>
      <c r="D3" s="8"/>
      <c r="E3" s="8"/>
      <c r="F3" s="8"/>
      <c r="G3" s="7"/>
      <c r="H3" s="7"/>
      <c r="I3" s="11">
        <f>_xll.ohTrigger(I5:I6)</f>
        <v>0</v>
      </c>
      <c r="J3" s="43"/>
    </row>
    <row r="4" spans="1:10" x14ac:dyDescent="0.2">
      <c r="A4" s="10"/>
      <c r="B4" s="91"/>
      <c r="C4" s="92" t="s">
        <v>30</v>
      </c>
      <c r="D4" s="8"/>
      <c r="E4" s="97" t="s">
        <v>29</v>
      </c>
      <c r="F4" s="8"/>
      <c r="G4" s="91" t="s">
        <v>7</v>
      </c>
      <c r="H4" s="100" t="s">
        <v>8</v>
      </c>
      <c r="I4" s="101" t="s">
        <v>9</v>
      </c>
      <c r="J4" s="43"/>
    </row>
    <row r="5" spans="1:10" x14ac:dyDescent="0.2">
      <c r="A5" s="10"/>
      <c r="B5" s="93" t="s">
        <v>19</v>
      </c>
      <c r="C5" s="94">
        <f>IF(ISERROR('1M'!TOY),'1M'!TOY,'1M'!TOY)</f>
        <v>1</v>
      </c>
      <c r="D5" s="8"/>
      <c r="E5" s="98">
        <v>1</v>
      </c>
      <c r="F5" s="8"/>
      <c r="G5" s="102" t="str">
        <f>Currency&amp;$B5&amp;$H$2</f>
        <v>GBPTOY_SYNTH1M_Quote</v>
      </c>
      <c r="H5" s="103">
        <f t="array" ref="H5:H6">QuoteStatic</f>
        <v>1</v>
      </c>
      <c r="I5" s="104" t="e">
        <f>_xll.qlSimpleQuoteSetValue($G5,$H5,EvaluationDate)</f>
        <v>#NUM!</v>
      </c>
      <c r="J5" s="43"/>
    </row>
    <row r="6" spans="1:10" x14ac:dyDescent="0.2">
      <c r="A6" s="10"/>
      <c r="B6" s="95" t="s">
        <v>24</v>
      </c>
      <c r="C6" s="203">
        <f>IF(ISERROR('1M'!_TOY2),'1M'!_TOY2,'1M'!_TOY2)</f>
        <v>0.99995073549694913</v>
      </c>
      <c r="D6" s="8"/>
      <c r="E6" s="99">
        <v>0.99995073549694913</v>
      </c>
      <c r="F6" s="8"/>
      <c r="G6" s="105" t="str">
        <f>Currency&amp;$B6&amp;$H$2</f>
        <v>GBPTOY2_SYNTH1M_Quote</v>
      </c>
      <c r="H6" s="58">
        <v>0.99995073549694913</v>
      </c>
      <c r="I6" s="96" t="e">
        <f>_xll.qlSimpleQuoteSetValue($G6,$H6,EvaluationDate)</f>
        <v>#NUM!</v>
      </c>
      <c r="J6" s="43"/>
    </row>
    <row r="7" spans="1:10" ht="12" thickBot="1" x14ac:dyDescent="0.25">
      <c r="A7" s="13"/>
      <c r="B7" s="14"/>
      <c r="C7" s="14"/>
      <c r="D7" s="14"/>
      <c r="E7" s="14"/>
      <c r="F7" s="14"/>
      <c r="G7" s="14"/>
      <c r="H7" s="14"/>
      <c r="I7" s="14"/>
      <c r="J7" s="51"/>
    </row>
  </sheetData>
  <phoneticPr fontId="2" type="noConversion"/>
  <conditionalFormatting sqref="I5:I6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7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16" bestFit="1" customWidth="1"/>
    <col min="2" max="2" width="5.83203125" style="16" bestFit="1" customWidth="1"/>
    <col min="3" max="3" width="10.1640625" style="16" customWidth="1"/>
    <col min="4" max="4" width="8.33203125" style="16" bestFit="1" customWidth="1"/>
    <col min="5" max="5" width="10.33203125" style="16" bestFit="1" customWidth="1"/>
    <col min="6" max="6" width="9.6640625" style="16" bestFit="1" customWidth="1"/>
    <col min="7" max="7" width="24" style="16" bestFit="1" customWidth="1"/>
    <col min="8" max="8" width="16.33203125" style="16" bestFit="1" customWidth="1"/>
    <col min="9" max="9" width="9.83203125" style="16" bestFit="1" customWidth="1"/>
    <col min="10" max="10" width="12" style="16" bestFit="1" customWidth="1"/>
    <col min="11" max="11" width="12" style="16" customWidth="1"/>
    <col min="12" max="12" width="11.33203125" style="16" customWidth="1"/>
    <col min="13" max="13" width="2.33203125" style="16" customWidth="1"/>
    <col min="14" max="14" width="9.33203125" style="16" customWidth="1"/>
    <col min="15" max="17" width="19.1640625" style="16" bestFit="1" customWidth="1"/>
    <col min="18" max="18" width="12.83203125" style="16" bestFit="1" customWidth="1"/>
    <col min="19" max="19" width="10.6640625" style="16" customWidth="1"/>
    <col min="20" max="20" width="8.5" style="16" bestFit="1" customWidth="1"/>
    <col min="21" max="21" width="7.5" style="16" customWidth="1"/>
    <col min="22" max="16384" width="10.6640625" style="16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4"/>
    </row>
    <row r="2" spans="1:10" ht="12.75" x14ac:dyDescent="0.2">
      <c r="A2" s="5"/>
      <c r="B2" s="6"/>
      <c r="C2" s="8"/>
      <c r="D2" s="45"/>
      <c r="E2" s="8"/>
      <c r="F2" s="8"/>
      <c r="G2" s="107" t="s">
        <v>5</v>
      </c>
      <c r="H2" s="106" t="s">
        <v>6</v>
      </c>
      <c r="I2" s="7"/>
      <c r="J2" s="46"/>
    </row>
    <row r="3" spans="1:10" x14ac:dyDescent="0.2">
      <c r="A3" s="10"/>
      <c r="B3" s="7"/>
      <c r="C3" s="7"/>
      <c r="D3" s="8"/>
      <c r="E3" s="8"/>
      <c r="F3" s="8"/>
      <c r="G3" s="7"/>
      <c r="H3" s="7"/>
      <c r="I3" s="11">
        <f>_xll.ohTrigger(I5:I6)</f>
        <v>0</v>
      </c>
      <c r="J3" s="46"/>
    </row>
    <row r="4" spans="1:10" x14ac:dyDescent="0.2">
      <c r="A4" s="10"/>
      <c r="B4" s="91"/>
      <c r="C4" s="92" t="s">
        <v>30</v>
      </c>
      <c r="D4" s="8"/>
      <c r="E4" s="97" t="s">
        <v>29</v>
      </c>
      <c r="F4" s="8"/>
      <c r="G4" s="91" t="s">
        <v>7</v>
      </c>
      <c r="H4" s="100" t="s">
        <v>8</v>
      </c>
      <c r="I4" s="101" t="s">
        <v>9</v>
      </c>
      <c r="J4" s="46"/>
    </row>
    <row r="5" spans="1:10" s="15" customFormat="1" x14ac:dyDescent="0.2">
      <c r="A5" s="10"/>
      <c r="B5" s="93" t="s">
        <v>19</v>
      </c>
      <c r="C5" s="104">
        <f>'3M'!TOY</f>
        <v>1</v>
      </c>
      <c r="D5" s="8"/>
      <c r="E5" s="98">
        <v>1</v>
      </c>
      <c r="F5" s="8"/>
      <c r="G5" s="102" t="str">
        <f>Currency&amp;$B5&amp;$H$2</f>
        <v>GBPTOY_SYNTH3M_Quote</v>
      </c>
      <c r="H5" s="103">
        <f t="array" ref="H5:H6">QuoteStatic</f>
        <v>1</v>
      </c>
      <c r="I5" s="104" t="e">
        <f>_xll.qlSimpleQuoteSetValue($G5,$H5,EvaluationDate)</f>
        <v>#NUM!</v>
      </c>
      <c r="J5" s="43"/>
    </row>
    <row r="6" spans="1:10" s="15" customFormat="1" x14ac:dyDescent="0.2">
      <c r="A6" s="10"/>
      <c r="B6" s="95" t="s">
        <v>24</v>
      </c>
      <c r="C6" s="96">
        <f>'3M'!_TOY2</f>
        <v>0.99995073549694913</v>
      </c>
      <c r="D6" s="8"/>
      <c r="E6" s="99">
        <v>0.99995073549694913</v>
      </c>
      <c r="F6" s="8"/>
      <c r="G6" s="105" t="str">
        <f>Currency&amp;$B6&amp;$H$2</f>
        <v>GBPTOY2_SYNTH3M_Quote</v>
      </c>
      <c r="H6" s="58">
        <v>0.99995073549694913</v>
      </c>
      <c r="I6" s="96" t="e">
        <f>_xll.qlSimpleQuoteSetValue($G6,$H6,EvaluationDate)</f>
        <v>#NUM!</v>
      </c>
      <c r="J6" s="43"/>
    </row>
    <row r="7" spans="1:10" ht="12" thickBot="1" x14ac:dyDescent="0.25">
      <c r="A7" s="47"/>
      <c r="B7" s="48"/>
      <c r="C7" s="48"/>
      <c r="D7" s="48"/>
      <c r="E7" s="48"/>
      <c r="F7" s="48"/>
      <c r="G7" s="48"/>
      <c r="H7" s="48"/>
      <c r="I7" s="48"/>
      <c r="J7" s="49"/>
    </row>
  </sheetData>
  <phoneticPr fontId="2" type="noConversion"/>
  <conditionalFormatting sqref="I5:I6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7"/>
  <sheetViews>
    <sheetView workbookViewId="0">
      <selection activeCell="I3" sqref="I3"/>
    </sheetView>
  </sheetViews>
  <sheetFormatPr defaultRowHeight="11.25" x14ac:dyDescent="0.2"/>
  <cols>
    <col min="1" max="1" width="3.6640625" style="17" customWidth="1"/>
    <col min="2" max="2" width="7.33203125" style="17" bestFit="1" customWidth="1"/>
    <col min="3" max="3" width="10.33203125" style="17" bestFit="1" customWidth="1"/>
    <col min="4" max="4" width="8.33203125" style="17" bestFit="1" customWidth="1"/>
    <col min="5" max="5" width="10.33203125" style="17" bestFit="1" customWidth="1"/>
    <col min="6" max="6" width="6.6640625" style="17" bestFit="1" customWidth="1"/>
    <col min="7" max="7" width="26.33203125" style="17" bestFit="1" customWidth="1"/>
    <col min="8" max="8" width="16.33203125" style="17" bestFit="1" customWidth="1"/>
    <col min="9" max="9" width="10" style="17" bestFit="1" customWidth="1"/>
    <col min="10" max="10" width="14.33203125" style="17" customWidth="1"/>
    <col min="11" max="16384" width="9.33203125" style="17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"/>
    </row>
    <row r="2" spans="1:10" x14ac:dyDescent="0.2">
      <c r="A2" s="5"/>
      <c r="B2" s="18"/>
      <c r="C2" s="8"/>
      <c r="D2" s="8"/>
      <c r="E2" s="8"/>
      <c r="F2" s="8"/>
      <c r="G2" s="108" t="s">
        <v>5</v>
      </c>
      <c r="H2" s="109" t="s">
        <v>36</v>
      </c>
      <c r="I2" s="7"/>
      <c r="J2" s="9"/>
    </row>
    <row r="3" spans="1:10" x14ac:dyDescent="0.2">
      <c r="A3" s="10"/>
      <c r="B3" s="7"/>
      <c r="C3" s="7"/>
      <c r="D3" s="8"/>
      <c r="E3" s="8"/>
      <c r="F3" s="8"/>
      <c r="G3" s="7"/>
      <c r="H3" s="7"/>
      <c r="I3" s="19">
        <f>_xll.ohTrigger(I5:I6)</f>
        <v>0</v>
      </c>
      <c r="J3" s="12"/>
    </row>
    <row r="4" spans="1:10" x14ac:dyDescent="0.2">
      <c r="A4" s="10"/>
      <c r="B4" s="91"/>
      <c r="C4" s="92" t="s">
        <v>30</v>
      </c>
      <c r="D4" s="8"/>
      <c r="E4" s="97" t="s">
        <v>29</v>
      </c>
      <c r="F4" s="8"/>
      <c r="G4" s="91" t="s">
        <v>7</v>
      </c>
      <c r="H4" s="100" t="s">
        <v>8</v>
      </c>
      <c r="I4" s="101" t="s">
        <v>9</v>
      </c>
      <c r="J4" s="12"/>
    </row>
    <row r="5" spans="1:10" s="15" customFormat="1" x14ac:dyDescent="0.2">
      <c r="A5" s="10"/>
      <c r="B5" s="93" t="s">
        <v>19</v>
      </c>
      <c r="C5" s="104">
        <f>'6M'!TOY</f>
        <v>1</v>
      </c>
      <c r="D5" s="8"/>
      <c r="E5" s="98">
        <v>1</v>
      </c>
      <c r="F5" s="8"/>
      <c r="G5" s="102" t="str">
        <f>Currency&amp;$B5&amp;$H$2</f>
        <v>GBPTOY_SYNTH6M_Quote</v>
      </c>
      <c r="H5" s="103">
        <f t="array" ref="H5:H6">QuoteStatic</f>
        <v>1</v>
      </c>
      <c r="I5" s="104" t="e">
        <f>_xll.qlSimpleQuoteSetValue($G5,$H5,EvaluationDate)</f>
        <v>#NUM!</v>
      </c>
      <c r="J5" s="43"/>
    </row>
    <row r="6" spans="1:10" s="15" customFormat="1" x14ac:dyDescent="0.2">
      <c r="A6" s="10"/>
      <c r="B6" s="95" t="s">
        <v>24</v>
      </c>
      <c r="C6" s="96">
        <f>'6M'!_TOY2</f>
        <v>0.99995073549694913</v>
      </c>
      <c r="D6" s="8"/>
      <c r="E6" s="99">
        <v>0.99995073549694913</v>
      </c>
      <c r="F6" s="8"/>
      <c r="G6" s="105" t="str">
        <f>Currency&amp;$B6&amp;$H$2</f>
        <v>GBPTOY2_SYNTH6M_Quote</v>
      </c>
      <c r="H6" s="58">
        <v>0.99995073549694913</v>
      </c>
      <c r="I6" s="96" t="e">
        <f>_xll.qlSimpleQuoteSetValue($G6,$H6,EvaluationDate)</f>
        <v>#NUM!</v>
      </c>
      <c r="J6" s="43"/>
    </row>
    <row r="7" spans="1:10" ht="12" thickBot="1" x14ac:dyDescent="0.25">
      <c r="A7" s="13"/>
      <c r="B7" s="14"/>
      <c r="C7" s="14"/>
      <c r="D7" s="14"/>
      <c r="E7" s="14"/>
      <c r="F7" s="14"/>
      <c r="G7" s="14"/>
      <c r="H7" s="14"/>
      <c r="I7" s="14"/>
      <c r="J7" s="51"/>
    </row>
  </sheetData>
  <phoneticPr fontId="10" type="noConversion"/>
  <conditionalFormatting sqref="I5:I6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8"/>
  <sheetViews>
    <sheetView workbookViewId="0">
      <selection activeCell="P3" sqref="P3"/>
    </sheetView>
  </sheetViews>
  <sheetFormatPr defaultRowHeight="11.25" x14ac:dyDescent="0.2"/>
  <cols>
    <col min="1" max="1" width="5" style="352" customWidth="1"/>
    <col min="2" max="2" width="7.1640625" style="352" bestFit="1" customWidth="1"/>
    <col min="3" max="4" width="20.1640625" style="352" bestFit="1" customWidth="1"/>
    <col min="5" max="5" width="15.33203125" style="352" bestFit="1" customWidth="1"/>
    <col min="6" max="7" width="7" style="352" bestFit="1" customWidth="1"/>
    <col min="8" max="8" width="11.6640625" style="352" bestFit="1" customWidth="1"/>
    <col min="9" max="9" width="9.33203125" style="352" bestFit="1"/>
    <col min="10" max="10" width="10.5" style="352" bestFit="1" customWidth="1"/>
    <col min="11" max="11" width="5" style="352" customWidth="1"/>
    <col min="12" max="12" width="9.33203125" style="352" bestFit="1"/>
    <col min="13" max="13" width="5" style="352" customWidth="1"/>
    <col min="14" max="14" width="28.6640625" style="352" bestFit="1" customWidth="1"/>
    <col min="15" max="15" width="17.83203125" style="352" bestFit="1" customWidth="1"/>
    <col min="16" max="16" width="10.5" style="352" bestFit="1" customWidth="1"/>
    <col min="17" max="17" width="5" style="352" customWidth="1"/>
    <col min="18" max="18" width="6.6640625" style="352" bestFit="1" customWidth="1"/>
    <col min="19" max="19" width="12.1640625" style="352" bestFit="1" customWidth="1"/>
    <col min="20" max="20" width="12.5" style="352" bestFit="1" customWidth="1"/>
    <col min="21" max="21" width="9" style="352" bestFit="1" customWidth="1"/>
    <col min="22" max="22" width="9.33203125" style="352"/>
    <col min="23" max="23" width="15.5" style="352" bestFit="1" customWidth="1"/>
    <col min="24" max="24" width="9.33203125" style="352"/>
    <col min="25" max="25" width="26.33203125" style="352" bestFit="1" customWidth="1"/>
    <col min="26" max="16384" width="9.33203125" style="352"/>
  </cols>
  <sheetData>
    <row r="1" spans="1:24" x14ac:dyDescent="0.2">
      <c r="A1" s="349"/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1"/>
      <c r="V1" s="350"/>
      <c r="W1" s="350"/>
      <c r="X1" s="350"/>
    </row>
    <row r="2" spans="1:24" x14ac:dyDescent="0.2">
      <c r="A2" s="353"/>
      <c r="B2" s="354"/>
      <c r="C2" s="355"/>
      <c r="D2" s="356"/>
      <c r="E2" s="355"/>
      <c r="F2" s="355"/>
      <c r="G2" s="355"/>
      <c r="H2" s="355"/>
      <c r="I2" s="355"/>
      <c r="J2" s="355"/>
      <c r="K2" s="355"/>
      <c r="L2" s="355"/>
      <c r="M2" s="355"/>
      <c r="N2" s="357" t="s">
        <v>5</v>
      </c>
      <c r="O2" s="358" t="s">
        <v>36</v>
      </c>
      <c r="P2" s="359"/>
      <c r="Q2" s="360"/>
      <c r="V2" s="355"/>
      <c r="W2" s="355"/>
      <c r="X2" s="355"/>
    </row>
    <row r="3" spans="1:24" x14ac:dyDescent="0.2">
      <c r="A3" s="361"/>
      <c r="B3" s="359">
        <v>6</v>
      </c>
      <c r="C3" s="359" t="s">
        <v>46</v>
      </c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9"/>
      <c r="O3" s="359"/>
      <c r="P3" s="362">
        <f>_xll.ohTrigger(P5:P17)</f>
        <v>0</v>
      </c>
      <c r="Q3" s="363"/>
      <c r="V3" s="355"/>
      <c r="W3" s="355"/>
      <c r="X3" s="355"/>
    </row>
    <row r="4" spans="1:24" x14ac:dyDescent="0.2">
      <c r="A4" s="361"/>
      <c r="B4" s="364"/>
      <c r="C4" s="365" t="s">
        <v>11</v>
      </c>
      <c r="D4" s="365" t="s">
        <v>10</v>
      </c>
      <c r="E4" s="366" t="s">
        <v>35</v>
      </c>
      <c r="F4" s="366" t="s">
        <v>19</v>
      </c>
      <c r="G4" s="366" t="s">
        <v>24</v>
      </c>
      <c r="H4" s="366" t="s">
        <v>40</v>
      </c>
      <c r="I4" s="367" t="s">
        <v>30</v>
      </c>
      <c r="J4" s="368" t="s">
        <v>15</v>
      </c>
      <c r="K4" s="355"/>
      <c r="L4" s="369" t="s">
        <v>29</v>
      </c>
      <c r="M4" s="355"/>
      <c r="N4" s="370" t="s">
        <v>7</v>
      </c>
      <c r="O4" s="371" t="s">
        <v>8</v>
      </c>
      <c r="P4" s="372" t="s">
        <v>9</v>
      </c>
      <c r="Q4" s="363"/>
    </row>
    <row r="5" spans="1:24" x14ac:dyDescent="0.2">
      <c r="A5" s="361">
        <v>2</v>
      </c>
      <c r="B5" s="373" t="str">
        <f>A5&amp;"x"&amp;(A5+$B$3)&amp;"F"</f>
        <v>2x8F</v>
      </c>
      <c r="C5" s="393">
        <f>_xll.qlCalendarAdvance(Calendar,SettlementDate,A5&amp;"M","MF",TRUE)</f>
        <v>41718</v>
      </c>
      <c r="D5" s="393">
        <f>_xll.qlCalendarAdvance(Calendar,C5,"6M","MF",TRUE)</f>
        <v>41904</v>
      </c>
      <c r="E5" s="374">
        <f>_xll.qlInterpolationInterpolate('6M'!ExtFwdInterpolator,C5)</f>
        <v>6.45E-3</v>
      </c>
      <c r="F5" s="356" t="b">
        <f t="shared" ref="F5:F17" si="0">NOT(OR($C5&gt;LastDayInYear,$D5&lt;=LastDayInYear))</f>
        <v>0</v>
      </c>
      <c r="G5" s="356" t="b">
        <f t="shared" ref="G5:G17" si="1">NOT(OR($C5&gt;LastDayInNextYear,$D5&lt;=LastDayInNextYear))</f>
        <v>0</v>
      </c>
      <c r="H5" s="375">
        <f>_xll.qlDayCounterYearFraction(DayCounter,$C5,$D5)</f>
        <v>0.51666666666666672</v>
      </c>
      <c r="I5" s="376">
        <f>((1+E5*H5)/IF(F5,'6M'!TOY,IF(G5,'6M'!_TOY2,1))-1)/H5</f>
        <v>6.4499999999999228E-3</v>
      </c>
      <c r="J5" s="377">
        <f t="shared" ref="J5:J17" si="2">E5-I5</f>
        <v>7.7195194680967916E-17</v>
      </c>
      <c r="K5" s="355"/>
      <c r="L5" s="378">
        <v>6.4499999999999228E-3</v>
      </c>
      <c r="M5" s="355"/>
      <c r="N5" s="373" t="str">
        <f t="shared" ref="N5:N17" si="3">Currency&amp;$B5&amp;$O$2</f>
        <v>GBP2x8F_SYNTH6M_Quote</v>
      </c>
      <c r="O5" s="379">
        <f t="array" ref="O5:O17">QuoteStatic</f>
        <v>6.4499999999999228E-3</v>
      </c>
      <c r="P5" s="380" t="e">
        <f>_xll.qlSimpleQuoteSetValue(N5,O5,EvaluationDate)</f>
        <v>#NUM!</v>
      </c>
      <c r="Q5" s="363"/>
    </row>
    <row r="6" spans="1:24" x14ac:dyDescent="0.2">
      <c r="A6" s="361">
        <v>4</v>
      </c>
      <c r="B6" s="373" t="str">
        <f t="shared" ref="B6:B17" si="4">A6&amp;"x"&amp;(A6+$B$3)&amp;"F"</f>
        <v>4x10F</v>
      </c>
      <c r="C6" s="393">
        <f>_xll.qlCalendarAdvance(Calendar,SettlementDate,A6&amp;"M","MF",TRUE)</f>
        <v>41779</v>
      </c>
      <c r="D6" s="393">
        <f>_xll.qlCalendarAdvance(Calendar,C6,"6M","MF",TRUE)</f>
        <v>41963</v>
      </c>
      <c r="E6" s="374">
        <f>_xll.qlInterpolationInterpolate('6M'!ExtFwdInterpolator,C6)</f>
        <v>6.8999999999999999E-3</v>
      </c>
      <c r="F6" s="356" t="b">
        <f t="shared" si="0"/>
        <v>0</v>
      </c>
      <c r="G6" s="356" t="b">
        <f t="shared" si="1"/>
        <v>0</v>
      </c>
      <c r="H6" s="375">
        <f>_xll.qlDayCounterYearFraction(DayCounter,$C6,$D6)</f>
        <v>0.51111111111111107</v>
      </c>
      <c r="I6" s="376">
        <f>((1+E6*H6)/IF(F6,'6M'!TOY,IF(G6,'6M'!_TOY2,1))-1)/H6</f>
        <v>6.9000000000000224E-3</v>
      </c>
      <c r="J6" s="377">
        <f>E6-I6</f>
        <v>-2.2551405187698492E-17</v>
      </c>
      <c r="K6" s="355"/>
      <c r="L6" s="378">
        <v>6.9000000000000224E-3</v>
      </c>
      <c r="M6" s="355"/>
      <c r="N6" s="373" t="str">
        <f t="shared" si="3"/>
        <v>GBP4x10F_SYNTH6M_Quote</v>
      </c>
      <c r="O6" s="379">
        <v>6.9000000000000224E-3</v>
      </c>
      <c r="P6" s="380" t="e">
        <f>_xll.qlSimpleQuoteSetValue(N6,O6,EvaluationDate)</f>
        <v>#NUM!</v>
      </c>
      <c r="Q6" s="363"/>
    </row>
    <row r="7" spans="1:24" x14ac:dyDescent="0.2">
      <c r="A7" s="361">
        <v>5</v>
      </c>
      <c r="B7" s="373" t="str">
        <f t="shared" si="4"/>
        <v>5x11F</v>
      </c>
      <c r="C7" s="393">
        <f>_xll.qlCalendarAdvance(Calendar,SettlementDate,A7&amp;"M","MF",TRUE)</f>
        <v>41810</v>
      </c>
      <c r="D7" s="393">
        <f>_xll.qlCalendarAdvance(Calendar,C7,"6M","MF",TRUE)</f>
        <v>41995</v>
      </c>
      <c r="E7" s="374">
        <f>_xll.qlInterpolationInterpolate('6M'!ExtFwdInterpolator,C7)</f>
        <v>7.1500000000000001E-3</v>
      </c>
      <c r="F7" s="356" t="b">
        <f>NOT(OR($C7&gt;LastDayInYear,$D7&lt;=LastDayInYear))</f>
        <v>0</v>
      </c>
      <c r="G7" s="356" t="b">
        <f>NOT(OR($C7&gt;LastDayInNextYear,$D7&lt;=LastDayInNextYear))</f>
        <v>0</v>
      </c>
      <c r="H7" s="375">
        <f>_xll.qlDayCounterYearFraction(DayCounter,$C7,$D7)</f>
        <v>0.51388888888888884</v>
      </c>
      <c r="I7" s="376">
        <f>((1+E7*H7)/IF(F7,'6M'!TOY,IF(G7,'6M'!_TOY2,1))-1)/H7</f>
        <v>7.1499999999998527E-3</v>
      </c>
      <c r="J7" s="377">
        <f>E7-I7</f>
        <v>1.474514954580286E-16</v>
      </c>
      <c r="K7" s="355"/>
      <c r="L7" s="378">
        <v>7.1499999999998527E-3</v>
      </c>
      <c r="M7" s="355"/>
      <c r="N7" s="373" t="str">
        <f>Currency&amp;$B7&amp;$O$2</f>
        <v>GBP5x11F_SYNTH6M_Quote</v>
      </c>
      <c r="O7" s="379">
        <v>7.1499999999998527E-3</v>
      </c>
      <c r="P7" s="380" t="e">
        <f>_xll.qlSimpleQuoteSetValue(N7,O7,EvaluationDate)</f>
        <v>#NUM!</v>
      </c>
      <c r="Q7" s="363"/>
    </row>
    <row r="8" spans="1:24" x14ac:dyDescent="0.2">
      <c r="A8" s="361">
        <v>7</v>
      </c>
      <c r="B8" s="373" t="str">
        <f t="shared" si="4"/>
        <v>7x13F</v>
      </c>
      <c r="C8" s="393">
        <f>_xll.qlCalendarAdvance(Calendar,SettlementDate,A8&amp;"M","MF",TRUE)</f>
        <v>41871</v>
      </c>
      <c r="D8" s="393">
        <f>_xll.qlCalendarAdvance(Calendar,C8,"6M","MF",TRUE)</f>
        <v>42055</v>
      </c>
      <c r="E8" s="374">
        <f>_xll.qlInterpolationInterpolate('6M'!ExtFwdInterpolator,C8)</f>
        <v>7.9987720180116455E-3</v>
      </c>
      <c r="F8" s="356" t="b">
        <f>NOT(OR($C8&gt;LastDayInYear,$D8&lt;=LastDayInYear))</f>
        <v>1</v>
      </c>
      <c r="G8" s="356" t="b">
        <f>NOT(OR($C8&gt;LastDayInNextYear,$D8&lt;=LastDayInNextYear))</f>
        <v>0</v>
      </c>
      <c r="H8" s="375">
        <f>_xll.qlDayCounterYearFraction(DayCounter,$C8,$D8)</f>
        <v>0.51111111111111107</v>
      </c>
      <c r="I8" s="376">
        <f>((1+E8*H8)/IF(F8,'6M'!TOY,IF(G8,'6M'!_TOY2,1))-1)/H8</f>
        <v>7.9987720180115761E-3</v>
      </c>
      <c r="J8" s="377">
        <f>E8-I8</f>
        <v>6.9388939039072284E-17</v>
      </c>
      <c r="K8" s="355"/>
      <c r="L8" s="378">
        <v>7.9987720180115761E-3</v>
      </c>
      <c r="M8" s="355"/>
      <c r="N8" s="373" t="str">
        <f>Currency&amp;$B8&amp;$O$2</f>
        <v>GBP7x13F_SYNTH6M_Quote</v>
      </c>
      <c r="O8" s="379">
        <v>7.9987720180115761E-3</v>
      </c>
      <c r="P8" s="380" t="e">
        <f>_xll.qlSimpleQuoteSetValue(N8,O8,EvaluationDate)</f>
        <v>#NUM!</v>
      </c>
      <c r="Q8" s="363"/>
    </row>
    <row r="9" spans="1:24" x14ac:dyDescent="0.2">
      <c r="A9" s="361">
        <v>8</v>
      </c>
      <c r="B9" s="373" t="str">
        <f t="shared" si="4"/>
        <v>8x14F</v>
      </c>
      <c r="C9" s="393">
        <f>_xll.qlCalendarAdvance(Calendar,SettlementDate,A9&amp;"M","MF",TRUE)</f>
        <v>41904</v>
      </c>
      <c r="D9" s="393">
        <f>_xll.qlCalendarAdvance(Calendar,C9,"6M","MF",TRUE)</f>
        <v>42086</v>
      </c>
      <c r="E9" s="374">
        <f>_xll.qlInterpolationInterpolate('6M'!ExtFwdInterpolator,C9)</f>
        <v>8.5239113796938062E-3</v>
      </c>
      <c r="F9" s="356" t="b">
        <f t="shared" si="0"/>
        <v>1</v>
      </c>
      <c r="G9" s="356" t="b">
        <f t="shared" si="1"/>
        <v>0</v>
      </c>
      <c r="H9" s="375">
        <f>_xll.qlDayCounterYearFraction(DayCounter,$C9,$D9)</f>
        <v>0.50555555555555554</v>
      </c>
      <c r="I9" s="376">
        <f>((1+E9*H9)/IF(F9,'6M'!TOY,IF(G9,'6M'!_TOY2,1))-1)/H9</f>
        <v>8.5239113796937525E-3</v>
      </c>
      <c r="J9" s="377">
        <f t="shared" si="2"/>
        <v>5.377642775528102E-17</v>
      </c>
      <c r="K9" s="355"/>
      <c r="L9" s="378">
        <v>8.5239113796937525E-3</v>
      </c>
      <c r="M9" s="355"/>
      <c r="N9" s="373" t="str">
        <f t="shared" si="3"/>
        <v>GBP8x14F_SYNTH6M_Quote</v>
      </c>
      <c r="O9" s="379">
        <v>8.5239113796937525E-3</v>
      </c>
      <c r="P9" s="380" t="e">
        <f>_xll.qlSimpleQuoteSetValue(N9,O9,EvaluationDate)</f>
        <v>#NUM!</v>
      </c>
      <c r="Q9" s="363"/>
    </row>
    <row r="10" spans="1:24" x14ac:dyDescent="0.2">
      <c r="A10" s="361">
        <v>9</v>
      </c>
      <c r="B10" s="373" t="str">
        <f t="shared" si="4"/>
        <v>9x15F</v>
      </c>
      <c r="C10" s="393">
        <f>_xll.qlCalendarAdvance(Calendar,SettlementDate,A10&amp;"M","MF",TRUE)</f>
        <v>41932</v>
      </c>
      <c r="D10" s="393">
        <f>_xll.qlCalendarAdvance(Calendar,C10,"6M","MF",TRUE)</f>
        <v>42114</v>
      </c>
      <c r="E10" s="374">
        <f>_xll.qlInterpolationInterpolate('6M'!ExtFwdInterpolator,C10)</f>
        <v>8.9901920693720074E-3</v>
      </c>
      <c r="F10" s="356" t="b">
        <f t="shared" si="0"/>
        <v>1</v>
      </c>
      <c r="G10" s="356" t="b">
        <f t="shared" si="1"/>
        <v>0</v>
      </c>
      <c r="H10" s="375">
        <f>_xll.qlDayCounterYearFraction(DayCounter,$C10,$D10)</f>
        <v>0.50555555555555554</v>
      </c>
      <c r="I10" s="376">
        <f>((1+E10*H10)/IF(F10,'6M'!TOY,IF(G10,'6M'!_TOY2,1))-1)/H10</f>
        <v>8.9901920693720092E-3</v>
      </c>
      <c r="J10" s="377">
        <f t="shared" si="2"/>
        <v>0</v>
      </c>
      <c r="K10" s="355"/>
      <c r="L10" s="378">
        <v>8.9901920693720092E-3</v>
      </c>
      <c r="M10" s="355"/>
      <c r="N10" s="373" t="str">
        <f t="shared" si="3"/>
        <v>GBP9x15F_SYNTH6M_Quote</v>
      </c>
      <c r="O10" s="379">
        <v>8.9901920693720092E-3</v>
      </c>
      <c r="P10" s="380" t="e">
        <f>_xll.qlSimpleQuoteSetValue(N10,O10,EvaluationDate)</f>
        <v>#NUM!</v>
      </c>
      <c r="Q10" s="363"/>
    </row>
    <row r="11" spans="1:24" x14ac:dyDescent="0.2">
      <c r="A11" s="361">
        <v>10</v>
      </c>
      <c r="B11" s="373" t="str">
        <f t="shared" si="4"/>
        <v>10x16F</v>
      </c>
      <c r="C11" s="393">
        <f>_xll.qlCalendarAdvance(Calendar,SettlementDate,A11&amp;"M","MF",TRUE)</f>
        <v>41963</v>
      </c>
      <c r="D11" s="393">
        <f>_xll.qlCalendarAdvance(Calendar,C11,"6M","MF",TRUE)</f>
        <v>42144</v>
      </c>
      <c r="E11" s="374">
        <f>_xll.qlInterpolationInterpolate('6M'!ExtFwdInterpolator,C11)</f>
        <v>9.523017021580607E-3</v>
      </c>
      <c r="F11" s="356" t="b">
        <f t="shared" si="0"/>
        <v>1</v>
      </c>
      <c r="G11" s="356" t="b">
        <f t="shared" si="1"/>
        <v>0</v>
      </c>
      <c r="H11" s="375">
        <f>_xll.qlDayCounterYearFraction(DayCounter,$C11,$D11)</f>
        <v>0.50277777777777777</v>
      </c>
      <c r="I11" s="376">
        <f>((1+E11*H11)/IF(F11,'6M'!TOY,IF(G11,'6M'!_TOY2,1))-1)/H11</f>
        <v>9.5230170215808169E-3</v>
      </c>
      <c r="J11" s="377">
        <f t="shared" si="2"/>
        <v>-2.0990154059319366E-16</v>
      </c>
      <c r="K11" s="355"/>
      <c r="L11" s="378">
        <v>9.5230170215808169E-3</v>
      </c>
      <c r="M11" s="355"/>
      <c r="N11" s="373" t="str">
        <f t="shared" si="3"/>
        <v>GBP10x16F_SYNTH6M_Quote</v>
      </c>
      <c r="O11" s="379">
        <v>9.5230170215808169E-3</v>
      </c>
      <c r="P11" s="380" t="e">
        <f>_xll.qlSimpleQuoteSetValue(N11,O11,EvaluationDate)</f>
        <v>#NUM!</v>
      </c>
      <c r="Q11" s="363"/>
    </row>
    <row r="12" spans="1:24" x14ac:dyDescent="0.2">
      <c r="A12" s="361">
        <v>11</v>
      </c>
      <c r="B12" s="373" t="str">
        <f t="shared" si="4"/>
        <v>11x17F</v>
      </c>
      <c r="C12" s="393">
        <f>_xll.qlCalendarAdvance(Calendar,SettlementDate,A12&amp;"M","MF",TRUE)</f>
        <v>41995</v>
      </c>
      <c r="D12" s="393">
        <f>_xll.qlCalendarAdvance(Calendar,C12,"6M","MF",TRUE)</f>
        <v>42177</v>
      </c>
      <c r="E12" s="374">
        <f>_xll.qlInterpolationInterpolate('6M'!ExtFwdInterpolator,C12)</f>
        <v>1.0085217447658806E-2</v>
      </c>
      <c r="F12" s="356" t="b">
        <f t="shared" si="0"/>
        <v>1</v>
      </c>
      <c r="G12" s="356" t="b">
        <f t="shared" si="1"/>
        <v>0</v>
      </c>
      <c r="H12" s="375">
        <f>_xll.qlDayCounterYearFraction(DayCounter,$C12,$D12)</f>
        <v>0.50555555555555554</v>
      </c>
      <c r="I12" s="376">
        <f>((1+E12*H12)/IF(F12,'6M'!TOY,IF(G12,'6M'!_TOY2,1))-1)/H12</f>
        <v>1.0085217447658947E-2</v>
      </c>
      <c r="J12" s="377">
        <f t="shared" si="2"/>
        <v>-1.4051260155412137E-16</v>
      </c>
      <c r="K12" s="355"/>
      <c r="L12" s="378">
        <v>1.0085217447658947E-2</v>
      </c>
      <c r="M12" s="355"/>
      <c r="N12" s="373" t="str">
        <f t="shared" si="3"/>
        <v>GBP11x17F_SYNTH6M_Quote</v>
      </c>
      <c r="O12" s="379">
        <v>1.0085217447658947E-2</v>
      </c>
      <c r="P12" s="380" t="e">
        <f>_xll.qlSimpleQuoteSetValue(N12,O12,EvaluationDate)</f>
        <v>#NUM!</v>
      </c>
      <c r="Q12" s="363"/>
    </row>
    <row r="13" spans="1:24" x14ac:dyDescent="0.2">
      <c r="A13" s="361">
        <v>13</v>
      </c>
      <c r="B13" s="373" t="str">
        <f t="shared" si="4"/>
        <v>13x19F</v>
      </c>
      <c r="C13" s="393">
        <f>_xll.qlCalendarAdvance(Calendar,SettlementDate,A13&amp;"M","MF",TRUE)</f>
        <v>42055</v>
      </c>
      <c r="D13" s="393">
        <f>_xll.qlCalendarAdvance(Calendar,C13,"6M","MF",TRUE)</f>
        <v>42236</v>
      </c>
      <c r="E13" s="374" t="e">
        <f>_xll.qlInterpolationInterpolate('6M'!ExtFwdInterpolator,C13)</f>
        <v>#NUM!</v>
      </c>
      <c r="F13" s="356" t="b">
        <f t="shared" si="0"/>
        <v>0</v>
      </c>
      <c r="G13" s="356" t="b">
        <f t="shared" si="1"/>
        <v>0</v>
      </c>
      <c r="H13" s="375">
        <f>_xll.qlDayCounterYearFraction(DayCounter,$C13,$D13)</f>
        <v>0.50277777777777777</v>
      </c>
      <c r="I13" s="376" t="e">
        <f>((1+E13*H13)/IF(F13,'6M'!TOY,IF(G13,'6M'!_TOY2,1))-1)/H13</f>
        <v>#NUM!</v>
      </c>
      <c r="J13" s="377" t="e">
        <f t="shared" si="2"/>
        <v>#NUM!</v>
      </c>
      <c r="K13" s="355"/>
      <c r="L13" s="378" t="e">
        <v>#NUM!</v>
      </c>
      <c r="M13" s="355"/>
      <c r="N13" s="373" t="str">
        <f t="shared" si="3"/>
        <v>GBP13x19F_SYNTH6M_Quote</v>
      </c>
      <c r="O13" s="379" t="e">
        <v>#NUM!</v>
      </c>
      <c r="P13" s="380" t="e">
        <f>_xll.qlSimpleQuoteSetValue(N13,O13,EvaluationDate)</f>
        <v>#NUM!</v>
      </c>
      <c r="Q13" s="363"/>
    </row>
    <row r="14" spans="1:24" x14ac:dyDescent="0.2">
      <c r="A14" s="361">
        <v>14</v>
      </c>
      <c r="B14" s="373" t="str">
        <f t="shared" si="4"/>
        <v>14x20F</v>
      </c>
      <c r="C14" s="393">
        <f>_xll.qlCalendarAdvance(Calendar,SettlementDate,A14&amp;"M","MF",TRUE)</f>
        <v>42083</v>
      </c>
      <c r="D14" s="393">
        <f>_xll.qlCalendarAdvance(Calendar,C14,"6M","MF",TRUE)</f>
        <v>42268</v>
      </c>
      <c r="E14" s="374" t="e">
        <f>_xll.qlInterpolationInterpolate('6M'!ExtFwdInterpolator,C14)</f>
        <v>#NUM!</v>
      </c>
      <c r="F14" s="356" t="b">
        <f t="shared" si="0"/>
        <v>0</v>
      </c>
      <c r="G14" s="356" t="b">
        <f t="shared" si="1"/>
        <v>0</v>
      </c>
      <c r="H14" s="375">
        <f>_xll.qlDayCounterYearFraction(DayCounter,$C14,$D14)</f>
        <v>0.51388888888888884</v>
      </c>
      <c r="I14" s="376" t="e">
        <f>((1+E14*H14)/IF(F14,'6M'!TOY,IF(G14,'6M'!_TOY2,1))-1)/H14</f>
        <v>#NUM!</v>
      </c>
      <c r="J14" s="377" t="e">
        <f t="shared" si="2"/>
        <v>#NUM!</v>
      </c>
      <c r="K14" s="355"/>
      <c r="L14" s="378" t="e">
        <v>#NUM!</v>
      </c>
      <c r="M14" s="355"/>
      <c r="N14" s="373" t="str">
        <f t="shared" si="3"/>
        <v>GBP14x20F_SYNTH6M_Quote</v>
      </c>
      <c r="O14" s="379" t="e">
        <v>#NUM!</v>
      </c>
      <c r="P14" s="380" t="e">
        <f>_xll.qlSimpleQuoteSetValue(N14,O14,EvaluationDate)</f>
        <v>#NUM!</v>
      </c>
      <c r="Q14" s="363"/>
    </row>
    <row r="15" spans="1:24" x14ac:dyDescent="0.2">
      <c r="A15" s="361">
        <v>15</v>
      </c>
      <c r="B15" s="373" t="str">
        <f t="shared" si="4"/>
        <v>15x21F</v>
      </c>
      <c r="C15" s="393">
        <f>_xll.qlCalendarAdvance(Calendar,SettlementDate,A15&amp;"M","MF",TRUE)</f>
        <v>42114</v>
      </c>
      <c r="D15" s="393">
        <f>_xll.qlCalendarAdvance(Calendar,C15,"6M","MF",TRUE)</f>
        <v>42297</v>
      </c>
      <c r="E15" s="374" t="e">
        <f>_xll.qlInterpolationInterpolate('6M'!ExtFwdInterpolator,C15)</f>
        <v>#NUM!</v>
      </c>
      <c r="F15" s="356" t="b">
        <f t="shared" si="0"/>
        <v>0</v>
      </c>
      <c r="G15" s="356" t="b">
        <f t="shared" si="1"/>
        <v>0</v>
      </c>
      <c r="H15" s="375">
        <f>_xll.qlDayCounterYearFraction(DayCounter,$C15,$D15)</f>
        <v>0.5083333333333333</v>
      </c>
      <c r="I15" s="376" t="e">
        <f>((1+E15*H15)/IF(F15,'6M'!TOY,IF(G15,'6M'!_TOY2,1))-1)/H15</f>
        <v>#NUM!</v>
      </c>
      <c r="J15" s="377" t="e">
        <f t="shared" si="2"/>
        <v>#NUM!</v>
      </c>
      <c r="K15" s="355"/>
      <c r="L15" s="378" t="e">
        <v>#NUM!</v>
      </c>
      <c r="M15" s="355"/>
      <c r="N15" s="373" t="str">
        <f t="shared" si="3"/>
        <v>GBP15x21F_SYNTH6M_Quote</v>
      </c>
      <c r="O15" s="379" t="e">
        <v>#NUM!</v>
      </c>
      <c r="P15" s="380" t="e">
        <f>_xll.qlSimpleQuoteSetValue(N15,O15,EvaluationDate)</f>
        <v>#NUM!</v>
      </c>
      <c r="Q15" s="363"/>
    </row>
    <row r="16" spans="1:24" x14ac:dyDescent="0.2">
      <c r="A16" s="361">
        <v>16</v>
      </c>
      <c r="B16" s="373" t="str">
        <f t="shared" si="4"/>
        <v>16x22F</v>
      </c>
      <c r="C16" s="393">
        <f>_xll.qlCalendarAdvance(Calendar,SettlementDate,A16&amp;"M","MF",TRUE)</f>
        <v>42144</v>
      </c>
      <c r="D16" s="393">
        <f>_xll.qlCalendarAdvance(Calendar,C16,"6M","MF",TRUE)</f>
        <v>42328</v>
      </c>
      <c r="E16" s="374" t="e">
        <f>_xll.qlInterpolationInterpolate('6M'!ExtFwdInterpolator,C16)</f>
        <v>#NUM!</v>
      </c>
      <c r="F16" s="356" t="b">
        <f t="shared" si="0"/>
        <v>0</v>
      </c>
      <c r="G16" s="356" t="b">
        <f t="shared" si="1"/>
        <v>0</v>
      </c>
      <c r="H16" s="375">
        <f>_xll.qlDayCounterYearFraction(DayCounter,$C16,$D16)</f>
        <v>0.51111111111111107</v>
      </c>
      <c r="I16" s="376" t="e">
        <f>((1+E16*H16)/IF(F16,'6M'!TOY,IF(G16,'6M'!_TOY2,1))-1)/H16</f>
        <v>#NUM!</v>
      </c>
      <c r="J16" s="377" t="e">
        <f t="shared" si="2"/>
        <v>#NUM!</v>
      </c>
      <c r="K16" s="355"/>
      <c r="L16" s="378" t="e">
        <v>#NUM!</v>
      </c>
      <c r="M16" s="355"/>
      <c r="N16" s="373" t="str">
        <f t="shared" si="3"/>
        <v>GBP16x22F_SYNTH6M_Quote</v>
      </c>
      <c r="O16" s="379" t="e">
        <v>#NUM!</v>
      </c>
      <c r="P16" s="380" t="e">
        <f>_xll.qlSimpleQuoteSetValue(N16,O16,EvaluationDate)</f>
        <v>#NUM!</v>
      </c>
      <c r="Q16" s="363"/>
    </row>
    <row r="17" spans="1:21" x14ac:dyDescent="0.2">
      <c r="A17" s="361">
        <v>17</v>
      </c>
      <c r="B17" s="381" t="str">
        <f t="shared" si="4"/>
        <v>17x23F</v>
      </c>
      <c r="C17" s="394">
        <f>_xll.qlCalendarAdvance(Calendar,SettlementDate,A17&amp;"M","MF",TRUE)</f>
        <v>42177</v>
      </c>
      <c r="D17" s="394">
        <f>_xll.qlCalendarAdvance(Calendar,C17,"6M","MF",TRUE)</f>
        <v>42360</v>
      </c>
      <c r="E17" s="382" t="e">
        <f>_xll.qlInterpolationInterpolate('6M'!ExtFwdInterpolator,C17)</f>
        <v>#NUM!</v>
      </c>
      <c r="F17" s="383" t="b">
        <f t="shared" si="0"/>
        <v>0</v>
      </c>
      <c r="G17" s="383" t="b">
        <f t="shared" si="1"/>
        <v>0</v>
      </c>
      <c r="H17" s="384">
        <f>_xll.qlDayCounterYearFraction(DayCounter,$C17,$D17)</f>
        <v>0.5083333333333333</v>
      </c>
      <c r="I17" s="385" t="e">
        <f>((1+E17*H17)/IF(F17,'6M'!TOY,IF(G17,'6M'!_TOY2,1))-1)/H17</f>
        <v>#NUM!</v>
      </c>
      <c r="J17" s="386" t="e">
        <f t="shared" si="2"/>
        <v>#NUM!</v>
      </c>
      <c r="K17" s="355"/>
      <c r="L17" s="387" t="e">
        <v>#NUM!</v>
      </c>
      <c r="M17" s="355"/>
      <c r="N17" s="381" t="str">
        <f t="shared" si="3"/>
        <v>GBP17x23F_SYNTH6M_Quote</v>
      </c>
      <c r="O17" s="388" t="e">
        <v>#NUM!</v>
      </c>
      <c r="P17" s="389" t="e">
        <f>_xll.qlSimpleQuoteSetValue(N17,O17,EvaluationDate)</f>
        <v>#NUM!</v>
      </c>
      <c r="Q17" s="363"/>
    </row>
    <row r="18" spans="1:21" ht="12" thickBot="1" x14ac:dyDescent="0.25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2"/>
      <c r="R18" s="356"/>
      <c r="S18" s="356"/>
      <c r="T18" s="356"/>
      <c r="U18" s="356"/>
    </row>
  </sheetData>
  <phoneticPr fontId="0" type="noConversion"/>
  <conditionalFormatting sqref="P5:P17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57</vt:i4>
      </vt:variant>
    </vt:vector>
  </HeadingPairs>
  <TitlesOfParts>
    <vt:vector size="66" baseType="lpstr">
      <vt:lpstr>General Settings</vt:lpstr>
      <vt:lpstr>Triggers</vt:lpstr>
      <vt:lpstr>1M</vt:lpstr>
      <vt:lpstr>3M</vt:lpstr>
      <vt:lpstr>6M</vt:lpstr>
      <vt:lpstr>Optimize1M</vt:lpstr>
      <vt:lpstr>Optimize3M</vt:lpstr>
      <vt:lpstr>Optimize6M</vt:lpstr>
      <vt:lpstr>Interpolated6M</vt:lpstr>
      <vt:lpstr>'1M'!_TOY2</vt:lpstr>
      <vt:lpstr>'3M'!_TOY2</vt:lpstr>
      <vt:lpstr>'6M'!_TOY2</vt:lpstr>
      <vt:lpstr>Triggers!AllTriggers</vt:lpstr>
      <vt:lpstr>Calendar</vt:lpstr>
      <vt:lpstr>Currency</vt:lpstr>
      <vt:lpstr>DayCounter</vt:lpstr>
      <vt:lpstr>'1M'!DiscountCurve</vt:lpstr>
      <vt:lpstr>'3M'!DiscountCurve</vt:lpstr>
      <vt:lpstr>'6M'!DiscountCurve</vt:lpstr>
      <vt:lpstr>DiscountInterpolationType</vt:lpstr>
      <vt:lpstr>EvaluationDate</vt:lpstr>
      <vt:lpstr>'3M'!ExtFwdInterpolator</vt:lpstr>
      <vt:lpstr>'6M'!ExtFwdInterpolator</vt:lpstr>
      <vt:lpstr>FwdInterpolationType</vt:lpstr>
      <vt:lpstr>'1M'!FwdInterpolator</vt:lpstr>
      <vt:lpstr>'3M'!FwdInterpolator</vt:lpstr>
      <vt:lpstr>'6M'!FwdInterpolator</vt:lpstr>
      <vt:lpstr>GENERAL_SETTINGS</vt:lpstr>
      <vt:lpstr>'1M'!IndexTenor</vt:lpstr>
      <vt:lpstr>'3M'!IndexTenor</vt:lpstr>
      <vt:lpstr>'6M'!IndexTenor</vt:lpstr>
      <vt:lpstr>LastDayInNextYear</vt:lpstr>
      <vt:lpstr>LastDayInYear</vt:lpstr>
      <vt:lpstr>LastUpdate</vt:lpstr>
      <vt:lpstr>LiveDataFeed</vt:lpstr>
      <vt:lpstr>'3M'!Months</vt:lpstr>
      <vt:lpstr>'6M'!Months</vt:lpstr>
      <vt:lpstr>Interpolated6M!Quote</vt:lpstr>
      <vt:lpstr>Optimize1M!Quote</vt:lpstr>
      <vt:lpstr>Optimize3M!Quote</vt:lpstr>
      <vt:lpstr>Optimize6M!Quote</vt:lpstr>
      <vt:lpstr>Interpolated6M!QuoteLive</vt:lpstr>
      <vt:lpstr>Optimize1M!QuoteLive</vt:lpstr>
      <vt:lpstr>Optimize3M!QuoteLive</vt:lpstr>
      <vt:lpstr>Optimize6M!QuoteLive</vt:lpstr>
      <vt:lpstr>Interpolated6M!QuoteStatic</vt:lpstr>
      <vt:lpstr>Optimize1M!QuoteStatic</vt:lpstr>
      <vt:lpstr>Optimize3M!QuoteStatic</vt:lpstr>
      <vt:lpstr>Optimize6M!QuoteStatic</vt:lpstr>
      <vt:lpstr>'1M'!RateHelperPrefix</vt:lpstr>
      <vt:lpstr>'3M'!RateHelperPrefix</vt:lpstr>
      <vt:lpstr>'6M'!RateHelperPrefix</vt:lpstr>
      <vt:lpstr>SettlementDate</vt:lpstr>
      <vt:lpstr>'1M'!SheetTrigger</vt:lpstr>
      <vt:lpstr>'3M'!SheetTrigger</vt:lpstr>
      <vt:lpstr>'6M'!SheetTrigger</vt:lpstr>
      <vt:lpstr>'1M'!TOY</vt:lpstr>
      <vt:lpstr>'3M'!TOY</vt:lpstr>
      <vt:lpstr>'6M'!TOY</vt:lpstr>
      <vt:lpstr>TriggerCounter</vt:lpstr>
      <vt:lpstr>Triggers!TriggerTOY1M</vt:lpstr>
      <vt:lpstr>Triggers!TriggerTOY3M</vt:lpstr>
      <vt:lpstr>Triggers!TriggerTOY6M</vt:lpstr>
      <vt:lpstr>'1M'!UseSecondSet</vt:lpstr>
      <vt:lpstr>'3M'!UseSecondSet</vt:lpstr>
      <vt:lpstr>'6M'!UseSecondSet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2014-02-12T12:42:56Z</dcterms:modified>
</cp:coreProperties>
</file>
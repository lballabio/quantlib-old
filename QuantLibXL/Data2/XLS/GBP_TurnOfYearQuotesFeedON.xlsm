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10" windowHeight="12360"/>
  </bookViews>
  <sheets>
    <sheet name="General Settings" sheetId="3" r:id="rId1"/>
    <sheet name="Triggers" sheetId="7" r:id="rId2"/>
    <sheet name="RateHelpers" sheetId="2" r:id="rId3"/>
    <sheet name="Calculation" sheetId="4" r:id="rId4"/>
    <sheet name="Contribution" sheetId="6" r:id="rId5"/>
  </sheets>
  <definedNames>
    <definedName name="Accuracy">'General Settings'!$D$18</definedName>
    <definedName name="Calendar">'General Settings'!$D$16</definedName>
    <definedName name="Currency">'General Settings'!$D$4</definedName>
    <definedName name="DayCounter">'General Settings'!$D$17</definedName>
    <definedName name="EvaluationDate">Triggers!$C$2</definedName>
    <definedName name="FwdInterpolation">'General Settings'!$D$22</definedName>
    <definedName name="IborType">'General Settings'!$D$5</definedName>
    <definedName name="InterestRatesTrigger">Triggers!$C$4</definedName>
    <definedName name="InterpolatorID">'General Settings'!$D$20</definedName>
    <definedName name="LastDayInNextYear">'General Settings'!$D$11</definedName>
    <definedName name="LastDayInYear">'General Settings'!$D$10</definedName>
    <definedName name="LastUpdate">'General Settings'!$E$28</definedName>
    <definedName name="LiveDataFeed">'General Settings'!$E$31</definedName>
    <definedName name="MinDistance">RateHelpers!$J$2:$J$33</definedName>
    <definedName name="NDays">'General Settings'!$D$15</definedName>
    <definedName name="OvernightIndex">'General Settings'!$D$6</definedName>
    <definedName name="_xlnm.Print_Area" localSheetId="3">Calculation!$A$2:$K$51</definedName>
    <definedName name="Quote" localSheetId="4">Contribution!$H$5:$H$6</definedName>
    <definedName name="QuoteLive" localSheetId="4">Contribution!$C$5:$C$6</definedName>
    <definedName name="QuoteStatic" localSheetId="4">Contribution!$E$5:$E$6</definedName>
    <definedName name="RateHelpers">RateHelpers!$F$2:$F$33</definedName>
    <definedName name="RateHelpersIncluded">RateHelpers!$H$2:$H$33</definedName>
    <definedName name="RateHelpersPriority">RateHelpers!$I$2:$I$33</definedName>
    <definedName name="SettlementDate">'General Settings'!$D$9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hs1" localSheetId="4" hidden="1">Contribution!#REF!</definedName>
    <definedName name="solver_lhs2" localSheetId="4" hidden="1">Contribution!#REF!</definedName>
    <definedName name="solver_lhs3" localSheetId="4" hidden="1">Contribution!#REF!</definedName>
    <definedName name="solver_lhs4" localSheetId="4" hidden="1">Contribution!#REF!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pre" localSheetId="4" hidden="1">0.000001</definedName>
    <definedName name="solver_rel1" localSheetId="4" hidden="1">1</definedName>
    <definedName name="solver_rel2" localSheetId="4" hidden="1">3</definedName>
    <definedName name="solver_rel3" localSheetId="4" hidden="1">1</definedName>
    <definedName name="solver_rel4" localSheetId="4" hidden="1">3</definedName>
    <definedName name="solver_rhs1" localSheetId="4" hidden="1">0.2</definedName>
    <definedName name="solver_rhs2" localSheetId="4" hidden="1">0.0005</definedName>
    <definedName name="solver_rhs3" localSheetId="4" hidden="1">0.2</definedName>
    <definedName name="solver_rhs4" localSheetId="4" hidden="1">0.0005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1</definedName>
    <definedName name="solver_val" localSheetId="4" hidden="1">0</definedName>
    <definedName name="TraitsID">'General Settings'!$D$19</definedName>
    <definedName name="TriggerCounter">'General Settings'!$D$7</definedName>
    <definedName name="YieldCurve">'General Settings'!$D$13</definedName>
  </definedNames>
  <calcPr calcId="145621"/>
</workbook>
</file>

<file path=xl/calcChain.xml><?xml version="1.0" encoding="utf-8"?>
<calcChain xmlns="http://schemas.openxmlformats.org/spreadsheetml/2006/main">
  <c r="E17" i="2" l="1"/>
  <c r="E21" i="2"/>
  <c r="E25" i="2"/>
  <c r="E29" i="2"/>
  <c r="C33" i="2"/>
  <c r="E33" i="2"/>
  <c r="E2" i="2"/>
  <c r="C32" i="2"/>
  <c r="E32" i="2"/>
  <c r="C31" i="2"/>
  <c r="C30" i="2"/>
  <c r="C29" i="2"/>
  <c r="C28" i="2"/>
  <c r="E28" i="2"/>
  <c r="C27" i="2"/>
  <c r="E27" i="2"/>
  <c r="C26" i="2"/>
  <c r="C25" i="2"/>
  <c r="C24" i="2"/>
  <c r="E24" i="2"/>
  <c r="C23" i="2"/>
  <c r="C22" i="2"/>
  <c r="C21" i="2"/>
  <c r="C20" i="2"/>
  <c r="E20" i="2"/>
  <c r="C19" i="2"/>
  <c r="E19" i="2"/>
  <c r="C18" i="2"/>
  <c r="C17" i="2"/>
  <c r="C16" i="2"/>
  <c r="E16" i="2"/>
  <c r="C15" i="2"/>
  <c r="D18" i="3"/>
  <c r="G5" i="6"/>
  <c r="G6" i="6"/>
  <c r="E15" i="2"/>
  <c r="E31" i="2"/>
  <c r="E26" i="2"/>
  <c r="E23" i="2"/>
  <c r="E18" i="2"/>
  <c r="E22" i="2"/>
  <c r="E30" i="2"/>
  <c r="H5" i="6" a="1"/>
  <c r="C2" i="7"/>
  <c r="F20" i="2"/>
  <c r="F22" i="2"/>
  <c r="F25" i="2"/>
  <c r="F30" i="2"/>
  <c r="F2" i="2"/>
  <c r="F26" i="2"/>
  <c r="F15" i="2"/>
  <c r="F17" i="2"/>
  <c r="F18" i="2"/>
  <c r="F29" i="2"/>
  <c r="F21" i="2"/>
  <c r="F16" i="2"/>
  <c r="F24" i="2"/>
  <c r="F23" i="2"/>
  <c r="F27" i="2"/>
  <c r="F32" i="2"/>
  <c r="F28" i="2"/>
  <c r="F19" i="2"/>
  <c r="D9" i="3"/>
  <c r="A3" i="2"/>
  <c r="A4" i="2" s="1"/>
  <c r="F31" i="2"/>
  <c r="D3" i="2"/>
  <c r="B1" i="3"/>
  <c r="F33" i="2"/>
  <c r="L26" i="2"/>
  <c r="G19" i="2"/>
  <c r="K25" i="2"/>
  <c r="K29" i="2"/>
  <c r="L18" i="2"/>
  <c r="K33" i="2"/>
  <c r="L21" i="2"/>
  <c r="G30" i="2"/>
  <c r="K19" i="2"/>
  <c r="L25" i="2"/>
  <c r="G24" i="2"/>
  <c r="K28" i="2"/>
  <c r="G15" i="2"/>
  <c r="K30" i="2"/>
  <c r="L19" i="2"/>
  <c r="G25" i="2"/>
  <c r="G32" i="2"/>
  <c r="G28" i="2"/>
  <c r="L30" i="2"/>
  <c r="G29" i="2"/>
  <c r="K22" i="2"/>
  <c r="G18" i="2"/>
  <c r="L28" i="2"/>
  <c r="G17" i="2"/>
  <c r="L22" i="2"/>
  <c r="K18" i="2"/>
  <c r="K2" i="2"/>
  <c r="G27" i="2"/>
  <c r="G22" i="2"/>
  <c r="K15" i="2"/>
  <c r="G2" i="2"/>
  <c r="K24" i="2"/>
  <c r="K31" i="2"/>
  <c r="K20" i="2"/>
  <c r="L17" i="2"/>
  <c r="L31" i="2"/>
  <c r="L20" i="2"/>
  <c r="K27" i="2"/>
  <c r="G31" i="2"/>
  <c r="G23" i="2"/>
  <c r="K21" i="2"/>
  <c r="L23" i="2"/>
  <c r="G21" i="2"/>
  <c r="K17" i="2"/>
  <c r="K32" i="2"/>
  <c r="L33" i="2"/>
  <c r="K23" i="2"/>
  <c r="L2" i="2"/>
  <c r="L27" i="2"/>
  <c r="L24" i="2"/>
  <c r="G26" i="2"/>
  <c r="K26" i="2"/>
  <c r="L29" i="2"/>
  <c r="L32" i="2"/>
  <c r="G33" i="2"/>
  <c r="K16" i="2"/>
  <c r="G16" i="2"/>
  <c r="L16" i="2"/>
  <c r="L15" i="2"/>
  <c r="G20" i="2"/>
  <c r="A5" i="2"/>
  <c r="D4" i="2"/>
  <c r="D5" i="2"/>
  <c r="A6" i="2"/>
  <c r="D6" i="2"/>
  <c r="A7" i="2"/>
  <c r="A8" i="2"/>
  <c r="D7" i="2"/>
  <c r="A9" i="2"/>
  <c r="D8" i="2"/>
  <c r="A10" i="2"/>
  <c r="D9" i="2"/>
  <c r="A11" i="2"/>
  <c r="D10" i="2"/>
  <c r="A12" i="2"/>
  <c r="D11" i="2"/>
  <c r="A13" i="2"/>
  <c r="D12" i="2"/>
  <c r="D13" i="2"/>
  <c r="A14" i="2"/>
  <c r="A15" i="2"/>
  <c r="D14" i="2"/>
  <c r="E14" i="2" l="1"/>
  <c r="E13" i="2"/>
  <c r="E12" i="2"/>
  <c r="E11" i="2"/>
  <c r="E10" i="2"/>
  <c r="E9" i="2"/>
  <c r="E8" i="2"/>
  <c r="E7" i="2"/>
  <c r="E6" i="2"/>
  <c r="E5" i="2"/>
  <c r="E4" i="2"/>
  <c r="E3" i="2"/>
  <c r="F14" i="2"/>
  <c r="F7" i="2"/>
  <c r="F6" i="2"/>
  <c r="F13" i="2"/>
  <c r="F5" i="2"/>
  <c r="F12" i="2"/>
  <c r="F4" i="2"/>
  <c r="F3" i="2"/>
  <c r="F8" i="2"/>
  <c r="F11" i="2"/>
  <c r="F10" i="2"/>
  <c r="D11" i="3"/>
  <c r="D10" i="3"/>
  <c r="F9" i="2"/>
  <c r="K14" i="2"/>
  <c r="L14" i="2"/>
  <c r="G14" i="2"/>
  <c r="K7" i="2"/>
  <c r="L7" i="2"/>
  <c r="G7" i="2"/>
  <c r="K6" i="2"/>
  <c r="G6" i="2"/>
  <c r="L6" i="2"/>
  <c r="G13" i="2"/>
  <c r="L13" i="2"/>
  <c r="K13" i="2"/>
  <c r="G5" i="2"/>
  <c r="L5" i="2"/>
  <c r="K5" i="2"/>
  <c r="K12" i="2"/>
  <c r="G12" i="2"/>
  <c r="L12" i="2"/>
  <c r="L4" i="2"/>
  <c r="G4" i="2"/>
  <c r="K4" i="2"/>
  <c r="G3" i="2"/>
  <c r="K3" i="2"/>
  <c r="L3" i="2"/>
  <c r="A3" i="4" a="1"/>
  <c r="K8" i="2"/>
  <c r="L8" i="2"/>
  <c r="G8" i="2"/>
  <c r="K11" i="2"/>
  <c r="G11" i="2"/>
  <c r="L11" i="2"/>
  <c r="G10" i="2"/>
  <c r="L10" i="2"/>
  <c r="K10" i="2"/>
  <c r="E11" i="3"/>
  <c r="F11" i="3"/>
  <c r="E10" i="3"/>
  <c r="F10" i="3"/>
  <c r="K9" i="2"/>
  <c r="G9" i="2"/>
  <c r="L9" i="2"/>
  <c r="A57" i="4" l="1"/>
  <c r="A70" i="4"/>
  <c r="A90" i="4"/>
  <c r="A4" i="4"/>
  <c r="A67" i="4"/>
  <c r="A111" i="4"/>
  <c r="A45" i="4"/>
  <c r="A38" i="4"/>
  <c r="A65" i="4"/>
  <c r="A79" i="4"/>
  <c r="A99" i="4"/>
  <c r="A18" i="4"/>
  <c r="A78" i="4"/>
  <c r="A20" i="4"/>
  <c r="A69" i="4"/>
  <c r="A68" i="4"/>
  <c r="A73" i="4"/>
  <c r="A88" i="4"/>
  <c r="A108" i="4"/>
  <c r="A29" i="4"/>
  <c r="A92" i="4"/>
  <c r="A37" i="4"/>
  <c r="A104" i="4"/>
  <c r="A100" i="4"/>
  <c r="A81" i="4"/>
  <c r="A117" i="4"/>
  <c r="A103" i="4"/>
  <c r="A58" i="4"/>
  <c r="A23" i="4"/>
  <c r="A11" i="4"/>
  <c r="A98" i="4"/>
  <c r="A40" i="4"/>
  <c r="A89" i="4"/>
  <c r="A107" i="4"/>
  <c r="A126" i="4"/>
  <c r="A54" i="4"/>
  <c r="A115" i="4"/>
  <c r="A75" i="4"/>
  <c r="A105" i="4"/>
  <c r="A125" i="4"/>
  <c r="A14" i="4"/>
  <c r="A77" i="4"/>
  <c r="A32" i="4"/>
  <c r="A118" i="4"/>
  <c r="A121" i="4"/>
  <c r="A16" i="4"/>
  <c r="A39" i="4"/>
  <c r="A102" i="4"/>
  <c r="A72" i="4"/>
  <c r="A47" i="4"/>
  <c r="A60" i="4"/>
  <c r="A116" i="4"/>
  <c r="A112" i="4"/>
  <c r="A36" i="4"/>
  <c r="A27" i="4"/>
  <c r="A9" i="4"/>
  <c r="A7" i="4"/>
  <c r="A124" i="4"/>
  <c r="A56" i="4"/>
  <c r="A86" i="4"/>
  <c r="A41" i="4"/>
  <c r="A53" i="4"/>
  <c r="A127" i="4"/>
  <c r="A21" i="4"/>
  <c r="A96" i="4"/>
  <c r="A17" i="4"/>
  <c r="A26" i="4"/>
  <c r="A66" i="4"/>
  <c r="A74" i="4"/>
  <c r="A122" i="4"/>
  <c r="A25" i="4"/>
  <c r="A35" i="4"/>
  <c r="A91" i="4"/>
  <c r="A94" i="4"/>
  <c r="A31" i="4"/>
  <c r="A33" i="4"/>
  <c r="A44" i="4"/>
  <c r="A114" i="4"/>
  <c r="A95" i="4"/>
  <c r="A63" i="4"/>
  <c r="A49" i="4"/>
  <c r="A62" i="4"/>
  <c r="A5" i="4"/>
  <c r="A83" i="4"/>
  <c r="A123" i="4"/>
  <c r="A113" i="4"/>
  <c r="A80" i="4"/>
  <c r="A30" i="4"/>
  <c r="A22" i="4"/>
  <c r="A46" i="4"/>
  <c r="A6" i="4"/>
  <c r="A3" i="4"/>
  <c r="A42" i="4"/>
  <c r="A48" i="4"/>
  <c r="A82" i="4"/>
  <c r="A52" i="4"/>
  <c r="A87" i="4"/>
  <c r="A110" i="4"/>
  <c r="A85" i="4"/>
  <c r="A76" i="4"/>
  <c r="A71" i="4"/>
  <c r="A101" i="4"/>
  <c r="A15" i="4"/>
  <c r="A28" i="4"/>
  <c r="A19" i="4"/>
  <c r="A55" i="4"/>
  <c r="A12" i="4"/>
  <c r="A50" i="4"/>
  <c r="A13" i="4"/>
  <c r="A64" i="4"/>
  <c r="A120" i="4"/>
  <c r="A59" i="4"/>
  <c r="A106" i="4"/>
  <c r="A97" i="4"/>
  <c r="A93" i="4"/>
  <c r="A8" i="4"/>
  <c r="A24" i="4"/>
  <c r="A109" i="4"/>
  <c r="A34" i="4"/>
  <c r="A84" i="4"/>
  <c r="A43" i="4"/>
  <c r="A119" i="4"/>
  <c r="A61" i="4"/>
  <c r="A10" i="4"/>
  <c r="A51" i="4"/>
  <c r="B57" i="4"/>
  <c r="C57" i="4"/>
  <c r="D57" i="4"/>
  <c r="B73" i="4"/>
  <c r="C73" i="4"/>
  <c r="D73" i="4"/>
  <c r="B89" i="4"/>
  <c r="D89" i="4"/>
  <c r="C89" i="4"/>
  <c r="B72" i="4"/>
  <c r="D72" i="4"/>
  <c r="C72" i="4"/>
  <c r="B96" i="4"/>
  <c r="C96" i="4"/>
  <c r="D96" i="4"/>
  <c r="B49" i="4"/>
  <c r="D49" i="4"/>
  <c r="C49" i="4"/>
  <c r="B87" i="4"/>
  <c r="C87" i="4"/>
  <c r="D87" i="4"/>
  <c r="B106" i="4"/>
  <c r="D106" i="4"/>
  <c r="C106" i="4"/>
  <c r="B68" i="4"/>
  <c r="C68" i="4"/>
  <c r="D68" i="4"/>
  <c r="B70" i="4"/>
  <c r="C70" i="4"/>
  <c r="D70" i="4"/>
  <c r="B88" i="4"/>
  <c r="D88" i="4"/>
  <c r="C88" i="4"/>
  <c r="B107" i="4"/>
  <c r="D107" i="4"/>
  <c r="C107" i="4"/>
  <c r="B47" i="4"/>
  <c r="D47" i="4"/>
  <c r="C47" i="4"/>
  <c r="B17" i="4"/>
  <c r="C17" i="4"/>
  <c r="D17" i="4"/>
  <c r="B62" i="4"/>
  <c r="D62" i="4"/>
  <c r="C62" i="4"/>
  <c r="B110" i="4"/>
  <c r="D110" i="4"/>
  <c r="C110" i="4"/>
  <c r="B97" i="4"/>
  <c r="C97" i="4"/>
  <c r="D97" i="4"/>
  <c r="B40" i="4"/>
  <c r="D40" i="4"/>
  <c r="C40" i="4"/>
  <c r="B59" i="4"/>
  <c r="C59" i="4"/>
  <c r="D59" i="4"/>
  <c r="B90" i="4"/>
  <c r="C90" i="4"/>
  <c r="D90" i="4"/>
  <c r="B108" i="4"/>
  <c r="C108" i="4"/>
  <c r="D108" i="4"/>
  <c r="B126" i="4"/>
  <c r="C126" i="4"/>
  <c r="D126" i="4"/>
  <c r="B60" i="4"/>
  <c r="C60" i="4"/>
  <c r="D60" i="4"/>
  <c r="B26" i="4"/>
  <c r="C26" i="4"/>
  <c r="D26" i="4"/>
  <c r="B5" i="4"/>
  <c r="C5" i="4"/>
  <c r="D5" i="4"/>
  <c r="B85" i="4"/>
  <c r="D85" i="4"/>
  <c r="C85" i="4"/>
  <c r="B93" i="4"/>
  <c r="D93" i="4"/>
  <c r="C93" i="4"/>
  <c r="B4" i="4"/>
  <c r="D4" i="4"/>
  <c r="C4" i="4"/>
  <c r="B29" i="4"/>
  <c r="D29" i="4"/>
  <c r="C29" i="4"/>
  <c r="B54" i="4"/>
  <c r="D54" i="4"/>
  <c r="C54" i="4"/>
  <c r="B116" i="4"/>
  <c r="C116" i="4"/>
  <c r="D116" i="4"/>
  <c r="B66" i="4"/>
  <c r="D66" i="4"/>
  <c r="C66" i="4"/>
  <c r="B83" i="4"/>
  <c r="D83" i="4"/>
  <c r="C83" i="4"/>
  <c r="B76" i="4"/>
  <c r="D76" i="4"/>
  <c r="C76" i="4"/>
  <c r="B8" i="4"/>
  <c r="D8" i="4"/>
  <c r="C8" i="4"/>
  <c r="B67" i="4"/>
  <c r="C67" i="4"/>
  <c r="D67" i="4"/>
  <c r="B92" i="4"/>
  <c r="C92" i="4"/>
  <c r="D92" i="4"/>
  <c r="B115" i="4"/>
  <c r="C115" i="4"/>
  <c r="D115" i="4"/>
  <c r="B112" i="4"/>
  <c r="C112" i="4"/>
  <c r="D112" i="4"/>
  <c r="B74" i="4"/>
  <c r="D74" i="4"/>
  <c r="C74" i="4"/>
  <c r="B123" i="4"/>
  <c r="C123" i="4"/>
  <c r="D123" i="4"/>
  <c r="B71" i="4"/>
  <c r="C71" i="4"/>
  <c r="D71" i="4"/>
  <c r="B24" i="4"/>
  <c r="C24" i="4"/>
  <c r="D24" i="4"/>
  <c r="B111" i="4"/>
  <c r="D111" i="4"/>
  <c r="C111" i="4"/>
  <c r="B37" i="4"/>
  <c r="D37" i="4"/>
  <c r="C37" i="4"/>
  <c r="B75" i="4"/>
  <c r="C75" i="4"/>
  <c r="D75" i="4"/>
  <c r="B36" i="4"/>
  <c r="C36" i="4"/>
  <c r="D36" i="4"/>
  <c r="B122" i="4"/>
  <c r="D122" i="4"/>
  <c r="C122" i="4"/>
  <c r="B113" i="4"/>
  <c r="D113" i="4"/>
  <c r="C113" i="4"/>
  <c r="B101" i="4"/>
  <c r="D101" i="4"/>
  <c r="C101" i="4"/>
  <c r="B109" i="4"/>
  <c r="D109" i="4"/>
  <c r="C109" i="4"/>
  <c r="B45" i="4"/>
  <c r="D45" i="4"/>
  <c r="C45" i="4"/>
  <c r="B104" i="4"/>
  <c r="C104" i="4"/>
  <c r="D104" i="4"/>
  <c r="B105" i="4"/>
  <c r="C105" i="4"/>
  <c r="D105" i="4"/>
  <c r="B27" i="4"/>
  <c r="C27" i="4"/>
  <c r="D27" i="4"/>
  <c r="B25" i="4"/>
  <c r="C25" i="4"/>
  <c r="D25" i="4"/>
  <c r="B80" i="4"/>
  <c r="C80" i="4"/>
  <c r="D80" i="4"/>
  <c r="B15" i="4"/>
  <c r="C15" i="4"/>
  <c r="D15" i="4"/>
  <c r="B34" i="4"/>
  <c r="D34" i="4"/>
  <c r="C34" i="4"/>
  <c r="B38" i="4"/>
  <c r="C38" i="4"/>
  <c r="D38" i="4"/>
  <c r="B100" i="4"/>
  <c r="D100" i="4"/>
  <c r="C100" i="4"/>
  <c r="B125" i="4"/>
  <c r="D125" i="4"/>
  <c r="C125" i="4"/>
  <c r="B9" i="4"/>
  <c r="C9" i="4"/>
  <c r="D9" i="4"/>
  <c r="B35" i="4"/>
  <c r="C35" i="4"/>
  <c r="D35" i="4"/>
  <c r="B30" i="4"/>
  <c r="C30" i="4"/>
  <c r="D30" i="4"/>
  <c r="B28" i="4"/>
  <c r="C28" i="4"/>
  <c r="D28" i="4"/>
  <c r="B84" i="4"/>
  <c r="D84" i="4"/>
  <c r="C84" i="4"/>
  <c r="B65" i="4"/>
  <c r="C65" i="4"/>
  <c r="D65" i="4"/>
  <c r="B81" i="4"/>
  <c r="C81" i="4"/>
  <c r="D81" i="4"/>
  <c r="B14" i="4"/>
  <c r="C14" i="4"/>
  <c r="D14" i="4"/>
  <c r="B7" i="4"/>
  <c r="C7" i="4"/>
  <c r="D7" i="4"/>
  <c r="B91" i="4"/>
  <c r="C91" i="4"/>
  <c r="D91" i="4"/>
  <c r="B22" i="4"/>
  <c r="D22" i="4"/>
  <c r="C22" i="4"/>
  <c r="B19" i="4"/>
  <c r="C19" i="4"/>
  <c r="D19" i="4"/>
  <c r="B43" i="4"/>
  <c r="D43" i="4"/>
  <c r="C43" i="4"/>
  <c r="B79" i="4"/>
  <c r="D79" i="4"/>
  <c r="C79" i="4"/>
  <c r="B117" i="4"/>
  <c r="D117" i="4"/>
  <c r="C117" i="4"/>
  <c r="B77" i="4"/>
  <c r="D77" i="4"/>
  <c r="C77" i="4"/>
  <c r="B124" i="4"/>
  <c r="C124" i="4"/>
  <c r="D124" i="4"/>
  <c r="B94" i="4"/>
  <c r="D94" i="4"/>
  <c r="C94" i="4"/>
  <c r="B46" i="4"/>
  <c r="D46" i="4"/>
  <c r="C46" i="4"/>
  <c r="B55" i="4"/>
  <c r="C55" i="4"/>
  <c r="D55" i="4"/>
  <c r="B119" i="4"/>
  <c r="D119" i="4"/>
  <c r="C119" i="4"/>
  <c r="B99" i="4"/>
  <c r="C99" i="4"/>
  <c r="D99" i="4"/>
  <c r="B103" i="4"/>
  <c r="D103" i="4"/>
  <c r="C103" i="4"/>
  <c r="B32" i="4"/>
  <c r="C32" i="4"/>
  <c r="D32" i="4"/>
  <c r="B56" i="4"/>
  <c r="D56" i="4"/>
  <c r="C56" i="4"/>
  <c r="B31" i="4"/>
  <c r="C31" i="4"/>
  <c r="D31" i="4"/>
  <c r="B6" i="4"/>
  <c r="D6" i="4"/>
  <c r="C6" i="4"/>
  <c r="B12" i="4"/>
  <c r="D12" i="4"/>
  <c r="C12" i="4"/>
  <c r="B61" i="4"/>
  <c r="D61" i="4"/>
  <c r="C61" i="4"/>
  <c r="B18" i="4"/>
  <c r="D18" i="4"/>
  <c r="C18" i="4"/>
  <c r="B58" i="4"/>
  <c r="D58" i="4"/>
  <c r="C58" i="4"/>
  <c r="B118" i="4"/>
  <c r="C118" i="4"/>
  <c r="D118" i="4"/>
  <c r="B86" i="4"/>
  <c r="C86" i="4"/>
  <c r="D86" i="4"/>
  <c r="B33" i="4"/>
  <c r="D33" i="4"/>
  <c r="C33" i="4"/>
  <c r="B3" i="4"/>
  <c r="D3" i="4"/>
  <c r="C3" i="4"/>
  <c r="B50" i="4"/>
  <c r="C50" i="4"/>
  <c r="D50" i="4"/>
  <c r="B10" i="4"/>
  <c r="C10" i="4"/>
  <c r="D10" i="4"/>
  <c r="B78" i="4"/>
  <c r="C78" i="4"/>
  <c r="D78" i="4"/>
  <c r="B23" i="4"/>
  <c r="D23" i="4"/>
  <c r="C23" i="4"/>
  <c r="B121" i="4"/>
  <c r="C121" i="4"/>
  <c r="D121" i="4"/>
  <c r="B41" i="4"/>
  <c r="D41" i="4"/>
  <c r="C41" i="4"/>
  <c r="B44" i="4"/>
  <c r="C44" i="4"/>
  <c r="D44" i="4"/>
  <c r="B42" i="4"/>
  <c r="D42" i="4"/>
  <c r="C42" i="4"/>
  <c r="B13" i="4"/>
  <c r="C13" i="4"/>
  <c r="D13" i="4"/>
  <c r="B51" i="4"/>
  <c r="C51" i="4"/>
  <c r="D51" i="4"/>
  <c r="B20" i="4"/>
  <c r="C20" i="4"/>
  <c r="D20" i="4"/>
  <c r="B11" i="4"/>
  <c r="C11" i="4"/>
  <c r="D11" i="4"/>
  <c r="B16" i="4"/>
  <c r="D16" i="4"/>
  <c r="C16" i="4"/>
  <c r="B53" i="4"/>
  <c r="C53" i="4"/>
  <c r="D53" i="4"/>
  <c r="B114" i="4"/>
  <c r="C114" i="4"/>
  <c r="D114" i="4"/>
  <c r="B48" i="4"/>
  <c r="C48" i="4"/>
  <c r="D48" i="4"/>
  <c r="B64" i="4"/>
  <c r="D64" i="4"/>
  <c r="C64" i="4"/>
  <c r="B69" i="4"/>
  <c r="D69" i="4"/>
  <c r="C69" i="4"/>
  <c r="B39" i="4"/>
  <c r="D39" i="4"/>
  <c r="C39" i="4"/>
  <c r="B95" i="4"/>
  <c r="D95" i="4"/>
  <c r="C95" i="4"/>
  <c r="B82" i="4"/>
  <c r="D82" i="4"/>
  <c r="C82" i="4"/>
  <c r="B102" i="4"/>
  <c r="C102" i="4"/>
  <c r="D102" i="4"/>
  <c r="B52" i="4"/>
  <c r="C52" i="4"/>
  <c r="D52" i="4"/>
  <c r="B127" i="4"/>
  <c r="C127" i="4"/>
  <c r="D127" i="4"/>
  <c r="B98" i="4"/>
  <c r="D98" i="4"/>
  <c r="C98" i="4"/>
  <c r="B120" i="4"/>
  <c r="D120" i="4"/>
  <c r="C120" i="4"/>
  <c r="B21" i="4"/>
  <c r="D21" i="4"/>
  <c r="C21" i="4"/>
  <c r="B63" i="4"/>
  <c r="D63" i="4"/>
  <c r="C63" i="4"/>
  <c r="K58" i="4"/>
  <c r="K74" i="4"/>
  <c r="K90" i="4"/>
  <c r="K73" i="4"/>
  <c r="K97" i="4"/>
  <c r="K50" i="4"/>
  <c r="K88" i="4"/>
  <c r="K107" i="4"/>
  <c r="K69" i="4"/>
  <c r="K71" i="4"/>
  <c r="K89" i="4"/>
  <c r="K108" i="4"/>
  <c r="K48" i="4"/>
  <c r="K18" i="4"/>
  <c r="K63" i="4"/>
  <c r="K111" i="4"/>
  <c r="K98" i="4"/>
  <c r="K41" i="4"/>
  <c r="K60" i="4"/>
  <c r="K91" i="4"/>
  <c r="K109" i="4"/>
  <c r="K127" i="4"/>
  <c r="K61" i="4"/>
  <c r="K27" i="4"/>
  <c r="K6" i="4"/>
  <c r="K86" i="4"/>
  <c r="K94" i="4"/>
  <c r="K5" i="4"/>
  <c r="K30" i="4"/>
  <c r="K55" i="4"/>
  <c r="K117" i="4"/>
  <c r="K67" i="4"/>
  <c r="K84" i="4"/>
  <c r="K77" i="4"/>
  <c r="K9" i="4"/>
  <c r="K68" i="4"/>
  <c r="K93" i="4"/>
  <c r="K116" i="4"/>
  <c r="K113" i="4"/>
  <c r="K75" i="4"/>
  <c r="K124" i="4"/>
  <c r="K72" i="4"/>
  <c r="K25" i="4"/>
  <c r="K112" i="4"/>
  <c r="K38" i="4"/>
  <c r="K76" i="4"/>
  <c r="K37" i="4"/>
  <c r="K123" i="4"/>
  <c r="K114" i="4"/>
  <c r="K102" i="4"/>
  <c r="K110" i="4"/>
  <c r="K46" i="4"/>
  <c r="K105" i="4"/>
  <c r="K106" i="4"/>
  <c r="K28" i="4"/>
  <c r="K26" i="4"/>
  <c r="K81" i="4"/>
  <c r="K16" i="4"/>
  <c r="K35" i="4"/>
  <c r="K39" i="4"/>
  <c r="K101" i="4"/>
  <c r="K126" i="4"/>
  <c r="K10" i="4"/>
  <c r="K36" i="4"/>
  <c r="K31" i="4"/>
  <c r="K29" i="4"/>
  <c r="K85" i="4"/>
  <c r="K66" i="4"/>
  <c r="K82" i="4"/>
  <c r="K15" i="4"/>
  <c r="K8" i="4"/>
  <c r="K92" i="4"/>
  <c r="K23" i="4"/>
  <c r="K20" i="4"/>
  <c r="K44" i="4"/>
  <c r="K80" i="4"/>
  <c r="K118" i="4"/>
  <c r="K78" i="4"/>
  <c r="K125" i="4"/>
  <c r="K95" i="4"/>
  <c r="K47" i="4"/>
  <c r="K56" i="4"/>
  <c r="K120" i="4"/>
  <c r="K100" i="4"/>
  <c r="K104" i="4"/>
  <c r="K33" i="4"/>
  <c r="K57" i="4"/>
  <c r="K32" i="4"/>
  <c r="K7" i="4"/>
  <c r="K13" i="4"/>
  <c r="K62" i="4"/>
  <c r="K19" i="4"/>
  <c r="K59" i="4"/>
  <c r="K119" i="4"/>
  <c r="K87" i="4"/>
  <c r="K34" i="4"/>
  <c r="K4" i="4"/>
  <c r="K51" i="4"/>
  <c r="K11" i="4"/>
  <c r="K79" i="4"/>
  <c r="K24" i="4"/>
  <c r="K122" i="4"/>
  <c r="K42" i="4"/>
  <c r="K45" i="4"/>
  <c r="K43" i="4"/>
  <c r="K14" i="4"/>
  <c r="K52" i="4"/>
  <c r="K21" i="4"/>
  <c r="K12" i="4"/>
  <c r="K17" i="4"/>
  <c r="K54" i="4"/>
  <c r="K115" i="4"/>
  <c r="K49" i="4"/>
  <c r="K65" i="4"/>
  <c r="K70" i="4"/>
  <c r="K40" i="4"/>
  <c r="K96" i="4"/>
  <c r="K83" i="4"/>
  <c r="K103" i="4"/>
  <c r="K53" i="4"/>
  <c r="K99" i="4"/>
  <c r="K121" i="4"/>
  <c r="K22" i="4"/>
  <c r="K64" i="4"/>
  <c r="F63" i="4" l="1"/>
  <c r="H63" i="4"/>
  <c r="G63" i="4"/>
  <c r="E63" i="4"/>
  <c r="E21" i="4"/>
  <c r="H21" i="4"/>
  <c r="F21" i="4"/>
  <c r="G21" i="4"/>
  <c r="G120" i="4"/>
  <c r="F120" i="4"/>
  <c r="E120" i="4"/>
  <c r="H120" i="4"/>
  <c r="E98" i="4"/>
  <c r="H98" i="4"/>
  <c r="G98" i="4"/>
  <c r="F98" i="4"/>
  <c r="F127" i="4"/>
  <c r="G127" i="4"/>
  <c r="H127" i="4"/>
  <c r="E127" i="4"/>
  <c r="G52" i="4"/>
  <c r="H52" i="4"/>
  <c r="E52" i="4"/>
  <c r="F52" i="4"/>
  <c r="E102" i="4"/>
  <c r="F102" i="4"/>
  <c r="H102" i="4"/>
  <c r="G102" i="4"/>
  <c r="E82" i="4"/>
  <c r="G82" i="4"/>
  <c r="H82" i="4"/>
  <c r="F82" i="4"/>
  <c r="F95" i="4"/>
  <c r="E95" i="4"/>
  <c r="G95" i="4"/>
  <c r="H95" i="4"/>
  <c r="G39" i="4"/>
  <c r="H39" i="4"/>
  <c r="F39" i="4"/>
  <c r="E39" i="4"/>
  <c r="H69" i="4"/>
  <c r="G69" i="4"/>
  <c r="E69" i="4"/>
  <c r="F69" i="4"/>
  <c r="E64" i="4"/>
  <c r="F64" i="4"/>
  <c r="G64" i="4"/>
  <c r="H64" i="4"/>
  <c r="E48" i="4"/>
  <c r="G48" i="4"/>
  <c r="F48" i="4"/>
  <c r="H48" i="4"/>
  <c r="F114" i="4"/>
  <c r="G114" i="4"/>
  <c r="H114" i="4"/>
  <c r="E114" i="4"/>
  <c r="E53" i="4"/>
  <c r="F53" i="4"/>
  <c r="H53" i="4"/>
  <c r="G53" i="4"/>
  <c r="G16" i="4"/>
  <c r="H16" i="4"/>
  <c r="E16" i="4"/>
  <c r="F16" i="4"/>
  <c r="E11" i="4"/>
  <c r="H11" i="4"/>
  <c r="F11" i="4"/>
  <c r="G11" i="4"/>
  <c r="H20" i="4"/>
  <c r="G20" i="4"/>
  <c r="E20" i="4"/>
  <c r="F20" i="4"/>
  <c r="F51" i="4"/>
  <c r="G51" i="4"/>
  <c r="H51" i="4"/>
  <c r="E51" i="4"/>
  <c r="F13" i="4"/>
  <c r="H13" i="4"/>
  <c r="E13" i="4"/>
  <c r="G13" i="4"/>
  <c r="F42" i="4"/>
  <c r="G42" i="4"/>
  <c r="H42" i="4"/>
  <c r="E42" i="4"/>
  <c r="H44" i="4"/>
  <c r="E44" i="4"/>
  <c r="F44" i="4"/>
  <c r="G44" i="4"/>
  <c r="H41" i="4"/>
  <c r="E41" i="4"/>
  <c r="F41" i="4"/>
  <c r="G41" i="4"/>
  <c r="E121" i="4"/>
  <c r="G121" i="4"/>
  <c r="H121" i="4"/>
  <c r="F121" i="4"/>
  <c r="G23" i="4"/>
  <c r="H23" i="4"/>
  <c r="E23" i="4"/>
  <c r="F23" i="4"/>
  <c r="E78" i="4"/>
  <c r="H78" i="4"/>
  <c r="G78" i="4"/>
  <c r="F78" i="4"/>
  <c r="F10" i="4"/>
  <c r="G10" i="4"/>
  <c r="E10" i="4"/>
  <c r="H10" i="4"/>
  <c r="H50" i="4"/>
  <c r="E50" i="4"/>
  <c r="F50" i="4"/>
  <c r="G50" i="4"/>
  <c r="F3" i="4"/>
  <c r="E3" i="4"/>
  <c r="H3" i="4"/>
  <c r="G3" i="4"/>
  <c r="H33" i="4"/>
  <c r="E33" i="4"/>
  <c r="F33" i="4"/>
  <c r="G33" i="4"/>
  <c r="F86" i="4"/>
  <c r="G86" i="4"/>
  <c r="E86" i="4"/>
  <c r="H86" i="4"/>
  <c r="E118" i="4"/>
  <c r="G118" i="4"/>
  <c r="F118" i="4"/>
  <c r="H118" i="4"/>
  <c r="H58" i="4"/>
  <c r="G58" i="4"/>
  <c r="E58" i="4"/>
  <c r="F58" i="4"/>
  <c r="F18" i="4"/>
  <c r="G18" i="4"/>
  <c r="E18" i="4"/>
  <c r="H18" i="4"/>
  <c r="F61" i="4"/>
  <c r="G61" i="4"/>
  <c r="E61" i="4"/>
  <c r="H61" i="4"/>
  <c r="F12" i="4"/>
  <c r="H12" i="4"/>
  <c r="G12" i="4"/>
  <c r="E12" i="4"/>
  <c r="H6" i="4"/>
  <c r="E6" i="4"/>
  <c r="F6" i="4"/>
  <c r="G6" i="4"/>
  <c r="F31" i="4"/>
  <c r="E31" i="4"/>
  <c r="H31" i="4"/>
  <c r="G31" i="4"/>
  <c r="E56" i="4"/>
  <c r="F56" i="4"/>
  <c r="H56" i="4"/>
  <c r="G56" i="4"/>
  <c r="G32" i="4"/>
  <c r="F32" i="4"/>
  <c r="H32" i="4"/>
  <c r="E32" i="4"/>
  <c r="F103" i="4"/>
  <c r="G103" i="4"/>
  <c r="H103" i="4"/>
  <c r="E103" i="4"/>
  <c r="F99" i="4"/>
  <c r="H99" i="4"/>
  <c r="E99" i="4"/>
  <c r="G99" i="4"/>
  <c r="F119" i="4"/>
  <c r="G119" i="4"/>
  <c r="E119" i="4"/>
  <c r="H119" i="4"/>
  <c r="H55" i="4"/>
  <c r="G55" i="4"/>
  <c r="E55" i="4"/>
  <c r="F55" i="4"/>
  <c r="G46" i="4"/>
  <c r="H46" i="4"/>
  <c r="E46" i="4"/>
  <c r="F46" i="4"/>
  <c r="E94" i="4"/>
  <c r="G94" i="4"/>
  <c r="H94" i="4"/>
  <c r="F94" i="4"/>
  <c r="H124" i="4"/>
  <c r="E124" i="4"/>
  <c r="F124" i="4"/>
  <c r="G124" i="4"/>
  <c r="H77" i="4"/>
  <c r="E77" i="4"/>
  <c r="G77" i="4"/>
  <c r="F77" i="4"/>
  <c r="G117" i="4"/>
  <c r="F117" i="4"/>
  <c r="H117" i="4"/>
  <c r="E117" i="4"/>
  <c r="E79" i="4"/>
  <c r="G79" i="4"/>
  <c r="F79" i="4"/>
  <c r="H79" i="4"/>
  <c r="E43" i="4"/>
  <c r="F43" i="4"/>
  <c r="G43" i="4"/>
  <c r="H43" i="4"/>
  <c r="H19" i="4"/>
  <c r="F19" i="4"/>
  <c r="E19" i="4"/>
  <c r="G19" i="4"/>
  <c r="E22" i="4"/>
  <c r="F22" i="4"/>
  <c r="G22" i="4"/>
  <c r="H22" i="4"/>
  <c r="E91" i="4"/>
  <c r="H91" i="4"/>
  <c r="F91" i="4"/>
  <c r="G91" i="4"/>
  <c r="H7" i="4"/>
  <c r="G7" i="4"/>
  <c r="E7" i="4"/>
  <c r="F7" i="4"/>
  <c r="H14" i="4"/>
  <c r="F14" i="4"/>
  <c r="E14" i="4"/>
  <c r="G14" i="4"/>
  <c r="H81" i="4"/>
  <c r="E81" i="4"/>
  <c r="G81" i="4"/>
  <c r="F81" i="4"/>
  <c r="H65" i="4"/>
  <c r="G65" i="4"/>
  <c r="E65" i="4"/>
  <c r="F65" i="4"/>
  <c r="H84" i="4"/>
  <c r="E84" i="4"/>
  <c r="G84" i="4"/>
  <c r="F84" i="4"/>
  <c r="F28" i="4"/>
  <c r="E28" i="4"/>
  <c r="G28" i="4"/>
  <c r="H28" i="4"/>
  <c r="H30" i="4"/>
  <c r="G30" i="4"/>
  <c r="E30" i="4"/>
  <c r="F30" i="4"/>
  <c r="E35" i="4"/>
  <c r="G35" i="4"/>
  <c r="F35" i="4"/>
  <c r="H35" i="4"/>
  <c r="F9" i="4"/>
  <c r="H9" i="4"/>
  <c r="E9" i="4"/>
  <c r="G9" i="4"/>
  <c r="E125" i="4"/>
  <c r="G125" i="4"/>
  <c r="F125" i="4"/>
  <c r="H125" i="4"/>
  <c r="E100" i="4"/>
  <c r="H100" i="4"/>
  <c r="G100" i="4"/>
  <c r="F100" i="4"/>
  <c r="E38" i="4"/>
  <c r="G38" i="4"/>
  <c r="H38" i="4"/>
  <c r="F38" i="4"/>
  <c r="H34" i="4"/>
  <c r="E34" i="4"/>
  <c r="F34" i="4"/>
  <c r="G34" i="4"/>
  <c r="H15" i="4"/>
  <c r="F15" i="4"/>
  <c r="E15" i="4"/>
  <c r="G15" i="4"/>
  <c r="H80" i="4"/>
  <c r="F80" i="4"/>
  <c r="E80" i="4"/>
  <c r="G80" i="4"/>
  <c r="F25" i="4"/>
  <c r="H25" i="4"/>
  <c r="E25" i="4"/>
  <c r="G25" i="4"/>
  <c r="F27" i="4"/>
  <c r="H27" i="4"/>
  <c r="E27" i="4"/>
  <c r="G27" i="4"/>
  <c r="H105" i="4"/>
  <c r="G105" i="4"/>
  <c r="E105" i="4"/>
  <c r="F105" i="4"/>
  <c r="E104" i="4"/>
  <c r="F104" i="4"/>
  <c r="G104" i="4"/>
  <c r="H104" i="4"/>
  <c r="F45" i="4"/>
  <c r="G45" i="4"/>
  <c r="H45" i="4"/>
  <c r="E45" i="4"/>
  <c r="G109" i="4"/>
  <c r="F109" i="4"/>
  <c r="H109" i="4"/>
  <c r="E109" i="4"/>
  <c r="H101" i="4"/>
  <c r="E101" i="4"/>
  <c r="G101" i="4"/>
  <c r="F101" i="4"/>
  <c r="H113" i="4"/>
  <c r="E113" i="4"/>
  <c r="F113" i="4"/>
  <c r="G113" i="4"/>
  <c r="H122" i="4"/>
  <c r="F122" i="4"/>
  <c r="E122" i="4"/>
  <c r="G122" i="4"/>
  <c r="H36" i="4"/>
  <c r="E36" i="4"/>
  <c r="F36" i="4"/>
  <c r="G36" i="4"/>
  <c r="H75" i="4"/>
  <c r="G75" i="4"/>
  <c r="F75" i="4"/>
  <c r="E75" i="4"/>
  <c r="H37" i="4"/>
  <c r="G37" i="4"/>
  <c r="F37" i="4"/>
  <c r="E37" i="4"/>
  <c r="F111" i="4"/>
  <c r="E111" i="4"/>
  <c r="G111" i="4"/>
  <c r="H111" i="4"/>
  <c r="E24" i="4"/>
  <c r="F24" i="4"/>
  <c r="G24" i="4"/>
  <c r="H24" i="4"/>
  <c r="F71" i="4"/>
  <c r="E71" i="4"/>
  <c r="G71" i="4"/>
  <c r="H71" i="4"/>
  <c r="E123" i="4"/>
  <c r="H123" i="4"/>
  <c r="G123" i="4"/>
  <c r="F123" i="4"/>
  <c r="F74" i="4"/>
  <c r="G74" i="4"/>
  <c r="H74" i="4"/>
  <c r="E74" i="4"/>
  <c r="H112" i="4"/>
  <c r="G112" i="4"/>
  <c r="F112" i="4"/>
  <c r="E112" i="4"/>
  <c r="E115" i="4"/>
  <c r="F115" i="4"/>
  <c r="G115" i="4"/>
  <c r="H115" i="4"/>
  <c r="H92" i="4"/>
  <c r="E92" i="4"/>
  <c r="F92" i="4"/>
  <c r="G92" i="4"/>
  <c r="H67" i="4"/>
  <c r="E67" i="4"/>
  <c r="F67" i="4"/>
  <c r="G67" i="4"/>
  <c r="G8" i="4"/>
  <c r="E8" i="4"/>
  <c r="H8" i="4"/>
  <c r="F8" i="4"/>
  <c r="G76" i="4"/>
  <c r="F76" i="4"/>
  <c r="E76" i="4"/>
  <c r="H76" i="4"/>
  <c r="G83" i="4"/>
  <c r="H83" i="4"/>
  <c r="F83" i="4"/>
  <c r="E83" i="4"/>
  <c r="H66" i="4"/>
  <c r="E66" i="4"/>
  <c r="F66" i="4"/>
  <c r="G66" i="4"/>
  <c r="F116" i="4"/>
  <c r="G116" i="4"/>
  <c r="H116" i="4"/>
  <c r="E116" i="4"/>
  <c r="G54" i="4"/>
  <c r="F54" i="4"/>
  <c r="H54" i="4"/>
  <c r="E54" i="4"/>
  <c r="H29" i="4"/>
  <c r="F29" i="4"/>
  <c r="G29" i="4"/>
  <c r="E29" i="4"/>
  <c r="H4" i="4"/>
  <c r="F4" i="4"/>
  <c r="E4" i="4"/>
  <c r="G4" i="4"/>
  <c r="F93" i="4"/>
  <c r="E93" i="4"/>
  <c r="H93" i="4"/>
  <c r="G93" i="4"/>
  <c r="H85" i="4"/>
  <c r="E85" i="4"/>
  <c r="G85" i="4"/>
  <c r="F85" i="4"/>
  <c r="H5" i="4"/>
  <c r="E5" i="4"/>
  <c r="G5" i="4"/>
  <c r="F5" i="4"/>
  <c r="H26" i="4"/>
  <c r="G26" i="4"/>
  <c r="E26" i="4"/>
  <c r="F26" i="4"/>
  <c r="G60" i="4"/>
  <c r="E60" i="4"/>
  <c r="H60" i="4"/>
  <c r="F60" i="4"/>
  <c r="E126" i="4"/>
  <c r="F126" i="4"/>
  <c r="H126" i="4"/>
  <c r="G126" i="4"/>
  <c r="F108" i="4"/>
  <c r="G108" i="4"/>
  <c r="H108" i="4"/>
  <c r="E108" i="4"/>
  <c r="G90" i="4"/>
  <c r="H90" i="4"/>
  <c r="E90" i="4"/>
  <c r="F90" i="4"/>
  <c r="E59" i="4"/>
  <c r="H59" i="4"/>
  <c r="G59" i="4"/>
  <c r="F59" i="4"/>
  <c r="E40" i="4"/>
  <c r="H40" i="4"/>
  <c r="F40" i="4"/>
  <c r="G40" i="4"/>
  <c r="H97" i="4"/>
  <c r="F97" i="4"/>
  <c r="E97" i="4"/>
  <c r="G97" i="4"/>
  <c r="G110" i="4"/>
  <c r="F110" i="4"/>
  <c r="H110" i="4"/>
  <c r="E110" i="4"/>
  <c r="F62" i="4"/>
  <c r="H62" i="4"/>
  <c r="E62" i="4"/>
  <c r="G62" i="4"/>
  <c r="E17" i="4"/>
  <c r="G17" i="4"/>
  <c r="H17" i="4"/>
  <c r="F17" i="4"/>
  <c r="E47" i="4"/>
  <c r="G47" i="4"/>
  <c r="F47" i="4"/>
  <c r="H47" i="4"/>
  <c r="E107" i="4"/>
  <c r="F107" i="4"/>
  <c r="G107" i="4"/>
  <c r="H107" i="4"/>
  <c r="E88" i="4"/>
  <c r="H88" i="4"/>
  <c r="F88" i="4"/>
  <c r="G88" i="4"/>
  <c r="G70" i="4"/>
  <c r="E70" i="4"/>
  <c r="F70" i="4"/>
  <c r="H70" i="4"/>
  <c r="G68" i="4"/>
  <c r="H68" i="4"/>
  <c r="F68" i="4"/>
  <c r="E68" i="4"/>
  <c r="H106" i="4"/>
  <c r="E106" i="4"/>
  <c r="G106" i="4"/>
  <c r="F106" i="4"/>
  <c r="F87" i="4"/>
  <c r="E87" i="4"/>
  <c r="G87" i="4"/>
  <c r="H87" i="4"/>
  <c r="G49" i="4"/>
  <c r="H49" i="4"/>
  <c r="E49" i="4"/>
  <c r="F49" i="4"/>
  <c r="E96" i="4"/>
  <c r="G96" i="4"/>
  <c r="H96" i="4"/>
  <c r="F96" i="4"/>
  <c r="F72" i="4"/>
  <c r="H72" i="4"/>
  <c r="G72" i="4"/>
  <c r="E72" i="4"/>
  <c r="H89" i="4"/>
  <c r="G89" i="4"/>
  <c r="E89" i="4"/>
  <c r="F89" i="4"/>
  <c r="E73" i="4"/>
  <c r="F73" i="4"/>
  <c r="G73" i="4"/>
  <c r="H73" i="4"/>
  <c r="G57" i="4"/>
  <c r="F57" i="4"/>
  <c r="E57" i="4"/>
  <c r="H57" i="4"/>
  <c r="C25" i="3" l="1"/>
  <c r="D13" i="3"/>
  <c r="C24" i="3"/>
  <c r="D2" i="4"/>
  <c r="K3" i="4"/>
  <c r="D14" i="3"/>
  <c r="I2" i="4" a="1"/>
  <c r="I101" i="4"/>
  <c r="I51" i="4"/>
  <c r="I93" i="4"/>
  <c r="I55" i="4"/>
  <c r="I10" i="4"/>
  <c r="I7" i="4"/>
  <c r="I26" i="4"/>
  <c r="I5" i="4"/>
  <c r="I50" i="4"/>
  <c r="I72" i="4"/>
  <c r="I34" i="4"/>
  <c r="I119" i="4"/>
  <c r="I27" i="4"/>
  <c r="I89" i="4"/>
  <c r="I13" i="4"/>
  <c r="I107" i="4"/>
  <c r="I118" i="4"/>
  <c r="I115" i="4"/>
  <c r="I125" i="4"/>
  <c r="I30" i="4"/>
  <c r="I77" i="4"/>
  <c r="I103" i="4"/>
  <c r="I21" i="4"/>
  <c r="I80" i="4"/>
  <c r="I105" i="4"/>
  <c r="I74" i="4"/>
  <c r="I40" i="4"/>
  <c r="I124" i="4"/>
  <c r="I69" i="4"/>
  <c r="I2" i="4"/>
  <c r="I28" i="4"/>
  <c r="I53" i="4"/>
  <c r="I33" i="4"/>
  <c r="I60" i="4"/>
  <c r="I78" i="4"/>
  <c r="I81" i="4"/>
  <c r="I86" i="4"/>
  <c r="I98" i="4"/>
  <c r="I63" i="4"/>
  <c r="I54" i="4"/>
  <c r="I17" i="4"/>
  <c r="I39" i="4"/>
  <c r="I18" i="4"/>
  <c r="I56" i="4"/>
  <c r="I126" i="4"/>
  <c r="I36" i="4"/>
  <c r="I35" i="4"/>
  <c r="I45" i="4"/>
  <c r="I88" i="4"/>
  <c r="I79" i="4"/>
  <c r="I109" i="4"/>
  <c r="I85" i="4"/>
  <c r="I90" i="4"/>
  <c r="I73" i="4"/>
  <c r="I44" i="4"/>
  <c r="I121" i="4"/>
  <c r="I15" i="4"/>
  <c r="I91" i="4"/>
  <c r="I100" i="4"/>
  <c r="I108" i="4"/>
  <c r="I9" i="4"/>
  <c r="I99" i="4"/>
  <c r="I70" i="4"/>
  <c r="I114" i="4"/>
  <c r="I67" i="4"/>
  <c r="I76" i="4"/>
  <c r="I19" i="4"/>
  <c r="I117" i="4"/>
  <c r="I102" i="4"/>
  <c r="I61" i="4"/>
  <c r="I4" i="4"/>
  <c r="I49" i="4"/>
  <c r="I87" i="4"/>
  <c r="I8" i="4"/>
  <c r="I23" i="4"/>
  <c r="I14" i="4"/>
  <c r="I83" i="4"/>
  <c r="I113" i="4"/>
  <c r="I94" i="4"/>
  <c r="I20" i="4"/>
  <c r="I12" i="4"/>
  <c r="I47" i="4"/>
  <c r="I71" i="4"/>
  <c r="I106" i="4"/>
  <c r="I64" i="4"/>
  <c r="I84" i="4"/>
  <c r="I66" i="4"/>
  <c r="I120" i="4"/>
  <c r="I38" i="4"/>
  <c r="I42" i="4"/>
  <c r="I104" i="4"/>
  <c r="I32" i="4"/>
  <c r="I62" i="4"/>
  <c r="I24" i="4"/>
  <c r="I16" i="4"/>
  <c r="I116" i="4"/>
  <c r="I11" i="4"/>
  <c r="I37" i="4"/>
  <c r="I75" i="4"/>
  <c r="I112" i="4"/>
  <c r="I6" i="4"/>
  <c r="I25" i="4"/>
  <c r="I97" i="4"/>
  <c r="I65" i="4"/>
  <c r="I46" i="4"/>
  <c r="I123" i="4"/>
  <c r="I96" i="4"/>
  <c r="I82" i="4"/>
  <c r="I111" i="4"/>
  <c r="I31" i="4"/>
  <c r="I48" i="4"/>
  <c r="I68" i="4"/>
  <c r="I59" i="4"/>
  <c r="I52" i="4"/>
  <c r="I92" i="4"/>
  <c r="I57" i="4"/>
  <c r="I95" i="4"/>
  <c r="I22" i="4"/>
  <c r="I127" i="4"/>
  <c r="I41" i="4"/>
  <c r="I58" i="4"/>
  <c r="I110" i="4"/>
  <c r="I3" i="4"/>
  <c r="I122" i="4"/>
  <c r="I29" i="4"/>
  <c r="I43" i="4"/>
  <c r="D25" i="3"/>
  <c r="J1" i="4"/>
  <c r="J87" i="4"/>
  <c r="L87" i="4"/>
  <c r="J59" i="4"/>
  <c r="L59" i="4"/>
  <c r="J84" i="4"/>
  <c r="L84" i="4"/>
  <c r="J76" i="4"/>
  <c r="L76" i="4"/>
  <c r="J25" i="4"/>
  <c r="L25" i="4"/>
  <c r="J101" i="4"/>
  <c r="L101" i="4"/>
  <c r="J5" i="4"/>
  <c r="L5" i="4"/>
  <c r="J6" i="4"/>
  <c r="L6" i="4"/>
  <c r="J115" i="4"/>
  <c r="L115" i="4"/>
  <c r="J29" i="4"/>
  <c r="L29" i="4"/>
  <c r="J103" i="4"/>
  <c r="L103" i="4"/>
  <c r="J98" i="4"/>
  <c r="L98" i="4"/>
  <c r="J21" i="4"/>
  <c r="L21" i="4"/>
  <c r="J26" i="4"/>
  <c r="L26" i="4"/>
  <c r="J94" i="4"/>
  <c r="L94" i="4"/>
  <c r="J48" i="4"/>
  <c r="L48" i="4"/>
  <c r="J110" i="4"/>
  <c r="L110" i="4"/>
  <c r="J9" i="4"/>
  <c r="L9" i="4"/>
  <c r="J42" i="4"/>
  <c r="L42" i="4"/>
  <c r="J113" i="4"/>
  <c r="L113" i="4"/>
  <c r="J95" i="4"/>
  <c r="L95" i="4"/>
  <c r="J19" i="4"/>
  <c r="L19" i="4"/>
  <c r="J72" i="4"/>
  <c r="L72" i="4"/>
  <c r="J7" i="4"/>
  <c r="L7" i="4"/>
  <c r="J69" i="4"/>
  <c r="L69" i="4"/>
  <c r="J78" i="4"/>
  <c r="L78" i="4"/>
  <c r="J121" i="4"/>
  <c r="L121" i="4"/>
  <c r="J83" i="4"/>
  <c r="L83" i="4"/>
  <c r="J104" i="4"/>
  <c r="L104" i="4"/>
  <c r="J96" i="4"/>
  <c r="L96" i="4"/>
  <c r="J105" i="4"/>
  <c r="L105" i="4"/>
  <c r="J65" i="4"/>
  <c r="L65" i="4"/>
  <c r="J56" i="4"/>
  <c r="L56" i="4"/>
  <c r="J23" i="4"/>
  <c r="L23" i="4"/>
  <c r="J66" i="4"/>
  <c r="L66" i="4"/>
  <c r="J74" i="4"/>
  <c r="L74" i="4"/>
  <c r="J85" i="4"/>
  <c r="L85" i="4"/>
  <c r="J116" i="4"/>
  <c r="L116" i="4"/>
  <c r="J3" i="4"/>
  <c r="L3" i="4"/>
  <c r="J77" i="4"/>
  <c r="L77" i="4"/>
  <c r="J43" i="4"/>
  <c r="L43" i="4"/>
  <c r="J86" i="4"/>
  <c r="L86" i="4"/>
  <c r="J57" i="4"/>
  <c r="L57" i="4"/>
  <c r="J46" i="4"/>
  <c r="L46" i="4"/>
  <c r="J119" i="4"/>
  <c r="L119" i="4"/>
  <c r="J17" i="4"/>
  <c r="L17" i="4"/>
  <c r="J37" i="4"/>
  <c r="L37" i="4"/>
  <c r="J51" i="4"/>
  <c r="L51" i="4"/>
  <c r="J120" i="4"/>
  <c r="L120" i="4"/>
  <c r="J47" i="4"/>
  <c r="L47" i="4"/>
  <c r="J45" i="4"/>
  <c r="L45" i="4"/>
  <c r="J80" i="4"/>
  <c r="L80" i="4"/>
  <c r="J53" i="4"/>
  <c r="L53" i="4"/>
  <c r="J89" i="4"/>
  <c r="L89" i="4"/>
  <c r="J12" i="4"/>
  <c r="L12" i="4"/>
  <c r="J106" i="4"/>
  <c r="L106" i="4"/>
  <c r="J75" i="4"/>
  <c r="L75" i="4"/>
  <c r="J27" i="4"/>
  <c r="L27" i="4"/>
  <c r="J20" i="4"/>
  <c r="L20" i="4"/>
  <c r="J38" i="4"/>
  <c r="L38" i="4"/>
  <c r="J124" i="4"/>
  <c r="L124" i="4"/>
  <c r="J15" i="4"/>
  <c r="L15" i="4"/>
  <c r="D24" i="3"/>
  <c r="J88" i="4"/>
  <c r="L88" i="4"/>
  <c r="J24" i="4"/>
  <c r="L24" i="4"/>
  <c r="J50" i="4"/>
  <c r="L50" i="4"/>
  <c r="J91" i="4"/>
  <c r="L91" i="4"/>
  <c r="J13" i="4"/>
  <c r="L13" i="4"/>
  <c r="J18" i="4"/>
  <c r="L18" i="4"/>
  <c r="J68" i="4"/>
  <c r="L68" i="4"/>
  <c r="J111" i="4"/>
  <c r="L111" i="4"/>
  <c r="J39" i="4"/>
  <c r="L39" i="4"/>
  <c r="J109" i="4"/>
  <c r="L109" i="4"/>
  <c r="J117" i="4"/>
  <c r="L117" i="4"/>
  <c r="J41" i="4"/>
  <c r="L41" i="4"/>
  <c r="J126" i="4"/>
  <c r="L126" i="4"/>
  <c r="J112" i="4"/>
  <c r="L112" i="4"/>
  <c r="J61" i="4"/>
  <c r="L61" i="4"/>
  <c r="J125" i="4"/>
  <c r="L125" i="4"/>
  <c r="J54" i="4"/>
  <c r="L54" i="4"/>
  <c r="J81" i="4"/>
  <c r="L81" i="4"/>
  <c r="J114" i="4"/>
  <c r="L114" i="4"/>
  <c r="J64" i="4"/>
  <c r="L64" i="4"/>
  <c r="J32" i="4"/>
  <c r="L32" i="4"/>
  <c r="J4" i="4"/>
  <c r="L4" i="4"/>
  <c r="J31" i="4"/>
  <c r="L31" i="4"/>
  <c r="J118" i="4"/>
  <c r="L118" i="4"/>
  <c r="J97" i="4"/>
  <c r="L97" i="4"/>
  <c r="J30" i="4"/>
  <c r="L30" i="4"/>
  <c r="J123" i="4"/>
  <c r="L123" i="4"/>
  <c r="J99" i="4"/>
  <c r="L99" i="4"/>
  <c r="J11" i="4"/>
  <c r="L11" i="4"/>
  <c r="J92" i="4"/>
  <c r="L92" i="4"/>
  <c r="J82" i="4"/>
  <c r="L82" i="4"/>
  <c r="J52" i="4"/>
  <c r="L52" i="4"/>
  <c r="J8" i="4"/>
  <c r="L8" i="4"/>
  <c r="J10" i="4"/>
  <c r="L10" i="4"/>
  <c r="J14" i="4"/>
  <c r="L14" i="4"/>
  <c r="J16" i="4"/>
  <c r="L16" i="4"/>
  <c r="J22" i="4"/>
  <c r="L22" i="4"/>
  <c r="J28" i="4"/>
  <c r="L28" i="4"/>
  <c r="J33" i="4"/>
  <c r="L33" i="4"/>
  <c r="J34" i="4"/>
  <c r="L34" i="4"/>
  <c r="J35" i="4"/>
  <c r="L35" i="4"/>
  <c r="J36" i="4"/>
  <c r="L36" i="4"/>
  <c r="J40" i="4"/>
  <c r="L40" i="4"/>
  <c r="J44" i="4"/>
  <c r="L44" i="4"/>
  <c r="J49" i="4"/>
  <c r="L49" i="4"/>
  <c r="J55" i="4"/>
  <c r="L55" i="4"/>
  <c r="J58" i="4"/>
  <c r="L58" i="4"/>
  <c r="J60" i="4"/>
  <c r="L60" i="4"/>
  <c r="J62" i="4"/>
  <c r="L62" i="4"/>
  <c r="J63" i="4"/>
  <c r="L63" i="4"/>
  <c r="J67" i="4"/>
  <c r="L67" i="4"/>
  <c r="J70" i="4"/>
  <c r="L70" i="4"/>
  <c r="J71" i="4"/>
  <c r="L71" i="4"/>
  <c r="J73" i="4"/>
  <c r="L73" i="4"/>
  <c r="J79" i="4"/>
  <c r="L79" i="4"/>
  <c r="J90" i="4"/>
  <c r="L90" i="4"/>
  <c r="J93" i="4"/>
  <c r="L93" i="4"/>
  <c r="J100" i="4"/>
  <c r="L100" i="4"/>
  <c r="J102" i="4"/>
  <c r="L102" i="4"/>
  <c r="J107" i="4"/>
  <c r="L107" i="4"/>
  <c r="J108" i="4"/>
  <c r="L108" i="4"/>
  <c r="J122" i="4"/>
  <c r="L122" i="4"/>
  <c r="J127" i="4"/>
  <c r="L127" i="4"/>
  <c r="P4" i="4"/>
  <c r="C6" i="6"/>
  <c r="H6" i="6"/>
  <c r="I6" i="6"/>
  <c r="Q4" i="4"/>
  <c r="P3" i="4"/>
  <c r="C5" i="6"/>
  <c r="H5" i="6"/>
  <c r="I5" i="6"/>
  <c r="I3" i="6"/>
  <c r="D7" i="3"/>
  <c r="Q3" i="4"/>
</calcChain>
</file>

<file path=xl/comments1.xml><?xml version="1.0" encoding="utf-8"?>
<comments xmlns="http://schemas.openxmlformats.org/spreadsheetml/2006/main">
  <authors>
    <author>Ferdinando Ametrano</author>
  </authors>
  <commentList>
    <comment ref="D15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1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0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I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sharedStrings.xml><?xml version="1.0" encoding="utf-8"?>
<sst xmlns="http://schemas.openxmlformats.org/spreadsheetml/2006/main" count="108" uniqueCount="79">
  <si>
    <t>Earliest Date</t>
  </si>
  <si>
    <t>Latest Date</t>
  </si>
  <si>
    <t>Include Flag</t>
  </si>
  <si>
    <t>Priority</t>
  </si>
  <si>
    <t>Calendar</t>
  </si>
  <si>
    <t>Currency</t>
  </si>
  <si>
    <t>SND</t>
  </si>
  <si>
    <t>General Settings</t>
  </si>
  <si>
    <t>Day Counter</t>
  </si>
  <si>
    <t>NDays</t>
  </si>
  <si>
    <t>TraitsID</t>
  </si>
  <si>
    <t>InterpolatorID</t>
  </si>
  <si>
    <t>PiecewiseYieldCurve</t>
  </si>
  <si>
    <t>Error</t>
  </si>
  <si>
    <t>Quote Value</t>
  </si>
  <si>
    <t>Accuracy</t>
  </si>
  <si>
    <t>1Y</t>
  </si>
  <si>
    <t>15M</t>
  </si>
  <si>
    <t>18M</t>
  </si>
  <si>
    <t>21M</t>
  </si>
  <si>
    <t>2Y</t>
  </si>
  <si>
    <t>IborType</t>
  </si>
  <si>
    <t>Min Distance</t>
  </si>
  <si>
    <t>Rate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</si>
  <si>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</si>
  <si>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</si>
  <si>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</si>
  <si>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</si>
  <si>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</si>
  <si>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</si>
  <si>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</si>
  <si>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</si>
  <si>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</si>
  <si>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</si>
  <si>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</si>
  <si>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</si>
  <si>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</si>
  <si>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SW</t>
  </si>
  <si>
    <t>OIS</t>
  </si>
  <si>
    <t>ForwardRate</t>
  </si>
  <si>
    <t>BackwardFlat</t>
  </si>
  <si>
    <t>TOY</t>
  </si>
  <si>
    <t>TOY1</t>
  </si>
  <si>
    <t>TOY2</t>
  </si>
  <si>
    <t>SettlementDate</t>
  </si>
  <si>
    <t>LastDayInYear</t>
  </si>
  <si>
    <t>LastDayInNextYear</t>
  </si>
  <si>
    <t>Use</t>
  </si>
  <si>
    <t>Selected</t>
  </si>
  <si>
    <t>Mid date</t>
  </si>
  <si>
    <t>Time</t>
  </si>
  <si>
    <t>FwdInterpolation</t>
  </si>
  <si>
    <t>Quote suffix</t>
  </si>
  <si>
    <t>Live</t>
  </si>
  <si>
    <t>Static</t>
  </si>
  <si>
    <t>Object ID</t>
  </si>
  <si>
    <t>Effective</t>
  </si>
  <si>
    <t>Change</t>
  </si>
  <si>
    <t>LiveDataFeed</t>
  </si>
  <si>
    <t>LastUpdate</t>
  </si>
  <si>
    <t>Quote</t>
  </si>
  <si>
    <t>RateHelper</t>
  </si>
  <si>
    <t>Code</t>
  </si>
  <si>
    <t>Evaluation Date</t>
  </si>
  <si>
    <t>Interest Rates Trigger</t>
  </si>
  <si>
    <t>TriggerCounter</t>
  </si>
  <si>
    <t>_SYNTHON_Quote</t>
  </si>
  <si>
    <t>OvenightIndex</t>
  </si>
  <si>
    <t>External Link Cleaned Up</t>
  </si>
  <si>
    <t>cont. fwd rate</t>
  </si>
  <si>
    <t>spike</t>
  </si>
  <si>
    <t>Linear</t>
  </si>
  <si>
    <t>O/W TOY</t>
  </si>
  <si>
    <t>Effective TOY</t>
  </si>
  <si>
    <t>GBP</t>
  </si>
  <si>
    <t>Sonia</t>
  </si>
  <si>
    <t>MPC</t>
  </si>
  <si>
    <t>UnitedKingdom::Exchange</t>
  </si>
  <si>
    <t>Actual/365 (Fixed)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</si>
</sst>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2" formatCode="&quot;£&quot;#,##0;[Red]\-&quot;£&quot;#,##0"/>
    <numFmt numFmtId="173" formatCode="0.0000"/>
    <numFmt numFmtId="174" formatCode="0.0000%"/>
    <numFmt numFmtId="175" formatCode="ddd\,\ d\-mmm\-yy"/>
    <numFmt numFmtId="176" formatCode="ddd\,\ dd\-mmm\-yyyy"/>
    <numFmt numFmtId="177" formatCode="0.000000000"/>
    <numFmt numFmtId="178" formatCode="0.00000%"/>
    <numFmt numFmtId="179" formatCode="ddd\,\ dd\-mmm\-yyyy\,\ hh:mm:ss"/>
    <numFmt numFmtId="180" formatCode="ddd\,\ d\-mmm\-yyyy"/>
    <numFmt numFmtId="181" formatCode="ddd\,\ dd\-mmm\-yyyy\ h:mm:ss"/>
    <numFmt numFmtId="182" formatCode="ddd\,\ dd\-mmm\-yyyy\,\ h:mm:ss"/>
    <numFmt numFmtId="183" formatCode="#,##0.0;#,##0.0"/>
    <numFmt numFmtId="184" formatCode="_([$€-2]* #,##0.00_);_([$€-2]* \(#,##0.00\);_([$€-2]* &quot;-&quot;??_)"/>
    <numFmt numFmtId="185" formatCode="General_)"/>
  </numFmts>
  <fonts count="17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Microsoft Sans Serif"/>
      <family val="2"/>
    </font>
    <font>
      <sz val="8"/>
      <name val="Courier New"/>
      <family val="3"/>
    </font>
    <font>
      <sz val="14"/>
      <name val="Courier New"/>
      <family val="3"/>
    </font>
    <font>
      <b/>
      <sz val="8"/>
      <name val="Courier New"/>
      <family val="3"/>
    </font>
    <font>
      <sz val="8"/>
      <color indexed="10"/>
      <name val="Courier New"/>
      <family val="3"/>
    </font>
    <font>
      <b/>
      <u/>
      <sz val="10"/>
      <name val="Courier New"/>
      <family val="3"/>
    </font>
    <font>
      <sz val="8"/>
      <color indexed="12"/>
      <name val="Courier New"/>
      <family val="3"/>
    </font>
    <font>
      <sz val="8"/>
      <name val="Microsoft Sans Serif"/>
      <family val="2"/>
    </font>
    <font>
      <sz val="14"/>
      <name val="Arial"/>
      <family val="2"/>
    </font>
  </fonts>
  <fills count="14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bgColor indexed="43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184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185" fontId="6" fillId="0" borderId="0"/>
    <xf numFmtId="9" fontId="1" fillId="0" borderId="0" applyFont="0" applyFill="0" applyBorder="0" applyAlignment="0" applyProtection="0"/>
    <xf numFmtId="183" fontId="7" fillId="2" borderId="0">
      <alignment horizontal="center" vertical="center"/>
    </xf>
    <xf numFmtId="172" fontId="5" fillId="0" borderId="0" applyFont="0" applyFill="0" applyBorder="0" applyAlignment="0" applyProtection="0"/>
    <xf numFmtId="172" fontId="5" fillId="0" borderId="0" applyFont="0" applyFill="0" applyBorder="0" applyAlignment="0" applyProtection="0"/>
  </cellStyleXfs>
  <cellXfs count="162">
    <xf numFmtId="0" fontId="0" fillId="0" borderId="0" xfId="0"/>
    <xf numFmtId="0" fontId="9" fillId="3" borderId="0" xfId="7" applyFont="1" applyFill="1"/>
    <xf numFmtId="0" fontId="9" fillId="4" borderId="1" xfId="7" applyFont="1" applyFill="1" applyBorder="1"/>
    <xf numFmtId="0" fontId="11" fillId="4" borderId="0" xfId="7" applyFont="1" applyFill="1" applyBorder="1"/>
    <xf numFmtId="0" fontId="9" fillId="4" borderId="0" xfId="7" applyFont="1" applyFill="1" applyBorder="1"/>
    <xf numFmtId="0" fontId="9" fillId="4" borderId="2" xfId="7" applyFont="1" applyFill="1" applyBorder="1"/>
    <xf numFmtId="0" fontId="9" fillId="0" borderId="0" xfId="7" applyFont="1"/>
    <xf numFmtId="0" fontId="9" fillId="4" borderId="3" xfId="7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0" xfId="6" applyFont="1" applyFill="1" applyBorder="1"/>
    <xf numFmtId="181" fontId="9" fillId="4" borderId="0" xfId="6" applyNumberFormat="1" applyFont="1" applyFill="1" applyBorder="1" applyAlignment="1">
      <alignment horizontal="center"/>
    </xf>
    <xf numFmtId="0" fontId="9" fillId="4" borderId="2" xfId="6" applyFont="1" applyFill="1" applyBorder="1"/>
    <xf numFmtId="0" fontId="9" fillId="5" borderId="5" xfId="6" applyFont="1" applyFill="1" applyBorder="1"/>
    <xf numFmtId="179" fontId="9" fillId="4" borderId="0" xfId="7" applyNumberFormat="1" applyFont="1" applyFill="1" applyBorder="1" applyAlignment="1">
      <alignment horizontal="center"/>
    </xf>
    <xf numFmtId="0" fontId="11" fillId="5" borderId="6" xfId="0" applyFont="1" applyFill="1" applyBorder="1" applyAlignment="1">
      <alignment horizontal="right"/>
    </xf>
    <xf numFmtId="175" fontId="9" fillId="6" borderId="3" xfId="0" quotePrefix="1" applyNumberFormat="1" applyFont="1" applyFill="1" applyBorder="1" applyAlignment="1">
      <alignment horizontal="center"/>
    </xf>
    <xf numFmtId="0" fontId="11" fillId="5" borderId="7" xfId="0" applyFont="1" applyFill="1" applyBorder="1" applyAlignment="1">
      <alignment horizontal="right"/>
    </xf>
    <xf numFmtId="1" fontId="12" fillId="6" borderId="4" xfId="0" applyNumberFormat="1" applyFont="1" applyFill="1" applyBorder="1" applyAlignment="1">
      <alignment horizontal="left"/>
    </xf>
    <xf numFmtId="0" fontId="11" fillId="5" borderId="8" xfId="0" applyFont="1" applyFill="1" applyBorder="1" applyAlignment="1">
      <alignment horizontal="right"/>
    </xf>
    <xf numFmtId="3" fontId="9" fillId="7" borderId="2" xfId="0" applyNumberFormat="1" applyFont="1" applyFill="1" applyBorder="1" applyAlignment="1">
      <alignment horizontal="center"/>
    </xf>
    <xf numFmtId="0" fontId="9" fillId="4" borderId="2" xfId="7" applyFont="1" applyFill="1" applyBorder="1" applyAlignment="1">
      <alignment horizontal="center"/>
    </xf>
    <xf numFmtId="11" fontId="9" fillId="7" borderId="2" xfId="0" applyNumberFormat="1" applyFont="1" applyFill="1" applyBorder="1" applyAlignment="1">
      <alignment horizontal="center"/>
    </xf>
    <xf numFmtId="0" fontId="9" fillId="7" borderId="2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180" fontId="9" fillId="4" borderId="6" xfId="0" applyNumberFormat="1" applyFont="1" applyFill="1" applyBorder="1" applyAlignment="1">
      <alignment horizontal="right"/>
    </xf>
    <xf numFmtId="177" fontId="9" fillId="4" borderId="3" xfId="0" applyNumberFormat="1" applyFont="1" applyFill="1" applyBorder="1" applyAlignment="1">
      <alignment horizontal="center"/>
    </xf>
    <xf numFmtId="0" fontId="11" fillId="8" borderId="9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 wrapText="1"/>
    </xf>
    <xf numFmtId="0" fontId="9" fillId="0" borderId="0" xfId="0" applyFont="1"/>
    <xf numFmtId="0" fontId="9" fillId="4" borderId="1" xfId="0" applyFont="1" applyFill="1" applyBorder="1" applyAlignment="1"/>
    <xf numFmtId="174" fontId="9" fillId="4" borderId="0" xfId="0" applyNumberFormat="1" applyFont="1" applyFill="1" applyBorder="1" applyAlignment="1"/>
    <xf numFmtId="15" fontId="9" fillId="0" borderId="0" xfId="0" applyNumberFormat="1" applyFont="1"/>
    <xf numFmtId="174" fontId="9" fillId="0" borderId="0" xfId="10" applyNumberFormat="1" applyFont="1"/>
    <xf numFmtId="0" fontId="9" fillId="4" borderId="11" xfId="0" applyFont="1" applyFill="1" applyBorder="1" applyAlignment="1"/>
    <xf numFmtId="174" fontId="9" fillId="4" borderId="12" xfId="0" applyNumberFormat="1" applyFont="1" applyFill="1" applyBorder="1" applyAlignment="1"/>
    <xf numFmtId="0" fontId="9" fillId="0" borderId="0" xfId="0" applyFont="1" applyAlignment="1">
      <alignment horizontal="left"/>
    </xf>
    <xf numFmtId="176" fontId="9" fillId="4" borderId="0" xfId="0" applyNumberFormat="1" applyFont="1" applyFill="1" applyBorder="1" applyAlignment="1"/>
    <xf numFmtId="176" fontId="9" fillId="4" borderId="2" xfId="0" applyNumberFormat="1" applyFont="1" applyFill="1" applyBorder="1" applyAlignment="1"/>
    <xf numFmtId="176" fontId="9" fillId="4" borderId="12" xfId="0" applyNumberFormat="1" applyFont="1" applyFill="1" applyBorder="1" applyAlignment="1"/>
    <xf numFmtId="176" fontId="9" fillId="4" borderId="4" xfId="0" applyNumberFormat="1" applyFont="1" applyFill="1" applyBorder="1" applyAlignment="1"/>
    <xf numFmtId="173" fontId="9" fillId="0" borderId="0" xfId="0" applyNumberFormat="1" applyFont="1"/>
    <xf numFmtId="0" fontId="11" fillId="8" borderId="13" xfId="0" applyFont="1" applyFill="1" applyBorder="1" applyAlignment="1">
      <alignment horizontal="center" vertical="center" wrapText="1"/>
    </xf>
    <xf numFmtId="0" fontId="9" fillId="9" borderId="9" xfId="0" applyFont="1" applyFill="1" applyBorder="1"/>
    <xf numFmtId="0" fontId="9" fillId="9" borderId="13" xfId="0" applyFont="1" applyFill="1" applyBorder="1"/>
    <xf numFmtId="176" fontId="9" fillId="9" borderId="10" xfId="0" applyNumberFormat="1" applyFont="1" applyFill="1" applyBorder="1"/>
    <xf numFmtId="180" fontId="9" fillId="4" borderId="7" xfId="0" applyNumberFormat="1" applyFont="1" applyFill="1" applyBorder="1" applyAlignment="1">
      <alignment horizontal="right"/>
    </xf>
    <xf numFmtId="0" fontId="9" fillId="0" borderId="14" xfId="0" applyFont="1" applyBorder="1"/>
    <xf numFmtId="174" fontId="9" fillId="0" borderId="3" xfId="10" applyNumberFormat="1" applyFont="1" applyBorder="1"/>
    <xf numFmtId="174" fontId="9" fillId="0" borderId="4" xfId="10" applyNumberFormat="1" applyFont="1" applyBorder="1"/>
    <xf numFmtId="0" fontId="9" fillId="4" borderId="15" xfId="5" applyFont="1" applyFill="1" applyBorder="1"/>
    <xf numFmtId="0" fontId="9" fillId="4" borderId="16" xfId="5" applyFont="1" applyFill="1" applyBorder="1"/>
    <xf numFmtId="0" fontId="9" fillId="4" borderId="17" xfId="8" applyFont="1" applyFill="1" applyBorder="1"/>
    <xf numFmtId="0" fontId="9" fillId="4" borderId="0" xfId="8" applyFont="1" applyFill="1"/>
    <xf numFmtId="0" fontId="9" fillId="4" borderId="18" xfId="5" applyFont="1" applyFill="1" applyBorder="1"/>
    <xf numFmtId="0" fontId="13" fillId="4" borderId="0" xfId="5" applyFont="1" applyFill="1" applyBorder="1"/>
    <xf numFmtId="0" fontId="9" fillId="4" borderId="0" xfId="5" applyFont="1" applyFill="1" applyBorder="1" applyAlignment="1">
      <alignment horizontal="center"/>
    </xf>
    <xf numFmtId="0" fontId="9" fillId="0" borderId="0" xfId="5" applyFont="1" applyBorder="1"/>
    <xf numFmtId="0" fontId="11" fillId="10" borderId="5" xfId="5" applyFont="1" applyFill="1" applyBorder="1" applyAlignment="1">
      <alignment horizontal="center" vertical="center"/>
    </xf>
    <xf numFmtId="0" fontId="9" fillId="4" borderId="5" xfId="5" applyFont="1" applyFill="1" applyBorder="1" applyAlignment="1">
      <alignment horizontal="center" vertical="center"/>
    </xf>
    <xf numFmtId="0" fontId="9" fillId="4" borderId="0" xfId="5" applyFont="1" applyFill="1" applyBorder="1"/>
    <xf numFmtId="0" fontId="9" fillId="4" borderId="19" xfId="8" applyFont="1" applyFill="1" applyBorder="1"/>
    <xf numFmtId="0" fontId="9" fillId="4" borderId="18" xfId="5" applyFont="1" applyFill="1" applyBorder="1" applyAlignment="1">
      <alignment horizontal="center"/>
    </xf>
    <xf numFmtId="0" fontId="9" fillId="0" borderId="0" xfId="5" applyFont="1" applyFill="1" applyBorder="1"/>
    <xf numFmtId="174" fontId="11" fillId="0" borderId="9" xfId="10" applyNumberFormat="1" applyFont="1" applyFill="1" applyBorder="1" applyAlignment="1">
      <alignment horizontal="center" vertical="center" wrapText="1"/>
    </xf>
    <xf numFmtId="173" fontId="11" fillId="0" borderId="10" xfId="10" applyNumberFormat="1" applyFont="1" applyFill="1" applyBorder="1" applyAlignment="1">
      <alignment horizontal="center" vertical="center" wrapText="1"/>
    </xf>
    <xf numFmtId="174" fontId="11" fillId="0" borderId="5" xfId="10" applyNumberFormat="1" applyFont="1" applyFill="1" applyBorder="1" applyAlignment="1">
      <alignment horizontal="center" vertical="center" wrapText="1"/>
    </xf>
    <xf numFmtId="174" fontId="11" fillId="0" borderId="13" xfId="10" applyNumberFormat="1" applyFont="1" applyFill="1" applyBorder="1" applyAlignment="1">
      <alignment horizontal="center" vertical="center" wrapText="1"/>
    </xf>
    <xf numFmtId="174" fontId="11" fillId="0" borderId="10" xfId="10" applyNumberFormat="1" applyFont="1" applyFill="1" applyBorder="1" applyAlignment="1">
      <alignment horizontal="center" vertical="center" wrapText="1"/>
    </xf>
    <xf numFmtId="0" fontId="9" fillId="0" borderId="20" xfId="10" applyNumberFormat="1" applyFont="1" applyFill="1" applyBorder="1" applyAlignment="1"/>
    <xf numFmtId="174" fontId="9" fillId="0" borderId="6" xfId="10" applyNumberFormat="1" applyFont="1" applyBorder="1" applyAlignment="1"/>
    <xf numFmtId="174" fontId="9" fillId="0" borderId="20" xfId="10" applyNumberFormat="1" applyFont="1" applyFill="1" applyBorder="1" applyAlignment="1"/>
    <xf numFmtId="174" fontId="9" fillId="0" borderId="14" xfId="10" applyNumberFormat="1" applyFont="1" applyFill="1" applyBorder="1" applyAlignment="1"/>
    <xf numFmtId="174" fontId="9" fillId="0" borderId="3" xfId="10" applyNumberFormat="1" applyFont="1" applyFill="1" applyBorder="1" applyAlignment="1"/>
    <xf numFmtId="0" fontId="9" fillId="0" borderId="11" xfId="10" applyNumberFormat="1" applyFont="1" applyFill="1" applyBorder="1" applyAlignment="1"/>
    <xf numFmtId="174" fontId="9" fillId="0" borderId="7" xfId="10" applyNumberFormat="1" applyFont="1" applyBorder="1" applyAlignment="1"/>
    <xf numFmtId="174" fontId="9" fillId="0" borderId="11" xfId="10" applyNumberFormat="1" applyFont="1" applyFill="1" applyBorder="1" applyAlignment="1"/>
    <xf numFmtId="174" fontId="9" fillId="0" borderId="12" xfId="10" applyNumberFormat="1" applyFont="1" applyFill="1" applyBorder="1" applyAlignment="1"/>
    <xf numFmtId="174" fontId="9" fillId="0" borderId="4" xfId="10" applyNumberFormat="1" applyFont="1" applyFill="1" applyBorder="1" applyAlignment="1"/>
    <xf numFmtId="0" fontId="9" fillId="4" borderId="21" xfId="5" applyFont="1" applyFill="1" applyBorder="1"/>
    <xf numFmtId="0" fontId="9" fillId="4" borderId="22" xfId="5" applyFont="1" applyFill="1" applyBorder="1"/>
    <xf numFmtId="0" fontId="9" fillId="4" borderId="23" xfId="8" applyFont="1" applyFill="1" applyBorder="1"/>
    <xf numFmtId="0" fontId="9" fillId="4" borderId="0" xfId="6" applyFont="1" applyFill="1" applyBorder="1" applyAlignment="1">
      <alignment horizontal="center"/>
    </xf>
    <xf numFmtId="0" fontId="14" fillId="4" borderId="0" xfId="6" applyFont="1" applyFill="1" applyBorder="1" applyAlignment="1">
      <alignment horizontal="right"/>
    </xf>
    <xf numFmtId="182" fontId="12" fillId="4" borderId="0" xfId="6" applyNumberFormat="1" applyFont="1" applyFill="1" applyBorder="1" applyAlignment="1">
      <alignment horizontal="left"/>
    </xf>
    <xf numFmtId="0" fontId="12" fillId="4" borderId="0" xfId="6" quotePrefix="1" applyFont="1" applyFill="1" applyBorder="1" applyAlignment="1">
      <alignment horizontal="left"/>
    </xf>
    <xf numFmtId="0" fontId="9" fillId="4" borderId="12" xfId="6" applyFont="1" applyFill="1" applyBorder="1"/>
    <xf numFmtId="0" fontId="9" fillId="4" borderId="4" xfId="6" applyFont="1" applyFill="1" applyBorder="1"/>
    <xf numFmtId="174" fontId="9" fillId="0" borderId="0" xfId="0" applyNumberFormat="1" applyFont="1"/>
    <xf numFmtId="174" fontId="9" fillId="0" borderId="0" xfId="10" applyNumberFormat="1" applyFont="1" applyAlignment="1">
      <alignment horizontal="center"/>
    </xf>
    <xf numFmtId="0" fontId="9" fillId="0" borderId="2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2" fillId="4" borderId="1" xfId="4" applyFill="1" applyBorder="1"/>
    <xf numFmtId="0" fontId="2" fillId="4" borderId="0" xfId="4" applyFill="1" applyBorder="1"/>
    <xf numFmtId="0" fontId="2" fillId="4" borderId="2" xfId="4" applyFill="1" applyBorder="1"/>
    <xf numFmtId="0" fontId="2" fillId="4" borderId="0" xfId="4" applyFill="1"/>
    <xf numFmtId="0" fontId="2" fillId="0" borderId="0" xfId="4"/>
    <xf numFmtId="0" fontId="8" fillId="5" borderId="5" xfId="4" applyFont="1" applyFill="1" applyBorder="1" applyProtection="1"/>
    <xf numFmtId="176" fontId="15" fillId="11" borderId="10" xfId="4" applyNumberFormat="1" applyFont="1" applyFill="1" applyBorder="1" applyAlignment="1" applyProtection="1">
      <alignment horizontal="right"/>
    </xf>
    <xf numFmtId="0" fontId="2" fillId="0" borderId="5" xfId="4" applyBorder="1"/>
    <xf numFmtId="0" fontId="2" fillId="4" borderId="11" xfId="4" applyFill="1" applyBorder="1"/>
    <xf numFmtId="0" fontId="2" fillId="4" borderId="12" xfId="4" applyFill="1" applyBorder="1"/>
    <xf numFmtId="0" fontId="2" fillId="4" borderId="4" xfId="4" applyFill="1" applyBorder="1"/>
    <xf numFmtId="0" fontId="9" fillId="4" borderId="4" xfId="0" applyNumberFormat="1" applyFont="1" applyFill="1" applyBorder="1" applyAlignment="1">
      <alignment horizontal="center"/>
    </xf>
    <xf numFmtId="0" fontId="9" fillId="5" borderId="6" xfId="7" applyFont="1" applyFill="1" applyBorder="1" applyAlignment="1">
      <alignment horizontal="right"/>
    </xf>
    <xf numFmtId="0" fontId="9" fillId="5" borderId="8" xfId="7" applyFont="1" applyFill="1" applyBorder="1" applyAlignment="1">
      <alignment horizontal="right"/>
    </xf>
    <xf numFmtId="0" fontId="9" fillId="5" borderId="7" xfId="0" applyFont="1" applyFill="1" applyBorder="1" applyAlignment="1">
      <alignment horizontal="right"/>
    </xf>
    <xf numFmtId="0" fontId="9" fillId="5" borderId="5" xfId="6" applyFont="1" applyFill="1" applyBorder="1" applyAlignment="1">
      <alignment horizontal="right"/>
    </xf>
    <xf numFmtId="0" fontId="9" fillId="0" borderId="5" xfId="0" applyFont="1" applyBorder="1" applyAlignment="1">
      <alignment horizontal="center"/>
    </xf>
    <xf numFmtId="0" fontId="9" fillId="5" borderId="6" xfId="6" applyFont="1" applyFill="1" applyBorder="1" applyAlignment="1">
      <alignment horizontal="right"/>
    </xf>
    <xf numFmtId="0" fontId="9" fillId="5" borderId="8" xfId="6" applyFont="1" applyFill="1" applyBorder="1" applyAlignment="1">
      <alignment horizontal="right"/>
    </xf>
    <xf numFmtId="0" fontId="9" fillId="5" borderId="7" xfId="6" applyFont="1" applyFill="1" applyBorder="1" applyAlignment="1">
      <alignment horizontal="right"/>
    </xf>
    <xf numFmtId="176" fontId="9" fillId="4" borderId="6" xfId="10" applyNumberFormat="1" applyFont="1" applyFill="1" applyBorder="1" applyAlignment="1">
      <alignment horizontal="center"/>
    </xf>
    <xf numFmtId="176" fontId="9" fillId="4" borderId="7" xfId="10" applyNumberFormat="1" applyFont="1" applyFill="1" applyBorder="1" applyAlignment="1">
      <alignment horizontal="center"/>
    </xf>
    <xf numFmtId="176" fontId="9" fillId="4" borderId="5" xfId="10" applyNumberFormat="1" applyFont="1" applyFill="1" applyBorder="1" applyAlignment="1">
      <alignment horizontal="center"/>
    </xf>
    <xf numFmtId="0" fontId="9" fillId="4" borderId="1" xfId="6" applyFont="1" applyFill="1" applyBorder="1"/>
    <xf numFmtId="180" fontId="9" fillId="4" borderId="8" xfId="10" applyNumberFormat="1" applyFont="1" applyFill="1" applyBorder="1" applyAlignment="1">
      <alignment horizontal="center"/>
    </xf>
    <xf numFmtId="0" fontId="9" fillId="3" borderId="0" xfId="6" applyFont="1" applyFill="1"/>
    <xf numFmtId="0" fontId="9" fillId="4" borderId="0" xfId="6" applyFont="1" applyFill="1" applyAlignment="1">
      <alignment horizontal="right"/>
    </xf>
    <xf numFmtId="0" fontId="12" fillId="4" borderId="0" xfId="6" applyFont="1" applyFill="1" applyAlignment="1">
      <alignment horizontal="right"/>
    </xf>
    <xf numFmtId="0" fontId="9" fillId="4" borderId="11" xfId="6" applyFont="1" applyFill="1" applyBorder="1"/>
    <xf numFmtId="0" fontId="9" fillId="0" borderId="0" xfId="0" applyFont="1" applyAlignment="1">
      <alignment horizontal="center" vertical="center" wrapText="1"/>
    </xf>
    <xf numFmtId="173" fontId="9" fillId="4" borderId="2" xfId="6" applyNumberFormat="1" applyFont="1" applyFill="1" applyBorder="1"/>
    <xf numFmtId="174" fontId="9" fillId="12" borderId="0" xfId="10" applyNumberFormat="1" applyFont="1" applyFill="1" applyAlignment="1">
      <alignment horizontal="center"/>
    </xf>
    <xf numFmtId="0" fontId="11" fillId="8" borderId="5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textRotation="90"/>
    </xf>
    <xf numFmtId="0" fontId="9" fillId="4" borderId="0" xfId="0" applyNumberFormat="1" applyFont="1" applyFill="1" applyBorder="1" applyAlignment="1">
      <alignment horizontal="center"/>
    </xf>
    <xf numFmtId="0" fontId="9" fillId="4" borderId="9" xfId="0" applyFont="1" applyFill="1" applyBorder="1" applyAlignment="1">
      <alignment horizontal="left"/>
    </xf>
    <xf numFmtId="0" fontId="9" fillId="0" borderId="13" xfId="0" applyFont="1" applyBorder="1"/>
    <xf numFmtId="174" fontId="9" fillId="4" borderId="13" xfId="10" applyNumberFormat="1" applyFont="1" applyFill="1" applyBorder="1" applyAlignment="1">
      <alignment horizontal="right"/>
    </xf>
    <xf numFmtId="0" fontId="9" fillId="4" borderId="13" xfId="0" applyFont="1" applyFill="1" applyBorder="1" applyAlignment="1">
      <alignment horizontal="center"/>
    </xf>
    <xf numFmtId="180" fontId="9" fillId="4" borderId="13" xfId="0" applyNumberFormat="1" applyFont="1" applyFill="1" applyBorder="1" applyAlignment="1">
      <alignment horizontal="right"/>
    </xf>
    <xf numFmtId="180" fontId="9" fillId="4" borderId="10" xfId="0" applyNumberFormat="1" applyFont="1" applyFill="1" applyBorder="1" applyAlignment="1">
      <alignment horizontal="right"/>
    </xf>
    <xf numFmtId="0" fontId="9" fillId="4" borderId="20" xfId="0" applyNumberFormat="1" applyFont="1" applyFill="1" applyBorder="1" applyAlignment="1">
      <alignment horizontal="center"/>
    </xf>
    <xf numFmtId="174" fontId="9" fillId="4" borderId="14" xfId="10" applyNumberFormat="1" applyFont="1" applyFill="1" applyBorder="1" applyAlignment="1">
      <alignment horizontal="right"/>
    </xf>
    <xf numFmtId="0" fontId="9" fillId="4" borderId="14" xfId="0" applyFont="1" applyFill="1" applyBorder="1" applyAlignment="1">
      <alignment horizontal="center"/>
    </xf>
    <xf numFmtId="180" fontId="9" fillId="4" borderId="14" xfId="0" applyNumberFormat="1" applyFont="1" applyFill="1" applyBorder="1" applyAlignment="1">
      <alignment horizontal="right"/>
    </xf>
    <xf numFmtId="180" fontId="9" fillId="4" borderId="3" xfId="0" applyNumberFormat="1" applyFont="1" applyFill="1" applyBorder="1" applyAlignment="1">
      <alignment horizontal="right"/>
    </xf>
    <xf numFmtId="0" fontId="9" fillId="4" borderId="1" xfId="0" applyNumberFormat="1" applyFont="1" applyFill="1" applyBorder="1" applyAlignment="1">
      <alignment horizontal="center"/>
    </xf>
    <xf numFmtId="0" fontId="9" fillId="0" borderId="0" xfId="0" applyFont="1" applyBorder="1"/>
    <xf numFmtId="174" fontId="9" fillId="4" borderId="0" xfId="10" applyNumberFormat="1" applyFont="1" applyFill="1" applyBorder="1" applyAlignment="1">
      <alignment horizontal="right"/>
    </xf>
    <xf numFmtId="0" fontId="9" fillId="4" borderId="0" xfId="0" applyFont="1" applyFill="1" applyBorder="1" applyAlignment="1">
      <alignment horizontal="center"/>
    </xf>
    <xf numFmtId="180" fontId="9" fillId="4" borderId="0" xfId="0" applyNumberFormat="1" applyFont="1" applyFill="1" applyBorder="1" applyAlignment="1">
      <alignment horizontal="right"/>
    </xf>
    <xf numFmtId="180" fontId="9" fillId="4" borderId="2" xfId="0" applyNumberFormat="1" applyFont="1" applyFill="1" applyBorder="1" applyAlignment="1">
      <alignment horizontal="right"/>
    </xf>
    <xf numFmtId="178" fontId="9" fillId="0" borderId="0" xfId="0" applyNumberFormat="1" applyFont="1"/>
    <xf numFmtId="0" fontId="9" fillId="4" borderId="11" xfId="0" applyNumberFormat="1" applyFont="1" applyFill="1" applyBorder="1" applyAlignment="1">
      <alignment horizontal="center"/>
    </xf>
    <xf numFmtId="0" fontId="9" fillId="4" borderId="3" xfId="0" applyNumberFormat="1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" xfId="0" applyNumberFormat="1" applyFont="1" applyFill="1" applyBorder="1" applyAlignment="1">
      <alignment horizontal="center"/>
    </xf>
    <xf numFmtId="0" fontId="9" fillId="4" borderId="1" xfId="0" applyFont="1" applyFill="1" applyBorder="1" applyAlignment="1">
      <alignment horizontal="left"/>
    </xf>
    <xf numFmtId="9" fontId="9" fillId="0" borderId="14" xfId="0" applyNumberFormat="1" applyFont="1" applyBorder="1"/>
    <xf numFmtId="9" fontId="9" fillId="0" borderId="12" xfId="0" applyNumberFormat="1" applyFont="1" applyBorder="1"/>
    <xf numFmtId="0" fontId="9" fillId="0" borderId="14" xfId="0" applyFont="1" applyBorder="1" applyAlignment="1">
      <alignment horizontal="left"/>
    </xf>
    <xf numFmtId="0" fontId="9" fillId="4" borderId="14" xfId="0" applyNumberFormat="1" applyFont="1" applyFill="1" applyBorder="1" applyAlignment="1">
      <alignment horizontal="left"/>
    </xf>
    <xf numFmtId="49" fontId="9" fillId="4" borderId="0" xfId="0" applyNumberFormat="1" applyFont="1" applyFill="1" applyBorder="1" applyAlignment="1">
      <alignment horizontal="left"/>
    </xf>
    <xf numFmtId="0" fontId="9" fillId="12" borderId="14" xfId="0" applyFont="1" applyFill="1" applyBorder="1"/>
    <xf numFmtId="0" fontId="10" fillId="13" borderId="9" xfId="7" applyFont="1" applyFill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1" fillId="8" borderId="9" xfId="0" applyFont="1" applyFill="1" applyBorder="1" applyAlignment="1">
      <alignment horizontal="center" vertical="center" wrapText="1"/>
    </xf>
    <xf numFmtId="0" fontId="11" fillId="8" borderId="13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 wrapText="1"/>
    </xf>
  </cellXfs>
  <cellStyles count="14">
    <cellStyle name="Euro" xfId="1"/>
    <cellStyle name="Migliaia (0)_AZIONI" xfId="2"/>
    <cellStyle name="Migliaia_AZIONI" xfId="3"/>
    <cellStyle name="Normal" xfId="0" builtinId="0"/>
    <cellStyle name="Normal_EUR_SynthDepoQuotesFeed" xfId="4"/>
    <cellStyle name="Normal_EUR_TurnOfYearQuotesFeed2" xfId="5"/>
    <cellStyle name="Normal_InterestRateQuotesFeed" xfId="6"/>
    <cellStyle name="Normal_SwaptionATMVols" xfId="7"/>
    <cellStyle name="Normal_TestSyntDisc" xfId="8"/>
    <cellStyle name="Normale_AZIONI" xfId="9"/>
    <cellStyle name="Percent" xfId="10" builtinId="5"/>
    <cellStyle name="result" xfId="11"/>
    <cellStyle name="Valuta (0)_AZIONI" xfId="12"/>
    <cellStyle name="Valuta_AZIONI" xfId="13"/>
  </cellStyles>
  <dxfs count="3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26</xdr:row>
          <xdr:rowOff>19050</xdr:rowOff>
        </xdr:from>
        <xdr:to>
          <xdr:col>3</xdr:col>
          <xdr:colOff>9525</xdr:colOff>
          <xdr:row>28</xdr:row>
          <xdr:rowOff>28575</xdr:rowOff>
        </xdr:to>
        <xdr:sp macro="" textlink="">
          <xdr:nvSpPr>
            <xdr:cNvPr id="3197" name="CommandButton1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29</xdr:row>
          <xdr:rowOff>19050</xdr:rowOff>
        </xdr:from>
        <xdr:to>
          <xdr:col>3</xdr:col>
          <xdr:colOff>9525</xdr:colOff>
          <xdr:row>31</xdr:row>
          <xdr:rowOff>28575</xdr:rowOff>
        </xdr:to>
        <xdr:sp macro="" textlink="">
          <xdr:nvSpPr>
            <xdr:cNvPr id="3198" name="CommandButton2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4"/>
  <sheetViews>
    <sheetView tabSelected="1" workbookViewId="0">
      <selection activeCell="E20" sqref="E20"/>
    </sheetView>
  </sheetViews>
  <sheetFormatPr defaultColWidth="7.140625" defaultRowHeight="11.25" x14ac:dyDescent="0.2"/>
  <cols>
    <col min="1" max="2" width="7.140625" style="6" customWidth="1"/>
    <col min="3" max="3" width="22.7109375" style="6" customWidth="1"/>
    <col min="4" max="4" width="24.42578125" style="6" bestFit="1" customWidth="1"/>
    <col min="5" max="5" width="27.5703125" style="6" bestFit="1" customWidth="1"/>
    <col min="6" max="16384" width="7.140625" style="6"/>
  </cols>
  <sheetData>
    <row r="1" spans="1:26" s="1" customFormat="1" x14ac:dyDescent="0.2">
      <c r="B1" s="1" t="str">
        <f>_xll.qlxlVersion(TRUE,EvaluationDate)</f>
        <v>QuantLibXL 1.4.0 - MS VC++ 9.0 - Multithreaded Dynamic Runtime library - Release Configuration - Mar  3 2014 10:58:57</v>
      </c>
    </row>
    <row r="2" spans="1:26" s="1" customFormat="1" ht="18.75" x14ac:dyDescent="0.2">
      <c r="B2" s="156" t="s">
        <v>7</v>
      </c>
      <c r="C2" s="157"/>
      <c r="D2" s="157"/>
      <c r="E2" s="157"/>
      <c r="F2" s="158"/>
    </row>
    <row r="3" spans="1:26" x14ac:dyDescent="0.2">
      <c r="A3" s="1"/>
      <c r="B3" s="2"/>
      <c r="C3" s="3"/>
      <c r="D3" s="4"/>
      <c r="E3" s="4"/>
      <c r="F3" s="5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B4" s="2"/>
      <c r="C4" s="104" t="s">
        <v>5</v>
      </c>
      <c r="D4" s="7" t="s">
        <v>74</v>
      </c>
      <c r="E4" s="4"/>
      <c r="F4" s="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B5" s="2"/>
      <c r="C5" s="105" t="s">
        <v>21</v>
      </c>
      <c r="D5" s="8" t="s">
        <v>38</v>
      </c>
      <c r="E5" s="4"/>
      <c r="F5" s="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115"/>
      <c r="C6" s="110" t="s">
        <v>67</v>
      </c>
      <c r="D6" s="116" t="s">
        <v>75</v>
      </c>
      <c r="E6" s="10"/>
      <c r="F6" s="1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2"/>
      <c r="C7" s="106" t="s">
        <v>65</v>
      </c>
      <c r="D7" s="103">
        <f>_xll.ohTrigger(Contribution!I3)</f>
        <v>0</v>
      </c>
      <c r="E7" s="4"/>
      <c r="F7" s="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115"/>
      <c r="C8" s="10"/>
      <c r="D8" s="11"/>
      <c r="E8" s="10"/>
      <c r="F8" s="12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115"/>
      <c r="C9" s="109" t="s">
        <v>44</v>
      </c>
      <c r="D9" s="112">
        <f>_xll.qlCalendarAdvance(Calendar,EvaluationDate,"2d","f")</f>
        <v>41705</v>
      </c>
      <c r="E9" s="10"/>
      <c r="F9" s="12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115"/>
      <c r="C10" s="107" t="s">
        <v>45</v>
      </c>
      <c r="D10" s="114">
        <f>_xll.qlCalendarAdjust(Calendar,DATE(YEAR(SettlementDate),12,31),"Preceding")</f>
        <v>42004</v>
      </c>
      <c r="E10" s="114">
        <f>_xll.qlCalendarAdvance(Calendar,D10,"1d","f")</f>
        <v>42006</v>
      </c>
      <c r="F10" s="122">
        <f>_xll.qlDayCounterYearFraction(DayCounter,LastDayInYear,E10)</f>
        <v>5.4794520547945206E-3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115"/>
      <c r="C11" s="111" t="s">
        <v>46</v>
      </c>
      <c r="D11" s="113">
        <f>_xll.qlCalendarAdjust(Calendar,DATE(YEAR(SettlementDate)+1,12,31),"Preceding")</f>
        <v>42369</v>
      </c>
      <c r="E11" s="113">
        <f>_xll.qlCalendarAdvance(Calendar,D11,"1d","f")</f>
        <v>42373</v>
      </c>
      <c r="F11" s="122">
        <f>_xll.qlDayCounterYearFraction(DayCounter,LastDayInNextYear,E11)</f>
        <v>1.0958904109589041E-2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B12" s="2"/>
      <c r="C12" s="14"/>
      <c r="D12" s="14"/>
      <c r="E12" s="4"/>
      <c r="F12" s="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A13" s="1"/>
      <c r="B13" s="2"/>
      <c r="C13" s="15" t="s">
        <v>12</v>
      </c>
      <c r="D13" s="16" t="e">
        <f>_xll.qlPiecewiseYieldCurve(,NDays,Calendar,_xll.ohPack(Calculation!A3:A127),DayCounter,,,Accuracy,TraitsID,InterpolatorID)</f>
        <v>#NUM!</v>
      </c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"/>
      <c r="B14" s="2"/>
      <c r="C14" s="17" t="s">
        <v>13</v>
      </c>
      <c r="D14" s="18" t="str">
        <f ca="1">_xll.ohRangeRetrieveError(YieldCurve)</f>
        <v/>
      </c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2"/>
      <c r="C15" s="19" t="s">
        <v>9</v>
      </c>
      <c r="D15" s="20">
        <v>0</v>
      </c>
      <c r="E15" s="4"/>
      <c r="F15" s="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"/>
      <c r="B16" s="2"/>
      <c r="C16" s="19" t="s">
        <v>4</v>
      </c>
      <c r="D16" s="21" t="s">
        <v>77</v>
      </c>
      <c r="E16" s="4"/>
      <c r="F16" s="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"/>
      <c r="B17" s="2"/>
      <c r="C17" s="19" t="s">
        <v>8</v>
      </c>
      <c r="D17" s="21" t="s">
        <v>78</v>
      </c>
      <c r="E17" s="4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"/>
      <c r="B18" s="2"/>
      <c r="C18" s="19" t="s">
        <v>15</v>
      </c>
      <c r="D18" s="22" t="e">
        <f>NA()</f>
        <v>#N/A</v>
      </c>
      <c r="E18" s="4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1"/>
      <c r="B19" s="2"/>
      <c r="C19" s="19" t="s">
        <v>10</v>
      </c>
      <c r="D19" s="23" t="s">
        <v>39</v>
      </c>
      <c r="E19" s="4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1"/>
      <c r="B20" s="2"/>
      <c r="C20" s="17" t="s">
        <v>11</v>
      </c>
      <c r="D20" s="24" t="s">
        <v>40</v>
      </c>
      <c r="E20" s="4"/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1"/>
      <c r="B21" s="115"/>
      <c r="C21" s="10"/>
      <c r="D21" s="11"/>
      <c r="E21" s="10"/>
      <c r="F21" s="1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">
      <c r="A22" s="1"/>
      <c r="B22" s="115"/>
      <c r="C22" s="13" t="s">
        <v>51</v>
      </c>
      <c r="D22" s="108" t="s">
        <v>71</v>
      </c>
      <c r="E22" s="10"/>
      <c r="F22" s="1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">
      <c r="A23" s="1"/>
      <c r="B23" s="2"/>
      <c r="C23" s="14"/>
      <c r="D23" s="14"/>
      <c r="E23" s="10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">
      <c r="A24" s="1"/>
      <c r="B24" s="2"/>
      <c r="C24" s="25" t="e">
        <f>_xll.qlTermStructureReferenceDate(YieldCurve)</f>
        <v>#VALUE!</v>
      </c>
      <c r="D24" s="26" t="e">
        <f>MAX(_xll.ohPack(Calculation!I2:I127))</f>
        <v>#VALUE!</v>
      </c>
      <c r="E24" s="10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">
      <c r="A25" s="117"/>
      <c r="B25" s="2"/>
      <c r="C25" s="46" t="e">
        <f>MAX(_xll.ohPack(Calculation!D3:D127))</f>
        <v>#VALUE!</v>
      </c>
      <c r="D25" s="9" t="e">
        <f>MIN(_xll.ohPack(Calculation!I2:I127))</f>
        <v>#VALUE!</v>
      </c>
      <c r="E25" s="10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">
      <c r="A26" s="117"/>
      <c r="B26" s="115"/>
      <c r="C26" s="10"/>
      <c r="D26" s="10"/>
      <c r="E26" s="10"/>
      <c r="F26" s="1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">
      <c r="A27" s="117"/>
      <c r="B27" s="115"/>
      <c r="C27" s="82"/>
      <c r="D27" s="82"/>
      <c r="E27" s="10"/>
      <c r="F27" s="1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">
      <c r="A28" s="117"/>
      <c r="B28" s="115"/>
      <c r="C28" s="82"/>
      <c r="D28" s="83" t="s">
        <v>59</v>
      </c>
      <c r="E28" s="84">
        <v>41254.721574074072</v>
      </c>
      <c r="F28" s="1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">
      <c r="A29" s="117"/>
      <c r="B29" s="115"/>
      <c r="C29" s="82"/>
      <c r="D29" s="118"/>
      <c r="E29" s="119"/>
      <c r="F29" s="1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">
      <c r="A30" s="117"/>
      <c r="B30" s="115"/>
      <c r="C30" s="82"/>
      <c r="D30" s="83"/>
      <c r="E30" s="119"/>
      <c r="F30" s="1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">
      <c r="A31" s="117"/>
      <c r="B31" s="115"/>
      <c r="C31" s="82"/>
      <c r="D31" s="83" t="s">
        <v>58</v>
      </c>
      <c r="E31" s="85" t="b">
        <v>1</v>
      </c>
      <c r="F31" s="1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">
      <c r="A32" s="1"/>
      <c r="B32" s="120"/>
      <c r="C32" s="86"/>
      <c r="D32" s="86"/>
      <c r="E32" s="86"/>
      <c r="F32" s="8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">
      <c r="B62" s="1"/>
      <c r="C62" s="1"/>
      <c r="D62" s="1"/>
      <c r="E62" s="1"/>
      <c r="F62" s="1"/>
    </row>
    <row r="63" spans="1:26" x14ac:dyDescent="0.2">
      <c r="B63" s="1"/>
      <c r="C63" s="1"/>
      <c r="D63" s="1"/>
      <c r="E63" s="1"/>
      <c r="F63" s="1"/>
    </row>
    <row r="64" spans="1:26" x14ac:dyDescent="0.2">
      <c r="B64" s="1"/>
      <c r="C64" s="1"/>
      <c r="D64" s="1"/>
      <c r="E64" s="1"/>
      <c r="F64" s="1"/>
    </row>
  </sheetData>
  <mergeCells count="1">
    <mergeCell ref="B2:F2"/>
  </mergeCells>
  <phoneticPr fontId="2" type="noConversion"/>
  <conditionalFormatting sqref="E31">
    <cfRule type="cellIs" dxfId="2" priority="1" stopIfTrue="1" operator="equal">
      <formula>TRUE</formula>
    </cfRule>
  </conditionalFormatting>
  <dataValidations count="6">
    <dataValidation type="list" allowBlank="1" showInputMessage="1" showErrorMessage="1" sqref="D16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7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19">
      <formula1>"Discount,ZeroYield,ForwardRate"</formula1>
    </dataValidation>
    <dataValidation type="list" allowBlank="1" showInputMessage="1" showErrorMessage="1" sqref="D20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2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98" r:id="rId4" name="CommandButton2">
          <controlPr defaultSize="0" autoLine="0" r:id="rId5">
            <anchor moveWithCells="1">
              <from>
                <xdr:col>2</xdr:col>
                <xdr:colOff>28575</xdr:colOff>
                <xdr:row>29</xdr:row>
                <xdr:rowOff>19050</xdr:rowOff>
              </from>
              <to>
                <xdr:col>3</xdr:col>
                <xdr:colOff>9525</xdr:colOff>
                <xdr:row>31</xdr:row>
                <xdr:rowOff>28575</xdr:rowOff>
              </to>
            </anchor>
          </controlPr>
        </control>
      </mc:Choice>
      <mc:Fallback>
        <control shapeId="3198" r:id="rId4" name="CommandButton2"/>
      </mc:Fallback>
    </mc:AlternateContent>
    <mc:AlternateContent xmlns:mc="http://schemas.openxmlformats.org/markup-compatibility/2006">
      <mc:Choice Requires="x14">
        <control shapeId="3197" r:id="rId6" name="CommandButton1">
          <controlPr autoLine="0" autoPict="0" r:id="rId7">
            <anchor moveWithCells="1">
              <from>
                <xdr:col>2</xdr:col>
                <xdr:colOff>28575</xdr:colOff>
                <xdr:row>26</xdr:row>
                <xdr:rowOff>19050</xdr:rowOff>
              </from>
              <to>
                <xdr:col>3</xdr:col>
                <xdr:colOff>9525</xdr:colOff>
                <xdr:row>28</xdr:row>
                <xdr:rowOff>28575</xdr:rowOff>
              </to>
            </anchor>
          </controlPr>
        </control>
      </mc:Choice>
      <mc:Fallback>
        <control shapeId="3197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4"/>
  <sheetViews>
    <sheetView workbookViewId="0">
      <selection activeCell="C2" sqref="C2"/>
    </sheetView>
  </sheetViews>
  <sheetFormatPr defaultColWidth="8" defaultRowHeight="11.25" x14ac:dyDescent="0.2"/>
  <cols>
    <col min="1" max="1" width="3.28515625" style="96" customWidth="1"/>
    <col min="2" max="2" width="23.5703125" style="96" bestFit="1" customWidth="1"/>
    <col min="3" max="3" width="18.28515625" style="96" customWidth="1"/>
    <col min="4" max="16384" width="8" style="96"/>
  </cols>
  <sheetData>
    <row r="1" spans="1:26" x14ac:dyDescent="0.2">
      <c r="A1" s="92"/>
      <c r="B1" s="93"/>
      <c r="C1" s="93"/>
      <c r="D1" s="94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x14ac:dyDescent="0.2">
      <c r="A2" s="92"/>
      <c r="B2" s="97" t="s">
        <v>63</v>
      </c>
      <c r="C2" s="98">
        <f>_xll.qlSettingsEvaluationDate()</f>
        <v>41703</v>
      </c>
      <c r="D2" s="94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x14ac:dyDescent="0.2">
      <c r="A3" s="92"/>
      <c r="B3" s="93"/>
      <c r="C3" s="93"/>
      <c r="D3" s="94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x14ac:dyDescent="0.2">
      <c r="A4" s="92"/>
      <c r="B4" s="97" t="s">
        <v>64</v>
      </c>
      <c r="C4" s="99" t="s">
        <v>68</v>
      </c>
      <c r="D4" s="94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x14ac:dyDescent="0.2">
      <c r="A5" s="100"/>
      <c r="B5" s="101"/>
      <c r="C5" s="101"/>
      <c r="D5" s="102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x14ac:dyDescent="0.2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x14ac:dyDescent="0.2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x14ac:dyDescent="0.2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x14ac:dyDescent="0.2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x14ac:dyDescent="0.2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x14ac:dyDescent="0.2">
      <c r="A11" s="95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x14ac:dyDescent="0.2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x14ac:dyDescent="0.2">
      <c r="A13" s="95"/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x14ac:dyDescent="0.2">
      <c r="A14" s="95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x14ac:dyDescent="0.2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x14ac:dyDescent="0.2">
      <c r="A16" s="95"/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x14ac:dyDescent="0.2">
      <c r="A17" s="95"/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x14ac:dyDescent="0.2">
      <c r="A18" s="95"/>
      <c r="B18" s="95"/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x14ac:dyDescent="0.2">
      <c r="A19" s="95"/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x14ac:dyDescent="0.2">
      <c r="A20" s="95"/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x14ac:dyDescent="0.2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x14ac:dyDescent="0.2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x14ac:dyDescent="0.2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x14ac:dyDescent="0.2">
      <c r="A24" s="95"/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x14ac:dyDescent="0.2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x14ac:dyDescent="0.2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x14ac:dyDescent="0.2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x14ac:dyDescent="0.2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x14ac:dyDescent="0.2">
      <c r="A29" s="95"/>
      <c r="B29" s="9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x14ac:dyDescent="0.2">
      <c r="A30" s="95"/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x14ac:dyDescent="0.2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x14ac:dyDescent="0.2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x14ac:dyDescent="0.2">
      <c r="A33" s="95"/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x14ac:dyDescent="0.2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x14ac:dyDescent="0.2">
      <c r="A35" s="95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x14ac:dyDescent="0.2">
      <c r="A36" s="95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x14ac:dyDescent="0.2">
      <c r="A37" s="95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x14ac:dyDescent="0.2">
      <c r="A38" s="95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x14ac:dyDescent="0.2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x14ac:dyDescent="0.2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x14ac:dyDescent="0.2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x14ac:dyDescent="0.2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x14ac:dyDescent="0.2">
      <c r="A43" s="95"/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x14ac:dyDescent="0.2">
      <c r="A44" s="95"/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x14ac:dyDescent="0.2">
      <c r="A45" s="95"/>
      <c r="B45" s="95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x14ac:dyDescent="0.2">
      <c r="A46" s="95"/>
      <c r="B46" s="95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x14ac:dyDescent="0.2">
      <c r="A47" s="95"/>
      <c r="B47" s="95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x14ac:dyDescent="0.2">
      <c r="A48" s="95"/>
      <c r="B48" s="95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x14ac:dyDescent="0.2">
      <c r="A49" s="95"/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x14ac:dyDescent="0.2">
      <c r="A50" s="95"/>
      <c r="B50" s="95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x14ac:dyDescent="0.2">
      <c r="A51" s="95"/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x14ac:dyDescent="0.2">
      <c r="A52" s="95"/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x14ac:dyDescent="0.2">
      <c r="A53" s="95"/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x14ac:dyDescent="0.2">
      <c r="A54" s="95"/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x14ac:dyDescent="0.2">
      <c r="A55" s="95"/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x14ac:dyDescent="0.2">
      <c r="A56" s="95"/>
      <c r="B56" s="95"/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x14ac:dyDescent="0.2">
      <c r="A57" s="95"/>
      <c r="B57" s="95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x14ac:dyDescent="0.2">
      <c r="A58" s="95"/>
      <c r="B58" s="95"/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x14ac:dyDescent="0.2">
      <c r="A59" s="95"/>
      <c r="B59" s="95"/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x14ac:dyDescent="0.2">
      <c r="A60" s="95"/>
      <c r="B60" s="95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x14ac:dyDescent="0.2">
      <c r="A61" s="95"/>
      <c r="B61" s="95"/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x14ac:dyDescent="0.2">
      <c r="A62" s="95"/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x14ac:dyDescent="0.2">
      <c r="A63" s="95"/>
      <c r="B63" s="95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x14ac:dyDescent="0.2">
      <c r="A64" s="95"/>
      <c r="B64" s="95"/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x14ac:dyDescent="0.2">
      <c r="A65" s="95"/>
      <c r="B65" s="95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x14ac:dyDescent="0.2">
      <c r="A66" s="95"/>
      <c r="B66" s="95"/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x14ac:dyDescent="0.2">
      <c r="A67" s="95"/>
      <c r="B67" s="95"/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x14ac:dyDescent="0.2">
      <c r="A68" s="95"/>
      <c r="B68" s="95"/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x14ac:dyDescent="0.2">
      <c r="A69" s="95"/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x14ac:dyDescent="0.2">
      <c r="A70" s="95"/>
      <c r="B70" s="9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x14ac:dyDescent="0.2">
      <c r="A71" s="95"/>
      <c r="B71" s="95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x14ac:dyDescent="0.2">
      <c r="A72" s="95"/>
      <c r="B72" s="95"/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x14ac:dyDescent="0.2">
      <c r="A73" s="95"/>
      <c r="B73" s="95"/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x14ac:dyDescent="0.2">
      <c r="A74" s="95"/>
      <c r="B74" s="95"/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x14ac:dyDescent="0.2">
      <c r="A75" s="95"/>
      <c r="B75" s="95"/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x14ac:dyDescent="0.2">
      <c r="A76" s="95"/>
      <c r="B76" s="95"/>
      <c r="C76" s="95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x14ac:dyDescent="0.2">
      <c r="A77" s="95"/>
      <c r="B77" s="95"/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x14ac:dyDescent="0.2">
      <c r="A78" s="95"/>
      <c r="B78" s="95"/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x14ac:dyDescent="0.2">
      <c r="A79" s="95"/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x14ac:dyDescent="0.2">
      <c r="A80" s="95"/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x14ac:dyDescent="0.2">
      <c r="A81" s="95"/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x14ac:dyDescent="0.2">
      <c r="A82" s="95"/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x14ac:dyDescent="0.2">
      <c r="A83" s="95"/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x14ac:dyDescent="0.2">
      <c r="A84" s="95"/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x14ac:dyDescent="0.2">
      <c r="A85" s="95"/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x14ac:dyDescent="0.2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x14ac:dyDescent="0.2">
      <c r="A87" s="95"/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x14ac:dyDescent="0.2">
      <c r="A88" s="95"/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x14ac:dyDescent="0.2">
      <c r="A89" s="95"/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x14ac:dyDescent="0.2">
      <c r="A90" s="95"/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x14ac:dyDescent="0.2">
      <c r="A91" s="95"/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x14ac:dyDescent="0.2">
      <c r="A92" s="95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x14ac:dyDescent="0.2">
      <c r="A93" s="95"/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x14ac:dyDescent="0.2">
      <c r="A94" s="95"/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x14ac:dyDescent="0.2">
      <c r="A95" s="95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x14ac:dyDescent="0.2">
      <c r="A96" s="95"/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x14ac:dyDescent="0.2">
      <c r="A97" s="95"/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x14ac:dyDescent="0.2">
      <c r="A98" s="95"/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x14ac:dyDescent="0.2">
      <c r="A99" s="95"/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x14ac:dyDescent="0.2">
      <c r="A100" s="95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x14ac:dyDescent="0.2">
      <c r="A101" s="95"/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x14ac:dyDescent="0.2">
      <c r="A102" s="95"/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x14ac:dyDescent="0.2">
      <c r="A103" s="95"/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x14ac:dyDescent="0.2">
      <c r="A104" s="95"/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x14ac:dyDescent="0.2">
      <c r="A105" s="95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x14ac:dyDescent="0.2">
      <c r="A106" s="95"/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x14ac:dyDescent="0.2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x14ac:dyDescent="0.2">
      <c r="A108" s="95"/>
      <c r="B108" s="95"/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x14ac:dyDescent="0.2">
      <c r="A109" s="95"/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x14ac:dyDescent="0.2">
      <c r="A110" s="95"/>
      <c r="B110" s="95"/>
      <c r="C110" s="95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x14ac:dyDescent="0.2">
      <c r="A111" s="95"/>
      <c r="B111" s="95"/>
      <c r="C111" s="95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x14ac:dyDescent="0.2">
      <c r="A112" s="95"/>
      <c r="B112" s="95"/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x14ac:dyDescent="0.2">
      <c r="A113" s="95"/>
      <c r="B113" s="95"/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x14ac:dyDescent="0.2">
      <c r="A114" s="95"/>
      <c r="B114" s="95"/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x14ac:dyDescent="0.2">
      <c r="A115" s="95"/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x14ac:dyDescent="0.2">
      <c r="A116" s="95"/>
      <c r="B116" s="95"/>
      <c r="C116" s="95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x14ac:dyDescent="0.2">
      <c r="A117" s="95"/>
      <c r="B117" s="95"/>
      <c r="C117" s="95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x14ac:dyDescent="0.2">
      <c r="A118" s="95"/>
      <c r="B118" s="95"/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x14ac:dyDescent="0.2">
      <c r="A119" s="95"/>
      <c r="B119" s="95"/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x14ac:dyDescent="0.2">
      <c r="A120" s="95"/>
      <c r="B120" s="95"/>
      <c r="C120" s="95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x14ac:dyDescent="0.2">
      <c r="A121" s="95"/>
      <c r="B121" s="95"/>
      <c r="C121" s="95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x14ac:dyDescent="0.2">
      <c r="A122" s="95"/>
      <c r="B122" s="95"/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x14ac:dyDescent="0.2">
      <c r="A123" s="95"/>
      <c r="B123" s="95"/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x14ac:dyDescent="0.2">
      <c r="A124" s="95"/>
      <c r="B124" s="95"/>
      <c r="C124" s="95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x14ac:dyDescent="0.2">
      <c r="A125" s="95"/>
      <c r="B125" s="95"/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x14ac:dyDescent="0.2">
      <c r="A126" s="95"/>
      <c r="B126" s="95"/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x14ac:dyDescent="0.2">
      <c r="A127" s="95"/>
      <c r="B127" s="95"/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x14ac:dyDescent="0.2">
      <c r="A128" s="95"/>
      <c r="B128" s="95"/>
      <c r="C128" s="95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x14ac:dyDescent="0.2">
      <c r="A129" s="95"/>
      <c r="B129" s="95"/>
      <c r="C129" s="95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x14ac:dyDescent="0.2">
      <c r="A130" s="95"/>
      <c r="B130" s="95"/>
      <c r="C130" s="95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x14ac:dyDescent="0.2">
      <c r="A131" s="95"/>
      <c r="B131" s="95"/>
      <c r="C131" s="95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x14ac:dyDescent="0.2">
      <c r="A132" s="95"/>
      <c r="B132" s="95"/>
      <c r="C132" s="95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x14ac:dyDescent="0.2">
      <c r="A133" s="95"/>
      <c r="B133" s="95"/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x14ac:dyDescent="0.2">
      <c r="A134" s="95"/>
      <c r="B134" s="95"/>
      <c r="C134" s="95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x14ac:dyDescent="0.2">
      <c r="A135" s="95"/>
      <c r="B135" s="95"/>
      <c r="C135" s="95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x14ac:dyDescent="0.2">
      <c r="A136" s="95"/>
      <c r="B136" s="95"/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x14ac:dyDescent="0.2">
      <c r="A137" s="95"/>
      <c r="B137" s="95"/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x14ac:dyDescent="0.2">
      <c r="A138" s="95"/>
      <c r="B138" s="95"/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x14ac:dyDescent="0.2">
      <c r="A139" s="95"/>
      <c r="B139" s="95"/>
      <c r="C139" s="95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x14ac:dyDescent="0.2">
      <c r="A140" s="95"/>
      <c r="B140" s="95"/>
      <c r="C140" s="95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x14ac:dyDescent="0.2">
      <c r="A141" s="95"/>
      <c r="B141" s="95"/>
      <c r="C141" s="95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x14ac:dyDescent="0.2">
      <c r="A142" s="95"/>
      <c r="B142" s="95"/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x14ac:dyDescent="0.2">
      <c r="A143" s="95"/>
      <c r="B143" s="95"/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x14ac:dyDescent="0.2">
      <c r="A144" s="95"/>
      <c r="B144" s="95"/>
      <c r="C144" s="95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x14ac:dyDescent="0.2">
      <c r="A145" s="95"/>
      <c r="B145" s="95"/>
      <c r="C145" s="95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x14ac:dyDescent="0.2">
      <c r="A146" s="95"/>
      <c r="B146" s="95"/>
      <c r="C146" s="95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x14ac:dyDescent="0.2">
      <c r="A147" s="95"/>
      <c r="B147" s="95"/>
      <c r="C147" s="95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x14ac:dyDescent="0.2">
      <c r="A148" s="95"/>
      <c r="B148" s="95"/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x14ac:dyDescent="0.2">
      <c r="A149" s="95"/>
      <c r="B149" s="95"/>
      <c r="C149" s="95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x14ac:dyDescent="0.2">
      <c r="A150" s="95"/>
      <c r="B150" s="95"/>
      <c r="C150" s="95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x14ac:dyDescent="0.2">
      <c r="A151" s="95"/>
      <c r="B151" s="95"/>
      <c r="C151" s="95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x14ac:dyDescent="0.2">
      <c r="A152" s="95"/>
      <c r="B152" s="95"/>
      <c r="C152" s="95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x14ac:dyDescent="0.2">
      <c r="A153" s="95"/>
      <c r="B153" s="95"/>
      <c r="C153" s="95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x14ac:dyDescent="0.2">
      <c r="A154" s="95"/>
      <c r="B154" s="95"/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x14ac:dyDescent="0.2">
      <c r="A155" s="95"/>
      <c r="B155" s="95"/>
      <c r="C155" s="95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x14ac:dyDescent="0.2">
      <c r="A156" s="95"/>
      <c r="B156" s="95"/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x14ac:dyDescent="0.2">
      <c r="A157" s="95"/>
      <c r="B157" s="95"/>
      <c r="C157" s="95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x14ac:dyDescent="0.2">
      <c r="A158" s="95"/>
      <c r="B158" s="95"/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x14ac:dyDescent="0.2">
      <c r="A159" s="95"/>
      <c r="B159" s="95"/>
      <c r="C159" s="95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x14ac:dyDescent="0.2">
      <c r="A160" s="95"/>
      <c r="B160" s="95"/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x14ac:dyDescent="0.2">
      <c r="A161" s="95"/>
      <c r="B161" s="95"/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x14ac:dyDescent="0.2">
      <c r="A162" s="95"/>
      <c r="B162" s="95"/>
      <c r="C162" s="95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x14ac:dyDescent="0.2">
      <c r="A163" s="95"/>
      <c r="B163" s="95"/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x14ac:dyDescent="0.2">
      <c r="A164" s="95"/>
      <c r="B164" s="95"/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x14ac:dyDescent="0.2">
      <c r="A165" s="95"/>
      <c r="B165" s="95"/>
      <c r="C165" s="95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x14ac:dyDescent="0.2">
      <c r="A166" s="95"/>
      <c r="B166" s="95"/>
      <c r="C166" s="95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x14ac:dyDescent="0.2">
      <c r="A167" s="95"/>
      <c r="B167" s="95"/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x14ac:dyDescent="0.2">
      <c r="A168" s="95"/>
      <c r="B168" s="95"/>
      <c r="C168" s="95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x14ac:dyDescent="0.2">
      <c r="A169" s="95"/>
      <c r="B169" s="95"/>
      <c r="C169" s="95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x14ac:dyDescent="0.2">
      <c r="A170" s="95"/>
      <c r="B170" s="95"/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x14ac:dyDescent="0.2">
      <c r="A171" s="95"/>
      <c r="B171" s="95"/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x14ac:dyDescent="0.2">
      <c r="A172" s="95"/>
      <c r="B172" s="95"/>
      <c r="C172" s="95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x14ac:dyDescent="0.2">
      <c r="A173" s="95"/>
      <c r="B173" s="95"/>
      <c r="C173" s="95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x14ac:dyDescent="0.2">
      <c r="A174" s="95"/>
      <c r="B174" s="95"/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x14ac:dyDescent="0.2">
      <c r="A175" s="95"/>
      <c r="B175" s="95"/>
      <c r="C175" s="95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x14ac:dyDescent="0.2">
      <c r="A176" s="95"/>
      <c r="B176" s="95"/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x14ac:dyDescent="0.2">
      <c r="A177" s="95"/>
      <c r="B177" s="95"/>
      <c r="C177" s="95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x14ac:dyDescent="0.2">
      <c r="A178" s="95"/>
      <c r="B178" s="95"/>
      <c r="C178" s="95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x14ac:dyDescent="0.2">
      <c r="A179" s="95"/>
      <c r="B179" s="95"/>
      <c r="C179" s="95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x14ac:dyDescent="0.2">
      <c r="A180" s="95"/>
      <c r="B180" s="95"/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x14ac:dyDescent="0.2">
      <c r="A181" s="95"/>
      <c r="B181" s="95"/>
      <c r="C181" s="95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x14ac:dyDescent="0.2">
      <c r="A182" s="95"/>
      <c r="B182" s="95"/>
      <c r="C182" s="95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x14ac:dyDescent="0.2">
      <c r="A183" s="95"/>
      <c r="B183" s="95"/>
      <c r="C183" s="95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x14ac:dyDescent="0.2">
      <c r="A184" s="95"/>
      <c r="B184" s="95"/>
      <c r="C184" s="95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x14ac:dyDescent="0.2">
      <c r="A185" s="95"/>
      <c r="B185" s="95"/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x14ac:dyDescent="0.2">
      <c r="A186" s="95"/>
      <c r="B186" s="95"/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x14ac:dyDescent="0.2">
      <c r="A187" s="95"/>
      <c r="B187" s="95"/>
      <c r="C187" s="95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x14ac:dyDescent="0.2">
      <c r="A188" s="95"/>
      <c r="B188" s="95"/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x14ac:dyDescent="0.2">
      <c r="A189" s="95"/>
      <c r="B189" s="95"/>
      <c r="C189" s="95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x14ac:dyDescent="0.2">
      <c r="A190" s="95"/>
      <c r="B190" s="95"/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x14ac:dyDescent="0.2">
      <c r="A191" s="95"/>
      <c r="B191" s="95"/>
      <c r="C191" s="95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x14ac:dyDescent="0.2">
      <c r="A192" s="95"/>
      <c r="B192" s="95"/>
      <c r="C192" s="95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x14ac:dyDescent="0.2">
      <c r="A193" s="95"/>
      <c r="B193" s="95"/>
      <c r="C193" s="95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x14ac:dyDescent="0.2">
      <c r="A194" s="95"/>
      <c r="B194" s="95"/>
      <c r="C194" s="95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4"/>
  <sheetViews>
    <sheetView workbookViewId="0"/>
  </sheetViews>
  <sheetFormatPr defaultRowHeight="11.25" outlineLevelCol="1" x14ac:dyDescent="0.2"/>
  <cols>
    <col min="1" max="1" width="5.7109375" style="29" customWidth="1" outlineLevel="1"/>
    <col min="2" max="3" width="4" style="36" customWidth="1" outlineLevel="1"/>
    <col min="4" max="4" width="6" style="36" bestFit="1" customWidth="1"/>
    <col min="5" max="6" width="21.42578125" style="29" bestFit="1" customWidth="1"/>
    <col min="7" max="8" width="8" style="36" bestFit="1" customWidth="1"/>
    <col min="9" max="9" width="9.85546875" style="36" customWidth="1"/>
    <col min="10" max="10" width="9" style="36" customWidth="1"/>
    <col min="11" max="12" width="17.28515625" style="36" bestFit="1" customWidth="1"/>
    <col min="13" max="13" width="2.7109375" style="29" bestFit="1" customWidth="1"/>
    <col min="14" max="16384" width="9.140625" style="29"/>
  </cols>
  <sheetData>
    <row r="1" spans="1:13" ht="22.5" x14ac:dyDescent="0.2">
      <c r="B1" s="159" t="s">
        <v>62</v>
      </c>
      <c r="C1" s="160"/>
      <c r="D1" s="161"/>
      <c r="E1" s="124" t="s">
        <v>60</v>
      </c>
      <c r="F1" s="124" t="s">
        <v>61</v>
      </c>
      <c r="G1" s="124" t="s">
        <v>14</v>
      </c>
      <c r="H1" s="124" t="s">
        <v>2</v>
      </c>
      <c r="I1" s="124" t="s">
        <v>3</v>
      </c>
      <c r="J1" s="124" t="s">
        <v>22</v>
      </c>
      <c r="K1" s="124" t="s">
        <v>0</v>
      </c>
      <c r="L1" s="124" t="s">
        <v>1</v>
      </c>
    </row>
    <row r="2" spans="1:13" x14ac:dyDescent="0.2">
      <c r="B2" s="125"/>
      <c r="C2" s="126"/>
      <c r="D2" s="127" t="s">
        <v>6</v>
      </c>
      <c r="E2" s="128" t="str">
        <f>UPPER(Currency)&amp;B2&amp;C2&amp;D2&amp;"_Quote"</f>
        <v>GBPSND_Quote</v>
      </c>
      <c r="F2" s="128" t="e">
        <f>_xll.qlFraRateHelper("W"&amp;Currency&amp;B2&amp;C2&amp;D2,E2,"2d",OvernightIndex,,EvaluationDate)</f>
        <v>#NUM!</v>
      </c>
      <c r="G2" s="129" t="e">
        <f>_xll.qlRateHelperQuoteValue(F2,InterestRatesTrigger)</f>
        <v>#VALUE!</v>
      </c>
      <c r="H2" s="130" t="b">
        <v>0</v>
      </c>
      <c r="I2" s="130">
        <v>70</v>
      </c>
      <c r="J2" s="130">
        <v>1</v>
      </c>
      <c r="K2" s="131" t="e">
        <f>_xll.qlRateHelperEarliestDate($F2,InterestRatesTrigger)</f>
        <v>#VALUE!</v>
      </c>
      <c r="L2" s="132" t="e">
        <f>_xll.qlRateHelperLatestDate($F2,InterestRatesTrigger)</f>
        <v>#VALUE!</v>
      </c>
    </row>
    <row r="3" spans="1:13" ht="11.25" customHeight="1" x14ac:dyDescent="0.2">
      <c r="A3" s="29" t="e">
        <f>_xll.qlECBNextDate(SettlementDate)</f>
        <v>#NUM!</v>
      </c>
      <c r="B3" s="133" t="s">
        <v>76</v>
      </c>
      <c r="C3" s="146" t="s">
        <v>38</v>
      </c>
      <c r="D3" s="153" t="e">
        <f>_xll.qlECBcode(A3)</f>
        <v>#NUM!</v>
      </c>
      <c r="E3" s="139" t="e">
        <f t="shared" ref="E3:E33" si="0">UPPER(Currency)&amp;B3&amp;D3&amp;C3&amp;"_Quote"</f>
        <v>#NUM!</v>
      </c>
      <c r="F3" s="47" t="e">
        <f>_xll.qlDatedOISRateHelper("W"&amp;Currency&amp;B3&amp;C3&amp;D3,A3,A4,E3,OvernightIndex)</f>
        <v>#VALUE!</v>
      </c>
      <c r="G3" s="134" t="e">
        <f>_xll.qlRateHelperQuoteValue(F3,InterestRatesTrigger)</f>
        <v>#VALUE!</v>
      </c>
      <c r="H3" s="135" t="b">
        <v>0</v>
      </c>
      <c r="I3" s="135">
        <v>70</v>
      </c>
      <c r="J3" s="135">
        <v>1</v>
      </c>
      <c r="K3" s="136" t="e">
        <f>_xll.qlRateHelperEarliestDate($F3,InterestRatesTrigger)</f>
        <v>#VALUE!</v>
      </c>
      <c r="L3" s="137" t="e">
        <f>_xll.qlRateHelperLatestDate($F3,InterestRatesTrigger)</f>
        <v>#VALUE!</v>
      </c>
      <c r="M3" s="88"/>
    </row>
    <row r="4" spans="1:13" x14ac:dyDescent="0.2">
      <c r="A4" s="29" t="e">
        <f>_xll.qlECBNextDate(A3)</f>
        <v>#NUM!</v>
      </c>
      <c r="B4" s="138" t="s">
        <v>76</v>
      </c>
      <c r="C4" s="148" t="s">
        <v>38</v>
      </c>
      <c r="D4" s="154" t="e">
        <f>_xll.qlECBcode(A4)</f>
        <v>#NUM!</v>
      </c>
      <c r="E4" s="139" t="e">
        <f t="shared" si="0"/>
        <v>#NUM!</v>
      </c>
      <c r="F4" s="139" t="e">
        <f>_xll.qlDatedOISRateHelper("W"&amp;Currency&amp;B4&amp;C4&amp;D4,A4,A5,E4,OvernightIndex)</f>
        <v>#VALUE!</v>
      </c>
      <c r="G4" s="140" t="e">
        <f>_xll.qlRateHelperQuoteValue(F4,InterestRatesTrigger)</f>
        <v>#VALUE!</v>
      </c>
      <c r="H4" s="141" t="b">
        <v>0</v>
      </c>
      <c r="I4" s="141">
        <v>70</v>
      </c>
      <c r="J4" s="141">
        <v>5</v>
      </c>
      <c r="K4" s="142" t="e">
        <f>_xll.qlRateHelperEarliestDate($F4,InterestRatesTrigger)</f>
        <v>#VALUE!</v>
      </c>
      <c r="L4" s="143" t="e">
        <f>_xll.qlRateHelperLatestDate($F4,InterestRatesTrigger)</f>
        <v>#VALUE!</v>
      </c>
      <c r="M4" s="144"/>
    </row>
    <row r="5" spans="1:13" x14ac:dyDescent="0.2">
      <c r="A5" s="29" t="e">
        <f>_xll.qlECBNextDate(A4)</f>
        <v>#NUM!</v>
      </c>
      <c r="B5" s="138" t="s">
        <v>76</v>
      </c>
      <c r="C5" s="148" t="s">
        <v>38</v>
      </c>
      <c r="D5" s="154" t="e">
        <f>_xll.qlECBcode(A5)</f>
        <v>#NUM!</v>
      </c>
      <c r="E5" s="139" t="e">
        <f t="shared" si="0"/>
        <v>#NUM!</v>
      </c>
      <c r="F5" s="139" t="e">
        <f>_xll.qlDatedOISRateHelper("W"&amp;Currency&amp;B5&amp;C5&amp;D5,A5,A6,E5,OvernightIndex)</f>
        <v>#VALUE!</v>
      </c>
      <c r="G5" s="140" t="e">
        <f>_xll.qlRateHelperQuoteValue(F5,InterestRatesTrigger)</f>
        <v>#VALUE!</v>
      </c>
      <c r="H5" s="141" t="b">
        <v>0</v>
      </c>
      <c r="I5" s="141">
        <v>70</v>
      </c>
      <c r="J5" s="141">
        <v>5</v>
      </c>
      <c r="K5" s="142" t="e">
        <f>_xll.qlRateHelperEarliestDate($F5,InterestRatesTrigger)</f>
        <v>#VALUE!</v>
      </c>
      <c r="L5" s="143" t="e">
        <f>_xll.qlRateHelperLatestDate($F5,InterestRatesTrigger)</f>
        <v>#VALUE!</v>
      </c>
    </row>
    <row r="6" spans="1:13" x14ac:dyDescent="0.2">
      <c r="A6" s="29" t="e">
        <f>_xll.qlECBNextDate(A5)</f>
        <v>#NUM!</v>
      </c>
      <c r="B6" s="138" t="s">
        <v>76</v>
      </c>
      <c r="C6" s="148" t="s">
        <v>38</v>
      </c>
      <c r="D6" s="154" t="e">
        <f>_xll.qlECBcode(A6)</f>
        <v>#NUM!</v>
      </c>
      <c r="E6" s="139" t="e">
        <f t="shared" si="0"/>
        <v>#NUM!</v>
      </c>
      <c r="F6" s="139" t="e">
        <f>_xll.qlDatedOISRateHelper("W"&amp;Currency&amp;B6&amp;C6&amp;D6,A6,A7,E6,OvernightIndex)</f>
        <v>#VALUE!</v>
      </c>
      <c r="G6" s="140" t="e">
        <f>_xll.qlRateHelperQuoteValue(F6,InterestRatesTrigger)</f>
        <v>#VALUE!</v>
      </c>
      <c r="H6" s="141" t="b">
        <v>0</v>
      </c>
      <c r="I6" s="141">
        <v>70</v>
      </c>
      <c r="J6" s="141">
        <v>5</v>
      </c>
      <c r="K6" s="142" t="e">
        <f>_xll.qlRateHelperEarliestDate($F6,InterestRatesTrigger)</f>
        <v>#VALUE!</v>
      </c>
      <c r="L6" s="143" t="e">
        <f>_xll.qlRateHelperLatestDate($F6,InterestRatesTrigger)</f>
        <v>#VALUE!</v>
      </c>
    </row>
    <row r="7" spans="1:13" x14ac:dyDescent="0.2">
      <c r="A7" s="29" t="e">
        <f>_xll.qlECBNextDate(A6)</f>
        <v>#NUM!</v>
      </c>
      <c r="B7" s="138" t="s">
        <v>76</v>
      </c>
      <c r="C7" s="148" t="s">
        <v>38</v>
      </c>
      <c r="D7" s="154" t="e">
        <f>_xll.qlECBcode(A7)</f>
        <v>#NUM!</v>
      </c>
      <c r="E7" s="139" t="e">
        <f t="shared" si="0"/>
        <v>#NUM!</v>
      </c>
      <c r="F7" s="139" t="e">
        <f>_xll.qlDatedOISRateHelper("W"&amp;Currency&amp;B7&amp;C7&amp;D7,A7,A8,E7,OvernightIndex)</f>
        <v>#VALUE!</v>
      </c>
      <c r="G7" s="140" t="e">
        <f>_xll.qlRateHelperQuoteValue(F7,InterestRatesTrigger)</f>
        <v>#VALUE!</v>
      </c>
      <c r="H7" s="141" t="b">
        <v>0</v>
      </c>
      <c r="I7" s="141">
        <v>70</v>
      </c>
      <c r="J7" s="141">
        <v>5</v>
      </c>
      <c r="K7" s="142" t="e">
        <f>_xll.qlRateHelperEarliestDate($F7,InterestRatesTrigger)</f>
        <v>#VALUE!</v>
      </c>
      <c r="L7" s="143" t="e">
        <f>_xll.qlRateHelperLatestDate($F7,InterestRatesTrigger)</f>
        <v>#VALUE!</v>
      </c>
    </row>
    <row r="8" spans="1:13" x14ac:dyDescent="0.2">
      <c r="A8" s="29" t="e">
        <f>_xll.qlECBNextDate(A7)</f>
        <v>#NUM!</v>
      </c>
      <c r="B8" s="138" t="s">
        <v>76</v>
      </c>
      <c r="C8" s="148" t="s">
        <v>38</v>
      </c>
      <c r="D8" s="154" t="e">
        <f>_xll.qlECBcode(A8)</f>
        <v>#NUM!</v>
      </c>
      <c r="E8" s="139" t="e">
        <f t="shared" si="0"/>
        <v>#NUM!</v>
      </c>
      <c r="F8" s="139" t="e">
        <f>_xll.qlDatedOISRateHelper("W"&amp;Currency&amp;B8&amp;C8&amp;D8,A8,A9,E8,OvernightIndex)</f>
        <v>#VALUE!</v>
      </c>
      <c r="G8" s="140" t="e">
        <f>_xll.qlRateHelperQuoteValue(F8,InterestRatesTrigger)</f>
        <v>#VALUE!</v>
      </c>
      <c r="H8" s="141" t="b">
        <v>0</v>
      </c>
      <c r="I8" s="141">
        <v>70</v>
      </c>
      <c r="J8" s="141">
        <v>1</v>
      </c>
      <c r="K8" s="142" t="e">
        <f>_xll.qlRateHelperEarliestDate($F8,InterestRatesTrigger)</f>
        <v>#VALUE!</v>
      </c>
      <c r="L8" s="143" t="e">
        <f>_xll.qlRateHelperLatestDate($F8,InterestRatesTrigger)</f>
        <v>#VALUE!</v>
      </c>
    </row>
    <row r="9" spans="1:13" x14ac:dyDescent="0.2">
      <c r="A9" s="29" t="e">
        <f>_xll.qlECBNextDate(A8)</f>
        <v>#NUM!</v>
      </c>
      <c r="B9" s="138" t="s">
        <v>76</v>
      </c>
      <c r="C9" s="148" t="s">
        <v>38</v>
      </c>
      <c r="D9" s="154" t="e">
        <f>_xll.qlECBcode(A9)</f>
        <v>#NUM!</v>
      </c>
      <c r="E9" s="139" t="e">
        <f t="shared" si="0"/>
        <v>#NUM!</v>
      </c>
      <c r="F9" s="139" t="e">
        <f>_xll.qlDatedOISRateHelper("W"&amp;Currency&amp;B9&amp;C9&amp;D9,A9,A10,E9,OvernightIndex)</f>
        <v>#VALUE!</v>
      </c>
      <c r="G9" s="140" t="e">
        <f>_xll.qlRateHelperQuoteValue(F9,InterestRatesTrigger)</f>
        <v>#VALUE!</v>
      </c>
      <c r="H9" s="141" t="b">
        <v>0</v>
      </c>
      <c r="I9" s="141">
        <v>70</v>
      </c>
      <c r="J9" s="141">
        <v>5</v>
      </c>
      <c r="K9" s="142" t="e">
        <f>_xll.qlRateHelperEarliestDate($F9,InterestRatesTrigger)</f>
        <v>#VALUE!</v>
      </c>
      <c r="L9" s="143" t="e">
        <f>_xll.qlRateHelperLatestDate($F9,InterestRatesTrigger)</f>
        <v>#VALUE!</v>
      </c>
    </row>
    <row r="10" spans="1:13" x14ac:dyDescent="0.2">
      <c r="A10" s="29" t="e">
        <f>_xll.qlECBNextDate(A9)</f>
        <v>#NUM!</v>
      </c>
      <c r="B10" s="138" t="s">
        <v>76</v>
      </c>
      <c r="C10" s="148" t="s">
        <v>38</v>
      </c>
      <c r="D10" s="154" t="e">
        <f>_xll.qlECBcode(A10)</f>
        <v>#NUM!</v>
      </c>
      <c r="E10" s="139" t="e">
        <f t="shared" si="0"/>
        <v>#NUM!</v>
      </c>
      <c r="F10" s="139" t="e">
        <f>_xll.qlDatedOISRateHelper("W"&amp;Currency&amp;B10&amp;C10&amp;D10,A10,A11,E10,OvernightIndex)</f>
        <v>#VALUE!</v>
      </c>
      <c r="G10" s="140" t="e">
        <f>_xll.qlRateHelperQuoteValue(F10,InterestRatesTrigger)</f>
        <v>#VALUE!</v>
      </c>
      <c r="H10" s="141" t="b">
        <v>0</v>
      </c>
      <c r="I10" s="141">
        <v>70</v>
      </c>
      <c r="J10" s="141">
        <v>5</v>
      </c>
      <c r="K10" s="142" t="e">
        <f>_xll.qlRateHelperEarliestDate($F10,InterestRatesTrigger)</f>
        <v>#VALUE!</v>
      </c>
      <c r="L10" s="143" t="e">
        <f>_xll.qlRateHelperLatestDate($F10,InterestRatesTrigger)</f>
        <v>#VALUE!</v>
      </c>
    </row>
    <row r="11" spans="1:13" x14ac:dyDescent="0.2">
      <c r="A11" s="29" t="e">
        <f>_xll.qlECBNextDate(A10)</f>
        <v>#NUM!</v>
      </c>
      <c r="B11" s="138" t="s">
        <v>76</v>
      </c>
      <c r="C11" s="148" t="s">
        <v>38</v>
      </c>
      <c r="D11" s="154" t="e">
        <f>_xll.qlECBcode(A11)</f>
        <v>#NUM!</v>
      </c>
      <c r="E11" s="139" t="e">
        <f t="shared" si="0"/>
        <v>#NUM!</v>
      </c>
      <c r="F11" s="139" t="e">
        <f>_xll.qlDatedOISRateHelper("W"&amp;Currency&amp;B11&amp;C11&amp;D11,A11,A12,E11,OvernightIndex)</f>
        <v>#VALUE!</v>
      </c>
      <c r="G11" s="140" t="e">
        <f>_xll.qlRateHelperQuoteValue(F11,InterestRatesTrigger)</f>
        <v>#VALUE!</v>
      </c>
      <c r="H11" s="141" t="b">
        <v>0</v>
      </c>
      <c r="I11" s="141">
        <v>70</v>
      </c>
      <c r="J11" s="141">
        <v>5</v>
      </c>
      <c r="K11" s="142" t="e">
        <f>_xll.qlRateHelperEarliestDate($F11,InterestRatesTrigger)</f>
        <v>#VALUE!</v>
      </c>
      <c r="L11" s="143" t="e">
        <f>_xll.qlRateHelperLatestDate($F11,InterestRatesTrigger)</f>
        <v>#VALUE!</v>
      </c>
    </row>
    <row r="12" spans="1:13" x14ac:dyDescent="0.2">
      <c r="A12" s="29" t="e">
        <f>_xll.qlECBNextDate(A11)</f>
        <v>#NUM!</v>
      </c>
      <c r="B12" s="138" t="s">
        <v>76</v>
      </c>
      <c r="C12" s="148" t="s">
        <v>38</v>
      </c>
      <c r="D12" s="154" t="e">
        <f>_xll.qlECBcode(A12)</f>
        <v>#NUM!</v>
      </c>
      <c r="E12" s="139" t="e">
        <f t="shared" si="0"/>
        <v>#NUM!</v>
      </c>
      <c r="F12" s="139" t="e">
        <f>_xll.qlDatedOISRateHelper("W"&amp;Currency&amp;B12&amp;C12&amp;D12,A12,A13,E12,OvernightIndex)</f>
        <v>#VALUE!</v>
      </c>
      <c r="G12" s="140" t="e">
        <f>_xll.qlRateHelperQuoteValue(F12,InterestRatesTrigger)</f>
        <v>#VALUE!</v>
      </c>
      <c r="H12" s="141" t="b">
        <v>0</v>
      </c>
      <c r="I12" s="141">
        <v>70</v>
      </c>
      <c r="J12" s="141">
        <v>5</v>
      </c>
      <c r="K12" s="142" t="e">
        <f>_xll.qlRateHelperEarliestDate($F12,InterestRatesTrigger)</f>
        <v>#VALUE!</v>
      </c>
      <c r="L12" s="143" t="e">
        <f>_xll.qlRateHelperLatestDate($F12,InterestRatesTrigger)</f>
        <v>#VALUE!</v>
      </c>
    </row>
    <row r="13" spans="1:13" ht="11.25" customHeight="1" x14ac:dyDescent="0.2">
      <c r="A13" s="29" t="e">
        <f>_xll.qlECBNextDate(A12)</f>
        <v>#NUM!</v>
      </c>
      <c r="B13" s="138" t="s">
        <v>76</v>
      </c>
      <c r="C13" s="148" t="s">
        <v>38</v>
      </c>
      <c r="D13" s="154" t="e">
        <f>_xll.qlECBcode(A13)</f>
        <v>#NUM!</v>
      </c>
      <c r="E13" s="139" t="e">
        <f t="shared" si="0"/>
        <v>#NUM!</v>
      </c>
      <c r="F13" s="139" t="e">
        <f>_xll.qlDatedOISRateHelper("W"&amp;Currency&amp;B13&amp;C13&amp;D13,A13,A14,E13,OvernightIndex)</f>
        <v>#VALUE!</v>
      </c>
      <c r="G13" s="140" t="e">
        <f>_xll.qlRateHelperQuoteValue(F13,InterestRatesTrigger)</f>
        <v>#VALUE!</v>
      </c>
      <c r="H13" s="141" t="b">
        <v>0</v>
      </c>
      <c r="I13" s="141">
        <v>70</v>
      </c>
      <c r="J13" s="141">
        <v>5</v>
      </c>
      <c r="K13" s="142" t="e">
        <f>_xll.qlRateHelperEarliestDate($F13,InterestRatesTrigger)</f>
        <v>#VALUE!</v>
      </c>
      <c r="L13" s="143" t="e">
        <f>_xll.qlRateHelperLatestDate($F13,InterestRatesTrigger)</f>
        <v>#VALUE!</v>
      </c>
    </row>
    <row r="14" spans="1:13" x14ac:dyDescent="0.2">
      <c r="A14" s="29" t="e">
        <f>_xll.qlECBNextDate(A13)</f>
        <v>#NUM!</v>
      </c>
      <c r="B14" s="145" t="s">
        <v>76</v>
      </c>
      <c r="C14" s="103" t="s">
        <v>38</v>
      </c>
      <c r="D14" s="154" t="e">
        <f>_xll.qlECBcode(A14)</f>
        <v>#NUM!</v>
      </c>
      <c r="E14" s="139" t="e">
        <f t="shared" si="0"/>
        <v>#NUM!</v>
      </c>
      <c r="F14" s="139" t="e">
        <f>_xll.qlDatedOISRateHelper("W"&amp;Currency&amp;B14&amp;C14&amp;D14,A14,A15,E14,OvernightIndex)</f>
        <v>#VALUE!</v>
      </c>
      <c r="G14" s="140" t="e">
        <f>_xll.qlRateHelperQuoteValue(F14,InterestRatesTrigger)</f>
        <v>#VALUE!</v>
      </c>
      <c r="H14" s="141" t="b">
        <v>0</v>
      </c>
      <c r="I14" s="141">
        <v>70</v>
      </c>
      <c r="J14" s="141">
        <v>5</v>
      </c>
      <c r="K14" s="142" t="e">
        <f>_xll.qlRateHelperEarliestDate($F14,InterestRatesTrigger)</f>
        <v>#VALUE!</v>
      </c>
      <c r="L14" s="143" t="e">
        <f>_xll.qlRateHelperLatestDate($F14,InterestRatesTrigger)</f>
        <v>#VALUE!</v>
      </c>
    </row>
    <row r="15" spans="1:13" x14ac:dyDescent="0.2">
      <c r="A15" s="29" t="e">
        <f>_xll.qlECBNextDate(A14)</f>
        <v>#NUM!</v>
      </c>
      <c r="B15" s="138"/>
      <c r="C15" s="148" t="str">
        <f t="shared" ref="C15:C33" si="1">IborType</f>
        <v>OIS</v>
      </c>
      <c r="D15" s="147" t="s">
        <v>37</v>
      </c>
      <c r="E15" s="47" t="str">
        <f t="shared" si="0"/>
        <v>GBPSWOIS_Quote</v>
      </c>
      <c r="F15" s="155" t="e">
        <f>_xll.qlOISRateHelper("W"&amp;Currency&amp;B15&amp;C15&amp;D15,2,"1w",E15,OvernightIndex,,EvaluationDate)</f>
        <v>#NUM!</v>
      </c>
      <c r="G15" s="134" t="e">
        <f>_xll.qlRateHelperQuoteValue(F15,InterestRatesTrigger)</f>
        <v>#VALUE!</v>
      </c>
      <c r="H15" s="135" t="b">
        <v>1</v>
      </c>
      <c r="I15" s="135">
        <v>50</v>
      </c>
      <c r="J15" s="135">
        <v>1</v>
      </c>
      <c r="K15" s="136" t="e">
        <f>_xll.qlRateHelperEarliestDate($F15,InterestRatesTrigger)</f>
        <v>#VALUE!</v>
      </c>
      <c r="L15" s="137" t="e">
        <f>_xll.qlRateHelperLatestDate($F15,InterestRatesTrigger)</f>
        <v>#VALUE!</v>
      </c>
    </row>
    <row r="16" spans="1:13" x14ac:dyDescent="0.2">
      <c r="B16" s="138"/>
      <c r="C16" s="148" t="str">
        <f t="shared" si="1"/>
        <v>OIS</v>
      </c>
      <c r="D16" s="149" t="s">
        <v>24</v>
      </c>
      <c r="E16" s="139" t="str">
        <f t="shared" si="0"/>
        <v>GBP2WOIS_Quote</v>
      </c>
      <c r="F16" s="139" t="e">
        <f>_xll.qlOISRateHelper("W"&amp;Currency&amp;B16&amp;C16&amp;D16,2,D16,E16,OvernightIndex,,EvaluationDate)</f>
        <v>#NUM!</v>
      </c>
      <c r="G16" s="140" t="e">
        <f>_xll.qlRateHelperQuoteValue(F16,InterestRatesTrigger)</f>
        <v>#VALUE!</v>
      </c>
      <c r="H16" s="141" t="b">
        <v>1</v>
      </c>
      <c r="I16" s="141">
        <v>50</v>
      </c>
      <c r="J16" s="141">
        <v>1</v>
      </c>
      <c r="K16" s="142" t="e">
        <f>_xll.qlRateHelperEarliestDate($F16,InterestRatesTrigger)</f>
        <v>#VALUE!</v>
      </c>
      <c r="L16" s="143" t="e">
        <f>_xll.qlRateHelperLatestDate($F16,InterestRatesTrigger)</f>
        <v>#VALUE!</v>
      </c>
    </row>
    <row r="17" spans="2:12" x14ac:dyDescent="0.2">
      <c r="B17" s="138"/>
      <c r="C17" s="148" t="str">
        <f t="shared" si="1"/>
        <v>OIS</v>
      </c>
      <c r="D17" s="149" t="s">
        <v>25</v>
      </c>
      <c r="E17" s="139" t="str">
        <f t="shared" si="0"/>
        <v>GBP3WOIS_Quote</v>
      </c>
      <c r="F17" s="139" t="e">
        <f>_xll.qlOISRateHelper("W"&amp;Currency&amp;B17&amp;C17&amp;D17,2,D17,E17,OvernightIndex,,EvaluationDate)</f>
        <v>#NUM!</v>
      </c>
      <c r="G17" s="140" t="e">
        <f>_xll.qlRateHelperQuoteValue(F17,InterestRatesTrigger)</f>
        <v>#VALUE!</v>
      </c>
      <c r="H17" s="141" t="b">
        <v>0</v>
      </c>
      <c r="I17" s="141">
        <v>50</v>
      </c>
      <c r="J17" s="141">
        <v>1</v>
      </c>
      <c r="K17" s="142" t="e">
        <f>_xll.qlRateHelperEarliestDate($F17,InterestRatesTrigger)</f>
        <v>#VALUE!</v>
      </c>
      <c r="L17" s="143" t="e">
        <f>_xll.qlRateHelperLatestDate($F17,InterestRatesTrigger)</f>
        <v>#VALUE!</v>
      </c>
    </row>
    <row r="18" spans="2:12" x14ac:dyDescent="0.2">
      <c r="B18" s="138"/>
      <c r="C18" s="148" t="str">
        <f t="shared" si="1"/>
        <v>OIS</v>
      </c>
      <c r="D18" s="149" t="s">
        <v>26</v>
      </c>
      <c r="E18" s="139" t="str">
        <f t="shared" si="0"/>
        <v>GBP1MOIS_Quote</v>
      </c>
      <c r="F18" s="139" t="e">
        <f>_xll.qlOISRateHelper("W"&amp;Currency&amp;B18&amp;C18&amp;D18,2,D18,E18,OvernightIndex,,EvaluationDate)</f>
        <v>#NUM!</v>
      </c>
      <c r="G18" s="140" t="e">
        <f>_xll.qlRateHelperQuoteValue(F18,InterestRatesTrigger)</f>
        <v>#VALUE!</v>
      </c>
      <c r="H18" s="141" t="b">
        <v>1</v>
      </c>
      <c r="I18" s="141">
        <v>50</v>
      </c>
      <c r="J18" s="141">
        <v>1</v>
      </c>
      <c r="K18" s="142" t="e">
        <f>_xll.qlRateHelperEarliestDate($F18,InterestRatesTrigger)</f>
        <v>#VALUE!</v>
      </c>
      <c r="L18" s="143" t="e">
        <f>_xll.qlRateHelperLatestDate($F18,InterestRatesTrigger)</f>
        <v>#VALUE!</v>
      </c>
    </row>
    <row r="19" spans="2:12" x14ac:dyDescent="0.2">
      <c r="B19" s="138"/>
      <c r="C19" s="148" t="str">
        <f t="shared" si="1"/>
        <v>OIS</v>
      </c>
      <c r="D19" s="149" t="s">
        <v>27</v>
      </c>
      <c r="E19" s="139" t="str">
        <f t="shared" si="0"/>
        <v>GBP2MOIS_Quote</v>
      </c>
      <c r="F19" s="139" t="e">
        <f>_xll.qlOISRateHelper("W"&amp;Currency&amp;B19&amp;C19&amp;D19,2,D19,E19,OvernightIndex,,EvaluationDate)</f>
        <v>#NUM!</v>
      </c>
      <c r="G19" s="140" t="e">
        <f>_xll.qlRateHelperQuoteValue(F19,InterestRatesTrigger)</f>
        <v>#VALUE!</v>
      </c>
      <c r="H19" s="141" t="b">
        <v>1</v>
      </c>
      <c r="I19" s="141">
        <v>50</v>
      </c>
      <c r="J19" s="141">
        <v>1</v>
      </c>
      <c r="K19" s="142" t="e">
        <f>_xll.qlRateHelperEarliestDate($F19,InterestRatesTrigger)</f>
        <v>#VALUE!</v>
      </c>
      <c r="L19" s="143" t="e">
        <f>_xll.qlRateHelperLatestDate($F19,InterestRatesTrigger)</f>
        <v>#VALUE!</v>
      </c>
    </row>
    <row r="20" spans="2:12" x14ac:dyDescent="0.2">
      <c r="B20" s="138"/>
      <c r="C20" s="148" t="str">
        <f t="shared" si="1"/>
        <v>OIS</v>
      </c>
      <c r="D20" s="149" t="s">
        <v>28</v>
      </c>
      <c r="E20" s="139" t="str">
        <f t="shared" si="0"/>
        <v>GBP3MOIS_Quote</v>
      </c>
      <c r="F20" s="139" t="e">
        <f>_xll.qlOISRateHelper("W"&amp;Currency&amp;B20&amp;C20&amp;D20,2,D20,E20,OvernightIndex,,EvaluationDate)</f>
        <v>#NUM!</v>
      </c>
      <c r="G20" s="140" t="e">
        <f>_xll.qlRateHelperQuoteValue(F20,InterestRatesTrigger)</f>
        <v>#VALUE!</v>
      </c>
      <c r="H20" s="141" t="b">
        <v>1</v>
      </c>
      <c r="I20" s="141">
        <v>50</v>
      </c>
      <c r="J20" s="141">
        <v>1</v>
      </c>
      <c r="K20" s="142" t="e">
        <f>_xll.qlRateHelperEarliestDate($F20,InterestRatesTrigger)</f>
        <v>#VALUE!</v>
      </c>
      <c r="L20" s="143" t="e">
        <f>_xll.qlRateHelperLatestDate($F20,InterestRatesTrigger)</f>
        <v>#VALUE!</v>
      </c>
    </row>
    <row r="21" spans="2:12" x14ac:dyDescent="0.2">
      <c r="B21" s="138"/>
      <c r="C21" s="148" t="str">
        <f t="shared" si="1"/>
        <v>OIS</v>
      </c>
      <c r="D21" s="149" t="s">
        <v>29</v>
      </c>
      <c r="E21" s="139" t="str">
        <f t="shared" si="0"/>
        <v>GBP4MOIS_Quote</v>
      </c>
      <c r="F21" s="139" t="e">
        <f>_xll.qlOISRateHelper("W"&amp;Currency&amp;B21&amp;C21&amp;D21,2,D21,E21,OvernightIndex,,EvaluationDate)</f>
        <v>#NUM!</v>
      </c>
      <c r="G21" s="140" t="e">
        <f>_xll.qlRateHelperQuoteValue(F21,InterestRatesTrigger)</f>
        <v>#VALUE!</v>
      </c>
      <c r="H21" s="141" t="b">
        <v>1</v>
      </c>
      <c r="I21" s="141">
        <v>50</v>
      </c>
      <c r="J21" s="141">
        <v>1</v>
      </c>
      <c r="K21" s="142" t="e">
        <f>_xll.qlRateHelperEarliestDate($F21,InterestRatesTrigger)</f>
        <v>#VALUE!</v>
      </c>
      <c r="L21" s="143" t="e">
        <f>_xll.qlRateHelperLatestDate($F21,InterestRatesTrigger)</f>
        <v>#VALUE!</v>
      </c>
    </row>
    <row r="22" spans="2:12" x14ac:dyDescent="0.2">
      <c r="B22" s="138"/>
      <c r="C22" s="148" t="str">
        <f t="shared" si="1"/>
        <v>OIS</v>
      </c>
      <c r="D22" s="149" t="s">
        <v>30</v>
      </c>
      <c r="E22" s="139" t="str">
        <f t="shared" si="0"/>
        <v>GBP5MOIS_Quote</v>
      </c>
      <c r="F22" s="139" t="e">
        <f>_xll.qlOISRateHelper("W"&amp;Currency&amp;B22&amp;C22&amp;D22,2,D22,E22,OvernightIndex,,EvaluationDate)</f>
        <v>#NUM!</v>
      </c>
      <c r="G22" s="140" t="e">
        <f>_xll.qlRateHelperQuoteValue(F22,InterestRatesTrigger)</f>
        <v>#VALUE!</v>
      </c>
      <c r="H22" s="141" t="b">
        <v>1</v>
      </c>
      <c r="I22" s="141">
        <v>50</v>
      </c>
      <c r="J22" s="141">
        <v>1</v>
      </c>
      <c r="K22" s="142" t="e">
        <f>_xll.qlRateHelperEarliestDate($F22,InterestRatesTrigger)</f>
        <v>#VALUE!</v>
      </c>
      <c r="L22" s="143" t="e">
        <f>_xll.qlRateHelperLatestDate($F22,InterestRatesTrigger)</f>
        <v>#VALUE!</v>
      </c>
    </row>
    <row r="23" spans="2:12" x14ac:dyDescent="0.2">
      <c r="B23" s="138"/>
      <c r="C23" s="148" t="str">
        <f t="shared" si="1"/>
        <v>OIS</v>
      </c>
      <c r="D23" s="149" t="s">
        <v>31</v>
      </c>
      <c r="E23" s="139" t="str">
        <f t="shared" si="0"/>
        <v>GBP6MOIS_Quote</v>
      </c>
      <c r="F23" s="139" t="e">
        <f>_xll.qlOISRateHelper("W"&amp;Currency&amp;B23&amp;C23&amp;D23,2,D23,E23,OvernightIndex,,EvaluationDate)</f>
        <v>#NUM!</v>
      </c>
      <c r="G23" s="140" t="e">
        <f>_xll.qlRateHelperQuoteValue(F23,InterestRatesTrigger)</f>
        <v>#VALUE!</v>
      </c>
      <c r="H23" s="141" t="b">
        <v>1</v>
      </c>
      <c r="I23" s="141">
        <v>50</v>
      </c>
      <c r="J23" s="141">
        <v>1</v>
      </c>
      <c r="K23" s="142" t="e">
        <f>_xll.qlRateHelperEarliestDate($F23,InterestRatesTrigger)</f>
        <v>#VALUE!</v>
      </c>
      <c r="L23" s="143" t="e">
        <f>_xll.qlRateHelperLatestDate($F23,InterestRatesTrigger)</f>
        <v>#VALUE!</v>
      </c>
    </row>
    <row r="24" spans="2:12" x14ac:dyDescent="0.2">
      <c r="B24" s="138"/>
      <c r="C24" s="148" t="str">
        <f t="shared" si="1"/>
        <v>OIS</v>
      </c>
      <c r="D24" s="149" t="s">
        <v>32</v>
      </c>
      <c r="E24" s="139" t="str">
        <f t="shared" si="0"/>
        <v>GBP7MOIS_Quote</v>
      </c>
      <c r="F24" s="139" t="e">
        <f>_xll.qlOISRateHelper("W"&amp;Currency&amp;B24&amp;C24&amp;D24,2,D24,E24,OvernightIndex,,EvaluationDate)</f>
        <v>#NUM!</v>
      </c>
      <c r="G24" s="140" t="e">
        <f>_xll.qlRateHelperQuoteValue(F24,InterestRatesTrigger)</f>
        <v>#VALUE!</v>
      </c>
      <c r="H24" s="141" t="b">
        <v>1</v>
      </c>
      <c r="I24" s="141">
        <v>50</v>
      </c>
      <c r="J24" s="141">
        <v>1</v>
      </c>
      <c r="K24" s="142" t="e">
        <f>_xll.qlRateHelperEarliestDate($F24,InterestRatesTrigger)</f>
        <v>#VALUE!</v>
      </c>
      <c r="L24" s="143" t="e">
        <f>_xll.qlRateHelperLatestDate($F24,InterestRatesTrigger)</f>
        <v>#VALUE!</v>
      </c>
    </row>
    <row r="25" spans="2:12" x14ac:dyDescent="0.2">
      <c r="B25" s="138"/>
      <c r="C25" s="148" t="str">
        <f t="shared" si="1"/>
        <v>OIS</v>
      </c>
      <c r="D25" s="149" t="s">
        <v>33</v>
      </c>
      <c r="E25" s="139" t="str">
        <f t="shared" si="0"/>
        <v>GBP8MOIS_Quote</v>
      </c>
      <c r="F25" s="139" t="e">
        <f>_xll.qlOISRateHelper("W"&amp;Currency&amp;B25&amp;C25&amp;D25,2,D25,E25,OvernightIndex,,EvaluationDate)</f>
        <v>#NUM!</v>
      </c>
      <c r="G25" s="140" t="e">
        <f>_xll.qlRateHelperQuoteValue(F25,InterestRatesTrigger)</f>
        <v>#VALUE!</v>
      </c>
      <c r="H25" s="141" t="b">
        <v>1</v>
      </c>
      <c r="I25" s="141">
        <v>50</v>
      </c>
      <c r="J25" s="141">
        <v>1</v>
      </c>
      <c r="K25" s="142" t="e">
        <f>_xll.qlRateHelperEarliestDate($F25,InterestRatesTrigger)</f>
        <v>#VALUE!</v>
      </c>
      <c r="L25" s="143" t="e">
        <f>_xll.qlRateHelperLatestDate($F25,InterestRatesTrigger)</f>
        <v>#VALUE!</v>
      </c>
    </row>
    <row r="26" spans="2:12" x14ac:dyDescent="0.2">
      <c r="B26" s="138"/>
      <c r="C26" s="148" t="str">
        <f t="shared" si="1"/>
        <v>OIS</v>
      </c>
      <c r="D26" s="149" t="s">
        <v>34</v>
      </c>
      <c r="E26" s="139" t="str">
        <f t="shared" si="0"/>
        <v>GBP9MOIS_Quote</v>
      </c>
      <c r="F26" s="139" t="e">
        <f>_xll.qlOISRateHelper("W"&amp;Currency&amp;B26&amp;C26&amp;D26,2,D26,E26,OvernightIndex,,EvaluationDate)</f>
        <v>#NUM!</v>
      </c>
      <c r="G26" s="140" t="e">
        <f>_xll.qlRateHelperQuoteValue(F26,InterestRatesTrigger)</f>
        <v>#VALUE!</v>
      </c>
      <c r="H26" s="141" t="b">
        <v>1</v>
      </c>
      <c r="I26" s="141">
        <v>50</v>
      </c>
      <c r="J26" s="141">
        <v>1</v>
      </c>
      <c r="K26" s="142" t="e">
        <f>_xll.qlRateHelperEarliestDate($F26,InterestRatesTrigger)</f>
        <v>#VALUE!</v>
      </c>
      <c r="L26" s="143" t="e">
        <f>_xll.qlRateHelperLatestDate($F26,InterestRatesTrigger)</f>
        <v>#VALUE!</v>
      </c>
    </row>
    <row r="27" spans="2:12" x14ac:dyDescent="0.2">
      <c r="B27" s="138"/>
      <c r="C27" s="148" t="str">
        <f t="shared" si="1"/>
        <v>OIS</v>
      </c>
      <c r="D27" s="149" t="s">
        <v>35</v>
      </c>
      <c r="E27" s="139" t="str">
        <f t="shared" si="0"/>
        <v>GBP10MOIS_Quote</v>
      </c>
      <c r="F27" s="139" t="e">
        <f>_xll.qlOISRateHelper("W"&amp;Currency&amp;B27&amp;C27&amp;D27,2,D27,E27,OvernightIndex,,EvaluationDate)</f>
        <v>#NUM!</v>
      </c>
      <c r="G27" s="140" t="e">
        <f>_xll.qlRateHelperQuoteValue(F27,InterestRatesTrigger)</f>
        <v>#VALUE!</v>
      </c>
      <c r="H27" s="141" t="b">
        <v>1</v>
      </c>
      <c r="I27" s="141">
        <v>50</v>
      </c>
      <c r="J27" s="141">
        <v>1</v>
      </c>
      <c r="K27" s="142" t="e">
        <f>_xll.qlRateHelperEarliestDate($F27,InterestRatesTrigger)</f>
        <v>#VALUE!</v>
      </c>
      <c r="L27" s="143" t="e">
        <f>_xll.qlRateHelperLatestDate($F27,InterestRatesTrigger)</f>
        <v>#VALUE!</v>
      </c>
    </row>
    <row r="28" spans="2:12" x14ac:dyDescent="0.2">
      <c r="B28" s="138"/>
      <c r="C28" s="148" t="str">
        <f t="shared" si="1"/>
        <v>OIS</v>
      </c>
      <c r="D28" s="149" t="s">
        <v>36</v>
      </c>
      <c r="E28" s="139" t="str">
        <f t="shared" si="0"/>
        <v>GBP11MOIS_Quote</v>
      </c>
      <c r="F28" s="139" t="e">
        <f>_xll.qlOISRateHelper("W"&amp;Currency&amp;B28&amp;C28&amp;D28,2,D28,E28,OvernightIndex,,EvaluationDate)</f>
        <v>#NUM!</v>
      </c>
      <c r="G28" s="140" t="e">
        <f>_xll.qlRateHelperQuoteValue(F28,InterestRatesTrigger)</f>
        <v>#VALUE!</v>
      </c>
      <c r="H28" s="141" t="b">
        <v>1</v>
      </c>
      <c r="I28" s="141">
        <v>50</v>
      </c>
      <c r="J28" s="141">
        <v>1</v>
      </c>
      <c r="K28" s="142" t="e">
        <f>_xll.qlRateHelperEarliestDate($F28,InterestRatesTrigger)</f>
        <v>#VALUE!</v>
      </c>
      <c r="L28" s="143" t="e">
        <f>_xll.qlRateHelperLatestDate($F28,InterestRatesTrigger)</f>
        <v>#VALUE!</v>
      </c>
    </row>
    <row r="29" spans="2:12" x14ac:dyDescent="0.2">
      <c r="B29" s="138"/>
      <c r="C29" s="148" t="str">
        <f t="shared" si="1"/>
        <v>OIS</v>
      </c>
      <c r="D29" s="149" t="s">
        <v>16</v>
      </c>
      <c r="E29" s="139" t="str">
        <f t="shared" si="0"/>
        <v>GBP1YOIS_Quote</v>
      </c>
      <c r="F29" s="139" t="e">
        <f>_xll.qlOISRateHelper("W"&amp;Currency&amp;B29&amp;C29&amp;D29,2,D29,E29,OvernightIndex,,EvaluationDate)</f>
        <v>#NUM!</v>
      </c>
      <c r="G29" s="140" t="e">
        <f>_xll.qlRateHelperQuoteValue(F29,InterestRatesTrigger)</f>
        <v>#VALUE!</v>
      </c>
      <c r="H29" s="141" t="b">
        <v>1</v>
      </c>
      <c r="I29" s="141">
        <v>50</v>
      </c>
      <c r="J29" s="141">
        <v>1</v>
      </c>
      <c r="K29" s="142" t="e">
        <f>_xll.qlRateHelperEarliestDate($F29,InterestRatesTrigger)</f>
        <v>#VALUE!</v>
      </c>
      <c r="L29" s="143" t="e">
        <f>_xll.qlRateHelperLatestDate($F29,InterestRatesTrigger)</f>
        <v>#VALUE!</v>
      </c>
    </row>
    <row r="30" spans="2:12" x14ac:dyDescent="0.2">
      <c r="B30" s="138"/>
      <c r="C30" s="148" t="str">
        <f t="shared" si="1"/>
        <v>OIS</v>
      </c>
      <c r="D30" s="149" t="s">
        <v>17</v>
      </c>
      <c r="E30" s="139" t="str">
        <f t="shared" si="0"/>
        <v>GBP15MOIS_Quote</v>
      </c>
      <c r="F30" s="139" t="e">
        <f>_xll.qlOISRateHelper("W"&amp;Currency&amp;B30&amp;C30&amp;D30,2,D30,E30,OvernightIndex,,EvaluationDate)</f>
        <v>#NUM!</v>
      </c>
      <c r="G30" s="140" t="e">
        <f>_xll.qlRateHelperQuoteValue(F30,InterestRatesTrigger)</f>
        <v>#VALUE!</v>
      </c>
      <c r="H30" s="141" t="b">
        <v>1</v>
      </c>
      <c r="I30" s="141">
        <v>50</v>
      </c>
      <c r="J30" s="141">
        <v>1</v>
      </c>
      <c r="K30" s="142" t="e">
        <f>_xll.qlRateHelperEarliestDate($F30,InterestRatesTrigger)</f>
        <v>#VALUE!</v>
      </c>
      <c r="L30" s="143" t="e">
        <f>_xll.qlRateHelperLatestDate($F30,InterestRatesTrigger)</f>
        <v>#VALUE!</v>
      </c>
    </row>
    <row r="31" spans="2:12" x14ac:dyDescent="0.2">
      <c r="B31" s="138"/>
      <c r="C31" s="148" t="str">
        <f t="shared" si="1"/>
        <v>OIS</v>
      </c>
      <c r="D31" s="149" t="s">
        <v>18</v>
      </c>
      <c r="E31" s="139" t="str">
        <f t="shared" si="0"/>
        <v>GBP18MOIS_Quote</v>
      </c>
      <c r="F31" s="139" t="e">
        <f>_xll.qlOISRateHelper("W"&amp;Currency&amp;B31&amp;C31&amp;D31,2,D31,E31,OvernightIndex,,EvaluationDate)</f>
        <v>#NUM!</v>
      </c>
      <c r="G31" s="140" t="e">
        <f>_xll.qlRateHelperQuoteValue(F31,InterestRatesTrigger)</f>
        <v>#VALUE!</v>
      </c>
      <c r="H31" s="141" t="b">
        <v>1</v>
      </c>
      <c r="I31" s="141">
        <v>50</v>
      </c>
      <c r="J31" s="141">
        <v>1</v>
      </c>
      <c r="K31" s="142" t="e">
        <f>_xll.qlRateHelperEarliestDate($F31,InterestRatesTrigger)</f>
        <v>#VALUE!</v>
      </c>
      <c r="L31" s="143" t="e">
        <f>_xll.qlRateHelperLatestDate($F31,InterestRatesTrigger)</f>
        <v>#VALUE!</v>
      </c>
    </row>
    <row r="32" spans="2:12" x14ac:dyDescent="0.2">
      <c r="B32" s="138"/>
      <c r="C32" s="148" t="str">
        <f t="shared" si="1"/>
        <v>OIS</v>
      </c>
      <c r="D32" s="149" t="s">
        <v>19</v>
      </c>
      <c r="E32" s="139" t="str">
        <f t="shared" si="0"/>
        <v>GBP21MOIS_Quote</v>
      </c>
      <c r="F32" s="139" t="e">
        <f>_xll.qlOISRateHelper("W"&amp;Currency&amp;B32&amp;C32&amp;D32,2,D32,E32,OvernightIndex,,EvaluationDate)</f>
        <v>#NUM!</v>
      </c>
      <c r="G32" s="140" t="e">
        <f>_xll.qlRateHelperQuoteValue(F32,InterestRatesTrigger)</f>
        <v>#VALUE!</v>
      </c>
      <c r="H32" s="141" t="b">
        <v>0</v>
      </c>
      <c r="I32" s="141">
        <v>50</v>
      </c>
      <c r="J32" s="141">
        <v>1</v>
      </c>
      <c r="K32" s="142" t="e">
        <f>_xll.qlRateHelperEarliestDate($F32,InterestRatesTrigger)</f>
        <v>#VALUE!</v>
      </c>
      <c r="L32" s="143" t="e">
        <f>_xll.qlRateHelperLatestDate($F32,InterestRatesTrigger)</f>
        <v>#VALUE!</v>
      </c>
    </row>
    <row r="33" spans="2:12" x14ac:dyDescent="0.2">
      <c r="B33" s="138"/>
      <c r="C33" s="148" t="str">
        <f t="shared" si="1"/>
        <v>OIS</v>
      </c>
      <c r="D33" s="149" t="s">
        <v>20</v>
      </c>
      <c r="E33" s="139" t="str">
        <f t="shared" si="0"/>
        <v>GBP2YOIS_Quote</v>
      </c>
      <c r="F33" s="139" t="e">
        <f>_xll.qlOISRateHelper("W"&amp;Currency&amp;B33&amp;C33&amp;D33,2,D33,E33,OvernightIndex,,EvaluationDate)</f>
        <v>#NUM!</v>
      </c>
      <c r="G33" s="140" t="e">
        <f>_xll.qlRateHelperQuoteValue(F33,InterestRatesTrigger)</f>
        <v>#VALUE!</v>
      </c>
      <c r="H33" s="141" t="b">
        <v>1</v>
      </c>
      <c r="I33" s="141">
        <v>50</v>
      </c>
      <c r="J33" s="141">
        <v>1</v>
      </c>
      <c r="K33" s="142" t="e">
        <f>_xll.qlRateHelperEarliestDate($F33,InterestRatesTrigger)</f>
        <v>#VALUE!</v>
      </c>
      <c r="L33" s="143" t="e">
        <f>_xll.qlRateHelperLatestDate($F33,InterestRatesTrigger)</f>
        <v>#VALUE!</v>
      </c>
    </row>
    <row r="34" spans="2:12" x14ac:dyDescent="0.2">
      <c r="B34" s="152"/>
      <c r="C34" s="152"/>
      <c r="D34" s="152"/>
      <c r="E34" s="47"/>
      <c r="F34" s="47"/>
      <c r="G34" s="152"/>
      <c r="H34" s="152"/>
      <c r="I34" s="152"/>
      <c r="J34" s="152"/>
      <c r="K34" s="152"/>
      <c r="L34" s="152"/>
    </row>
  </sheetData>
  <mergeCells count="1">
    <mergeCell ref="B1:D1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27"/>
  <sheetViews>
    <sheetView workbookViewId="0"/>
  </sheetViews>
  <sheetFormatPr defaultRowHeight="11.25" x14ac:dyDescent="0.2"/>
  <cols>
    <col min="1" max="1" width="16.140625" style="36" bestFit="1" customWidth="1"/>
    <col min="2" max="2" width="10" style="36" bestFit="1" customWidth="1"/>
    <col min="3" max="4" width="17.28515625" style="36" bestFit="1" customWidth="1"/>
    <col min="5" max="5" width="8" style="29" bestFit="1" customWidth="1"/>
    <col min="6" max="6" width="7.140625" style="29" bestFit="1" customWidth="1"/>
    <col min="7" max="7" width="6.42578125" style="29" bestFit="1" customWidth="1"/>
    <col min="8" max="8" width="10" style="29" bestFit="1" customWidth="1"/>
    <col min="9" max="9" width="8" style="29" bestFit="1" customWidth="1"/>
    <col min="10" max="10" width="15.140625" style="29" bestFit="1" customWidth="1"/>
    <col min="11" max="11" width="7" style="29" bestFit="1" customWidth="1"/>
    <col min="12" max="12" width="10" style="29" bestFit="1" customWidth="1"/>
    <col min="13" max="13" width="2.140625" style="29" customWidth="1"/>
    <col min="14" max="14" width="5" style="29" bestFit="1" customWidth="1"/>
    <col min="15" max="16" width="10" style="29" customWidth="1"/>
    <col min="17" max="17" width="8" style="29" bestFit="1" customWidth="1"/>
    <col min="18" max="16384" width="9.140625" style="29"/>
  </cols>
  <sheetData>
    <row r="1" spans="1:17" ht="33.75" x14ac:dyDescent="0.2">
      <c r="A1" s="27" t="s">
        <v>48</v>
      </c>
      <c r="B1" s="42" t="s">
        <v>23</v>
      </c>
      <c r="C1" s="42" t="s">
        <v>0</v>
      </c>
      <c r="D1" s="28" t="s">
        <v>1</v>
      </c>
      <c r="E1" s="121" t="s">
        <v>42</v>
      </c>
      <c r="F1" s="121" t="s">
        <v>43</v>
      </c>
      <c r="G1" s="121" t="s">
        <v>47</v>
      </c>
      <c r="H1" s="121" t="s">
        <v>49</v>
      </c>
      <c r="I1" s="121" t="s">
        <v>69</v>
      </c>
      <c r="J1" s="121" t="e">
        <f>_xll.qlInterpolation(,FwdInterpolation,_xll.ohFilter(H3:H127,G3:G127),_xll.ohFilter(I3:I127,G3:G127))</f>
        <v>#NUM!</v>
      </c>
      <c r="K1" s="121" t="s">
        <v>50</v>
      </c>
      <c r="L1" s="121" t="s">
        <v>41</v>
      </c>
      <c r="M1" s="121"/>
      <c r="O1" s="121" t="s">
        <v>72</v>
      </c>
      <c r="P1" s="121" t="s">
        <v>73</v>
      </c>
      <c r="Q1" s="121" t="s">
        <v>70</v>
      </c>
    </row>
    <row r="2" spans="1:17" x14ac:dyDescent="0.2">
      <c r="A2" s="43"/>
      <c r="B2" s="44"/>
      <c r="C2" s="45"/>
      <c r="D2" s="38" t="e">
        <f>'General Settings'!C24</f>
        <v>#VALUE!</v>
      </c>
      <c r="I2" s="33" t="e">
        <f t="array" ref="I2:I127">_xll.qlPiecewiseYieldCurveData(YieldCurve,InterestRatesTrigger)</f>
        <v>#VALUE!</v>
      </c>
      <c r="J2" s="88"/>
    </row>
    <row r="3" spans="1:17" x14ac:dyDescent="0.2">
      <c r="A3" s="30" t="e">
        <f t="array" ref="A3:A127">_xll.qlRateHelperSelection(_xll.ohFilter(RateHelpers,RateHelpersIncluded),_xll.ohFilter(RateHelpersPriority,RateHelpersIncluded),0,0,2,"AllDepos",_xll.ohFilter(MinDistance,RateHelpersIncluded))</f>
        <v>#NUM!</v>
      </c>
      <c r="B3" s="31" t="e">
        <f>_xll.qlRateHelperRate($A3,InterestRatesTrigger)</f>
        <v>#VALUE!</v>
      </c>
      <c r="C3" s="37" t="e">
        <f>_xll.qlRateHelperEarliestDate($A3)</f>
        <v>#VALUE!</v>
      </c>
      <c r="D3" s="38" t="e">
        <f>_xll.qlRateHelperLatestDate($A3)</f>
        <v>#VALUE!</v>
      </c>
      <c r="E3" s="29" t="b">
        <f t="shared" ref="E3:E34" si="0">IF(ISERROR($D3),FALSE,AND($D2&lt;=LastDayInYear,$D3&gt;LastDayInYear))</f>
        <v>0</v>
      </c>
      <c r="F3" s="29" t="b">
        <f t="shared" ref="F3:F34" si="1">IF(ISERROR($D3),FALSE,AND($D2&lt;=LastDayInNextYear,$D3&gt;LastDayInNextYear))</f>
        <v>0</v>
      </c>
      <c r="G3" s="29" t="b">
        <f t="shared" ref="G3:G34" si="2">IF(ISERROR(D3),FALSE,AND(NOT(E3),NOT(F3)))</f>
        <v>0</v>
      </c>
      <c r="H3" s="32" t="e">
        <f t="shared" ref="H3:H27" si="3">IF(ISERROR(D3),NA(),(D3-D2)/2+D2)</f>
        <v>#N/A</v>
      </c>
      <c r="I3" s="33" t="e">
        <v>#VALUE!</v>
      </c>
      <c r="J3" s="89" t="e">
        <f>_xll.qlInterpolationInterpolate($J$1,H3)</f>
        <v>#VALUE!</v>
      </c>
      <c r="K3" s="41" t="e">
        <f>_xll.qlDayCounterYearFraction(DayCounter,D2,D3)</f>
        <v>#NUM!</v>
      </c>
      <c r="L3" s="33" t="e">
        <f>MIN(EXP((J3-I3)*K3),1)</f>
        <v>#VALUE!</v>
      </c>
      <c r="M3" s="33"/>
      <c r="N3" s="90" t="s">
        <v>41</v>
      </c>
      <c r="O3" s="150"/>
      <c r="P3" s="48">
        <f>MIN(IF(ISBLANK($O3),AVERAGE(_xll.ohFilter($L$3:$L$127,$E$3:$E$127)),$O3),1)</f>
        <v>0</v>
      </c>
      <c r="Q3" s="33" t="e">
        <f>-LN(P3)/'General Settings'!$F10</f>
        <v>#NUM!</v>
      </c>
    </row>
    <row r="4" spans="1:17" x14ac:dyDescent="0.2">
      <c r="A4" s="30" t="e">
        <v>#NUM!</v>
      </c>
      <c r="B4" s="31" t="e">
        <f>_xll.qlRateHelperRate($A4,InterestRatesTrigger)</f>
        <v>#VALUE!</v>
      </c>
      <c r="C4" s="37" t="e">
        <f>_xll.qlRateHelperEarliestDate($A4)</f>
        <v>#VALUE!</v>
      </c>
      <c r="D4" s="38" t="e">
        <f>_xll.qlRateHelperLatestDate($A4)</f>
        <v>#VALUE!</v>
      </c>
      <c r="E4" s="29" t="b">
        <f t="shared" si="0"/>
        <v>0</v>
      </c>
      <c r="F4" s="29" t="b">
        <f t="shared" si="1"/>
        <v>0</v>
      </c>
      <c r="G4" s="29" t="b">
        <f t="shared" si="2"/>
        <v>0</v>
      </c>
      <c r="H4" s="32" t="e">
        <f t="shared" si="3"/>
        <v>#N/A</v>
      </c>
      <c r="I4" s="33" t="e">
        <v>#VALUE!</v>
      </c>
      <c r="J4" s="89" t="e">
        <f>_xll.qlInterpolationInterpolate($J$1,H4)</f>
        <v>#VALUE!</v>
      </c>
      <c r="K4" s="41" t="e">
        <f>_xll.qlDayCounterYearFraction(DayCounter,D3,D4)</f>
        <v>#NUM!</v>
      </c>
      <c r="L4" s="33" t="e">
        <f t="shared" ref="L4:L67" si="4">MIN(EXP((J4-I4)*K4),1)</f>
        <v>#VALUE!</v>
      </c>
      <c r="M4" s="33"/>
      <c r="N4" s="91" t="s">
        <v>43</v>
      </c>
      <c r="O4" s="151"/>
      <c r="P4" s="49">
        <f>MIN(IF(ISBLANK($O4),AVERAGE(_xll.ohFilter($L$3:$L$127,$F$3:$F$127)),$O4),1)</f>
        <v>0</v>
      </c>
      <c r="Q4" s="33" t="e">
        <f>-LN(P4)/'General Settings'!$F11</f>
        <v>#NUM!</v>
      </c>
    </row>
    <row r="5" spans="1:17" x14ac:dyDescent="0.2">
      <c r="A5" s="30" t="e">
        <v>#NUM!</v>
      </c>
      <c r="B5" s="31" t="e">
        <f>_xll.qlRateHelperRate($A5,InterestRatesTrigger)</f>
        <v>#VALUE!</v>
      </c>
      <c r="C5" s="37" t="e">
        <f>_xll.qlRateHelperEarliestDate($A5)</f>
        <v>#VALUE!</v>
      </c>
      <c r="D5" s="38" t="e">
        <f>_xll.qlRateHelperLatestDate($A5)</f>
        <v>#VALUE!</v>
      </c>
      <c r="E5" s="29" t="b">
        <f t="shared" si="0"/>
        <v>0</v>
      </c>
      <c r="F5" s="29" t="b">
        <f t="shared" si="1"/>
        <v>0</v>
      </c>
      <c r="G5" s="29" t="b">
        <f t="shared" si="2"/>
        <v>0</v>
      </c>
      <c r="H5" s="32" t="e">
        <f t="shared" si="3"/>
        <v>#N/A</v>
      </c>
      <c r="I5" s="33" t="e">
        <v>#VALUE!</v>
      </c>
      <c r="J5" s="89" t="e">
        <f>_xll.qlInterpolationInterpolate($J$1,H5)</f>
        <v>#VALUE!</v>
      </c>
      <c r="K5" s="41" t="e">
        <f>_xll.qlDayCounterYearFraction(DayCounter,D4,D5)</f>
        <v>#NUM!</v>
      </c>
      <c r="L5" s="33" t="e">
        <f t="shared" si="4"/>
        <v>#VALUE!</v>
      </c>
      <c r="M5" s="33"/>
    </row>
    <row r="6" spans="1:17" x14ac:dyDescent="0.2">
      <c r="A6" s="30" t="e">
        <v>#NUM!</v>
      </c>
      <c r="B6" s="31" t="e">
        <f>_xll.qlRateHelperRate($A6,InterestRatesTrigger)</f>
        <v>#VALUE!</v>
      </c>
      <c r="C6" s="37" t="e">
        <f>_xll.qlRateHelperEarliestDate($A6)</f>
        <v>#VALUE!</v>
      </c>
      <c r="D6" s="38" t="e">
        <f>_xll.qlRateHelperLatestDate($A6)</f>
        <v>#VALUE!</v>
      </c>
      <c r="E6" s="29" t="b">
        <f t="shared" si="0"/>
        <v>0</v>
      </c>
      <c r="F6" s="29" t="b">
        <f t="shared" si="1"/>
        <v>0</v>
      </c>
      <c r="G6" s="29" t="b">
        <f t="shared" si="2"/>
        <v>0</v>
      </c>
      <c r="H6" s="32" t="e">
        <f t="shared" si="3"/>
        <v>#N/A</v>
      </c>
      <c r="I6" s="33" t="e">
        <v>#VALUE!</v>
      </c>
      <c r="J6" s="89" t="e">
        <f>_xll.qlInterpolationInterpolate($J$1,H6)</f>
        <v>#VALUE!</v>
      </c>
      <c r="K6" s="41" t="e">
        <f>_xll.qlDayCounterYearFraction(DayCounter,D5,D6)</f>
        <v>#NUM!</v>
      </c>
      <c r="L6" s="33" t="e">
        <f t="shared" si="4"/>
        <v>#VALUE!</v>
      </c>
      <c r="M6" s="33"/>
    </row>
    <row r="7" spans="1:17" x14ac:dyDescent="0.2">
      <c r="A7" s="30" t="e">
        <v>#NUM!</v>
      </c>
      <c r="B7" s="31" t="e">
        <f>_xll.qlRateHelperRate($A7,InterestRatesTrigger)</f>
        <v>#VALUE!</v>
      </c>
      <c r="C7" s="37" t="e">
        <f>_xll.qlRateHelperEarliestDate($A7)</f>
        <v>#VALUE!</v>
      </c>
      <c r="D7" s="38" t="e">
        <f>_xll.qlRateHelperLatestDate($A7)</f>
        <v>#VALUE!</v>
      </c>
      <c r="E7" s="29" t="b">
        <f t="shared" si="0"/>
        <v>0</v>
      </c>
      <c r="F7" s="29" t="b">
        <f t="shared" si="1"/>
        <v>0</v>
      </c>
      <c r="G7" s="29" t="b">
        <f t="shared" si="2"/>
        <v>0</v>
      </c>
      <c r="H7" s="32" t="e">
        <f t="shared" si="3"/>
        <v>#N/A</v>
      </c>
      <c r="I7" s="33" t="e">
        <v>#VALUE!</v>
      </c>
      <c r="J7" s="89" t="e">
        <f>_xll.qlInterpolationInterpolate($J$1,H7)</f>
        <v>#VALUE!</v>
      </c>
      <c r="K7" s="41" t="e">
        <f>_xll.qlDayCounterYearFraction(DayCounter,D6,D7)</f>
        <v>#NUM!</v>
      </c>
      <c r="L7" s="33" t="e">
        <f t="shared" si="4"/>
        <v>#VALUE!</v>
      </c>
      <c r="M7" s="33"/>
    </row>
    <row r="8" spans="1:17" x14ac:dyDescent="0.2">
      <c r="A8" s="30" t="e">
        <v>#NUM!</v>
      </c>
      <c r="B8" s="31" t="e">
        <f>_xll.qlRateHelperRate($A8,InterestRatesTrigger)</f>
        <v>#VALUE!</v>
      </c>
      <c r="C8" s="37" t="e">
        <f>_xll.qlRateHelperEarliestDate($A8)</f>
        <v>#VALUE!</v>
      </c>
      <c r="D8" s="38" t="e">
        <f>_xll.qlRateHelperLatestDate($A8)</f>
        <v>#VALUE!</v>
      </c>
      <c r="E8" s="29" t="b">
        <f t="shared" si="0"/>
        <v>0</v>
      </c>
      <c r="F8" s="29" t="b">
        <f t="shared" si="1"/>
        <v>0</v>
      </c>
      <c r="G8" s="29" t="b">
        <f t="shared" si="2"/>
        <v>0</v>
      </c>
      <c r="H8" s="32" t="e">
        <f t="shared" si="3"/>
        <v>#N/A</v>
      </c>
      <c r="I8" s="33" t="e">
        <v>#VALUE!</v>
      </c>
      <c r="J8" s="89" t="e">
        <f>_xll.qlInterpolationInterpolate($J$1,H8)</f>
        <v>#VALUE!</v>
      </c>
      <c r="K8" s="41" t="e">
        <f>_xll.qlDayCounterYearFraction(DayCounter,D7,D8)</f>
        <v>#NUM!</v>
      </c>
      <c r="L8" s="33" t="e">
        <f t="shared" si="4"/>
        <v>#VALUE!</v>
      </c>
      <c r="M8" s="33"/>
    </row>
    <row r="9" spans="1:17" x14ac:dyDescent="0.2">
      <c r="A9" s="30" t="e">
        <v>#NUM!</v>
      </c>
      <c r="B9" s="31" t="e">
        <f>_xll.qlRateHelperRate($A9,InterestRatesTrigger)</f>
        <v>#VALUE!</v>
      </c>
      <c r="C9" s="37" t="e">
        <f>_xll.qlRateHelperEarliestDate($A9)</f>
        <v>#VALUE!</v>
      </c>
      <c r="D9" s="38" t="e">
        <f>_xll.qlRateHelperLatestDate($A9)</f>
        <v>#VALUE!</v>
      </c>
      <c r="E9" s="29" t="b">
        <f t="shared" si="0"/>
        <v>0</v>
      </c>
      <c r="F9" s="29" t="b">
        <f t="shared" si="1"/>
        <v>0</v>
      </c>
      <c r="G9" s="29" t="b">
        <f t="shared" si="2"/>
        <v>0</v>
      </c>
      <c r="H9" s="32" t="e">
        <f t="shared" si="3"/>
        <v>#N/A</v>
      </c>
      <c r="I9" s="33" t="e">
        <v>#VALUE!</v>
      </c>
      <c r="J9" s="89" t="e">
        <f>_xll.qlInterpolationInterpolate($J$1,H9)</f>
        <v>#VALUE!</v>
      </c>
      <c r="K9" s="41" t="e">
        <f>_xll.qlDayCounterYearFraction(DayCounter,D8,D9)</f>
        <v>#NUM!</v>
      </c>
      <c r="L9" s="33" t="e">
        <f t="shared" si="4"/>
        <v>#VALUE!</v>
      </c>
      <c r="M9" s="33"/>
    </row>
    <row r="10" spans="1:17" x14ac:dyDescent="0.2">
      <c r="A10" s="30" t="e">
        <v>#NUM!</v>
      </c>
      <c r="B10" s="31" t="e">
        <f>_xll.qlRateHelperRate($A10,InterestRatesTrigger)</f>
        <v>#VALUE!</v>
      </c>
      <c r="C10" s="37" t="e">
        <f>_xll.qlRateHelperEarliestDate($A10)</f>
        <v>#VALUE!</v>
      </c>
      <c r="D10" s="38" t="e">
        <f>_xll.qlRateHelperLatestDate($A10)</f>
        <v>#VALUE!</v>
      </c>
      <c r="E10" s="29" t="b">
        <f t="shared" si="0"/>
        <v>0</v>
      </c>
      <c r="F10" s="29" t="b">
        <f t="shared" si="1"/>
        <v>0</v>
      </c>
      <c r="G10" s="29" t="b">
        <f t="shared" si="2"/>
        <v>0</v>
      </c>
      <c r="H10" s="32" t="e">
        <f t="shared" si="3"/>
        <v>#N/A</v>
      </c>
      <c r="I10" s="33" t="e">
        <v>#VALUE!</v>
      </c>
      <c r="J10" s="89" t="e">
        <f>_xll.qlInterpolationInterpolate($J$1,H10)</f>
        <v>#VALUE!</v>
      </c>
      <c r="K10" s="41" t="e">
        <f>_xll.qlDayCounterYearFraction(DayCounter,D9,D10)</f>
        <v>#NUM!</v>
      </c>
      <c r="L10" s="33" t="e">
        <f t="shared" si="4"/>
        <v>#VALUE!</v>
      </c>
      <c r="M10" s="33"/>
    </row>
    <row r="11" spans="1:17" x14ac:dyDescent="0.2">
      <c r="A11" s="30" t="e">
        <v>#NUM!</v>
      </c>
      <c r="B11" s="31" t="e">
        <f>_xll.qlRateHelperRate($A11,InterestRatesTrigger)</f>
        <v>#VALUE!</v>
      </c>
      <c r="C11" s="37" t="e">
        <f>_xll.qlRateHelperEarliestDate($A11)</f>
        <v>#VALUE!</v>
      </c>
      <c r="D11" s="38" t="e">
        <f>_xll.qlRateHelperLatestDate($A11)</f>
        <v>#VALUE!</v>
      </c>
      <c r="E11" s="29" t="b">
        <f t="shared" si="0"/>
        <v>0</v>
      </c>
      <c r="F11" s="29" t="b">
        <f t="shared" si="1"/>
        <v>0</v>
      </c>
      <c r="G11" s="29" t="b">
        <f t="shared" si="2"/>
        <v>0</v>
      </c>
      <c r="H11" s="32" t="e">
        <f t="shared" si="3"/>
        <v>#N/A</v>
      </c>
      <c r="I11" s="33" t="e">
        <v>#VALUE!</v>
      </c>
      <c r="J11" s="89" t="e">
        <f>_xll.qlInterpolationInterpolate($J$1,H11)</f>
        <v>#VALUE!</v>
      </c>
      <c r="K11" s="41" t="e">
        <f>_xll.qlDayCounterYearFraction(DayCounter,D10,D11)</f>
        <v>#NUM!</v>
      </c>
      <c r="L11" s="33" t="e">
        <f t="shared" si="4"/>
        <v>#VALUE!</v>
      </c>
      <c r="M11" s="33"/>
    </row>
    <row r="12" spans="1:17" x14ac:dyDescent="0.2">
      <c r="A12" s="30" t="e">
        <v>#NUM!</v>
      </c>
      <c r="B12" s="31" t="e">
        <f>_xll.qlRateHelperRate($A12,InterestRatesTrigger)</f>
        <v>#VALUE!</v>
      </c>
      <c r="C12" s="37" t="e">
        <f>_xll.qlRateHelperEarliestDate($A12)</f>
        <v>#VALUE!</v>
      </c>
      <c r="D12" s="38" t="e">
        <f>_xll.qlRateHelperLatestDate($A12)</f>
        <v>#VALUE!</v>
      </c>
      <c r="E12" s="29" t="b">
        <f t="shared" si="0"/>
        <v>0</v>
      </c>
      <c r="F12" s="29" t="b">
        <f t="shared" si="1"/>
        <v>0</v>
      </c>
      <c r="G12" s="29" t="b">
        <f t="shared" si="2"/>
        <v>0</v>
      </c>
      <c r="H12" s="32" t="e">
        <f t="shared" si="3"/>
        <v>#N/A</v>
      </c>
      <c r="I12" s="33" t="e">
        <v>#VALUE!</v>
      </c>
      <c r="J12" s="89" t="e">
        <f>_xll.qlInterpolationInterpolate($J$1,H12)</f>
        <v>#VALUE!</v>
      </c>
      <c r="K12" s="41" t="e">
        <f>_xll.qlDayCounterYearFraction(DayCounter,D11,D12)</f>
        <v>#NUM!</v>
      </c>
      <c r="L12" s="33" t="e">
        <f t="shared" si="4"/>
        <v>#VALUE!</v>
      </c>
      <c r="M12" s="33"/>
    </row>
    <row r="13" spans="1:17" x14ac:dyDescent="0.2">
      <c r="A13" s="30" t="e">
        <v>#NUM!</v>
      </c>
      <c r="B13" s="31" t="e">
        <f>_xll.qlRateHelperRate($A13,InterestRatesTrigger)</f>
        <v>#VALUE!</v>
      </c>
      <c r="C13" s="37" t="e">
        <f>_xll.qlRateHelperEarliestDate($A13)</f>
        <v>#VALUE!</v>
      </c>
      <c r="D13" s="38" t="e">
        <f>_xll.qlRateHelperLatestDate($A13)</f>
        <v>#VALUE!</v>
      </c>
      <c r="E13" s="29" t="b">
        <f t="shared" si="0"/>
        <v>0</v>
      </c>
      <c r="F13" s="29" t="b">
        <f t="shared" si="1"/>
        <v>0</v>
      </c>
      <c r="G13" s="29" t="b">
        <f t="shared" si="2"/>
        <v>0</v>
      </c>
      <c r="H13" s="32" t="e">
        <f t="shared" si="3"/>
        <v>#N/A</v>
      </c>
      <c r="I13" s="33" t="e">
        <v>#VALUE!</v>
      </c>
      <c r="J13" s="89" t="e">
        <f>_xll.qlInterpolationInterpolate($J$1,H13)</f>
        <v>#VALUE!</v>
      </c>
      <c r="K13" s="41" t="e">
        <f>_xll.qlDayCounterYearFraction(DayCounter,D12,D13)</f>
        <v>#NUM!</v>
      </c>
      <c r="L13" s="33" t="e">
        <f t="shared" si="4"/>
        <v>#VALUE!</v>
      </c>
      <c r="M13" s="33"/>
    </row>
    <row r="14" spans="1:17" x14ac:dyDescent="0.2">
      <c r="A14" s="30" t="e">
        <v>#NUM!</v>
      </c>
      <c r="B14" s="31" t="e">
        <f>_xll.qlRateHelperRate($A14,InterestRatesTrigger)</f>
        <v>#VALUE!</v>
      </c>
      <c r="C14" s="37" t="e">
        <f>_xll.qlRateHelperEarliestDate($A14)</f>
        <v>#VALUE!</v>
      </c>
      <c r="D14" s="38" t="e">
        <f>_xll.qlRateHelperLatestDate($A14)</f>
        <v>#VALUE!</v>
      </c>
      <c r="E14" s="29" t="b">
        <f t="shared" si="0"/>
        <v>0</v>
      </c>
      <c r="F14" s="29" t="b">
        <f t="shared" si="1"/>
        <v>0</v>
      </c>
      <c r="G14" s="29" t="b">
        <f t="shared" si="2"/>
        <v>0</v>
      </c>
      <c r="H14" s="32" t="e">
        <f t="shared" si="3"/>
        <v>#N/A</v>
      </c>
      <c r="I14" s="33" t="e">
        <v>#VALUE!</v>
      </c>
      <c r="J14" s="89" t="e">
        <f>_xll.qlInterpolationInterpolate($J$1,H14)</f>
        <v>#VALUE!</v>
      </c>
      <c r="K14" s="41" t="e">
        <f>_xll.qlDayCounterYearFraction(DayCounter,D13,D14)</f>
        <v>#NUM!</v>
      </c>
      <c r="L14" s="33" t="e">
        <f t="shared" si="4"/>
        <v>#VALUE!</v>
      </c>
      <c r="M14" s="33"/>
    </row>
    <row r="15" spans="1:17" x14ac:dyDescent="0.2">
      <c r="A15" s="30" t="e">
        <v>#NUM!</v>
      </c>
      <c r="B15" s="31" t="e">
        <f>_xll.qlRateHelperRate($A15,InterestRatesTrigger)</f>
        <v>#VALUE!</v>
      </c>
      <c r="C15" s="37" t="e">
        <f>_xll.qlRateHelperEarliestDate($A15)</f>
        <v>#VALUE!</v>
      </c>
      <c r="D15" s="38" t="e">
        <f>_xll.qlRateHelperLatestDate($A15)</f>
        <v>#VALUE!</v>
      </c>
      <c r="E15" s="29" t="b">
        <f t="shared" si="0"/>
        <v>0</v>
      </c>
      <c r="F15" s="29" t="b">
        <f t="shared" si="1"/>
        <v>0</v>
      </c>
      <c r="G15" s="29" t="b">
        <f t="shared" si="2"/>
        <v>0</v>
      </c>
      <c r="H15" s="32" t="e">
        <f t="shared" si="3"/>
        <v>#N/A</v>
      </c>
      <c r="I15" s="33" t="e">
        <v>#VALUE!</v>
      </c>
      <c r="J15" s="89" t="e">
        <f>_xll.qlInterpolationInterpolate($J$1,H15)</f>
        <v>#VALUE!</v>
      </c>
      <c r="K15" s="41" t="e">
        <f>_xll.qlDayCounterYearFraction(DayCounter,D14,D15)</f>
        <v>#NUM!</v>
      </c>
      <c r="L15" s="33" t="e">
        <f t="shared" si="4"/>
        <v>#VALUE!</v>
      </c>
      <c r="M15" s="33"/>
    </row>
    <row r="16" spans="1:17" x14ac:dyDescent="0.2">
      <c r="A16" s="30" t="e">
        <v>#NUM!</v>
      </c>
      <c r="B16" s="31" t="e">
        <f>_xll.qlRateHelperRate($A16,InterestRatesTrigger)</f>
        <v>#VALUE!</v>
      </c>
      <c r="C16" s="37" t="e">
        <f>_xll.qlRateHelperEarliestDate($A16)</f>
        <v>#VALUE!</v>
      </c>
      <c r="D16" s="38" t="e">
        <f>_xll.qlRateHelperLatestDate($A16)</f>
        <v>#VALUE!</v>
      </c>
      <c r="E16" s="29" t="b">
        <f t="shared" si="0"/>
        <v>0</v>
      </c>
      <c r="F16" s="29" t="b">
        <f t="shared" si="1"/>
        <v>0</v>
      </c>
      <c r="G16" s="29" t="b">
        <f t="shared" si="2"/>
        <v>0</v>
      </c>
      <c r="H16" s="32" t="e">
        <f t="shared" si="3"/>
        <v>#N/A</v>
      </c>
      <c r="I16" s="33" t="e">
        <v>#VALUE!</v>
      </c>
      <c r="J16" s="89" t="e">
        <f>_xll.qlInterpolationInterpolate($J$1,H16)</f>
        <v>#VALUE!</v>
      </c>
      <c r="K16" s="41" t="e">
        <f>_xll.qlDayCounterYearFraction(DayCounter,D15,D16)</f>
        <v>#NUM!</v>
      </c>
      <c r="L16" s="33" t="e">
        <f t="shared" si="4"/>
        <v>#VALUE!</v>
      </c>
      <c r="M16" s="33"/>
    </row>
    <row r="17" spans="1:13" x14ac:dyDescent="0.2">
      <c r="A17" s="30" t="e">
        <v>#NUM!</v>
      </c>
      <c r="B17" s="31" t="e">
        <f>_xll.qlRateHelperRate($A17,InterestRatesTrigger)</f>
        <v>#VALUE!</v>
      </c>
      <c r="C17" s="37" t="e">
        <f>_xll.qlRateHelperEarliestDate($A17)</f>
        <v>#VALUE!</v>
      </c>
      <c r="D17" s="38" t="e">
        <f>_xll.qlRateHelperLatestDate($A17)</f>
        <v>#VALUE!</v>
      </c>
      <c r="E17" s="29" t="b">
        <f t="shared" si="0"/>
        <v>0</v>
      </c>
      <c r="F17" s="29" t="b">
        <f t="shared" si="1"/>
        <v>0</v>
      </c>
      <c r="G17" s="29" t="b">
        <f t="shared" si="2"/>
        <v>0</v>
      </c>
      <c r="H17" s="32" t="e">
        <f t="shared" si="3"/>
        <v>#N/A</v>
      </c>
      <c r="I17" s="33" t="e">
        <v>#VALUE!</v>
      </c>
      <c r="J17" s="89" t="e">
        <f>_xll.qlInterpolationInterpolate($J$1,H17)</f>
        <v>#VALUE!</v>
      </c>
      <c r="K17" s="41" t="e">
        <f>_xll.qlDayCounterYearFraction(DayCounter,D16,D17)</f>
        <v>#NUM!</v>
      </c>
      <c r="L17" s="33" t="e">
        <f t="shared" si="4"/>
        <v>#VALUE!</v>
      </c>
      <c r="M17" s="33"/>
    </row>
    <row r="18" spans="1:13" x14ac:dyDescent="0.2">
      <c r="A18" s="30" t="e">
        <v>#NUM!</v>
      </c>
      <c r="B18" s="31" t="e">
        <f>_xll.qlRateHelperRate($A18,InterestRatesTrigger)</f>
        <v>#VALUE!</v>
      </c>
      <c r="C18" s="37" t="e">
        <f>_xll.qlRateHelperEarliestDate($A18)</f>
        <v>#VALUE!</v>
      </c>
      <c r="D18" s="38" t="e">
        <f>_xll.qlRateHelperLatestDate($A18)</f>
        <v>#VALUE!</v>
      </c>
      <c r="E18" s="29" t="b">
        <f t="shared" si="0"/>
        <v>0</v>
      </c>
      <c r="F18" s="29" t="b">
        <f t="shared" si="1"/>
        <v>0</v>
      </c>
      <c r="G18" s="29" t="b">
        <f t="shared" si="2"/>
        <v>0</v>
      </c>
      <c r="H18" s="32" t="e">
        <f t="shared" si="3"/>
        <v>#N/A</v>
      </c>
      <c r="I18" s="33" t="e">
        <v>#VALUE!</v>
      </c>
      <c r="J18" s="89" t="e">
        <f>_xll.qlInterpolationInterpolate($J$1,H18)</f>
        <v>#VALUE!</v>
      </c>
      <c r="K18" s="41" t="e">
        <f>_xll.qlDayCounterYearFraction(DayCounter,D17,D18)</f>
        <v>#NUM!</v>
      </c>
      <c r="L18" s="33" t="e">
        <f t="shared" si="4"/>
        <v>#VALUE!</v>
      </c>
      <c r="M18" s="33"/>
    </row>
    <row r="19" spans="1:13" x14ac:dyDescent="0.2">
      <c r="A19" s="30" t="e">
        <v>#NUM!</v>
      </c>
      <c r="B19" s="31" t="e">
        <f>_xll.qlRateHelperRate($A19,InterestRatesTrigger)</f>
        <v>#VALUE!</v>
      </c>
      <c r="C19" s="37" t="e">
        <f>_xll.qlRateHelperEarliestDate($A19)</f>
        <v>#VALUE!</v>
      </c>
      <c r="D19" s="38" t="e">
        <f>_xll.qlRateHelperLatestDate($A19)</f>
        <v>#VALUE!</v>
      </c>
      <c r="E19" s="29" t="b">
        <f t="shared" si="0"/>
        <v>0</v>
      </c>
      <c r="F19" s="29" t="b">
        <f t="shared" si="1"/>
        <v>0</v>
      </c>
      <c r="G19" s="29" t="b">
        <f t="shared" si="2"/>
        <v>0</v>
      </c>
      <c r="H19" s="32" t="e">
        <f t="shared" si="3"/>
        <v>#N/A</v>
      </c>
      <c r="I19" s="33" t="e">
        <v>#VALUE!</v>
      </c>
      <c r="J19" s="123" t="e">
        <f>_xll.qlInterpolationInterpolate($J$1,H19,TRUE)</f>
        <v>#VALUE!</v>
      </c>
      <c r="K19" s="41" t="e">
        <f>_xll.qlDayCounterYearFraction(DayCounter,D18,D19)</f>
        <v>#NUM!</v>
      </c>
      <c r="L19" s="33" t="e">
        <f t="shared" si="4"/>
        <v>#VALUE!</v>
      </c>
      <c r="M19" s="33"/>
    </row>
    <row r="20" spans="1:13" x14ac:dyDescent="0.2">
      <c r="A20" s="30" t="e">
        <v>#NUM!</v>
      </c>
      <c r="B20" s="31" t="e">
        <f>_xll.qlRateHelperRate($A20,InterestRatesTrigger)</f>
        <v>#VALUE!</v>
      </c>
      <c r="C20" s="37" t="e">
        <f>_xll.qlRateHelperEarliestDate($A20)</f>
        <v>#VALUE!</v>
      </c>
      <c r="D20" s="38" t="e">
        <f>_xll.qlRateHelperLatestDate($A20)</f>
        <v>#VALUE!</v>
      </c>
      <c r="E20" s="29" t="b">
        <f t="shared" si="0"/>
        <v>0</v>
      </c>
      <c r="F20" s="29" t="b">
        <f t="shared" si="1"/>
        <v>0</v>
      </c>
      <c r="G20" s="29" t="b">
        <f t="shared" si="2"/>
        <v>0</v>
      </c>
      <c r="H20" s="32" t="e">
        <f t="shared" si="3"/>
        <v>#N/A</v>
      </c>
      <c r="I20" s="33" t="e">
        <v>#VALUE!</v>
      </c>
      <c r="J20" s="123" t="e">
        <f>_xll.qlInterpolationInterpolate($J$1,H20,TRUE)</f>
        <v>#VALUE!</v>
      </c>
      <c r="K20" s="41" t="e">
        <f>_xll.qlDayCounterYearFraction(DayCounter,D19,D20)</f>
        <v>#NUM!</v>
      </c>
      <c r="L20" s="33" t="e">
        <f t="shared" si="4"/>
        <v>#VALUE!</v>
      </c>
      <c r="M20" s="33"/>
    </row>
    <row r="21" spans="1:13" x14ac:dyDescent="0.2">
      <c r="A21" s="30" t="e">
        <v>#NUM!</v>
      </c>
      <c r="B21" s="31" t="e">
        <f>_xll.qlRateHelperRate($A21,InterestRatesTrigger)</f>
        <v>#VALUE!</v>
      </c>
      <c r="C21" s="37" t="e">
        <f>_xll.qlRateHelperEarliestDate($A21)</f>
        <v>#VALUE!</v>
      </c>
      <c r="D21" s="38" t="e">
        <f>_xll.qlRateHelperLatestDate($A21)</f>
        <v>#VALUE!</v>
      </c>
      <c r="E21" s="29" t="b">
        <f t="shared" si="0"/>
        <v>0</v>
      </c>
      <c r="F21" s="29" t="b">
        <f t="shared" si="1"/>
        <v>0</v>
      </c>
      <c r="G21" s="29" t="b">
        <f t="shared" si="2"/>
        <v>0</v>
      </c>
      <c r="H21" s="32" t="e">
        <f t="shared" si="3"/>
        <v>#N/A</v>
      </c>
      <c r="I21" s="33" t="e">
        <v>#VALUE!</v>
      </c>
      <c r="J21" s="123" t="e">
        <f>_xll.qlInterpolationInterpolate($J$1,H21,TRUE)</f>
        <v>#VALUE!</v>
      </c>
      <c r="K21" s="41" t="e">
        <f>_xll.qlDayCounterYearFraction(DayCounter,D20,D21)</f>
        <v>#NUM!</v>
      </c>
      <c r="L21" s="33" t="e">
        <f t="shared" si="4"/>
        <v>#VALUE!</v>
      </c>
      <c r="M21" s="33"/>
    </row>
    <row r="22" spans="1:13" x14ac:dyDescent="0.2">
      <c r="A22" s="30" t="e">
        <v>#NUM!</v>
      </c>
      <c r="B22" s="31" t="e">
        <f>_xll.qlRateHelperRate($A22,InterestRatesTrigger)</f>
        <v>#VALUE!</v>
      </c>
      <c r="C22" s="37" t="e">
        <f>_xll.qlRateHelperEarliestDate($A22)</f>
        <v>#VALUE!</v>
      </c>
      <c r="D22" s="38" t="e">
        <f>_xll.qlRateHelperLatestDate($A22)</f>
        <v>#VALUE!</v>
      </c>
      <c r="E22" s="29" t="b">
        <f t="shared" si="0"/>
        <v>0</v>
      </c>
      <c r="F22" s="29" t="b">
        <f t="shared" si="1"/>
        <v>0</v>
      </c>
      <c r="G22" s="29" t="b">
        <f t="shared" si="2"/>
        <v>0</v>
      </c>
      <c r="H22" s="32" t="e">
        <f t="shared" si="3"/>
        <v>#N/A</v>
      </c>
      <c r="I22" s="33" t="e">
        <v>#VALUE!</v>
      </c>
      <c r="J22" s="123" t="e">
        <f>_xll.qlInterpolationInterpolate($J$1,H22,TRUE)</f>
        <v>#VALUE!</v>
      </c>
      <c r="K22" s="41" t="e">
        <f>_xll.qlDayCounterYearFraction(DayCounter,D21,D22)</f>
        <v>#NUM!</v>
      </c>
      <c r="L22" s="33" t="e">
        <f t="shared" si="4"/>
        <v>#VALUE!</v>
      </c>
      <c r="M22" s="33"/>
    </row>
    <row r="23" spans="1:13" x14ac:dyDescent="0.2">
      <c r="A23" s="30" t="e">
        <v>#NUM!</v>
      </c>
      <c r="B23" s="31" t="e">
        <f>_xll.qlRateHelperRate($A23,InterestRatesTrigger)</f>
        <v>#VALUE!</v>
      </c>
      <c r="C23" s="37" t="e">
        <f>_xll.qlRateHelperEarliestDate($A23)</f>
        <v>#VALUE!</v>
      </c>
      <c r="D23" s="38" t="e">
        <f>_xll.qlRateHelperLatestDate($A23)</f>
        <v>#VALUE!</v>
      </c>
      <c r="E23" s="29" t="b">
        <f t="shared" si="0"/>
        <v>0</v>
      </c>
      <c r="F23" s="29" t="b">
        <f t="shared" si="1"/>
        <v>0</v>
      </c>
      <c r="G23" s="29" t="b">
        <f t="shared" si="2"/>
        <v>0</v>
      </c>
      <c r="H23" s="32" t="e">
        <f t="shared" si="3"/>
        <v>#N/A</v>
      </c>
      <c r="I23" s="33" t="e">
        <v>#VALUE!</v>
      </c>
      <c r="J23" s="123" t="e">
        <f>_xll.qlInterpolationInterpolate($J$1,H23,TRUE)</f>
        <v>#VALUE!</v>
      </c>
      <c r="K23" s="41" t="e">
        <f>_xll.qlDayCounterYearFraction(DayCounter,D22,D23)</f>
        <v>#NUM!</v>
      </c>
      <c r="L23" s="33" t="e">
        <f t="shared" si="4"/>
        <v>#VALUE!</v>
      </c>
      <c r="M23" s="33"/>
    </row>
    <row r="24" spans="1:13" x14ac:dyDescent="0.2">
      <c r="A24" s="30" t="e">
        <v>#NUM!</v>
      </c>
      <c r="B24" s="31" t="e">
        <f>_xll.qlRateHelperRate($A24,InterestRatesTrigger)</f>
        <v>#VALUE!</v>
      </c>
      <c r="C24" s="37" t="e">
        <f>_xll.qlRateHelperEarliestDate($A24)</f>
        <v>#VALUE!</v>
      </c>
      <c r="D24" s="38" t="e">
        <f>_xll.qlRateHelperLatestDate($A24)</f>
        <v>#VALUE!</v>
      </c>
      <c r="E24" s="29" t="b">
        <f t="shared" si="0"/>
        <v>0</v>
      </c>
      <c r="F24" s="29" t="b">
        <f t="shared" si="1"/>
        <v>0</v>
      </c>
      <c r="G24" s="29" t="b">
        <f t="shared" si="2"/>
        <v>0</v>
      </c>
      <c r="H24" s="32" t="e">
        <f t="shared" si="3"/>
        <v>#N/A</v>
      </c>
      <c r="I24" s="33" t="e">
        <v>#VALUE!</v>
      </c>
      <c r="J24" s="123" t="e">
        <f>_xll.qlInterpolationInterpolate($J$1,H24,TRUE)</f>
        <v>#VALUE!</v>
      </c>
      <c r="K24" s="41" t="e">
        <f>_xll.qlDayCounterYearFraction(DayCounter,D23,D24)</f>
        <v>#NUM!</v>
      </c>
      <c r="L24" s="33" t="e">
        <f t="shared" si="4"/>
        <v>#VALUE!</v>
      </c>
      <c r="M24" s="33"/>
    </row>
    <row r="25" spans="1:13" x14ac:dyDescent="0.2">
      <c r="A25" s="30" t="e">
        <v>#NUM!</v>
      </c>
      <c r="B25" s="31" t="e">
        <f>_xll.qlRateHelperRate($A25,InterestRatesTrigger)</f>
        <v>#VALUE!</v>
      </c>
      <c r="C25" s="37" t="e">
        <f>_xll.qlRateHelperEarliestDate($A25)</f>
        <v>#VALUE!</v>
      </c>
      <c r="D25" s="38" t="e">
        <f>_xll.qlRateHelperLatestDate($A25)</f>
        <v>#VALUE!</v>
      </c>
      <c r="E25" s="29" t="b">
        <f t="shared" si="0"/>
        <v>0</v>
      </c>
      <c r="F25" s="29" t="b">
        <f t="shared" si="1"/>
        <v>0</v>
      </c>
      <c r="G25" s="29" t="b">
        <f t="shared" si="2"/>
        <v>0</v>
      </c>
      <c r="H25" s="32" t="e">
        <f t="shared" si="3"/>
        <v>#N/A</v>
      </c>
      <c r="I25" s="33" t="e">
        <v>#VALUE!</v>
      </c>
      <c r="J25" s="123" t="e">
        <f>_xll.qlInterpolationInterpolate($J$1,H25,TRUE)</f>
        <v>#VALUE!</v>
      </c>
      <c r="K25" s="41" t="e">
        <f>_xll.qlDayCounterYearFraction(DayCounter,D24,D25)</f>
        <v>#NUM!</v>
      </c>
      <c r="L25" s="33" t="e">
        <f t="shared" si="4"/>
        <v>#VALUE!</v>
      </c>
      <c r="M25" s="33"/>
    </row>
    <row r="26" spans="1:13" x14ac:dyDescent="0.2">
      <c r="A26" s="30" t="e">
        <v>#NUM!</v>
      </c>
      <c r="B26" s="31" t="e">
        <f>_xll.qlRateHelperRate($A26,InterestRatesTrigger)</f>
        <v>#VALUE!</v>
      </c>
      <c r="C26" s="37" t="e">
        <f>_xll.qlRateHelperEarliestDate($A26)</f>
        <v>#VALUE!</v>
      </c>
      <c r="D26" s="38" t="e">
        <f>_xll.qlRateHelperLatestDate($A26)</f>
        <v>#VALUE!</v>
      </c>
      <c r="E26" s="29" t="b">
        <f t="shared" si="0"/>
        <v>0</v>
      </c>
      <c r="F26" s="29" t="b">
        <f t="shared" si="1"/>
        <v>0</v>
      </c>
      <c r="G26" s="29" t="b">
        <f t="shared" si="2"/>
        <v>0</v>
      </c>
      <c r="H26" s="32" t="e">
        <f t="shared" si="3"/>
        <v>#N/A</v>
      </c>
      <c r="I26" s="33" t="e">
        <v>#VALUE!</v>
      </c>
      <c r="J26" s="123" t="e">
        <f>_xll.qlInterpolationInterpolate($J$1,H26,TRUE)</f>
        <v>#VALUE!</v>
      </c>
      <c r="K26" s="41" t="e">
        <f>_xll.qlDayCounterYearFraction(DayCounter,D25,D26)</f>
        <v>#NUM!</v>
      </c>
      <c r="L26" s="33" t="e">
        <f t="shared" si="4"/>
        <v>#VALUE!</v>
      </c>
      <c r="M26" s="33"/>
    </row>
    <row r="27" spans="1:13" x14ac:dyDescent="0.2">
      <c r="A27" s="30" t="e">
        <v>#NUM!</v>
      </c>
      <c r="B27" s="31" t="e">
        <f>_xll.qlRateHelperRate($A27,InterestRatesTrigger)</f>
        <v>#VALUE!</v>
      </c>
      <c r="C27" s="37" t="e">
        <f>_xll.qlRateHelperEarliestDate($A27)</f>
        <v>#VALUE!</v>
      </c>
      <c r="D27" s="38" t="e">
        <f>_xll.qlRateHelperLatestDate($A27)</f>
        <v>#VALUE!</v>
      </c>
      <c r="E27" s="29" t="b">
        <f t="shared" si="0"/>
        <v>0</v>
      </c>
      <c r="F27" s="29" t="b">
        <f t="shared" si="1"/>
        <v>0</v>
      </c>
      <c r="G27" s="29" t="b">
        <f t="shared" si="2"/>
        <v>0</v>
      </c>
      <c r="H27" s="32" t="e">
        <f t="shared" si="3"/>
        <v>#N/A</v>
      </c>
      <c r="I27" s="33" t="e">
        <v>#VALUE!</v>
      </c>
      <c r="J27" s="123" t="e">
        <f>_xll.qlInterpolationInterpolate($J$1,H27,TRUE)</f>
        <v>#VALUE!</v>
      </c>
      <c r="K27" s="41" t="e">
        <f>_xll.qlDayCounterYearFraction(DayCounter,D26,D27)</f>
        <v>#NUM!</v>
      </c>
      <c r="L27" s="33" t="e">
        <f t="shared" si="4"/>
        <v>#VALUE!</v>
      </c>
      <c r="M27" s="33"/>
    </row>
    <row r="28" spans="1:13" x14ac:dyDescent="0.2">
      <c r="A28" s="30" t="e">
        <v>#NUM!</v>
      </c>
      <c r="B28" s="31" t="e">
        <f>_xll.qlRateHelperRate($A28,InterestRatesTrigger)</f>
        <v>#VALUE!</v>
      </c>
      <c r="C28" s="37" t="e">
        <f>_xll.qlRateHelperEarliestDate($A28)</f>
        <v>#VALUE!</v>
      </c>
      <c r="D28" s="38" t="e">
        <f>_xll.qlRateHelperLatestDate($A28)</f>
        <v>#VALUE!</v>
      </c>
      <c r="E28" s="29" t="b">
        <f t="shared" si="0"/>
        <v>0</v>
      </c>
      <c r="F28" s="29" t="b">
        <f t="shared" si="1"/>
        <v>0</v>
      </c>
      <c r="G28" s="29" t="b">
        <f t="shared" si="2"/>
        <v>0</v>
      </c>
      <c r="H28" s="32" t="e">
        <f>IF(ISERROR(D28),NA(),(D28-D27)/2+D27)</f>
        <v>#N/A</v>
      </c>
      <c r="I28" s="33" t="e">
        <v>#VALUE!</v>
      </c>
      <c r="J28" s="123" t="e">
        <f>_xll.qlInterpolationInterpolate($J$1,H28,TRUE)</f>
        <v>#VALUE!</v>
      </c>
      <c r="K28" s="41" t="e">
        <f>_xll.qlDayCounterYearFraction(DayCounter,D27,D28)</f>
        <v>#NUM!</v>
      </c>
      <c r="L28" s="33" t="e">
        <f t="shared" si="4"/>
        <v>#VALUE!</v>
      </c>
      <c r="M28" s="33"/>
    </row>
    <row r="29" spans="1:13" x14ac:dyDescent="0.2">
      <c r="A29" s="30" t="e">
        <v>#NUM!</v>
      </c>
      <c r="B29" s="31" t="e">
        <f>_xll.qlRateHelperRate($A29,InterestRatesTrigger)</f>
        <v>#VALUE!</v>
      </c>
      <c r="C29" s="37" t="e">
        <f>_xll.qlRateHelperEarliestDate($A29)</f>
        <v>#VALUE!</v>
      </c>
      <c r="D29" s="38" t="e">
        <f>_xll.qlRateHelperLatestDate($A29)</f>
        <v>#VALUE!</v>
      </c>
      <c r="E29" s="29" t="b">
        <f t="shared" si="0"/>
        <v>0</v>
      </c>
      <c r="F29" s="29" t="b">
        <f t="shared" si="1"/>
        <v>0</v>
      </c>
      <c r="G29" s="29" t="b">
        <f t="shared" si="2"/>
        <v>0</v>
      </c>
      <c r="H29" s="32" t="e">
        <f t="shared" ref="H29:H92" si="5">IF(ISERROR(D29),NA(),(D29-D28)/2+D28)</f>
        <v>#N/A</v>
      </c>
      <c r="I29" s="33" t="e">
        <v>#VALUE!</v>
      </c>
      <c r="J29" s="89" t="e">
        <f>_xll.qlInterpolationInterpolate($J$1,H29)</f>
        <v>#VALUE!</v>
      </c>
      <c r="K29" s="41" t="e">
        <f>_xll.qlDayCounterYearFraction(DayCounter,D28,D29)</f>
        <v>#NUM!</v>
      </c>
      <c r="L29" s="33" t="e">
        <f t="shared" si="4"/>
        <v>#VALUE!</v>
      </c>
      <c r="M29" s="33"/>
    </row>
    <row r="30" spans="1:13" x14ac:dyDescent="0.2">
      <c r="A30" s="30" t="e">
        <v>#NUM!</v>
      </c>
      <c r="B30" s="31" t="e">
        <f>_xll.qlRateHelperRate($A30,InterestRatesTrigger)</f>
        <v>#VALUE!</v>
      </c>
      <c r="C30" s="37" t="e">
        <f>_xll.qlRateHelperEarliestDate($A30)</f>
        <v>#VALUE!</v>
      </c>
      <c r="D30" s="38" t="e">
        <f>_xll.qlRateHelperLatestDate($A30)</f>
        <v>#VALUE!</v>
      </c>
      <c r="E30" s="29" t="b">
        <f t="shared" si="0"/>
        <v>0</v>
      </c>
      <c r="F30" s="29" t="b">
        <f t="shared" si="1"/>
        <v>0</v>
      </c>
      <c r="G30" s="29" t="b">
        <f t="shared" si="2"/>
        <v>0</v>
      </c>
      <c r="H30" s="32" t="e">
        <f t="shared" si="5"/>
        <v>#N/A</v>
      </c>
      <c r="I30" s="33" t="e">
        <v>#VALUE!</v>
      </c>
      <c r="J30" s="89" t="e">
        <f>_xll.qlInterpolationInterpolate($J$1,H30)</f>
        <v>#VALUE!</v>
      </c>
      <c r="K30" s="41" t="e">
        <f>_xll.qlDayCounterYearFraction(DayCounter,D29,D30)</f>
        <v>#NUM!</v>
      </c>
      <c r="L30" s="33" t="e">
        <f t="shared" si="4"/>
        <v>#VALUE!</v>
      </c>
      <c r="M30" s="33"/>
    </row>
    <row r="31" spans="1:13" x14ac:dyDescent="0.2">
      <c r="A31" s="30" t="e">
        <v>#NUM!</v>
      </c>
      <c r="B31" s="31" t="e">
        <f>_xll.qlRateHelperRate($A31,InterestRatesTrigger)</f>
        <v>#VALUE!</v>
      </c>
      <c r="C31" s="37" t="e">
        <f>_xll.qlRateHelperEarliestDate($A31)</f>
        <v>#VALUE!</v>
      </c>
      <c r="D31" s="38" t="e">
        <f>_xll.qlRateHelperLatestDate($A31)</f>
        <v>#VALUE!</v>
      </c>
      <c r="E31" s="29" t="b">
        <f t="shared" si="0"/>
        <v>0</v>
      </c>
      <c r="F31" s="29" t="b">
        <f t="shared" si="1"/>
        <v>0</v>
      </c>
      <c r="G31" s="29" t="b">
        <f t="shared" si="2"/>
        <v>0</v>
      </c>
      <c r="H31" s="32" t="e">
        <f t="shared" si="5"/>
        <v>#N/A</v>
      </c>
      <c r="I31" s="33" t="e">
        <v>#VALUE!</v>
      </c>
      <c r="J31" s="89" t="e">
        <f>_xll.qlInterpolationInterpolate($J$1,H31)</f>
        <v>#VALUE!</v>
      </c>
      <c r="K31" s="41" t="e">
        <f>_xll.qlDayCounterYearFraction(DayCounter,D30,D31)</f>
        <v>#NUM!</v>
      </c>
      <c r="L31" s="33" t="e">
        <f t="shared" si="4"/>
        <v>#VALUE!</v>
      </c>
      <c r="M31" s="33"/>
    </row>
    <row r="32" spans="1:13" x14ac:dyDescent="0.2">
      <c r="A32" s="30" t="e">
        <v>#NUM!</v>
      </c>
      <c r="B32" s="31" t="e">
        <f>_xll.qlRateHelperRate($A32,InterestRatesTrigger)</f>
        <v>#VALUE!</v>
      </c>
      <c r="C32" s="37" t="e">
        <f>_xll.qlRateHelperEarliestDate($A32)</f>
        <v>#VALUE!</v>
      </c>
      <c r="D32" s="38" t="e">
        <f>_xll.qlRateHelperLatestDate($A32)</f>
        <v>#VALUE!</v>
      </c>
      <c r="E32" s="29" t="b">
        <f t="shared" si="0"/>
        <v>0</v>
      </c>
      <c r="F32" s="29" t="b">
        <f t="shared" si="1"/>
        <v>0</v>
      </c>
      <c r="G32" s="29" t="b">
        <f t="shared" si="2"/>
        <v>0</v>
      </c>
      <c r="H32" s="32" t="e">
        <f t="shared" si="5"/>
        <v>#N/A</v>
      </c>
      <c r="I32" s="33" t="e">
        <v>#VALUE!</v>
      </c>
      <c r="J32" s="89" t="e">
        <f>_xll.qlInterpolationInterpolate($J$1,H32)</f>
        <v>#VALUE!</v>
      </c>
      <c r="K32" s="41" t="e">
        <f>_xll.qlDayCounterYearFraction(DayCounter,D31,D32)</f>
        <v>#NUM!</v>
      </c>
      <c r="L32" s="33" t="e">
        <f t="shared" si="4"/>
        <v>#VALUE!</v>
      </c>
      <c r="M32" s="33"/>
    </row>
    <row r="33" spans="1:13" x14ac:dyDescent="0.2">
      <c r="A33" s="30" t="e">
        <v>#NUM!</v>
      </c>
      <c r="B33" s="31" t="e">
        <f>_xll.qlRateHelperRate($A33,InterestRatesTrigger)</f>
        <v>#VALUE!</v>
      </c>
      <c r="C33" s="37" t="e">
        <f>_xll.qlRateHelperEarliestDate($A33)</f>
        <v>#VALUE!</v>
      </c>
      <c r="D33" s="38" t="e">
        <f>_xll.qlRateHelperLatestDate($A33)</f>
        <v>#VALUE!</v>
      </c>
      <c r="E33" s="29" t="b">
        <f t="shared" si="0"/>
        <v>0</v>
      </c>
      <c r="F33" s="29" t="b">
        <f t="shared" si="1"/>
        <v>0</v>
      </c>
      <c r="G33" s="29" t="b">
        <f t="shared" si="2"/>
        <v>0</v>
      </c>
      <c r="H33" s="32" t="e">
        <f t="shared" si="5"/>
        <v>#N/A</v>
      </c>
      <c r="I33" s="33" t="e">
        <v>#VALUE!</v>
      </c>
      <c r="J33" s="89" t="e">
        <f>_xll.qlInterpolationInterpolate($J$1,H33)</f>
        <v>#VALUE!</v>
      </c>
      <c r="K33" s="41" t="e">
        <f>_xll.qlDayCounterYearFraction(DayCounter,D32,D33)</f>
        <v>#NUM!</v>
      </c>
      <c r="L33" s="33" t="e">
        <f t="shared" si="4"/>
        <v>#VALUE!</v>
      </c>
      <c r="M33" s="33"/>
    </row>
    <row r="34" spans="1:13" x14ac:dyDescent="0.2">
      <c r="A34" s="30" t="e">
        <v>#NUM!</v>
      </c>
      <c r="B34" s="31" t="e">
        <f>_xll.qlRateHelperRate($A34,InterestRatesTrigger)</f>
        <v>#VALUE!</v>
      </c>
      <c r="C34" s="37" t="e">
        <f>_xll.qlRateHelperEarliestDate($A34)</f>
        <v>#VALUE!</v>
      </c>
      <c r="D34" s="38" t="e">
        <f>_xll.qlRateHelperLatestDate($A34)</f>
        <v>#VALUE!</v>
      </c>
      <c r="E34" s="29" t="b">
        <f t="shared" si="0"/>
        <v>0</v>
      </c>
      <c r="F34" s="29" t="b">
        <f t="shared" si="1"/>
        <v>0</v>
      </c>
      <c r="G34" s="29" t="b">
        <f t="shared" si="2"/>
        <v>0</v>
      </c>
      <c r="H34" s="32" t="e">
        <f t="shared" si="5"/>
        <v>#N/A</v>
      </c>
      <c r="I34" s="33" t="e">
        <v>#VALUE!</v>
      </c>
      <c r="J34" s="89" t="e">
        <f>_xll.qlInterpolationInterpolate($J$1,H34)</f>
        <v>#VALUE!</v>
      </c>
      <c r="K34" s="41" t="e">
        <f>_xll.qlDayCounterYearFraction(DayCounter,D33,D34)</f>
        <v>#NUM!</v>
      </c>
      <c r="L34" s="33" t="e">
        <f t="shared" si="4"/>
        <v>#VALUE!</v>
      </c>
      <c r="M34" s="33"/>
    </row>
    <row r="35" spans="1:13" x14ac:dyDescent="0.2">
      <c r="A35" s="30" t="e">
        <v>#NUM!</v>
      </c>
      <c r="B35" s="31" t="e">
        <f>_xll.qlRateHelperRate($A35,InterestRatesTrigger)</f>
        <v>#VALUE!</v>
      </c>
      <c r="C35" s="37" t="e">
        <f>_xll.qlRateHelperEarliestDate($A35)</f>
        <v>#VALUE!</v>
      </c>
      <c r="D35" s="38" t="e">
        <f>_xll.qlRateHelperLatestDate($A35)</f>
        <v>#VALUE!</v>
      </c>
      <c r="E35" s="29" t="b">
        <f t="shared" ref="E35:E66" si="6">IF(ISERROR($D35),FALSE,AND($D34&lt;=LastDayInYear,$D35&gt;LastDayInYear))</f>
        <v>0</v>
      </c>
      <c r="F35" s="29" t="b">
        <f t="shared" ref="F35:F66" si="7">IF(ISERROR($D35),FALSE,AND($D34&lt;=LastDayInNextYear,$D35&gt;LastDayInNextYear))</f>
        <v>0</v>
      </c>
      <c r="G35" s="29" t="b">
        <f t="shared" ref="G35:G66" si="8">IF(ISERROR(D35),FALSE,AND(NOT(E35),NOT(F35)))</f>
        <v>0</v>
      </c>
      <c r="H35" s="32" t="e">
        <f t="shared" si="5"/>
        <v>#N/A</v>
      </c>
      <c r="I35" s="33" t="e">
        <v>#VALUE!</v>
      </c>
      <c r="J35" s="89" t="e">
        <f>_xll.qlInterpolationInterpolate($J$1,H35)</f>
        <v>#VALUE!</v>
      </c>
      <c r="K35" s="41" t="e">
        <f>_xll.qlDayCounterYearFraction(DayCounter,D34,D35)</f>
        <v>#NUM!</v>
      </c>
      <c r="L35" s="33" t="e">
        <f t="shared" si="4"/>
        <v>#VALUE!</v>
      </c>
      <c r="M35" s="33"/>
    </row>
    <row r="36" spans="1:13" x14ac:dyDescent="0.2">
      <c r="A36" s="30" t="e">
        <v>#NUM!</v>
      </c>
      <c r="B36" s="31" t="e">
        <f>_xll.qlRateHelperRate($A36,InterestRatesTrigger)</f>
        <v>#VALUE!</v>
      </c>
      <c r="C36" s="37" t="e">
        <f>_xll.qlRateHelperEarliestDate($A36)</f>
        <v>#VALUE!</v>
      </c>
      <c r="D36" s="38" t="e">
        <f>_xll.qlRateHelperLatestDate($A36)</f>
        <v>#VALUE!</v>
      </c>
      <c r="E36" s="29" t="b">
        <f t="shared" si="6"/>
        <v>0</v>
      </c>
      <c r="F36" s="29" t="b">
        <f t="shared" si="7"/>
        <v>0</v>
      </c>
      <c r="G36" s="29" t="b">
        <f t="shared" si="8"/>
        <v>0</v>
      </c>
      <c r="H36" s="32" t="e">
        <f t="shared" si="5"/>
        <v>#N/A</v>
      </c>
      <c r="I36" s="33" t="e">
        <v>#VALUE!</v>
      </c>
      <c r="J36" s="89" t="e">
        <f>_xll.qlInterpolationInterpolate($J$1,H36)</f>
        <v>#VALUE!</v>
      </c>
      <c r="K36" s="41" t="e">
        <f>_xll.qlDayCounterYearFraction(DayCounter,D35,D36)</f>
        <v>#NUM!</v>
      </c>
      <c r="L36" s="33" t="e">
        <f t="shared" si="4"/>
        <v>#VALUE!</v>
      </c>
      <c r="M36" s="33"/>
    </row>
    <row r="37" spans="1:13" x14ac:dyDescent="0.2">
      <c r="A37" s="30" t="e">
        <v>#NUM!</v>
      </c>
      <c r="B37" s="31" t="e">
        <f>_xll.qlRateHelperRate($A37,InterestRatesTrigger)</f>
        <v>#VALUE!</v>
      </c>
      <c r="C37" s="37" t="e">
        <f>_xll.qlRateHelperEarliestDate($A37)</f>
        <v>#VALUE!</v>
      </c>
      <c r="D37" s="38" t="e">
        <f>_xll.qlRateHelperLatestDate($A37)</f>
        <v>#VALUE!</v>
      </c>
      <c r="E37" s="29" t="b">
        <f t="shared" si="6"/>
        <v>0</v>
      </c>
      <c r="F37" s="29" t="b">
        <f t="shared" si="7"/>
        <v>0</v>
      </c>
      <c r="G37" s="29" t="b">
        <f t="shared" si="8"/>
        <v>0</v>
      </c>
      <c r="H37" s="32" t="e">
        <f t="shared" si="5"/>
        <v>#N/A</v>
      </c>
      <c r="I37" s="33" t="e">
        <v>#VALUE!</v>
      </c>
      <c r="J37" s="89" t="e">
        <f>_xll.qlInterpolationInterpolate($J$1,H37)</f>
        <v>#VALUE!</v>
      </c>
      <c r="K37" s="41" t="e">
        <f>_xll.qlDayCounterYearFraction(DayCounter,D36,D37)</f>
        <v>#NUM!</v>
      </c>
      <c r="L37" s="33" t="e">
        <f t="shared" si="4"/>
        <v>#VALUE!</v>
      </c>
      <c r="M37" s="33"/>
    </row>
    <row r="38" spans="1:13" x14ac:dyDescent="0.2">
      <c r="A38" s="30" t="e">
        <v>#NUM!</v>
      </c>
      <c r="B38" s="31" t="e">
        <f>_xll.qlRateHelperRate($A38,InterestRatesTrigger)</f>
        <v>#VALUE!</v>
      </c>
      <c r="C38" s="37" t="e">
        <f>_xll.qlRateHelperEarliestDate($A38)</f>
        <v>#VALUE!</v>
      </c>
      <c r="D38" s="38" t="e">
        <f>_xll.qlRateHelperLatestDate($A38)</f>
        <v>#VALUE!</v>
      </c>
      <c r="E38" s="29" t="b">
        <f t="shared" si="6"/>
        <v>0</v>
      </c>
      <c r="F38" s="29" t="b">
        <f t="shared" si="7"/>
        <v>0</v>
      </c>
      <c r="G38" s="29" t="b">
        <f t="shared" si="8"/>
        <v>0</v>
      </c>
      <c r="H38" s="32" t="e">
        <f t="shared" si="5"/>
        <v>#N/A</v>
      </c>
      <c r="I38" s="33" t="e">
        <v>#VALUE!</v>
      </c>
      <c r="J38" s="89" t="e">
        <f>_xll.qlInterpolationInterpolate($J$1,H38)</f>
        <v>#VALUE!</v>
      </c>
      <c r="K38" s="41" t="e">
        <f>_xll.qlDayCounterYearFraction(DayCounter,D37,D38)</f>
        <v>#NUM!</v>
      </c>
      <c r="L38" s="33" t="e">
        <f t="shared" si="4"/>
        <v>#VALUE!</v>
      </c>
      <c r="M38" s="33"/>
    </row>
    <row r="39" spans="1:13" x14ac:dyDescent="0.2">
      <c r="A39" s="30" t="e">
        <v>#NUM!</v>
      </c>
      <c r="B39" s="31" t="e">
        <f>_xll.qlRateHelperRate($A39,InterestRatesTrigger)</f>
        <v>#VALUE!</v>
      </c>
      <c r="C39" s="37" t="e">
        <f>_xll.qlRateHelperEarliestDate($A39)</f>
        <v>#VALUE!</v>
      </c>
      <c r="D39" s="38" t="e">
        <f>_xll.qlRateHelperLatestDate($A39)</f>
        <v>#VALUE!</v>
      </c>
      <c r="E39" s="29" t="b">
        <f t="shared" si="6"/>
        <v>0</v>
      </c>
      <c r="F39" s="29" t="b">
        <f t="shared" si="7"/>
        <v>0</v>
      </c>
      <c r="G39" s="29" t="b">
        <f t="shared" si="8"/>
        <v>0</v>
      </c>
      <c r="H39" s="32" t="e">
        <f t="shared" si="5"/>
        <v>#N/A</v>
      </c>
      <c r="I39" s="33" t="e">
        <v>#VALUE!</v>
      </c>
      <c r="J39" s="89" t="e">
        <f>_xll.qlInterpolationInterpolate($J$1,H39)</f>
        <v>#VALUE!</v>
      </c>
      <c r="K39" s="41" t="e">
        <f>_xll.qlDayCounterYearFraction(DayCounter,D38,D39)</f>
        <v>#NUM!</v>
      </c>
      <c r="L39" s="33" t="e">
        <f t="shared" si="4"/>
        <v>#VALUE!</v>
      </c>
      <c r="M39" s="33"/>
    </row>
    <row r="40" spans="1:13" x14ac:dyDescent="0.2">
      <c r="A40" s="30" t="e">
        <v>#NUM!</v>
      </c>
      <c r="B40" s="31" t="e">
        <f>_xll.qlRateHelperRate($A40,InterestRatesTrigger)</f>
        <v>#VALUE!</v>
      </c>
      <c r="C40" s="37" t="e">
        <f>_xll.qlRateHelperEarliestDate($A40)</f>
        <v>#VALUE!</v>
      </c>
      <c r="D40" s="38" t="e">
        <f>_xll.qlRateHelperLatestDate($A40)</f>
        <v>#VALUE!</v>
      </c>
      <c r="E40" s="29" t="b">
        <f t="shared" si="6"/>
        <v>0</v>
      </c>
      <c r="F40" s="29" t="b">
        <f t="shared" si="7"/>
        <v>0</v>
      </c>
      <c r="G40" s="29" t="b">
        <f t="shared" si="8"/>
        <v>0</v>
      </c>
      <c r="H40" s="32" t="e">
        <f t="shared" si="5"/>
        <v>#N/A</v>
      </c>
      <c r="I40" s="33" t="e">
        <v>#VALUE!</v>
      </c>
      <c r="J40" s="89" t="e">
        <f>_xll.qlInterpolationInterpolate($J$1,H40)</f>
        <v>#VALUE!</v>
      </c>
      <c r="K40" s="41" t="e">
        <f>_xll.qlDayCounterYearFraction(DayCounter,D39,D40)</f>
        <v>#NUM!</v>
      </c>
      <c r="L40" s="33" t="e">
        <f t="shared" si="4"/>
        <v>#VALUE!</v>
      </c>
      <c r="M40" s="33"/>
    </row>
    <row r="41" spans="1:13" x14ac:dyDescent="0.2">
      <c r="A41" s="30" t="e">
        <v>#NUM!</v>
      </c>
      <c r="B41" s="31" t="e">
        <f>_xll.qlRateHelperRate($A41,InterestRatesTrigger)</f>
        <v>#VALUE!</v>
      </c>
      <c r="C41" s="37" t="e">
        <f>_xll.qlRateHelperEarliestDate($A41)</f>
        <v>#VALUE!</v>
      </c>
      <c r="D41" s="38" t="e">
        <f>_xll.qlRateHelperLatestDate($A41)</f>
        <v>#VALUE!</v>
      </c>
      <c r="E41" s="29" t="b">
        <f t="shared" si="6"/>
        <v>0</v>
      </c>
      <c r="F41" s="29" t="b">
        <f t="shared" si="7"/>
        <v>0</v>
      </c>
      <c r="G41" s="29" t="b">
        <f t="shared" si="8"/>
        <v>0</v>
      </c>
      <c r="H41" s="32" t="e">
        <f t="shared" si="5"/>
        <v>#N/A</v>
      </c>
      <c r="I41" s="33" t="e">
        <v>#VALUE!</v>
      </c>
      <c r="J41" s="89" t="e">
        <f>_xll.qlInterpolationInterpolate($J$1,H41)</f>
        <v>#VALUE!</v>
      </c>
      <c r="K41" s="41" t="e">
        <f>_xll.qlDayCounterYearFraction(DayCounter,D40,D41)</f>
        <v>#NUM!</v>
      </c>
      <c r="L41" s="33" t="e">
        <f t="shared" si="4"/>
        <v>#VALUE!</v>
      </c>
      <c r="M41" s="33"/>
    </row>
    <row r="42" spans="1:13" x14ac:dyDescent="0.2">
      <c r="A42" s="30" t="e">
        <v>#NUM!</v>
      </c>
      <c r="B42" s="31" t="e">
        <f>_xll.qlRateHelperRate($A42,InterestRatesTrigger)</f>
        <v>#VALUE!</v>
      </c>
      <c r="C42" s="37" t="e">
        <f>_xll.qlRateHelperEarliestDate($A42)</f>
        <v>#VALUE!</v>
      </c>
      <c r="D42" s="38" t="e">
        <f>_xll.qlRateHelperLatestDate($A42)</f>
        <v>#VALUE!</v>
      </c>
      <c r="E42" s="29" t="b">
        <f t="shared" si="6"/>
        <v>0</v>
      </c>
      <c r="F42" s="29" t="b">
        <f t="shared" si="7"/>
        <v>0</v>
      </c>
      <c r="G42" s="29" t="b">
        <f t="shared" si="8"/>
        <v>0</v>
      </c>
      <c r="H42" s="32" t="e">
        <f t="shared" si="5"/>
        <v>#N/A</v>
      </c>
      <c r="I42" s="33" t="e">
        <v>#VALUE!</v>
      </c>
      <c r="J42" s="89" t="e">
        <f>_xll.qlInterpolationInterpolate($J$1,H42)</f>
        <v>#VALUE!</v>
      </c>
      <c r="K42" s="41" t="e">
        <f>_xll.qlDayCounterYearFraction(DayCounter,D41,D42)</f>
        <v>#NUM!</v>
      </c>
      <c r="L42" s="33" t="e">
        <f t="shared" si="4"/>
        <v>#VALUE!</v>
      </c>
      <c r="M42" s="33"/>
    </row>
    <row r="43" spans="1:13" x14ac:dyDescent="0.2">
      <c r="A43" s="30" t="e">
        <v>#NUM!</v>
      </c>
      <c r="B43" s="31" t="e">
        <f>_xll.qlRateHelperRate($A43,InterestRatesTrigger)</f>
        <v>#VALUE!</v>
      </c>
      <c r="C43" s="37" t="e">
        <f>_xll.qlRateHelperEarliestDate($A43)</f>
        <v>#VALUE!</v>
      </c>
      <c r="D43" s="38" t="e">
        <f>_xll.qlRateHelperLatestDate($A43)</f>
        <v>#VALUE!</v>
      </c>
      <c r="E43" s="29" t="b">
        <f t="shared" si="6"/>
        <v>0</v>
      </c>
      <c r="F43" s="29" t="b">
        <f t="shared" si="7"/>
        <v>0</v>
      </c>
      <c r="G43" s="29" t="b">
        <f t="shared" si="8"/>
        <v>0</v>
      </c>
      <c r="H43" s="32" t="e">
        <f t="shared" si="5"/>
        <v>#N/A</v>
      </c>
      <c r="I43" s="33" t="e">
        <v>#VALUE!</v>
      </c>
      <c r="J43" s="89" t="e">
        <f>_xll.qlInterpolationInterpolate($J$1,H43)</f>
        <v>#VALUE!</v>
      </c>
      <c r="K43" s="41" t="e">
        <f>_xll.qlDayCounterYearFraction(DayCounter,D42,D43)</f>
        <v>#NUM!</v>
      </c>
      <c r="L43" s="33" t="e">
        <f t="shared" si="4"/>
        <v>#VALUE!</v>
      </c>
      <c r="M43" s="33"/>
    </row>
    <row r="44" spans="1:13" x14ac:dyDescent="0.2">
      <c r="A44" s="30" t="e">
        <v>#NUM!</v>
      </c>
      <c r="B44" s="31" t="e">
        <f>_xll.qlRateHelperRate($A44,InterestRatesTrigger)</f>
        <v>#VALUE!</v>
      </c>
      <c r="C44" s="37" t="e">
        <f>_xll.qlRateHelperEarliestDate($A44)</f>
        <v>#VALUE!</v>
      </c>
      <c r="D44" s="38" t="e">
        <f>_xll.qlRateHelperLatestDate($A44)</f>
        <v>#VALUE!</v>
      </c>
      <c r="E44" s="29" t="b">
        <f t="shared" si="6"/>
        <v>0</v>
      </c>
      <c r="F44" s="29" t="b">
        <f t="shared" si="7"/>
        <v>0</v>
      </c>
      <c r="G44" s="29" t="b">
        <f t="shared" si="8"/>
        <v>0</v>
      </c>
      <c r="H44" s="32" t="e">
        <f t="shared" si="5"/>
        <v>#N/A</v>
      </c>
      <c r="I44" s="33" t="e">
        <v>#VALUE!</v>
      </c>
      <c r="J44" s="89" t="e">
        <f>_xll.qlInterpolationInterpolate($J$1,H44)</f>
        <v>#VALUE!</v>
      </c>
      <c r="K44" s="41" t="e">
        <f>_xll.qlDayCounterYearFraction(DayCounter,D43,D44)</f>
        <v>#NUM!</v>
      </c>
      <c r="L44" s="33" t="e">
        <f t="shared" si="4"/>
        <v>#VALUE!</v>
      </c>
      <c r="M44" s="33"/>
    </row>
    <row r="45" spans="1:13" x14ac:dyDescent="0.2">
      <c r="A45" s="30" t="e">
        <v>#NUM!</v>
      </c>
      <c r="B45" s="31" t="e">
        <f>_xll.qlRateHelperRate($A45,InterestRatesTrigger)</f>
        <v>#VALUE!</v>
      </c>
      <c r="C45" s="37" t="e">
        <f>_xll.qlRateHelperEarliestDate($A45)</f>
        <v>#VALUE!</v>
      </c>
      <c r="D45" s="38" t="e">
        <f>_xll.qlRateHelperLatestDate($A45)</f>
        <v>#VALUE!</v>
      </c>
      <c r="E45" s="29" t="b">
        <f t="shared" si="6"/>
        <v>0</v>
      </c>
      <c r="F45" s="29" t="b">
        <f t="shared" si="7"/>
        <v>0</v>
      </c>
      <c r="G45" s="29" t="b">
        <f t="shared" si="8"/>
        <v>0</v>
      </c>
      <c r="H45" s="32" t="e">
        <f t="shared" si="5"/>
        <v>#N/A</v>
      </c>
      <c r="I45" s="33" t="e">
        <v>#VALUE!</v>
      </c>
      <c r="J45" s="89" t="e">
        <f>_xll.qlInterpolationInterpolate($J$1,H45)</f>
        <v>#VALUE!</v>
      </c>
      <c r="K45" s="41" t="e">
        <f>_xll.qlDayCounterYearFraction(DayCounter,D44,D45)</f>
        <v>#NUM!</v>
      </c>
      <c r="L45" s="33" t="e">
        <f t="shared" si="4"/>
        <v>#VALUE!</v>
      </c>
      <c r="M45" s="33"/>
    </row>
    <row r="46" spans="1:13" x14ac:dyDescent="0.2">
      <c r="A46" s="30" t="e">
        <v>#NUM!</v>
      </c>
      <c r="B46" s="31" t="e">
        <f>_xll.qlRateHelperRate($A46,InterestRatesTrigger)</f>
        <v>#VALUE!</v>
      </c>
      <c r="C46" s="37" t="e">
        <f>_xll.qlRateHelperEarliestDate($A46)</f>
        <v>#VALUE!</v>
      </c>
      <c r="D46" s="38" t="e">
        <f>_xll.qlRateHelperLatestDate($A46)</f>
        <v>#VALUE!</v>
      </c>
      <c r="E46" s="29" t="b">
        <f t="shared" si="6"/>
        <v>0</v>
      </c>
      <c r="F46" s="29" t="b">
        <f t="shared" si="7"/>
        <v>0</v>
      </c>
      <c r="G46" s="29" t="b">
        <f t="shared" si="8"/>
        <v>0</v>
      </c>
      <c r="H46" s="32" t="e">
        <f t="shared" si="5"/>
        <v>#N/A</v>
      </c>
      <c r="I46" s="33" t="e">
        <v>#VALUE!</v>
      </c>
      <c r="J46" s="89" t="e">
        <f>_xll.qlInterpolationInterpolate($J$1,H46)</f>
        <v>#VALUE!</v>
      </c>
      <c r="K46" s="41" t="e">
        <f>_xll.qlDayCounterYearFraction(DayCounter,D45,D46)</f>
        <v>#NUM!</v>
      </c>
      <c r="L46" s="33" t="e">
        <f t="shared" si="4"/>
        <v>#VALUE!</v>
      </c>
      <c r="M46" s="33"/>
    </row>
    <row r="47" spans="1:13" x14ac:dyDescent="0.2">
      <c r="A47" s="30" t="e">
        <v>#NUM!</v>
      </c>
      <c r="B47" s="31" t="e">
        <f>_xll.qlRateHelperRate($A47,InterestRatesTrigger)</f>
        <v>#VALUE!</v>
      </c>
      <c r="C47" s="37" t="e">
        <f>_xll.qlRateHelperEarliestDate($A47)</f>
        <v>#VALUE!</v>
      </c>
      <c r="D47" s="38" t="e">
        <f>_xll.qlRateHelperLatestDate($A47)</f>
        <v>#VALUE!</v>
      </c>
      <c r="E47" s="29" t="b">
        <f t="shared" si="6"/>
        <v>0</v>
      </c>
      <c r="F47" s="29" t="b">
        <f t="shared" si="7"/>
        <v>0</v>
      </c>
      <c r="G47" s="29" t="b">
        <f t="shared" si="8"/>
        <v>0</v>
      </c>
      <c r="H47" s="32" t="e">
        <f t="shared" si="5"/>
        <v>#N/A</v>
      </c>
      <c r="I47" s="33" t="e">
        <v>#VALUE!</v>
      </c>
      <c r="J47" s="89" t="e">
        <f>_xll.qlInterpolationInterpolate($J$1,H47)</f>
        <v>#VALUE!</v>
      </c>
      <c r="K47" s="41" t="e">
        <f>_xll.qlDayCounterYearFraction(DayCounter,D46,D47)</f>
        <v>#NUM!</v>
      </c>
      <c r="L47" s="33" t="e">
        <f t="shared" si="4"/>
        <v>#VALUE!</v>
      </c>
      <c r="M47" s="33"/>
    </row>
    <row r="48" spans="1:13" x14ac:dyDescent="0.2">
      <c r="A48" s="30" t="e">
        <v>#NUM!</v>
      </c>
      <c r="B48" s="31" t="e">
        <f>_xll.qlRateHelperRate($A48,InterestRatesTrigger)</f>
        <v>#VALUE!</v>
      </c>
      <c r="C48" s="37" t="e">
        <f>_xll.qlRateHelperEarliestDate($A48)</f>
        <v>#VALUE!</v>
      </c>
      <c r="D48" s="38" t="e">
        <f>_xll.qlRateHelperLatestDate($A48)</f>
        <v>#VALUE!</v>
      </c>
      <c r="E48" s="29" t="b">
        <f t="shared" si="6"/>
        <v>0</v>
      </c>
      <c r="F48" s="29" t="b">
        <f t="shared" si="7"/>
        <v>0</v>
      </c>
      <c r="G48" s="29" t="b">
        <f t="shared" si="8"/>
        <v>0</v>
      </c>
      <c r="H48" s="32" t="e">
        <f t="shared" si="5"/>
        <v>#N/A</v>
      </c>
      <c r="I48" s="33" t="e">
        <v>#VALUE!</v>
      </c>
      <c r="J48" s="89" t="e">
        <f>_xll.qlInterpolationInterpolate($J$1,H48)</f>
        <v>#VALUE!</v>
      </c>
      <c r="K48" s="41" t="e">
        <f>_xll.qlDayCounterYearFraction(DayCounter,D47,D48)</f>
        <v>#NUM!</v>
      </c>
      <c r="L48" s="33" t="e">
        <f t="shared" si="4"/>
        <v>#VALUE!</v>
      </c>
      <c r="M48" s="33"/>
    </row>
    <row r="49" spans="1:13" x14ac:dyDescent="0.2">
      <c r="A49" s="30" t="e">
        <v>#NUM!</v>
      </c>
      <c r="B49" s="31" t="e">
        <f>_xll.qlRateHelperRate($A49,InterestRatesTrigger)</f>
        <v>#VALUE!</v>
      </c>
      <c r="C49" s="37" t="e">
        <f>_xll.qlRateHelperEarliestDate($A49)</f>
        <v>#VALUE!</v>
      </c>
      <c r="D49" s="38" t="e">
        <f>_xll.qlRateHelperLatestDate($A49)</f>
        <v>#VALUE!</v>
      </c>
      <c r="E49" s="29" t="b">
        <f t="shared" si="6"/>
        <v>0</v>
      </c>
      <c r="F49" s="29" t="b">
        <f t="shared" si="7"/>
        <v>0</v>
      </c>
      <c r="G49" s="29" t="b">
        <f t="shared" si="8"/>
        <v>0</v>
      </c>
      <c r="H49" s="32" t="e">
        <f t="shared" si="5"/>
        <v>#N/A</v>
      </c>
      <c r="I49" s="33" t="e">
        <v>#VALUE!</v>
      </c>
      <c r="J49" s="89" t="e">
        <f>_xll.qlInterpolationInterpolate($J$1,H49)</f>
        <v>#VALUE!</v>
      </c>
      <c r="K49" s="41" t="e">
        <f>_xll.qlDayCounterYearFraction(DayCounter,D48,D49)</f>
        <v>#NUM!</v>
      </c>
      <c r="L49" s="33" t="e">
        <f t="shared" si="4"/>
        <v>#VALUE!</v>
      </c>
      <c r="M49" s="33"/>
    </row>
    <row r="50" spans="1:13" x14ac:dyDescent="0.2">
      <c r="A50" s="30" t="e">
        <v>#NUM!</v>
      </c>
      <c r="B50" s="31" t="e">
        <f>_xll.qlRateHelperRate($A50,InterestRatesTrigger)</f>
        <v>#VALUE!</v>
      </c>
      <c r="C50" s="37" t="e">
        <f>_xll.qlRateHelperEarliestDate($A50)</f>
        <v>#VALUE!</v>
      </c>
      <c r="D50" s="38" t="e">
        <f>_xll.qlRateHelperLatestDate($A50)</f>
        <v>#VALUE!</v>
      </c>
      <c r="E50" s="29" t="b">
        <f t="shared" si="6"/>
        <v>0</v>
      </c>
      <c r="F50" s="29" t="b">
        <f t="shared" si="7"/>
        <v>0</v>
      </c>
      <c r="G50" s="29" t="b">
        <f t="shared" si="8"/>
        <v>0</v>
      </c>
      <c r="H50" s="32" t="e">
        <f t="shared" si="5"/>
        <v>#N/A</v>
      </c>
      <c r="I50" s="33" t="e">
        <v>#VALUE!</v>
      </c>
      <c r="J50" s="89" t="e">
        <f>_xll.qlInterpolationInterpolate($J$1,H50)</f>
        <v>#VALUE!</v>
      </c>
      <c r="K50" s="41" t="e">
        <f>_xll.qlDayCounterYearFraction(DayCounter,D49,D50)</f>
        <v>#NUM!</v>
      </c>
      <c r="L50" s="33" t="e">
        <f t="shared" si="4"/>
        <v>#VALUE!</v>
      </c>
      <c r="M50" s="33"/>
    </row>
    <row r="51" spans="1:13" x14ac:dyDescent="0.2">
      <c r="A51" s="30" t="e">
        <v>#NUM!</v>
      </c>
      <c r="B51" s="31" t="e">
        <f>_xll.qlRateHelperRate($A51,InterestRatesTrigger)</f>
        <v>#VALUE!</v>
      </c>
      <c r="C51" s="37" t="e">
        <f>_xll.qlRateHelperEarliestDate($A51)</f>
        <v>#VALUE!</v>
      </c>
      <c r="D51" s="38" t="e">
        <f>_xll.qlRateHelperLatestDate($A51)</f>
        <v>#VALUE!</v>
      </c>
      <c r="E51" s="29" t="b">
        <f t="shared" si="6"/>
        <v>0</v>
      </c>
      <c r="F51" s="29" t="b">
        <f t="shared" si="7"/>
        <v>0</v>
      </c>
      <c r="G51" s="29" t="b">
        <f t="shared" si="8"/>
        <v>0</v>
      </c>
      <c r="H51" s="32" t="e">
        <f t="shared" si="5"/>
        <v>#N/A</v>
      </c>
      <c r="I51" s="33" t="e">
        <v>#VALUE!</v>
      </c>
      <c r="J51" s="89" t="e">
        <f>_xll.qlInterpolationInterpolate($J$1,H51)</f>
        <v>#VALUE!</v>
      </c>
      <c r="K51" s="41" t="e">
        <f>_xll.qlDayCounterYearFraction(DayCounter,D50,D51)</f>
        <v>#NUM!</v>
      </c>
      <c r="L51" s="33" t="e">
        <f t="shared" si="4"/>
        <v>#VALUE!</v>
      </c>
      <c r="M51" s="33"/>
    </row>
    <row r="52" spans="1:13" x14ac:dyDescent="0.2">
      <c r="A52" s="30" t="e">
        <v>#NUM!</v>
      </c>
      <c r="B52" s="31" t="e">
        <f>_xll.qlRateHelperRate($A52,InterestRatesTrigger)</f>
        <v>#VALUE!</v>
      </c>
      <c r="C52" s="37" t="e">
        <f>_xll.qlRateHelperEarliestDate($A52)</f>
        <v>#VALUE!</v>
      </c>
      <c r="D52" s="38" t="e">
        <f>_xll.qlRateHelperLatestDate($A52)</f>
        <v>#VALUE!</v>
      </c>
      <c r="E52" s="29" t="b">
        <f t="shared" si="6"/>
        <v>0</v>
      </c>
      <c r="F52" s="29" t="b">
        <f t="shared" si="7"/>
        <v>0</v>
      </c>
      <c r="G52" s="29" t="b">
        <f t="shared" si="8"/>
        <v>0</v>
      </c>
      <c r="H52" s="32" t="e">
        <f t="shared" si="5"/>
        <v>#N/A</v>
      </c>
      <c r="I52" s="33" t="e">
        <v>#VALUE!</v>
      </c>
      <c r="J52" s="89" t="e">
        <f>_xll.qlInterpolationInterpolate($J$1,H52)</f>
        <v>#VALUE!</v>
      </c>
      <c r="K52" s="41" t="e">
        <f>_xll.qlDayCounterYearFraction(DayCounter,D51,D52)</f>
        <v>#NUM!</v>
      </c>
      <c r="L52" s="33" t="e">
        <f t="shared" si="4"/>
        <v>#VALUE!</v>
      </c>
      <c r="M52" s="33"/>
    </row>
    <row r="53" spans="1:13" x14ac:dyDescent="0.2">
      <c r="A53" s="30" t="e">
        <v>#NUM!</v>
      </c>
      <c r="B53" s="31" t="e">
        <f>_xll.qlRateHelperRate($A53,InterestRatesTrigger)</f>
        <v>#VALUE!</v>
      </c>
      <c r="C53" s="37" t="e">
        <f>_xll.qlRateHelperEarliestDate($A53)</f>
        <v>#VALUE!</v>
      </c>
      <c r="D53" s="38" t="e">
        <f>_xll.qlRateHelperLatestDate($A53)</f>
        <v>#VALUE!</v>
      </c>
      <c r="E53" s="29" t="b">
        <f t="shared" si="6"/>
        <v>0</v>
      </c>
      <c r="F53" s="29" t="b">
        <f t="shared" si="7"/>
        <v>0</v>
      </c>
      <c r="G53" s="29" t="b">
        <f t="shared" si="8"/>
        <v>0</v>
      </c>
      <c r="H53" s="32" t="e">
        <f t="shared" si="5"/>
        <v>#N/A</v>
      </c>
      <c r="I53" s="33" t="e">
        <v>#VALUE!</v>
      </c>
      <c r="J53" s="89" t="e">
        <f>_xll.qlInterpolationInterpolate($J$1,H53)</f>
        <v>#VALUE!</v>
      </c>
      <c r="K53" s="41" t="e">
        <f>_xll.qlDayCounterYearFraction(DayCounter,D52,D53)</f>
        <v>#NUM!</v>
      </c>
      <c r="L53" s="33" t="e">
        <f t="shared" si="4"/>
        <v>#VALUE!</v>
      </c>
      <c r="M53" s="33"/>
    </row>
    <row r="54" spans="1:13" x14ac:dyDescent="0.2">
      <c r="A54" s="30" t="e">
        <v>#NUM!</v>
      </c>
      <c r="B54" s="31" t="e">
        <f>_xll.qlRateHelperRate($A54,InterestRatesTrigger)</f>
        <v>#VALUE!</v>
      </c>
      <c r="C54" s="37" t="e">
        <f>_xll.qlRateHelperEarliestDate($A54)</f>
        <v>#VALUE!</v>
      </c>
      <c r="D54" s="38" t="e">
        <f>_xll.qlRateHelperLatestDate($A54)</f>
        <v>#VALUE!</v>
      </c>
      <c r="E54" s="29" t="b">
        <f t="shared" si="6"/>
        <v>0</v>
      </c>
      <c r="F54" s="29" t="b">
        <f t="shared" si="7"/>
        <v>0</v>
      </c>
      <c r="G54" s="29" t="b">
        <f t="shared" si="8"/>
        <v>0</v>
      </c>
      <c r="H54" s="32" t="e">
        <f t="shared" si="5"/>
        <v>#N/A</v>
      </c>
      <c r="I54" s="33" t="e">
        <v>#VALUE!</v>
      </c>
      <c r="J54" s="89" t="e">
        <f>_xll.qlInterpolationInterpolate($J$1,H54)</f>
        <v>#VALUE!</v>
      </c>
      <c r="K54" s="41" t="e">
        <f>_xll.qlDayCounterYearFraction(DayCounter,D53,D54)</f>
        <v>#NUM!</v>
      </c>
      <c r="L54" s="33" t="e">
        <f t="shared" si="4"/>
        <v>#VALUE!</v>
      </c>
      <c r="M54" s="33"/>
    </row>
    <row r="55" spans="1:13" x14ac:dyDescent="0.2">
      <c r="A55" s="30" t="e">
        <v>#NUM!</v>
      </c>
      <c r="B55" s="31" t="e">
        <f>_xll.qlRateHelperRate($A55,InterestRatesTrigger)</f>
        <v>#VALUE!</v>
      </c>
      <c r="C55" s="37" t="e">
        <f>_xll.qlRateHelperEarliestDate($A55)</f>
        <v>#VALUE!</v>
      </c>
      <c r="D55" s="38" t="e">
        <f>_xll.qlRateHelperLatestDate($A55)</f>
        <v>#VALUE!</v>
      </c>
      <c r="E55" s="29" t="b">
        <f t="shared" si="6"/>
        <v>0</v>
      </c>
      <c r="F55" s="29" t="b">
        <f t="shared" si="7"/>
        <v>0</v>
      </c>
      <c r="G55" s="29" t="b">
        <f t="shared" si="8"/>
        <v>0</v>
      </c>
      <c r="H55" s="32" t="e">
        <f t="shared" si="5"/>
        <v>#N/A</v>
      </c>
      <c r="I55" s="33" t="e">
        <v>#VALUE!</v>
      </c>
      <c r="J55" s="89" t="e">
        <f>_xll.qlInterpolationInterpolate($J$1,H55)</f>
        <v>#VALUE!</v>
      </c>
      <c r="K55" s="41" t="e">
        <f>_xll.qlDayCounterYearFraction(DayCounter,D54,D55)</f>
        <v>#NUM!</v>
      </c>
      <c r="L55" s="33" t="e">
        <f t="shared" si="4"/>
        <v>#VALUE!</v>
      </c>
      <c r="M55" s="33"/>
    </row>
    <row r="56" spans="1:13" x14ac:dyDescent="0.2">
      <c r="A56" s="30" t="e">
        <v>#NUM!</v>
      </c>
      <c r="B56" s="31" t="e">
        <f>_xll.qlRateHelperRate($A56,InterestRatesTrigger)</f>
        <v>#VALUE!</v>
      </c>
      <c r="C56" s="37" t="e">
        <f>_xll.qlRateHelperEarliestDate($A56)</f>
        <v>#VALUE!</v>
      </c>
      <c r="D56" s="38" t="e">
        <f>_xll.qlRateHelperLatestDate($A56)</f>
        <v>#VALUE!</v>
      </c>
      <c r="E56" s="29" t="b">
        <f t="shared" si="6"/>
        <v>0</v>
      </c>
      <c r="F56" s="29" t="b">
        <f t="shared" si="7"/>
        <v>0</v>
      </c>
      <c r="G56" s="29" t="b">
        <f t="shared" si="8"/>
        <v>0</v>
      </c>
      <c r="H56" s="32" t="e">
        <f t="shared" si="5"/>
        <v>#N/A</v>
      </c>
      <c r="I56" s="33" t="e">
        <v>#VALUE!</v>
      </c>
      <c r="J56" s="89" t="e">
        <f>_xll.qlInterpolationInterpolate($J$1,H56)</f>
        <v>#VALUE!</v>
      </c>
      <c r="K56" s="41" t="e">
        <f>_xll.qlDayCounterYearFraction(DayCounter,D55,D56)</f>
        <v>#NUM!</v>
      </c>
      <c r="L56" s="33" t="e">
        <f t="shared" si="4"/>
        <v>#VALUE!</v>
      </c>
      <c r="M56" s="33"/>
    </row>
    <row r="57" spans="1:13" x14ac:dyDescent="0.2">
      <c r="A57" s="30" t="e">
        <v>#NUM!</v>
      </c>
      <c r="B57" s="31" t="e">
        <f>_xll.qlRateHelperRate($A57,InterestRatesTrigger)</f>
        <v>#VALUE!</v>
      </c>
      <c r="C57" s="37" t="e">
        <f>_xll.qlRateHelperEarliestDate($A57)</f>
        <v>#VALUE!</v>
      </c>
      <c r="D57" s="38" t="e">
        <f>_xll.qlRateHelperLatestDate($A57)</f>
        <v>#VALUE!</v>
      </c>
      <c r="E57" s="29" t="b">
        <f t="shared" si="6"/>
        <v>0</v>
      </c>
      <c r="F57" s="29" t="b">
        <f t="shared" si="7"/>
        <v>0</v>
      </c>
      <c r="G57" s="29" t="b">
        <f t="shared" si="8"/>
        <v>0</v>
      </c>
      <c r="H57" s="32" t="e">
        <f t="shared" si="5"/>
        <v>#N/A</v>
      </c>
      <c r="I57" s="33" t="e">
        <v>#VALUE!</v>
      </c>
      <c r="J57" s="89" t="e">
        <f>_xll.qlInterpolationInterpolate($J$1,H57)</f>
        <v>#VALUE!</v>
      </c>
      <c r="K57" s="41" t="e">
        <f>_xll.qlDayCounterYearFraction(DayCounter,D56,D57)</f>
        <v>#NUM!</v>
      </c>
      <c r="L57" s="33" t="e">
        <f t="shared" si="4"/>
        <v>#VALUE!</v>
      </c>
      <c r="M57" s="33"/>
    </row>
    <row r="58" spans="1:13" x14ac:dyDescent="0.2">
      <c r="A58" s="30" t="e">
        <v>#NUM!</v>
      </c>
      <c r="B58" s="31" t="e">
        <f>_xll.qlRateHelperRate($A58,InterestRatesTrigger)</f>
        <v>#VALUE!</v>
      </c>
      <c r="C58" s="37" t="e">
        <f>_xll.qlRateHelperEarliestDate($A58)</f>
        <v>#VALUE!</v>
      </c>
      <c r="D58" s="38" t="e">
        <f>_xll.qlRateHelperLatestDate($A58)</f>
        <v>#VALUE!</v>
      </c>
      <c r="E58" s="29" t="b">
        <f t="shared" si="6"/>
        <v>0</v>
      </c>
      <c r="F58" s="29" t="b">
        <f t="shared" si="7"/>
        <v>0</v>
      </c>
      <c r="G58" s="29" t="b">
        <f t="shared" si="8"/>
        <v>0</v>
      </c>
      <c r="H58" s="32" t="e">
        <f t="shared" si="5"/>
        <v>#N/A</v>
      </c>
      <c r="I58" s="33" t="e">
        <v>#VALUE!</v>
      </c>
      <c r="J58" s="89" t="e">
        <f>_xll.qlInterpolationInterpolate($J$1,H58)</f>
        <v>#VALUE!</v>
      </c>
      <c r="K58" s="41" t="e">
        <f>_xll.qlDayCounterYearFraction(DayCounter,D57,D58)</f>
        <v>#NUM!</v>
      </c>
      <c r="L58" s="33" t="e">
        <f t="shared" si="4"/>
        <v>#VALUE!</v>
      </c>
      <c r="M58" s="33"/>
    </row>
    <row r="59" spans="1:13" x14ac:dyDescent="0.2">
      <c r="A59" s="30" t="e">
        <v>#NUM!</v>
      </c>
      <c r="B59" s="31" t="e">
        <f>_xll.qlRateHelperRate($A59,InterestRatesTrigger)</f>
        <v>#VALUE!</v>
      </c>
      <c r="C59" s="37" t="e">
        <f>_xll.qlRateHelperEarliestDate($A59)</f>
        <v>#VALUE!</v>
      </c>
      <c r="D59" s="38" t="e">
        <f>_xll.qlRateHelperLatestDate($A59)</f>
        <v>#VALUE!</v>
      </c>
      <c r="E59" s="29" t="b">
        <f t="shared" si="6"/>
        <v>0</v>
      </c>
      <c r="F59" s="29" t="b">
        <f t="shared" si="7"/>
        <v>0</v>
      </c>
      <c r="G59" s="29" t="b">
        <f t="shared" si="8"/>
        <v>0</v>
      </c>
      <c r="H59" s="32" t="e">
        <f t="shared" si="5"/>
        <v>#N/A</v>
      </c>
      <c r="I59" s="33" t="e">
        <v>#VALUE!</v>
      </c>
      <c r="J59" s="89" t="e">
        <f>_xll.qlInterpolationInterpolate($J$1,H59)</f>
        <v>#VALUE!</v>
      </c>
      <c r="K59" s="41" t="e">
        <f>_xll.qlDayCounterYearFraction(DayCounter,D58,D59)</f>
        <v>#NUM!</v>
      </c>
      <c r="L59" s="33" t="e">
        <f t="shared" si="4"/>
        <v>#VALUE!</v>
      </c>
      <c r="M59" s="33"/>
    </row>
    <row r="60" spans="1:13" x14ac:dyDescent="0.2">
      <c r="A60" s="30" t="e">
        <v>#NUM!</v>
      </c>
      <c r="B60" s="31" t="e">
        <f>_xll.qlRateHelperRate($A60,InterestRatesTrigger)</f>
        <v>#VALUE!</v>
      </c>
      <c r="C60" s="37" t="e">
        <f>_xll.qlRateHelperEarliestDate($A60)</f>
        <v>#VALUE!</v>
      </c>
      <c r="D60" s="38" t="e">
        <f>_xll.qlRateHelperLatestDate($A60)</f>
        <v>#VALUE!</v>
      </c>
      <c r="E60" s="29" t="b">
        <f t="shared" si="6"/>
        <v>0</v>
      </c>
      <c r="F60" s="29" t="b">
        <f t="shared" si="7"/>
        <v>0</v>
      </c>
      <c r="G60" s="29" t="b">
        <f t="shared" si="8"/>
        <v>0</v>
      </c>
      <c r="H60" s="32" t="e">
        <f t="shared" si="5"/>
        <v>#N/A</v>
      </c>
      <c r="I60" s="33" t="e">
        <v>#VALUE!</v>
      </c>
      <c r="J60" s="89" t="e">
        <f>_xll.qlInterpolationInterpolate($J$1,H60)</f>
        <v>#VALUE!</v>
      </c>
      <c r="K60" s="41" t="e">
        <f>_xll.qlDayCounterYearFraction(DayCounter,D59,D60)</f>
        <v>#NUM!</v>
      </c>
      <c r="L60" s="33" t="e">
        <f t="shared" si="4"/>
        <v>#VALUE!</v>
      </c>
      <c r="M60" s="33"/>
    </row>
    <row r="61" spans="1:13" x14ac:dyDescent="0.2">
      <c r="A61" s="30" t="e">
        <v>#NUM!</v>
      </c>
      <c r="B61" s="31" t="e">
        <f>_xll.qlRateHelperRate($A61,InterestRatesTrigger)</f>
        <v>#VALUE!</v>
      </c>
      <c r="C61" s="37" t="e">
        <f>_xll.qlRateHelperEarliestDate($A61)</f>
        <v>#VALUE!</v>
      </c>
      <c r="D61" s="38" t="e">
        <f>_xll.qlRateHelperLatestDate($A61)</f>
        <v>#VALUE!</v>
      </c>
      <c r="E61" s="29" t="b">
        <f t="shared" si="6"/>
        <v>0</v>
      </c>
      <c r="F61" s="29" t="b">
        <f t="shared" si="7"/>
        <v>0</v>
      </c>
      <c r="G61" s="29" t="b">
        <f t="shared" si="8"/>
        <v>0</v>
      </c>
      <c r="H61" s="32" t="e">
        <f t="shared" si="5"/>
        <v>#N/A</v>
      </c>
      <c r="I61" s="33" t="e">
        <v>#VALUE!</v>
      </c>
      <c r="J61" s="89" t="e">
        <f>_xll.qlInterpolationInterpolate($J$1,H61)</f>
        <v>#VALUE!</v>
      </c>
      <c r="K61" s="41" t="e">
        <f>_xll.qlDayCounterYearFraction(DayCounter,D60,D61)</f>
        <v>#NUM!</v>
      </c>
      <c r="L61" s="33" t="e">
        <f t="shared" si="4"/>
        <v>#VALUE!</v>
      </c>
      <c r="M61" s="33"/>
    </row>
    <row r="62" spans="1:13" x14ac:dyDescent="0.2">
      <c r="A62" s="30" t="e">
        <v>#NUM!</v>
      </c>
      <c r="B62" s="31" t="e">
        <f>_xll.qlRateHelperRate($A62,InterestRatesTrigger)</f>
        <v>#VALUE!</v>
      </c>
      <c r="C62" s="37" t="e">
        <f>_xll.qlRateHelperEarliestDate($A62)</f>
        <v>#VALUE!</v>
      </c>
      <c r="D62" s="38" t="e">
        <f>_xll.qlRateHelperLatestDate($A62)</f>
        <v>#VALUE!</v>
      </c>
      <c r="E62" s="29" t="b">
        <f t="shared" si="6"/>
        <v>0</v>
      </c>
      <c r="F62" s="29" t="b">
        <f t="shared" si="7"/>
        <v>0</v>
      </c>
      <c r="G62" s="29" t="b">
        <f t="shared" si="8"/>
        <v>0</v>
      </c>
      <c r="H62" s="32" t="e">
        <f t="shared" si="5"/>
        <v>#N/A</v>
      </c>
      <c r="I62" s="33" t="e">
        <v>#VALUE!</v>
      </c>
      <c r="J62" s="89" t="e">
        <f>_xll.qlInterpolationInterpolate($J$1,H62)</f>
        <v>#VALUE!</v>
      </c>
      <c r="K62" s="41" t="e">
        <f>_xll.qlDayCounterYearFraction(DayCounter,D61,D62)</f>
        <v>#NUM!</v>
      </c>
      <c r="L62" s="33" t="e">
        <f t="shared" si="4"/>
        <v>#VALUE!</v>
      </c>
      <c r="M62" s="33"/>
    </row>
    <row r="63" spans="1:13" x14ac:dyDescent="0.2">
      <c r="A63" s="30" t="e">
        <v>#NUM!</v>
      </c>
      <c r="B63" s="31" t="e">
        <f>_xll.qlRateHelperRate($A63,InterestRatesTrigger)</f>
        <v>#VALUE!</v>
      </c>
      <c r="C63" s="37" t="e">
        <f>_xll.qlRateHelperEarliestDate($A63)</f>
        <v>#VALUE!</v>
      </c>
      <c r="D63" s="38" t="e">
        <f>_xll.qlRateHelperLatestDate($A63)</f>
        <v>#VALUE!</v>
      </c>
      <c r="E63" s="29" t="b">
        <f t="shared" si="6"/>
        <v>0</v>
      </c>
      <c r="F63" s="29" t="b">
        <f t="shared" si="7"/>
        <v>0</v>
      </c>
      <c r="G63" s="29" t="b">
        <f t="shared" si="8"/>
        <v>0</v>
      </c>
      <c r="H63" s="32" t="e">
        <f t="shared" si="5"/>
        <v>#N/A</v>
      </c>
      <c r="I63" s="33" t="e">
        <v>#VALUE!</v>
      </c>
      <c r="J63" s="89" t="e">
        <f>_xll.qlInterpolationInterpolate($J$1,H63)</f>
        <v>#VALUE!</v>
      </c>
      <c r="K63" s="41" t="e">
        <f>_xll.qlDayCounterYearFraction(DayCounter,D62,D63)</f>
        <v>#NUM!</v>
      </c>
      <c r="L63" s="33" t="e">
        <f t="shared" si="4"/>
        <v>#VALUE!</v>
      </c>
      <c r="M63" s="33"/>
    </row>
    <row r="64" spans="1:13" x14ac:dyDescent="0.2">
      <c r="A64" s="30" t="e">
        <v>#NUM!</v>
      </c>
      <c r="B64" s="31" t="e">
        <f>_xll.qlRateHelperRate($A64,InterestRatesTrigger)</f>
        <v>#VALUE!</v>
      </c>
      <c r="C64" s="37" t="e">
        <f>_xll.qlRateHelperEarliestDate($A64)</f>
        <v>#VALUE!</v>
      </c>
      <c r="D64" s="38" t="e">
        <f>_xll.qlRateHelperLatestDate($A64)</f>
        <v>#VALUE!</v>
      </c>
      <c r="E64" s="29" t="b">
        <f t="shared" si="6"/>
        <v>0</v>
      </c>
      <c r="F64" s="29" t="b">
        <f t="shared" si="7"/>
        <v>0</v>
      </c>
      <c r="G64" s="29" t="b">
        <f t="shared" si="8"/>
        <v>0</v>
      </c>
      <c r="H64" s="32" t="e">
        <f t="shared" si="5"/>
        <v>#N/A</v>
      </c>
      <c r="I64" s="33" t="e">
        <v>#VALUE!</v>
      </c>
      <c r="J64" s="89" t="e">
        <f>_xll.qlInterpolationInterpolate($J$1,H64)</f>
        <v>#VALUE!</v>
      </c>
      <c r="K64" s="41" t="e">
        <f>_xll.qlDayCounterYearFraction(DayCounter,D63,D64)</f>
        <v>#NUM!</v>
      </c>
      <c r="L64" s="33" t="e">
        <f t="shared" si="4"/>
        <v>#VALUE!</v>
      </c>
      <c r="M64" s="33"/>
    </row>
    <row r="65" spans="1:13" x14ac:dyDescent="0.2">
      <c r="A65" s="30" t="e">
        <v>#NUM!</v>
      </c>
      <c r="B65" s="31" t="e">
        <f>_xll.qlRateHelperRate($A65,InterestRatesTrigger)</f>
        <v>#VALUE!</v>
      </c>
      <c r="C65" s="37" t="e">
        <f>_xll.qlRateHelperEarliestDate($A65)</f>
        <v>#VALUE!</v>
      </c>
      <c r="D65" s="38" t="e">
        <f>_xll.qlRateHelperLatestDate($A65)</f>
        <v>#VALUE!</v>
      </c>
      <c r="E65" s="29" t="b">
        <f t="shared" si="6"/>
        <v>0</v>
      </c>
      <c r="F65" s="29" t="b">
        <f t="shared" si="7"/>
        <v>0</v>
      </c>
      <c r="G65" s="29" t="b">
        <f t="shared" si="8"/>
        <v>0</v>
      </c>
      <c r="H65" s="32" t="e">
        <f t="shared" si="5"/>
        <v>#N/A</v>
      </c>
      <c r="I65" s="33" t="e">
        <v>#VALUE!</v>
      </c>
      <c r="J65" s="89" t="e">
        <f>_xll.qlInterpolationInterpolate($J$1,H65)</f>
        <v>#VALUE!</v>
      </c>
      <c r="K65" s="41" t="e">
        <f>_xll.qlDayCounterYearFraction(DayCounter,D64,D65)</f>
        <v>#NUM!</v>
      </c>
      <c r="L65" s="33" t="e">
        <f t="shared" si="4"/>
        <v>#VALUE!</v>
      </c>
      <c r="M65" s="33"/>
    </row>
    <row r="66" spans="1:13" x14ac:dyDescent="0.2">
      <c r="A66" s="30" t="e">
        <v>#NUM!</v>
      </c>
      <c r="B66" s="31" t="e">
        <f>_xll.qlRateHelperRate($A66,InterestRatesTrigger)</f>
        <v>#VALUE!</v>
      </c>
      <c r="C66" s="37" t="e">
        <f>_xll.qlRateHelperEarliestDate($A66)</f>
        <v>#VALUE!</v>
      </c>
      <c r="D66" s="38" t="e">
        <f>_xll.qlRateHelperLatestDate($A66)</f>
        <v>#VALUE!</v>
      </c>
      <c r="E66" s="29" t="b">
        <f t="shared" si="6"/>
        <v>0</v>
      </c>
      <c r="F66" s="29" t="b">
        <f t="shared" si="7"/>
        <v>0</v>
      </c>
      <c r="G66" s="29" t="b">
        <f t="shared" si="8"/>
        <v>0</v>
      </c>
      <c r="H66" s="32" t="e">
        <f t="shared" si="5"/>
        <v>#N/A</v>
      </c>
      <c r="I66" s="33" t="e">
        <v>#VALUE!</v>
      </c>
      <c r="J66" s="89" t="e">
        <f>_xll.qlInterpolationInterpolate($J$1,H66)</f>
        <v>#VALUE!</v>
      </c>
      <c r="K66" s="41" t="e">
        <f>_xll.qlDayCounterYearFraction(DayCounter,D65,D66)</f>
        <v>#NUM!</v>
      </c>
      <c r="L66" s="33" t="e">
        <f t="shared" si="4"/>
        <v>#VALUE!</v>
      </c>
      <c r="M66" s="33"/>
    </row>
    <row r="67" spans="1:13" x14ac:dyDescent="0.2">
      <c r="A67" s="30" t="e">
        <v>#NUM!</v>
      </c>
      <c r="B67" s="31" t="e">
        <f>_xll.qlRateHelperRate($A67,InterestRatesTrigger)</f>
        <v>#VALUE!</v>
      </c>
      <c r="C67" s="37" t="e">
        <f>_xll.qlRateHelperEarliestDate($A67)</f>
        <v>#VALUE!</v>
      </c>
      <c r="D67" s="38" t="e">
        <f>_xll.qlRateHelperLatestDate($A67)</f>
        <v>#VALUE!</v>
      </c>
      <c r="E67" s="29" t="b">
        <f t="shared" ref="E67:E98" si="9">IF(ISERROR($D67),FALSE,AND($D66&lt;=LastDayInYear,$D67&gt;LastDayInYear))</f>
        <v>0</v>
      </c>
      <c r="F67" s="29" t="b">
        <f t="shared" ref="F67:F98" si="10">IF(ISERROR($D67),FALSE,AND($D66&lt;=LastDayInNextYear,$D67&gt;LastDayInNextYear))</f>
        <v>0</v>
      </c>
      <c r="G67" s="29" t="b">
        <f t="shared" ref="G67:G98" si="11">IF(ISERROR(D67),FALSE,AND(NOT(E67),NOT(F67)))</f>
        <v>0</v>
      </c>
      <c r="H67" s="32" t="e">
        <f t="shared" si="5"/>
        <v>#N/A</v>
      </c>
      <c r="I67" s="33" t="e">
        <v>#VALUE!</v>
      </c>
      <c r="J67" s="89" t="e">
        <f>_xll.qlInterpolationInterpolate($J$1,H67)</f>
        <v>#VALUE!</v>
      </c>
      <c r="K67" s="41" t="e">
        <f>_xll.qlDayCounterYearFraction(DayCounter,D66,D67)</f>
        <v>#NUM!</v>
      </c>
      <c r="L67" s="33" t="e">
        <f t="shared" si="4"/>
        <v>#VALUE!</v>
      </c>
      <c r="M67" s="33"/>
    </row>
    <row r="68" spans="1:13" x14ac:dyDescent="0.2">
      <c r="A68" s="30" t="e">
        <v>#NUM!</v>
      </c>
      <c r="B68" s="31" t="e">
        <f>_xll.qlRateHelperRate($A68,InterestRatesTrigger)</f>
        <v>#VALUE!</v>
      </c>
      <c r="C68" s="37" t="e">
        <f>_xll.qlRateHelperEarliestDate($A68)</f>
        <v>#VALUE!</v>
      </c>
      <c r="D68" s="38" t="e">
        <f>_xll.qlRateHelperLatestDate($A68)</f>
        <v>#VALUE!</v>
      </c>
      <c r="E68" s="29" t="b">
        <f t="shared" si="9"/>
        <v>0</v>
      </c>
      <c r="F68" s="29" t="b">
        <f t="shared" si="10"/>
        <v>0</v>
      </c>
      <c r="G68" s="29" t="b">
        <f t="shared" si="11"/>
        <v>0</v>
      </c>
      <c r="H68" s="32" t="e">
        <f t="shared" si="5"/>
        <v>#N/A</v>
      </c>
      <c r="I68" s="33" t="e">
        <v>#VALUE!</v>
      </c>
      <c r="J68" s="89" t="e">
        <f>_xll.qlInterpolationInterpolate($J$1,H68)</f>
        <v>#VALUE!</v>
      </c>
      <c r="K68" s="41" t="e">
        <f>_xll.qlDayCounterYearFraction(DayCounter,D67,D68)</f>
        <v>#NUM!</v>
      </c>
      <c r="L68" s="33" t="e">
        <f t="shared" ref="L68:L127" si="12">MIN(EXP((J68-I68)*K68),1)</f>
        <v>#VALUE!</v>
      </c>
      <c r="M68" s="33"/>
    </row>
    <row r="69" spans="1:13" x14ac:dyDescent="0.2">
      <c r="A69" s="30" t="e">
        <v>#NUM!</v>
      </c>
      <c r="B69" s="31" t="e">
        <f>_xll.qlRateHelperRate($A69,InterestRatesTrigger)</f>
        <v>#VALUE!</v>
      </c>
      <c r="C69" s="37" t="e">
        <f>_xll.qlRateHelperEarliestDate($A69)</f>
        <v>#VALUE!</v>
      </c>
      <c r="D69" s="38" t="e">
        <f>_xll.qlRateHelperLatestDate($A69)</f>
        <v>#VALUE!</v>
      </c>
      <c r="E69" s="29" t="b">
        <f t="shared" si="9"/>
        <v>0</v>
      </c>
      <c r="F69" s="29" t="b">
        <f t="shared" si="10"/>
        <v>0</v>
      </c>
      <c r="G69" s="29" t="b">
        <f t="shared" si="11"/>
        <v>0</v>
      </c>
      <c r="H69" s="32" t="e">
        <f t="shared" si="5"/>
        <v>#N/A</v>
      </c>
      <c r="I69" s="33" t="e">
        <v>#VALUE!</v>
      </c>
      <c r="J69" s="89" t="e">
        <f>_xll.qlInterpolationInterpolate($J$1,H69)</f>
        <v>#VALUE!</v>
      </c>
      <c r="K69" s="41" t="e">
        <f>_xll.qlDayCounterYearFraction(DayCounter,D68,D69)</f>
        <v>#NUM!</v>
      </c>
      <c r="L69" s="33" t="e">
        <f t="shared" si="12"/>
        <v>#VALUE!</v>
      </c>
      <c r="M69" s="33"/>
    </row>
    <row r="70" spans="1:13" x14ac:dyDescent="0.2">
      <c r="A70" s="30" t="e">
        <v>#NUM!</v>
      </c>
      <c r="B70" s="31" t="e">
        <f>_xll.qlRateHelperRate($A70,InterestRatesTrigger)</f>
        <v>#VALUE!</v>
      </c>
      <c r="C70" s="37" t="e">
        <f>_xll.qlRateHelperEarliestDate($A70)</f>
        <v>#VALUE!</v>
      </c>
      <c r="D70" s="38" t="e">
        <f>_xll.qlRateHelperLatestDate($A70)</f>
        <v>#VALUE!</v>
      </c>
      <c r="E70" s="29" t="b">
        <f t="shared" si="9"/>
        <v>0</v>
      </c>
      <c r="F70" s="29" t="b">
        <f t="shared" si="10"/>
        <v>0</v>
      </c>
      <c r="G70" s="29" t="b">
        <f t="shared" si="11"/>
        <v>0</v>
      </c>
      <c r="H70" s="32" t="e">
        <f t="shared" si="5"/>
        <v>#N/A</v>
      </c>
      <c r="I70" s="33" t="e">
        <v>#VALUE!</v>
      </c>
      <c r="J70" s="89" t="e">
        <f>_xll.qlInterpolationInterpolate($J$1,H70)</f>
        <v>#VALUE!</v>
      </c>
      <c r="K70" s="41" t="e">
        <f>_xll.qlDayCounterYearFraction(DayCounter,D69,D70)</f>
        <v>#NUM!</v>
      </c>
      <c r="L70" s="33" t="e">
        <f t="shared" si="12"/>
        <v>#VALUE!</v>
      </c>
      <c r="M70" s="33"/>
    </row>
    <row r="71" spans="1:13" x14ac:dyDescent="0.2">
      <c r="A71" s="30" t="e">
        <v>#NUM!</v>
      </c>
      <c r="B71" s="31" t="e">
        <f>_xll.qlRateHelperRate($A71,InterestRatesTrigger)</f>
        <v>#VALUE!</v>
      </c>
      <c r="C71" s="37" t="e">
        <f>_xll.qlRateHelperEarliestDate($A71)</f>
        <v>#VALUE!</v>
      </c>
      <c r="D71" s="38" t="e">
        <f>_xll.qlRateHelperLatestDate($A71)</f>
        <v>#VALUE!</v>
      </c>
      <c r="E71" s="29" t="b">
        <f t="shared" si="9"/>
        <v>0</v>
      </c>
      <c r="F71" s="29" t="b">
        <f t="shared" si="10"/>
        <v>0</v>
      </c>
      <c r="G71" s="29" t="b">
        <f t="shared" si="11"/>
        <v>0</v>
      </c>
      <c r="H71" s="32" t="e">
        <f t="shared" si="5"/>
        <v>#N/A</v>
      </c>
      <c r="I71" s="33" t="e">
        <v>#VALUE!</v>
      </c>
      <c r="J71" s="89" t="e">
        <f>_xll.qlInterpolationInterpolate($J$1,H71)</f>
        <v>#VALUE!</v>
      </c>
      <c r="K71" s="41" t="e">
        <f>_xll.qlDayCounterYearFraction(DayCounter,D70,D71)</f>
        <v>#NUM!</v>
      </c>
      <c r="L71" s="33" t="e">
        <f t="shared" si="12"/>
        <v>#VALUE!</v>
      </c>
      <c r="M71" s="33"/>
    </row>
    <row r="72" spans="1:13" x14ac:dyDescent="0.2">
      <c r="A72" s="30" t="e">
        <v>#NUM!</v>
      </c>
      <c r="B72" s="31" t="e">
        <f>_xll.qlRateHelperRate($A72,InterestRatesTrigger)</f>
        <v>#VALUE!</v>
      </c>
      <c r="C72" s="37" t="e">
        <f>_xll.qlRateHelperEarliestDate($A72)</f>
        <v>#VALUE!</v>
      </c>
      <c r="D72" s="38" t="e">
        <f>_xll.qlRateHelperLatestDate($A72)</f>
        <v>#VALUE!</v>
      </c>
      <c r="E72" s="29" t="b">
        <f t="shared" si="9"/>
        <v>0</v>
      </c>
      <c r="F72" s="29" t="b">
        <f t="shared" si="10"/>
        <v>0</v>
      </c>
      <c r="G72" s="29" t="b">
        <f t="shared" si="11"/>
        <v>0</v>
      </c>
      <c r="H72" s="32" t="e">
        <f t="shared" si="5"/>
        <v>#N/A</v>
      </c>
      <c r="I72" s="33" t="e">
        <v>#VALUE!</v>
      </c>
      <c r="J72" s="89" t="e">
        <f>_xll.qlInterpolationInterpolate($J$1,H72)</f>
        <v>#VALUE!</v>
      </c>
      <c r="K72" s="41" t="e">
        <f>_xll.qlDayCounterYearFraction(DayCounter,D71,D72)</f>
        <v>#NUM!</v>
      </c>
      <c r="L72" s="33" t="e">
        <f t="shared" si="12"/>
        <v>#VALUE!</v>
      </c>
      <c r="M72" s="33"/>
    </row>
    <row r="73" spans="1:13" x14ac:dyDescent="0.2">
      <c r="A73" s="30" t="e">
        <v>#NUM!</v>
      </c>
      <c r="B73" s="31" t="e">
        <f>_xll.qlRateHelperRate($A73,InterestRatesTrigger)</f>
        <v>#VALUE!</v>
      </c>
      <c r="C73" s="37" t="e">
        <f>_xll.qlRateHelperEarliestDate($A73)</f>
        <v>#VALUE!</v>
      </c>
      <c r="D73" s="38" t="e">
        <f>_xll.qlRateHelperLatestDate($A73)</f>
        <v>#VALUE!</v>
      </c>
      <c r="E73" s="29" t="b">
        <f t="shared" si="9"/>
        <v>0</v>
      </c>
      <c r="F73" s="29" t="b">
        <f t="shared" si="10"/>
        <v>0</v>
      </c>
      <c r="G73" s="29" t="b">
        <f t="shared" si="11"/>
        <v>0</v>
      </c>
      <c r="H73" s="32" t="e">
        <f t="shared" si="5"/>
        <v>#N/A</v>
      </c>
      <c r="I73" s="33" t="e">
        <v>#VALUE!</v>
      </c>
      <c r="J73" s="89" t="e">
        <f>_xll.qlInterpolationInterpolate($J$1,H73)</f>
        <v>#VALUE!</v>
      </c>
      <c r="K73" s="41" t="e">
        <f>_xll.qlDayCounterYearFraction(DayCounter,D72,D73)</f>
        <v>#NUM!</v>
      </c>
      <c r="L73" s="33" t="e">
        <f t="shared" si="12"/>
        <v>#VALUE!</v>
      </c>
      <c r="M73" s="33"/>
    </row>
    <row r="74" spans="1:13" x14ac:dyDescent="0.2">
      <c r="A74" s="30" t="e">
        <v>#NUM!</v>
      </c>
      <c r="B74" s="31" t="e">
        <f>_xll.qlRateHelperRate($A74,InterestRatesTrigger)</f>
        <v>#VALUE!</v>
      </c>
      <c r="C74" s="37" t="e">
        <f>_xll.qlRateHelperEarliestDate($A74)</f>
        <v>#VALUE!</v>
      </c>
      <c r="D74" s="38" t="e">
        <f>_xll.qlRateHelperLatestDate($A74)</f>
        <v>#VALUE!</v>
      </c>
      <c r="E74" s="29" t="b">
        <f t="shared" si="9"/>
        <v>0</v>
      </c>
      <c r="F74" s="29" t="b">
        <f t="shared" si="10"/>
        <v>0</v>
      </c>
      <c r="G74" s="29" t="b">
        <f t="shared" si="11"/>
        <v>0</v>
      </c>
      <c r="H74" s="32" t="e">
        <f t="shared" si="5"/>
        <v>#N/A</v>
      </c>
      <c r="I74" s="33" t="e">
        <v>#VALUE!</v>
      </c>
      <c r="J74" s="89" t="e">
        <f>_xll.qlInterpolationInterpolate($J$1,H74)</f>
        <v>#VALUE!</v>
      </c>
      <c r="K74" s="41" t="e">
        <f>_xll.qlDayCounterYearFraction(DayCounter,D73,D74)</f>
        <v>#NUM!</v>
      </c>
      <c r="L74" s="33" t="e">
        <f t="shared" si="12"/>
        <v>#VALUE!</v>
      </c>
      <c r="M74" s="33"/>
    </row>
    <row r="75" spans="1:13" x14ac:dyDescent="0.2">
      <c r="A75" s="30" t="e">
        <v>#NUM!</v>
      </c>
      <c r="B75" s="31" t="e">
        <f>_xll.qlRateHelperRate($A75,InterestRatesTrigger)</f>
        <v>#VALUE!</v>
      </c>
      <c r="C75" s="37" t="e">
        <f>_xll.qlRateHelperEarliestDate($A75)</f>
        <v>#VALUE!</v>
      </c>
      <c r="D75" s="38" t="e">
        <f>_xll.qlRateHelperLatestDate($A75)</f>
        <v>#VALUE!</v>
      </c>
      <c r="E75" s="29" t="b">
        <f t="shared" si="9"/>
        <v>0</v>
      </c>
      <c r="F75" s="29" t="b">
        <f t="shared" si="10"/>
        <v>0</v>
      </c>
      <c r="G75" s="29" t="b">
        <f t="shared" si="11"/>
        <v>0</v>
      </c>
      <c r="H75" s="32" t="e">
        <f t="shared" si="5"/>
        <v>#N/A</v>
      </c>
      <c r="I75" s="33" t="e">
        <v>#VALUE!</v>
      </c>
      <c r="J75" s="89" t="e">
        <f>_xll.qlInterpolationInterpolate($J$1,H75)</f>
        <v>#VALUE!</v>
      </c>
      <c r="K75" s="41" t="e">
        <f>_xll.qlDayCounterYearFraction(DayCounter,D74,D75)</f>
        <v>#NUM!</v>
      </c>
      <c r="L75" s="33" t="e">
        <f t="shared" si="12"/>
        <v>#VALUE!</v>
      </c>
      <c r="M75" s="33"/>
    </row>
    <row r="76" spans="1:13" x14ac:dyDescent="0.2">
      <c r="A76" s="30" t="e">
        <v>#NUM!</v>
      </c>
      <c r="B76" s="31" t="e">
        <f>_xll.qlRateHelperRate($A76,InterestRatesTrigger)</f>
        <v>#VALUE!</v>
      </c>
      <c r="C76" s="37" t="e">
        <f>_xll.qlRateHelperEarliestDate($A76)</f>
        <v>#VALUE!</v>
      </c>
      <c r="D76" s="38" t="e">
        <f>_xll.qlRateHelperLatestDate($A76)</f>
        <v>#VALUE!</v>
      </c>
      <c r="E76" s="29" t="b">
        <f t="shared" si="9"/>
        <v>0</v>
      </c>
      <c r="F76" s="29" t="b">
        <f t="shared" si="10"/>
        <v>0</v>
      </c>
      <c r="G76" s="29" t="b">
        <f t="shared" si="11"/>
        <v>0</v>
      </c>
      <c r="H76" s="32" t="e">
        <f t="shared" si="5"/>
        <v>#N/A</v>
      </c>
      <c r="I76" s="33" t="e">
        <v>#VALUE!</v>
      </c>
      <c r="J76" s="89" t="e">
        <f>_xll.qlInterpolationInterpolate($J$1,H76)</f>
        <v>#VALUE!</v>
      </c>
      <c r="K76" s="41" t="e">
        <f>_xll.qlDayCounterYearFraction(DayCounter,D75,D76)</f>
        <v>#NUM!</v>
      </c>
      <c r="L76" s="33" t="e">
        <f t="shared" si="12"/>
        <v>#VALUE!</v>
      </c>
      <c r="M76" s="33"/>
    </row>
    <row r="77" spans="1:13" x14ac:dyDescent="0.2">
      <c r="A77" s="30" t="e">
        <v>#NUM!</v>
      </c>
      <c r="B77" s="31" t="e">
        <f>_xll.qlRateHelperRate($A77,InterestRatesTrigger)</f>
        <v>#VALUE!</v>
      </c>
      <c r="C77" s="37" t="e">
        <f>_xll.qlRateHelperEarliestDate($A77)</f>
        <v>#VALUE!</v>
      </c>
      <c r="D77" s="38" t="e">
        <f>_xll.qlRateHelperLatestDate($A77)</f>
        <v>#VALUE!</v>
      </c>
      <c r="E77" s="29" t="b">
        <f t="shared" si="9"/>
        <v>0</v>
      </c>
      <c r="F77" s="29" t="b">
        <f t="shared" si="10"/>
        <v>0</v>
      </c>
      <c r="G77" s="29" t="b">
        <f t="shared" si="11"/>
        <v>0</v>
      </c>
      <c r="H77" s="32" t="e">
        <f t="shared" si="5"/>
        <v>#N/A</v>
      </c>
      <c r="I77" s="33" t="e">
        <v>#VALUE!</v>
      </c>
      <c r="J77" s="89" t="e">
        <f>_xll.qlInterpolationInterpolate($J$1,H77)</f>
        <v>#VALUE!</v>
      </c>
      <c r="K77" s="41" t="e">
        <f>_xll.qlDayCounterYearFraction(DayCounter,D76,D77)</f>
        <v>#NUM!</v>
      </c>
      <c r="L77" s="33" t="e">
        <f t="shared" si="12"/>
        <v>#VALUE!</v>
      </c>
      <c r="M77" s="33"/>
    </row>
    <row r="78" spans="1:13" x14ac:dyDescent="0.2">
      <c r="A78" s="30" t="e">
        <v>#NUM!</v>
      </c>
      <c r="B78" s="31" t="e">
        <f>_xll.qlRateHelperRate($A78,InterestRatesTrigger)</f>
        <v>#VALUE!</v>
      </c>
      <c r="C78" s="37" t="e">
        <f>_xll.qlRateHelperEarliestDate($A78)</f>
        <v>#VALUE!</v>
      </c>
      <c r="D78" s="38" t="e">
        <f>_xll.qlRateHelperLatestDate($A78)</f>
        <v>#VALUE!</v>
      </c>
      <c r="E78" s="29" t="b">
        <f t="shared" si="9"/>
        <v>0</v>
      </c>
      <c r="F78" s="29" t="b">
        <f t="shared" si="10"/>
        <v>0</v>
      </c>
      <c r="G78" s="29" t="b">
        <f t="shared" si="11"/>
        <v>0</v>
      </c>
      <c r="H78" s="32" t="e">
        <f t="shared" si="5"/>
        <v>#N/A</v>
      </c>
      <c r="I78" s="33" t="e">
        <v>#VALUE!</v>
      </c>
      <c r="J78" s="89" t="e">
        <f>_xll.qlInterpolationInterpolate($J$1,H78)</f>
        <v>#VALUE!</v>
      </c>
      <c r="K78" s="41" t="e">
        <f>_xll.qlDayCounterYearFraction(DayCounter,D77,D78)</f>
        <v>#NUM!</v>
      </c>
      <c r="L78" s="33" t="e">
        <f t="shared" si="12"/>
        <v>#VALUE!</v>
      </c>
      <c r="M78" s="33"/>
    </row>
    <row r="79" spans="1:13" x14ac:dyDescent="0.2">
      <c r="A79" s="30" t="e">
        <v>#NUM!</v>
      </c>
      <c r="B79" s="31" t="e">
        <f>_xll.qlRateHelperRate($A79,InterestRatesTrigger)</f>
        <v>#VALUE!</v>
      </c>
      <c r="C79" s="37" t="e">
        <f>_xll.qlRateHelperEarliestDate($A79)</f>
        <v>#VALUE!</v>
      </c>
      <c r="D79" s="38" t="e">
        <f>_xll.qlRateHelperLatestDate($A79)</f>
        <v>#VALUE!</v>
      </c>
      <c r="E79" s="29" t="b">
        <f t="shared" si="9"/>
        <v>0</v>
      </c>
      <c r="F79" s="29" t="b">
        <f t="shared" si="10"/>
        <v>0</v>
      </c>
      <c r="G79" s="29" t="b">
        <f t="shared" si="11"/>
        <v>0</v>
      </c>
      <c r="H79" s="32" t="e">
        <f t="shared" si="5"/>
        <v>#N/A</v>
      </c>
      <c r="I79" s="33" t="e">
        <v>#VALUE!</v>
      </c>
      <c r="J79" s="89" t="e">
        <f>_xll.qlInterpolationInterpolate($J$1,H79)</f>
        <v>#VALUE!</v>
      </c>
      <c r="K79" s="41" t="e">
        <f>_xll.qlDayCounterYearFraction(DayCounter,D78,D79)</f>
        <v>#NUM!</v>
      </c>
      <c r="L79" s="33" t="e">
        <f t="shared" si="12"/>
        <v>#VALUE!</v>
      </c>
      <c r="M79" s="33"/>
    </row>
    <row r="80" spans="1:13" x14ac:dyDescent="0.2">
      <c r="A80" s="30" t="e">
        <v>#NUM!</v>
      </c>
      <c r="B80" s="31" t="e">
        <f>_xll.qlRateHelperRate($A80,InterestRatesTrigger)</f>
        <v>#VALUE!</v>
      </c>
      <c r="C80" s="37" t="e">
        <f>_xll.qlRateHelperEarliestDate($A80)</f>
        <v>#VALUE!</v>
      </c>
      <c r="D80" s="38" t="e">
        <f>_xll.qlRateHelperLatestDate($A80)</f>
        <v>#VALUE!</v>
      </c>
      <c r="E80" s="29" t="b">
        <f t="shared" si="9"/>
        <v>0</v>
      </c>
      <c r="F80" s="29" t="b">
        <f t="shared" si="10"/>
        <v>0</v>
      </c>
      <c r="G80" s="29" t="b">
        <f t="shared" si="11"/>
        <v>0</v>
      </c>
      <c r="H80" s="32" t="e">
        <f t="shared" si="5"/>
        <v>#N/A</v>
      </c>
      <c r="I80" s="33" t="e">
        <v>#VALUE!</v>
      </c>
      <c r="J80" s="89" t="e">
        <f>_xll.qlInterpolationInterpolate($J$1,H80)</f>
        <v>#VALUE!</v>
      </c>
      <c r="K80" s="41" t="e">
        <f>_xll.qlDayCounterYearFraction(DayCounter,D79,D80)</f>
        <v>#NUM!</v>
      </c>
      <c r="L80" s="33" t="e">
        <f t="shared" si="12"/>
        <v>#VALUE!</v>
      </c>
      <c r="M80" s="33"/>
    </row>
    <row r="81" spans="1:13" x14ac:dyDescent="0.2">
      <c r="A81" s="30" t="e">
        <v>#NUM!</v>
      </c>
      <c r="B81" s="31" t="e">
        <f>_xll.qlRateHelperRate($A81,InterestRatesTrigger)</f>
        <v>#VALUE!</v>
      </c>
      <c r="C81" s="37" t="e">
        <f>_xll.qlRateHelperEarliestDate($A81)</f>
        <v>#VALUE!</v>
      </c>
      <c r="D81" s="38" t="e">
        <f>_xll.qlRateHelperLatestDate($A81)</f>
        <v>#VALUE!</v>
      </c>
      <c r="E81" s="29" t="b">
        <f t="shared" si="9"/>
        <v>0</v>
      </c>
      <c r="F81" s="29" t="b">
        <f t="shared" si="10"/>
        <v>0</v>
      </c>
      <c r="G81" s="29" t="b">
        <f t="shared" si="11"/>
        <v>0</v>
      </c>
      <c r="H81" s="32" t="e">
        <f t="shared" si="5"/>
        <v>#N/A</v>
      </c>
      <c r="I81" s="33" t="e">
        <v>#VALUE!</v>
      </c>
      <c r="J81" s="89" t="e">
        <f>_xll.qlInterpolationInterpolate($J$1,H81)</f>
        <v>#VALUE!</v>
      </c>
      <c r="K81" s="41" t="e">
        <f>_xll.qlDayCounterYearFraction(DayCounter,D80,D81)</f>
        <v>#NUM!</v>
      </c>
      <c r="L81" s="33" t="e">
        <f t="shared" si="12"/>
        <v>#VALUE!</v>
      </c>
      <c r="M81" s="33"/>
    </row>
    <row r="82" spans="1:13" x14ac:dyDescent="0.2">
      <c r="A82" s="30" t="e">
        <v>#NUM!</v>
      </c>
      <c r="B82" s="31" t="e">
        <f>_xll.qlRateHelperRate($A82,InterestRatesTrigger)</f>
        <v>#VALUE!</v>
      </c>
      <c r="C82" s="37" t="e">
        <f>_xll.qlRateHelperEarliestDate($A82)</f>
        <v>#VALUE!</v>
      </c>
      <c r="D82" s="38" t="e">
        <f>_xll.qlRateHelperLatestDate($A82)</f>
        <v>#VALUE!</v>
      </c>
      <c r="E82" s="29" t="b">
        <f t="shared" si="9"/>
        <v>0</v>
      </c>
      <c r="F82" s="29" t="b">
        <f t="shared" si="10"/>
        <v>0</v>
      </c>
      <c r="G82" s="29" t="b">
        <f t="shared" si="11"/>
        <v>0</v>
      </c>
      <c r="H82" s="32" t="e">
        <f t="shared" si="5"/>
        <v>#N/A</v>
      </c>
      <c r="I82" s="33" t="e">
        <v>#VALUE!</v>
      </c>
      <c r="J82" s="89" t="e">
        <f>_xll.qlInterpolationInterpolate($J$1,H82)</f>
        <v>#VALUE!</v>
      </c>
      <c r="K82" s="41" t="e">
        <f>_xll.qlDayCounterYearFraction(DayCounter,D81,D82)</f>
        <v>#NUM!</v>
      </c>
      <c r="L82" s="33" t="e">
        <f t="shared" si="12"/>
        <v>#VALUE!</v>
      </c>
      <c r="M82" s="33"/>
    </row>
    <row r="83" spans="1:13" x14ac:dyDescent="0.2">
      <c r="A83" s="30" t="e">
        <v>#NUM!</v>
      </c>
      <c r="B83" s="31" t="e">
        <f>_xll.qlRateHelperRate($A83,InterestRatesTrigger)</f>
        <v>#VALUE!</v>
      </c>
      <c r="C83" s="37" t="e">
        <f>_xll.qlRateHelperEarliestDate($A83)</f>
        <v>#VALUE!</v>
      </c>
      <c r="D83" s="38" t="e">
        <f>_xll.qlRateHelperLatestDate($A83)</f>
        <v>#VALUE!</v>
      </c>
      <c r="E83" s="29" t="b">
        <f t="shared" si="9"/>
        <v>0</v>
      </c>
      <c r="F83" s="29" t="b">
        <f t="shared" si="10"/>
        <v>0</v>
      </c>
      <c r="G83" s="29" t="b">
        <f t="shared" si="11"/>
        <v>0</v>
      </c>
      <c r="H83" s="32" t="e">
        <f t="shared" si="5"/>
        <v>#N/A</v>
      </c>
      <c r="I83" s="33" t="e">
        <v>#VALUE!</v>
      </c>
      <c r="J83" s="89" t="e">
        <f>_xll.qlInterpolationInterpolate($J$1,H83)</f>
        <v>#VALUE!</v>
      </c>
      <c r="K83" s="41" t="e">
        <f>_xll.qlDayCounterYearFraction(DayCounter,D82,D83)</f>
        <v>#NUM!</v>
      </c>
      <c r="L83" s="33" t="e">
        <f t="shared" si="12"/>
        <v>#VALUE!</v>
      </c>
      <c r="M83" s="33"/>
    </row>
    <row r="84" spans="1:13" x14ac:dyDescent="0.2">
      <c r="A84" s="30" t="e">
        <v>#NUM!</v>
      </c>
      <c r="B84" s="31" t="e">
        <f>_xll.qlRateHelperRate($A84,InterestRatesTrigger)</f>
        <v>#VALUE!</v>
      </c>
      <c r="C84" s="37" t="e">
        <f>_xll.qlRateHelperEarliestDate($A84)</f>
        <v>#VALUE!</v>
      </c>
      <c r="D84" s="38" t="e">
        <f>_xll.qlRateHelperLatestDate($A84)</f>
        <v>#VALUE!</v>
      </c>
      <c r="E84" s="29" t="b">
        <f t="shared" si="9"/>
        <v>0</v>
      </c>
      <c r="F84" s="29" t="b">
        <f t="shared" si="10"/>
        <v>0</v>
      </c>
      <c r="G84" s="29" t="b">
        <f t="shared" si="11"/>
        <v>0</v>
      </c>
      <c r="H84" s="32" t="e">
        <f t="shared" si="5"/>
        <v>#N/A</v>
      </c>
      <c r="I84" s="33" t="e">
        <v>#VALUE!</v>
      </c>
      <c r="J84" s="89" t="e">
        <f>_xll.qlInterpolationInterpolate($J$1,H84)</f>
        <v>#VALUE!</v>
      </c>
      <c r="K84" s="41" t="e">
        <f>_xll.qlDayCounterYearFraction(DayCounter,D83,D84)</f>
        <v>#NUM!</v>
      </c>
      <c r="L84" s="33" t="e">
        <f t="shared" si="12"/>
        <v>#VALUE!</v>
      </c>
      <c r="M84" s="33"/>
    </row>
    <row r="85" spans="1:13" x14ac:dyDescent="0.2">
      <c r="A85" s="30" t="e">
        <v>#NUM!</v>
      </c>
      <c r="B85" s="31" t="e">
        <f>_xll.qlRateHelperRate($A85,InterestRatesTrigger)</f>
        <v>#VALUE!</v>
      </c>
      <c r="C85" s="37" t="e">
        <f>_xll.qlRateHelperEarliestDate($A85)</f>
        <v>#VALUE!</v>
      </c>
      <c r="D85" s="38" t="e">
        <f>_xll.qlRateHelperLatestDate($A85)</f>
        <v>#VALUE!</v>
      </c>
      <c r="E85" s="29" t="b">
        <f t="shared" si="9"/>
        <v>0</v>
      </c>
      <c r="F85" s="29" t="b">
        <f t="shared" si="10"/>
        <v>0</v>
      </c>
      <c r="G85" s="29" t="b">
        <f t="shared" si="11"/>
        <v>0</v>
      </c>
      <c r="H85" s="32" t="e">
        <f t="shared" si="5"/>
        <v>#N/A</v>
      </c>
      <c r="I85" s="33" t="e">
        <v>#VALUE!</v>
      </c>
      <c r="J85" s="89" t="e">
        <f>_xll.qlInterpolationInterpolate($J$1,H85)</f>
        <v>#VALUE!</v>
      </c>
      <c r="K85" s="41" t="e">
        <f>_xll.qlDayCounterYearFraction(DayCounter,D84,D85)</f>
        <v>#NUM!</v>
      </c>
      <c r="L85" s="33" t="e">
        <f t="shared" si="12"/>
        <v>#VALUE!</v>
      </c>
      <c r="M85" s="33"/>
    </row>
    <row r="86" spans="1:13" x14ac:dyDescent="0.2">
      <c r="A86" s="30" t="e">
        <v>#NUM!</v>
      </c>
      <c r="B86" s="31" t="e">
        <f>_xll.qlRateHelperRate($A86,InterestRatesTrigger)</f>
        <v>#VALUE!</v>
      </c>
      <c r="C86" s="37" t="e">
        <f>_xll.qlRateHelperEarliestDate($A86)</f>
        <v>#VALUE!</v>
      </c>
      <c r="D86" s="38" t="e">
        <f>_xll.qlRateHelperLatestDate($A86)</f>
        <v>#VALUE!</v>
      </c>
      <c r="E86" s="29" t="b">
        <f t="shared" si="9"/>
        <v>0</v>
      </c>
      <c r="F86" s="29" t="b">
        <f t="shared" si="10"/>
        <v>0</v>
      </c>
      <c r="G86" s="29" t="b">
        <f t="shared" si="11"/>
        <v>0</v>
      </c>
      <c r="H86" s="32" t="e">
        <f t="shared" si="5"/>
        <v>#N/A</v>
      </c>
      <c r="I86" s="33" t="e">
        <v>#VALUE!</v>
      </c>
      <c r="J86" s="89" t="e">
        <f>_xll.qlInterpolationInterpolate($J$1,H86)</f>
        <v>#VALUE!</v>
      </c>
      <c r="K86" s="41" t="e">
        <f>_xll.qlDayCounterYearFraction(DayCounter,D85,D86)</f>
        <v>#NUM!</v>
      </c>
      <c r="L86" s="33" t="e">
        <f t="shared" si="12"/>
        <v>#VALUE!</v>
      </c>
      <c r="M86" s="33"/>
    </row>
    <row r="87" spans="1:13" x14ac:dyDescent="0.2">
      <c r="A87" s="30" t="e">
        <v>#NUM!</v>
      </c>
      <c r="B87" s="31" t="e">
        <f>_xll.qlRateHelperRate($A87,InterestRatesTrigger)</f>
        <v>#VALUE!</v>
      </c>
      <c r="C87" s="37" t="e">
        <f>_xll.qlRateHelperEarliestDate($A87)</f>
        <v>#VALUE!</v>
      </c>
      <c r="D87" s="38" t="e">
        <f>_xll.qlRateHelperLatestDate($A87)</f>
        <v>#VALUE!</v>
      </c>
      <c r="E87" s="29" t="b">
        <f t="shared" si="9"/>
        <v>0</v>
      </c>
      <c r="F87" s="29" t="b">
        <f t="shared" si="10"/>
        <v>0</v>
      </c>
      <c r="G87" s="29" t="b">
        <f t="shared" si="11"/>
        <v>0</v>
      </c>
      <c r="H87" s="32" t="e">
        <f t="shared" si="5"/>
        <v>#N/A</v>
      </c>
      <c r="I87" s="33" t="e">
        <v>#VALUE!</v>
      </c>
      <c r="J87" s="89" t="e">
        <f>_xll.qlInterpolationInterpolate($J$1,H87)</f>
        <v>#VALUE!</v>
      </c>
      <c r="K87" s="41" t="e">
        <f>_xll.qlDayCounterYearFraction(DayCounter,D86,D87)</f>
        <v>#NUM!</v>
      </c>
      <c r="L87" s="33" t="e">
        <f t="shared" si="12"/>
        <v>#VALUE!</v>
      </c>
      <c r="M87" s="33"/>
    </row>
    <row r="88" spans="1:13" x14ac:dyDescent="0.2">
      <c r="A88" s="30" t="e">
        <v>#NUM!</v>
      </c>
      <c r="B88" s="31" t="e">
        <f>_xll.qlRateHelperRate($A88,InterestRatesTrigger)</f>
        <v>#VALUE!</v>
      </c>
      <c r="C88" s="37" t="e">
        <f>_xll.qlRateHelperEarliestDate($A88)</f>
        <v>#VALUE!</v>
      </c>
      <c r="D88" s="38" t="e">
        <f>_xll.qlRateHelperLatestDate($A88)</f>
        <v>#VALUE!</v>
      </c>
      <c r="E88" s="29" t="b">
        <f t="shared" si="9"/>
        <v>0</v>
      </c>
      <c r="F88" s="29" t="b">
        <f t="shared" si="10"/>
        <v>0</v>
      </c>
      <c r="G88" s="29" t="b">
        <f t="shared" si="11"/>
        <v>0</v>
      </c>
      <c r="H88" s="32" t="e">
        <f t="shared" si="5"/>
        <v>#N/A</v>
      </c>
      <c r="I88" s="33" t="e">
        <v>#VALUE!</v>
      </c>
      <c r="J88" s="89" t="e">
        <f>_xll.qlInterpolationInterpolate($J$1,H88)</f>
        <v>#VALUE!</v>
      </c>
      <c r="K88" s="41" t="e">
        <f>_xll.qlDayCounterYearFraction(DayCounter,D87,D88)</f>
        <v>#NUM!</v>
      </c>
      <c r="L88" s="33" t="e">
        <f t="shared" si="12"/>
        <v>#VALUE!</v>
      </c>
      <c r="M88" s="33"/>
    </row>
    <row r="89" spans="1:13" x14ac:dyDescent="0.2">
      <c r="A89" s="30" t="e">
        <v>#NUM!</v>
      </c>
      <c r="B89" s="31" t="e">
        <f>_xll.qlRateHelperRate($A89,InterestRatesTrigger)</f>
        <v>#VALUE!</v>
      </c>
      <c r="C89" s="37" t="e">
        <f>_xll.qlRateHelperEarliestDate($A89)</f>
        <v>#VALUE!</v>
      </c>
      <c r="D89" s="38" t="e">
        <f>_xll.qlRateHelperLatestDate($A89)</f>
        <v>#VALUE!</v>
      </c>
      <c r="E89" s="29" t="b">
        <f t="shared" si="9"/>
        <v>0</v>
      </c>
      <c r="F89" s="29" t="b">
        <f t="shared" si="10"/>
        <v>0</v>
      </c>
      <c r="G89" s="29" t="b">
        <f t="shared" si="11"/>
        <v>0</v>
      </c>
      <c r="H89" s="32" t="e">
        <f t="shared" si="5"/>
        <v>#N/A</v>
      </c>
      <c r="I89" s="33" t="e">
        <v>#VALUE!</v>
      </c>
      <c r="J89" s="89" t="e">
        <f>_xll.qlInterpolationInterpolate($J$1,H89)</f>
        <v>#VALUE!</v>
      </c>
      <c r="K89" s="41" t="e">
        <f>_xll.qlDayCounterYearFraction(DayCounter,D88,D89)</f>
        <v>#NUM!</v>
      </c>
      <c r="L89" s="33" t="e">
        <f t="shared" si="12"/>
        <v>#VALUE!</v>
      </c>
      <c r="M89" s="33"/>
    </row>
    <row r="90" spans="1:13" x14ac:dyDescent="0.2">
      <c r="A90" s="30" t="e">
        <v>#NUM!</v>
      </c>
      <c r="B90" s="31" t="e">
        <f>_xll.qlRateHelperRate($A90,InterestRatesTrigger)</f>
        <v>#VALUE!</v>
      </c>
      <c r="C90" s="37" t="e">
        <f>_xll.qlRateHelperEarliestDate($A90)</f>
        <v>#VALUE!</v>
      </c>
      <c r="D90" s="38" t="e">
        <f>_xll.qlRateHelperLatestDate($A90)</f>
        <v>#VALUE!</v>
      </c>
      <c r="E90" s="29" t="b">
        <f t="shared" si="9"/>
        <v>0</v>
      </c>
      <c r="F90" s="29" t="b">
        <f t="shared" si="10"/>
        <v>0</v>
      </c>
      <c r="G90" s="29" t="b">
        <f t="shared" si="11"/>
        <v>0</v>
      </c>
      <c r="H90" s="32" t="e">
        <f t="shared" si="5"/>
        <v>#N/A</v>
      </c>
      <c r="I90" s="33" t="e">
        <v>#VALUE!</v>
      </c>
      <c r="J90" s="89" t="e">
        <f>_xll.qlInterpolationInterpolate($J$1,H90)</f>
        <v>#VALUE!</v>
      </c>
      <c r="K90" s="41" t="e">
        <f>_xll.qlDayCounterYearFraction(DayCounter,D89,D90)</f>
        <v>#NUM!</v>
      </c>
      <c r="L90" s="33" t="e">
        <f t="shared" si="12"/>
        <v>#VALUE!</v>
      </c>
      <c r="M90" s="33"/>
    </row>
    <row r="91" spans="1:13" x14ac:dyDescent="0.2">
      <c r="A91" s="30" t="e">
        <v>#NUM!</v>
      </c>
      <c r="B91" s="31" t="e">
        <f>_xll.qlRateHelperRate($A91,InterestRatesTrigger)</f>
        <v>#VALUE!</v>
      </c>
      <c r="C91" s="37" t="e">
        <f>_xll.qlRateHelperEarliestDate($A91)</f>
        <v>#VALUE!</v>
      </c>
      <c r="D91" s="38" t="e">
        <f>_xll.qlRateHelperLatestDate($A91)</f>
        <v>#VALUE!</v>
      </c>
      <c r="E91" s="29" t="b">
        <f t="shared" si="9"/>
        <v>0</v>
      </c>
      <c r="F91" s="29" t="b">
        <f t="shared" si="10"/>
        <v>0</v>
      </c>
      <c r="G91" s="29" t="b">
        <f t="shared" si="11"/>
        <v>0</v>
      </c>
      <c r="H91" s="32" t="e">
        <f t="shared" si="5"/>
        <v>#N/A</v>
      </c>
      <c r="I91" s="33" t="e">
        <v>#VALUE!</v>
      </c>
      <c r="J91" s="89" t="e">
        <f>_xll.qlInterpolationInterpolate($J$1,H91)</f>
        <v>#VALUE!</v>
      </c>
      <c r="K91" s="41" t="e">
        <f>_xll.qlDayCounterYearFraction(DayCounter,D90,D91)</f>
        <v>#NUM!</v>
      </c>
      <c r="L91" s="33" t="e">
        <f t="shared" si="12"/>
        <v>#VALUE!</v>
      </c>
      <c r="M91" s="33"/>
    </row>
    <row r="92" spans="1:13" x14ac:dyDescent="0.2">
      <c r="A92" s="30" t="e">
        <v>#NUM!</v>
      </c>
      <c r="B92" s="31" t="e">
        <f>_xll.qlRateHelperRate($A92,InterestRatesTrigger)</f>
        <v>#VALUE!</v>
      </c>
      <c r="C92" s="37" t="e">
        <f>_xll.qlRateHelperEarliestDate($A92)</f>
        <v>#VALUE!</v>
      </c>
      <c r="D92" s="38" t="e">
        <f>_xll.qlRateHelperLatestDate($A92)</f>
        <v>#VALUE!</v>
      </c>
      <c r="E92" s="29" t="b">
        <f t="shared" si="9"/>
        <v>0</v>
      </c>
      <c r="F92" s="29" t="b">
        <f t="shared" si="10"/>
        <v>0</v>
      </c>
      <c r="G92" s="29" t="b">
        <f t="shared" si="11"/>
        <v>0</v>
      </c>
      <c r="H92" s="32" t="e">
        <f t="shared" si="5"/>
        <v>#N/A</v>
      </c>
      <c r="I92" s="33" t="e">
        <v>#VALUE!</v>
      </c>
      <c r="J92" s="89" t="e">
        <f>_xll.qlInterpolationInterpolate($J$1,H92)</f>
        <v>#VALUE!</v>
      </c>
      <c r="K92" s="41" t="e">
        <f>_xll.qlDayCounterYearFraction(DayCounter,D91,D92)</f>
        <v>#NUM!</v>
      </c>
      <c r="L92" s="33" t="e">
        <f t="shared" si="12"/>
        <v>#VALUE!</v>
      </c>
      <c r="M92" s="33"/>
    </row>
    <row r="93" spans="1:13" x14ac:dyDescent="0.2">
      <c r="A93" s="30" t="e">
        <v>#NUM!</v>
      </c>
      <c r="B93" s="31" t="e">
        <f>_xll.qlRateHelperRate($A93,InterestRatesTrigger)</f>
        <v>#VALUE!</v>
      </c>
      <c r="C93" s="37" t="e">
        <f>_xll.qlRateHelperEarliestDate($A93)</f>
        <v>#VALUE!</v>
      </c>
      <c r="D93" s="38" t="e">
        <f>_xll.qlRateHelperLatestDate($A93)</f>
        <v>#VALUE!</v>
      </c>
      <c r="E93" s="29" t="b">
        <f t="shared" si="9"/>
        <v>0</v>
      </c>
      <c r="F93" s="29" t="b">
        <f t="shared" si="10"/>
        <v>0</v>
      </c>
      <c r="G93" s="29" t="b">
        <f t="shared" si="11"/>
        <v>0</v>
      </c>
      <c r="H93" s="32" t="e">
        <f t="shared" ref="H93:H127" si="13">IF(ISERROR(D93),NA(),(D93-D92)/2+D92)</f>
        <v>#N/A</v>
      </c>
      <c r="I93" s="33" t="e">
        <v>#VALUE!</v>
      </c>
      <c r="J93" s="89" t="e">
        <f>_xll.qlInterpolationInterpolate($J$1,H93)</f>
        <v>#VALUE!</v>
      </c>
      <c r="K93" s="41" t="e">
        <f>_xll.qlDayCounterYearFraction(DayCounter,D92,D93)</f>
        <v>#NUM!</v>
      </c>
      <c r="L93" s="33" t="e">
        <f t="shared" si="12"/>
        <v>#VALUE!</v>
      </c>
      <c r="M93" s="33"/>
    </row>
    <row r="94" spans="1:13" x14ac:dyDescent="0.2">
      <c r="A94" s="30" t="e">
        <v>#NUM!</v>
      </c>
      <c r="B94" s="31" t="e">
        <f>_xll.qlRateHelperRate($A94,InterestRatesTrigger)</f>
        <v>#VALUE!</v>
      </c>
      <c r="C94" s="37" t="e">
        <f>_xll.qlRateHelperEarliestDate($A94)</f>
        <v>#VALUE!</v>
      </c>
      <c r="D94" s="38" t="e">
        <f>_xll.qlRateHelperLatestDate($A94)</f>
        <v>#VALUE!</v>
      </c>
      <c r="E94" s="29" t="b">
        <f t="shared" si="9"/>
        <v>0</v>
      </c>
      <c r="F94" s="29" t="b">
        <f t="shared" si="10"/>
        <v>0</v>
      </c>
      <c r="G94" s="29" t="b">
        <f t="shared" si="11"/>
        <v>0</v>
      </c>
      <c r="H94" s="32" t="e">
        <f t="shared" si="13"/>
        <v>#N/A</v>
      </c>
      <c r="I94" s="33" t="e">
        <v>#VALUE!</v>
      </c>
      <c r="J94" s="89" t="e">
        <f>_xll.qlInterpolationInterpolate($J$1,H94)</f>
        <v>#VALUE!</v>
      </c>
      <c r="K94" s="41" t="e">
        <f>_xll.qlDayCounterYearFraction(DayCounter,D93,D94)</f>
        <v>#NUM!</v>
      </c>
      <c r="L94" s="33" t="e">
        <f t="shared" si="12"/>
        <v>#VALUE!</v>
      </c>
      <c r="M94" s="33"/>
    </row>
    <row r="95" spans="1:13" x14ac:dyDescent="0.2">
      <c r="A95" s="30" t="e">
        <v>#NUM!</v>
      </c>
      <c r="B95" s="31" t="e">
        <f>_xll.qlRateHelperRate($A95,InterestRatesTrigger)</f>
        <v>#VALUE!</v>
      </c>
      <c r="C95" s="37" t="e">
        <f>_xll.qlRateHelperEarliestDate($A95)</f>
        <v>#VALUE!</v>
      </c>
      <c r="D95" s="38" t="e">
        <f>_xll.qlRateHelperLatestDate($A95)</f>
        <v>#VALUE!</v>
      </c>
      <c r="E95" s="29" t="b">
        <f t="shared" si="9"/>
        <v>0</v>
      </c>
      <c r="F95" s="29" t="b">
        <f t="shared" si="10"/>
        <v>0</v>
      </c>
      <c r="G95" s="29" t="b">
        <f t="shared" si="11"/>
        <v>0</v>
      </c>
      <c r="H95" s="32" t="e">
        <f t="shared" si="13"/>
        <v>#N/A</v>
      </c>
      <c r="I95" s="33" t="e">
        <v>#VALUE!</v>
      </c>
      <c r="J95" s="89" t="e">
        <f>_xll.qlInterpolationInterpolate($J$1,H95)</f>
        <v>#VALUE!</v>
      </c>
      <c r="K95" s="41" t="e">
        <f>_xll.qlDayCounterYearFraction(DayCounter,D94,D95)</f>
        <v>#NUM!</v>
      </c>
      <c r="L95" s="33" t="e">
        <f t="shared" si="12"/>
        <v>#VALUE!</v>
      </c>
      <c r="M95" s="33"/>
    </row>
    <row r="96" spans="1:13" x14ac:dyDescent="0.2">
      <c r="A96" s="30" t="e">
        <v>#NUM!</v>
      </c>
      <c r="B96" s="31" t="e">
        <f>_xll.qlRateHelperRate($A96,InterestRatesTrigger)</f>
        <v>#VALUE!</v>
      </c>
      <c r="C96" s="37" t="e">
        <f>_xll.qlRateHelperEarliestDate($A96)</f>
        <v>#VALUE!</v>
      </c>
      <c r="D96" s="38" t="e">
        <f>_xll.qlRateHelperLatestDate($A96)</f>
        <v>#VALUE!</v>
      </c>
      <c r="E96" s="29" t="b">
        <f t="shared" si="9"/>
        <v>0</v>
      </c>
      <c r="F96" s="29" t="b">
        <f t="shared" si="10"/>
        <v>0</v>
      </c>
      <c r="G96" s="29" t="b">
        <f t="shared" si="11"/>
        <v>0</v>
      </c>
      <c r="H96" s="32" t="e">
        <f t="shared" si="13"/>
        <v>#N/A</v>
      </c>
      <c r="I96" s="33" t="e">
        <v>#VALUE!</v>
      </c>
      <c r="J96" s="89" t="e">
        <f>_xll.qlInterpolationInterpolate($J$1,H96)</f>
        <v>#VALUE!</v>
      </c>
      <c r="K96" s="41" t="e">
        <f>_xll.qlDayCounterYearFraction(DayCounter,D95,D96)</f>
        <v>#NUM!</v>
      </c>
      <c r="L96" s="33" t="e">
        <f t="shared" si="12"/>
        <v>#VALUE!</v>
      </c>
      <c r="M96" s="33"/>
    </row>
    <row r="97" spans="1:13" x14ac:dyDescent="0.2">
      <c r="A97" s="30" t="e">
        <v>#NUM!</v>
      </c>
      <c r="B97" s="31" t="e">
        <f>_xll.qlRateHelperRate($A97,InterestRatesTrigger)</f>
        <v>#VALUE!</v>
      </c>
      <c r="C97" s="37" t="e">
        <f>_xll.qlRateHelperEarliestDate($A97)</f>
        <v>#VALUE!</v>
      </c>
      <c r="D97" s="38" t="e">
        <f>_xll.qlRateHelperLatestDate($A97)</f>
        <v>#VALUE!</v>
      </c>
      <c r="E97" s="29" t="b">
        <f t="shared" si="9"/>
        <v>0</v>
      </c>
      <c r="F97" s="29" t="b">
        <f t="shared" si="10"/>
        <v>0</v>
      </c>
      <c r="G97" s="29" t="b">
        <f t="shared" si="11"/>
        <v>0</v>
      </c>
      <c r="H97" s="32" t="e">
        <f t="shared" si="13"/>
        <v>#N/A</v>
      </c>
      <c r="I97" s="33" t="e">
        <v>#VALUE!</v>
      </c>
      <c r="J97" s="89" t="e">
        <f>_xll.qlInterpolationInterpolate($J$1,H97)</f>
        <v>#VALUE!</v>
      </c>
      <c r="K97" s="41" t="e">
        <f>_xll.qlDayCounterYearFraction(DayCounter,D96,D97)</f>
        <v>#NUM!</v>
      </c>
      <c r="L97" s="33" t="e">
        <f t="shared" si="12"/>
        <v>#VALUE!</v>
      </c>
      <c r="M97" s="33"/>
    </row>
    <row r="98" spans="1:13" x14ac:dyDescent="0.2">
      <c r="A98" s="30" t="e">
        <v>#NUM!</v>
      </c>
      <c r="B98" s="31" t="e">
        <f>_xll.qlRateHelperRate($A98,InterestRatesTrigger)</f>
        <v>#VALUE!</v>
      </c>
      <c r="C98" s="37" t="e">
        <f>_xll.qlRateHelperEarliestDate($A98)</f>
        <v>#VALUE!</v>
      </c>
      <c r="D98" s="38" t="e">
        <f>_xll.qlRateHelperLatestDate($A98)</f>
        <v>#VALUE!</v>
      </c>
      <c r="E98" s="29" t="b">
        <f t="shared" si="9"/>
        <v>0</v>
      </c>
      <c r="F98" s="29" t="b">
        <f t="shared" si="10"/>
        <v>0</v>
      </c>
      <c r="G98" s="29" t="b">
        <f t="shared" si="11"/>
        <v>0</v>
      </c>
      <c r="H98" s="32" t="e">
        <f t="shared" si="13"/>
        <v>#N/A</v>
      </c>
      <c r="I98" s="33" t="e">
        <v>#VALUE!</v>
      </c>
      <c r="J98" s="89" t="e">
        <f>_xll.qlInterpolationInterpolate($J$1,H98)</f>
        <v>#VALUE!</v>
      </c>
      <c r="K98" s="41" t="e">
        <f>_xll.qlDayCounterYearFraction(DayCounter,D97,D98)</f>
        <v>#NUM!</v>
      </c>
      <c r="L98" s="33" t="e">
        <f t="shared" si="12"/>
        <v>#VALUE!</v>
      </c>
      <c r="M98" s="33"/>
    </row>
    <row r="99" spans="1:13" x14ac:dyDescent="0.2">
      <c r="A99" s="30" t="e">
        <v>#NUM!</v>
      </c>
      <c r="B99" s="31" t="e">
        <f>_xll.qlRateHelperRate($A99,InterestRatesTrigger)</f>
        <v>#VALUE!</v>
      </c>
      <c r="C99" s="37" t="e">
        <f>_xll.qlRateHelperEarliestDate($A99)</f>
        <v>#VALUE!</v>
      </c>
      <c r="D99" s="38" t="e">
        <f>_xll.qlRateHelperLatestDate($A99)</f>
        <v>#VALUE!</v>
      </c>
      <c r="E99" s="29" t="b">
        <f t="shared" ref="E99:E127" si="14">IF(ISERROR($D99),FALSE,AND($D98&lt;=LastDayInYear,$D99&gt;LastDayInYear))</f>
        <v>0</v>
      </c>
      <c r="F99" s="29" t="b">
        <f t="shared" ref="F99:F127" si="15">IF(ISERROR($D99),FALSE,AND($D98&lt;=LastDayInNextYear,$D99&gt;LastDayInNextYear))</f>
        <v>0</v>
      </c>
      <c r="G99" s="29" t="b">
        <f t="shared" ref="G99:G127" si="16">IF(ISERROR(D99),FALSE,AND(NOT(E99),NOT(F99)))</f>
        <v>0</v>
      </c>
      <c r="H99" s="32" t="e">
        <f t="shared" si="13"/>
        <v>#N/A</v>
      </c>
      <c r="I99" s="33" t="e">
        <v>#VALUE!</v>
      </c>
      <c r="J99" s="89" t="e">
        <f>_xll.qlInterpolationInterpolate($J$1,H99)</f>
        <v>#VALUE!</v>
      </c>
      <c r="K99" s="41" t="e">
        <f>_xll.qlDayCounterYearFraction(DayCounter,D98,D99)</f>
        <v>#NUM!</v>
      </c>
      <c r="L99" s="33" t="e">
        <f t="shared" si="12"/>
        <v>#VALUE!</v>
      </c>
      <c r="M99" s="33"/>
    </row>
    <row r="100" spans="1:13" x14ac:dyDescent="0.2">
      <c r="A100" s="30" t="e">
        <v>#NUM!</v>
      </c>
      <c r="B100" s="31" t="e">
        <f>_xll.qlRateHelperRate($A100,InterestRatesTrigger)</f>
        <v>#VALUE!</v>
      </c>
      <c r="C100" s="37" t="e">
        <f>_xll.qlRateHelperEarliestDate($A100)</f>
        <v>#VALUE!</v>
      </c>
      <c r="D100" s="38" t="e">
        <f>_xll.qlRateHelperLatestDate($A100)</f>
        <v>#VALUE!</v>
      </c>
      <c r="E100" s="29" t="b">
        <f t="shared" si="14"/>
        <v>0</v>
      </c>
      <c r="F100" s="29" t="b">
        <f t="shared" si="15"/>
        <v>0</v>
      </c>
      <c r="G100" s="29" t="b">
        <f t="shared" si="16"/>
        <v>0</v>
      </c>
      <c r="H100" s="32" t="e">
        <f t="shared" si="13"/>
        <v>#N/A</v>
      </c>
      <c r="I100" s="33" t="e">
        <v>#VALUE!</v>
      </c>
      <c r="J100" s="89" t="e">
        <f>_xll.qlInterpolationInterpolate($J$1,H100)</f>
        <v>#VALUE!</v>
      </c>
      <c r="K100" s="41" t="e">
        <f>_xll.qlDayCounterYearFraction(DayCounter,D99,D100)</f>
        <v>#NUM!</v>
      </c>
      <c r="L100" s="33" t="e">
        <f t="shared" si="12"/>
        <v>#VALUE!</v>
      </c>
      <c r="M100" s="33"/>
    </row>
    <row r="101" spans="1:13" x14ac:dyDescent="0.2">
      <c r="A101" s="30" t="e">
        <v>#NUM!</v>
      </c>
      <c r="B101" s="31" t="e">
        <f>_xll.qlRateHelperRate($A101,InterestRatesTrigger)</f>
        <v>#VALUE!</v>
      </c>
      <c r="C101" s="37" t="e">
        <f>_xll.qlRateHelperEarliestDate($A101)</f>
        <v>#VALUE!</v>
      </c>
      <c r="D101" s="38" t="e">
        <f>_xll.qlRateHelperLatestDate($A101)</f>
        <v>#VALUE!</v>
      </c>
      <c r="E101" s="29" t="b">
        <f t="shared" si="14"/>
        <v>0</v>
      </c>
      <c r="F101" s="29" t="b">
        <f t="shared" si="15"/>
        <v>0</v>
      </c>
      <c r="G101" s="29" t="b">
        <f t="shared" si="16"/>
        <v>0</v>
      </c>
      <c r="H101" s="32" t="e">
        <f t="shared" si="13"/>
        <v>#N/A</v>
      </c>
      <c r="I101" s="33" t="e">
        <v>#VALUE!</v>
      </c>
      <c r="J101" s="89" t="e">
        <f>_xll.qlInterpolationInterpolate($J$1,H101)</f>
        <v>#VALUE!</v>
      </c>
      <c r="K101" s="41" t="e">
        <f>_xll.qlDayCounterYearFraction(DayCounter,D100,D101)</f>
        <v>#NUM!</v>
      </c>
      <c r="L101" s="33" t="e">
        <f t="shared" si="12"/>
        <v>#VALUE!</v>
      </c>
      <c r="M101" s="33"/>
    </row>
    <row r="102" spans="1:13" x14ac:dyDescent="0.2">
      <c r="A102" s="30" t="e">
        <v>#NUM!</v>
      </c>
      <c r="B102" s="31" t="e">
        <f>_xll.qlRateHelperRate($A102,InterestRatesTrigger)</f>
        <v>#VALUE!</v>
      </c>
      <c r="C102" s="37" t="e">
        <f>_xll.qlRateHelperEarliestDate($A102)</f>
        <v>#VALUE!</v>
      </c>
      <c r="D102" s="38" t="e">
        <f>_xll.qlRateHelperLatestDate($A102)</f>
        <v>#VALUE!</v>
      </c>
      <c r="E102" s="29" t="b">
        <f t="shared" si="14"/>
        <v>0</v>
      </c>
      <c r="F102" s="29" t="b">
        <f t="shared" si="15"/>
        <v>0</v>
      </c>
      <c r="G102" s="29" t="b">
        <f t="shared" si="16"/>
        <v>0</v>
      </c>
      <c r="H102" s="32" t="e">
        <f t="shared" si="13"/>
        <v>#N/A</v>
      </c>
      <c r="I102" s="33" t="e">
        <v>#VALUE!</v>
      </c>
      <c r="J102" s="89" t="e">
        <f>_xll.qlInterpolationInterpolate($J$1,H102)</f>
        <v>#VALUE!</v>
      </c>
      <c r="K102" s="41" t="e">
        <f>_xll.qlDayCounterYearFraction(DayCounter,D101,D102)</f>
        <v>#NUM!</v>
      </c>
      <c r="L102" s="33" t="e">
        <f t="shared" si="12"/>
        <v>#VALUE!</v>
      </c>
      <c r="M102" s="33"/>
    </row>
    <row r="103" spans="1:13" x14ac:dyDescent="0.2">
      <c r="A103" s="30" t="e">
        <v>#NUM!</v>
      </c>
      <c r="B103" s="31" t="e">
        <f>_xll.qlRateHelperRate($A103,InterestRatesTrigger)</f>
        <v>#VALUE!</v>
      </c>
      <c r="C103" s="37" t="e">
        <f>_xll.qlRateHelperEarliestDate($A103)</f>
        <v>#VALUE!</v>
      </c>
      <c r="D103" s="38" t="e">
        <f>_xll.qlRateHelperLatestDate($A103)</f>
        <v>#VALUE!</v>
      </c>
      <c r="E103" s="29" t="b">
        <f t="shared" si="14"/>
        <v>0</v>
      </c>
      <c r="F103" s="29" t="b">
        <f t="shared" si="15"/>
        <v>0</v>
      </c>
      <c r="G103" s="29" t="b">
        <f t="shared" si="16"/>
        <v>0</v>
      </c>
      <c r="H103" s="32" t="e">
        <f t="shared" si="13"/>
        <v>#N/A</v>
      </c>
      <c r="I103" s="33" t="e">
        <v>#VALUE!</v>
      </c>
      <c r="J103" s="89" t="e">
        <f>_xll.qlInterpolationInterpolate($J$1,H103)</f>
        <v>#VALUE!</v>
      </c>
      <c r="K103" s="41" t="e">
        <f>_xll.qlDayCounterYearFraction(DayCounter,D102,D103)</f>
        <v>#NUM!</v>
      </c>
      <c r="L103" s="33" t="e">
        <f t="shared" si="12"/>
        <v>#VALUE!</v>
      </c>
      <c r="M103" s="33"/>
    </row>
    <row r="104" spans="1:13" x14ac:dyDescent="0.2">
      <c r="A104" s="30" t="e">
        <v>#NUM!</v>
      </c>
      <c r="B104" s="31" t="e">
        <f>_xll.qlRateHelperRate($A104,InterestRatesTrigger)</f>
        <v>#VALUE!</v>
      </c>
      <c r="C104" s="37" t="e">
        <f>_xll.qlRateHelperEarliestDate($A104)</f>
        <v>#VALUE!</v>
      </c>
      <c r="D104" s="38" t="e">
        <f>_xll.qlRateHelperLatestDate($A104)</f>
        <v>#VALUE!</v>
      </c>
      <c r="E104" s="29" t="b">
        <f t="shared" si="14"/>
        <v>0</v>
      </c>
      <c r="F104" s="29" t="b">
        <f t="shared" si="15"/>
        <v>0</v>
      </c>
      <c r="G104" s="29" t="b">
        <f t="shared" si="16"/>
        <v>0</v>
      </c>
      <c r="H104" s="32" t="e">
        <f t="shared" si="13"/>
        <v>#N/A</v>
      </c>
      <c r="I104" s="33" t="e">
        <v>#VALUE!</v>
      </c>
      <c r="J104" s="89" t="e">
        <f>_xll.qlInterpolationInterpolate($J$1,H104)</f>
        <v>#VALUE!</v>
      </c>
      <c r="K104" s="41" t="e">
        <f>_xll.qlDayCounterYearFraction(DayCounter,D103,D104)</f>
        <v>#NUM!</v>
      </c>
      <c r="L104" s="33" t="e">
        <f t="shared" si="12"/>
        <v>#VALUE!</v>
      </c>
      <c r="M104" s="33"/>
    </row>
    <row r="105" spans="1:13" x14ac:dyDescent="0.2">
      <c r="A105" s="30" t="e">
        <v>#NUM!</v>
      </c>
      <c r="B105" s="31" t="e">
        <f>_xll.qlRateHelperRate($A105,InterestRatesTrigger)</f>
        <v>#VALUE!</v>
      </c>
      <c r="C105" s="37" t="e">
        <f>_xll.qlRateHelperEarliestDate($A105)</f>
        <v>#VALUE!</v>
      </c>
      <c r="D105" s="38" t="e">
        <f>_xll.qlRateHelperLatestDate($A105)</f>
        <v>#VALUE!</v>
      </c>
      <c r="E105" s="29" t="b">
        <f t="shared" si="14"/>
        <v>0</v>
      </c>
      <c r="F105" s="29" t="b">
        <f t="shared" si="15"/>
        <v>0</v>
      </c>
      <c r="G105" s="29" t="b">
        <f t="shared" si="16"/>
        <v>0</v>
      </c>
      <c r="H105" s="32" t="e">
        <f t="shared" si="13"/>
        <v>#N/A</v>
      </c>
      <c r="I105" s="33" t="e">
        <v>#VALUE!</v>
      </c>
      <c r="J105" s="89" t="e">
        <f>_xll.qlInterpolationInterpolate($J$1,H105)</f>
        <v>#VALUE!</v>
      </c>
      <c r="K105" s="41" t="e">
        <f>_xll.qlDayCounterYearFraction(DayCounter,D104,D105)</f>
        <v>#NUM!</v>
      </c>
      <c r="L105" s="33" t="e">
        <f t="shared" si="12"/>
        <v>#VALUE!</v>
      </c>
      <c r="M105" s="33"/>
    </row>
    <row r="106" spans="1:13" x14ac:dyDescent="0.2">
      <c r="A106" s="30" t="e">
        <v>#NUM!</v>
      </c>
      <c r="B106" s="31" t="e">
        <f>_xll.qlRateHelperRate($A106,InterestRatesTrigger)</f>
        <v>#VALUE!</v>
      </c>
      <c r="C106" s="37" t="e">
        <f>_xll.qlRateHelperEarliestDate($A106)</f>
        <v>#VALUE!</v>
      </c>
      <c r="D106" s="38" t="e">
        <f>_xll.qlRateHelperLatestDate($A106)</f>
        <v>#VALUE!</v>
      </c>
      <c r="E106" s="29" t="b">
        <f t="shared" si="14"/>
        <v>0</v>
      </c>
      <c r="F106" s="29" t="b">
        <f t="shared" si="15"/>
        <v>0</v>
      </c>
      <c r="G106" s="29" t="b">
        <f t="shared" si="16"/>
        <v>0</v>
      </c>
      <c r="H106" s="32" t="e">
        <f t="shared" si="13"/>
        <v>#N/A</v>
      </c>
      <c r="I106" s="33" t="e">
        <v>#VALUE!</v>
      </c>
      <c r="J106" s="89" t="e">
        <f>_xll.qlInterpolationInterpolate($J$1,H106)</f>
        <v>#VALUE!</v>
      </c>
      <c r="K106" s="41" t="e">
        <f>_xll.qlDayCounterYearFraction(DayCounter,D105,D106)</f>
        <v>#NUM!</v>
      </c>
      <c r="L106" s="33" t="e">
        <f t="shared" si="12"/>
        <v>#VALUE!</v>
      </c>
      <c r="M106" s="33"/>
    </row>
    <row r="107" spans="1:13" x14ac:dyDescent="0.2">
      <c r="A107" s="30" t="e">
        <v>#NUM!</v>
      </c>
      <c r="B107" s="31" t="e">
        <f>_xll.qlRateHelperRate($A107,InterestRatesTrigger)</f>
        <v>#VALUE!</v>
      </c>
      <c r="C107" s="37" t="e">
        <f>_xll.qlRateHelperEarliestDate($A107)</f>
        <v>#VALUE!</v>
      </c>
      <c r="D107" s="38" t="e">
        <f>_xll.qlRateHelperLatestDate($A107)</f>
        <v>#VALUE!</v>
      </c>
      <c r="E107" s="29" t="b">
        <f t="shared" si="14"/>
        <v>0</v>
      </c>
      <c r="F107" s="29" t="b">
        <f t="shared" si="15"/>
        <v>0</v>
      </c>
      <c r="G107" s="29" t="b">
        <f t="shared" si="16"/>
        <v>0</v>
      </c>
      <c r="H107" s="32" t="e">
        <f t="shared" si="13"/>
        <v>#N/A</v>
      </c>
      <c r="I107" s="33" t="e">
        <v>#VALUE!</v>
      </c>
      <c r="J107" s="89" t="e">
        <f>_xll.qlInterpolationInterpolate($J$1,H107)</f>
        <v>#VALUE!</v>
      </c>
      <c r="K107" s="41" t="e">
        <f>_xll.qlDayCounterYearFraction(DayCounter,D106,D107)</f>
        <v>#NUM!</v>
      </c>
      <c r="L107" s="33" t="e">
        <f t="shared" si="12"/>
        <v>#VALUE!</v>
      </c>
      <c r="M107" s="33"/>
    </row>
    <row r="108" spans="1:13" x14ac:dyDescent="0.2">
      <c r="A108" s="30" t="e">
        <v>#NUM!</v>
      </c>
      <c r="B108" s="31" t="e">
        <f>_xll.qlRateHelperRate($A108,InterestRatesTrigger)</f>
        <v>#VALUE!</v>
      </c>
      <c r="C108" s="37" t="e">
        <f>_xll.qlRateHelperEarliestDate($A108)</f>
        <v>#VALUE!</v>
      </c>
      <c r="D108" s="38" t="e">
        <f>_xll.qlRateHelperLatestDate($A108)</f>
        <v>#VALUE!</v>
      </c>
      <c r="E108" s="29" t="b">
        <f t="shared" si="14"/>
        <v>0</v>
      </c>
      <c r="F108" s="29" t="b">
        <f t="shared" si="15"/>
        <v>0</v>
      </c>
      <c r="G108" s="29" t="b">
        <f t="shared" si="16"/>
        <v>0</v>
      </c>
      <c r="H108" s="32" t="e">
        <f t="shared" si="13"/>
        <v>#N/A</v>
      </c>
      <c r="I108" s="33" t="e">
        <v>#VALUE!</v>
      </c>
      <c r="J108" s="89" t="e">
        <f>_xll.qlInterpolationInterpolate($J$1,H108)</f>
        <v>#VALUE!</v>
      </c>
      <c r="K108" s="41" t="e">
        <f>_xll.qlDayCounterYearFraction(DayCounter,D107,D108)</f>
        <v>#NUM!</v>
      </c>
      <c r="L108" s="33" t="e">
        <f t="shared" si="12"/>
        <v>#VALUE!</v>
      </c>
      <c r="M108" s="33"/>
    </row>
    <row r="109" spans="1:13" x14ac:dyDescent="0.2">
      <c r="A109" s="30" t="e">
        <v>#NUM!</v>
      </c>
      <c r="B109" s="31" t="e">
        <f>_xll.qlRateHelperRate($A109,InterestRatesTrigger)</f>
        <v>#VALUE!</v>
      </c>
      <c r="C109" s="37" t="e">
        <f>_xll.qlRateHelperEarliestDate($A109)</f>
        <v>#VALUE!</v>
      </c>
      <c r="D109" s="38" t="e">
        <f>_xll.qlRateHelperLatestDate($A109)</f>
        <v>#VALUE!</v>
      </c>
      <c r="E109" s="29" t="b">
        <f t="shared" si="14"/>
        <v>0</v>
      </c>
      <c r="F109" s="29" t="b">
        <f t="shared" si="15"/>
        <v>0</v>
      </c>
      <c r="G109" s="29" t="b">
        <f t="shared" si="16"/>
        <v>0</v>
      </c>
      <c r="H109" s="32" t="e">
        <f t="shared" si="13"/>
        <v>#N/A</v>
      </c>
      <c r="I109" s="33" t="e">
        <v>#VALUE!</v>
      </c>
      <c r="J109" s="89" t="e">
        <f>_xll.qlInterpolationInterpolate($J$1,H109)</f>
        <v>#VALUE!</v>
      </c>
      <c r="K109" s="41" t="e">
        <f>_xll.qlDayCounterYearFraction(DayCounter,D108,D109)</f>
        <v>#NUM!</v>
      </c>
      <c r="L109" s="33" t="e">
        <f t="shared" si="12"/>
        <v>#VALUE!</v>
      </c>
      <c r="M109" s="33"/>
    </row>
    <row r="110" spans="1:13" x14ac:dyDescent="0.2">
      <c r="A110" s="30" t="e">
        <v>#NUM!</v>
      </c>
      <c r="B110" s="31" t="e">
        <f>_xll.qlRateHelperRate($A110,InterestRatesTrigger)</f>
        <v>#VALUE!</v>
      </c>
      <c r="C110" s="37" t="e">
        <f>_xll.qlRateHelperEarliestDate($A110)</f>
        <v>#VALUE!</v>
      </c>
      <c r="D110" s="38" t="e">
        <f>_xll.qlRateHelperLatestDate($A110)</f>
        <v>#VALUE!</v>
      </c>
      <c r="E110" s="29" t="b">
        <f t="shared" si="14"/>
        <v>0</v>
      </c>
      <c r="F110" s="29" t="b">
        <f t="shared" si="15"/>
        <v>0</v>
      </c>
      <c r="G110" s="29" t="b">
        <f t="shared" si="16"/>
        <v>0</v>
      </c>
      <c r="H110" s="32" t="e">
        <f t="shared" si="13"/>
        <v>#N/A</v>
      </c>
      <c r="I110" s="33" t="e">
        <v>#VALUE!</v>
      </c>
      <c r="J110" s="89" t="e">
        <f>_xll.qlInterpolationInterpolate($J$1,H110)</f>
        <v>#VALUE!</v>
      </c>
      <c r="K110" s="41" t="e">
        <f>_xll.qlDayCounterYearFraction(DayCounter,D109,D110)</f>
        <v>#NUM!</v>
      </c>
      <c r="L110" s="33" t="e">
        <f t="shared" si="12"/>
        <v>#VALUE!</v>
      </c>
      <c r="M110" s="33"/>
    </row>
    <row r="111" spans="1:13" x14ac:dyDescent="0.2">
      <c r="A111" s="30" t="e">
        <v>#NUM!</v>
      </c>
      <c r="B111" s="31" t="e">
        <f>_xll.qlRateHelperRate($A111,InterestRatesTrigger)</f>
        <v>#VALUE!</v>
      </c>
      <c r="C111" s="37" t="e">
        <f>_xll.qlRateHelperEarliestDate($A111)</f>
        <v>#VALUE!</v>
      </c>
      <c r="D111" s="38" t="e">
        <f>_xll.qlRateHelperLatestDate($A111)</f>
        <v>#VALUE!</v>
      </c>
      <c r="E111" s="29" t="b">
        <f t="shared" si="14"/>
        <v>0</v>
      </c>
      <c r="F111" s="29" t="b">
        <f t="shared" si="15"/>
        <v>0</v>
      </c>
      <c r="G111" s="29" t="b">
        <f t="shared" si="16"/>
        <v>0</v>
      </c>
      <c r="H111" s="32" t="e">
        <f t="shared" si="13"/>
        <v>#N/A</v>
      </c>
      <c r="I111" s="33" t="e">
        <v>#VALUE!</v>
      </c>
      <c r="J111" s="89" t="e">
        <f>_xll.qlInterpolationInterpolate($J$1,H111)</f>
        <v>#VALUE!</v>
      </c>
      <c r="K111" s="41" t="e">
        <f>_xll.qlDayCounterYearFraction(DayCounter,D110,D111)</f>
        <v>#NUM!</v>
      </c>
      <c r="L111" s="33" t="e">
        <f t="shared" si="12"/>
        <v>#VALUE!</v>
      </c>
      <c r="M111" s="33"/>
    </row>
    <row r="112" spans="1:13" x14ac:dyDescent="0.2">
      <c r="A112" s="30" t="e">
        <v>#NUM!</v>
      </c>
      <c r="B112" s="31" t="e">
        <f>_xll.qlRateHelperRate($A112,InterestRatesTrigger)</f>
        <v>#VALUE!</v>
      </c>
      <c r="C112" s="37" t="e">
        <f>_xll.qlRateHelperEarliestDate($A112)</f>
        <v>#VALUE!</v>
      </c>
      <c r="D112" s="38" t="e">
        <f>_xll.qlRateHelperLatestDate($A112)</f>
        <v>#VALUE!</v>
      </c>
      <c r="E112" s="29" t="b">
        <f t="shared" si="14"/>
        <v>0</v>
      </c>
      <c r="F112" s="29" t="b">
        <f t="shared" si="15"/>
        <v>0</v>
      </c>
      <c r="G112" s="29" t="b">
        <f t="shared" si="16"/>
        <v>0</v>
      </c>
      <c r="H112" s="32" t="e">
        <f t="shared" si="13"/>
        <v>#N/A</v>
      </c>
      <c r="I112" s="33" t="e">
        <v>#VALUE!</v>
      </c>
      <c r="J112" s="89" t="e">
        <f>_xll.qlInterpolationInterpolate($J$1,H112)</f>
        <v>#VALUE!</v>
      </c>
      <c r="K112" s="41" t="e">
        <f>_xll.qlDayCounterYearFraction(DayCounter,D111,D112)</f>
        <v>#NUM!</v>
      </c>
      <c r="L112" s="33" t="e">
        <f t="shared" si="12"/>
        <v>#VALUE!</v>
      </c>
      <c r="M112" s="33"/>
    </row>
    <row r="113" spans="1:13" x14ac:dyDescent="0.2">
      <c r="A113" s="30" t="e">
        <v>#NUM!</v>
      </c>
      <c r="B113" s="31" t="e">
        <f>_xll.qlRateHelperRate($A113,InterestRatesTrigger)</f>
        <v>#VALUE!</v>
      </c>
      <c r="C113" s="37" t="e">
        <f>_xll.qlRateHelperEarliestDate($A113)</f>
        <v>#VALUE!</v>
      </c>
      <c r="D113" s="38" t="e">
        <f>_xll.qlRateHelperLatestDate($A113)</f>
        <v>#VALUE!</v>
      </c>
      <c r="E113" s="29" t="b">
        <f t="shared" si="14"/>
        <v>0</v>
      </c>
      <c r="F113" s="29" t="b">
        <f t="shared" si="15"/>
        <v>0</v>
      </c>
      <c r="G113" s="29" t="b">
        <f t="shared" si="16"/>
        <v>0</v>
      </c>
      <c r="H113" s="32" t="e">
        <f t="shared" si="13"/>
        <v>#N/A</v>
      </c>
      <c r="I113" s="33" t="e">
        <v>#VALUE!</v>
      </c>
      <c r="J113" s="89" t="e">
        <f>_xll.qlInterpolationInterpolate($J$1,H113)</f>
        <v>#VALUE!</v>
      </c>
      <c r="K113" s="41" t="e">
        <f>_xll.qlDayCounterYearFraction(DayCounter,D112,D113)</f>
        <v>#NUM!</v>
      </c>
      <c r="L113" s="33" t="e">
        <f t="shared" si="12"/>
        <v>#VALUE!</v>
      </c>
      <c r="M113" s="33"/>
    </row>
    <row r="114" spans="1:13" x14ac:dyDescent="0.2">
      <c r="A114" s="30" t="e">
        <v>#NUM!</v>
      </c>
      <c r="B114" s="31" t="e">
        <f>_xll.qlRateHelperRate($A114,InterestRatesTrigger)</f>
        <v>#VALUE!</v>
      </c>
      <c r="C114" s="37" t="e">
        <f>_xll.qlRateHelperEarliestDate($A114)</f>
        <v>#VALUE!</v>
      </c>
      <c r="D114" s="38" t="e">
        <f>_xll.qlRateHelperLatestDate($A114)</f>
        <v>#VALUE!</v>
      </c>
      <c r="E114" s="29" t="b">
        <f t="shared" si="14"/>
        <v>0</v>
      </c>
      <c r="F114" s="29" t="b">
        <f t="shared" si="15"/>
        <v>0</v>
      </c>
      <c r="G114" s="29" t="b">
        <f t="shared" si="16"/>
        <v>0</v>
      </c>
      <c r="H114" s="32" t="e">
        <f t="shared" si="13"/>
        <v>#N/A</v>
      </c>
      <c r="I114" s="33" t="e">
        <v>#VALUE!</v>
      </c>
      <c r="J114" s="89" t="e">
        <f>_xll.qlInterpolationInterpolate($J$1,H114)</f>
        <v>#VALUE!</v>
      </c>
      <c r="K114" s="41" t="e">
        <f>_xll.qlDayCounterYearFraction(DayCounter,D113,D114)</f>
        <v>#NUM!</v>
      </c>
      <c r="L114" s="33" t="e">
        <f t="shared" si="12"/>
        <v>#VALUE!</v>
      </c>
      <c r="M114" s="33"/>
    </row>
    <row r="115" spans="1:13" x14ac:dyDescent="0.2">
      <c r="A115" s="30" t="e">
        <v>#NUM!</v>
      </c>
      <c r="B115" s="31" t="e">
        <f>_xll.qlRateHelperRate($A115,InterestRatesTrigger)</f>
        <v>#VALUE!</v>
      </c>
      <c r="C115" s="37" t="e">
        <f>_xll.qlRateHelperEarliestDate($A115)</f>
        <v>#VALUE!</v>
      </c>
      <c r="D115" s="38" t="e">
        <f>_xll.qlRateHelperLatestDate($A115)</f>
        <v>#VALUE!</v>
      </c>
      <c r="E115" s="29" t="b">
        <f t="shared" si="14"/>
        <v>0</v>
      </c>
      <c r="F115" s="29" t="b">
        <f t="shared" si="15"/>
        <v>0</v>
      </c>
      <c r="G115" s="29" t="b">
        <f t="shared" si="16"/>
        <v>0</v>
      </c>
      <c r="H115" s="32" t="e">
        <f t="shared" si="13"/>
        <v>#N/A</v>
      </c>
      <c r="I115" s="33" t="e">
        <v>#VALUE!</v>
      </c>
      <c r="J115" s="89" t="e">
        <f>_xll.qlInterpolationInterpolate($J$1,H115)</f>
        <v>#VALUE!</v>
      </c>
      <c r="K115" s="41" t="e">
        <f>_xll.qlDayCounterYearFraction(DayCounter,D114,D115)</f>
        <v>#NUM!</v>
      </c>
      <c r="L115" s="33" t="e">
        <f t="shared" si="12"/>
        <v>#VALUE!</v>
      </c>
      <c r="M115" s="33"/>
    </row>
    <row r="116" spans="1:13" x14ac:dyDescent="0.2">
      <c r="A116" s="30" t="e">
        <v>#NUM!</v>
      </c>
      <c r="B116" s="31" t="e">
        <f>_xll.qlRateHelperRate($A116,InterestRatesTrigger)</f>
        <v>#VALUE!</v>
      </c>
      <c r="C116" s="37" t="e">
        <f>_xll.qlRateHelperEarliestDate($A116)</f>
        <v>#VALUE!</v>
      </c>
      <c r="D116" s="38" t="e">
        <f>_xll.qlRateHelperLatestDate($A116)</f>
        <v>#VALUE!</v>
      </c>
      <c r="E116" s="29" t="b">
        <f t="shared" si="14"/>
        <v>0</v>
      </c>
      <c r="F116" s="29" t="b">
        <f t="shared" si="15"/>
        <v>0</v>
      </c>
      <c r="G116" s="29" t="b">
        <f t="shared" si="16"/>
        <v>0</v>
      </c>
      <c r="H116" s="32" t="e">
        <f t="shared" si="13"/>
        <v>#N/A</v>
      </c>
      <c r="I116" s="33" t="e">
        <v>#VALUE!</v>
      </c>
      <c r="J116" s="89" t="e">
        <f>_xll.qlInterpolationInterpolate($J$1,H116)</f>
        <v>#VALUE!</v>
      </c>
      <c r="K116" s="41" t="e">
        <f>_xll.qlDayCounterYearFraction(DayCounter,D115,D116)</f>
        <v>#NUM!</v>
      </c>
      <c r="L116" s="33" t="e">
        <f t="shared" si="12"/>
        <v>#VALUE!</v>
      </c>
      <c r="M116" s="33"/>
    </row>
    <row r="117" spans="1:13" x14ac:dyDescent="0.2">
      <c r="A117" s="30" t="e">
        <v>#NUM!</v>
      </c>
      <c r="B117" s="31" t="e">
        <f>_xll.qlRateHelperRate($A117,InterestRatesTrigger)</f>
        <v>#VALUE!</v>
      </c>
      <c r="C117" s="37" t="e">
        <f>_xll.qlRateHelperEarliestDate($A117)</f>
        <v>#VALUE!</v>
      </c>
      <c r="D117" s="38" t="e">
        <f>_xll.qlRateHelperLatestDate($A117)</f>
        <v>#VALUE!</v>
      </c>
      <c r="E117" s="29" t="b">
        <f t="shared" si="14"/>
        <v>0</v>
      </c>
      <c r="F117" s="29" t="b">
        <f t="shared" si="15"/>
        <v>0</v>
      </c>
      <c r="G117" s="29" t="b">
        <f t="shared" si="16"/>
        <v>0</v>
      </c>
      <c r="H117" s="32" t="e">
        <f t="shared" si="13"/>
        <v>#N/A</v>
      </c>
      <c r="I117" s="33" t="e">
        <v>#VALUE!</v>
      </c>
      <c r="J117" s="89" t="e">
        <f>_xll.qlInterpolationInterpolate($J$1,H117)</f>
        <v>#VALUE!</v>
      </c>
      <c r="K117" s="41" t="e">
        <f>_xll.qlDayCounterYearFraction(DayCounter,D116,D117)</f>
        <v>#NUM!</v>
      </c>
      <c r="L117" s="33" t="e">
        <f t="shared" si="12"/>
        <v>#VALUE!</v>
      </c>
      <c r="M117" s="33"/>
    </row>
    <row r="118" spans="1:13" x14ac:dyDescent="0.2">
      <c r="A118" s="30" t="e">
        <v>#NUM!</v>
      </c>
      <c r="B118" s="31" t="e">
        <f>_xll.qlRateHelperRate($A118,InterestRatesTrigger)</f>
        <v>#VALUE!</v>
      </c>
      <c r="C118" s="37" t="e">
        <f>_xll.qlRateHelperEarliestDate($A118)</f>
        <v>#VALUE!</v>
      </c>
      <c r="D118" s="38" t="e">
        <f>_xll.qlRateHelperLatestDate($A118)</f>
        <v>#VALUE!</v>
      </c>
      <c r="E118" s="29" t="b">
        <f t="shared" si="14"/>
        <v>0</v>
      </c>
      <c r="F118" s="29" t="b">
        <f t="shared" si="15"/>
        <v>0</v>
      </c>
      <c r="G118" s="29" t="b">
        <f t="shared" si="16"/>
        <v>0</v>
      </c>
      <c r="H118" s="32" t="e">
        <f t="shared" si="13"/>
        <v>#N/A</v>
      </c>
      <c r="I118" s="33" t="e">
        <v>#VALUE!</v>
      </c>
      <c r="J118" s="89" t="e">
        <f>_xll.qlInterpolationInterpolate($J$1,H118)</f>
        <v>#VALUE!</v>
      </c>
      <c r="K118" s="41" t="e">
        <f>_xll.qlDayCounterYearFraction(DayCounter,D117,D118)</f>
        <v>#NUM!</v>
      </c>
      <c r="L118" s="33" t="e">
        <f t="shared" si="12"/>
        <v>#VALUE!</v>
      </c>
      <c r="M118" s="33"/>
    </row>
    <row r="119" spans="1:13" x14ac:dyDescent="0.2">
      <c r="A119" s="30" t="e">
        <v>#NUM!</v>
      </c>
      <c r="B119" s="31" t="e">
        <f>_xll.qlRateHelperRate($A119,InterestRatesTrigger)</f>
        <v>#VALUE!</v>
      </c>
      <c r="C119" s="37" t="e">
        <f>_xll.qlRateHelperEarliestDate($A119)</f>
        <v>#VALUE!</v>
      </c>
      <c r="D119" s="38" t="e">
        <f>_xll.qlRateHelperLatestDate($A119)</f>
        <v>#VALUE!</v>
      </c>
      <c r="E119" s="29" t="b">
        <f t="shared" si="14"/>
        <v>0</v>
      </c>
      <c r="F119" s="29" t="b">
        <f t="shared" si="15"/>
        <v>0</v>
      </c>
      <c r="G119" s="29" t="b">
        <f t="shared" si="16"/>
        <v>0</v>
      </c>
      <c r="H119" s="32" t="e">
        <f t="shared" si="13"/>
        <v>#N/A</v>
      </c>
      <c r="I119" s="33" t="e">
        <v>#VALUE!</v>
      </c>
      <c r="J119" s="89" t="e">
        <f>_xll.qlInterpolationInterpolate($J$1,H119)</f>
        <v>#VALUE!</v>
      </c>
      <c r="K119" s="41" t="e">
        <f>_xll.qlDayCounterYearFraction(DayCounter,D118,D119)</f>
        <v>#NUM!</v>
      </c>
      <c r="L119" s="33" t="e">
        <f t="shared" si="12"/>
        <v>#VALUE!</v>
      </c>
      <c r="M119" s="33"/>
    </row>
    <row r="120" spans="1:13" x14ac:dyDescent="0.2">
      <c r="A120" s="30" t="e">
        <v>#NUM!</v>
      </c>
      <c r="B120" s="31" t="e">
        <f>_xll.qlRateHelperRate($A120,InterestRatesTrigger)</f>
        <v>#VALUE!</v>
      </c>
      <c r="C120" s="37" t="e">
        <f>_xll.qlRateHelperEarliestDate($A120)</f>
        <v>#VALUE!</v>
      </c>
      <c r="D120" s="38" t="e">
        <f>_xll.qlRateHelperLatestDate($A120)</f>
        <v>#VALUE!</v>
      </c>
      <c r="E120" s="29" t="b">
        <f t="shared" si="14"/>
        <v>0</v>
      </c>
      <c r="F120" s="29" t="b">
        <f t="shared" si="15"/>
        <v>0</v>
      </c>
      <c r="G120" s="29" t="b">
        <f t="shared" si="16"/>
        <v>0</v>
      </c>
      <c r="H120" s="32" t="e">
        <f t="shared" si="13"/>
        <v>#N/A</v>
      </c>
      <c r="I120" s="33" t="e">
        <v>#VALUE!</v>
      </c>
      <c r="J120" s="89" t="e">
        <f>_xll.qlInterpolationInterpolate($J$1,H120)</f>
        <v>#VALUE!</v>
      </c>
      <c r="K120" s="41" t="e">
        <f>_xll.qlDayCounterYearFraction(DayCounter,D119,D120)</f>
        <v>#NUM!</v>
      </c>
      <c r="L120" s="33" t="e">
        <f t="shared" si="12"/>
        <v>#VALUE!</v>
      </c>
      <c r="M120" s="33"/>
    </row>
    <row r="121" spans="1:13" x14ac:dyDescent="0.2">
      <c r="A121" s="30" t="e">
        <v>#NUM!</v>
      </c>
      <c r="B121" s="31" t="e">
        <f>_xll.qlRateHelperRate($A121,InterestRatesTrigger)</f>
        <v>#VALUE!</v>
      </c>
      <c r="C121" s="37" t="e">
        <f>_xll.qlRateHelperEarliestDate($A121)</f>
        <v>#VALUE!</v>
      </c>
      <c r="D121" s="38" t="e">
        <f>_xll.qlRateHelperLatestDate($A121)</f>
        <v>#VALUE!</v>
      </c>
      <c r="E121" s="29" t="b">
        <f t="shared" si="14"/>
        <v>0</v>
      </c>
      <c r="F121" s="29" t="b">
        <f t="shared" si="15"/>
        <v>0</v>
      </c>
      <c r="G121" s="29" t="b">
        <f t="shared" si="16"/>
        <v>0</v>
      </c>
      <c r="H121" s="32" t="e">
        <f t="shared" si="13"/>
        <v>#N/A</v>
      </c>
      <c r="I121" s="33" t="e">
        <v>#VALUE!</v>
      </c>
      <c r="J121" s="89" t="e">
        <f>_xll.qlInterpolationInterpolate($J$1,H121)</f>
        <v>#VALUE!</v>
      </c>
      <c r="K121" s="41" t="e">
        <f>_xll.qlDayCounterYearFraction(DayCounter,D120,D121)</f>
        <v>#NUM!</v>
      </c>
      <c r="L121" s="33" t="e">
        <f t="shared" si="12"/>
        <v>#VALUE!</v>
      </c>
      <c r="M121" s="33"/>
    </row>
    <row r="122" spans="1:13" x14ac:dyDescent="0.2">
      <c r="A122" s="30" t="e">
        <v>#NUM!</v>
      </c>
      <c r="B122" s="31" t="e">
        <f>_xll.qlRateHelperRate($A122,InterestRatesTrigger)</f>
        <v>#VALUE!</v>
      </c>
      <c r="C122" s="37" t="e">
        <f>_xll.qlRateHelperEarliestDate($A122)</f>
        <v>#VALUE!</v>
      </c>
      <c r="D122" s="38" t="e">
        <f>_xll.qlRateHelperLatestDate($A122)</f>
        <v>#VALUE!</v>
      </c>
      <c r="E122" s="29" t="b">
        <f t="shared" si="14"/>
        <v>0</v>
      </c>
      <c r="F122" s="29" t="b">
        <f t="shared" si="15"/>
        <v>0</v>
      </c>
      <c r="G122" s="29" t="b">
        <f t="shared" si="16"/>
        <v>0</v>
      </c>
      <c r="H122" s="32" t="e">
        <f t="shared" si="13"/>
        <v>#N/A</v>
      </c>
      <c r="I122" s="33" t="e">
        <v>#VALUE!</v>
      </c>
      <c r="J122" s="89" t="e">
        <f>_xll.qlInterpolationInterpolate($J$1,H122)</f>
        <v>#VALUE!</v>
      </c>
      <c r="K122" s="41" t="e">
        <f>_xll.qlDayCounterYearFraction(DayCounter,D121,D122)</f>
        <v>#NUM!</v>
      </c>
      <c r="L122" s="33" t="e">
        <f t="shared" si="12"/>
        <v>#VALUE!</v>
      </c>
      <c r="M122" s="33"/>
    </row>
    <row r="123" spans="1:13" x14ac:dyDescent="0.2">
      <c r="A123" s="30" t="e">
        <v>#NUM!</v>
      </c>
      <c r="B123" s="31" t="e">
        <f>_xll.qlRateHelperRate($A123,InterestRatesTrigger)</f>
        <v>#VALUE!</v>
      </c>
      <c r="C123" s="37" t="e">
        <f>_xll.qlRateHelperEarliestDate($A123)</f>
        <v>#VALUE!</v>
      </c>
      <c r="D123" s="38" t="e">
        <f>_xll.qlRateHelperLatestDate($A123)</f>
        <v>#VALUE!</v>
      </c>
      <c r="E123" s="29" t="b">
        <f t="shared" si="14"/>
        <v>0</v>
      </c>
      <c r="F123" s="29" t="b">
        <f t="shared" si="15"/>
        <v>0</v>
      </c>
      <c r="G123" s="29" t="b">
        <f t="shared" si="16"/>
        <v>0</v>
      </c>
      <c r="H123" s="32" t="e">
        <f t="shared" si="13"/>
        <v>#N/A</v>
      </c>
      <c r="I123" s="33" t="e">
        <v>#VALUE!</v>
      </c>
      <c r="J123" s="89" t="e">
        <f>_xll.qlInterpolationInterpolate($J$1,H123)</f>
        <v>#VALUE!</v>
      </c>
      <c r="K123" s="41" t="e">
        <f>_xll.qlDayCounterYearFraction(DayCounter,D122,D123)</f>
        <v>#NUM!</v>
      </c>
      <c r="L123" s="33" t="e">
        <f t="shared" si="12"/>
        <v>#VALUE!</v>
      </c>
      <c r="M123" s="33"/>
    </row>
    <row r="124" spans="1:13" x14ac:dyDescent="0.2">
      <c r="A124" s="30" t="e">
        <v>#NUM!</v>
      </c>
      <c r="B124" s="31" t="e">
        <f>_xll.qlRateHelperRate($A124,InterestRatesTrigger)</f>
        <v>#VALUE!</v>
      </c>
      <c r="C124" s="37" t="e">
        <f>_xll.qlRateHelperEarliestDate($A124)</f>
        <v>#VALUE!</v>
      </c>
      <c r="D124" s="38" t="e">
        <f>_xll.qlRateHelperLatestDate($A124)</f>
        <v>#VALUE!</v>
      </c>
      <c r="E124" s="29" t="b">
        <f t="shared" si="14"/>
        <v>0</v>
      </c>
      <c r="F124" s="29" t="b">
        <f t="shared" si="15"/>
        <v>0</v>
      </c>
      <c r="G124" s="29" t="b">
        <f t="shared" si="16"/>
        <v>0</v>
      </c>
      <c r="H124" s="32" t="e">
        <f t="shared" si="13"/>
        <v>#N/A</v>
      </c>
      <c r="I124" s="33" t="e">
        <v>#VALUE!</v>
      </c>
      <c r="J124" s="89" t="e">
        <f>_xll.qlInterpolationInterpolate($J$1,H124)</f>
        <v>#VALUE!</v>
      </c>
      <c r="K124" s="41" t="e">
        <f>_xll.qlDayCounterYearFraction(DayCounter,D123,D124)</f>
        <v>#NUM!</v>
      </c>
      <c r="L124" s="33" t="e">
        <f t="shared" si="12"/>
        <v>#VALUE!</v>
      </c>
      <c r="M124" s="33"/>
    </row>
    <row r="125" spans="1:13" x14ac:dyDescent="0.2">
      <c r="A125" s="30" t="e">
        <v>#NUM!</v>
      </c>
      <c r="B125" s="31" t="e">
        <f>_xll.qlRateHelperRate($A125,InterestRatesTrigger)</f>
        <v>#VALUE!</v>
      </c>
      <c r="C125" s="37" t="e">
        <f>_xll.qlRateHelperEarliestDate($A125)</f>
        <v>#VALUE!</v>
      </c>
      <c r="D125" s="38" t="e">
        <f>_xll.qlRateHelperLatestDate($A125)</f>
        <v>#VALUE!</v>
      </c>
      <c r="E125" s="29" t="b">
        <f t="shared" si="14"/>
        <v>0</v>
      </c>
      <c r="F125" s="29" t="b">
        <f t="shared" si="15"/>
        <v>0</v>
      </c>
      <c r="G125" s="29" t="b">
        <f t="shared" si="16"/>
        <v>0</v>
      </c>
      <c r="H125" s="32" t="e">
        <f t="shared" si="13"/>
        <v>#N/A</v>
      </c>
      <c r="I125" s="33" t="e">
        <v>#VALUE!</v>
      </c>
      <c r="J125" s="89" t="e">
        <f>_xll.qlInterpolationInterpolate($J$1,H125)</f>
        <v>#VALUE!</v>
      </c>
      <c r="K125" s="41" t="e">
        <f>_xll.qlDayCounterYearFraction(DayCounter,D124,D125)</f>
        <v>#NUM!</v>
      </c>
      <c r="L125" s="33" t="e">
        <f t="shared" si="12"/>
        <v>#VALUE!</v>
      </c>
      <c r="M125" s="33"/>
    </row>
    <row r="126" spans="1:13" x14ac:dyDescent="0.2">
      <c r="A126" s="30" t="e">
        <v>#NUM!</v>
      </c>
      <c r="B126" s="31" t="e">
        <f>_xll.qlRateHelperRate($A126,InterestRatesTrigger)</f>
        <v>#VALUE!</v>
      </c>
      <c r="C126" s="37" t="e">
        <f>_xll.qlRateHelperEarliestDate($A126)</f>
        <v>#VALUE!</v>
      </c>
      <c r="D126" s="38" t="e">
        <f>_xll.qlRateHelperLatestDate($A126)</f>
        <v>#VALUE!</v>
      </c>
      <c r="E126" s="29" t="b">
        <f t="shared" si="14"/>
        <v>0</v>
      </c>
      <c r="F126" s="29" t="b">
        <f t="shared" si="15"/>
        <v>0</v>
      </c>
      <c r="G126" s="29" t="b">
        <f t="shared" si="16"/>
        <v>0</v>
      </c>
      <c r="H126" s="32" t="e">
        <f t="shared" si="13"/>
        <v>#N/A</v>
      </c>
      <c r="I126" s="33" t="e">
        <v>#VALUE!</v>
      </c>
      <c r="J126" s="89" t="e">
        <f>_xll.qlInterpolationInterpolate($J$1,H126)</f>
        <v>#VALUE!</v>
      </c>
      <c r="K126" s="41" t="e">
        <f>_xll.qlDayCounterYearFraction(DayCounter,D125,D126)</f>
        <v>#NUM!</v>
      </c>
      <c r="L126" s="33" t="e">
        <f t="shared" si="12"/>
        <v>#VALUE!</v>
      </c>
      <c r="M126" s="33"/>
    </row>
    <row r="127" spans="1:13" x14ac:dyDescent="0.2">
      <c r="A127" s="34" t="e">
        <v>#NUM!</v>
      </c>
      <c r="B127" s="35" t="e">
        <f>_xll.qlRateHelperRate($A127,InterestRatesTrigger)</f>
        <v>#VALUE!</v>
      </c>
      <c r="C127" s="39" t="e">
        <f>_xll.qlRateHelperEarliestDate($A127)</f>
        <v>#VALUE!</v>
      </c>
      <c r="D127" s="40" t="e">
        <f>_xll.qlRateHelperLatestDate($A127)</f>
        <v>#VALUE!</v>
      </c>
      <c r="E127" s="29" t="b">
        <f t="shared" si="14"/>
        <v>0</v>
      </c>
      <c r="F127" s="29" t="b">
        <f t="shared" si="15"/>
        <v>0</v>
      </c>
      <c r="G127" s="29" t="b">
        <f t="shared" si="16"/>
        <v>0</v>
      </c>
      <c r="H127" s="32" t="e">
        <f t="shared" si="13"/>
        <v>#N/A</v>
      </c>
      <c r="I127" s="33" t="e">
        <v>#VALUE!</v>
      </c>
      <c r="J127" s="89" t="e">
        <f>_xll.qlInterpolationInterpolate($J$1,H127)</f>
        <v>#VALUE!</v>
      </c>
      <c r="K127" s="41" t="e">
        <f>_xll.qlDayCounterYearFraction(DayCounter,D126,D127)</f>
        <v>#NUM!</v>
      </c>
      <c r="L127" s="33" t="e">
        <f t="shared" si="12"/>
        <v>#VALUE!</v>
      </c>
      <c r="M127" s="33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7"/>
  <sheetViews>
    <sheetView workbookViewId="0"/>
  </sheetViews>
  <sheetFormatPr defaultRowHeight="11.25" x14ac:dyDescent="0.2"/>
  <cols>
    <col min="1" max="1" width="3" style="53" bestFit="1" customWidth="1"/>
    <col min="2" max="2" width="5" style="53" bestFit="1" customWidth="1"/>
    <col min="3" max="3" width="10" style="53" bestFit="1" customWidth="1"/>
    <col min="4" max="4" width="3.5703125" style="53" customWidth="1"/>
    <col min="5" max="5" width="10" style="53" bestFit="1" customWidth="1"/>
    <col min="6" max="6" width="5.42578125" style="53" customWidth="1"/>
    <col min="7" max="7" width="22.42578125" style="53" bestFit="1" customWidth="1"/>
    <col min="8" max="8" width="15.140625" style="53" bestFit="1" customWidth="1"/>
    <col min="9" max="9" width="9" style="53" bestFit="1" customWidth="1"/>
    <col min="10" max="10" width="10.28515625" style="53" bestFit="1" customWidth="1"/>
    <col min="11" max="11" width="10.28515625" style="53" customWidth="1"/>
    <col min="12" max="12" width="9.7109375" style="53" customWidth="1"/>
    <col min="13" max="13" width="2" style="53" customWidth="1"/>
    <col min="14" max="14" width="8" style="53" customWidth="1"/>
    <col min="15" max="17" width="16.42578125" style="53" bestFit="1" customWidth="1"/>
    <col min="18" max="18" width="11" style="53" bestFit="1" customWidth="1"/>
    <col min="19" max="19" width="9.140625" style="53"/>
    <col min="20" max="20" width="7.28515625" style="53" bestFit="1" customWidth="1"/>
    <col min="21" max="21" width="6.42578125" style="53" customWidth="1"/>
    <col min="22" max="16384" width="9.140625" style="53"/>
  </cols>
  <sheetData>
    <row r="1" spans="1:10" x14ac:dyDescent="0.2">
      <c r="A1" s="50"/>
      <c r="B1" s="51"/>
      <c r="C1" s="51"/>
      <c r="D1" s="51"/>
      <c r="E1" s="51"/>
      <c r="F1" s="51"/>
      <c r="G1" s="51"/>
      <c r="H1" s="51"/>
      <c r="I1" s="51"/>
      <c r="J1" s="52"/>
    </row>
    <row r="2" spans="1:10" ht="13.5" x14ac:dyDescent="0.25">
      <c r="A2" s="54"/>
      <c r="B2" s="55"/>
      <c r="C2" s="56"/>
      <c r="D2" s="57"/>
      <c r="E2" s="56"/>
      <c r="F2" s="56"/>
      <c r="G2" s="58" t="s">
        <v>52</v>
      </c>
      <c r="H2" s="59" t="s">
        <v>66</v>
      </c>
      <c r="I2" s="60"/>
      <c r="J2" s="61"/>
    </row>
    <row r="3" spans="1:10" x14ac:dyDescent="0.2">
      <c r="A3" s="62"/>
      <c r="B3" s="60"/>
      <c r="C3" s="60"/>
      <c r="D3" s="56"/>
      <c r="E3" s="56"/>
      <c r="F3" s="56"/>
      <c r="G3" s="60"/>
      <c r="H3" s="60"/>
      <c r="I3" s="63">
        <f>_xll.ohTrigger(I5:I6)</f>
        <v>0</v>
      </c>
      <c r="J3" s="61"/>
    </row>
    <row r="4" spans="1:10" x14ac:dyDescent="0.2">
      <c r="A4" s="62"/>
      <c r="B4" s="64"/>
      <c r="C4" s="65" t="s">
        <v>53</v>
      </c>
      <c r="D4" s="56"/>
      <c r="E4" s="66" t="s">
        <v>54</v>
      </c>
      <c r="F4" s="56"/>
      <c r="G4" s="64" t="s">
        <v>55</v>
      </c>
      <c r="H4" s="67" t="s">
        <v>56</v>
      </c>
      <c r="I4" s="68" t="s">
        <v>57</v>
      </c>
      <c r="J4" s="61"/>
    </row>
    <row r="5" spans="1:10" x14ac:dyDescent="0.2">
      <c r="A5" s="62"/>
      <c r="B5" s="69" t="s">
        <v>41</v>
      </c>
      <c r="C5" s="48">
        <f>Calculation!P3</f>
        <v>0</v>
      </c>
      <c r="D5" s="56"/>
      <c r="E5" s="70">
        <v>0.99999738409808692</v>
      </c>
      <c r="F5" s="56"/>
      <c r="G5" s="71" t="str">
        <f>Currency&amp;$B5&amp;$H$2</f>
        <v>GBPTOY_SYNTHON_Quote</v>
      </c>
      <c r="H5" s="72">
        <f t="array" ref="H5:H6">QuoteLive</f>
        <v>0</v>
      </c>
      <c r="I5" s="73" t="e">
        <f>_xll.qlSimpleQuoteSetValue($G5,$H5,EvaluationDate)</f>
        <v>#NUM!</v>
      </c>
      <c r="J5" s="61"/>
    </row>
    <row r="6" spans="1:10" x14ac:dyDescent="0.2">
      <c r="A6" s="62"/>
      <c r="B6" s="74" t="s">
        <v>43</v>
      </c>
      <c r="C6" s="49">
        <f>Calculation!P4</f>
        <v>0</v>
      </c>
      <c r="D6" s="56"/>
      <c r="E6" s="75">
        <v>1</v>
      </c>
      <c r="F6" s="56"/>
      <c r="G6" s="76" t="str">
        <f>Currency&amp;$B6&amp;$H$2</f>
        <v>GBPTOY2_SYNTHON_Quote</v>
      </c>
      <c r="H6" s="77">
        <v>0</v>
      </c>
      <c r="I6" s="78" t="e">
        <f>_xll.qlSimpleQuoteSetValue($G6,$H6,EvaluationDate)</f>
        <v>#NUM!</v>
      </c>
      <c r="J6" s="61"/>
    </row>
    <row r="7" spans="1:10" ht="12" thickBot="1" x14ac:dyDescent="0.25">
      <c r="A7" s="79"/>
      <c r="B7" s="80"/>
      <c r="C7" s="80"/>
      <c r="D7" s="80"/>
      <c r="E7" s="80"/>
      <c r="F7" s="80"/>
      <c r="G7" s="80"/>
      <c r="H7" s="80"/>
      <c r="I7" s="80"/>
      <c r="J7" s="81"/>
    </row>
  </sheetData>
  <phoneticPr fontId="1" type="noConversion"/>
  <conditionalFormatting sqref="I5:I6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General Settings</vt:lpstr>
      <vt:lpstr>Triggers</vt:lpstr>
      <vt:lpstr>RateHelpers</vt:lpstr>
      <vt:lpstr>Calculation</vt:lpstr>
      <vt:lpstr>Contribution</vt:lpstr>
      <vt:lpstr>Accuracy</vt:lpstr>
      <vt:lpstr>Calendar</vt:lpstr>
      <vt:lpstr>Currency</vt:lpstr>
      <vt:lpstr>DayCounter</vt:lpstr>
      <vt:lpstr>EvaluationDate</vt:lpstr>
      <vt:lpstr>FwdInterpolation</vt:lpstr>
      <vt:lpstr>IborType</vt:lpstr>
      <vt:lpstr>InterestRatesTrigger</vt:lpstr>
      <vt:lpstr>InterpolatorID</vt:lpstr>
      <vt:lpstr>LastDayInNextYear</vt:lpstr>
      <vt:lpstr>LastDayInYear</vt:lpstr>
      <vt:lpstr>LastUpdate</vt:lpstr>
      <vt:lpstr>LiveDataFeed</vt:lpstr>
      <vt:lpstr>MinDistance</vt:lpstr>
      <vt:lpstr>NDays</vt:lpstr>
      <vt:lpstr>OvernightIndex</vt:lpstr>
      <vt:lpstr>Calculation!Print_Area</vt:lpstr>
      <vt:lpstr>Contribution!Quote</vt:lpstr>
      <vt:lpstr>Contribution!QuoteLive</vt:lpstr>
      <vt:lpstr>Contribution!QuoteStatic</vt:lpstr>
      <vt:lpstr>RateHelpers</vt:lpstr>
      <vt:lpstr>RateHelpersIncluded</vt:lpstr>
      <vt:lpstr>RateHelpersPriority</vt:lpstr>
      <vt:lpstr>SettlementDate</vt:lpstr>
      <vt:lpstr>TraitsID</vt:lpstr>
      <vt:lpstr>TriggerCounter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2009-10-19T16:16:39Z</cp:lastPrinted>
  <dcterms:created xsi:type="dcterms:W3CDTF">2006-04-26T09:45:07Z</dcterms:created>
  <dcterms:modified xsi:type="dcterms:W3CDTF">2014-03-05T09:02:50Z</dcterms:modified>
</cp:coreProperties>
</file>
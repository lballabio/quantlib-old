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18" i="6" l="1"/>
  <c r="M25" i="6"/>
  <c r="C30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F4" i="12" l="1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C4" i="7"/>
  <c r="C3" i="7"/>
  <c r="C6" i="7"/>
  <c r="C5" i="7"/>
  <c r="D5" i="11" l="1" a="1"/>
  <c r="D8" i="11" s="1"/>
  <c r="E5" i="11" a="1"/>
  <c r="J43" i="11"/>
  <c r="J44" i="11"/>
  <c r="J45" i="11"/>
  <c r="J46" i="11"/>
  <c r="J47" i="11"/>
  <c r="J48" i="11"/>
  <c r="J49" i="11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C5" i="13"/>
  <c r="C4" i="13"/>
  <c r="L2" i="11"/>
  <c r="X19" i="13"/>
  <c r="I2" i="9"/>
  <c r="C3" i="13"/>
  <c r="F2" i="7"/>
  <c r="E1" i="12" l="1"/>
  <c r="I1" i="11"/>
  <c r="F1" i="9"/>
  <c r="C1" i="7"/>
  <c r="C11" i="13"/>
  <c r="C6" i="13"/>
  <c r="C12" i="13"/>
  <c r="C10" i="13"/>
  <c r="D9" i="6"/>
  <c r="D16" i="6"/>
  <c r="D20" i="6"/>
  <c r="E20" i="6"/>
  <c r="D22" i="6"/>
  <c r="E22" i="6"/>
  <c r="K3" i="11"/>
  <c r="X20" i="13"/>
  <c r="K44" i="11"/>
  <c r="K45" i="11"/>
  <c r="K47" i="11"/>
  <c r="K15" i="11"/>
  <c r="K43" i="11"/>
  <c r="K49" i="11"/>
  <c r="K48" i="11"/>
  <c r="K46" i="11"/>
  <c r="B57" i="4" l="1"/>
  <c r="B59" i="4"/>
  <c r="B60" i="4"/>
  <c r="B54" i="4"/>
  <c r="B58" i="4"/>
  <c r="B56" i="4"/>
  <c r="B55" i="4"/>
  <c r="D5" i="7"/>
  <c r="D6" i="7"/>
  <c r="D1" i="7"/>
  <c r="E1" i="7" s="1"/>
  <c r="D3" i="7"/>
  <c r="D4" i="7"/>
  <c r="E8" i="9"/>
  <c r="E16" i="9"/>
  <c r="E24" i="9"/>
  <c r="E32" i="9"/>
  <c r="E40" i="9"/>
  <c r="E9" i="9"/>
  <c r="E17" i="9"/>
  <c r="E25" i="9"/>
  <c r="E33" i="9"/>
  <c r="E41" i="9"/>
  <c r="G1" i="9"/>
  <c r="H1" i="9" s="1"/>
  <c r="E10" i="9"/>
  <c r="E18" i="9"/>
  <c r="E26" i="9"/>
  <c r="E34" i="9"/>
  <c r="E42" i="9"/>
  <c r="E3" i="9"/>
  <c r="E11" i="9"/>
  <c r="E19" i="9"/>
  <c r="E27" i="9"/>
  <c r="E35" i="9"/>
  <c r="E43" i="9"/>
  <c r="E4" i="9"/>
  <c r="E12" i="9"/>
  <c r="E20" i="9"/>
  <c r="E28" i="9"/>
  <c r="E36" i="9"/>
  <c r="E44" i="9"/>
  <c r="E5" i="9"/>
  <c r="E13" i="9"/>
  <c r="E21" i="9"/>
  <c r="E29" i="9"/>
  <c r="E37" i="9"/>
  <c r="E6" i="9"/>
  <c r="E14" i="9"/>
  <c r="E22" i="9"/>
  <c r="E30" i="9"/>
  <c r="E38" i="9"/>
  <c r="E15" i="9"/>
  <c r="E23" i="9"/>
  <c r="E31" i="9"/>
  <c r="E39" i="9"/>
  <c r="E7" i="9"/>
  <c r="J1" i="11"/>
  <c r="K1" i="11" s="1"/>
  <c r="E6" i="12"/>
  <c r="E3" i="12"/>
  <c r="E5" i="12"/>
  <c r="E8" i="12"/>
  <c r="E4" i="12"/>
  <c r="F1" i="12"/>
  <c r="G1" i="12" s="1"/>
  <c r="E7" i="12"/>
  <c r="C13" i="13"/>
  <c r="B71" i="4"/>
  <c r="C7" i="13"/>
  <c r="E6" i="7"/>
  <c r="G6" i="12"/>
  <c r="G3" i="12"/>
  <c r="E3" i="7"/>
  <c r="G5" i="12"/>
  <c r="E4" i="7"/>
  <c r="G8" i="12"/>
  <c r="G4" i="12"/>
  <c r="G7" i="12"/>
  <c r="E5" i="7"/>
  <c r="D60" i="4"/>
  <c r="L3" i="11"/>
  <c r="C58" i="4"/>
  <c r="K34" i="11"/>
  <c r="I59" i="4"/>
  <c r="K17" i="11"/>
  <c r="K18" i="11"/>
  <c r="I71" i="4"/>
  <c r="K13" i="11"/>
  <c r="K32" i="11"/>
  <c r="K39" i="11"/>
  <c r="K12" i="11"/>
  <c r="L34" i="11"/>
  <c r="K10" i="11"/>
  <c r="D3" i="9" a="1"/>
  <c r="C60" i="4"/>
  <c r="J59" i="4"/>
  <c r="L48" i="11"/>
  <c r="L49" i="11"/>
  <c r="C54" i="4"/>
  <c r="B1" i="6"/>
  <c r="E71" i="4"/>
  <c r="K30" i="11"/>
  <c r="D55" i="4"/>
  <c r="K11" i="11"/>
  <c r="E58" i="4"/>
  <c r="K40" i="11"/>
  <c r="K23" i="11"/>
  <c r="K38" i="11"/>
  <c r="I57" i="4"/>
  <c r="K35" i="11"/>
  <c r="K29" i="11"/>
  <c r="D54" i="4"/>
  <c r="I55" i="4"/>
  <c r="K36" i="11"/>
  <c r="L45" i="11"/>
  <c r="K20" i="11"/>
  <c r="F6" i="7"/>
  <c r="K9" i="11"/>
  <c r="J54" i="4"/>
  <c r="K26" i="11"/>
  <c r="K24" i="11"/>
  <c r="L46" i="11"/>
  <c r="K28" i="11"/>
  <c r="D58" i="4"/>
  <c r="K41" i="11"/>
  <c r="K27" i="11"/>
  <c r="C56" i="4"/>
  <c r="I54" i="4"/>
  <c r="E55" i="4"/>
  <c r="K22" i="11"/>
  <c r="K37" i="11"/>
  <c r="F3" i="7"/>
  <c r="K7" i="11"/>
  <c r="I58" i="4"/>
  <c r="K14" i="11"/>
  <c r="K16" i="11"/>
  <c r="C59" i="4"/>
  <c r="C57" i="4"/>
  <c r="K25" i="11"/>
  <c r="K31" i="11"/>
  <c r="J57" i="4"/>
  <c r="L15" i="11"/>
  <c r="K19" i="11"/>
  <c r="C71" i="4"/>
  <c r="K33" i="11"/>
  <c r="J56" i="4"/>
  <c r="D59" i="4"/>
  <c r="D57" i="4"/>
  <c r="L43" i="11"/>
  <c r="D71" i="4"/>
  <c r="J55" i="4"/>
  <c r="I60" i="4"/>
  <c r="J60" i="4"/>
  <c r="K6" i="11"/>
  <c r="L6" i="11" s="1"/>
  <c r="K5" i="11"/>
  <c r="J58" i="4"/>
  <c r="C55" i="4"/>
  <c r="J71" i="4"/>
  <c r="F5" i="7"/>
  <c r="K21" i="11"/>
  <c r="X21" i="13"/>
  <c r="D21" i="6"/>
  <c r="L47" i="11"/>
  <c r="D56" i="4"/>
  <c r="E57" i="4"/>
  <c r="E59" i="4"/>
  <c r="E60" i="4"/>
  <c r="E56" i="4"/>
  <c r="E54" i="4"/>
  <c r="L44" i="11"/>
  <c r="I56" i="4"/>
  <c r="F4" i="7"/>
  <c r="K8" i="11"/>
  <c r="B4" i="4" l="1"/>
  <c r="B10" i="4"/>
  <c r="B7" i="4"/>
  <c r="B11" i="4"/>
  <c r="B3" i="4"/>
  <c r="B8" i="4"/>
  <c r="B2" i="4"/>
  <c r="B6" i="4"/>
  <c r="B9" i="4"/>
  <c r="B5" i="4"/>
  <c r="B74" i="4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5" i="9"/>
  <c r="C4" i="4"/>
  <c r="J4" i="4"/>
  <c r="I4" i="4"/>
  <c r="D4" i="4"/>
  <c r="J9" i="4"/>
  <c r="D9" i="4"/>
  <c r="C9" i="4"/>
  <c r="I9" i="4"/>
  <c r="C10" i="4"/>
  <c r="I10" i="4"/>
  <c r="J10" i="4"/>
  <c r="D10" i="4"/>
  <c r="D5" i="4"/>
  <c r="I5" i="4"/>
  <c r="C5" i="4"/>
  <c r="J5" i="4"/>
  <c r="D7" i="4"/>
  <c r="J7" i="4"/>
  <c r="C7" i="4"/>
  <c r="I7" i="4"/>
  <c r="J11" i="4"/>
  <c r="C11" i="4"/>
  <c r="D11" i="4"/>
  <c r="I11" i="4"/>
  <c r="J3" i="4"/>
  <c r="C3" i="4"/>
  <c r="I3" i="4"/>
  <c r="D3" i="4"/>
  <c r="D8" i="4"/>
  <c r="I8" i="4"/>
  <c r="J8" i="4"/>
  <c r="C8" i="4"/>
  <c r="D2" i="4"/>
  <c r="C2" i="4"/>
  <c r="J2" i="4"/>
  <c r="I2" i="4"/>
  <c r="I6" i="4"/>
  <c r="J6" i="4"/>
  <c r="C6" i="4"/>
  <c r="D6" i="4"/>
  <c r="L21" i="11"/>
  <c r="D82" i="4"/>
  <c r="E63" i="4"/>
  <c r="I66" i="4"/>
  <c r="I75" i="4"/>
  <c r="J61" i="4"/>
  <c r="E87" i="4"/>
  <c r="D77" i="4"/>
  <c r="E67" i="4"/>
  <c r="C90" i="4"/>
  <c r="J70" i="4"/>
  <c r="J62" i="4"/>
  <c r="X22" i="13"/>
  <c r="D78" i="4"/>
  <c r="E66" i="4"/>
  <c r="L37" i="11"/>
  <c r="J94" i="4"/>
  <c r="C78" i="4"/>
  <c r="L14" i="11"/>
  <c r="C67" i="4"/>
  <c r="D73" i="4"/>
  <c r="D62" i="4"/>
  <c r="C77" i="4"/>
  <c r="J67" i="4"/>
  <c r="D89" i="4"/>
  <c r="I73" i="4"/>
  <c r="C72" i="4"/>
  <c r="I63" i="4"/>
  <c r="D76" i="4"/>
  <c r="I64" i="4"/>
  <c r="E93" i="4"/>
  <c r="J76" i="4"/>
  <c r="D75" i="4"/>
  <c r="E86" i="4"/>
  <c r="L32" i="11"/>
  <c r="C96" i="4"/>
  <c r="E73" i="4"/>
  <c r="I85" i="4"/>
  <c r="M19" i="13" a="1"/>
  <c r="D63" i="4"/>
  <c r="E76" i="4"/>
  <c r="J78" i="4"/>
  <c r="J91" i="4"/>
  <c r="E81" i="4"/>
  <c r="L22" i="11"/>
  <c r="L28" i="11"/>
  <c r="J81" i="4"/>
  <c r="I84" i="4"/>
  <c r="J75" i="4"/>
  <c r="E79" i="4"/>
  <c r="C93" i="4"/>
  <c r="E82" i="4"/>
  <c r="D79" i="4"/>
  <c r="C94" i="4"/>
  <c r="D72" i="4"/>
  <c r="D85" i="4"/>
  <c r="D65" i="4"/>
  <c r="J65" i="4"/>
  <c r="I88" i="4"/>
  <c r="C85" i="4"/>
  <c r="L33" i="11"/>
  <c r="E72" i="4"/>
  <c r="E77" i="4"/>
  <c r="J95" i="4"/>
  <c r="C86" i="4"/>
  <c r="C74" i="4"/>
  <c r="J83" i="4"/>
  <c r="L11" i="11"/>
  <c r="D69" i="4"/>
  <c r="E96" i="4"/>
  <c r="L31" i="11"/>
  <c r="E92" i="4"/>
  <c r="J86" i="4"/>
  <c r="L19" i="11"/>
  <c r="C84" i="4"/>
  <c r="E61" i="4"/>
  <c r="I70" i="4"/>
  <c r="I76" i="4"/>
  <c r="D61" i="4"/>
  <c r="L23" i="11"/>
  <c r="E88" i="4"/>
  <c r="I91" i="4"/>
  <c r="I89" i="4"/>
  <c r="L39" i="11"/>
  <c r="E80" i="4"/>
  <c r="J72" i="4"/>
  <c r="I65" i="4"/>
  <c r="J89" i="4"/>
  <c r="L25" i="11"/>
  <c r="J88" i="4"/>
  <c r="L41" i="11"/>
  <c r="J92" i="4"/>
  <c r="J90" i="4"/>
  <c r="D86" i="4"/>
  <c r="J96" i="4"/>
  <c r="H5" i="9"/>
  <c r="E84" i="4"/>
  <c r="J93" i="4"/>
  <c r="E78" i="4"/>
  <c r="C65" i="4"/>
  <c r="L36" i="11"/>
  <c r="D88" i="4"/>
  <c r="D90" i="4"/>
  <c r="J74" i="4"/>
  <c r="C70" i="4"/>
  <c r="L5" i="11"/>
  <c r="D87" i="4"/>
  <c r="C69" i="4"/>
  <c r="C88" i="4"/>
  <c r="I77" i="4"/>
  <c r="I97" i="4"/>
  <c r="D96" i="4"/>
  <c r="C80" i="4"/>
  <c r="D83" i="4"/>
  <c r="C64" i="4"/>
  <c r="C79" i="4"/>
  <c r="L12" i="11"/>
  <c r="J77" i="4"/>
  <c r="I62" i="4"/>
  <c r="I69" i="4"/>
  <c r="L26" i="11"/>
  <c r="I83" i="4"/>
  <c r="D80" i="4"/>
  <c r="L29" i="11"/>
  <c r="L10" i="11"/>
  <c r="J73" i="4"/>
  <c r="D68" i="4"/>
  <c r="C66" i="4"/>
  <c r="I61" i="4"/>
  <c r="I95" i="4"/>
  <c r="J69" i="4"/>
  <c r="I86" i="4"/>
  <c r="J97" i="4"/>
  <c r="E97" i="4"/>
  <c r="E90" i="4"/>
  <c r="L24" i="11"/>
  <c r="J66" i="4"/>
  <c r="E95" i="4"/>
  <c r="J79" i="4"/>
  <c r="C87" i="4"/>
  <c r="E70" i="4"/>
  <c r="E94" i="4"/>
  <c r="D97" i="4"/>
  <c r="L27" i="11"/>
  <c r="I74" i="4"/>
  <c r="L13" i="11"/>
  <c r="D67" i="4"/>
  <c r="L7" i="11"/>
  <c r="C82" i="4"/>
  <c r="L30" i="11"/>
  <c r="D93" i="4"/>
  <c r="C61" i="4"/>
  <c r="D66" i="4"/>
  <c r="L16" i="11"/>
  <c r="C68" i="4"/>
  <c r="C81" i="4"/>
  <c r="C83" i="4"/>
  <c r="E64" i="4"/>
  <c r="D64" i="4"/>
  <c r="L35" i="11"/>
  <c r="D95" i="4"/>
  <c r="E68" i="4"/>
  <c r="E85" i="4"/>
  <c r="D94" i="4"/>
  <c r="I87" i="4"/>
  <c r="L9" i="11"/>
  <c r="C73" i="4"/>
  <c r="E83" i="4"/>
  <c r="C91" i="4"/>
  <c r="J87" i="4"/>
  <c r="L40" i="11"/>
  <c r="J84" i="4"/>
  <c r="I90" i="4"/>
  <c r="D92" i="4"/>
  <c r="C92" i="4"/>
  <c r="D74" i="4"/>
  <c r="D91" i="4"/>
  <c r="I93" i="4"/>
  <c r="I82" i="4"/>
  <c r="L18" i="11"/>
  <c r="I79" i="4"/>
  <c r="I96" i="4"/>
  <c r="C97" i="4"/>
  <c r="I72" i="4"/>
  <c r="I92" i="4"/>
  <c r="J85" i="4"/>
  <c r="D81" i="4"/>
  <c r="J63" i="4"/>
  <c r="D70" i="4"/>
  <c r="E62" i="4"/>
  <c r="C76" i="4"/>
  <c r="D84" i="4"/>
  <c r="L20" i="11"/>
  <c r="C89" i="4"/>
  <c r="E69" i="4"/>
  <c r="L17" i="11"/>
  <c r="I78" i="4"/>
  <c r="I68" i="4"/>
  <c r="I81" i="4"/>
  <c r="E89" i="4"/>
  <c r="C75" i="4"/>
  <c r="C63" i="4"/>
  <c r="I94" i="4"/>
  <c r="I67" i="4"/>
  <c r="E65" i="4"/>
  <c r="J64" i="4"/>
  <c r="I80" i="4"/>
  <c r="L38" i="11"/>
  <c r="E74" i="4"/>
  <c r="E75" i="4"/>
  <c r="J80" i="4"/>
  <c r="C95" i="4"/>
  <c r="J82" i="4"/>
  <c r="J68" i="4"/>
  <c r="C62" i="4"/>
  <c r="E91" i="4"/>
  <c r="L8" i="11"/>
  <c r="F30" i="9" l="1"/>
  <c r="F96" i="4"/>
  <c r="F95" i="4"/>
  <c r="G22" i="9"/>
  <c r="G11" i="9"/>
  <c r="G24" i="9"/>
  <c r="F32" i="9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14" i="4"/>
  <c r="M24" i="13"/>
  <c r="M22" i="13"/>
  <c r="M20" i="13"/>
  <c r="M19" i="13"/>
  <c r="M23" i="13"/>
  <c r="M21" i="13"/>
  <c r="H30" i="9"/>
  <c r="H43" i="9"/>
  <c r="H34" i="9"/>
  <c r="H36" i="9"/>
  <c r="H15" i="9"/>
  <c r="H19" i="9"/>
  <c r="H27" i="9"/>
  <c r="H7" i="9"/>
  <c r="P23" i="13"/>
  <c r="O21" i="13"/>
  <c r="P20" i="13"/>
  <c r="H8" i="9"/>
  <c r="H39" i="9"/>
  <c r="H21" i="9"/>
  <c r="H25" i="9"/>
  <c r="H12" i="9"/>
  <c r="I14" i="4"/>
  <c r="I43" i="9"/>
  <c r="O20" i="13"/>
  <c r="P24" i="13"/>
  <c r="N23" i="13"/>
  <c r="E14" i="4"/>
  <c r="H11" i="9"/>
  <c r="H37" i="9"/>
  <c r="I37" i="9"/>
  <c r="H35" i="9"/>
  <c r="P21" i="13"/>
  <c r="H20" i="9"/>
  <c r="D14" i="4"/>
  <c r="H6" i="9"/>
  <c r="O19" i="13"/>
  <c r="C14" i="4"/>
  <c r="H10" i="9"/>
  <c r="N20" i="13"/>
  <c r="I12" i="9"/>
  <c r="H17" i="9"/>
  <c r="I11" i="9"/>
  <c r="O23" i="13"/>
  <c r="H44" i="9"/>
  <c r="N19" i="13"/>
  <c r="H41" i="9"/>
  <c r="H22" i="9"/>
  <c r="I22" i="9" s="1"/>
  <c r="H31" i="9"/>
  <c r="I31" i="9" s="1"/>
  <c r="H28" i="9"/>
  <c r="O24" i="13"/>
  <c r="N21" i="13"/>
  <c r="I5" i="9"/>
  <c r="H33" i="9"/>
  <c r="I33" i="9" s="1"/>
  <c r="H29" i="9"/>
  <c r="H40" i="9"/>
  <c r="I35" i="9"/>
  <c r="H24" i="9"/>
  <c r="I24" i="9" s="1"/>
  <c r="I30" i="9"/>
  <c r="J14" i="4"/>
  <c r="H3" i="9"/>
  <c r="X23" i="13"/>
  <c r="O22" i="13"/>
  <c r="P19" i="13"/>
  <c r="N24" i="13"/>
  <c r="H32" i="9"/>
  <c r="H38" i="9"/>
  <c r="H18" i="9"/>
  <c r="H9" i="9"/>
  <c r="I9" i="9" s="1"/>
  <c r="H14" i="9"/>
  <c r="M73" i="13" a="1"/>
  <c r="H4" i="9"/>
  <c r="H23" i="9"/>
  <c r="N22" i="13"/>
  <c r="H42" i="9"/>
  <c r="P22" i="13"/>
  <c r="I8" i="9"/>
  <c r="H16" i="9"/>
  <c r="I7" i="9"/>
  <c r="I32" i="9"/>
  <c r="I6" i="9"/>
  <c r="H26" i="9"/>
  <c r="H13" i="9"/>
  <c r="B39" i="4" l="1"/>
  <c r="B31" i="4"/>
  <c r="B20" i="4"/>
  <c r="B33" i="4"/>
  <c r="B16" i="4"/>
  <c r="B41" i="4"/>
  <c r="B46" i="4"/>
  <c r="B25" i="4"/>
  <c r="B44" i="4"/>
  <c r="B34" i="4"/>
  <c r="B15" i="4"/>
  <c r="B52" i="4"/>
  <c r="B18" i="4"/>
  <c r="B50" i="4"/>
  <c r="B21" i="4"/>
  <c r="B40" i="4"/>
  <c r="B17" i="4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M90" i="13"/>
  <c r="M74" i="13"/>
  <c r="M73" i="13"/>
  <c r="M89" i="13"/>
  <c r="M96" i="13"/>
  <c r="M97" i="13"/>
  <c r="M99" i="13"/>
  <c r="M93" i="13"/>
  <c r="M85" i="13"/>
  <c r="M87" i="13"/>
  <c r="M80" i="13"/>
  <c r="M81" i="13"/>
  <c r="M104" i="13"/>
  <c r="M105" i="13"/>
  <c r="M92" i="13"/>
  <c r="M82" i="13"/>
  <c r="M106" i="13"/>
  <c r="M107" i="13"/>
  <c r="M78" i="13"/>
  <c r="M100" i="13"/>
  <c r="M83" i="13"/>
  <c r="M108" i="13"/>
  <c r="M109" i="13"/>
  <c r="M91" i="13"/>
  <c r="M95" i="13"/>
  <c r="M94" i="13"/>
  <c r="M101" i="13"/>
  <c r="M76" i="13"/>
  <c r="M88" i="13"/>
  <c r="M79" i="13"/>
  <c r="M98" i="13"/>
  <c r="M75" i="13"/>
  <c r="M102" i="13"/>
  <c r="M86" i="13"/>
  <c r="M84" i="13"/>
  <c r="M103" i="13"/>
  <c r="M77" i="13"/>
  <c r="I26" i="9"/>
  <c r="I31" i="4"/>
  <c r="I21" i="9"/>
  <c r="I52" i="4"/>
  <c r="J51" i="4"/>
  <c r="J17" i="4"/>
  <c r="N90" i="13"/>
  <c r="I15" i="4"/>
  <c r="C26" i="4"/>
  <c r="J24" i="4"/>
  <c r="I45" i="4"/>
  <c r="I17" i="4"/>
  <c r="N73" i="13"/>
  <c r="J36" i="4"/>
  <c r="D44" i="4"/>
  <c r="O108" i="13"/>
  <c r="E21" i="4"/>
  <c r="D42" i="4"/>
  <c r="C27" i="4"/>
  <c r="I41" i="9"/>
  <c r="J15" i="4"/>
  <c r="D24" i="4"/>
  <c r="D18" i="4"/>
  <c r="E16" i="4"/>
  <c r="N78" i="13"/>
  <c r="I23" i="4"/>
  <c r="O109" i="13"/>
  <c r="D49" i="4"/>
  <c r="D13" i="4"/>
  <c r="I27" i="4"/>
  <c r="I46" i="4"/>
  <c r="D40" i="4"/>
  <c r="I18" i="4"/>
  <c r="O91" i="13"/>
  <c r="I22" i="4"/>
  <c r="N14" i="4"/>
  <c r="I50" i="4"/>
  <c r="E44" i="4"/>
  <c r="C53" i="4"/>
  <c r="J12" i="4"/>
  <c r="D39" i="4"/>
  <c r="E39" i="4"/>
  <c r="I39" i="4"/>
  <c r="C39" i="4"/>
  <c r="J39" i="4"/>
  <c r="D15" i="4"/>
  <c r="I3" i="9"/>
  <c r="I16" i="9"/>
  <c r="E31" i="4"/>
  <c r="I20" i="9"/>
  <c r="I30" i="4"/>
  <c r="C45" i="4"/>
  <c r="I27" i="9"/>
  <c r="J25" i="4"/>
  <c r="C36" i="4"/>
  <c r="I15" i="9"/>
  <c r="O97" i="13"/>
  <c r="J44" i="4"/>
  <c r="I29" i="4"/>
  <c r="D50" i="4"/>
  <c r="I4" i="9"/>
  <c r="I41" i="4"/>
  <c r="N103" i="13"/>
  <c r="O94" i="13"/>
  <c r="E17" i="4"/>
  <c r="I49" i="4"/>
  <c r="O95" i="13"/>
  <c r="E26" i="4"/>
  <c r="I33" i="4"/>
  <c r="O103" i="13"/>
  <c r="E22" i="4"/>
  <c r="I10" i="9"/>
  <c r="C41" i="4"/>
  <c r="I42" i="4"/>
  <c r="I37" i="4"/>
  <c r="N86" i="13"/>
  <c r="J13" i="4"/>
  <c r="O84" i="13"/>
  <c r="J29" i="4"/>
  <c r="C48" i="4"/>
  <c r="O85" i="13"/>
  <c r="I21" i="4"/>
  <c r="C50" i="4"/>
  <c r="I44" i="4"/>
  <c r="C17" i="4"/>
  <c r="E46" i="4"/>
  <c r="E51" i="4"/>
  <c r="N91" i="13"/>
  <c r="N94" i="13"/>
  <c r="J28" i="4"/>
  <c r="X24" i="13"/>
  <c r="I44" i="9"/>
  <c r="J31" i="4"/>
  <c r="C16" i="4"/>
  <c r="N104" i="13"/>
  <c r="E30" i="4"/>
  <c r="O102" i="13"/>
  <c r="J40" i="4"/>
  <c r="I36" i="4"/>
  <c r="N101" i="13"/>
  <c r="E49" i="4"/>
  <c r="E45" i="4"/>
  <c r="I24" i="4"/>
  <c r="O89" i="13"/>
  <c r="O77" i="13"/>
  <c r="N77" i="13"/>
  <c r="I47" i="4"/>
  <c r="O88" i="13"/>
  <c r="D34" i="4"/>
  <c r="D30" i="4"/>
  <c r="J23" i="4"/>
  <c r="N106" i="13"/>
  <c r="C33" i="4"/>
  <c r="O76" i="13"/>
  <c r="D21" i="4"/>
  <c r="D35" i="4"/>
  <c r="C15" i="4"/>
  <c r="E18" i="4"/>
  <c r="N99" i="13"/>
  <c r="I40" i="9"/>
  <c r="O87" i="13"/>
  <c r="N108" i="13"/>
  <c r="D19" i="4"/>
  <c r="N102" i="13"/>
  <c r="O80" i="13"/>
  <c r="E47" i="4"/>
  <c r="I19" i="9"/>
  <c r="O104" i="13"/>
  <c r="I17" i="9"/>
  <c r="C49" i="4"/>
  <c r="J22" i="4"/>
  <c r="D29" i="4"/>
  <c r="C24" i="4"/>
  <c r="C37" i="4"/>
  <c r="E40" i="4"/>
  <c r="I25" i="9"/>
  <c r="I34" i="9"/>
  <c r="O92" i="13"/>
  <c r="N87" i="13"/>
  <c r="N105" i="13"/>
  <c r="I43" i="4"/>
  <c r="N92" i="13"/>
  <c r="I40" i="4"/>
  <c r="O90" i="13"/>
  <c r="J34" i="4"/>
  <c r="E24" i="4"/>
  <c r="C28" i="4"/>
  <c r="O73" i="13"/>
  <c r="N79" i="13"/>
  <c r="O101" i="13"/>
  <c r="C52" i="4"/>
  <c r="N98" i="13"/>
  <c r="J48" i="4"/>
  <c r="D43" i="4"/>
  <c r="D33" i="4"/>
  <c r="J46" i="4"/>
  <c r="D25" i="4"/>
  <c r="J27" i="4"/>
  <c r="J21" i="4"/>
  <c r="N75" i="13"/>
  <c r="J50" i="4"/>
  <c r="E15" i="4"/>
  <c r="E41" i="4"/>
  <c r="J20" i="4"/>
  <c r="J30" i="4"/>
  <c r="O86" i="13"/>
  <c r="I23" i="9"/>
  <c r="O105" i="13"/>
  <c r="E19" i="4"/>
  <c r="I34" i="4"/>
  <c r="J18" i="4"/>
  <c r="O100" i="13"/>
  <c r="C44" i="4"/>
  <c r="O81" i="13"/>
  <c r="N81" i="13"/>
  <c r="E23" i="4"/>
  <c r="J33" i="4"/>
  <c r="I19" i="4"/>
  <c r="E13" i="4"/>
  <c r="E25" i="4"/>
  <c r="I36" i="9"/>
  <c r="J47" i="4"/>
  <c r="C47" i="4"/>
  <c r="C35" i="4"/>
  <c r="J49" i="4"/>
  <c r="C38" i="4"/>
  <c r="D22" i="4"/>
  <c r="O106" i="13"/>
  <c r="O79" i="13"/>
  <c r="D48" i="4"/>
  <c r="C40" i="4"/>
  <c r="J35" i="4"/>
  <c r="N74" i="13"/>
  <c r="C18" i="4"/>
  <c r="E32" i="4"/>
  <c r="E27" i="4"/>
  <c r="J16" i="4"/>
  <c r="I35" i="4"/>
  <c r="N89" i="13"/>
  <c r="E33" i="4"/>
  <c r="N76" i="13"/>
  <c r="J41" i="4"/>
  <c r="J32" i="4"/>
  <c r="J43" i="4"/>
  <c r="O78" i="13"/>
  <c r="I32" i="4"/>
  <c r="N100" i="13"/>
  <c r="C51" i="4"/>
  <c r="C20" i="4"/>
  <c r="E48" i="4"/>
  <c r="J42" i="4"/>
  <c r="D28" i="4"/>
  <c r="E29" i="4"/>
  <c r="D23" i="4"/>
  <c r="C30" i="4"/>
  <c r="I39" i="9"/>
  <c r="C23" i="4"/>
  <c r="N96" i="13"/>
  <c r="J52" i="4"/>
  <c r="I25" i="4"/>
  <c r="C25" i="4"/>
  <c r="C29" i="4"/>
  <c r="C12" i="4"/>
  <c r="O99" i="13"/>
  <c r="C46" i="4"/>
  <c r="J53" i="4"/>
  <c r="D31" i="4"/>
  <c r="E43" i="4"/>
  <c r="C42" i="4"/>
  <c r="E53" i="4"/>
  <c r="I12" i="4"/>
  <c r="I14" i="9"/>
  <c r="O75" i="13"/>
  <c r="N88" i="13"/>
  <c r="D36" i="4"/>
  <c r="D32" i="4"/>
  <c r="D26" i="4"/>
  <c r="O107" i="13"/>
  <c r="E38" i="4"/>
  <c r="N93" i="13"/>
  <c r="D53" i="4"/>
  <c r="J19" i="4"/>
  <c r="D52" i="4"/>
  <c r="E34" i="4"/>
  <c r="N107" i="13"/>
  <c r="E12" i="4"/>
  <c r="I16" i="4"/>
  <c r="I28" i="4"/>
  <c r="D46" i="4"/>
  <c r="N83" i="13"/>
  <c r="E52" i="4"/>
  <c r="I26" i="4"/>
  <c r="N97" i="13"/>
  <c r="C19" i="4"/>
  <c r="I13" i="4"/>
  <c r="D20" i="4"/>
  <c r="E42" i="4"/>
  <c r="I18" i="9"/>
  <c r="O98" i="13"/>
  <c r="O74" i="13"/>
  <c r="D45" i="4"/>
  <c r="N95" i="13"/>
  <c r="E35" i="4"/>
  <c r="I38" i="9"/>
  <c r="I42" i="9"/>
  <c r="C22" i="4"/>
  <c r="C13" i="4"/>
  <c r="C31" i="4"/>
  <c r="D37" i="4"/>
  <c r="D2" i="5" a="1"/>
  <c r="D38" i="4"/>
  <c r="C34" i="4"/>
  <c r="D16" i="4"/>
  <c r="J45" i="4"/>
  <c r="I53" i="4"/>
  <c r="D47" i="4"/>
  <c r="I48" i="4"/>
  <c r="O83" i="13"/>
  <c r="I51" i="4"/>
  <c r="C43" i="4"/>
  <c r="M14" i="4"/>
  <c r="N82" i="13"/>
  <c r="O93" i="13"/>
  <c r="I38" i="4"/>
  <c r="N85" i="13"/>
  <c r="D12" i="4"/>
  <c r="E28" i="4"/>
  <c r="D41" i="4"/>
  <c r="E36" i="4"/>
  <c r="E37" i="4"/>
  <c r="I13" i="9"/>
  <c r="C21" i="4"/>
  <c r="I28" i="9"/>
  <c r="J38" i="4"/>
  <c r="O82" i="13"/>
  <c r="O96" i="13"/>
  <c r="E20" i="4"/>
  <c r="D51" i="4"/>
  <c r="N109" i="13"/>
  <c r="J26" i="4"/>
  <c r="C32" i="4"/>
  <c r="J37" i="4"/>
  <c r="N80" i="13"/>
  <c r="D17" i="4"/>
  <c r="E50" i="4"/>
  <c r="I29" i="9"/>
  <c r="N84" i="13"/>
  <c r="I20" i="4"/>
  <c r="D27" i="4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U19" i="13" l="1" a="1"/>
  <c r="N31" i="4"/>
  <c r="H3" i="5"/>
  <c r="F3" i="5"/>
  <c r="R99" i="13"/>
  <c r="H81" i="5"/>
  <c r="E36" i="5"/>
  <c r="N34" i="4"/>
  <c r="H6" i="5"/>
  <c r="H2" i="5"/>
  <c r="H77" i="5"/>
  <c r="R102" i="13"/>
  <c r="E122" i="5"/>
  <c r="F111" i="5"/>
  <c r="I66" i="5"/>
  <c r="F47" i="5"/>
  <c r="E86" i="5"/>
  <c r="H98" i="5"/>
  <c r="I95" i="5"/>
  <c r="G83" i="5"/>
  <c r="H83" i="5"/>
  <c r="F110" i="5"/>
  <c r="F125" i="5"/>
  <c r="H64" i="5"/>
  <c r="G61" i="5"/>
  <c r="F57" i="5"/>
  <c r="I43" i="5"/>
  <c r="M34" i="4"/>
  <c r="N22" i="4"/>
  <c r="H84" i="5"/>
  <c r="I77" i="5"/>
  <c r="G109" i="5"/>
  <c r="G17" i="5"/>
  <c r="E63" i="5"/>
  <c r="G72" i="5"/>
  <c r="I61" i="5"/>
  <c r="H123" i="5"/>
  <c r="F61" i="5"/>
  <c r="E47" i="5"/>
  <c r="H99" i="5"/>
  <c r="N33" i="4"/>
  <c r="F108" i="5"/>
  <c r="I111" i="5"/>
  <c r="E113" i="5"/>
  <c r="I125" i="5"/>
  <c r="F95" i="5"/>
  <c r="F106" i="5"/>
  <c r="H32" i="5"/>
  <c r="F34" i="5"/>
  <c r="I4" i="5"/>
  <c r="I62" i="5"/>
  <c r="F56" i="5"/>
  <c r="M24" i="4"/>
  <c r="G65" i="5"/>
  <c r="E61" i="5"/>
  <c r="M32" i="4"/>
  <c r="F13" i="5"/>
  <c r="H87" i="5"/>
  <c r="E28" i="5"/>
  <c r="G114" i="5"/>
  <c r="E108" i="5"/>
  <c r="I46" i="5"/>
  <c r="I21" i="5"/>
  <c r="I48" i="5"/>
  <c r="E46" i="5"/>
  <c r="I7" i="5"/>
  <c r="E74" i="5"/>
  <c r="H54" i="5"/>
  <c r="G62" i="5"/>
  <c r="E8" i="5"/>
  <c r="F31" i="5"/>
  <c r="E51" i="5"/>
  <c r="G48" i="5"/>
  <c r="G85" i="5"/>
  <c r="F79" i="5"/>
  <c r="G69" i="5"/>
  <c r="E93" i="5"/>
  <c r="R93" i="13"/>
  <c r="M50" i="4"/>
  <c r="E120" i="5"/>
  <c r="G13" i="5"/>
  <c r="N36" i="4"/>
  <c r="I72" i="5"/>
  <c r="I76" i="5"/>
  <c r="I115" i="5"/>
  <c r="G28" i="5"/>
  <c r="G44" i="5"/>
  <c r="I89" i="5"/>
  <c r="R106" i="13"/>
  <c r="H44" i="5"/>
  <c r="I40" i="5"/>
  <c r="N42" i="4"/>
  <c r="G60" i="5"/>
  <c r="F118" i="5"/>
  <c r="H51" i="5"/>
  <c r="M53" i="4"/>
  <c r="H11" i="5"/>
  <c r="H24" i="5"/>
  <c r="E5" i="5"/>
  <c r="F85" i="5"/>
  <c r="G50" i="5"/>
  <c r="I32" i="5"/>
  <c r="F35" i="5"/>
  <c r="H34" i="5"/>
  <c r="M17" i="4"/>
  <c r="I6" i="5"/>
  <c r="I9" i="5"/>
  <c r="F58" i="5"/>
  <c r="H102" i="5"/>
  <c r="E57" i="5"/>
  <c r="G67" i="5"/>
  <c r="G97" i="5"/>
  <c r="G18" i="5"/>
  <c r="I87" i="5"/>
  <c r="G56" i="5"/>
  <c r="F30" i="5"/>
  <c r="G112" i="5"/>
  <c r="I53" i="5"/>
  <c r="F63" i="5"/>
  <c r="F105" i="5"/>
  <c r="G103" i="5"/>
  <c r="E73" i="5"/>
  <c r="N51" i="4"/>
  <c r="E3" i="5"/>
  <c r="N15" i="4"/>
  <c r="F40" i="5"/>
  <c r="F98" i="5"/>
  <c r="M31" i="4"/>
  <c r="H86" i="5"/>
  <c r="E38" i="5"/>
  <c r="F8" i="5"/>
  <c r="H69" i="5"/>
  <c r="H61" i="5"/>
  <c r="F121" i="5"/>
  <c r="G39" i="5"/>
  <c r="E105" i="5"/>
  <c r="E72" i="5"/>
  <c r="E30" i="5"/>
  <c r="H63" i="5"/>
  <c r="F9" i="5"/>
  <c r="G54" i="5"/>
  <c r="G53" i="5"/>
  <c r="E68" i="5"/>
  <c r="F4" i="5"/>
  <c r="F68" i="5"/>
  <c r="I5" i="5"/>
  <c r="H104" i="5"/>
  <c r="I60" i="5"/>
  <c r="I54" i="5"/>
  <c r="N47" i="4"/>
  <c r="E21" i="5"/>
  <c r="E69" i="5"/>
  <c r="N26" i="4"/>
  <c r="I22" i="5"/>
  <c r="N28" i="4"/>
  <c r="E41" i="5"/>
  <c r="G63" i="5"/>
  <c r="G19" i="5"/>
  <c r="G33" i="5"/>
  <c r="E97" i="5"/>
  <c r="I96" i="5"/>
  <c r="F109" i="5"/>
  <c r="E56" i="5"/>
  <c r="G46" i="5"/>
  <c r="E54" i="5"/>
  <c r="G16" i="5"/>
  <c r="E125" i="5"/>
  <c r="G116" i="5"/>
  <c r="I99" i="5"/>
  <c r="M13" i="4"/>
  <c r="I119" i="5"/>
  <c r="G37" i="5"/>
  <c r="E82" i="5"/>
  <c r="G93" i="5"/>
  <c r="F7" i="5"/>
  <c r="N23" i="4"/>
  <c r="F71" i="5"/>
  <c r="M47" i="4"/>
  <c r="F124" i="5"/>
  <c r="N43" i="4"/>
  <c r="G55" i="5"/>
  <c r="H67" i="5"/>
  <c r="I116" i="5"/>
  <c r="I117" i="5"/>
  <c r="I12" i="5"/>
  <c r="E12" i="5"/>
  <c r="F119" i="5"/>
  <c r="H90" i="5"/>
  <c r="N24" i="4"/>
  <c r="E17" i="5"/>
  <c r="G66" i="5"/>
  <c r="F59" i="5"/>
  <c r="E22" i="5"/>
  <c r="I39" i="5"/>
  <c r="F107" i="5"/>
  <c r="H112" i="5"/>
  <c r="E20" i="5"/>
  <c r="I11" i="5"/>
  <c r="H15" i="5"/>
  <c r="E66" i="5"/>
  <c r="E37" i="5"/>
  <c r="H48" i="5"/>
  <c r="G118" i="5"/>
  <c r="F114" i="5"/>
  <c r="E119" i="5"/>
  <c r="G113" i="5"/>
  <c r="H89" i="5"/>
  <c r="M52" i="4"/>
  <c r="I10" i="5"/>
  <c r="H30" i="5"/>
  <c r="F24" i="5"/>
  <c r="E99" i="5"/>
  <c r="F73" i="5"/>
  <c r="F18" i="5"/>
  <c r="N12" i="4"/>
  <c r="E23" i="5"/>
  <c r="E121" i="5"/>
  <c r="F64" i="5"/>
  <c r="I107" i="5"/>
  <c r="G58" i="5"/>
  <c r="E80" i="5"/>
  <c r="I73" i="5"/>
  <c r="E81" i="5"/>
  <c r="H12" i="5"/>
  <c r="H73" i="5"/>
  <c r="G123" i="5"/>
  <c r="I90" i="5"/>
  <c r="G32" i="5"/>
  <c r="F2" i="5"/>
  <c r="H49" i="5"/>
  <c r="F38" i="5"/>
  <c r="F116" i="5"/>
  <c r="F52" i="5"/>
  <c r="E43" i="5"/>
  <c r="I122" i="5"/>
  <c r="E35" i="5"/>
  <c r="I105" i="5"/>
  <c r="G111" i="5"/>
  <c r="F90" i="5"/>
  <c r="H110" i="5"/>
  <c r="F23" i="5"/>
  <c r="H26" i="5"/>
  <c r="I94" i="5"/>
  <c r="M51" i="4"/>
  <c r="G59" i="5"/>
  <c r="F25" i="5"/>
  <c r="E44" i="5"/>
  <c r="H60" i="5"/>
  <c r="H33" i="5"/>
  <c r="H119" i="5"/>
  <c r="E111" i="5"/>
  <c r="H126" i="5"/>
  <c r="H117" i="5"/>
  <c r="F14" i="5"/>
  <c r="M39" i="4"/>
  <c r="G108" i="5"/>
  <c r="H80" i="5"/>
  <c r="M19" i="4"/>
  <c r="G107" i="5"/>
  <c r="R97" i="13"/>
  <c r="G84" i="5"/>
  <c r="F89" i="5"/>
  <c r="I79" i="5"/>
  <c r="F21" i="5"/>
  <c r="E115" i="5"/>
  <c r="F104" i="5"/>
  <c r="G74" i="5"/>
  <c r="I15" i="5"/>
  <c r="F49" i="5"/>
  <c r="I31" i="5"/>
  <c r="E29" i="5"/>
  <c r="I17" i="5"/>
  <c r="F28" i="5"/>
  <c r="H57" i="5"/>
  <c r="E24" i="5"/>
  <c r="M42" i="4"/>
  <c r="I59" i="5"/>
  <c r="M30" i="4"/>
  <c r="I68" i="5"/>
  <c r="H31" i="5"/>
  <c r="N25" i="4"/>
  <c r="E55" i="5"/>
  <c r="F93" i="5"/>
  <c r="H93" i="5"/>
  <c r="E7" i="5"/>
  <c r="G96" i="5"/>
  <c r="F70" i="5"/>
  <c r="H7" i="5"/>
  <c r="E89" i="5"/>
  <c r="H103" i="5"/>
  <c r="F6" i="5"/>
  <c r="R108" i="13"/>
  <c r="I13" i="5"/>
  <c r="F27" i="5"/>
  <c r="X25" i="13"/>
  <c r="R101" i="13"/>
  <c r="E31" i="5"/>
  <c r="I123" i="5"/>
  <c r="G106" i="5"/>
  <c r="H5" i="5"/>
  <c r="R105" i="13"/>
  <c r="I56" i="5"/>
  <c r="E27" i="5"/>
  <c r="F103" i="5"/>
  <c r="G23" i="5"/>
  <c r="H114" i="5"/>
  <c r="H9" i="5"/>
  <c r="I110" i="5"/>
  <c r="H20" i="5"/>
  <c r="H70" i="5"/>
  <c r="G35" i="5"/>
  <c r="E19" i="5"/>
  <c r="I101" i="5"/>
  <c r="E98" i="5"/>
  <c r="H21" i="5"/>
  <c r="H65" i="5"/>
  <c r="I25" i="5"/>
  <c r="F15" i="5"/>
  <c r="H120" i="5"/>
  <c r="I52" i="5"/>
  <c r="G26" i="5"/>
  <c r="I26" i="5"/>
  <c r="F74" i="5"/>
  <c r="G95" i="5"/>
  <c r="E78" i="5"/>
  <c r="E14" i="5"/>
  <c r="I28" i="5"/>
  <c r="E95" i="5"/>
  <c r="R96" i="13"/>
  <c r="I126" i="5"/>
  <c r="E83" i="5"/>
  <c r="F54" i="5"/>
  <c r="G43" i="5"/>
  <c r="G73" i="5"/>
  <c r="E70" i="5"/>
  <c r="M23" i="4"/>
  <c r="M49" i="4"/>
  <c r="G105" i="5"/>
  <c r="I47" i="5"/>
  <c r="N48" i="4"/>
  <c r="H62" i="5"/>
  <c r="E90" i="5"/>
  <c r="I41" i="5"/>
  <c r="H96" i="5"/>
  <c r="I71" i="5"/>
  <c r="E4" i="5"/>
  <c r="F66" i="5"/>
  <c r="F86" i="5"/>
  <c r="I100" i="5"/>
  <c r="H45" i="5"/>
  <c r="F96" i="5"/>
  <c r="I33" i="5"/>
  <c r="G8" i="5"/>
  <c r="I51" i="5"/>
  <c r="H58" i="5"/>
  <c r="I16" i="5"/>
  <c r="I14" i="5"/>
  <c r="N39" i="4"/>
  <c r="F12" i="5"/>
  <c r="E103" i="5"/>
  <c r="E9" i="5"/>
  <c r="G124" i="5"/>
  <c r="G4" i="5"/>
  <c r="E10" i="5"/>
  <c r="G76" i="5"/>
  <c r="H19" i="5"/>
  <c r="G27" i="5"/>
  <c r="H109" i="5"/>
  <c r="I92" i="5"/>
  <c r="H113" i="5"/>
  <c r="E104" i="5"/>
  <c r="G15" i="5"/>
  <c r="H22" i="5"/>
  <c r="E32" i="5"/>
  <c r="R109" i="13"/>
  <c r="I88" i="5"/>
  <c r="F100" i="5"/>
  <c r="F72" i="5"/>
  <c r="F29" i="5"/>
  <c r="H108" i="5"/>
  <c r="I84" i="5"/>
  <c r="I124" i="5"/>
  <c r="F84" i="5"/>
  <c r="H105" i="5"/>
  <c r="F33" i="5"/>
  <c r="E71" i="5"/>
  <c r="H95" i="5"/>
  <c r="F117" i="5"/>
  <c r="H16" i="5"/>
  <c r="I63" i="5"/>
  <c r="F101" i="5"/>
  <c r="E33" i="5"/>
  <c r="G71" i="5"/>
  <c r="M12" i="4"/>
  <c r="M29" i="4"/>
  <c r="H116" i="5"/>
  <c r="F16" i="5"/>
  <c r="I44" i="5"/>
  <c r="S99" i="13"/>
  <c r="R100" i="13"/>
  <c r="E85" i="5"/>
  <c r="I3" i="5"/>
  <c r="M22" i="4"/>
  <c r="M26" i="4"/>
  <c r="F80" i="5"/>
  <c r="N52" i="4"/>
  <c r="I37" i="5"/>
  <c r="I80" i="5"/>
  <c r="I35" i="5"/>
  <c r="G14" i="5"/>
  <c r="I57" i="5"/>
  <c r="I34" i="5"/>
  <c r="M48" i="4"/>
  <c r="G36" i="5"/>
  <c r="I108" i="5"/>
  <c r="G3" i="5"/>
  <c r="F77" i="5"/>
  <c r="R90" i="13"/>
  <c r="H94" i="5"/>
  <c r="H18" i="5"/>
  <c r="M28" i="4"/>
  <c r="I106" i="5"/>
  <c r="G126" i="5"/>
  <c r="E40" i="5"/>
  <c r="M35" i="4"/>
  <c r="G20" i="5"/>
  <c r="F19" i="5"/>
  <c r="N18" i="4"/>
  <c r="G40" i="5"/>
  <c r="I118" i="5"/>
  <c r="N49" i="4"/>
  <c r="E49" i="5"/>
  <c r="F65" i="5"/>
  <c r="R103" i="13"/>
  <c r="E118" i="5"/>
  <c r="I109" i="5"/>
  <c r="M20" i="4"/>
  <c r="G87" i="5"/>
  <c r="M46" i="4"/>
  <c r="E39" i="5"/>
  <c r="I83" i="5"/>
  <c r="M44" i="4"/>
  <c r="F53" i="5"/>
  <c r="H107" i="5"/>
  <c r="N32" i="4"/>
  <c r="H106" i="5"/>
  <c r="M41" i="4"/>
  <c r="N38" i="4"/>
  <c r="N40" i="4"/>
  <c r="E76" i="5"/>
  <c r="G89" i="5"/>
  <c r="H36" i="5"/>
  <c r="N13" i="4"/>
  <c r="E126" i="5"/>
  <c r="G79" i="5"/>
  <c r="R94" i="13"/>
  <c r="H52" i="5"/>
  <c r="E100" i="5"/>
  <c r="H72" i="5"/>
  <c r="G80" i="5"/>
  <c r="I86" i="5"/>
  <c r="F36" i="5"/>
  <c r="G42" i="5"/>
  <c r="F20" i="5"/>
  <c r="E109" i="5"/>
  <c r="G92" i="5"/>
  <c r="M21" i="4"/>
  <c r="G121" i="5"/>
  <c r="I65" i="5"/>
  <c r="H4" i="5"/>
  <c r="E79" i="5"/>
  <c r="F88" i="5"/>
  <c r="E42" i="5"/>
  <c r="H10" i="5"/>
  <c r="H13" i="5"/>
  <c r="H39" i="5"/>
  <c r="I64" i="5"/>
  <c r="G52" i="5"/>
  <c r="N46" i="4"/>
  <c r="H50" i="5"/>
  <c r="I114" i="5"/>
  <c r="I75" i="5"/>
  <c r="H121" i="5"/>
  <c r="H27" i="5"/>
  <c r="H88" i="5"/>
  <c r="I113" i="5"/>
  <c r="G51" i="5"/>
  <c r="F123" i="5"/>
  <c r="F115" i="5"/>
  <c r="H46" i="5"/>
  <c r="I121" i="5"/>
  <c r="F37" i="5"/>
  <c r="N35" i="4"/>
  <c r="I23" i="5"/>
  <c r="H41" i="5"/>
  <c r="G21" i="5"/>
  <c r="F22" i="5"/>
  <c r="E110" i="5"/>
  <c r="G12" i="5"/>
  <c r="H74" i="5"/>
  <c r="H43" i="5"/>
  <c r="I103" i="5"/>
  <c r="F17" i="5"/>
  <c r="H85" i="5"/>
  <c r="H100" i="5"/>
  <c r="E26" i="5"/>
  <c r="E87" i="5"/>
  <c r="I97" i="5"/>
  <c r="I85" i="5"/>
  <c r="I93" i="5"/>
  <c r="E25" i="5"/>
  <c r="H92" i="5"/>
  <c r="I18" i="5"/>
  <c r="R92" i="13"/>
  <c r="F97" i="5"/>
  <c r="E67" i="5"/>
  <c r="H76" i="5"/>
  <c r="I102" i="5"/>
  <c r="E53" i="5"/>
  <c r="G22" i="5"/>
  <c r="H124" i="5"/>
  <c r="H8" i="5"/>
  <c r="G81" i="5"/>
  <c r="G34" i="5"/>
  <c r="I30" i="5"/>
  <c r="E58" i="5"/>
  <c r="F50" i="5"/>
  <c r="G38" i="5"/>
  <c r="F48" i="5"/>
  <c r="M25" i="4"/>
  <c r="F32" i="5"/>
  <c r="E102" i="5"/>
  <c r="F126" i="5"/>
  <c r="H97" i="5"/>
  <c r="G24" i="5"/>
  <c r="I50" i="5"/>
  <c r="I8" i="5"/>
  <c r="G102" i="5"/>
  <c r="H122" i="5"/>
  <c r="G122" i="5"/>
  <c r="E2" i="5"/>
  <c r="H42" i="5"/>
  <c r="G90" i="5"/>
  <c r="G88" i="5"/>
  <c r="I112" i="5"/>
  <c r="I58" i="5"/>
  <c r="G7" i="5"/>
  <c r="G82" i="5"/>
  <c r="I20" i="5"/>
  <c r="E101" i="5"/>
  <c r="M33" i="4"/>
  <c r="N50" i="4"/>
  <c r="I55" i="5"/>
  <c r="I19" i="5"/>
  <c r="H71" i="5"/>
  <c r="F41" i="5"/>
  <c r="G29" i="5"/>
  <c r="H17" i="5"/>
  <c r="H38" i="5"/>
  <c r="F112" i="5"/>
  <c r="E114" i="5"/>
  <c r="H82" i="5"/>
  <c r="G64" i="5"/>
  <c r="G2" i="5"/>
  <c r="I2" i="5"/>
  <c r="G125" i="5"/>
  <c r="F113" i="5"/>
  <c r="F43" i="5"/>
  <c r="G91" i="5"/>
  <c r="G45" i="5"/>
  <c r="H115" i="5"/>
  <c r="G6" i="5"/>
  <c r="G30" i="5"/>
  <c r="E75" i="5"/>
  <c r="H55" i="5"/>
  <c r="R91" i="13"/>
  <c r="F82" i="5"/>
  <c r="N16" i="4"/>
  <c r="H25" i="5"/>
  <c r="M37" i="4"/>
  <c r="N20" i="4"/>
  <c r="F75" i="5"/>
  <c r="H78" i="5"/>
  <c r="I104" i="5"/>
  <c r="I91" i="5"/>
  <c r="F87" i="5"/>
  <c r="H28" i="5"/>
  <c r="F62" i="5"/>
  <c r="M36" i="4"/>
  <c r="G75" i="5"/>
  <c r="H14" i="5"/>
  <c r="G57" i="5"/>
  <c r="H47" i="5"/>
  <c r="E59" i="5"/>
  <c r="G25" i="5"/>
  <c r="E116" i="5"/>
  <c r="H79" i="5"/>
  <c r="G77" i="5"/>
  <c r="H37" i="5"/>
  <c r="F69" i="5"/>
  <c r="M15" i="4"/>
  <c r="E94" i="5"/>
  <c r="G110" i="5"/>
  <c r="G86" i="5"/>
  <c r="G78" i="5"/>
  <c r="I38" i="5"/>
  <c r="I81" i="5"/>
  <c r="E34" i="5"/>
  <c r="E52" i="5"/>
  <c r="G120" i="5"/>
  <c r="E124" i="5"/>
  <c r="G5" i="5"/>
  <c r="I27" i="5"/>
  <c r="G100" i="5"/>
  <c r="H35" i="5"/>
  <c r="F67" i="5"/>
  <c r="M40" i="4"/>
  <c r="N41" i="4"/>
  <c r="F55" i="5"/>
  <c r="E6" i="5"/>
  <c r="M45" i="4"/>
  <c r="F46" i="5"/>
  <c r="N45" i="4"/>
  <c r="E18" i="5"/>
  <c r="G41" i="5"/>
  <c r="E65" i="5"/>
  <c r="F122" i="5"/>
  <c r="G98" i="5"/>
  <c r="I74" i="5"/>
  <c r="I82" i="5"/>
  <c r="F99" i="5"/>
  <c r="F92" i="5"/>
  <c r="E11" i="5"/>
  <c r="E107" i="5"/>
  <c r="H53" i="5"/>
  <c r="I78" i="5"/>
  <c r="F81" i="5"/>
  <c r="M43" i="4"/>
  <c r="I29" i="5"/>
  <c r="F51" i="5"/>
  <c r="G47" i="5"/>
  <c r="G117" i="5"/>
  <c r="F44" i="5"/>
  <c r="I120" i="5"/>
  <c r="H111" i="5"/>
  <c r="I36" i="5"/>
  <c r="N19" i="4"/>
  <c r="F5" i="5"/>
  <c r="E45" i="5"/>
  <c r="E60" i="5"/>
  <c r="H101" i="5"/>
  <c r="N44" i="4"/>
  <c r="M38" i="4"/>
  <c r="G49" i="5"/>
  <c r="I45" i="5"/>
  <c r="N27" i="4"/>
  <c r="E48" i="5"/>
  <c r="G70" i="5"/>
  <c r="M16" i="4"/>
  <c r="E50" i="5"/>
  <c r="F94" i="5"/>
  <c r="I98" i="5"/>
  <c r="E13" i="5"/>
  <c r="H23" i="5"/>
  <c r="E117" i="5"/>
  <c r="H40" i="5"/>
  <c r="F83" i="5"/>
  <c r="G31" i="5"/>
  <c r="N21" i="4"/>
  <c r="F60" i="5"/>
  <c r="N37" i="4"/>
  <c r="E15" i="5"/>
  <c r="E123" i="5"/>
  <c r="N53" i="4"/>
  <c r="G68" i="5"/>
  <c r="G104" i="5"/>
  <c r="F39" i="5"/>
  <c r="G99" i="5"/>
  <c r="E106" i="5"/>
  <c r="I69" i="5"/>
  <c r="I24" i="5"/>
  <c r="N17" i="4"/>
  <c r="I70" i="5"/>
  <c r="E92" i="5"/>
  <c r="E84" i="5"/>
  <c r="R98" i="13"/>
  <c r="E64" i="5"/>
  <c r="I67" i="5"/>
  <c r="F91" i="5"/>
  <c r="M18" i="4"/>
  <c r="N30" i="4"/>
  <c r="G11" i="5"/>
  <c r="H68" i="5"/>
  <c r="G119" i="5"/>
  <c r="I42" i="5"/>
  <c r="E16" i="5"/>
  <c r="I49" i="5"/>
  <c r="M27" i="4"/>
  <c r="H29" i="5"/>
  <c r="R104" i="13"/>
  <c r="F76" i="5"/>
  <c r="G101" i="5"/>
  <c r="F10" i="5"/>
  <c r="H66" i="5"/>
  <c r="H118" i="5"/>
  <c r="R107" i="13"/>
  <c r="H56" i="5"/>
  <c r="R95" i="13"/>
  <c r="G115" i="5"/>
  <c r="F102" i="5"/>
  <c r="H75" i="5"/>
  <c r="N29" i="4"/>
  <c r="H125" i="5"/>
  <c r="E96" i="5"/>
  <c r="F120" i="5"/>
  <c r="E62" i="5"/>
  <c r="E88" i="5"/>
  <c r="E77" i="5"/>
  <c r="F42" i="5"/>
  <c r="G9" i="5"/>
  <c r="F45" i="5"/>
  <c r="H91" i="5"/>
  <c r="G10" i="5"/>
  <c r="E91" i="5"/>
  <c r="G94" i="5"/>
  <c r="F11" i="5"/>
  <c r="H59" i="5"/>
  <c r="F78" i="5"/>
  <c r="E112" i="5"/>
  <c r="F26" i="5"/>
  <c r="S106" i="13"/>
  <c r="S102" i="13"/>
  <c r="M63" i="13" a="1"/>
  <c r="S93" i="13"/>
  <c r="S95" i="13"/>
  <c r="S94" i="13"/>
  <c r="S91" i="13"/>
  <c r="S90" i="13"/>
  <c r="S104" i="13"/>
  <c r="S97" i="13"/>
  <c r="C28" i="6"/>
  <c r="S92" i="13"/>
  <c r="S107" i="13"/>
  <c r="M27" i="13" a="1"/>
  <c r="S108" i="13"/>
  <c r="S98" i="13"/>
  <c r="S109" i="13"/>
  <c r="S96" i="13"/>
  <c r="S105" i="13"/>
  <c r="X26" i="13"/>
  <c r="S100" i="13"/>
  <c r="S103" i="13"/>
  <c r="X27" i="13"/>
  <c r="M68" i="13" l="1"/>
  <c r="M69" i="13"/>
  <c r="M63" i="13"/>
  <c r="M67" i="13"/>
  <c r="M66" i="13"/>
  <c r="M64" i="13"/>
  <c r="M65" i="13"/>
  <c r="M70" i="13"/>
  <c r="M60" i="13"/>
  <c r="M30" i="13"/>
  <c r="M28" i="13"/>
  <c r="M57" i="13"/>
  <c r="M49" i="13"/>
  <c r="M40" i="13"/>
  <c r="M39" i="13"/>
  <c r="M50" i="13"/>
  <c r="M35" i="13"/>
  <c r="M53" i="13"/>
  <c r="M51" i="13"/>
  <c r="M43" i="13"/>
  <c r="M54" i="13"/>
  <c r="M31" i="13"/>
  <c r="M52" i="13"/>
  <c r="M27" i="13"/>
  <c r="M59" i="13"/>
  <c r="M32" i="13"/>
  <c r="M37" i="13"/>
  <c r="M29" i="13"/>
  <c r="M33" i="13"/>
  <c r="M38" i="13"/>
  <c r="M58" i="13"/>
  <c r="M48" i="13"/>
  <c r="M55" i="13"/>
  <c r="M46" i="13"/>
  <c r="M41" i="13"/>
  <c r="M45" i="13"/>
  <c r="M44" i="13"/>
  <c r="M34" i="13"/>
  <c r="M42" i="13"/>
  <c r="M36" i="13"/>
  <c r="M56" i="13"/>
  <c r="M47" i="13"/>
  <c r="U27" i="13" a="1"/>
  <c r="S101" i="13"/>
  <c r="P63" i="13"/>
  <c r="N58" i="13"/>
  <c r="N37" i="13"/>
  <c r="O70" i="13"/>
  <c r="N57" i="13"/>
  <c r="P27" i="13"/>
  <c r="P28" i="13"/>
  <c r="N36" i="13"/>
  <c r="P54" i="13"/>
  <c r="P41" i="13"/>
  <c r="O32" i="13"/>
  <c r="P32" i="13"/>
  <c r="N34" i="13"/>
  <c r="O54" i="13"/>
  <c r="P60" i="13"/>
  <c r="N48" i="13"/>
  <c r="P48" i="13"/>
  <c r="P70" i="13"/>
  <c r="N59" i="13"/>
  <c r="P65" i="13"/>
  <c r="N51" i="13"/>
  <c r="N29" i="13"/>
  <c r="P56" i="13"/>
  <c r="N27" i="13"/>
  <c r="P29" i="13"/>
  <c r="O49" i="13"/>
  <c r="N56" i="13"/>
  <c r="O36" i="13"/>
  <c r="O56" i="13"/>
  <c r="O50" i="13"/>
  <c r="N43" i="13"/>
  <c r="N33" i="13"/>
  <c r="N49" i="13"/>
  <c r="N50" i="13"/>
  <c r="P67" i="13"/>
  <c r="N60" i="13"/>
  <c r="N55" i="13"/>
  <c r="O30" i="13"/>
  <c r="O40" i="13"/>
  <c r="P44" i="13"/>
  <c r="N68" i="13"/>
  <c r="N66" i="13"/>
  <c r="O33" i="13"/>
  <c r="P30" i="13"/>
  <c r="O46" i="13"/>
  <c r="P35" i="13"/>
  <c r="N28" i="13"/>
  <c r="N65" i="13"/>
  <c r="N30" i="13"/>
  <c r="P46" i="13"/>
  <c r="O28" i="13"/>
  <c r="N53" i="13"/>
  <c r="O41" i="13"/>
  <c r="O53" i="13"/>
  <c r="N38" i="13"/>
  <c r="O38" i="13"/>
  <c r="O37" i="13"/>
  <c r="O58" i="13"/>
  <c r="N39" i="13"/>
  <c r="O44" i="13"/>
  <c r="N67" i="13"/>
  <c r="P37" i="13"/>
  <c r="N70" i="13"/>
  <c r="O57" i="13"/>
  <c r="P36" i="13"/>
  <c r="N45" i="13"/>
  <c r="O39" i="13"/>
  <c r="N41" i="13"/>
  <c r="P68" i="13"/>
  <c r="N31" i="13"/>
  <c r="N54" i="13"/>
  <c r="N47" i="13"/>
  <c r="P51" i="13"/>
  <c r="N42" i="13"/>
  <c r="O59" i="13"/>
  <c r="P31" i="13"/>
  <c r="P69" i="13"/>
  <c r="O67" i="13"/>
  <c r="O29" i="13"/>
  <c r="N35" i="13"/>
  <c r="P49" i="13"/>
  <c r="P57" i="13"/>
  <c r="D14" i="6"/>
  <c r="O51" i="13"/>
  <c r="O52" i="13"/>
  <c r="N63" i="13"/>
  <c r="P98" i="13"/>
  <c r="P79" i="13"/>
  <c r="O35" i="13"/>
  <c r="N44" i="13"/>
  <c r="O45" i="13"/>
  <c r="P39" i="13"/>
  <c r="O43" i="13"/>
  <c r="P88" i="13"/>
  <c r="P92" i="13"/>
  <c r="P74" i="13"/>
  <c r="P66" i="13"/>
  <c r="P33" i="13"/>
  <c r="O68" i="13"/>
  <c r="O47" i="13"/>
  <c r="P90" i="13"/>
  <c r="P40" i="13"/>
  <c r="P80" i="13"/>
  <c r="X28" i="13"/>
  <c r="O48" i="13"/>
  <c r="O66" i="13"/>
  <c r="P106" i="13"/>
  <c r="P81" i="13"/>
  <c r="P55" i="13"/>
  <c r="N40" i="13"/>
  <c r="O34" i="13"/>
  <c r="P34" i="13"/>
  <c r="O69" i="13"/>
  <c r="N64" i="13"/>
  <c r="P76" i="13"/>
  <c r="P53" i="13"/>
  <c r="O31" i="13"/>
  <c r="AA17" i="13"/>
  <c r="O64" i="13"/>
  <c r="P38" i="13"/>
  <c r="O65" i="13"/>
  <c r="P42" i="13"/>
  <c r="O60" i="13"/>
  <c r="P45" i="13"/>
  <c r="N52" i="13"/>
  <c r="P59" i="13"/>
  <c r="P103" i="13"/>
  <c r="P82" i="13"/>
  <c r="N32" i="13"/>
  <c r="P58" i="13"/>
  <c r="N46" i="13"/>
  <c r="N69" i="13"/>
  <c r="P86" i="13"/>
  <c r="P50" i="13"/>
  <c r="O42" i="13"/>
  <c r="P85" i="13"/>
  <c r="P105" i="13"/>
  <c r="P64" i="13"/>
  <c r="O27" i="13"/>
  <c r="P52" i="13"/>
  <c r="O63" i="13"/>
  <c r="O55" i="13"/>
  <c r="P47" i="13"/>
  <c r="P43" i="13"/>
  <c r="D30" i="6"/>
  <c r="P77" i="13"/>
  <c r="P108" i="13"/>
  <c r="P89" i="13"/>
  <c r="P75" i="13"/>
  <c r="J23" i="13"/>
  <c r="C27" i="6"/>
  <c r="P95" i="13"/>
  <c r="P102" i="13"/>
  <c r="P78" i="13"/>
  <c r="P93" i="13"/>
  <c r="P87" i="13"/>
  <c r="P84" i="13"/>
  <c r="P104" i="13"/>
  <c r="J1" i="5" a="1"/>
  <c r="D15" i="6"/>
  <c r="P107" i="13"/>
  <c r="P83" i="13"/>
  <c r="P99" i="13"/>
  <c r="P73" i="13"/>
  <c r="P100" i="13"/>
  <c r="P101" i="13"/>
  <c r="P109" i="13"/>
  <c r="P97" i="13"/>
  <c r="P91" i="13"/>
  <c r="P96" i="13"/>
  <c r="D31" i="6"/>
  <c r="P94" i="13"/>
  <c r="Z17" i="13"/>
  <c r="Y27" i="13"/>
  <c r="Y23" i="13"/>
  <c r="R88" i="13"/>
  <c r="R27" i="13"/>
  <c r="R85" i="13"/>
  <c r="Y25" i="13"/>
  <c r="R49" i="13"/>
  <c r="R87" i="13"/>
  <c r="R50" i="13"/>
  <c r="R78" i="13"/>
  <c r="Y19" i="13"/>
  <c r="R76" i="13"/>
  <c r="R75" i="13"/>
  <c r="R31" i="13"/>
  <c r="R40" i="13"/>
  <c r="R81" i="13"/>
  <c r="R63" i="13"/>
  <c r="R22" i="13"/>
  <c r="Y21" i="13"/>
  <c r="R74" i="13"/>
  <c r="R21" i="13"/>
  <c r="R30" i="13"/>
  <c r="R39" i="13"/>
  <c r="R24" i="13"/>
  <c r="R43" i="13"/>
  <c r="Y22" i="13"/>
  <c r="R77" i="13"/>
  <c r="R79" i="13"/>
  <c r="R73" i="13"/>
  <c r="R86" i="13"/>
  <c r="R82" i="13"/>
  <c r="R20" i="13"/>
  <c r="R89" i="13"/>
  <c r="R51" i="13"/>
  <c r="R84" i="13"/>
  <c r="Y20" i="13"/>
  <c r="Y28" i="13"/>
  <c r="Y24" i="13"/>
  <c r="Y26" i="13"/>
  <c r="R19" i="13"/>
  <c r="R80" i="13"/>
  <c r="R83" i="13"/>
  <c r="R23" i="13"/>
  <c r="E10" i="13" l="1"/>
  <c r="E16" i="13"/>
  <c r="E15" i="13"/>
  <c r="E11" i="13"/>
  <c r="E7" i="13"/>
  <c r="E4" i="13"/>
  <c r="E5" i="13"/>
  <c r="E13" i="13"/>
  <c r="E14" i="13"/>
  <c r="E8" i="13"/>
  <c r="E3" i="13"/>
  <c r="E9" i="13"/>
  <c r="E6" i="13"/>
  <c r="E12" i="13"/>
  <c r="T99" i="13"/>
  <c r="T97" i="13"/>
  <c r="T107" i="13"/>
  <c r="T103" i="13"/>
  <c r="T105" i="13"/>
  <c r="T94" i="13"/>
  <c r="T108" i="13"/>
  <c r="T92" i="13"/>
  <c r="J109" i="5"/>
  <c r="J70" i="5"/>
  <c r="J47" i="5"/>
  <c r="J120" i="5"/>
  <c r="J33" i="5"/>
  <c r="J65" i="5"/>
  <c r="J102" i="5"/>
  <c r="J23" i="5"/>
  <c r="J45" i="5"/>
  <c r="J41" i="5"/>
  <c r="J42" i="5"/>
  <c r="J86" i="5"/>
  <c r="J97" i="5"/>
  <c r="J36" i="5"/>
  <c r="J61" i="5"/>
  <c r="J108" i="5"/>
  <c r="J83" i="5"/>
  <c r="J20" i="5"/>
  <c r="J103" i="5"/>
  <c r="J113" i="5"/>
  <c r="J59" i="5"/>
  <c r="J46" i="5"/>
  <c r="J98" i="5"/>
  <c r="J76" i="5"/>
  <c r="J89" i="5"/>
  <c r="J91" i="5"/>
  <c r="J84" i="5"/>
  <c r="J104" i="5"/>
  <c r="J50" i="5"/>
  <c r="J96" i="5"/>
  <c r="J60" i="5"/>
  <c r="J6" i="5"/>
  <c r="J37" i="5"/>
  <c r="J43" i="5"/>
  <c r="J71" i="5"/>
  <c r="J77" i="5"/>
  <c r="J121" i="5"/>
  <c r="J110" i="5"/>
  <c r="J27" i="5"/>
  <c r="J8" i="5"/>
  <c r="J79" i="5"/>
  <c r="J7" i="5"/>
  <c r="J78" i="5"/>
  <c r="J107" i="5"/>
  <c r="J18" i="5"/>
  <c r="J3" i="5"/>
  <c r="J26" i="5"/>
  <c r="J126" i="5"/>
  <c r="J72" i="5"/>
  <c r="J81" i="5"/>
  <c r="J1" i="5"/>
  <c r="J14" i="5"/>
  <c r="J73" i="5"/>
  <c r="J32" i="5"/>
  <c r="J88" i="5"/>
  <c r="J15" i="5"/>
  <c r="J52" i="5"/>
  <c r="J12" i="5"/>
  <c r="J5" i="5"/>
  <c r="J82" i="5"/>
  <c r="J117" i="5"/>
  <c r="J29" i="5"/>
  <c r="J24" i="5"/>
  <c r="J122" i="5"/>
  <c r="J93" i="5"/>
  <c r="J54" i="5"/>
  <c r="J62" i="5"/>
  <c r="J118" i="5"/>
  <c r="J64" i="5"/>
  <c r="J125" i="5"/>
  <c r="J87" i="5"/>
  <c r="J9" i="5"/>
  <c r="J28" i="5"/>
  <c r="J85" i="5"/>
  <c r="J35" i="5"/>
  <c r="J11" i="5"/>
  <c r="J51" i="5"/>
  <c r="J116" i="5"/>
  <c r="J119" i="5"/>
  <c r="J69" i="5"/>
  <c r="J17" i="5"/>
  <c r="J4" i="5"/>
  <c r="J48" i="5"/>
  <c r="J99" i="5"/>
  <c r="J90" i="5"/>
  <c r="J111" i="5"/>
  <c r="J56" i="5"/>
  <c r="J21" i="5"/>
  <c r="J10" i="5"/>
  <c r="J106" i="5"/>
  <c r="J39" i="5"/>
  <c r="J40" i="5"/>
  <c r="J49" i="5"/>
  <c r="J58" i="5"/>
  <c r="J123" i="5"/>
  <c r="J16" i="5"/>
  <c r="J92" i="5"/>
  <c r="J13" i="5"/>
  <c r="J100" i="5"/>
  <c r="J22" i="5"/>
  <c r="J57" i="5"/>
  <c r="J114" i="5"/>
  <c r="J66" i="5"/>
  <c r="J44" i="5"/>
  <c r="J68" i="5"/>
  <c r="J2" i="5"/>
  <c r="J55" i="5"/>
  <c r="J38" i="5"/>
  <c r="J74" i="5"/>
  <c r="J75" i="5"/>
  <c r="J30" i="5"/>
  <c r="J94" i="5"/>
  <c r="J115" i="5"/>
  <c r="J80" i="5"/>
  <c r="J31" i="5"/>
  <c r="J112" i="5"/>
  <c r="J53" i="5"/>
  <c r="J95" i="5"/>
  <c r="J63" i="5"/>
  <c r="J25" i="5"/>
  <c r="J19" i="5"/>
  <c r="J105" i="5"/>
  <c r="J34" i="5"/>
  <c r="J67" i="5"/>
  <c r="J124" i="5"/>
  <c r="J101" i="5"/>
  <c r="T100" i="13"/>
  <c r="T95" i="13"/>
  <c r="T90" i="13"/>
  <c r="T104" i="13"/>
  <c r="T98" i="13"/>
  <c r="T91" i="13"/>
  <c r="T93" i="13"/>
  <c r="T101" i="13"/>
  <c r="T109" i="13"/>
  <c r="T96" i="13"/>
  <c r="T106" i="13"/>
  <c r="T102" i="13"/>
  <c r="X29" i="13"/>
  <c r="Y29" i="13" s="1"/>
  <c r="R46" i="13"/>
  <c r="S82" i="13"/>
  <c r="S86" i="13"/>
  <c r="S20" i="13"/>
  <c r="S85" i="13"/>
  <c r="S21" i="13"/>
  <c r="S80" i="13"/>
  <c r="S22" i="13"/>
  <c r="R52" i="13"/>
  <c r="S51" i="13"/>
  <c r="S87" i="13"/>
  <c r="D29" i="6"/>
  <c r="S88" i="13"/>
  <c r="S77" i="13"/>
  <c r="X30" i="13"/>
  <c r="S79" i="13"/>
  <c r="S81" i="13"/>
  <c r="S78" i="13"/>
  <c r="S24" i="13"/>
  <c r="S76" i="13"/>
  <c r="S75" i="13"/>
  <c r="R48" i="13"/>
  <c r="S84" i="13"/>
  <c r="S73" i="13"/>
  <c r="S74" i="13"/>
  <c r="S63" i="13"/>
  <c r="S23" i="13"/>
  <c r="S89" i="13"/>
  <c r="S40" i="13"/>
  <c r="S19" i="13"/>
  <c r="S83" i="13"/>
  <c r="T76" i="13" l="1"/>
  <c r="T83" i="13"/>
  <c r="T75" i="13"/>
  <c r="T63" i="13"/>
  <c r="T79" i="13"/>
  <c r="T78" i="13"/>
  <c r="T24" i="13"/>
  <c r="T88" i="13"/>
  <c r="T22" i="13"/>
  <c r="T19" i="13"/>
  <c r="T80" i="13"/>
  <c r="T87" i="13"/>
  <c r="T89" i="13"/>
  <c r="T84" i="13"/>
  <c r="T74" i="13"/>
  <c r="T86" i="13"/>
  <c r="T77" i="13"/>
  <c r="T82" i="13"/>
  <c r="T81" i="13"/>
  <c r="T23" i="13"/>
  <c r="T20" i="13"/>
  <c r="T73" i="13"/>
  <c r="T21" i="13"/>
  <c r="T85" i="13"/>
  <c r="Y30" i="13"/>
  <c r="T51" i="13"/>
  <c r="R57" i="13"/>
  <c r="T40" i="13"/>
  <c r="R29" i="13"/>
  <c r="U75" i="13" a="1"/>
  <c r="S43" i="13"/>
  <c r="S48" i="13"/>
  <c r="R38" i="13"/>
  <c r="S38" i="13" s="1"/>
  <c r="R34" i="13"/>
  <c r="S34" i="13" s="1"/>
  <c r="R64" i="13"/>
  <c r="X31" i="13"/>
  <c r="U75" i="13" l="1"/>
  <c r="U19" i="13"/>
  <c r="Y31" i="13"/>
  <c r="S39" i="13"/>
  <c r="R69" i="13"/>
  <c r="S29" i="13"/>
  <c r="R68" i="13"/>
  <c r="R54" i="13"/>
  <c r="S57" i="13"/>
  <c r="R44" i="13"/>
  <c r="R67" i="13"/>
  <c r="S49" i="13"/>
  <c r="R41" i="13"/>
  <c r="R47" i="13"/>
  <c r="R55" i="13"/>
  <c r="R58" i="13"/>
  <c r="S50" i="13"/>
  <c r="R60" i="13"/>
  <c r="S52" i="13"/>
  <c r="R32" i="13"/>
  <c r="R37" i="13"/>
  <c r="R45" i="13"/>
  <c r="T43" i="13"/>
  <c r="S45" i="13"/>
  <c r="R59" i="13"/>
  <c r="S59" i="13" s="1"/>
  <c r="R42" i="13"/>
  <c r="R56" i="13"/>
  <c r="S56" i="13" s="1"/>
  <c r="R33" i="13"/>
  <c r="R65" i="13"/>
  <c r="R53" i="13"/>
  <c r="S64" i="13"/>
  <c r="S47" i="13"/>
  <c r="X32" i="13"/>
  <c r="R35" i="13"/>
  <c r="S31" i="13"/>
  <c r="R66" i="13"/>
  <c r="S66" i="13" s="1"/>
  <c r="T34" i="13"/>
  <c r="R36" i="13"/>
  <c r="S36" i="13" s="1"/>
  <c r="S27" i="13"/>
  <c r="R28" i="13"/>
  <c r="S58" i="13"/>
  <c r="R70" i="13"/>
  <c r="S30" i="13"/>
  <c r="T48" i="13"/>
  <c r="T38" i="13"/>
  <c r="S46" i="13"/>
  <c r="T64" i="13" l="1"/>
  <c r="T66" i="13"/>
  <c r="S33" i="13"/>
  <c r="S35" i="13"/>
  <c r="S69" i="13"/>
  <c r="T49" i="13"/>
  <c r="T39" i="13"/>
  <c r="T29" i="13"/>
  <c r="T50" i="13"/>
  <c r="S37" i="13"/>
  <c r="S32" i="13"/>
  <c r="S60" i="13"/>
  <c r="T57" i="13"/>
  <c r="S55" i="13"/>
  <c r="T56" i="13"/>
  <c r="T59" i="13"/>
  <c r="X33" i="13"/>
  <c r="S67" i="13"/>
  <c r="S41" i="13"/>
  <c r="T46" i="13"/>
  <c r="T30" i="13"/>
  <c r="S54" i="13"/>
  <c r="T45" i="13"/>
  <c r="S44" i="13"/>
  <c r="T58" i="13"/>
  <c r="T36" i="13"/>
  <c r="S68" i="13"/>
  <c r="T31" i="13"/>
  <c r="S65" i="13"/>
  <c r="T27" i="13"/>
  <c r="S28" i="13"/>
  <c r="T47" i="13"/>
  <c r="S53" i="13"/>
  <c r="Y32" i="13"/>
  <c r="S70" i="13"/>
  <c r="T52" i="13"/>
  <c r="S42" i="13"/>
  <c r="T68" i="13" l="1"/>
  <c r="T67" i="13"/>
  <c r="T69" i="13"/>
  <c r="T70" i="13"/>
  <c r="T65" i="13"/>
  <c r="T42" i="13"/>
  <c r="T55" i="13"/>
  <c r="T54" i="13"/>
  <c r="T41" i="13"/>
  <c r="Y33" i="13"/>
  <c r="T28" i="13"/>
  <c r="X34" i="13"/>
  <c r="X35" i="13" s="1"/>
  <c r="D28" i="6"/>
  <c r="T37" i="13"/>
  <c r="T32" i="13"/>
  <c r="D27" i="6"/>
  <c r="T33" i="13"/>
  <c r="T44" i="13"/>
  <c r="T53" i="13"/>
  <c r="T60" i="13"/>
  <c r="T35" i="13"/>
  <c r="U63" i="13" a="1"/>
  <c r="Y34" i="13"/>
  <c r="Y35" i="13"/>
  <c r="X36" i="13"/>
  <c r="Y36" i="13"/>
  <c r="X37" i="13"/>
  <c r="X38" i="13"/>
  <c r="Y37" i="13"/>
  <c r="Y38" i="13"/>
  <c r="X39" i="13"/>
  <c r="Y39" i="13"/>
  <c r="X40" i="13"/>
  <c r="Y40" i="13"/>
  <c r="X41" i="13"/>
  <c r="X42" i="13"/>
  <c r="Y41" i="13"/>
  <c r="Y42" i="13"/>
  <c r="X43" i="13"/>
  <c r="Y43" i="13"/>
  <c r="X44" i="13"/>
  <c r="Y44" i="13"/>
  <c r="X45" i="13"/>
  <c r="X46" i="13" s="1"/>
  <c r="Y46" i="13"/>
  <c r="X47" i="13"/>
  <c r="X48" i="13"/>
  <c r="Y47" i="13"/>
  <c r="Y48" i="13"/>
  <c r="X49" i="13"/>
  <c r="Y49" i="13"/>
  <c r="X50" i="13"/>
  <c r="Y50" i="13"/>
  <c r="X51" i="13"/>
  <c r="X52" i="13"/>
  <c r="Y51" i="13"/>
  <c r="Y52" i="13"/>
  <c r="X53" i="13"/>
  <c r="Y53" i="13"/>
  <c r="X54" i="13"/>
  <c r="X55" i="13"/>
  <c r="Y54" i="13"/>
  <c r="X56" i="13"/>
  <c r="Y55" i="13"/>
  <c r="X57" i="13"/>
  <c r="Y56" i="13"/>
  <c r="Y57" i="13"/>
  <c r="X58" i="13"/>
  <c r="Y58" i="13"/>
  <c r="X59" i="13"/>
  <c r="X60" i="13"/>
  <c r="Y59" i="13"/>
  <c r="Y60" i="13"/>
  <c r="X61" i="13"/>
  <c r="Y61" i="13"/>
  <c r="X62" i="13"/>
  <c r="Y62" i="13"/>
  <c r="X63" i="13"/>
  <c r="X64" i="13"/>
  <c r="Y63" i="13"/>
  <c r="Y64" i="13"/>
  <c r="X65" i="13"/>
  <c r="Y65" i="13"/>
  <c r="X66" i="13"/>
  <c r="Y66" i="13"/>
  <c r="X67" i="13"/>
  <c r="X68" i="13"/>
  <c r="Y67" i="13"/>
  <c r="Y68" i="13"/>
  <c r="X69" i="13"/>
  <c r="Y69" i="13"/>
  <c r="X70" i="13"/>
  <c r="X71" i="13"/>
  <c r="Y70" i="13"/>
  <c r="X72" i="13"/>
  <c r="Y71" i="13"/>
  <c r="X73" i="13"/>
  <c r="Y72" i="13"/>
  <c r="Y73" i="13"/>
  <c r="X74" i="13"/>
  <c r="X75" i="13"/>
  <c r="Y74" i="13"/>
  <c r="X76" i="13"/>
  <c r="Y75" i="13"/>
  <c r="Y76" i="13"/>
  <c r="X77" i="13"/>
  <c r="X78" i="13"/>
  <c r="Y77" i="13"/>
  <c r="Y78" i="13"/>
  <c r="X79" i="13"/>
  <c r="X80" i="13"/>
  <c r="Y80" i="13" s="1"/>
  <c r="Y79" i="13"/>
  <c r="U27" i="13" l="1"/>
  <c r="U63" i="13"/>
  <c r="X81" i="13"/>
  <c r="Y45" i="13"/>
  <c r="X82" i="13"/>
  <c r="Y81" i="13"/>
  <c r="X83" i="13"/>
  <c r="Y82" i="13"/>
  <c r="X84" i="13"/>
  <c r="Y83" i="13"/>
  <c r="Y84" i="13"/>
  <c r="X85" i="13"/>
  <c r="Y85" i="13"/>
  <c r="X86" i="13"/>
  <c r="Y86" i="13"/>
  <c r="X87" i="13"/>
  <c r="X88" i="13"/>
  <c r="Y87" i="13"/>
  <c r="X89" i="13"/>
  <c r="Y88" i="13"/>
  <c r="Y89" i="13"/>
  <c r="X90" i="13"/>
  <c r="Y90" i="13"/>
  <c r="X91" i="13"/>
  <c r="X92" i="13"/>
  <c r="Y91" i="13"/>
  <c r="X93" i="13"/>
  <c r="Y92" i="13"/>
  <c r="Y93" i="13"/>
  <c r="X94" i="13"/>
  <c r="Y94" i="13"/>
  <c r="X95" i="13"/>
  <c r="X96" i="13"/>
  <c r="Y95" i="13"/>
  <c r="X97" i="13"/>
  <c r="Y96" i="13"/>
  <c r="Y97" i="13"/>
  <c r="X98" i="13"/>
  <c r="Y98" i="13"/>
  <c r="X99" i="13"/>
  <c r="X100" i="13"/>
  <c r="Y99" i="13"/>
  <c r="X101" i="13"/>
  <c r="Y100" i="13"/>
  <c r="Y101" i="13"/>
  <c r="X102" i="13"/>
  <c r="Y102" i="13"/>
  <c r="X103" i="13"/>
  <c r="X104" i="13"/>
  <c r="Y103" i="13"/>
  <c r="X105" i="13"/>
  <c r="Y104" i="13"/>
  <c r="Y105" i="13"/>
  <c r="X106" i="13"/>
  <c r="Y106" i="13"/>
  <c r="X107" i="13"/>
  <c r="X108" i="13"/>
  <c r="Y107" i="13"/>
  <c r="X109" i="13"/>
  <c r="Y108" i="13"/>
  <c r="Y109" i="13"/>
  <c r="X110" i="13"/>
  <c r="Y110" i="13"/>
  <c r="X111" i="13"/>
  <c r="X112" i="13"/>
  <c r="Y111" i="13"/>
  <c r="X113" i="13"/>
  <c r="Y112" i="13"/>
  <c r="Y113" i="13"/>
  <c r="X114" i="13"/>
  <c r="Y114" i="13"/>
  <c r="X115" i="13"/>
  <c r="X116" i="13"/>
  <c r="Y115" i="13"/>
  <c r="X117" i="13"/>
  <c r="Y116" i="13"/>
  <c r="Y117" i="13"/>
  <c r="X118" i="13"/>
  <c r="Y118" i="13"/>
  <c r="X119" i="13"/>
  <c r="X120" i="13"/>
  <c r="Y119" i="13"/>
  <c r="X121" i="13"/>
  <c r="Y120" i="13"/>
  <c r="Y121" i="13"/>
  <c r="X122" i="13"/>
  <c r="Y122" i="13"/>
  <c r="X123" i="13"/>
  <c r="X124" i="13"/>
  <c r="Y123" i="13"/>
  <c r="X125" i="13"/>
  <c r="Y124" i="13"/>
  <c r="Y125" i="13"/>
  <c r="X126" i="13"/>
  <c r="Y126" i="13"/>
  <c r="X127" i="13"/>
  <c r="X128" i="13"/>
  <c r="Y127" i="13"/>
  <c r="X129" i="13"/>
  <c r="Y128" i="13"/>
  <c r="Y129" i="13"/>
  <c r="X130" i="13"/>
  <c r="Y130" i="13"/>
  <c r="X131" i="13"/>
  <c r="X132" i="13"/>
  <c r="Y131" i="13"/>
  <c r="X133" i="13"/>
  <c r="Y132" i="13"/>
  <c r="Y133" i="13"/>
  <c r="X134" i="13"/>
  <c r="Y134" i="13"/>
  <c r="X135" i="13"/>
  <c r="X136" i="13"/>
  <c r="Y135" i="13"/>
  <c r="X137" i="13"/>
  <c r="Y136" i="13"/>
  <c r="Y137" i="13"/>
  <c r="X138" i="13"/>
  <c r="Y138" i="13"/>
  <c r="X139" i="13"/>
  <c r="X140" i="13"/>
  <c r="Y139" i="13"/>
  <c r="X141" i="13"/>
  <c r="Y140" i="13"/>
  <c r="Y141" i="13"/>
  <c r="X142" i="13"/>
  <c r="Y142" i="13"/>
  <c r="X143" i="13"/>
  <c r="X144" i="13"/>
  <c r="Y143" i="13"/>
  <c r="X145" i="13"/>
  <c r="Y144" i="13"/>
  <c r="Y145" i="13"/>
  <c r="X146" i="13"/>
  <c r="Y146" i="13"/>
  <c r="X147" i="13"/>
  <c r="X148" i="13"/>
  <c r="Y147" i="13"/>
  <c r="X149" i="13"/>
  <c r="Y148" i="13"/>
  <c r="Y149" i="13"/>
  <c r="X150" i="13"/>
  <c r="Y150" i="13"/>
  <c r="X151" i="13"/>
  <c r="X152" i="13"/>
  <c r="Y151" i="13"/>
  <c r="X153" i="13"/>
  <c r="Y152" i="13"/>
  <c r="Y153" i="13"/>
  <c r="X154" i="13"/>
  <c r="Y154" i="13"/>
  <c r="X155" i="13"/>
  <c r="X156" i="13"/>
  <c r="Y155" i="13"/>
  <c r="X157" i="13"/>
  <c r="Y156" i="13"/>
  <c r="Y157" i="13"/>
  <c r="X158" i="13"/>
  <c r="Y158" i="13"/>
  <c r="X159" i="13"/>
  <c r="X160" i="13"/>
  <c r="Y159" i="13"/>
  <c r="X161" i="13"/>
  <c r="Y160" i="13"/>
  <c r="Y161" i="13"/>
  <c r="X162" i="13"/>
  <c r="Y162" i="13"/>
  <c r="X163" i="13"/>
  <c r="X164" i="13"/>
  <c r="Y163" i="13"/>
  <c r="X165" i="13"/>
  <c r="Y164" i="13"/>
  <c r="Y165" i="13"/>
  <c r="X166" i="13"/>
  <c r="Y166" i="13"/>
  <c r="X167" i="13"/>
  <c r="X168" i="13"/>
  <c r="Y167" i="13"/>
  <c r="X169" i="13"/>
  <c r="Y168" i="13"/>
  <c r="Y169" i="13"/>
  <c r="X170" i="13"/>
  <c r="Y170" i="13"/>
  <c r="X171" i="13"/>
  <c r="X172" i="13"/>
  <c r="Y171" i="13"/>
  <c r="X173" i="13"/>
  <c r="Y172" i="13"/>
  <c r="Y173" i="13"/>
  <c r="X174" i="13"/>
  <c r="Y174" i="13"/>
  <c r="X175" i="13"/>
  <c r="X176" i="13"/>
  <c r="Y175" i="13"/>
  <c r="X177" i="13"/>
  <c r="Y176" i="13"/>
  <c r="Y177" i="13"/>
  <c r="X178" i="13"/>
  <c r="Y178" i="13"/>
  <c r="X179" i="13"/>
  <c r="X180" i="13"/>
  <c r="Y179" i="13"/>
  <c r="X181" i="13"/>
  <c r="Y180" i="13"/>
  <c r="Y181" i="13"/>
  <c r="X182" i="13"/>
  <c r="Y182" i="13"/>
  <c r="X183" i="13"/>
  <c r="X184" i="13"/>
  <c r="Y183" i="13"/>
  <c r="X185" i="13"/>
  <c r="Y184" i="13"/>
  <c r="X186" i="13"/>
  <c r="Y185" i="13"/>
  <c r="Y186" i="13"/>
  <c r="X187" i="13"/>
  <c r="X188" i="13"/>
  <c r="Y187" i="13"/>
  <c r="X189" i="13"/>
  <c r="Y188" i="13"/>
  <c r="X190" i="13"/>
  <c r="Y189" i="13"/>
  <c r="Y190" i="13"/>
  <c r="X191" i="13"/>
  <c r="X192" i="13"/>
  <c r="Y191" i="13"/>
  <c r="X193" i="13"/>
  <c r="Y192" i="13"/>
  <c r="X194" i="13"/>
  <c r="Y193" i="13"/>
  <c r="Y194" i="13"/>
  <c r="X195" i="13"/>
  <c r="X196" i="13"/>
  <c r="Y195" i="13"/>
  <c r="X197" i="13"/>
  <c r="Y196" i="13"/>
  <c r="X198" i="13"/>
  <c r="Y197" i="13"/>
  <c r="Y198" i="13"/>
  <c r="X199" i="13"/>
  <c r="X200" i="13"/>
  <c r="Y199" i="13"/>
  <c r="X201" i="13"/>
  <c r="Y200" i="13"/>
  <c r="X202" i="13"/>
  <c r="Y201" i="13"/>
  <c r="Y202" i="13"/>
  <c r="X203" i="13"/>
  <c r="X204" i="13"/>
  <c r="Y203" i="13"/>
  <c r="X205" i="13"/>
  <c r="Y204" i="13"/>
  <c r="Y205" i="13"/>
  <c r="X206" i="13"/>
  <c r="Y206" i="13"/>
  <c r="X207" i="13"/>
  <c r="X208" i="13"/>
  <c r="Y207" i="13"/>
  <c r="X209" i="13"/>
  <c r="Y208" i="13"/>
  <c r="X210" i="13"/>
  <c r="Y209" i="13"/>
  <c r="Y210" i="13"/>
  <c r="X211" i="13"/>
  <c r="X212" i="13"/>
  <c r="Y211" i="13"/>
  <c r="X213" i="13"/>
  <c r="Y212" i="13"/>
  <c r="X214" i="13"/>
  <c r="Y213" i="13"/>
  <c r="Y214" i="13"/>
  <c r="X215" i="13"/>
  <c r="X216" i="13"/>
  <c r="Y215" i="13"/>
  <c r="X217" i="13"/>
  <c r="Y216" i="13"/>
  <c r="X218" i="13"/>
  <c r="Y217" i="13"/>
  <c r="Y218" i="13"/>
  <c r="X219" i="13"/>
  <c r="X220" i="13"/>
  <c r="Y219" i="13"/>
  <c r="X221" i="13"/>
  <c r="Y220" i="13"/>
  <c r="X222" i="13"/>
  <c r="Y221" i="13"/>
  <c r="Y222" i="13"/>
  <c r="X223" i="13"/>
  <c r="X224" i="13"/>
  <c r="Y223" i="13"/>
  <c r="X225" i="13"/>
  <c r="Y224" i="13"/>
  <c r="X226" i="13"/>
  <c r="Y225" i="13"/>
  <c r="Y226" i="13"/>
  <c r="X227" i="13"/>
  <c r="X228" i="13"/>
  <c r="Y227" i="13"/>
  <c r="X229" i="13"/>
  <c r="Y228" i="13"/>
  <c r="X230" i="13"/>
  <c r="Y229" i="13"/>
  <c r="Y230" i="13"/>
  <c r="X231" i="13"/>
  <c r="X232" i="13"/>
  <c r="Y231" i="13"/>
  <c r="X233" i="13"/>
  <c r="Y232" i="13"/>
  <c r="X234" i="13"/>
  <c r="Y233" i="13"/>
  <c r="Y234" i="13"/>
  <c r="X235" i="13"/>
  <c r="X236" i="13"/>
  <c r="Y235" i="13"/>
  <c r="X237" i="13"/>
  <c r="Y236" i="13"/>
  <c r="Y237" i="13"/>
  <c r="X238" i="13"/>
  <c r="Y238" i="13"/>
  <c r="X239" i="13"/>
  <c r="X240" i="13"/>
  <c r="Y239" i="13"/>
  <c r="X241" i="13"/>
  <c r="Y240" i="13"/>
  <c r="X242" i="13"/>
  <c r="Y241" i="13"/>
  <c r="Y242" i="13"/>
  <c r="X243" i="13"/>
  <c r="X244" i="13"/>
  <c r="Y243" i="13"/>
  <c r="X245" i="13"/>
  <c r="Y244" i="13"/>
  <c r="Y245" i="13"/>
  <c r="X246" i="13"/>
  <c r="Y246" i="13"/>
  <c r="X247" i="13"/>
  <c r="X248" i="13"/>
  <c r="Y247" i="13"/>
  <c r="X249" i="13"/>
  <c r="Y248" i="13"/>
  <c r="X250" i="13"/>
  <c r="Y249" i="13"/>
  <c r="Y250" i="13"/>
  <c r="X251" i="13"/>
  <c r="X252" i="13"/>
  <c r="Y251" i="13"/>
  <c r="X253" i="13"/>
  <c r="Y252" i="13"/>
  <c r="X254" i="13"/>
  <c r="Y253" i="13"/>
  <c r="Y254" i="13"/>
  <c r="X255" i="13"/>
  <c r="X256" i="13"/>
  <c r="Y255" i="13"/>
  <c r="X257" i="13"/>
  <c r="Y256" i="13"/>
  <c r="X258" i="13"/>
  <c r="Y257" i="13"/>
  <c r="Y258" i="13"/>
  <c r="X259" i="13"/>
  <c r="X260" i="13"/>
  <c r="Y259" i="13"/>
  <c r="X261" i="13"/>
  <c r="Y260" i="13"/>
  <c r="X262" i="13"/>
  <c r="Y261" i="13"/>
  <c r="Y262" i="13"/>
  <c r="X263" i="13"/>
  <c r="X264" i="13"/>
  <c r="Y263" i="13"/>
  <c r="X265" i="13"/>
  <c r="Y264" i="13"/>
  <c r="Y265" i="13"/>
  <c r="X266" i="13"/>
  <c r="Y266" i="13"/>
  <c r="X267" i="13"/>
  <c r="X268" i="13"/>
  <c r="Y267" i="13"/>
  <c r="X269" i="13"/>
  <c r="Y268" i="13"/>
  <c r="X270" i="13"/>
  <c r="Y269" i="13"/>
  <c r="Y270" i="13"/>
  <c r="X271" i="13"/>
  <c r="X272" i="13"/>
  <c r="Y271" i="13"/>
  <c r="X273" i="13"/>
  <c r="Y272" i="13"/>
  <c r="X274" i="13"/>
  <c r="Y273" i="13"/>
  <c r="Y274" i="13"/>
  <c r="X275" i="13"/>
  <c r="X276" i="13"/>
  <c r="Y275" i="13"/>
  <c r="X277" i="13"/>
  <c r="Y276" i="13"/>
  <c r="X278" i="13"/>
  <c r="Y277" i="13"/>
  <c r="Y278" i="13"/>
  <c r="X279" i="13"/>
  <c r="X280" i="13"/>
  <c r="Y279" i="13"/>
  <c r="X281" i="13"/>
  <c r="Y280" i="13"/>
  <c r="Y281" i="13"/>
  <c r="X282" i="13"/>
  <c r="Y282" i="13"/>
  <c r="X283" i="13"/>
  <c r="X284" i="13"/>
  <c r="Y283" i="13"/>
  <c r="X285" i="13"/>
  <c r="Y284" i="13"/>
  <c r="X286" i="13"/>
  <c r="Y285" i="13"/>
  <c r="Y286" i="13"/>
  <c r="X287" i="13"/>
  <c r="X288" i="13"/>
  <c r="Y287" i="13"/>
  <c r="X289" i="13"/>
  <c r="Y288" i="13"/>
  <c r="X290" i="13"/>
  <c r="Y289" i="13"/>
  <c r="Y290" i="13"/>
  <c r="X291" i="13"/>
  <c r="X292" i="13"/>
  <c r="Y291" i="13"/>
  <c r="X293" i="13"/>
  <c r="Y292" i="13"/>
  <c r="X294" i="13"/>
  <c r="Y293" i="13"/>
  <c r="Y294" i="13"/>
  <c r="X295" i="13"/>
  <c r="X296" i="13"/>
  <c r="Y295" i="13"/>
  <c r="X297" i="13"/>
  <c r="Y296" i="13"/>
  <c r="Y297" i="13"/>
  <c r="X298" i="13"/>
  <c r="Y298" i="13"/>
  <c r="X299" i="13"/>
  <c r="X300" i="13"/>
  <c r="Y299" i="13"/>
  <c r="X301" i="13"/>
  <c r="Y300" i="13"/>
  <c r="X302" i="13"/>
  <c r="Y301" i="13"/>
  <c r="Y302" i="13"/>
  <c r="X303" i="13"/>
  <c r="X304" i="13"/>
  <c r="Y303" i="13"/>
  <c r="X305" i="13"/>
  <c r="Y304" i="13"/>
  <c r="X306" i="13"/>
  <c r="Y305" i="13"/>
  <c r="Y306" i="13"/>
  <c r="X307" i="13"/>
  <c r="X308" i="13"/>
  <c r="Y307" i="13"/>
  <c r="X309" i="13"/>
  <c r="Y308" i="13"/>
  <c r="X310" i="13"/>
  <c r="Y309" i="13"/>
  <c r="Y310" i="13"/>
  <c r="X311" i="13"/>
  <c r="X312" i="13"/>
  <c r="Y311" i="13"/>
  <c r="X313" i="13"/>
  <c r="Y312" i="13"/>
  <c r="Y313" i="13"/>
  <c r="X314" i="13"/>
  <c r="Y314" i="13"/>
  <c r="X315" i="13"/>
  <c r="X316" i="13"/>
  <c r="Y315" i="13"/>
  <c r="X317" i="13"/>
  <c r="Y316" i="13"/>
  <c r="X318" i="13"/>
  <c r="Y317" i="13"/>
  <c r="Y318" i="13"/>
  <c r="X319" i="13"/>
  <c r="X320" i="13"/>
  <c r="Y319" i="13"/>
  <c r="X321" i="13"/>
  <c r="Y320" i="13"/>
  <c r="X322" i="13"/>
  <c r="Y321" i="13"/>
  <c r="Y322" i="13"/>
  <c r="X323" i="13"/>
  <c r="X324" i="13"/>
  <c r="Y323" i="13"/>
  <c r="X325" i="13"/>
  <c r="Y324" i="13"/>
  <c r="X326" i="13"/>
  <c r="Y325" i="13"/>
  <c r="Y326" i="13"/>
  <c r="X327" i="13"/>
  <c r="X328" i="13"/>
  <c r="Y327" i="13"/>
  <c r="X329" i="13"/>
  <c r="Y328" i="13"/>
  <c r="X330" i="13"/>
  <c r="Y329" i="13"/>
  <c r="Y330" i="13"/>
  <c r="X331" i="13"/>
  <c r="X332" i="13"/>
  <c r="Y331" i="13"/>
  <c r="X333" i="13"/>
  <c r="Y332" i="13"/>
  <c r="X334" i="13"/>
  <c r="Y333" i="13"/>
  <c r="Y334" i="13"/>
  <c r="X335" i="13"/>
  <c r="X336" i="13"/>
  <c r="Y335" i="13"/>
  <c r="X337" i="13"/>
  <c r="Y336" i="13"/>
  <c r="X338" i="13"/>
  <c r="Y337" i="13"/>
  <c r="Y338" i="13"/>
  <c r="X339" i="13"/>
  <c r="X340" i="13"/>
  <c r="Y339" i="13"/>
  <c r="X341" i="13"/>
  <c r="Y340" i="13"/>
  <c r="Y341" i="13"/>
  <c r="X342" i="13"/>
  <c r="Y342" i="13"/>
  <c r="X343" i="13"/>
  <c r="X344" i="13"/>
  <c r="Y343" i="13"/>
  <c r="X345" i="13"/>
  <c r="Y344" i="13"/>
  <c r="Y345" i="13"/>
  <c r="X346" i="13"/>
  <c r="Y346" i="13"/>
  <c r="X347" i="13"/>
  <c r="X348" i="13"/>
  <c r="Y347" i="13"/>
  <c r="X349" i="13"/>
  <c r="Y348" i="13"/>
  <c r="Y349" i="13"/>
  <c r="X350" i="13"/>
  <c r="Y350" i="13"/>
  <c r="X351" i="13"/>
  <c r="X352" i="13"/>
  <c r="Y351" i="13"/>
  <c r="Y352" i="13"/>
  <c r="X353" i="13"/>
  <c r="X354" i="13"/>
  <c r="Y353" i="13"/>
  <c r="Y354" i="13"/>
  <c r="X355" i="13"/>
  <c r="X356" i="13"/>
  <c r="Y355" i="13"/>
  <c r="Y356" i="13"/>
  <c r="X357" i="13"/>
  <c r="X358" i="13"/>
  <c r="Y357" i="13"/>
  <c r="Y358" i="13"/>
  <c r="X359" i="13"/>
  <c r="X360" i="13"/>
  <c r="Y359" i="13"/>
  <c r="X361" i="13"/>
  <c r="Y360" i="13"/>
  <c r="X362" i="13"/>
  <c r="Y361" i="13"/>
  <c r="Y362" i="13"/>
  <c r="X363" i="13"/>
  <c r="X364" i="13"/>
  <c r="Y363" i="13"/>
  <c r="X365" i="13"/>
  <c r="Y364" i="13"/>
  <c r="Y365" i="13"/>
  <c r="X366" i="13"/>
  <c r="Y366" i="13"/>
  <c r="X367" i="13"/>
  <c r="X368" i="13"/>
  <c r="Y367" i="13"/>
  <c r="X369" i="13"/>
  <c r="Y368" i="13"/>
  <c r="X370" i="13"/>
  <c r="Y369" i="13"/>
  <c r="Y370" i="13"/>
  <c r="X371" i="13"/>
  <c r="X372" i="13"/>
  <c r="Y371" i="13"/>
  <c r="Y372" i="13"/>
  <c r="X373" i="13"/>
  <c r="X374" i="13"/>
  <c r="Y373" i="13"/>
  <c r="Y374" i="13"/>
  <c r="X375" i="13"/>
  <c r="X376" i="13"/>
  <c r="Y375" i="13"/>
  <c r="X377" i="13"/>
  <c r="Y376" i="13"/>
  <c r="Y377" i="13"/>
  <c r="X378" i="13"/>
  <c r="Y378" i="13"/>
  <c r="X379" i="13"/>
  <c r="X380" i="13"/>
  <c r="Y379" i="13"/>
  <c r="X381" i="13"/>
  <c r="Y380" i="13"/>
  <c r="Y381" i="13"/>
  <c r="X382" i="13"/>
  <c r="Y382" i="13"/>
  <c r="X383" i="13"/>
  <c r="X384" i="13"/>
  <c r="Y383" i="13"/>
  <c r="Y384" i="13"/>
  <c r="X385" i="13"/>
  <c r="X386" i="13"/>
  <c r="Y385" i="13"/>
  <c r="Y386" i="13"/>
  <c r="X387" i="13"/>
  <c r="X388" i="13"/>
  <c r="Y387" i="13"/>
  <c r="X389" i="13"/>
  <c r="Y388" i="13"/>
  <c r="X390" i="13"/>
  <c r="Y389" i="13"/>
  <c r="Y390" i="13"/>
  <c r="X391" i="13"/>
  <c r="X392" i="13"/>
  <c r="Y391" i="13"/>
  <c r="X393" i="13"/>
  <c r="Y392" i="13"/>
  <c r="X394" i="13"/>
  <c r="Y393" i="13"/>
  <c r="Y394" i="13"/>
  <c r="X395" i="13"/>
  <c r="X396" i="13"/>
  <c r="Y395" i="13"/>
  <c r="X397" i="13"/>
  <c r="Y396" i="13"/>
  <c r="Y397" i="13"/>
  <c r="X398" i="13"/>
  <c r="Y398" i="13"/>
  <c r="X399" i="13"/>
  <c r="X400" i="13"/>
  <c r="Y399" i="13"/>
  <c r="X401" i="13"/>
  <c r="Y400" i="13"/>
  <c r="X402" i="13"/>
  <c r="Y401" i="13"/>
  <c r="Y402" i="13"/>
  <c r="X403" i="13"/>
  <c r="Y403" i="13"/>
  <c r="X404" i="13"/>
  <c r="Y404" i="13"/>
  <c r="X405" i="13"/>
  <c r="X406" i="13"/>
  <c r="Y405" i="13"/>
  <c r="Y406" i="13"/>
  <c r="X407" i="13"/>
  <c r="X408" i="13"/>
  <c r="Y407" i="13"/>
  <c r="X409" i="13"/>
  <c r="Y408" i="13"/>
  <c r="Y409" i="13"/>
  <c r="X410" i="13"/>
  <c r="Y410" i="13"/>
  <c r="X411" i="13"/>
  <c r="X412" i="13"/>
  <c r="Y411" i="13"/>
  <c r="Y412" i="13"/>
  <c r="X413" i="13"/>
  <c r="X414" i="13"/>
  <c r="Y413" i="13"/>
  <c r="Y414" i="13"/>
  <c r="X415" i="13"/>
  <c r="X416" i="13"/>
  <c r="Y415" i="13"/>
  <c r="Y416" i="13"/>
  <c r="X417" i="13"/>
  <c r="X418" i="13"/>
  <c r="Y417" i="13"/>
  <c r="Y418" i="13"/>
  <c r="X419" i="13"/>
  <c r="X420" i="13"/>
  <c r="Y419" i="13"/>
  <c r="X421" i="13"/>
  <c r="Y420" i="13"/>
  <c r="X422" i="13"/>
  <c r="Y421" i="13"/>
  <c r="Y422" i="13"/>
  <c r="X423" i="13"/>
  <c r="X424" i="13"/>
  <c r="Y423" i="13"/>
  <c r="X425" i="13"/>
  <c r="Y424" i="13"/>
  <c r="X426" i="13"/>
  <c r="Y425" i="13"/>
  <c r="Y426" i="13"/>
  <c r="X427" i="13"/>
  <c r="X428" i="13"/>
  <c r="Y427" i="13"/>
  <c r="X429" i="13"/>
  <c r="Y428" i="13"/>
  <c r="Y429" i="13"/>
  <c r="X430" i="13"/>
  <c r="Y430" i="13"/>
  <c r="X431" i="13"/>
  <c r="X432" i="13"/>
  <c r="Y431" i="13"/>
  <c r="X433" i="13"/>
  <c r="Y432" i="13"/>
  <c r="X434" i="13"/>
  <c r="Y433" i="13"/>
  <c r="Y434" i="13"/>
  <c r="X435" i="13"/>
  <c r="X436" i="13"/>
  <c r="Y435" i="13"/>
  <c r="Y436" i="13"/>
  <c r="X437" i="13"/>
  <c r="X438" i="13"/>
  <c r="Y437" i="13"/>
  <c r="Y438" i="13"/>
  <c r="X439" i="13"/>
  <c r="X440" i="13"/>
  <c r="Y439" i="13"/>
  <c r="X441" i="13"/>
  <c r="Y440" i="13"/>
  <c r="Y441" i="13"/>
  <c r="X442" i="13"/>
  <c r="Y442" i="13"/>
  <c r="X443" i="13"/>
  <c r="X444" i="13"/>
  <c r="Y443" i="13"/>
  <c r="X445" i="13"/>
  <c r="Y444" i="13"/>
  <c r="Y445" i="13"/>
  <c r="X446" i="13"/>
  <c r="Y446" i="13"/>
  <c r="X447" i="13"/>
  <c r="X448" i="13"/>
  <c r="Y447" i="13"/>
  <c r="Y448" i="13"/>
  <c r="X449" i="13"/>
  <c r="X450" i="13"/>
  <c r="Y449" i="13"/>
  <c r="Y450" i="13"/>
  <c r="X451" i="13"/>
  <c r="X452" i="13"/>
  <c r="Y451" i="13"/>
  <c r="X453" i="13"/>
  <c r="Y452" i="13"/>
  <c r="X454" i="13"/>
  <c r="Y453" i="13"/>
  <c r="Y454" i="13"/>
  <c r="X455" i="13"/>
  <c r="Y455" i="13"/>
  <c r="X456" i="13"/>
  <c r="X457" i="13"/>
  <c r="Y456" i="13"/>
  <c r="X458" i="13"/>
  <c r="Y457" i="13"/>
  <c r="Y458" i="13"/>
  <c r="X459" i="13"/>
  <c r="X460" i="13"/>
  <c r="Y459" i="13"/>
  <c r="X461" i="13"/>
  <c r="Y460" i="13"/>
  <c r="Y461" i="13"/>
  <c r="X462" i="13"/>
  <c r="Y462" i="13"/>
  <c r="X463" i="13"/>
  <c r="X464" i="13"/>
  <c r="Y463" i="13"/>
  <c r="X465" i="13"/>
  <c r="Y464" i="13"/>
  <c r="X466" i="13"/>
  <c r="Y465" i="13"/>
  <c r="Y466" i="13"/>
  <c r="X467" i="13"/>
  <c r="X468" i="13"/>
  <c r="Y467" i="13"/>
  <c r="Y468" i="13"/>
  <c r="X469" i="13"/>
  <c r="X470" i="13"/>
  <c r="Y469" i="13"/>
  <c r="Y470" i="13"/>
  <c r="X471" i="13"/>
  <c r="X472" i="13"/>
  <c r="Y471" i="13"/>
  <c r="X473" i="13"/>
  <c r="Y472" i="13"/>
  <c r="Y473" i="13"/>
  <c r="X474" i="13"/>
  <c r="X475" i="13"/>
  <c r="Y474" i="13"/>
  <c r="X476" i="13"/>
  <c r="Y475" i="13"/>
  <c r="X477" i="13"/>
  <c r="Y476" i="13"/>
  <c r="X478" i="13"/>
  <c r="Y477" i="13"/>
  <c r="Y478" i="13"/>
  <c r="X479" i="13"/>
  <c r="X480" i="13"/>
  <c r="Y479" i="13"/>
  <c r="X481" i="13"/>
  <c r="Y480" i="13"/>
  <c r="X482" i="13"/>
  <c r="Y481" i="13"/>
  <c r="X483" i="13"/>
  <c r="Y482" i="13"/>
  <c r="X484" i="13"/>
  <c r="Y483" i="13"/>
  <c r="Y484" i="13"/>
  <c r="X485" i="13"/>
  <c r="X486" i="13"/>
  <c r="Y485" i="13"/>
  <c r="X487" i="13"/>
  <c r="Y486" i="13"/>
  <c r="Y487" i="13"/>
  <c r="X488" i="13"/>
  <c r="Y488" i="13"/>
  <c r="X489" i="13"/>
  <c r="Y489" i="13"/>
  <c r="X490" i="13"/>
  <c r="X491" i="13"/>
  <c r="Y490" i="13"/>
  <c r="X492" i="13"/>
  <c r="Y491" i="13"/>
  <c r="X493" i="13"/>
  <c r="Y492" i="13"/>
  <c r="X494" i="13"/>
  <c r="Y493" i="13"/>
  <c r="Y494" i="13"/>
  <c r="X495" i="13"/>
  <c r="X496" i="13"/>
  <c r="Y495" i="13"/>
  <c r="X497" i="13"/>
  <c r="Y496" i="13"/>
  <c r="Y497" i="13"/>
  <c r="X498" i="13"/>
  <c r="X499" i="13"/>
  <c r="Y498" i="13"/>
  <c r="X500" i="13"/>
  <c r="Y499" i="13"/>
  <c r="Y500" i="13"/>
  <c r="X501" i="13"/>
  <c r="X502" i="13"/>
  <c r="Y501" i="13"/>
  <c r="X503" i="13"/>
  <c r="Y502" i="13"/>
  <c r="X504" i="13"/>
  <c r="Y503" i="13"/>
  <c r="X505" i="13"/>
  <c r="Y504" i="13"/>
  <c r="Y505" i="13"/>
  <c r="X506" i="13"/>
  <c r="X507" i="13"/>
  <c r="Y506" i="13"/>
  <c r="X508" i="13"/>
  <c r="Y507" i="13"/>
  <c r="X509" i="13"/>
  <c r="Y508" i="13"/>
  <c r="X510" i="13"/>
  <c r="Y509" i="13"/>
  <c r="Y510" i="13"/>
  <c r="X511" i="13"/>
  <c r="X512" i="13"/>
  <c r="Y511" i="13"/>
  <c r="X513" i="13"/>
  <c r="Y512" i="13"/>
  <c r="X514" i="13"/>
  <c r="Y513" i="13"/>
  <c r="X515" i="13"/>
  <c r="Y514" i="13"/>
  <c r="X516" i="13"/>
  <c r="Y515" i="13"/>
  <c r="Y516" i="13"/>
  <c r="X517" i="13"/>
  <c r="X518" i="13"/>
  <c r="Y517" i="13"/>
  <c r="X519" i="13"/>
  <c r="Y518" i="13"/>
  <c r="X520" i="13"/>
  <c r="Y519" i="13"/>
  <c r="Y520" i="13"/>
  <c r="X521" i="13"/>
  <c r="Y521" i="13"/>
  <c r="X522" i="13"/>
  <c r="X523" i="13"/>
  <c r="Y522" i="13"/>
  <c r="X524" i="13"/>
  <c r="Y523" i="13"/>
  <c r="X525" i="13"/>
  <c r="Y524" i="13"/>
  <c r="X526" i="13"/>
  <c r="Y525" i="13"/>
  <c r="Y526" i="13"/>
  <c r="X527" i="13"/>
  <c r="X528" i="13"/>
  <c r="Y527" i="13"/>
  <c r="X529" i="13"/>
  <c r="Y528" i="13"/>
  <c r="X530" i="13"/>
  <c r="Y529" i="13"/>
  <c r="X531" i="13"/>
  <c r="Y530" i="13"/>
  <c r="Y531" i="13"/>
  <c r="X532" i="13"/>
  <c r="Y532" i="13"/>
  <c r="X533" i="13"/>
  <c r="X534" i="13"/>
  <c r="Y533" i="13"/>
  <c r="X535" i="13"/>
  <c r="Y534" i="13"/>
  <c r="X536" i="13"/>
  <c r="Y535" i="13"/>
  <c r="Y536" i="13"/>
  <c r="X537" i="13"/>
  <c r="Y537" i="13"/>
  <c r="X538" i="13"/>
  <c r="X539" i="13"/>
  <c r="Y538" i="13"/>
  <c r="Y539" i="13"/>
  <c r="X540" i="13"/>
  <c r="Y540" i="13"/>
  <c r="X541" i="13"/>
  <c r="X542" i="13"/>
  <c r="Y541" i="13"/>
  <c r="Y542" i="13"/>
  <c r="X543" i="13"/>
  <c r="X544" i="13"/>
  <c r="Y543" i="13"/>
  <c r="Y544" i="13"/>
  <c r="X545" i="13"/>
  <c r="Y545" i="13"/>
  <c r="X546" i="13"/>
  <c r="X547" i="13"/>
  <c r="Y546" i="13"/>
  <c r="X548" i="13"/>
  <c r="Y547" i="13"/>
  <c r="X549" i="13"/>
  <c r="Y548" i="13"/>
  <c r="X550" i="13"/>
  <c r="Y549" i="13"/>
  <c r="X551" i="13"/>
  <c r="Y550" i="13"/>
  <c r="X552" i="13"/>
  <c r="Y551" i="13"/>
  <c r="X553" i="13"/>
  <c r="Y552" i="13"/>
  <c r="X554" i="13"/>
  <c r="Y553" i="13"/>
  <c r="X555" i="13"/>
  <c r="Y554" i="13"/>
  <c r="X556" i="13"/>
  <c r="Y555" i="13"/>
  <c r="Y556" i="13"/>
  <c r="X557" i="13"/>
  <c r="X558" i="13"/>
  <c r="Y557" i="13"/>
  <c r="Y558" i="13"/>
  <c r="X559" i="13"/>
  <c r="Y559" i="13"/>
  <c r="X560" i="13"/>
  <c r="Y560" i="13"/>
  <c r="X561" i="13"/>
  <c r="Y561" i="13"/>
  <c r="X562" i="13"/>
  <c r="X563" i="13"/>
  <c r="Y562" i="13"/>
  <c r="X564" i="13"/>
  <c r="Y563" i="13"/>
  <c r="X565" i="13"/>
  <c r="Y564" i="13"/>
  <c r="X566" i="13"/>
  <c r="Y565" i="13"/>
  <c r="X567" i="13"/>
  <c r="Y566" i="13"/>
  <c r="X568" i="13"/>
  <c r="Y567" i="13"/>
  <c r="X569" i="13"/>
  <c r="Y568" i="13"/>
  <c r="Y569" i="13"/>
  <c r="X570" i="13"/>
  <c r="X571" i="13"/>
  <c r="Y570" i="13"/>
  <c r="X572" i="13"/>
  <c r="Y571" i="13"/>
  <c r="Y572" i="13"/>
  <c r="X573" i="13"/>
  <c r="X574" i="13"/>
  <c r="Y573" i="13"/>
  <c r="Y574" i="13"/>
  <c r="X575" i="13"/>
  <c r="X576" i="13"/>
  <c r="Y575" i="13"/>
  <c r="Y576" i="13"/>
  <c r="X577" i="13"/>
  <c r="Y577" i="13"/>
  <c r="X578" i="13"/>
  <c r="X579" i="13"/>
  <c r="Y578" i="13"/>
  <c r="X580" i="13"/>
  <c r="Y579" i="13"/>
  <c r="X581" i="13"/>
  <c r="Y580" i="13"/>
  <c r="X582" i="13"/>
  <c r="Y581" i="13"/>
  <c r="X583" i="13"/>
  <c r="Y582" i="13"/>
  <c r="X584" i="13"/>
  <c r="Y583" i="13"/>
  <c r="Y584" i="13"/>
  <c r="X585" i="13"/>
  <c r="Y585" i="13"/>
  <c r="X586" i="13"/>
  <c r="X587" i="13"/>
  <c r="Y586" i="13"/>
  <c r="X588" i="13"/>
  <c r="Y587" i="13"/>
  <c r="Y588" i="13"/>
  <c r="X589" i="13"/>
  <c r="X590" i="13"/>
  <c r="Y589" i="13"/>
  <c r="Y590" i="13"/>
  <c r="X591" i="13"/>
  <c r="Y591" i="13"/>
  <c r="X592" i="13"/>
  <c r="Y592" i="13"/>
  <c r="X593" i="13"/>
  <c r="X594" i="13"/>
  <c r="Y593" i="13"/>
  <c r="Y594" i="13"/>
  <c r="X595" i="13"/>
  <c r="X596" i="13"/>
  <c r="Y595" i="13"/>
  <c r="Y596" i="13"/>
  <c r="X597" i="13"/>
  <c r="X598" i="13"/>
  <c r="Y597" i="13"/>
  <c r="Y598" i="13"/>
  <c r="X599" i="13"/>
  <c r="X600" i="13"/>
  <c r="Y599" i="13"/>
  <c r="X601" i="13"/>
  <c r="Y600" i="13"/>
  <c r="X602" i="13"/>
  <c r="Y601" i="13"/>
  <c r="Y602" i="13"/>
  <c r="X603" i="13"/>
  <c r="X604" i="13"/>
  <c r="Y603" i="13"/>
  <c r="X605" i="13"/>
  <c r="Y604" i="13"/>
  <c r="X606" i="13"/>
  <c r="Y605" i="13"/>
  <c r="Y606" i="13"/>
  <c r="X607" i="13"/>
  <c r="X608" i="13"/>
  <c r="Y607" i="13"/>
  <c r="Y608" i="13"/>
  <c r="X609" i="13"/>
  <c r="Y609" i="13"/>
  <c r="X610" i="13"/>
  <c r="Y610" i="13"/>
  <c r="X611" i="13"/>
  <c r="X612" i="13"/>
  <c r="Y611" i="13"/>
  <c r="X613" i="13"/>
  <c r="Y612" i="13"/>
  <c r="X614" i="13"/>
  <c r="Y613" i="13"/>
  <c r="Y614" i="13"/>
  <c r="X615" i="13"/>
  <c r="X616" i="13"/>
  <c r="Y615" i="13"/>
  <c r="Y616" i="13"/>
  <c r="X617" i="13"/>
  <c r="X618" i="13"/>
  <c r="Y617" i="13"/>
  <c r="Y618" i="13"/>
  <c r="X619" i="13"/>
  <c r="X620" i="13"/>
  <c r="Y619" i="13"/>
  <c r="Y620" i="13"/>
  <c r="X621" i="13"/>
  <c r="X622" i="13"/>
  <c r="Y621" i="13"/>
  <c r="Y622" i="13"/>
  <c r="X623" i="13"/>
  <c r="Y623" i="13"/>
  <c r="X624" i="13"/>
  <c r="Y624" i="13"/>
  <c r="X625" i="13"/>
  <c r="X626" i="13"/>
  <c r="Y625" i="13"/>
  <c r="Y626" i="13"/>
  <c r="X627" i="13"/>
  <c r="X628" i="13"/>
  <c r="Y627" i="13"/>
  <c r="Y628" i="13"/>
  <c r="X629" i="13"/>
  <c r="X630" i="13"/>
  <c r="Y629" i="13"/>
  <c r="Y630" i="13"/>
  <c r="X631" i="13"/>
  <c r="X632" i="13"/>
  <c r="Y631" i="13"/>
  <c r="X633" i="13"/>
  <c r="Y632" i="13"/>
  <c r="X634" i="13"/>
  <c r="Y633" i="13"/>
  <c r="Y634" i="13"/>
  <c r="X635" i="13"/>
  <c r="X636" i="13"/>
  <c r="Y635" i="13"/>
  <c r="Y636" i="13"/>
  <c r="X637" i="13"/>
  <c r="X638" i="13"/>
  <c r="Y637" i="13"/>
  <c r="Y638" i="13"/>
  <c r="X639" i="13"/>
  <c r="X640" i="13"/>
  <c r="Y639" i="13"/>
  <c r="Y640" i="13"/>
  <c r="X641" i="13"/>
  <c r="Y641" i="13"/>
  <c r="X642" i="13"/>
  <c r="Y642" i="13"/>
  <c r="X643" i="13"/>
  <c r="X644" i="13"/>
  <c r="Y643" i="13"/>
  <c r="Y644" i="13"/>
  <c r="X645" i="13"/>
  <c r="X646" i="13"/>
  <c r="Y645" i="13"/>
  <c r="Y646" i="13"/>
  <c r="X647" i="13"/>
  <c r="X648" i="13"/>
  <c r="Y647" i="13"/>
  <c r="Y648" i="13"/>
  <c r="X649" i="13"/>
  <c r="X650" i="13"/>
  <c r="Y649" i="13"/>
  <c r="Y650" i="13"/>
  <c r="X651" i="13"/>
  <c r="X652" i="13"/>
  <c r="Y651" i="13"/>
  <c r="Y652" i="13"/>
  <c r="X653" i="13"/>
  <c r="X654" i="13"/>
  <c r="Y653" i="13"/>
  <c r="Y654" i="13"/>
  <c r="X655" i="13"/>
  <c r="Y655" i="13"/>
  <c r="X656" i="13"/>
  <c r="Y656" i="13"/>
  <c r="X657" i="13"/>
  <c r="X658" i="13"/>
  <c r="Y657" i="13"/>
  <c r="Y658" i="13"/>
  <c r="X659" i="13"/>
  <c r="X660" i="13"/>
  <c r="Y659" i="13"/>
  <c r="Y660" i="13"/>
  <c r="X661" i="13"/>
  <c r="X662" i="13"/>
  <c r="Y661" i="13"/>
  <c r="Y662" i="13"/>
  <c r="X663" i="13"/>
  <c r="Y663" i="13"/>
  <c r="X664" i="13"/>
  <c r="X665" i="13"/>
  <c r="Y664" i="13"/>
  <c r="X666" i="13"/>
  <c r="Y665" i="13"/>
  <c r="Y666" i="13"/>
  <c r="X667" i="13"/>
  <c r="X668" i="13"/>
  <c r="Y667" i="13"/>
  <c r="Y668" i="13"/>
  <c r="X669" i="13"/>
  <c r="X670" i="13"/>
  <c r="Y669" i="13"/>
  <c r="Y670" i="13"/>
  <c r="X671" i="13"/>
  <c r="Y671" i="13"/>
  <c r="X672" i="13"/>
  <c r="Y672" i="13"/>
  <c r="X673" i="13"/>
  <c r="Y673" i="13"/>
  <c r="X674" i="13"/>
  <c r="Y674" i="13"/>
  <c r="X675" i="13"/>
  <c r="X676" i="13"/>
  <c r="Y675" i="13"/>
  <c r="Y676" i="13"/>
  <c r="X677" i="13"/>
  <c r="Y677" i="13"/>
  <c r="X678" i="13"/>
  <c r="Y678" i="13"/>
  <c r="X679" i="13"/>
  <c r="X680" i="13"/>
  <c r="Y679" i="13"/>
  <c r="Y680" i="13"/>
  <c r="X681" i="13"/>
  <c r="X682" i="13"/>
  <c r="Y681" i="13"/>
  <c r="Y682" i="13"/>
  <c r="X683" i="13"/>
  <c r="X684" i="13"/>
  <c r="Y683" i="13"/>
  <c r="Y684" i="13"/>
  <c r="X685" i="13"/>
  <c r="Y685" i="13"/>
  <c r="X686" i="13"/>
  <c r="Y686" i="13"/>
  <c r="X687" i="13"/>
  <c r="Y687" i="13"/>
  <c r="X688" i="13"/>
  <c r="Y688" i="13"/>
  <c r="X689" i="13"/>
  <c r="X690" i="13"/>
  <c r="Y689" i="13"/>
  <c r="Y690" i="13"/>
  <c r="X691" i="13"/>
  <c r="X692" i="13"/>
  <c r="Y691" i="13"/>
  <c r="Y692" i="13"/>
  <c r="X693" i="13"/>
  <c r="X694" i="13"/>
  <c r="Y693" i="13"/>
  <c r="Y694" i="13"/>
  <c r="X695" i="13"/>
  <c r="X696" i="13"/>
  <c r="Y695" i="13"/>
  <c r="X697" i="13"/>
  <c r="Y696" i="13"/>
  <c r="X698" i="13"/>
  <c r="Y697" i="13"/>
  <c r="Y698" i="13"/>
  <c r="X699" i="13"/>
  <c r="X700" i="13"/>
  <c r="Y699" i="13"/>
  <c r="Y700" i="13"/>
  <c r="X701" i="13"/>
  <c r="X702" i="13"/>
  <c r="Y701" i="13"/>
  <c r="Y702" i="13"/>
  <c r="X703" i="13"/>
  <c r="X704" i="13"/>
  <c r="Y703" i="13"/>
  <c r="Y704" i="13"/>
  <c r="X705" i="13"/>
  <c r="Y705" i="13"/>
  <c r="X706" i="13"/>
  <c r="Y706" i="13"/>
  <c r="X707" i="13"/>
  <c r="X708" i="13"/>
  <c r="Y707" i="13"/>
  <c r="Y708" i="13"/>
  <c r="X709" i="13"/>
  <c r="X710" i="13"/>
  <c r="Y709" i="13"/>
  <c r="Y710" i="13"/>
  <c r="X711" i="13"/>
  <c r="X712" i="13"/>
  <c r="Y711" i="13"/>
  <c r="Y712" i="13"/>
  <c r="X713" i="13"/>
  <c r="X714" i="13"/>
  <c r="Y713" i="13"/>
  <c r="Y714" i="13"/>
  <c r="X715" i="13"/>
  <c r="X716" i="13"/>
  <c r="Y715" i="13"/>
  <c r="Y716" i="13"/>
  <c r="X717" i="13"/>
  <c r="X718" i="13"/>
  <c r="Y717" i="13"/>
  <c r="Y718" i="13"/>
  <c r="X719" i="13"/>
  <c r="Y719" i="13"/>
  <c r="X720" i="13"/>
  <c r="Y720" i="13"/>
  <c r="X721" i="13"/>
  <c r="X722" i="13"/>
  <c r="Y721" i="13"/>
  <c r="Y722" i="13"/>
  <c r="X723" i="13"/>
  <c r="X724" i="13"/>
  <c r="Y723" i="13"/>
  <c r="Y724" i="13"/>
  <c r="X725" i="13"/>
  <c r="X726" i="13"/>
  <c r="Y725" i="13"/>
  <c r="Y726" i="13"/>
  <c r="X727" i="13"/>
  <c r="X728" i="13"/>
  <c r="Y727" i="13"/>
  <c r="X729" i="13"/>
  <c r="Y728" i="13"/>
  <c r="X730" i="13"/>
  <c r="Y729" i="13"/>
  <c r="Y730" i="13"/>
  <c r="X731" i="13"/>
  <c r="X732" i="13"/>
  <c r="Y731" i="13"/>
  <c r="Y732" i="13"/>
  <c r="X733" i="13"/>
  <c r="X734" i="13"/>
  <c r="Y733" i="13"/>
  <c r="Y734" i="13"/>
  <c r="X735" i="13"/>
  <c r="X736" i="13"/>
  <c r="Y735" i="13"/>
  <c r="X737" i="13"/>
  <c r="Y736" i="13"/>
  <c r="Y737" i="13"/>
  <c r="X738" i="13"/>
  <c r="Y738" i="13"/>
  <c r="X739" i="13"/>
  <c r="X740" i="13"/>
  <c r="Y739" i="13"/>
  <c r="Y740" i="13"/>
  <c r="X741" i="13"/>
  <c r="X742" i="13"/>
  <c r="Y741" i="13"/>
  <c r="Y742" i="13"/>
  <c r="X743" i="13"/>
  <c r="X744" i="13"/>
  <c r="Y743" i="13"/>
  <c r="X745" i="13"/>
  <c r="Y744" i="13"/>
  <c r="X746" i="13"/>
  <c r="Y745" i="13"/>
  <c r="Y746" i="13"/>
  <c r="X747" i="13"/>
  <c r="X748" i="13"/>
  <c r="Y747" i="13"/>
  <c r="Y748" i="13"/>
  <c r="X749" i="13"/>
  <c r="X750" i="13"/>
  <c r="Y749" i="13"/>
  <c r="Y750" i="13"/>
  <c r="X751" i="13"/>
  <c r="Y751" i="13"/>
  <c r="X752" i="13"/>
  <c r="Y752" i="13"/>
  <c r="X753" i="13"/>
  <c r="X754" i="13"/>
  <c r="Y753" i="13"/>
  <c r="Y754" i="13"/>
  <c r="X755" i="13"/>
  <c r="X756" i="13"/>
  <c r="Y755" i="13"/>
  <c r="Y756" i="13"/>
  <c r="X757" i="13"/>
  <c r="X758" i="13"/>
  <c r="Y757" i="13"/>
  <c r="Y758" i="13"/>
  <c r="X759" i="13"/>
  <c r="X760" i="13"/>
  <c r="Y759" i="13"/>
  <c r="X761" i="13"/>
  <c r="Y760" i="13"/>
  <c r="X762" i="13"/>
  <c r="Y761" i="13"/>
  <c r="Y762" i="13"/>
  <c r="X763" i="13"/>
  <c r="X764" i="13"/>
  <c r="Y763" i="13"/>
  <c r="X765" i="13"/>
  <c r="Y764" i="13"/>
  <c r="X766" i="13"/>
  <c r="Y765" i="13"/>
  <c r="Y766" i="13"/>
  <c r="X767" i="13"/>
  <c r="X768" i="13"/>
  <c r="Y767" i="13"/>
  <c r="Y768" i="13"/>
  <c r="X769" i="13"/>
  <c r="Y769" i="13"/>
  <c r="X770" i="13"/>
  <c r="Y770" i="13"/>
  <c r="X771" i="13"/>
  <c r="X772" i="13"/>
  <c r="Y771" i="13"/>
  <c r="Y772" i="13"/>
  <c r="X773" i="13"/>
  <c r="X774" i="13"/>
  <c r="Y773" i="13"/>
  <c r="Y774" i="13"/>
  <c r="X775" i="13"/>
  <c r="X776" i="13"/>
  <c r="Y775" i="13"/>
  <c r="Y776" i="13"/>
  <c r="X777" i="13"/>
  <c r="X778" i="13"/>
  <c r="Y777" i="13"/>
  <c r="Y778" i="13"/>
  <c r="X779" i="13"/>
  <c r="X780" i="13"/>
  <c r="Y779" i="13"/>
  <c r="Y780" i="13"/>
  <c r="X781" i="13"/>
  <c r="X782" i="13"/>
  <c r="Y781" i="13"/>
  <c r="Y782" i="13"/>
  <c r="X783" i="13"/>
  <c r="Y783" i="13"/>
  <c r="X784" i="13"/>
  <c r="Y784" i="13"/>
  <c r="X785" i="13"/>
  <c r="X786" i="13"/>
  <c r="Y785" i="13"/>
  <c r="Y786" i="13"/>
  <c r="X787" i="13"/>
  <c r="Y787" i="13"/>
  <c r="X788" i="13"/>
  <c r="Y788" i="13"/>
  <c r="X789" i="13"/>
  <c r="X790" i="13"/>
  <c r="Y789" i="13"/>
  <c r="Y790" i="13"/>
  <c r="X791" i="13"/>
  <c r="X792" i="13"/>
  <c r="Y791" i="13"/>
  <c r="X793" i="13"/>
  <c r="Y792" i="13"/>
  <c r="X794" i="13"/>
  <c r="Y793" i="13"/>
  <c r="Y794" i="13"/>
  <c r="X795" i="13"/>
  <c r="Y795" i="13"/>
  <c r="X796" i="13"/>
  <c r="Y796" i="13"/>
  <c r="X797" i="13"/>
  <c r="X798" i="13"/>
  <c r="Y797" i="13"/>
  <c r="Y798" i="13"/>
  <c r="X799" i="13"/>
  <c r="X800" i="13"/>
  <c r="Y799" i="13"/>
  <c r="X801" i="13"/>
  <c r="Y800" i="13"/>
  <c r="Y801" i="13"/>
  <c r="X802" i="13"/>
  <c r="Y802" i="13"/>
  <c r="X803" i="13"/>
  <c r="X804" i="13"/>
  <c r="Y803" i="13"/>
  <c r="Y804" i="13"/>
  <c r="X805" i="13"/>
  <c r="X806" i="13"/>
  <c r="Y805" i="13"/>
  <c r="Y806" i="13"/>
  <c r="X807" i="13"/>
  <c r="X808" i="13"/>
  <c r="Y807" i="13"/>
  <c r="Y808" i="13"/>
  <c r="X809" i="13"/>
  <c r="X810" i="13"/>
  <c r="Y809" i="13"/>
  <c r="Y810" i="13"/>
  <c r="X811" i="13"/>
  <c r="X812" i="13"/>
  <c r="Y811" i="13"/>
  <c r="Y812" i="13"/>
  <c r="X813" i="13"/>
  <c r="X814" i="13"/>
  <c r="Y813" i="13"/>
  <c r="Y814" i="13"/>
  <c r="X815" i="13"/>
  <c r="Y815" i="13"/>
  <c r="X816" i="13"/>
  <c r="X817" i="13"/>
  <c r="Y816" i="13"/>
  <c r="X818" i="13"/>
  <c r="Y817" i="13"/>
  <c r="Y818" i="13"/>
  <c r="X819" i="13"/>
  <c r="X820" i="13"/>
  <c r="Y819" i="13"/>
  <c r="Y820" i="13"/>
  <c r="X821" i="13"/>
  <c r="X822" i="13"/>
  <c r="Y821" i="13"/>
  <c r="Y822" i="13"/>
  <c r="X823" i="13"/>
  <c r="X824" i="13"/>
  <c r="Y823" i="13"/>
  <c r="Y824" i="13"/>
  <c r="X825" i="13"/>
  <c r="X826" i="13"/>
  <c r="Y825" i="13"/>
  <c r="Y826" i="13"/>
  <c r="X827" i="13"/>
  <c r="X828" i="13"/>
  <c r="Y827" i="13"/>
  <c r="Y828" i="13"/>
  <c r="X829" i="13"/>
  <c r="X830" i="13"/>
  <c r="Y829" i="13"/>
  <c r="Y830" i="13"/>
  <c r="X831" i="13"/>
  <c r="X832" i="13"/>
  <c r="Y831" i="13"/>
  <c r="Y832" i="13"/>
  <c r="X833" i="13"/>
  <c r="Y833" i="13"/>
  <c r="X834" i="13"/>
  <c r="Y834" i="13"/>
  <c r="X835" i="13"/>
  <c r="X836" i="13"/>
  <c r="Y835" i="13"/>
  <c r="Y836" i="13"/>
  <c r="X837" i="13"/>
  <c r="Y837" i="13"/>
  <c r="X838" i="13"/>
  <c r="Y838" i="13"/>
  <c r="X839" i="13"/>
  <c r="X840" i="13"/>
  <c r="Y839" i="13"/>
  <c r="Y840" i="13"/>
  <c r="X841" i="13"/>
  <c r="X842" i="13"/>
  <c r="Y841" i="13"/>
  <c r="Y842" i="13"/>
  <c r="X843" i="13"/>
  <c r="X844" i="13"/>
  <c r="Y843" i="13"/>
  <c r="Y844" i="13"/>
  <c r="X845" i="13"/>
  <c r="X846" i="13"/>
  <c r="Y845" i="13"/>
  <c r="Y846" i="13"/>
  <c r="X847" i="13"/>
  <c r="Y847" i="13"/>
  <c r="X848" i="13"/>
  <c r="X849" i="13"/>
  <c r="Y848" i="13"/>
  <c r="Y849" i="13"/>
  <c r="X850" i="13"/>
  <c r="X851" i="13"/>
  <c r="Y850" i="13"/>
  <c r="X852" i="13"/>
  <c r="Y851" i="13"/>
  <c r="Y852" i="13"/>
  <c r="X853" i="13"/>
  <c r="X854" i="13"/>
  <c r="Y853" i="13"/>
  <c r="X855" i="13"/>
  <c r="Y854" i="13"/>
  <c r="X856" i="13"/>
  <c r="Y855" i="13"/>
  <c r="X857" i="13"/>
  <c r="Y856" i="13"/>
  <c r="X858" i="13"/>
  <c r="Y857" i="13"/>
  <c r="X859" i="13"/>
  <c r="Y858" i="13"/>
  <c r="Y859" i="13"/>
  <c r="X860" i="13"/>
  <c r="Y860" i="13"/>
  <c r="X861" i="13"/>
  <c r="X862" i="13"/>
  <c r="Y861" i="13"/>
  <c r="X863" i="13"/>
  <c r="Y862" i="13"/>
  <c r="X864" i="13"/>
  <c r="Y863" i="13"/>
  <c r="Y864" i="13"/>
  <c r="X865" i="13"/>
  <c r="X866" i="13"/>
  <c r="Y865" i="13"/>
  <c r="Y866" i="13"/>
  <c r="X867" i="13"/>
  <c r="X868" i="13"/>
  <c r="Y867" i="13"/>
  <c r="Y868" i="13"/>
  <c r="X869" i="13"/>
  <c r="X870" i="13"/>
  <c r="Y869" i="13"/>
  <c r="X871" i="13"/>
  <c r="Y870" i="13"/>
  <c r="X872" i="13"/>
  <c r="Y871" i="13"/>
  <c r="Y872" i="13"/>
  <c r="X873" i="13"/>
  <c r="Y873" i="13"/>
  <c r="X874" i="13"/>
  <c r="X875" i="13"/>
  <c r="Y874" i="13"/>
  <c r="X876" i="13"/>
  <c r="Y875" i="13"/>
  <c r="Y876" i="13"/>
  <c r="X877" i="13"/>
  <c r="X878" i="13"/>
  <c r="Y877" i="13"/>
  <c r="X879" i="13"/>
  <c r="Y878" i="13"/>
  <c r="X880" i="13"/>
  <c r="Y879" i="13"/>
  <c r="X881" i="13"/>
  <c r="Y880" i="13"/>
  <c r="X882" i="13"/>
  <c r="Y881" i="13"/>
  <c r="X883" i="13"/>
  <c r="Y882" i="13"/>
  <c r="X884" i="13"/>
  <c r="Y883" i="13"/>
  <c r="Y884" i="13"/>
  <c r="X885" i="13"/>
  <c r="X886" i="13"/>
  <c r="Y885" i="13"/>
  <c r="X887" i="13"/>
  <c r="Y886" i="13"/>
  <c r="X888" i="13"/>
  <c r="Y887" i="13"/>
  <c r="X889" i="13"/>
  <c r="Y888" i="13"/>
  <c r="X890" i="13"/>
  <c r="Y889" i="13"/>
  <c r="X891" i="13"/>
  <c r="Y890" i="13"/>
  <c r="X892" i="13"/>
  <c r="Y891" i="13"/>
  <c r="Y892" i="13"/>
  <c r="X893" i="13"/>
  <c r="Y893" i="13"/>
  <c r="X894" i="13"/>
  <c r="Y894" i="13"/>
  <c r="X895" i="13"/>
  <c r="X896" i="13"/>
  <c r="Y895" i="13"/>
  <c r="Y896" i="13"/>
  <c r="X897" i="13"/>
  <c r="X898" i="13"/>
  <c r="Y897" i="13"/>
  <c r="Y898" i="13"/>
  <c r="X899" i="13"/>
  <c r="X900" i="13"/>
  <c r="Y899" i="13"/>
  <c r="Y900" i="13"/>
  <c r="X901" i="13"/>
  <c r="X902" i="13"/>
  <c r="Y901" i="13"/>
  <c r="Y902" i="13"/>
  <c r="X903" i="13"/>
  <c r="X904" i="13"/>
  <c r="Y903" i="13"/>
  <c r="Y904" i="13"/>
  <c r="X905" i="13"/>
  <c r="X906" i="13"/>
  <c r="Y905" i="13"/>
  <c r="X907" i="13"/>
  <c r="Y906" i="13"/>
  <c r="Y907" i="13"/>
  <c r="X908" i="13"/>
  <c r="Y908" i="13"/>
  <c r="X909" i="13"/>
  <c r="X910" i="13"/>
  <c r="Y909" i="13"/>
  <c r="Y910" i="13"/>
  <c r="X911" i="13"/>
  <c r="X912" i="13"/>
  <c r="Y911" i="13"/>
  <c r="Y912" i="13"/>
  <c r="X913" i="13"/>
  <c r="X914" i="13"/>
  <c r="Y913" i="13"/>
  <c r="X915" i="13"/>
  <c r="Y914" i="13"/>
  <c r="X916" i="13"/>
  <c r="Y915" i="13"/>
  <c r="Y916" i="13"/>
  <c r="X917" i="13"/>
  <c r="X918" i="13"/>
  <c r="Y917" i="13"/>
  <c r="X919" i="13"/>
  <c r="Y918" i="13"/>
  <c r="X920" i="13"/>
  <c r="Y919" i="13"/>
  <c r="Y920" i="13"/>
  <c r="X921" i="13"/>
  <c r="X922" i="13"/>
  <c r="Y921" i="13"/>
  <c r="X923" i="13"/>
  <c r="Y922" i="13"/>
  <c r="Y923" i="13"/>
  <c r="X924" i="13"/>
  <c r="Y924" i="13"/>
  <c r="X925" i="13"/>
  <c r="X926" i="13"/>
  <c r="Y925" i="13"/>
  <c r="X927" i="13"/>
  <c r="Y926" i="13"/>
  <c r="X928" i="13"/>
  <c r="Y927" i="13"/>
  <c r="Y928" i="13"/>
  <c r="X929" i="13"/>
  <c r="X930" i="13"/>
  <c r="Y929" i="13"/>
  <c r="X931" i="13"/>
  <c r="Y930" i="13"/>
  <c r="X932" i="13"/>
  <c r="Y931" i="13"/>
  <c r="Y932" i="13"/>
  <c r="X933" i="13"/>
  <c r="X934" i="13"/>
  <c r="Y933" i="13"/>
  <c r="Y934" i="13"/>
  <c r="X935" i="13"/>
  <c r="X936" i="13"/>
  <c r="Y935" i="13"/>
  <c r="Y936" i="13"/>
  <c r="X937" i="13"/>
  <c r="X938" i="13"/>
  <c r="Y937" i="13"/>
  <c r="X939" i="13"/>
  <c r="Y938" i="13"/>
  <c r="X940" i="13"/>
  <c r="Y939" i="13"/>
  <c r="Y940" i="13"/>
  <c r="X941" i="13"/>
  <c r="X942" i="13"/>
  <c r="Y941" i="13"/>
  <c r="Y942" i="13"/>
  <c r="X943" i="13"/>
  <c r="Y943" i="13"/>
  <c r="X944" i="13"/>
  <c r="Y944" i="13"/>
  <c r="X945" i="13"/>
  <c r="Y945" i="13"/>
  <c r="X946" i="13"/>
  <c r="X947" i="13"/>
  <c r="Y946" i="13"/>
  <c r="Y947" i="13"/>
  <c r="X948" i="13"/>
  <c r="Y948" i="13"/>
  <c r="X949" i="13"/>
  <c r="X950" i="13"/>
  <c r="Y949" i="13"/>
  <c r="X951" i="13"/>
  <c r="Y950" i="13"/>
  <c r="X952" i="13"/>
  <c r="Y951" i="13"/>
  <c r="Y952" i="13"/>
  <c r="X953" i="13"/>
  <c r="X954" i="13"/>
  <c r="Y953" i="13"/>
  <c r="Y954" i="13"/>
  <c r="X955" i="13"/>
  <c r="X956" i="13"/>
  <c r="Y955" i="13"/>
  <c r="Y956" i="13"/>
  <c r="X957" i="13"/>
  <c r="Y957" i="13"/>
  <c r="X958" i="13"/>
  <c r="X959" i="13"/>
  <c r="Y958" i="13"/>
  <c r="X960" i="13"/>
  <c r="Y959" i="13"/>
  <c r="Y960" i="13"/>
  <c r="X961" i="13"/>
  <c r="X962" i="13"/>
  <c r="Y961" i="13"/>
  <c r="X963" i="13"/>
  <c r="Y962" i="13"/>
  <c r="Y963" i="13"/>
  <c r="X964" i="13"/>
  <c r="Y964" i="13"/>
  <c r="X965" i="13"/>
  <c r="X966" i="13"/>
  <c r="Y965" i="13"/>
  <c r="X967" i="13"/>
  <c r="Y966" i="13"/>
  <c r="Y967" i="13"/>
  <c r="X968" i="13"/>
  <c r="Y968" i="13"/>
  <c r="X969" i="13"/>
  <c r="X970" i="13"/>
  <c r="Y969" i="13"/>
  <c r="Y970" i="13"/>
  <c r="X971" i="13"/>
  <c r="X972" i="13"/>
  <c r="Y971" i="13"/>
  <c r="Y972" i="13"/>
  <c r="X973" i="13"/>
  <c r="X974" i="13"/>
  <c r="Y973" i="13"/>
  <c r="Y974" i="13"/>
  <c r="X975" i="13"/>
  <c r="X976" i="13"/>
  <c r="Y975" i="13"/>
  <c r="Y976" i="13"/>
  <c r="X977" i="13"/>
  <c r="Y977" i="13"/>
  <c r="X978" i="13"/>
  <c r="X979" i="13"/>
  <c r="Y978" i="13"/>
  <c r="X980" i="13"/>
  <c r="Y979" i="13"/>
  <c r="Y980" i="13"/>
  <c r="X981" i="13"/>
  <c r="X982" i="13"/>
  <c r="Y981" i="13"/>
  <c r="X983" i="13"/>
  <c r="Y982" i="13"/>
  <c r="X984" i="13"/>
  <c r="Y983" i="13"/>
  <c r="Y984" i="13"/>
  <c r="X985" i="13"/>
  <c r="X986" i="13"/>
  <c r="Y985" i="13"/>
  <c r="Y986" i="13"/>
  <c r="X987" i="13"/>
  <c r="X988" i="13"/>
  <c r="Y987" i="13"/>
  <c r="Y988" i="13"/>
  <c r="X989" i="13"/>
  <c r="X990" i="13"/>
  <c r="Y989" i="13"/>
  <c r="X991" i="13"/>
  <c r="Y990" i="13"/>
  <c r="X992" i="13"/>
  <c r="Y991" i="13"/>
  <c r="Y992" i="13"/>
  <c r="X993" i="13"/>
  <c r="Y993" i="13"/>
  <c r="X994" i="13"/>
  <c r="Y994" i="13"/>
  <c r="X995" i="13"/>
  <c r="Y995" i="13"/>
  <c r="X996" i="13"/>
  <c r="Y996" i="13"/>
  <c r="X997" i="13"/>
  <c r="X998" i="13"/>
  <c r="Y997" i="13"/>
  <c r="X999" i="13"/>
  <c r="Y998" i="13"/>
  <c r="Y999" i="13"/>
  <c r="X1000" i="13"/>
  <c r="Y1000" i="13"/>
  <c r="X1001" i="13"/>
  <c r="X1002" i="13"/>
  <c r="Y1001" i="13"/>
  <c r="Y1002" i="13"/>
  <c r="X1003" i="13"/>
  <c r="X1004" i="13"/>
  <c r="Y1003" i="13"/>
  <c r="Y1004" i="13"/>
  <c r="X1005" i="13"/>
  <c r="X1006" i="13"/>
  <c r="Y1005" i="13"/>
  <c r="Y1006" i="13"/>
  <c r="X1007" i="13"/>
  <c r="X1008" i="13"/>
  <c r="Y1007" i="13"/>
  <c r="Y1008" i="13"/>
  <c r="X1009" i="13"/>
  <c r="Y1009" i="13"/>
  <c r="X1010" i="13"/>
  <c r="X1011" i="13"/>
  <c r="Y1010" i="13"/>
  <c r="X1012" i="13"/>
  <c r="Y1011" i="13"/>
  <c r="Y1012" i="13"/>
  <c r="X1013" i="13"/>
  <c r="X1014" i="13"/>
  <c r="Y1013" i="13"/>
  <c r="X1015" i="13"/>
  <c r="Y1014" i="13"/>
  <c r="X1016" i="13"/>
  <c r="Y1015" i="13"/>
  <c r="Y1016" i="13"/>
  <c r="X1017" i="13"/>
  <c r="X1018" i="13"/>
  <c r="Y1017" i="13"/>
  <c r="Y1018" i="13"/>
  <c r="X1019" i="13"/>
  <c r="X1020" i="13"/>
  <c r="Y1019" i="13"/>
  <c r="Y1020" i="13"/>
  <c r="X1021" i="13"/>
  <c r="X1022" i="13"/>
  <c r="Y1021" i="13"/>
  <c r="X1023" i="13"/>
  <c r="Y1022" i="13"/>
  <c r="X1024" i="13"/>
  <c r="Y1023" i="13"/>
  <c r="Y1024" i="13"/>
  <c r="X1025" i="13"/>
  <c r="X1026" i="13"/>
  <c r="Y1025" i="13"/>
  <c r="X1027" i="13"/>
  <c r="Y1026" i="13"/>
  <c r="Y1027" i="13"/>
  <c r="X1028" i="13"/>
  <c r="Y1028" i="13"/>
  <c r="X1029" i="13"/>
  <c r="X1030" i="13"/>
  <c r="Y1029" i="13"/>
  <c r="X1031" i="13"/>
  <c r="Y1030" i="13"/>
  <c r="Y1031" i="13"/>
  <c r="X1032" i="13"/>
  <c r="Y1032" i="13"/>
  <c r="X1033" i="13"/>
  <c r="X1034" i="13"/>
  <c r="Y1033" i="13"/>
  <c r="X1035" i="13"/>
  <c r="Y1034" i="13"/>
  <c r="X1036" i="13"/>
  <c r="Y1035" i="13"/>
  <c r="Y1036" i="13"/>
  <c r="X1037" i="13"/>
  <c r="X1038" i="13"/>
  <c r="Y1037" i="13"/>
  <c r="Y1038" i="13"/>
  <c r="X1039" i="13"/>
  <c r="X1040" i="13"/>
  <c r="Y1039" i="13"/>
  <c r="Y1040" i="13"/>
  <c r="X1041" i="13"/>
  <c r="Y1041" i="13"/>
  <c r="X1042" i="13"/>
  <c r="X1043" i="13"/>
  <c r="Y1042" i="13"/>
  <c r="X1044" i="13"/>
  <c r="Y1043" i="13"/>
  <c r="Y1044" i="13"/>
  <c r="X1045" i="13"/>
  <c r="Y1045" i="13"/>
  <c r="X1046" i="13"/>
  <c r="X1047" i="13"/>
  <c r="Y1046" i="13"/>
  <c r="X1048" i="13"/>
  <c r="Y1047" i="13"/>
  <c r="Y1048" i="13"/>
  <c r="X1049" i="13"/>
  <c r="X1050" i="13"/>
  <c r="Y1049" i="13"/>
  <c r="Y1050" i="13"/>
  <c r="X1051" i="13"/>
  <c r="X1052" i="13"/>
  <c r="Y1051" i="13"/>
  <c r="Y1052" i="13"/>
  <c r="X1053" i="13"/>
  <c r="Y1053" i="13"/>
  <c r="X1054" i="13"/>
  <c r="X1055" i="13"/>
  <c r="Y1054" i="13"/>
  <c r="X1056" i="13"/>
  <c r="Y1055" i="13"/>
  <c r="Y1056" i="13"/>
  <c r="X1057" i="13"/>
  <c r="X1058" i="13"/>
  <c r="Y1057" i="13"/>
  <c r="X1059" i="13"/>
  <c r="Y1058" i="13"/>
  <c r="X1060" i="13"/>
  <c r="Y1059" i="13"/>
  <c r="Y1060" i="13"/>
  <c r="X1061" i="13"/>
  <c r="X1062" i="13"/>
  <c r="Y1061" i="13"/>
  <c r="X1063" i="13"/>
  <c r="Y1062" i="13"/>
  <c r="X1064" i="13"/>
  <c r="Y1063" i="13"/>
  <c r="Y1064" i="13"/>
  <c r="X1065" i="13"/>
  <c r="X1066" i="13"/>
  <c r="Y1065" i="13"/>
  <c r="X1067" i="13"/>
  <c r="Y1066" i="13"/>
  <c r="Y1067" i="13"/>
  <c r="X1068" i="13"/>
  <c r="Y1068" i="13"/>
  <c r="X1069" i="13"/>
  <c r="X1070" i="13"/>
  <c r="Y1069" i="13"/>
  <c r="Y1070" i="13"/>
  <c r="X1071" i="13"/>
  <c r="Y1071" i="13"/>
  <c r="X1072" i="13"/>
  <c r="Y1072" i="13"/>
  <c r="X1073" i="13"/>
  <c r="Y1073" i="13"/>
  <c r="X1074" i="13"/>
  <c r="X1075" i="13"/>
  <c r="Y1074" i="13"/>
  <c r="X1076" i="13"/>
  <c r="Y1075" i="13"/>
  <c r="Y1076" i="13"/>
  <c r="X1077" i="13"/>
  <c r="X1078" i="13"/>
  <c r="Y1077" i="13"/>
  <c r="X1079" i="13"/>
  <c r="Y1078" i="13"/>
  <c r="X1080" i="13"/>
  <c r="Y1079" i="13"/>
  <c r="Y1080" i="13"/>
  <c r="X1081" i="13"/>
  <c r="X1082" i="13"/>
  <c r="Y1081" i="13"/>
  <c r="Y1082" i="13"/>
  <c r="X1083" i="13"/>
  <c r="X1084" i="13"/>
  <c r="Y1083" i="13"/>
  <c r="Y1084" i="13"/>
  <c r="X1085" i="13"/>
  <c r="X1086" i="13"/>
  <c r="Y1085" i="13"/>
  <c r="Y1086" i="13"/>
  <c r="X1087" i="13"/>
  <c r="X1088" i="13"/>
  <c r="Y1087" i="13"/>
  <c r="Y1088" i="13"/>
  <c r="X1089" i="13"/>
  <c r="Y1089" i="13"/>
  <c r="X1090" i="13"/>
  <c r="X1091" i="13"/>
  <c r="Y1090" i="13"/>
  <c r="X1092" i="13"/>
  <c r="Y1091" i="13"/>
  <c r="Y1092" i="13"/>
  <c r="X1093" i="13"/>
  <c r="X1094" i="13"/>
  <c r="Y1093" i="13"/>
  <c r="X1095" i="13"/>
  <c r="Y1094" i="13"/>
  <c r="X1096" i="13"/>
  <c r="Y1095" i="13"/>
  <c r="Y1096" i="13"/>
  <c r="X1097" i="13"/>
  <c r="X1098" i="13"/>
  <c r="Y1097" i="13"/>
  <c r="X1099" i="13"/>
  <c r="Y1098" i="13"/>
  <c r="Y1099" i="13"/>
  <c r="X1100" i="13"/>
  <c r="Y1100" i="13"/>
  <c r="X1101" i="13"/>
  <c r="X1102" i="13"/>
  <c r="Y1101" i="13"/>
  <c r="Y1102" i="13"/>
  <c r="X1103" i="13"/>
  <c r="X1104" i="13"/>
  <c r="Y1103" i="13"/>
  <c r="Y1104" i="13"/>
  <c r="X1105" i="13"/>
  <c r="Y1105" i="13"/>
  <c r="X1106" i="13"/>
  <c r="X1107" i="13"/>
  <c r="Y1106" i="13"/>
  <c r="Y1107" i="13"/>
  <c r="X1108" i="13"/>
  <c r="Y1108" i="13"/>
  <c r="X1109" i="13"/>
  <c r="Y1109" i="13"/>
  <c r="X1110" i="13"/>
  <c r="X1111" i="13"/>
  <c r="Y1110" i="13"/>
  <c r="X1112" i="13"/>
  <c r="Y1111" i="13"/>
  <c r="Y1112" i="13"/>
  <c r="X1113" i="13"/>
  <c r="X1114" i="13"/>
  <c r="Y1113" i="13"/>
  <c r="Y1114" i="13"/>
  <c r="X1115" i="13"/>
  <c r="X1116" i="13"/>
  <c r="Y1115" i="13"/>
  <c r="Y1116" i="13"/>
  <c r="X1117" i="13"/>
  <c r="Y1117" i="13"/>
  <c r="X1118" i="13"/>
  <c r="X1119" i="13"/>
  <c r="Y1118" i="13"/>
  <c r="X1120" i="13"/>
  <c r="Y1119" i="13"/>
  <c r="Y1120" i="13"/>
  <c r="X1121" i="13"/>
  <c r="X1122" i="13"/>
  <c r="Y1121" i="13"/>
  <c r="X1123" i="13"/>
  <c r="Y1122" i="13"/>
  <c r="X1124" i="13"/>
  <c r="Y1123" i="13"/>
  <c r="Y1124" i="13"/>
  <c r="X1125" i="13"/>
  <c r="X1126" i="13"/>
  <c r="Y1125" i="13"/>
  <c r="Y1126" i="13"/>
  <c r="X1127" i="13"/>
  <c r="X1128" i="13"/>
  <c r="Y1127" i="13"/>
  <c r="Y1128" i="13"/>
  <c r="X1129" i="13"/>
  <c r="X1130" i="13"/>
  <c r="Y1129" i="13"/>
  <c r="Y1130" i="13"/>
  <c r="X1131" i="13"/>
  <c r="X1132" i="13"/>
  <c r="Y1131" i="13"/>
  <c r="Y1132" i="13"/>
  <c r="X1133" i="13"/>
  <c r="X1134" i="13"/>
  <c r="Y1133" i="13"/>
  <c r="Y1134" i="13"/>
  <c r="X1135" i="13"/>
  <c r="X1136" i="13"/>
  <c r="Y1135" i="13"/>
  <c r="Y1136" i="13"/>
  <c r="X1137" i="13"/>
  <c r="Y1137" i="13"/>
  <c r="X1138" i="13"/>
  <c r="X1139" i="13"/>
  <c r="Y1138" i="13"/>
  <c r="X1140" i="13"/>
  <c r="Y1139" i="13"/>
  <c r="X1141" i="13"/>
  <c r="Y1140" i="13"/>
  <c r="Y1141" i="13"/>
  <c r="X1142" i="13"/>
  <c r="X1143" i="13"/>
  <c r="Y1142" i="13"/>
  <c r="X1144" i="13"/>
  <c r="Y1143" i="13"/>
  <c r="Y1144" i="13"/>
  <c r="X1145" i="13"/>
  <c r="Y1145" i="13"/>
  <c r="X1146" i="13"/>
  <c r="X1147" i="13"/>
  <c r="Y1146" i="13"/>
  <c r="Y1147" i="13"/>
  <c r="X1148" i="13"/>
  <c r="Y1148" i="13"/>
  <c r="X1149" i="13"/>
  <c r="Y1149" i="13"/>
  <c r="X1150" i="13"/>
  <c r="Y1150" i="13"/>
  <c r="X1151" i="13"/>
  <c r="X1152" i="13"/>
  <c r="Y1151" i="13"/>
  <c r="Y1152" i="13"/>
  <c r="X1153" i="13"/>
  <c r="Y1153" i="13"/>
  <c r="X1154" i="13"/>
  <c r="X1155" i="13"/>
  <c r="Y1154" i="13"/>
  <c r="Y1155" i="13"/>
  <c r="X1156" i="13"/>
  <c r="X1157" i="13"/>
  <c r="Y1156" i="13"/>
  <c r="Y1157" i="13"/>
  <c r="X1158" i="13"/>
  <c r="X1159" i="13"/>
  <c r="Y1158" i="13"/>
  <c r="X1160" i="13"/>
  <c r="Y1159" i="13"/>
  <c r="Y1160" i="13"/>
  <c r="X1161" i="13"/>
  <c r="Y1161" i="13"/>
  <c r="X1162" i="13"/>
  <c r="X1163" i="13"/>
  <c r="Y1162" i="13"/>
  <c r="Y1163" i="13"/>
  <c r="X1164" i="13"/>
  <c r="X1165" i="13"/>
  <c r="Y1164" i="13"/>
  <c r="Y1165" i="13"/>
  <c r="X1166" i="13"/>
  <c r="Y1166" i="13"/>
  <c r="X1167" i="13"/>
  <c r="X1168" i="13"/>
  <c r="Y1167" i="13"/>
  <c r="Y1168" i="13"/>
  <c r="X1169" i="13"/>
  <c r="Y1169" i="13"/>
  <c r="X1170" i="13"/>
  <c r="X1171" i="13"/>
  <c r="Y1170" i="13"/>
  <c r="Y1171" i="13"/>
  <c r="X1172" i="13"/>
  <c r="X1173" i="13"/>
  <c r="Y1172" i="13"/>
  <c r="Y1173" i="13"/>
  <c r="X1174" i="13"/>
  <c r="X1175" i="13"/>
  <c r="Y1174" i="13"/>
  <c r="X1176" i="13"/>
  <c r="Y1175" i="13"/>
  <c r="Y1176" i="13"/>
  <c r="X1177" i="13"/>
  <c r="Y1177" i="13"/>
  <c r="X1178" i="13"/>
  <c r="X1179" i="13"/>
  <c r="Y1178" i="13"/>
  <c r="Y1179" i="13"/>
  <c r="X1180" i="13"/>
  <c r="Y1180" i="13"/>
  <c r="X1181" i="13"/>
  <c r="Y1181" i="13"/>
  <c r="X1182" i="13"/>
  <c r="Y1182" i="13"/>
  <c r="X1183" i="13"/>
  <c r="X1184" i="13"/>
  <c r="Y1183" i="13"/>
  <c r="Y1184" i="13"/>
  <c r="X1185" i="13"/>
  <c r="Y1185" i="13"/>
  <c r="X1186" i="13"/>
  <c r="X1187" i="13"/>
  <c r="Y1186" i="13"/>
  <c r="Y1187" i="13"/>
  <c r="X1188" i="13"/>
  <c r="Y1188" i="13"/>
  <c r="X1189" i="13"/>
  <c r="Y1189" i="13"/>
  <c r="X1190" i="13"/>
  <c r="X1191" i="13"/>
  <c r="Y1190" i="13"/>
  <c r="X1192" i="13"/>
  <c r="Y1191" i="13"/>
  <c r="Y1192" i="13"/>
  <c r="X1193" i="13"/>
  <c r="Y1193" i="13"/>
  <c r="X1194" i="13"/>
  <c r="X1195" i="13"/>
  <c r="Y1194" i="13"/>
  <c r="X1196" i="13"/>
  <c r="Y1195" i="13"/>
  <c r="X1197" i="13"/>
  <c r="Y1196" i="13"/>
  <c r="Y1197" i="13"/>
  <c r="X1198" i="13"/>
  <c r="Y1198" i="13"/>
  <c r="X1199" i="13"/>
  <c r="X1200" i="13"/>
  <c r="Y1199" i="13"/>
  <c r="Y1200" i="13"/>
  <c r="X1201" i="13"/>
  <c r="Y1201" i="13"/>
  <c r="X1202" i="13"/>
  <c r="X1203" i="13"/>
  <c r="Y1202" i="13"/>
  <c r="Y1203" i="13"/>
  <c r="X1204" i="13"/>
  <c r="X1205" i="13"/>
  <c r="Y1204" i="13"/>
  <c r="Y1205" i="13"/>
  <c r="X1206" i="13"/>
  <c r="X1207" i="13"/>
  <c r="Y1206" i="13"/>
  <c r="Y1207" i="13"/>
  <c r="X1208" i="13"/>
  <c r="Y1208" i="13"/>
  <c r="X1209" i="13"/>
  <c r="Y1209" i="13"/>
  <c r="X1210" i="13"/>
  <c r="X1211" i="13"/>
  <c r="Y1210" i="13"/>
  <c r="Y1211" i="13"/>
  <c r="X1212" i="13"/>
  <c r="Y1212" i="13"/>
  <c r="X1213" i="13"/>
  <c r="Y1213" i="13"/>
  <c r="X1214" i="13"/>
  <c r="X1215" i="13"/>
  <c r="Y1214" i="13"/>
  <c r="Y1215" i="13"/>
  <c r="X1216" i="13"/>
  <c r="Y1216" i="13"/>
  <c r="X1217" i="13"/>
  <c r="Y1217" i="13"/>
  <c r="X1218" i="13"/>
  <c r="X1219" i="13"/>
  <c r="Y1218" i="13"/>
  <c r="X1220" i="13"/>
  <c r="Y1219" i="13"/>
  <c r="Y1220" i="13"/>
  <c r="X1221" i="13"/>
  <c r="Y1221" i="13"/>
  <c r="X1222" i="13"/>
  <c r="X1223" i="13"/>
  <c r="Y1222" i="13"/>
  <c r="Y1223" i="13"/>
  <c r="X1224" i="13"/>
  <c r="Y1224" i="13"/>
  <c r="X1225" i="13"/>
  <c r="Y1225" i="13"/>
  <c r="X1226" i="13"/>
  <c r="X1227" i="13"/>
  <c r="Y1226" i="13"/>
  <c r="X1228" i="13"/>
  <c r="Y1227" i="13"/>
  <c r="Y1228" i="13"/>
  <c r="X1229" i="13"/>
  <c r="Y1229" i="13"/>
  <c r="X1230" i="13"/>
  <c r="Y1230" i="13"/>
  <c r="X1231" i="13"/>
  <c r="X1232" i="13"/>
  <c r="Y1231" i="13"/>
  <c r="X1233" i="13"/>
  <c r="Y1232" i="13"/>
  <c r="Y1233" i="13"/>
  <c r="X1234" i="13"/>
  <c r="X1235" i="13"/>
  <c r="Y1234" i="13"/>
  <c r="X1236" i="13"/>
  <c r="Y1235" i="13"/>
  <c r="Y1236" i="13"/>
  <c r="X1237" i="13"/>
  <c r="Y1237" i="13"/>
  <c r="X1238" i="13"/>
  <c r="X1239" i="13"/>
  <c r="Y1238" i="13"/>
  <c r="Y1239" i="13"/>
  <c r="X1240" i="13"/>
  <c r="Y1240" i="13"/>
  <c r="X1241" i="13"/>
  <c r="Y1241" i="13"/>
  <c r="X1242" i="13"/>
  <c r="X1243" i="13"/>
  <c r="Y1242" i="13"/>
  <c r="X1244" i="13"/>
  <c r="Y1243" i="13"/>
  <c r="Y1244" i="13"/>
  <c r="X1245" i="13"/>
  <c r="Y1245" i="13"/>
  <c r="X1246" i="13"/>
  <c r="X1247" i="13"/>
  <c r="Y1246" i="13"/>
  <c r="X1248" i="13"/>
  <c r="Y1247" i="13"/>
  <c r="Y1248" i="13"/>
  <c r="X1249" i="13"/>
  <c r="Y1249" i="13"/>
  <c r="X1250" i="13"/>
  <c r="X1251" i="13"/>
  <c r="Y1250" i="13"/>
  <c r="X1252" i="13"/>
  <c r="Y1251" i="13"/>
  <c r="Y1252" i="13"/>
  <c r="X1253" i="13"/>
  <c r="Y1253" i="13"/>
  <c r="X1254" i="13"/>
  <c r="X1255" i="13"/>
  <c r="Y1254" i="13"/>
  <c r="X1256" i="13"/>
  <c r="Y1255" i="13"/>
  <c r="Y1256" i="13"/>
  <c r="X1257" i="13"/>
  <c r="Y1257" i="13"/>
  <c r="X1258" i="13"/>
  <c r="X1259" i="13"/>
  <c r="Y1258" i="13"/>
  <c r="X1260" i="13"/>
  <c r="Y1259" i="13"/>
  <c r="Y1260" i="13"/>
  <c r="X1261" i="13"/>
  <c r="Y1261" i="13"/>
  <c r="X1262" i="13"/>
  <c r="X1263" i="13"/>
  <c r="Y1262" i="13"/>
  <c r="X1264" i="13"/>
  <c r="Y1263" i="13"/>
  <c r="Y1264" i="13"/>
  <c r="X1265" i="13"/>
  <c r="Y1265" i="13"/>
  <c r="X1266" i="13"/>
  <c r="X1267" i="13"/>
  <c r="Y1266" i="13"/>
  <c r="X1268" i="13"/>
  <c r="Y1267" i="13"/>
  <c r="Y1268" i="13"/>
  <c r="X1269" i="13"/>
  <c r="Y1269" i="13"/>
  <c r="X1270" i="13"/>
  <c r="X1271" i="13"/>
  <c r="Y1270" i="13"/>
  <c r="X1272" i="13"/>
  <c r="Y1271" i="13"/>
  <c r="Y1272" i="13"/>
  <c r="X1273" i="13"/>
  <c r="Y1273" i="13"/>
  <c r="X1274" i="13"/>
  <c r="X1275" i="13"/>
  <c r="Y1274" i="13"/>
  <c r="X1276" i="13"/>
  <c r="Y1275" i="13"/>
  <c r="Y1276" i="13"/>
  <c r="X1277" i="13"/>
  <c r="Y1277" i="13"/>
  <c r="X1278" i="13"/>
  <c r="X1279" i="13"/>
  <c r="Y1278" i="13"/>
  <c r="X1280" i="13"/>
  <c r="Y1279" i="13"/>
  <c r="Y1280" i="13"/>
  <c r="X1281" i="13"/>
  <c r="Y1281" i="13"/>
  <c r="X1282" i="13"/>
  <c r="X1283" i="13"/>
  <c r="Y1282" i="13"/>
  <c r="X1284" i="13"/>
  <c r="Y1283" i="13"/>
  <c r="Y1284" i="13"/>
  <c r="X1285" i="13"/>
  <c r="Y1285" i="13"/>
  <c r="X1286" i="13"/>
  <c r="Y1286" i="13"/>
  <c r="X1287" i="13"/>
  <c r="X1288" i="13"/>
  <c r="Y1287" i="13"/>
  <c r="X1289" i="13"/>
  <c r="Y1288" i="13"/>
  <c r="Y1289" i="13"/>
  <c r="X1290" i="13"/>
  <c r="X1291" i="13"/>
  <c r="Y1290" i="13"/>
  <c r="X1292" i="13"/>
  <c r="Y1291" i="13"/>
  <c r="Y1292" i="13"/>
  <c r="X1293" i="13"/>
  <c r="Y1293" i="13"/>
  <c r="X1294" i="13"/>
  <c r="X1295" i="13"/>
  <c r="Y1294" i="13"/>
  <c r="X1296" i="13"/>
  <c r="Y1295" i="13"/>
  <c r="Y1296" i="13"/>
  <c r="X1297" i="13"/>
  <c r="Y1297" i="13"/>
  <c r="X1298" i="13"/>
  <c r="Y1298" i="13"/>
  <c r="X1299" i="13"/>
  <c r="X1300" i="13"/>
  <c r="Y1299" i="13"/>
  <c r="Y1300" i="13"/>
  <c r="X1301" i="13"/>
  <c r="Y1301" i="13"/>
  <c r="X1302" i="13"/>
  <c r="X1303" i="13"/>
  <c r="Y1302" i="13"/>
  <c r="X1304" i="13"/>
  <c r="Y1303" i="13"/>
  <c r="Y1304" i="13"/>
  <c r="X1305" i="13"/>
  <c r="Y1305" i="13"/>
  <c r="X1306" i="13"/>
  <c r="X1307" i="13"/>
  <c r="Y1306" i="13"/>
  <c r="X1308" i="13"/>
  <c r="Y1307" i="13"/>
  <c r="Y1308" i="13"/>
  <c r="X1309" i="13"/>
  <c r="Y1309" i="13"/>
  <c r="X1310" i="13"/>
  <c r="X1311" i="13"/>
  <c r="Y1310" i="13"/>
  <c r="X1312" i="13"/>
  <c r="Y1311" i="13"/>
  <c r="Y1312" i="13"/>
  <c r="X1313" i="13"/>
  <c r="Y1313" i="13"/>
  <c r="X1314" i="13"/>
  <c r="X1315" i="13"/>
  <c r="Y1314" i="13"/>
  <c r="Y1315" i="13"/>
  <c r="X1316" i="13"/>
  <c r="Y1316" i="13"/>
  <c r="X1317" i="13"/>
  <c r="Y1317" i="13"/>
  <c r="X1318" i="13"/>
  <c r="Y1318" i="13"/>
  <c r="X1319" i="13"/>
  <c r="X1320" i="13"/>
  <c r="Y1319" i="13"/>
  <c r="Y1320" i="13"/>
  <c r="X1321" i="13"/>
  <c r="Y1321" i="13"/>
  <c r="X1322" i="13"/>
  <c r="X1323" i="13"/>
  <c r="Y1322" i="13"/>
  <c r="X1324" i="13"/>
  <c r="Y1323" i="13"/>
  <c r="X1325" i="13"/>
  <c r="Y1324" i="13"/>
  <c r="Y1325" i="13"/>
  <c r="X1326" i="13"/>
  <c r="X1327" i="13"/>
  <c r="Y1326" i="13"/>
  <c r="X1328" i="13"/>
  <c r="Y1327" i="13"/>
  <c r="Y1328" i="13"/>
  <c r="X1329" i="13"/>
  <c r="Y1329" i="13"/>
  <c r="X1330" i="13"/>
  <c r="Y1330" i="13"/>
  <c r="X1331" i="13"/>
  <c r="X1332" i="13"/>
  <c r="Y1331" i="13"/>
  <c r="Y1332" i="13"/>
  <c r="X1333" i="13"/>
  <c r="Y1333" i="13"/>
  <c r="X1334" i="13"/>
  <c r="X1335" i="13"/>
  <c r="Y1334" i="13"/>
  <c r="X1336" i="13"/>
  <c r="Y1335" i="13"/>
  <c r="Y1336" i="13"/>
  <c r="X1337" i="13"/>
  <c r="Y1337" i="13"/>
  <c r="X1338" i="13"/>
  <c r="Y1338" i="13"/>
  <c r="X1339" i="13"/>
  <c r="Y1339" i="13"/>
  <c r="X1340" i="13"/>
  <c r="Y1340" i="13"/>
  <c r="X1341" i="13"/>
  <c r="Y1341" i="13"/>
  <c r="X1342" i="13"/>
  <c r="X1343" i="13"/>
  <c r="Y1342" i="13"/>
  <c r="Y1343" i="13"/>
  <c r="X1344" i="13"/>
  <c r="Y1344" i="13"/>
  <c r="X1345" i="13"/>
  <c r="Y1345" i="13"/>
  <c r="X1346" i="13"/>
  <c r="X1347" i="13"/>
  <c r="Y1346" i="13"/>
  <c r="X1348" i="13"/>
  <c r="Y1347" i="13"/>
  <c r="Y1348" i="13"/>
  <c r="X1349" i="13"/>
  <c r="X1350" i="13"/>
  <c r="Y1349" i="13"/>
  <c r="X1351" i="13"/>
  <c r="Y1350" i="13"/>
  <c r="X1352" i="13"/>
  <c r="Y1351" i="13"/>
  <c r="Y1352" i="13"/>
  <c r="X1353" i="13"/>
  <c r="Y1353" i="13"/>
  <c r="X1354" i="13"/>
  <c r="Y1354" i="13"/>
  <c r="X1355" i="13"/>
  <c r="X1356" i="13"/>
  <c r="Y1355" i="13"/>
  <c r="Y1356" i="13"/>
  <c r="X1357" i="13"/>
  <c r="Y1357" i="13"/>
  <c r="X1358" i="13"/>
  <c r="Y1358" i="13"/>
  <c r="X1359" i="13"/>
  <c r="Y1359" i="13"/>
  <c r="X1360" i="13"/>
  <c r="Y1360" i="13"/>
  <c r="X1361" i="13"/>
  <c r="Y1361" i="13"/>
  <c r="X1362" i="13"/>
  <c r="X1363" i="13"/>
  <c r="Y1362" i="13"/>
  <c r="X1364" i="13"/>
  <c r="Y1363" i="13"/>
  <c r="Y1364" i="13"/>
  <c r="X1365" i="13"/>
  <c r="X1366" i="13"/>
  <c r="Y1365" i="13"/>
  <c r="X1367" i="13"/>
  <c r="Y1366" i="13"/>
  <c r="X1368" i="13"/>
  <c r="Y1367" i="13"/>
  <c r="Y1368" i="13"/>
  <c r="X1369" i="13"/>
  <c r="Y1369" i="13"/>
  <c r="X1370" i="13"/>
  <c r="Y1370" i="13"/>
  <c r="X1371" i="13"/>
  <c r="X1372" i="13"/>
  <c r="Y1371" i="13"/>
  <c r="Y1372" i="13"/>
  <c r="X1373" i="13"/>
  <c r="Y1373" i="13"/>
  <c r="X1374" i="13"/>
  <c r="X1375" i="13"/>
  <c r="Y1374" i="13"/>
  <c r="Y1375" i="13"/>
  <c r="X1376" i="13"/>
  <c r="Y1376" i="13"/>
  <c r="X1377" i="13"/>
  <c r="Y1377" i="13"/>
  <c r="X1378" i="13"/>
  <c r="X1379" i="13"/>
  <c r="Y1378" i="13"/>
  <c r="X1380" i="13"/>
  <c r="Y1379" i="13"/>
  <c r="Y1380" i="13"/>
  <c r="X1381" i="13"/>
  <c r="X1382" i="13"/>
  <c r="Y1381" i="13"/>
  <c r="X1383" i="13"/>
  <c r="Y1382" i="13"/>
  <c r="X1384" i="13"/>
  <c r="Y1383" i="13"/>
  <c r="Y1384" i="13"/>
  <c r="X1385" i="13"/>
  <c r="Y1385" i="13"/>
  <c r="X1386" i="13"/>
  <c r="Y1386" i="13"/>
  <c r="X1387" i="13"/>
  <c r="X1388" i="13"/>
  <c r="Y1387" i="13"/>
  <c r="X1389" i="13"/>
  <c r="Y1388" i="13"/>
  <c r="Y1389" i="13"/>
  <c r="X1390" i="13"/>
  <c r="X1391" i="13"/>
  <c r="Y1390" i="13"/>
  <c r="Y1391" i="13"/>
  <c r="X1392" i="13"/>
  <c r="X1393" i="13"/>
  <c r="Y1392" i="13"/>
  <c r="Y1393" i="13"/>
  <c r="X1394" i="13"/>
  <c r="X1395" i="13"/>
  <c r="Y1394" i="13"/>
  <c r="X1396" i="13"/>
  <c r="Y1395" i="13"/>
  <c r="X1397" i="13"/>
  <c r="Y1396" i="13"/>
  <c r="Y1397" i="13"/>
  <c r="X1398" i="13"/>
  <c r="X1399" i="13"/>
  <c r="Y1398" i="13"/>
  <c r="X1400" i="13"/>
  <c r="Y1399" i="13"/>
  <c r="X1401" i="13"/>
  <c r="Y1400" i="13"/>
  <c r="Y1401" i="13"/>
  <c r="X1402" i="13"/>
  <c r="Y1402" i="13"/>
  <c r="X1403" i="13"/>
  <c r="Y1403" i="13"/>
  <c r="X1404" i="13"/>
  <c r="Y1404" i="13"/>
  <c r="X1405" i="13"/>
  <c r="Y1405" i="13"/>
  <c r="X1406" i="13"/>
  <c r="X1407" i="13"/>
  <c r="Y1406" i="13"/>
  <c r="Y1407" i="13"/>
  <c r="X1408" i="13"/>
  <c r="X1409" i="13"/>
  <c r="Y1408" i="13"/>
  <c r="Y1409" i="13"/>
  <c r="X1410" i="13"/>
  <c r="X1411" i="13"/>
  <c r="Y1410" i="13"/>
  <c r="X1412" i="13"/>
  <c r="Y1411" i="13"/>
  <c r="X1413" i="13"/>
  <c r="Y1412" i="13"/>
  <c r="X1414" i="13"/>
  <c r="Y1413" i="13"/>
  <c r="X1415" i="13"/>
  <c r="Y1414" i="13"/>
  <c r="X1416" i="13"/>
  <c r="Y1415" i="13"/>
  <c r="X1417" i="13"/>
  <c r="Y1416" i="13"/>
  <c r="Y1417" i="13"/>
  <c r="X1418" i="13"/>
  <c r="Y1418" i="13"/>
  <c r="X1419" i="13"/>
  <c r="X1420" i="13"/>
  <c r="Y1419" i="13"/>
  <c r="X1421" i="13"/>
  <c r="Y1420" i="13"/>
  <c r="Y1421" i="13"/>
  <c r="X1422" i="13"/>
  <c r="X1423" i="13"/>
  <c r="Y1422" i="13"/>
  <c r="Y1423" i="13"/>
  <c r="X1424" i="13"/>
  <c r="Y1424" i="13"/>
  <c r="X1425" i="13"/>
  <c r="Y1425" i="13"/>
  <c r="X1426" i="13"/>
  <c r="X1427" i="13"/>
  <c r="Y1426" i="13"/>
  <c r="X1428" i="13"/>
  <c r="Y1427" i="13"/>
  <c r="X1429" i="13"/>
  <c r="Y1428" i="13"/>
  <c r="Y1429" i="13"/>
  <c r="X1430" i="13"/>
  <c r="X1431" i="13"/>
  <c r="Y1430" i="13"/>
  <c r="X1432" i="13"/>
  <c r="Y1431" i="13"/>
  <c r="X1433" i="13"/>
  <c r="Y1432" i="13"/>
  <c r="Y1433" i="13"/>
  <c r="X1434" i="13"/>
  <c r="Y1434" i="13"/>
  <c r="X1435" i="13"/>
  <c r="X1436" i="13"/>
  <c r="Y1435" i="13"/>
  <c r="Y1436" i="13"/>
  <c r="X1437" i="13"/>
  <c r="Y1437" i="13"/>
  <c r="X1438" i="13"/>
  <c r="X1439" i="13"/>
  <c r="Y1438" i="13"/>
  <c r="Y1439" i="13"/>
  <c r="X1440" i="13"/>
  <c r="X1441" i="13"/>
  <c r="Y1440" i="13"/>
  <c r="Y1441" i="13"/>
  <c r="X1442" i="13"/>
  <c r="X1443" i="13"/>
  <c r="Y1442" i="13"/>
  <c r="X1444" i="13"/>
  <c r="Y1443" i="13"/>
  <c r="X1445" i="13"/>
  <c r="Y1444" i="13"/>
  <c r="X1446" i="13"/>
  <c r="Y1445" i="13"/>
  <c r="X1447" i="13"/>
  <c r="Y1446" i="13"/>
  <c r="X1448" i="13"/>
  <c r="Y1447" i="13"/>
  <c r="X1449" i="13"/>
  <c r="Y1448" i="13"/>
  <c r="Y1449" i="13"/>
  <c r="X1450" i="13"/>
  <c r="Y1450" i="13"/>
  <c r="X1451" i="13"/>
  <c r="X1452" i="13"/>
  <c r="Y1451" i="13"/>
  <c r="X1453" i="13"/>
  <c r="Y1452" i="13"/>
  <c r="Y1453" i="13"/>
  <c r="X1454" i="13"/>
  <c r="X1455" i="13"/>
  <c r="Y1454" i="13"/>
  <c r="Y1455" i="13"/>
  <c r="X1456" i="13"/>
  <c r="X1457" i="13"/>
  <c r="Y1456" i="13"/>
  <c r="Y1457" i="13"/>
  <c r="X1458" i="13"/>
  <c r="X1459" i="13"/>
  <c r="Y1458" i="13"/>
  <c r="Y1459" i="13"/>
  <c r="X1460" i="13"/>
  <c r="X1461" i="13"/>
  <c r="Y1460" i="13"/>
  <c r="Y1461" i="13"/>
  <c r="X1462" i="13"/>
  <c r="X1463" i="13"/>
  <c r="Y1462" i="13"/>
  <c r="X1464" i="13"/>
  <c r="Y1463" i="13"/>
  <c r="X1465" i="13"/>
  <c r="Y1464" i="13"/>
  <c r="Y1465" i="13"/>
  <c r="X1466" i="13"/>
  <c r="Y1466" i="13"/>
  <c r="X1467" i="13"/>
  <c r="X1468" i="13"/>
  <c r="Y1467" i="13"/>
  <c r="Y1468" i="13"/>
  <c r="X1469" i="13"/>
  <c r="Y1469" i="13"/>
  <c r="X1470" i="13"/>
  <c r="X1471" i="13"/>
  <c r="Y1470" i="13"/>
  <c r="Y1471" i="13"/>
  <c r="X1472" i="13"/>
  <c r="X1473" i="13"/>
  <c r="Y1472" i="13"/>
  <c r="X1474" i="13"/>
  <c r="Y1473" i="13"/>
  <c r="X1475" i="13"/>
  <c r="Y1474" i="13"/>
  <c r="X1476" i="13"/>
  <c r="Y1475" i="13"/>
  <c r="X1477" i="13"/>
  <c r="Y1476" i="13"/>
  <c r="X1478" i="13"/>
  <c r="Y1477" i="13"/>
  <c r="X1479" i="13"/>
  <c r="Y1478" i="13"/>
  <c r="X1480" i="13"/>
  <c r="Y1479" i="13"/>
  <c r="X1481" i="13"/>
  <c r="Y1480" i="13"/>
  <c r="Y1481" i="13"/>
  <c r="X1482" i="13"/>
  <c r="Y1482" i="13"/>
  <c r="X1483" i="13"/>
  <c r="X1484" i="13"/>
  <c r="Y1483" i="13"/>
  <c r="X1485" i="13"/>
  <c r="Y1484" i="13"/>
  <c r="Y1485" i="13"/>
  <c r="X1486" i="13"/>
  <c r="X1487" i="13"/>
  <c r="Y1486" i="13"/>
  <c r="Y1487" i="13"/>
  <c r="X1488" i="13"/>
  <c r="X1489" i="13"/>
  <c r="Y1488" i="13"/>
  <c r="Y1489" i="13"/>
  <c r="X1490" i="13"/>
  <c r="X1491" i="13"/>
  <c r="Y1490" i="13"/>
  <c r="X1492" i="13"/>
  <c r="Y1491" i="13"/>
  <c r="X1493" i="13"/>
  <c r="Y1492" i="13"/>
  <c r="Y1493" i="13"/>
  <c r="X1494" i="13"/>
  <c r="X1495" i="13"/>
  <c r="Y1494" i="13"/>
  <c r="Y1495" i="13"/>
  <c r="X1496" i="13"/>
  <c r="X1497" i="13"/>
  <c r="Y1496" i="13"/>
  <c r="Y1497" i="13"/>
  <c r="X1498" i="13"/>
  <c r="Y1498" i="13"/>
  <c r="X1499" i="13"/>
  <c r="X1500" i="13"/>
  <c r="Y1499" i="13"/>
  <c r="Y1500" i="13"/>
  <c r="X1501" i="13"/>
  <c r="Y1501" i="13"/>
  <c r="X1502" i="13"/>
  <c r="X1503" i="13"/>
  <c r="Y1502" i="13"/>
  <c r="Y1503" i="13"/>
  <c r="X1504" i="13"/>
  <c r="X1505" i="13"/>
  <c r="Y1504" i="13"/>
  <c r="X1506" i="13"/>
  <c r="Y1505" i="13"/>
  <c r="X1507" i="13"/>
  <c r="Y1506" i="13"/>
  <c r="X1508" i="13"/>
  <c r="Y1507" i="13"/>
  <c r="X1509" i="13"/>
  <c r="Y1508" i="13"/>
  <c r="X1510" i="13"/>
  <c r="Y1509" i="13"/>
  <c r="X1511" i="13"/>
  <c r="Y1510" i="13"/>
  <c r="X1512" i="13"/>
  <c r="Y1511" i="13"/>
  <c r="Y1512" i="13"/>
  <c r="X1513" i="13"/>
  <c r="Y1513" i="13"/>
  <c r="X1514" i="13"/>
  <c r="Y1514" i="13"/>
  <c r="X1515" i="13"/>
  <c r="X1516" i="13"/>
  <c r="Y1515" i="13"/>
  <c r="X1517" i="13"/>
  <c r="Y1516" i="13"/>
  <c r="Y1517" i="13"/>
  <c r="X1518" i="13"/>
  <c r="X1519" i="13"/>
  <c r="Y1518" i="13"/>
  <c r="Y1519" i="13"/>
  <c r="X1520" i="13"/>
  <c r="X1521" i="13"/>
  <c r="Y1520" i="13"/>
  <c r="Y1521" i="13"/>
  <c r="X1522" i="13"/>
  <c r="X1523" i="13"/>
  <c r="Y1522" i="13"/>
  <c r="Y1523" i="13"/>
  <c r="X1524" i="13"/>
  <c r="X1525" i="13"/>
  <c r="Y1524" i="13"/>
  <c r="Y1525" i="13"/>
  <c r="X1526" i="13"/>
  <c r="X1527" i="13"/>
  <c r="Y1526" i="13"/>
  <c r="X1528" i="13"/>
  <c r="Y1527" i="13"/>
  <c r="X1529" i="13"/>
  <c r="Y1528" i="13"/>
  <c r="Y1529" i="13"/>
  <c r="X1530" i="13"/>
  <c r="Y1530" i="13"/>
  <c r="X1531" i="13"/>
  <c r="X1532" i="13"/>
  <c r="Y1531" i="13"/>
  <c r="Y1532" i="13"/>
  <c r="X1533" i="13"/>
  <c r="Y1533" i="13"/>
  <c r="X1534" i="13"/>
  <c r="X1535" i="13"/>
  <c r="Y1534" i="13"/>
  <c r="Y1535" i="13"/>
  <c r="X1536" i="13"/>
  <c r="X1537" i="13"/>
  <c r="Y1536" i="13"/>
  <c r="X1538" i="13"/>
  <c r="Y1537" i="13"/>
  <c r="X1539" i="13"/>
  <c r="Y1538" i="13"/>
  <c r="X1540" i="13"/>
  <c r="Y1539" i="13"/>
  <c r="X1541" i="13"/>
  <c r="Y1540" i="13"/>
  <c r="X1542" i="13"/>
  <c r="Y1541" i="13"/>
  <c r="X1543" i="13"/>
  <c r="Y1542" i="13"/>
  <c r="X1544" i="13"/>
  <c r="Y1543" i="13"/>
  <c r="X1545" i="13"/>
  <c r="Y1544" i="13"/>
  <c r="Y1545" i="13"/>
  <c r="X1546" i="13"/>
  <c r="Y1546" i="13"/>
  <c r="X1547" i="13"/>
  <c r="X1548" i="13"/>
  <c r="Y1547" i="13"/>
  <c r="X1549" i="13"/>
  <c r="Y1548" i="13"/>
  <c r="Y1549" i="13"/>
  <c r="X1550" i="13"/>
  <c r="X1551" i="13"/>
  <c r="Y1550" i="13"/>
  <c r="X1552" i="13"/>
  <c r="Y1551" i="13"/>
  <c r="X1553" i="13"/>
  <c r="Y1552" i="13"/>
  <c r="Y1553" i="13"/>
  <c r="X1554" i="13"/>
  <c r="X1555" i="13"/>
  <c r="Y1554" i="13"/>
  <c r="X1556" i="13"/>
  <c r="Y1555" i="13"/>
  <c r="X1557" i="13"/>
  <c r="Y1556" i="13"/>
  <c r="Y1557" i="13"/>
  <c r="X1558" i="13"/>
  <c r="Y1558" i="13"/>
  <c r="X1559" i="13"/>
  <c r="X1560" i="13"/>
  <c r="Y1559" i="13"/>
  <c r="X1561" i="13"/>
  <c r="Y1560" i="13"/>
  <c r="Y1561" i="13"/>
  <c r="X1562" i="13"/>
  <c r="X1563" i="13"/>
  <c r="Y1562" i="13"/>
  <c r="X1564" i="13"/>
  <c r="Y1563" i="13"/>
  <c r="Y1564" i="13"/>
  <c r="X1565" i="13"/>
  <c r="Y1565" i="13"/>
  <c r="X1566" i="13"/>
  <c r="X1567" i="13"/>
  <c r="Y1566" i="13"/>
  <c r="X1568" i="13"/>
  <c r="Y1567" i="13"/>
  <c r="X1569" i="13"/>
  <c r="Y1568" i="13"/>
  <c r="X1570" i="13"/>
  <c r="Y1569" i="13"/>
  <c r="X1571" i="13"/>
  <c r="Y1570" i="13"/>
  <c r="X1572" i="13"/>
  <c r="Y1571" i="13"/>
  <c r="X1573" i="13"/>
  <c r="Y1572" i="13"/>
  <c r="X1574" i="13"/>
  <c r="Y1573" i="13"/>
  <c r="X1575" i="13"/>
  <c r="Y1574" i="13"/>
  <c r="Y1575" i="13"/>
  <c r="X1576" i="13"/>
  <c r="X1577" i="13"/>
  <c r="Y1576" i="13"/>
  <c r="Y1577" i="13"/>
  <c r="X1578" i="13"/>
  <c r="Y1578" i="13"/>
  <c r="X1579" i="13"/>
  <c r="X1580" i="13"/>
  <c r="Y1579" i="13"/>
  <c r="X1581" i="13"/>
  <c r="Y1580" i="13"/>
  <c r="X1582" i="13"/>
  <c r="Y1581" i="13"/>
  <c r="X1583" i="13"/>
  <c r="Y1582" i="13"/>
  <c r="Y1583" i="13"/>
  <c r="X1584" i="13"/>
  <c r="X1585" i="13"/>
  <c r="Y1584" i="13"/>
  <c r="Y1585" i="13"/>
  <c r="X1586" i="13"/>
  <c r="X1587" i="13"/>
  <c r="Y1586" i="13"/>
  <c r="X1588" i="13"/>
  <c r="Y1587" i="13"/>
  <c r="X1589" i="13"/>
  <c r="Y1588" i="13"/>
  <c r="X1590" i="13"/>
  <c r="Y1589" i="13"/>
  <c r="Y1590" i="13"/>
  <c r="X1591" i="13"/>
  <c r="X1592" i="13"/>
  <c r="Y1591" i="13"/>
  <c r="Y1592" i="13"/>
  <c r="X1593" i="13"/>
  <c r="Y1593" i="13"/>
  <c r="X1594" i="13"/>
  <c r="Y1594" i="13"/>
  <c r="X1595" i="13"/>
  <c r="X1596" i="13"/>
  <c r="Y1595" i="13"/>
  <c r="X1597" i="13"/>
  <c r="Y1596" i="13"/>
  <c r="Y1597" i="13"/>
  <c r="X1598" i="13"/>
  <c r="X1599" i="13"/>
  <c r="Y1598" i="13"/>
  <c r="X1600" i="13"/>
  <c r="Y1599" i="13"/>
  <c r="X1601" i="13"/>
  <c r="Y1600" i="13"/>
  <c r="Y1601" i="13"/>
  <c r="X1602" i="13"/>
  <c r="Y1602" i="13"/>
  <c r="X1603" i="13"/>
  <c r="Y1603" i="13"/>
  <c r="X1604" i="13"/>
  <c r="X1605" i="13"/>
  <c r="Y1604" i="13"/>
  <c r="Y1605" i="13"/>
  <c r="X1606" i="13"/>
  <c r="X1607" i="13"/>
  <c r="Y1606" i="13"/>
  <c r="Y1607" i="13"/>
  <c r="X1608" i="13"/>
  <c r="X1609" i="13"/>
  <c r="Y1608" i="13"/>
  <c r="Y1609" i="13"/>
  <c r="X1610" i="13"/>
  <c r="Y1610" i="13"/>
  <c r="X1611" i="13"/>
  <c r="X1612" i="13"/>
  <c r="Y1611" i="13"/>
  <c r="X1613" i="13"/>
  <c r="Y1612" i="13"/>
  <c r="Y1613" i="13"/>
  <c r="X1614" i="13"/>
  <c r="X1615" i="13"/>
  <c r="Y1614" i="13"/>
  <c r="Y1615" i="13"/>
  <c r="X1616" i="13"/>
  <c r="X1617" i="13"/>
  <c r="Y1616" i="13"/>
  <c r="X1618" i="13"/>
  <c r="Y1617" i="13"/>
  <c r="Y1618" i="13"/>
  <c r="X1619" i="13"/>
  <c r="X1620" i="13"/>
  <c r="Y1619" i="13"/>
  <c r="X1621" i="13"/>
  <c r="Y1620" i="13"/>
  <c r="Y1621" i="13"/>
  <c r="X1622" i="13"/>
  <c r="X1623" i="13"/>
  <c r="Y1622" i="13"/>
  <c r="Y1623" i="13"/>
  <c r="X1624" i="13"/>
  <c r="Y1624" i="13"/>
  <c r="X1625" i="13"/>
  <c r="Y1625" i="13"/>
  <c r="X1626" i="13"/>
  <c r="X1627" i="13"/>
  <c r="Y1626" i="13"/>
  <c r="X1628" i="13"/>
  <c r="Y1627" i="13"/>
  <c r="X1629" i="13"/>
  <c r="Y1628" i="13"/>
  <c r="Y1629" i="13"/>
  <c r="X1630" i="13"/>
  <c r="X1631" i="13"/>
  <c r="Y1630" i="13"/>
  <c r="Y1631" i="13"/>
  <c r="X1632" i="13"/>
  <c r="X1633" i="13"/>
  <c r="Y1632" i="13"/>
  <c r="X1634" i="13"/>
  <c r="Y1633" i="13"/>
  <c r="Y1634" i="13"/>
  <c r="X1635" i="13"/>
  <c r="Y1635" i="13"/>
  <c r="X1636" i="13"/>
  <c r="X1637" i="13"/>
  <c r="Y1636" i="13"/>
  <c r="Y1637" i="13"/>
  <c r="X1638" i="13"/>
  <c r="X1639" i="13"/>
  <c r="Y1638" i="13"/>
  <c r="X1640" i="13"/>
  <c r="Y1639" i="13"/>
  <c r="X1641" i="13"/>
  <c r="Y1640" i="13"/>
  <c r="X1642" i="13"/>
  <c r="Y1641" i="13"/>
  <c r="X1643" i="13"/>
  <c r="Y1642" i="13"/>
  <c r="X1644" i="13"/>
  <c r="Y1643" i="13"/>
  <c r="X1645" i="13"/>
  <c r="Y1644" i="13"/>
  <c r="Y1645" i="13"/>
  <c r="X1646" i="13"/>
  <c r="X1647" i="13"/>
  <c r="Y1646" i="13"/>
  <c r="Y1647" i="13"/>
  <c r="X1648" i="13"/>
  <c r="X1649" i="13"/>
  <c r="Y1648" i="13"/>
  <c r="X1650" i="13"/>
  <c r="Y1649" i="13"/>
  <c r="Y1650" i="13"/>
  <c r="X1651" i="13"/>
  <c r="X1652" i="13"/>
  <c r="Y1651" i="13"/>
  <c r="X1653" i="13"/>
  <c r="Y1652" i="13"/>
  <c r="Y1653" i="13"/>
  <c r="X1654" i="13"/>
  <c r="X1655" i="13"/>
  <c r="Y1654" i="13"/>
  <c r="Y1655" i="13"/>
  <c r="X1656" i="13"/>
  <c r="X1657" i="13"/>
  <c r="Y1656" i="13"/>
  <c r="Y1657" i="13"/>
  <c r="X1658" i="13"/>
  <c r="Y1658" i="13"/>
  <c r="X1659" i="13"/>
  <c r="X1660" i="13"/>
  <c r="Y1659" i="13"/>
  <c r="X1661" i="13"/>
  <c r="Y1660" i="13"/>
  <c r="X1662" i="13"/>
  <c r="Y1661" i="13"/>
  <c r="X1663" i="13"/>
  <c r="Y1662" i="13"/>
  <c r="X1664" i="13"/>
  <c r="Y1663" i="13"/>
  <c r="X1665" i="13"/>
  <c r="Y1664" i="13"/>
  <c r="X1666" i="13"/>
  <c r="Y1665" i="13"/>
  <c r="X1667" i="13"/>
  <c r="Y1666" i="13"/>
  <c r="Y1667" i="13"/>
  <c r="X1668" i="13"/>
  <c r="X1669" i="13"/>
  <c r="Y1668" i="13"/>
  <c r="Y1669" i="13"/>
  <c r="X1670" i="13"/>
  <c r="X1671" i="13"/>
  <c r="Y1670" i="13"/>
  <c r="Y1671" i="13"/>
  <c r="X1672" i="13"/>
  <c r="X1673" i="13"/>
  <c r="Y1672" i="13"/>
  <c r="X1674" i="13"/>
  <c r="Y1673" i="13"/>
  <c r="Y1674" i="13"/>
  <c r="X1675" i="13"/>
  <c r="X1676" i="13"/>
  <c r="Y1675" i="13"/>
  <c r="X1677" i="13"/>
  <c r="Y1676" i="13"/>
  <c r="X1678" i="13"/>
  <c r="Y1677" i="13"/>
  <c r="Y1678" i="13"/>
  <c r="X1679" i="13"/>
  <c r="Y1679" i="13"/>
  <c r="X1680" i="13"/>
  <c r="X1681" i="13"/>
  <c r="Y1680" i="13"/>
  <c r="X1682" i="13"/>
  <c r="Y1681" i="13"/>
  <c r="X1683" i="13"/>
  <c r="Y1682" i="13"/>
  <c r="Y1683" i="13"/>
  <c r="X1684" i="13"/>
  <c r="X1685" i="13"/>
  <c r="Y1684" i="13"/>
  <c r="X1686" i="13"/>
  <c r="Y1685" i="13"/>
  <c r="X1687" i="13"/>
  <c r="Y1686" i="13"/>
  <c r="X1688" i="13"/>
  <c r="Y1687" i="13"/>
  <c r="Y1688" i="13"/>
  <c r="X1689" i="13"/>
  <c r="X1690" i="13"/>
  <c r="Y1689" i="13"/>
  <c r="Y1690" i="13"/>
  <c r="X1691" i="13"/>
  <c r="X1692" i="13"/>
  <c r="Y1691" i="13"/>
  <c r="X1693" i="13"/>
  <c r="Y1692" i="13"/>
  <c r="Y1693" i="13"/>
  <c r="X1694" i="13"/>
  <c r="X1695" i="13"/>
  <c r="Y1694" i="13"/>
  <c r="Y1695" i="13"/>
  <c r="X1696" i="13"/>
  <c r="X1697" i="13"/>
  <c r="Y1696" i="13"/>
  <c r="X1698" i="13"/>
  <c r="Y1697" i="13"/>
  <c r="X1699" i="13"/>
  <c r="Y1698" i="13"/>
  <c r="Y1699" i="13"/>
  <c r="X1700" i="13"/>
  <c r="X1701" i="13"/>
  <c r="Y1700" i="13"/>
  <c r="Y1701" i="13"/>
  <c r="X1702" i="13"/>
  <c r="X1703" i="13"/>
  <c r="Y1702" i="13"/>
  <c r="X1704" i="13"/>
  <c r="Y1703" i="13"/>
  <c r="X1705" i="13"/>
  <c r="Y1704" i="13"/>
  <c r="X1706" i="13"/>
  <c r="Y1705" i="13"/>
  <c r="X1707" i="13"/>
  <c r="Y1706" i="13"/>
  <c r="X1708" i="13"/>
  <c r="Y1707" i="13"/>
  <c r="X1709" i="13"/>
  <c r="Y1708" i="13"/>
  <c r="Y1709" i="13"/>
  <c r="X1710" i="13"/>
  <c r="X1711" i="13"/>
  <c r="Y1710" i="13"/>
  <c r="X1712" i="13"/>
  <c r="Y1711" i="13"/>
  <c r="X1713" i="13"/>
  <c r="Y1712" i="13"/>
  <c r="X1714" i="13"/>
  <c r="Y1713" i="13"/>
  <c r="Y1714" i="13"/>
  <c r="X1715" i="13"/>
  <c r="X1716" i="13"/>
  <c r="Y1715" i="13"/>
  <c r="X1717" i="13"/>
  <c r="Y1716" i="13"/>
  <c r="Y1717" i="13"/>
  <c r="X1718" i="13"/>
  <c r="X1719" i="13"/>
  <c r="Y1718" i="13"/>
  <c r="X1720" i="13"/>
  <c r="Y1719" i="13"/>
  <c r="Y1720" i="13"/>
  <c r="X1721" i="13"/>
  <c r="Y1721" i="13"/>
  <c r="X1722" i="13"/>
  <c r="Y1722" i="13"/>
  <c r="X1723" i="13"/>
  <c r="X1724" i="13"/>
  <c r="Y1723" i="13"/>
  <c r="Y1724" i="13"/>
  <c r="X1725" i="13"/>
  <c r="X1726" i="13"/>
  <c r="Y1725" i="13"/>
  <c r="Y1726" i="13"/>
  <c r="X1727" i="13"/>
  <c r="Y1727" i="13"/>
  <c r="X1728" i="13"/>
  <c r="Y1728" i="13"/>
  <c r="X1729" i="13"/>
  <c r="Y1729" i="13"/>
  <c r="X1730" i="13"/>
  <c r="X1731" i="13"/>
  <c r="Y1730" i="13"/>
  <c r="Y1731" i="13"/>
  <c r="X1732" i="13"/>
  <c r="X1733" i="13"/>
  <c r="Y1732" i="13"/>
  <c r="Y1733" i="13"/>
  <c r="X1734" i="13"/>
  <c r="X1735" i="13"/>
  <c r="Y1734" i="13"/>
  <c r="X1736" i="13"/>
  <c r="Y1735" i="13"/>
  <c r="X1737" i="13"/>
  <c r="Y1736" i="13"/>
  <c r="Y1737" i="13"/>
  <c r="X1738" i="13"/>
  <c r="X1739" i="13"/>
  <c r="Y1738" i="13"/>
  <c r="Y1739" i="13"/>
  <c r="X1740" i="13"/>
  <c r="X1741" i="13"/>
  <c r="Y1740" i="13"/>
  <c r="Y1741" i="13"/>
  <c r="X1742" i="13"/>
  <c r="Y1742" i="13"/>
  <c r="X1743" i="13"/>
  <c r="Y1743" i="13"/>
  <c r="X1744" i="13"/>
  <c r="X1745" i="13"/>
  <c r="Y1744" i="13"/>
  <c r="Y1745" i="13"/>
  <c r="X1746" i="13"/>
  <c r="X1747" i="13"/>
  <c r="Y1746" i="13"/>
  <c r="Y1747" i="13"/>
  <c r="X1748" i="13"/>
  <c r="X1749" i="13"/>
  <c r="Y1748" i="13"/>
  <c r="X1750" i="13"/>
  <c r="Y1749" i="13"/>
  <c r="X1751" i="13"/>
  <c r="Y1750" i="13"/>
  <c r="Y1751" i="13"/>
  <c r="X1752" i="13"/>
  <c r="X1753" i="13"/>
  <c r="Y1752" i="13"/>
  <c r="Y1753" i="13"/>
  <c r="X1754" i="13"/>
  <c r="X1755" i="13"/>
  <c r="Y1754" i="13"/>
  <c r="Y1755" i="13"/>
  <c r="X1756" i="13"/>
  <c r="X1757" i="13"/>
  <c r="Y1756" i="13"/>
  <c r="X1758" i="13"/>
  <c r="Y1757" i="13"/>
  <c r="X1759" i="13"/>
  <c r="Y1758" i="13"/>
  <c r="Y1759" i="13"/>
  <c r="X1760" i="13"/>
  <c r="X1761" i="13"/>
  <c r="Y1760" i="13"/>
  <c r="Y1761" i="13"/>
  <c r="X1762" i="13"/>
  <c r="X1763" i="13"/>
  <c r="Y1762" i="13"/>
  <c r="X1764" i="13"/>
  <c r="Y1763" i="13"/>
  <c r="X1765" i="13"/>
  <c r="Y1764" i="13"/>
  <c r="Y1765" i="13"/>
  <c r="X1766" i="13"/>
  <c r="X1767" i="13"/>
  <c r="Y1766" i="13"/>
  <c r="Y1767" i="13"/>
  <c r="X1768" i="13"/>
  <c r="X1769" i="13"/>
  <c r="Y1768" i="13"/>
  <c r="X1770" i="13"/>
  <c r="Y1769" i="13"/>
  <c r="Y1770" i="13"/>
  <c r="X1771" i="13"/>
  <c r="Y1771" i="13"/>
  <c r="X1772" i="13"/>
  <c r="X1773" i="13"/>
  <c r="Y1772" i="13"/>
  <c r="Y1773" i="13"/>
  <c r="X1774" i="13"/>
  <c r="X1775" i="13"/>
  <c r="Y1774" i="13"/>
  <c r="Y1775" i="13"/>
  <c r="X1776" i="13"/>
  <c r="X1777" i="13"/>
  <c r="Y1776" i="13"/>
  <c r="X1778" i="13"/>
  <c r="Y1777" i="13"/>
  <c r="Y1778" i="13"/>
  <c r="X1779" i="13"/>
  <c r="Y1779" i="13"/>
  <c r="X1780" i="13"/>
  <c r="X1781" i="13"/>
  <c r="Y1780" i="13"/>
  <c r="X1782" i="13"/>
  <c r="Y1781" i="13"/>
  <c r="X1783" i="13"/>
  <c r="Y1782" i="13"/>
  <c r="Y1783" i="13"/>
  <c r="X1784" i="13"/>
  <c r="Y1784" i="13"/>
  <c r="X1785" i="13"/>
  <c r="Y1785" i="13"/>
  <c r="X1786" i="13"/>
  <c r="X1787" i="13"/>
  <c r="Y1786" i="13"/>
  <c r="Y1787" i="13"/>
  <c r="X1788" i="13"/>
  <c r="X1789" i="13"/>
  <c r="Y1788" i="13"/>
  <c r="X1790" i="13"/>
  <c r="Y1789" i="13"/>
  <c r="X1791" i="13"/>
  <c r="Y1790" i="13"/>
  <c r="X1792" i="13"/>
  <c r="Y1791" i="13"/>
  <c r="X1793" i="13"/>
  <c r="Y1792" i="13"/>
  <c r="X1794" i="13"/>
  <c r="Y1793" i="13"/>
  <c r="X1795" i="13"/>
  <c r="Y1794" i="13"/>
  <c r="Y1795" i="13"/>
  <c r="X1796" i="13"/>
  <c r="X1797" i="13"/>
  <c r="Y1796" i="13"/>
  <c r="Y1797" i="13"/>
  <c r="X1798" i="13"/>
  <c r="X1799" i="13"/>
  <c r="Y1798" i="13"/>
  <c r="X1800" i="13"/>
  <c r="Y1799" i="13"/>
  <c r="X1801" i="13"/>
  <c r="Y1800" i="13"/>
  <c r="X1802" i="13"/>
  <c r="Y1801" i="13"/>
  <c r="X1803" i="13"/>
  <c r="Y1802" i="13"/>
  <c r="Y1803" i="13"/>
  <c r="X1804" i="13"/>
  <c r="X1805" i="13"/>
  <c r="Y1804" i="13"/>
  <c r="Y1805" i="13"/>
  <c r="X1806" i="13"/>
  <c r="Y1806" i="13"/>
  <c r="X1807" i="13"/>
  <c r="Y1807" i="13"/>
  <c r="X1808" i="13"/>
  <c r="X1809" i="13"/>
  <c r="Y1808" i="13"/>
  <c r="X1810" i="13"/>
  <c r="Y1809" i="13"/>
  <c r="X1811" i="13"/>
  <c r="Y1810" i="13"/>
  <c r="Y1811" i="13"/>
  <c r="X1812" i="13"/>
  <c r="X1813" i="13"/>
  <c r="Y1812" i="13"/>
  <c r="Y1813" i="13"/>
  <c r="X1814" i="13"/>
  <c r="X1815" i="13"/>
  <c r="Y1814" i="13"/>
  <c r="X1816" i="13"/>
  <c r="Y1815" i="13"/>
  <c r="X1817" i="13"/>
  <c r="Y1816" i="13"/>
  <c r="X1818" i="13"/>
  <c r="Y1817" i="13"/>
  <c r="X1819" i="13"/>
  <c r="Y1818" i="13"/>
  <c r="Y1819" i="13"/>
  <c r="X1820" i="13"/>
  <c r="Y1820" i="13"/>
  <c r="X1821" i="13"/>
  <c r="Y1821" i="13"/>
  <c r="X1822" i="13"/>
  <c r="X1823" i="13"/>
  <c r="Y1822" i="13"/>
  <c r="Y1823" i="13"/>
  <c r="X1824" i="13"/>
  <c r="X1825" i="13"/>
  <c r="Y1824" i="13"/>
  <c r="Y1825" i="13"/>
  <c r="X1826" i="13"/>
  <c r="Y1826" i="13"/>
  <c r="X1827" i="13"/>
  <c r="X1828" i="13"/>
  <c r="Y1827" i="13"/>
  <c r="X1829" i="13"/>
  <c r="Y1828" i="13"/>
  <c r="X1830" i="13"/>
  <c r="Y1829" i="13"/>
  <c r="X1831" i="13"/>
  <c r="Y1830" i="13"/>
  <c r="X1832" i="13"/>
  <c r="Y1831" i="13"/>
  <c r="X1833" i="13"/>
  <c r="Y1832" i="13"/>
  <c r="X1834" i="13"/>
  <c r="Y1833" i="13"/>
  <c r="Y1834" i="13"/>
  <c r="X1835" i="13"/>
  <c r="Y1835" i="13"/>
  <c r="X1836" i="13"/>
  <c r="X1837" i="13"/>
  <c r="Y1836" i="13"/>
  <c r="X1838" i="13"/>
  <c r="Y1837" i="13"/>
  <c r="X1839" i="13"/>
  <c r="Y1838" i="13"/>
  <c r="Y1839" i="13"/>
  <c r="X1840" i="13"/>
  <c r="X1841" i="13"/>
  <c r="Y1840" i="13"/>
  <c r="X1842" i="13"/>
  <c r="Y1841" i="13"/>
  <c r="Y1842" i="13"/>
  <c r="X1843" i="13"/>
  <c r="Y1843" i="13"/>
  <c r="X1844" i="13"/>
  <c r="X1845" i="13"/>
  <c r="Y1844" i="13"/>
  <c r="X1846" i="13"/>
  <c r="Y1845" i="13"/>
  <c r="X1847" i="13"/>
  <c r="Y1846" i="13"/>
  <c r="Y1847" i="13"/>
  <c r="X1848" i="13"/>
  <c r="X1849" i="13"/>
  <c r="Y1848" i="13"/>
  <c r="Y1849" i="13"/>
  <c r="X1850" i="13"/>
  <c r="X1851" i="13"/>
  <c r="Y1850" i="13"/>
  <c r="Y1851" i="13"/>
  <c r="X1852" i="13"/>
  <c r="X1853" i="13"/>
  <c r="Y1852" i="13"/>
  <c r="X1854" i="13"/>
  <c r="Y1853" i="13"/>
  <c r="Y1854" i="13"/>
  <c r="X1855" i="13"/>
  <c r="X1856" i="13"/>
  <c r="Y1855" i="13"/>
  <c r="X1857" i="13"/>
  <c r="Y1856" i="13"/>
  <c r="X1858" i="13"/>
  <c r="Y1857" i="13"/>
  <c r="X1859" i="13"/>
  <c r="Y1858" i="13"/>
  <c r="X1860" i="13"/>
  <c r="Y1859" i="13"/>
  <c r="X1861" i="13"/>
  <c r="Y1860" i="13"/>
  <c r="X1862" i="13"/>
  <c r="Y1861" i="13"/>
  <c r="X1863" i="13"/>
  <c r="Y1862" i="13"/>
  <c r="X1864" i="13"/>
  <c r="Y1863" i="13"/>
  <c r="X1865" i="13"/>
  <c r="Y1864" i="13"/>
  <c r="X1866" i="13"/>
  <c r="Y1865" i="13"/>
  <c r="X1867" i="13"/>
  <c r="Y1866" i="13"/>
  <c r="Y1867" i="13"/>
  <c r="X1868" i="13"/>
  <c r="Y1868" i="13"/>
  <c r="X1869" i="13"/>
  <c r="X1870" i="13"/>
  <c r="Y1869" i="13"/>
  <c r="X1871" i="13"/>
  <c r="Y1870" i="13"/>
  <c r="Y1871" i="13"/>
  <c r="X1872" i="13"/>
  <c r="X1873" i="13"/>
  <c r="Y1872" i="13"/>
  <c r="X1874" i="13"/>
  <c r="Y1873" i="13"/>
  <c r="X1875" i="13"/>
  <c r="Y1874" i="13"/>
  <c r="Y1875" i="13"/>
  <c r="X1876" i="13"/>
  <c r="X1877" i="13"/>
  <c r="Y1876" i="13"/>
  <c r="X1878" i="13"/>
  <c r="Y1877" i="13"/>
  <c r="X1879" i="13"/>
  <c r="Y1878" i="13"/>
  <c r="Y1879" i="13"/>
  <c r="X1880" i="13"/>
  <c r="X1881" i="13"/>
  <c r="Y1880" i="13"/>
  <c r="X1882" i="13"/>
  <c r="Y1881" i="13"/>
  <c r="Y1882" i="13"/>
  <c r="X1883" i="13"/>
  <c r="Y1883" i="13"/>
  <c r="X1884" i="13"/>
  <c r="X1885" i="13"/>
  <c r="Y1884" i="13"/>
  <c r="Y1885" i="13"/>
  <c r="X1886" i="13"/>
  <c r="X1887" i="13"/>
  <c r="Y1886" i="13"/>
  <c r="Y1887" i="13"/>
  <c r="X1888" i="13"/>
  <c r="X1889" i="13"/>
  <c r="Y1888" i="13"/>
  <c r="X1890" i="13"/>
  <c r="Y1889" i="13"/>
  <c r="X1891" i="13"/>
  <c r="Y1890" i="13"/>
  <c r="X1892" i="13"/>
  <c r="Y1891" i="13"/>
  <c r="X1893" i="13"/>
  <c r="Y1892" i="13"/>
  <c r="X1894" i="13"/>
  <c r="Y1893" i="13"/>
  <c r="X1895" i="13"/>
  <c r="Y1894" i="13"/>
  <c r="Y1895" i="13"/>
  <c r="X1896" i="13"/>
  <c r="X1897" i="13"/>
  <c r="Y1896" i="13"/>
  <c r="X1898" i="13"/>
  <c r="Y1897" i="13"/>
  <c r="Y1898" i="13"/>
  <c r="X1899" i="13"/>
  <c r="Y1899" i="13"/>
  <c r="X1900" i="13"/>
  <c r="X1901" i="13"/>
  <c r="Y1900" i="13"/>
  <c r="Y1901" i="13"/>
  <c r="X1902" i="13"/>
  <c r="Y1902" i="13"/>
  <c r="X1903" i="13"/>
  <c r="Y1903" i="13"/>
  <c r="X1904" i="13"/>
  <c r="X1905" i="13"/>
  <c r="Y1904" i="13"/>
  <c r="X1906" i="13"/>
  <c r="Y1905" i="13"/>
  <c r="Y1906" i="13"/>
  <c r="X1907" i="13"/>
  <c r="Y1907" i="13"/>
  <c r="X1908" i="13"/>
  <c r="X1909" i="13"/>
  <c r="Y1908" i="13"/>
  <c r="Y1909" i="13"/>
  <c r="X1910" i="13"/>
  <c r="X1911" i="13"/>
  <c r="Y1910" i="13"/>
  <c r="Y1911" i="13"/>
  <c r="X1912" i="13"/>
  <c r="X1913" i="13"/>
  <c r="Y1912" i="13"/>
  <c r="Y1913" i="13"/>
  <c r="X1914" i="13"/>
  <c r="X1915" i="13"/>
  <c r="Y1914" i="13"/>
  <c r="Y1915" i="13"/>
  <c r="X1916" i="13"/>
  <c r="X1917" i="13"/>
  <c r="Y1916" i="13"/>
  <c r="X1918" i="13"/>
  <c r="Y1917" i="13"/>
  <c r="X1919" i="13"/>
  <c r="Y1918" i="13"/>
  <c r="X1920" i="13"/>
  <c r="Y1919" i="13"/>
  <c r="X1921" i="13"/>
  <c r="Y1920" i="13"/>
  <c r="X1922" i="13"/>
  <c r="Y1921" i="13"/>
  <c r="X1923" i="13"/>
  <c r="Y1922" i="13"/>
  <c r="Y1923" i="13"/>
  <c r="X1924" i="13"/>
  <c r="X1925" i="13"/>
  <c r="Y1924" i="13"/>
  <c r="X1926" i="13"/>
  <c r="Y1925" i="13"/>
  <c r="X1927" i="13"/>
  <c r="Y1926" i="13"/>
  <c r="X1928" i="13"/>
  <c r="Y1927" i="13"/>
  <c r="X1929" i="13"/>
  <c r="Y1928" i="13"/>
  <c r="X1930" i="13"/>
  <c r="Y1929" i="13"/>
  <c r="X1931" i="13"/>
  <c r="Y1930" i="13"/>
  <c r="Y1931" i="13"/>
  <c r="X1932" i="13"/>
  <c r="Y1932" i="13"/>
  <c r="X1933" i="13"/>
  <c r="Y1933" i="13"/>
  <c r="X1934" i="13"/>
  <c r="Y1934" i="13"/>
  <c r="X1935" i="13"/>
  <c r="X1936" i="13"/>
  <c r="Y1935" i="13"/>
  <c r="Y1936" i="13"/>
  <c r="X1937" i="13"/>
  <c r="X1938" i="13"/>
  <c r="Y1937" i="13"/>
  <c r="Y1938" i="13"/>
  <c r="X1939" i="13"/>
  <c r="X1940" i="13"/>
  <c r="Y1939" i="13"/>
  <c r="Y1940" i="13"/>
  <c r="X1941" i="13"/>
  <c r="X1942" i="13"/>
  <c r="Y1941" i="13"/>
  <c r="X1943" i="13"/>
  <c r="Y1942" i="13"/>
  <c r="Y1943" i="13"/>
  <c r="X1944" i="13"/>
  <c r="X1945" i="13"/>
  <c r="Y1944" i="13"/>
  <c r="Y1945" i="13"/>
  <c r="X1946" i="13"/>
  <c r="Y1946" i="13"/>
  <c r="X1947" i="13"/>
  <c r="Y1947" i="13"/>
  <c r="X1948" i="13"/>
  <c r="Y1948" i="13"/>
  <c r="X1949" i="13"/>
  <c r="Y1949" i="13"/>
  <c r="X1950" i="13"/>
  <c r="Y1950" i="13"/>
  <c r="X1951" i="13"/>
  <c r="X1952" i="13"/>
  <c r="Y1951" i="13"/>
  <c r="Y1952" i="13"/>
  <c r="X1953" i="13"/>
  <c r="Y1953" i="13"/>
  <c r="X1954" i="13"/>
  <c r="X1955" i="13"/>
  <c r="Y1954" i="13"/>
  <c r="Y1955" i="13"/>
  <c r="X1956" i="13"/>
  <c r="Y1956" i="13"/>
  <c r="X1957" i="13"/>
  <c r="Y1957" i="13"/>
  <c r="X1958" i="13"/>
  <c r="Y1958" i="13"/>
  <c r="X1959" i="13"/>
  <c r="Y1959" i="13"/>
  <c r="X1960" i="13"/>
  <c r="Y1960" i="13"/>
  <c r="X1961" i="13"/>
  <c r="Y1961" i="13"/>
  <c r="X1962" i="13"/>
  <c r="Y1962" i="13"/>
  <c r="X1963" i="13"/>
  <c r="Y1963" i="13"/>
  <c r="X1964" i="13"/>
  <c r="Y1964" i="13"/>
  <c r="X1965" i="13"/>
  <c r="X1966" i="13"/>
  <c r="Y1965" i="13"/>
  <c r="Y1966" i="13"/>
  <c r="X1967" i="13"/>
  <c r="Y1967" i="13"/>
  <c r="X1968" i="13"/>
  <c r="X1969" i="13"/>
  <c r="Y1968" i="13"/>
  <c r="Y1969" i="13"/>
  <c r="X1970" i="13"/>
  <c r="X1971" i="13"/>
  <c r="Y1970" i="13"/>
  <c r="Y1971" i="13"/>
  <c r="X1972" i="13"/>
  <c r="X1973" i="13"/>
  <c r="Y1972" i="13"/>
  <c r="X1974" i="13"/>
  <c r="Y1973" i="13"/>
  <c r="Y1974" i="13"/>
  <c r="X1975" i="13"/>
  <c r="Y1975" i="13"/>
  <c r="X1976" i="13"/>
  <c r="X1977" i="13"/>
  <c r="Y1976" i="13"/>
  <c r="Y1977" i="13"/>
  <c r="X1978" i="13"/>
  <c r="X1979" i="13"/>
  <c r="Y1978" i="13"/>
  <c r="Y1979" i="13"/>
  <c r="X1980" i="13"/>
  <c r="Y1980" i="13"/>
  <c r="X1981" i="13"/>
  <c r="X1982" i="13"/>
  <c r="Y1981" i="13"/>
  <c r="Y1982" i="13"/>
  <c r="X1983" i="13"/>
  <c r="Y1983" i="13"/>
  <c r="X1984" i="13"/>
  <c r="Y1984" i="13"/>
  <c r="X1985" i="13"/>
  <c r="Y1985" i="13"/>
  <c r="X1986" i="13"/>
  <c r="X1987" i="13"/>
  <c r="Y1986" i="13"/>
  <c r="X1988" i="13"/>
  <c r="Y1987" i="13"/>
  <c r="X1989" i="13"/>
  <c r="Y1988" i="13"/>
  <c r="X1990" i="13"/>
  <c r="Y1989" i="13"/>
  <c r="Y1990" i="13"/>
  <c r="X1991" i="13"/>
  <c r="Y1991" i="13"/>
  <c r="X1992" i="13"/>
  <c r="X1993" i="13"/>
  <c r="Y1992" i="13"/>
  <c r="Y1993" i="13"/>
  <c r="X1994" i="13"/>
  <c r="X1995" i="13"/>
  <c r="Y1994" i="13"/>
  <c r="X1996" i="13"/>
  <c r="Y1995" i="13"/>
  <c r="Y1996" i="13"/>
  <c r="X1997" i="13"/>
  <c r="X1998" i="13"/>
  <c r="Y1997" i="13"/>
  <c r="Y1998" i="13"/>
  <c r="X1999" i="13"/>
  <c r="Y1999" i="13"/>
  <c r="X2000" i="13"/>
  <c r="X2001" i="13"/>
  <c r="Y2000" i="13"/>
  <c r="Y2001" i="13"/>
  <c r="X2002" i="13"/>
  <c r="X2003" i="13"/>
  <c r="Y2002" i="13"/>
  <c r="Y2003" i="13"/>
  <c r="X2004" i="13"/>
  <c r="X2005" i="13"/>
  <c r="Y2004" i="13"/>
  <c r="Y2005" i="13"/>
  <c r="X2006" i="13"/>
  <c r="Y2006" i="13"/>
  <c r="X2007" i="13"/>
  <c r="Y2007" i="13"/>
  <c r="X2008" i="13"/>
  <c r="X2009" i="13"/>
  <c r="Y2008" i="13"/>
  <c r="Y2009" i="13"/>
  <c r="X2010" i="13"/>
  <c r="X2011" i="13"/>
  <c r="Y2010" i="13"/>
  <c r="Y2011" i="13"/>
  <c r="X2012" i="13"/>
  <c r="Y2012" i="13"/>
  <c r="X2013" i="13"/>
  <c r="X2014" i="13"/>
  <c r="Y2013" i="13"/>
  <c r="Y2014" i="13"/>
  <c r="X2015" i="13"/>
  <c r="Y2015" i="13"/>
  <c r="X2016" i="13"/>
  <c r="X2017" i="13"/>
  <c r="Y2016" i="13"/>
  <c r="Y2017" i="13"/>
  <c r="X2018" i="13"/>
  <c r="X2019" i="13"/>
  <c r="Y2018" i="13"/>
  <c r="Y2019" i="13"/>
  <c r="X2020" i="13"/>
  <c r="X2021" i="13"/>
  <c r="Y2020" i="13"/>
  <c r="Y2021" i="13"/>
  <c r="X2022" i="13"/>
  <c r="Y2022" i="13"/>
  <c r="X2023" i="13"/>
  <c r="Y2023" i="13"/>
  <c r="X2024" i="13"/>
  <c r="X2025" i="13"/>
  <c r="Y2024" i="13"/>
  <c r="X2026" i="13"/>
  <c r="Y2025" i="13"/>
  <c r="X2027" i="13"/>
  <c r="Y2026" i="13"/>
  <c r="X2028" i="13"/>
  <c r="Y2027" i="13"/>
  <c r="Y2028" i="13"/>
  <c r="X2029" i="13"/>
  <c r="X2030" i="13"/>
  <c r="Y2029" i="13"/>
  <c r="X2031" i="13"/>
  <c r="Y2030" i="13"/>
  <c r="Y2031" i="13"/>
  <c r="X2032" i="13"/>
  <c r="X2033" i="13"/>
  <c r="Y2032" i="13"/>
  <c r="Y2033" i="13"/>
  <c r="X2034" i="13"/>
  <c r="X2035" i="13"/>
  <c r="Y2034" i="13"/>
  <c r="Y2035" i="13"/>
  <c r="X2036" i="13"/>
  <c r="Y2036" i="13"/>
  <c r="X2037" i="13"/>
  <c r="Y2037" i="13"/>
  <c r="X2038" i="13"/>
  <c r="Y2038" i="13"/>
  <c r="X2039" i="13"/>
  <c r="Y2039" i="13"/>
  <c r="X2040" i="13"/>
  <c r="X2041" i="13"/>
  <c r="Y2040" i="13"/>
  <c r="X2042" i="13"/>
  <c r="Y2041" i="13"/>
  <c r="X2043" i="13"/>
  <c r="Y2042" i="13"/>
  <c r="Y2043" i="13"/>
  <c r="X2044" i="13"/>
  <c r="Y2044" i="13"/>
  <c r="X2045" i="13"/>
  <c r="X2046" i="13"/>
  <c r="Y2045" i="13"/>
  <c r="X2047" i="13"/>
  <c r="Y2046" i="13"/>
  <c r="Y2047" i="13"/>
  <c r="X2048" i="13"/>
  <c r="X2049" i="13"/>
  <c r="Y2048" i="13"/>
  <c r="Y2049" i="13"/>
  <c r="X2050" i="13"/>
  <c r="X2051" i="13"/>
  <c r="Y2050" i="13"/>
  <c r="Y2051" i="13"/>
  <c r="X2052" i="13"/>
  <c r="X2053" i="13"/>
  <c r="Y2052" i="13"/>
  <c r="X2054" i="13"/>
  <c r="Y2053" i="13"/>
  <c r="Y2054" i="13"/>
  <c r="X2055" i="13"/>
  <c r="Y2055" i="13"/>
  <c r="X2056" i="13"/>
  <c r="X2057" i="13"/>
  <c r="Y2056" i="13"/>
  <c r="X2058" i="13"/>
  <c r="Y2057" i="13"/>
  <c r="X2059" i="13"/>
  <c r="Y2058" i="13"/>
  <c r="X2060" i="13"/>
  <c r="Y2059" i="13"/>
  <c r="Y2060" i="13"/>
  <c r="X2061" i="13"/>
  <c r="X2062" i="13"/>
  <c r="Y2061" i="13"/>
  <c r="X2063" i="13"/>
  <c r="Y2062" i="13"/>
  <c r="Y2063" i="13"/>
  <c r="X2064" i="13"/>
  <c r="Y2064" i="13"/>
  <c r="X2065" i="13"/>
  <c r="Y2065" i="13"/>
  <c r="X2066" i="13"/>
  <c r="X2067" i="13"/>
  <c r="Y2066" i="13"/>
  <c r="Y2067" i="13"/>
  <c r="X2068" i="13"/>
  <c r="Y2068" i="13"/>
  <c r="X2069" i="13"/>
  <c r="X2070" i="13"/>
  <c r="Y2069" i="13"/>
  <c r="Y2070" i="13"/>
  <c r="X2071" i="13"/>
  <c r="Y2071" i="13"/>
  <c r="X2072" i="13"/>
  <c r="X2073" i="13"/>
  <c r="Y2072" i="13"/>
  <c r="X2074" i="13"/>
  <c r="Y2073" i="13"/>
  <c r="X2075" i="13"/>
  <c r="Y2074" i="13"/>
  <c r="Y2075" i="13"/>
  <c r="X2076" i="13"/>
  <c r="Y2076" i="13"/>
  <c r="X2077" i="13"/>
  <c r="X2078" i="13"/>
  <c r="Y2077" i="13"/>
  <c r="X2079" i="13"/>
  <c r="Y2078" i="13"/>
  <c r="Y2079" i="13"/>
  <c r="X2080" i="13"/>
  <c r="Y2080" i="13"/>
  <c r="X2081" i="13"/>
  <c r="Y2081" i="13"/>
  <c r="X2082" i="13"/>
  <c r="X2083" i="13"/>
  <c r="Y2082" i="13"/>
  <c r="Y2083" i="13"/>
  <c r="X2084" i="13"/>
  <c r="X2085" i="13"/>
  <c r="Y2084" i="13"/>
  <c r="X2086" i="13"/>
  <c r="Y2085" i="13"/>
  <c r="Y2086" i="13"/>
  <c r="X2087" i="13"/>
  <c r="Y2087" i="13"/>
  <c r="X2088" i="13"/>
  <c r="X2089" i="13"/>
  <c r="Y2088" i="13"/>
  <c r="X2090" i="13"/>
  <c r="Y2089" i="13"/>
  <c r="X2091" i="13"/>
  <c r="Y2090" i="13"/>
  <c r="X2092" i="13"/>
  <c r="Y2091" i="13"/>
  <c r="Y2092" i="13"/>
  <c r="X2093" i="13"/>
  <c r="X2094" i="13"/>
  <c r="Y2093" i="13"/>
  <c r="X2095" i="13"/>
  <c r="Y2094" i="13"/>
  <c r="Y2095" i="13"/>
  <c r="X2096" i="13"/>
  <c r="X2097" i="13"/>
  <c r="Y2096" i="13"/>
  <c r="Y2097" i="13"/>
  <c r="X2098" i="13"/>
  <c r="X2099" i="13"/>
  <c r="Y2098" i="13"/>
  <c r="Y2099" i="13"/>
  <c r="X2100" i="13"/>
  <c r="Y2100" i="13"/>
  <c r="X2101" i="13"/>
  <c r="X2102" i="13"/>
  <c r="Y2101" i="13"/>
  <c r="X2103" i="13"/>
  <c r="Y2102" i="13"/>
  <c r="Y2103" i="13"/>
  <c r="X2104" i="13"/>
  <c r="X2105" i="13"/>
  <c r="Y2104" i="13"/>
  <c r="X2106" i="13"/>
  <c r="Y2105" i="13"/>
  <c r="Y2106" i="13"/>
  <c r="X2107" i="13"/>
  <c r="X2108" i="13"/>
  <c r="Y2107" i="13"/>
  <c r="Y2108" i="13"/>
  <c r="X2109" i="13"/>
  <c r="X2110" i="13"/>
  <c r="Y2109" i="13"/>
  <c r="X2111" i="13"/>
  <c r="Y2110" i="13"/>
  <c r="Y2111" i="13"/>
  <c r="X2112" i="13"/>
  <c r="Y2112" i="13"/>
  <c r="X2113" i="13"/>
  <c r="Y2113" i="13"/>
  <c r="X2114" i="13"/>
  <c r="X2115" i="13"/>
  <c r="Y2114" i="13"/>
  <c r="Y2115" i="13"/>
  <c r="X2116" i="13"/>
  <c r="Y2116" i="13"/>
  <c r="X2117" i="13"/>
  <c r="X2118" i="13"/>
  <c r="Y2117" i="13"/>
  <c r="X2119" i="13"/>
  <c r="Y2118" i="13"/>
  <c r="Y2119" i="13"/>
  <c r="X2120" i="13"/>
  <c r="X2121" i="13"/>
  <c r="Y2120" i="13"/>
  <c r="X2122" i="13"/>
  <c r="Y2121" i="13"/>
  <c r="Y2122" i="13"/>
  <c r="X2123" i="13"/>
  <c r="X2124" i="13"/>
  <c r="Y2123" i="13"/>
  <c r="Y2124" i="13"/>
  <c r="X2125" i="13"/>
  <c r="X2126" i="13"/>
  <c r="Y2125" i="13"/>
  <c r="X2127" i="13"/>
  <c r="Y2126" i="13"/>
  <c r="Y2127" i="13"/>
  <c r="X2128" i="13"/>
  <c r="Y2128" i="13"/>
  <c r="X2129" i="13"/>
  <c r="Y2129" i="13"/>
  <c r="X2130" i="13"/>
  <c r="X2131" i="13"/>
  <c r="Y2130" i="13"/>
  <c r="Y2131" i="13"/>
  <c r="X2132" i="13"/>
  <c r="Y2132" i="13"/>
  <c r="X2133" i="13"/>
  <c r="X2134" i="13"/>
  <c r="Y2133" i="13"/>
  <c r="X2135" i="13"/>
  <c r="Y2134" i="13"/>
  <c r="Y2135" i="13"/>
  <c r="X2136" i="13"/>
  <c r="X2137" i="13"/>
  <c r="Y2136" i="13"/>
  <c r="X2138" i="13"/>
  <c r="Y2137" i="13"/>
  <c r="X2139" i="13"/>
  <c r="Y2138" i="13"/>
  <c r="X2140" i="13"/>
  <c r="Y2139" i="13"/>
  <c r="Y2140" i="13"/>
  <c r="X2141" i="13"/>
  <c r="X2142" i="13"/>
  <c r="Y2141" i="13"/>
  <c r="X2143" i="13"/>
  <c r="Y2142" i="13"/>
  <c r="Y2143" i="13"/>
  <c r="X2144" i="13"/>
  <c r="Y2144" i="13"/>
  <c r="X2145" i="13"/>
  <c r="Y2145" i="13"/>
  <c r="X2146" i="13"/>
  <c r="X2147" i="13"/>
  <c r="Y2146" i="13"/>
  <c r="Y2147" i="13"/>
  <c r="X2148" i="13"/>
  <c r="Y2148" i="13"/>
  <c r="X2149" i="13"/>
  <c r="Y2149" i="13"/>
  <c r="X2150" i="13"/>
  <c r="X2151" i="13"/>
  <c r="Y2150" i="13"/>
  <c r="Y2151" i="13"/>
  <c r="X2152" i="13"/>
  <c r="X2153" i="13"/>
  <c r="Y2152" i="13"/>
  <c r="X2154" i="13"/>
  <c r="Y2153" i="13"/>
  <c r="X2155" i="13"/>
  <c r="Y2154" i="13"/>
  <c r="X2156" i="13"/>
  <c r="Y2155" i="13"/>
  <c r="Y2156" i="13"/>
  <c r="X2157" i="13"/>
  <c r="X2158" i="13"/>
  <c r="Y2157" i="13"/>
  <c r="X2159" i="13"/>
  <c r="Y2158" i="13"/>
  <c r="Y2159" i="13"/>
  <c r="X2160" i="13"/>
  <c r="Y2160" i="13"/>
  <c r="X2161" i="13"/>
  <c r="Y2161" i="13"/>
  <c r="X2162" i="13"/>
  <c r="X2163" i="13"/>
  <c r="Y2162" i="13"/>
  <c r="Y2163" i="13"/>
  <c r="X2164" i="13"/>
  <c r="Y2164" i="13"/>
  <c r="X2165" i="13"/>
  <c r="Y2165" i="13"/>
  <c r="X2166" i="13"/>
  <c r="X2167" i="13"/>
  <c r="Y2166" i="13"/>
  <c r="Y2167" i="13"/>
  <c r="X2168" i="13"/>
  <c r="X2169" i="13"/>
  <c r="Y2168" i="13"/>
  <c r="Y2169" i="13"/>
  <c r="X2170" i="13"/>
  <c r="X2171" i="13"/>
  <c r="Y2170" i="13"/>
  <c r="X2172" i="13"/>
  <c r="Y2171" i="13"/>
  <c r="Y2172" i="13"/>
  <c r="X2173" i="13"/>
  <c r="X2174" i="13"/>
  <c r="Y2173" i="13"/>
  <c r="X2175" i="13"/>
  <c r="Y2174" i="13"/>
  <c r="Y2175" i="13"/>
  <c r="X2176" i="13"/>
  <c r="Y2176" i="13"/>
  <c r="X2177" i="13"/>
  <c r="Y2177" i="13"/>
  <c r="X2178" i="13"/>
  <c r="X2179" i="13"/>
  <c r="Y2178" i="13"/>
  <c r="Y2179" i="13"/>
  <c r="X2180" i="13"/>
  <c r="X2181" i="13"/>
  <c r="Y2180" i="13"/>
  <c r="Y2181" i="13"/>
  <c r="X2182" i="13"/>
  <c r="X2183" i="13"/>
  <c r="Y2182" i="13"/>
  <c r="Y2183" i="13"/>
  <c r="X2184" i="13"/>
  <c r="X2185" i="13"/>
  <c r="Y2184" i="13"/>
  <c r="Y2185" i="13"/>
  <c r="X2186" i="13"/>
  <c r="X2187" i="13"/>
  <c r="Y2186" i="13"/>
  <c r="X2188" i="13"/>
  <c r="Y2187" i="13"/>
  <c r="Y2188" i="13"/>
  <c r="X2189" i="13"/>
  <c r="X2190" i="13"/>
  <c r="Y2189" i="13"/>
  <c r="X2191" i="13"/>
  <c r="Y2190" i="13"/>
  <c r="Y2191" i="13"/>
  <c r="X2192" i="13"/>
  <c r="Y2192" i="13"/>
  <c r="X2193" i="13"/>
  <c r="Y2193" i="13"/>
  <c r="X2194" i="13"/>
  <c r="X2195" i="13"/>
  <c r="Y2194" i="13"/>
  <c r="Y2195" i="13"/>
  <c r="X2196" i="13"/>
  <c r="X2197" i="13"/>
  <c r="Y2196" i="13"/>
  <c r="X2198" i="13"/>
  <c r="Y2197" i="13"/>
  <c r="X2199" i="13"/>
  <c r="Y2198" i="13"/>
  <c r="Y2199" i="13"/>
  <c r="X2200" i="13"/>
  <c r="X2201" i="13"/>
  <c r="Y2200" i="13"/>
  <c r="Y2201" i="13"/>
  <c r="X2202" i="13"/>
  <c r="X2203" i="13"/>
  <c r="Y2202" i="13"/>
  <c r="X2204" i="13"/>
  <c r="Y2203" i="13"/>
  <c r="Y2204" i="13"/>
  <c r="X2205" i="13"/>
  <c r="X2206" i="13"/>
  <c r="Y2205" i="13"/>
  <c r="Y2206" i="13"/>
  <c r="X2207" i="13"/>
  <c r="Y2207" i="13"/>
  <c r="X2208" i="13"/>
  <c r="X2209" i="13"/>
  <c r="Y2208" i="13"/>
  <c r="Y2209" i="13"/>
  <c r="X2210" i="13"/>
  <c r="X2211" i="13"/>
  <c r="Y2210" i="13"/>
  <c r="Y2211" i="13"/>
  <c r="X2212" i="13"/>
  <c r="X2213" i="13"/>
  <c r="Y2212" i="13"/>
  <c r="X2214" i="13"/>
  <c r="Y2213" i="13"/>
  <c r="X2215" i="13"/>
  <c r="Y2214" i="13"/>
  <c r="X2216" i="13"/>
  <c r="Y2215" i="13"/>
  <c r="Y2216" i="13"/>
  <c r="X2217" i="13"/>
  <c r="X2218" i="13"/>
  <c r="Y2217" i="13"/>
  <c r="X2219" i="13"/>
  <c r="Y2218" i="13"/>
  <c r="Y2219" i="13"/>
  <c r="X2220" i="13"/>
  <c r="X2221" i="13"/>
  <c r="Y2220" i="13"/>
  <c r="X2222" i="13"/>
  <c r="Y2221" i="13"/>
  <c r="Y2222" i="13"/>
  <c r="X2223" i="13"/>
  <c r="X2224" i="13"/>
  <c r="Y2223" i="13"/>
  <c r="X2225" i="13"/>
  <c r="Y2224" i="13"/>
  <c r="Y2225" i="13"/>
  <c r="X2226" i="13"/>
  <c r="X2227" i="13"/>
  <c r="Y2226" i="13"/>
  <c r="X2228" i="13"/>
  <c r="Y2227" i="13"/>
  <c r="Y2228" i="13"/>
  <c r="X2229" i="13"/>
  <c r="Y2229" i="13"/>
  <c r="X2230" i="13"/>
  <c r="X2231" i="13"/>
  <c r="Y2230" i="13"/>
  <c r="X2232" i="13"/>
  <c r="Y2231" i="13"/>
  <c r="Y2232" i="13"/>
  <c r="X2233" i="13"/>
  <c r="X2234" i="13"/>
  <c r="Y2233" i="13"/>
  <c r="X2235" i="13"/>
  <c r="Y2234" i="13"/>
  <c r="Y2235" i="13"/>
  <c r="X2236" i="13"/>
  <c r="X2237" i="13"/>
  <c r="Y2236" i="13"/>
  <c r="X2238" i="13"/>
  <c r="Y2237" i="13"/>
  <c r="X2239" i="13"/>
  <c r="Y2238" i="13"/>
  <c r="X2240" i="13"/>
  <c r="Y2239" i="13"/>
  <c r="X2241" i="13"/>
  <c r="Y2240" i="13"/>
  <c r="Y2241" i="13"/>
  <c r="X2242" i="13"/>
  <c r="X2243" i="13"/>
  <c r="Y2242" i="13"/>
  <c r="X2244" i="13"/>
  <c r="Y2243" i="13"/>
  <c r="X2245" i="13"/>
  <c r="Y2244" i="13"/>
  <c r="X2246" i="13"/>
  <c r="Y2245" i="13"/>
  <c r="X2247" i="13"/>
  <c r="Y2246" i="13"/>
  <c r="X2248" i="13"/>
  <c r="Y2247" i="13"/>
  <c r="Y2248" i="13"/>
  <c r="X2249" i="13"/>
  <c r="X2250" i="13"/>
  <c r="Y2249" i="13"/>
  <c r="Y2250" i="13"/>
  <c r="X2251" i="13"/>
  <c r="Y2251" i="13"/>
  <c r="X2252" i="13"/>
  <c r="X2253" i="13"/>
  <c r="Y2252" i="13"/>
  <c r="X2254" i="13"/>
  <c r="Y2253" i="13"/>
  <c r="X2255" i="13"/>
  <c r="Y2254" i="13"/>
  <c r="X2256" i="13"/>
  <c r="Y2255" i="13"/>
  <c r="X2257" i="13"/>
  <c r="Y2256" i="13"/>
  <c r="Y2257" i="13"/>
  <c r="X2258" i="13"/>
  <c r="X2259" i="13"/>
  <c r="Y2258" i="13"/>
  <c r="X2260" i="13"/>
  <c r="Y2259" i="13"/>
  <c r="Y2260" i="13"/>
  <c r="X2261" i="13"/>
  <c r="X2262" i="13"/>
  <c r="Y2261" i="13"/>
  <c r="X2263" i="13"/>
  <c r="Y2262" i="13"/>
  <c r="X2264" i="13"/>
  <c r="Y2263" i="13"/>
  <c r="Y2264" i="13"/>
  <c r="X2265" i="13"/>
  <c r="Y2265" i="13"/>
  <c r="X2266" i="13"/>
  <c r="X2267" i="13"/>
  <c r="Y2266" i="13"/>
  <c r="Y2267" i="13"/>
  <c r="X2268" i="13"/>
  <c r="X2269" i="13"/>
  <c r="Y2268" i="13"/>
  <c r="X2270" i="13"/>
  <c r="Y2269" i="13"/>
  <c r="X2271" i="13"/>
  <c r="Y2270" i="13"/>
  <c r="X2272" i="13"/>
  <c r="Y2271" i="13"/>
  <c r="X2273" i="13"/>
  <c r="Y2272" i="13"/>
  <c r="Y2273" i="13"/>
  <c r="X2274" i="13"/>
  <c r="X2275" i="13"/>
  <c r="Y2274" i="13"/>
  <c r="X2276" i="13"/>
  <c r="Y2275" i="13"/>
  <c r="Y2276" i="13"/>
  <c r="X2277" i="13"/>
  <c r="X2278" i="13"/>
  <c r="Y2277" i="13"/>
  <c r="Y2278" i="13"/>
  <c r="X2279" i="13"/>
  <c r="X2280" i="13"/>
  <c r="Y2279" i="13"/>
  <c r="Y2280" i="13"/>
  <c r="X2281" i="13"/>
  <c r="X2282" i="13"/>
  <c r="Y2281" i="13"/>
  <c r="Y2282" i="13"/>
  <c r="X2283" i="13"/>
  <c r="X2284" i="13"/>
  <c r="Y2283" i="13"/>
  <c r="X2285" i="13"/>
  <c r="Y2284" i="13"/>
  <c r="X2286" i="13"/>
  <c r="Y2285" i="13"/>
  <c r="X2287" i="13"/>
  <c r="Y2286" i="13"/>
  <c r="X2288" i="13"/>
  <c r="Y2287" i="13"/>
  <c r="Y2288" i="13"/>
  <c r="X2289" i="13"/>
  <c r="Y2289" i="13"/>
  <c r="X2290" i="13"/>
  <c r="Y2290" i="13"/>
  <c r="X2291" i="13"/>
  <c r="X2292" i="13"/>
  <c r="Y2291" i="13"/>
  <c r="Y2292" i="13"/>
  <c r="X2293" i="13"/>
  <c r="Y2293" i="13"/>
  <c r="X2294" i="13"/>
  <c r="X2295" i="13"/>
  <c r="Y2294" i="13"/>
  <c r="X2296" i="13"/>
  <c r="Y2295" i="13"/>
  <c r="Y2296" i="13"/>
  <c r="X2297" i="13"/>
  <c r="X2298" i="13"/>
  <c r="Y2297" i="13"/>
  <c r="Y2298" i="13"/>
  <c r="X2299" i="13"/>
  <c r="X2300" i="13"/>
  <c r="Y2299" i="13"/>
  <c r="X2301" i="13"/>
  <c r="Y2300" i="13"/>
  <c r="X2302" i="13"/>
  <c r="Y2301" i="13"/>
  <c r="Y2302" i="13"/>
  <c r="X2303" i="13"/>
  <c r="X2304" i="13"/>
  <c r="Y2303" i="13"/>
  <c r="Y2304" i="13"/>
  <c r="X2305" i="13"/>
  <c r="Y2305" i="13"/>
  <c r="X2306" i="13"/>
  <c r="Y2306" i="13"/>
  <c r="X2307" i="13"/>
  <c r="X2308" i="13"/>
  <c r="Y2307" i="13"/>
  <c r="X2309" i="13"/>
  <c r="Y2308" i="13"/>
  <c r="X2310" i="13"/>
  <c r="Y2309" i="13"/>
  <c r="X2311" i="13"/>
  <c r="Y2310" i="13"/>
  <c r="X2312" i="13"/>
  <c r="Y2311" i="13"/>
  <c r="Y2312" i="13"/>
  <c r="X2313" i="13"/>
  <c r="X2314" i="13"/>
  <c r="Y2313" i="13"/>
  <c r="X2315" i="13"/>
  <c r="Y2314" i="13"/>
  <c r="X2316" i="13"/>
  <c r="Y2315" i="13"/>
  <c r="X2317" i="13"/>
  <c r="Y2316" i="13"/>
  <c r="X2318" i="13"/>
  <c r="Y2317" i="13"/>
  <c r="Y2318" i="13"/>
  <c r="X2319" i="13"/>
  <c r="Y2319" i="13"/>
  <c r="X2320" i="13"/>
  <c r="Y2320" i="13"/>
  <c r="X2321" i="13"/>
  <c r="Y2321" i="13"/>
  <c r="X2322" i="13"/>
  <c r="Y2322" i="13"/>
  <c r="X2323" i="13"/>
  <c r="X2324" i="13"/>
  <c r="Y2323" i="13"/>
  <c r="Y2324" i="13"/>
  <c r="X2325" i="13"/>
  <c r="X2326" i="13"/>
  <c r="Y2325" i="13"/>
  <c r="X2327" i="13"/>
  <c r="Y2326" i="13"/>
  <c r="Y2327" i="13"/>
  <c r="X2328" i="13"/>
  <c r="Y2328" i="13"/>
  <c r="X2329" i="13"/>
  <c r="Y2329" i="13"/>
  <c r="X2330" i="13"/>
  <c r="Y2330" i="13"/>
  <c r="X2331" i="13"/>
  <c r="Y2331" i="13"/>
  <c r="X2332" i="13"/>
  <c r="X2333" i="13"/>
  <c r="Y2332" i="13"/>
  <c r="X2334" i="13"/>
  <c r="Y2333" i="13"/>
  <c r="Y2334" i="13"/>
  <c r="X2335" i="13"/>
  <c r="Y2335" i="13"/>
  <c r="X2336" i="13"/>
  <c r="X2337" i="13"/>
  <c r="Y2336" i="13"/>
  <c r="Y2337" i="13"/>
  <c r="X2338" i="13"/>
  <c r="Y2338" i="13"/>
  <c r="X2339" i="13"/>
  <c r="X2340" i="13"/>
  <c r="Y2339" i="13"/>
  <c r="Y2340" i="13"/>
  <c r="X2341" i="13"/>
  <c r="X2342" i="13"/>
  <c r="Y2341" i="13"/>
  <c r="X2343" i="13"/>
  <c r="Y2342" i="13"/>
  <c r="Y2343" i="13"/>
  <c r="X2344" i="13"/>
  <c r="Y2344" i="13"/>
  <c r="X2345" i="13"/>
  <c r="X2346" i="13"/>
  <c r="Y2345" i="13"/>
  <c r="Y2346" i="13"/>
  <c r="X2347" i="13"/>
  <c r="X2348" i="13"/>
  <c r="Y2347" i="13"/>
  <c r="X2349" i="13"/>
  <c r="Y2348" i="13"/>
  <c r="X2350" i="13"/>
  <c r="Y2349" i="13"/>
  <c r="X2351" i="13"/>
  <c r="Y2350" i="13"/>
  <c r="Y2351" i="13"/>
  <c r="X2352" i="13"/>
  <c r="Y2352" i="13"/>
  <c r="X2353" i="13"/>
  <c r="Y2353" i="13"/>
  <c r="X2354" i="13"/>
  <c r="Y2354" i="13"/>
  <c r="X2355" i="13"/>
  <c r="X2356" i="13"/>
  <c r="Y2355" i="13"/>
  <c r="Y2356" i="13"/>
  <c r="X2357" i="13"/>
  <c r="Y2357" i="13"/>
  <c r="X2358" i="13"/>
  <c r="X2359" i="13"/>
  <c r="Y2358" i="13"/>
  <c r="Y2359" i="13"/>
  <c r="X2360" i="13"/>
  <c r="Y2360" i="13"/>
  <c r="X2361" i="13"/>
  <c r="X2362" i="13"/>
  <c r="Y2361" i="13"/>
  <c r="X2363" i="13"/>
  <c r="Y2362" i="13"/>
  <c r="X2364" i="13"/>
  <c r="Y2363" i="13"/>
  <c r="X2365" i="13"/>
  <c r="Y2364" i="13"/>
  <c r="X2366" i="13"/>
  <c r="Y2365" i="13"/>
  <c r="Y2366" i="13"/>
  <c r="X2367" i="13"/>
  <c r="X2368" i="13"/>
  <c r="Y2367" i="13"/>
  <c r="Y2368" i="13"/>
  <c r="X2369" i="13"/>
  <c r="Y2369" i="13"/>
  <c r="X2370" i="13"/>
  <c r="X2371" i="13"/>
  <c r="Y2370" i="13"/>
  <c r="Y2371" i="13"/>
  <c r="X2372" i="13"/>
  <c r="X2373" i="13"/>
  <c r="Y2372" i="13"/>
  <c r="X2374" i="13"/>
  <c r="Y2373" i="13"/>
  <c r="X2375" i="13"/>
  <c r="Y2374" i="13"/>
  <c r="X2376" i="13"/>
  <c r="Y2375" i="13"/>
  <c r="Y2376" i="13"/>
  <c r="X2377" i="13"/>
  <c r="X2378" i="13"/>
  <c r="Y2377" i="13"/>
  <c r="X2379" i="13"/>
  <c r="Y2378" i="13"/>
  <c r="X2380" i="13"/>
  <c r="Y2379" i="13"/>
  <c r="X2381" i="13"/>
  <c r="Y2380" i="13"/>
  <c r="X2382" i="13"/>
  <c r="Y2381" i="13"/>
  <c r="X2383" i="13"/>
  <c r="Y2382" i="13"/>
  <c r="X2384" i="13"/>
  <c r="Y2383" i="13"/>
  <c r="Y2384" i="13"/>
  <c r="X2385" i="13"/>
  <c r="Y2385" i="13"/>
  <c r="X2386" i="13"/>
  <c r="X2387" i="13"/>
  <c r="Y2386" i="13"/>
  <c r="X2388" i="13"/>
  <c r="Y2387" i="13"/>
  <c r="Y2388" i="13"/>
  <c r="X2389" i="13"/>
  <c r="X2390" i="13"/>
  <c r="Y2389" i="13"/>
  <c r="Y2390" i="13"/>
  <c r="X2391" i="13"/>
  <c r="Y2391" i="13"/>
  <c r="X2392" i="13"/>
  <c r="Y2392" i="13"/>
  <c r="X2393" i="13"/>
  <c r="Y2393" i="13"/>
  <c r="X2394" i="13"/>
  <c r="X2395" i="13"/>
  <c r="Y2394" i="13"/>
  <c r="X2396" i="13"/>
  <c r="Y2395" i="13"/>
  <c r="X2397" i="13"/>
  <c r="Y2396" i="13"/>
  <c r="X2398" i="13"/>
  <c r="Y2397" i="13"/>
  <c r="Y2398" i="13"/>
  <c r="X2399" i="13"/>
  <c r="X2400" i="13"/>
  <c r="Y2399" i="13"/>
  <c r="X2401" i="13"/>
  <c r="Y2400" i="13"/>
  <c r="Y2401" i="13"/>
  <c r="X2402" i="13"/>
  <c r="X2403" i="13"/>
  <c r="Y2402" i="13"/>
  <c r="Y2403" i="13"/>
  <c r="X2404" i="13"/>
  <c r="Y2404" i="13"/>
  <c r="X2405" i="13"/>
  <c r="X2406" i="13"/>
  <c r="Y2405" i="13"/>
  <c r="Y2406" i="13"/>
  <c r="X2407" i="13"/>
  <c r="X2408" i="13"/>
  <c r="Y2407" i="13"/>
  <c r="Y2408" i="13"/>
  <c r="X2409" i="13"/>
  <c r="X2410" i="13"/>
  <c r="Y2409" i="13"/>
  <c r="Y2410" i="13"/>
  <c r="X2411" i="13"/>
  <c r="X2412" i="13"/>
  <c r="Y2411" i="13"/>
  <c r="X2413" i="13"/>
  <c r="Y2412" i="13"/>
  <c r="X2414" i="13"/>
  <c r="Y2413" i="13"/>
  <c r="Y2414" i="13"/>
  <c r="X2415" i="13"/>
  <c r="X2416" i="13"/>
  <c r="Y2415" i="13"/>
  <c r="X2417" i="13"/>
  <c r="Y2416" i="13"/>
  <c r="Y2417" i="13"/>
  <c r="X2418" i="13"/>
  <c r="X2419" i="13"/>
  <c r="Y2418" i="13"/>
  <c r="X2420" i="13"/>
  <c r="Y2419" i="13"/>
  <c r="Y2420" i="13"/>
  <c r="X2421" i="13"/>
  <c r="Y2421" i="13"/>
  <c r="X2422" i="13"/>
  <c r="X2423" i="13"/>
  <c r="Y2422" i="13"/>
  <c r="X2424" i="13"/>
  <c r="Y2423" i="13"/>
  <c r="Y2424" i="13"/>
  <c r="X2425" i="13"/>
  <c r="X2426" i="13"/>
  <c r="Y2425" i="13"/>
  <c r="X2427" i="13"/>
  <c r="Y2426" i="13"/>
  <c r="Y2427" i="13"/>
  <c r="X2428" i="13"/>
  <c r="X2429" i="13"/>
  <c r="Y2428" i="13"/>
  <c r="X2430" i="13"/>
  <c r="Y2429" i="13"/>
  <c r="X2431" i="13"/>
  <c r="Y2430" i="13"/>
  <c r="X2432" i="13"/>
  <c r="Y2431" i="13"/>
  <c r="Y2432" i="13"/>
  <c r="X2433" i="13"/>
  <c r="Y2433" i="13"/>
  <c r="X2434" i="13"/>
  <c r="X2435" i="13"/>
  <c r="Y2434" i="13"/>
  <c r="X2436" i="13"/>
  <c r="Y2435" i="13"/>
  <c r="X2437" i="13"/>
  <c r="Y2436" i="13"/>
  <c r="X2438" i="13"/>
  <c r="Y2437" i="13"/>
  <c r="X2439" i="13"/>
  <c r="Y2438" i="13"/>
  <c r="X2440" i="13"/>
  <c r="Y2439" i="13"/>
  <c r="Y2440" i="13"/>
  <c r="X2441" i="13"/>
  <c r="X2442" i="13"/>
  <c r="Y2441" i="13"/>
  <c r="Y2442" i="13"/>
  <c r="X2443" i="13"/>
  <c r="Y2443" i="13"/>
  <c r="X2444" i="13"/>
  <c r="X2445" i="13"/>
  <c r="Y2444" i="13"/>
  <c r="X2446" i="13"/>
  <c r="Y2445" i="13"/>
  <c r="Y2446" i="13"/>
  <c r="X2447" i="13"/>
  <c r="X2448" i="13"/>
  <c r="Y2447" i="13"/>
  <c r="Y2448" i="13"/>
  <c r="X2449" i="13"/>
  <c r="Y2449" i="13"/>
  <c r="X2450" i="13"/>
  <c r="X2451" i="13"/>
  <c r="Y2450" i="13"/>
  <c r="X2452" i="13"/>
  <c r="Y2451" i="13"/>
  <c r="Y2452" i="13"/>
  <c r="X2453" i="13"/>
  <c r="Y2453" i="13"/>
  <c r="X2454" i="13"/>
  <c r="X2455" i="13"/>
  <c r="Y2454" i="13"/>
  <c r="X2456" i="13"/>
  <c r="Y2455" i="13"/>
  <c r="Y2456" i="13"/>
  <c r="X2457" i="13"/>
  <c r="Y2457" i="13"/>
  <c r="X2458" i="13"/>
  <c r="X2459" i="13"/>
  <c r="Y2458" i="13"/>
  <c r="X2460" i="13"/>
  <c r="Y2459" i="13"/>
  <c r="X2461" i="13"/>
  <c r="Y2460" i="13"/>
  <c r="X2462" i="13"/>
  <c r="Y2461" i="13"/>
  <c r="X2463" i="13"/>
  <c r="Y2462" i="13"/>
  <c r="X2464" i="13"/>
  <c r="Y2463" i="13"/>
  <c r="X2465" i="13"/>
  <c r="Y2464" i="13"/>
  <c r="Y2465" i="13"/>
  <c r="X2466" i="13"/>
  <c r="X2467" i="13"/>
  <c r="Y2466" i="13"/>
  <c r="X2468" i="13"/>
  <c r="Y2467" i="13"/>
  <c r="X2469" i="13"/>
  <c r="Y2468" i="13"/>
  <c r="X2470" i="13"/>
  <c r="Y2469" i="13"/>
  <c r="X2471" i="13"/>
  <c r="Y2470" i="13"/>
  <c r="X2472" i="13"/>
  <c r="Y2471" i="13"/>
  <c r="Y2472" i="13"/>
  <c r="X2473" i="13"/>
  <c r="X2474" i="13"/>
  <c r="Y2473" i="13"/>
  <c r="Y2474" i="13"/>
  <c r="X2475" i="13"/>
  <c r="Y2475" i="13"/>
  <c r="X2476" i="13"/>
  <c r="X2477" i="13"/>
  <c r="Y2476" i="13"/>
  <c r="X2478" i="13"/>
  <c r="Y2477" i="13"/>
  <c r="Y2478" i="13"/>
  <c r="X2479" i="13"/>
  <c r="Y2479" i="13"/>
  <c r="X2480" i="13"/>
  <c r="Y2480" i="13"/>
  <c r="X2481" i="13"/>
  <c r="Y2481" i="13"/>
  <c r="X2482" i="13"/>
  <c r="X2483" i="13"/>
  <c r="Y2482" i="13"/>
  <c r="X2484" i="13"/>
  <c r="Y2483" i="13"/>
  <c r="X2485" i="13"/>
  <c r="Y2484" i="13"/>
  <c r="Y2485" i="13"/>
  <c r="X2486" i="13"/>
  <c r="X2487" i="13"/>
  <c r="Y2486" i="13"/>
  <c r="X2488" i="13"/>
  <c r="Y2487" i="13"/>
  <c r="Y2488" i="13"/>
  <c r="X2489" i="13"/>
  <c r="X2490" i="13"/>
  <c r="Y2489" i="13"/>
  <c r="Y2490" i="13"/>
  <c r="X2491" i="13"/>
  <c r="Y2491" i="13"/>
  <c r="X2492" i="13"/>
  <c r="X2493" i="13"/>
  <c r="Y2492" i="13"/>
  <c r="X2494" i="13"/>
  <c r="Y2493" i="13"/>
  <c r="X2495" i="13"/>
  <c r="Y2494" i="13"/>
  <c r="Y2495" i="13"/>
  <c r="X2496" i="13"/>
  <c r="Y2496" i="13"/>
  <c r="X2497" i="13"/>
  <c r="Y2497" i="13"/>
  <c r="X2498" i="13"/>
  <c r="X2499" i="13"/>
  <c r="Y2498" i="13"/>
  <c r="X2500" i="13"/>
  <c r="Y2499" i="13"/>
  <c r="X2501" i="13"/>
  <c r="Y2500" i="13"/>
  <c r="X2502" i="13"/>
  <c r="Y2501" i="13"/>
  <c r="Y2502" i="13"/>
  <c r="X2503" i="13"/>
  <c r="X2504" i="13"/>
  <c r="Y2503" i="13"/>
  <c r="Y2504" i="13"/>
  <c r="X2505" i="13"/>
  <c r="X2506" i="13"/>
  <c r="Y2505" i="13"/>
  <c r="Y2506" i="13"/>
  <c r="X2507" i="13"/>
  <c r="Y2507" i="13"/>
  <c r="X2508" i="13"/>
  <c r="X2509" i="13"/>
  <c r="Y2508" i="13"/>
  <c r="X2510" i="13"/>
  <c r="Y2509" i="13"/>
  <c r="Y2510" i="13"/>
  <c r="X2511" i="13"/>
  <c r="X2512" i="13"/>
  <c r="Y2511" i="13"/>
  <c r="Y2512" i="13"/>
  <c r="X2513" i="13"/>
  <c r="Y2513" i="13"/>
  <c r="X2514" i="13"/>
  <c r="X2515" i="13"/>
  <c r="Y2514" i="13"/>
  <c r="X2516" i="13"/>
  <c r="Y2515" i="13"/>
  <c r="Y2516" i="13"/>
  <c r="X2517" i="13"/>
  <c r="X2518" i="13"/>
  <c r="Y2517" i="13"/>
  <c r="X2519" i="13"/>
  <c r="Y2518" i="13"/>
  <c r="X2520" i="13"/>
  <c r="Y2519" i="13"/>
  <c r="Y2520" i="13"/>
  <c r="X2521" i="13"/>
  <c r="Y2521" i="13"/>
  <c r="X2522" i="13"/>
  <c r="X2523" i="13"/>
  <c r="Y2522" i="13"/>
  <c r="Y2523" i="13"/>
  <c r="X2524" i="13"/>
  <c r="X2525" i="13"/>
  <c r="Y2524" i="13"/>
  <c r="X2526" i="13"/>
  <c r="Y2525" i="13"/>
  <c r="X2527" i="13"/>
  <c r="Y2526" i="13"/>
  <c r="X2528" i="13"/>
  <c r="Y2527" i="13"/>
  <c r="X2529" i="13"/>
  <c r="Y2528" i="13"/>
  <c r="Y2529" i="13"/>
  <c r="X2530" i="13"/>
  <c r="X2531" i="13"/>
  <c r="Y2530" i="13"/>
  <c r="X2532" i="13"/>
  <c r="Y2531" i="13"/>
  <c r="Y2532" i="13"/>
  <c r="X2533" i="13"/>
  <c r="X2534" i="13"/>
  <c r="Y2533" i="13"/>
  <c r="X2535" i="13"/>
  <c r="Y2534" i="13"/>
  <c r="Y2535" i="13"/>
  <c r="X2536" i="13"/>
  <c r="Y2536" i="13"/>
  <c r="X2537" i="13"/>
  <c r="X2538" i="13"/>
  <c r="Y2537" i="13"/>
  <c r="Y2538" i="13"/>
  <c r="X2539" i="13"/>
  <c r="Y2539" i="13"/>
  <c r="X2540" i="13"/>
  <c r="X2541" i="13"/>
  <c r="Y2540" i="13"/>
  <c r="X2542" i="13"/>
  <c r="Y2541" i="13"/>
  <c r="X2543" i="13"/>
  <c r="Y2542" i="13"/>
  <c r="X2544" i="13"/>
  <c r="Y2543" i="13"/>
  <c r="Y2544" i="13"/>
  <c r="X2545" i="13"/>
  <c r="Y2545" i="13"/>
  <c r="X2546" i="13"/>
  <c r="X2547" i="13"/>
  <c r="Y2546" i="13"/>
  <c r="X2548" i="13"/>
  <c r="Y2547" i="13"/>
  <c r="Y2548" i="13"/>
  <c r="X2549" i="13"/>
  <c r="Y2549" i="13"/>
  <c r="X2550" i="13"/>
  <c r="X2551" i="13"/>
  <c r="Y2550" i="13"/>
  <c r="X2552" i="13"/>
  <c r="Y2551" i="13"/>
  <c r="Y2552" i="13"/>
  <c r="X2553" i="13"/>
  <c r="X2554" i="13"/>
  <c r="Y2553" i="13"/>
  <c r="X2555" i="13"/>
  <c r="Y2554" i="13"/>
  <c r="Y2555" i="13"/>
  <c r="X2556" i="13"/>
  <c r="X2557" i="13"/>
  <c r="Y2556" i="13"/>
  <c r="X2558" i="13"/>
  <c r="Y2557" i="13"/>
  <c r="X2559" i="13"/>
  <c r="Y2558" i="13"/>
  <c r="X2560" i="13"/>
  <c r="Y2559" i="13"/>
  <c r="X2561" i="13"/>
  <c r="Y2560" i="13"/>
  <c r="Y2561" i="13"/>
  <c r="X2562" i="13"/>
  <c r="X2563" i="13"/>
  <c r="Y2562" i="13"/>
  <c r="X2564" i="13"/>
  <c r="Y2563" i="13"/>
  <c r="X2565" i="13"/>
  <c r="Y2564" i="13"/>
  <c r="X2566" i="13"/>
  <c r="Y2565" i="13"/>
  <c r="X2567" i="13"/>
  <c r="Y2566" i="13"/>
  <c r="Y2567" i="13"/>
  <c r="X2568" i="13"/>
  <c r="Y2568" i="13"/>
  <c r="X2569" i="13"/>
  <c r="X2570" i="13"/>
  <c r="Y2569" i="13"/>
  <c r="X2571" i="13"/>
  <c r="Y2570" i="13"/>
  <c r="Y2571" i="13"/>
  <c r="X2572" i="13"/>
  <c r="X2573" i="13"/>
  <c r="Y2572" i="13"/>
  <c r="X2574" i="13"/>
  <c r="Y2573" i="13"/>
  <c r="X2575" i="13"/>
  <c r="Y2574" i="13"/>
  <c r="X2576" i="13"/>
  <c r="Y2575" i="13"/>
  <c r="Y2576" i="13"/>
  <c r="X2577" i="13"/>
  <c r="Y2577" i="13"/>
  <c r="X2578" i="13"/>
  <c r="X2579" i="13"/>
  <c r="Y2578" i="13"/>
  <c r="X2580" i="13"/>
  <c r="Y2579" i="13"/>
  <c r="Y2580" i="13"/>
  <c r="X2581" i="13"/>
  <c r="Y2581" i="13"/>
  <c r="X2582" i="13"/>
  <c r="X2583" i="13"/>
  <c r="Y2582" i="13"/>
  <c r="X2584" i="13"/>
  <c r="Y2583" i="13"/>
  <c r="Y2584" i="13"/>
  <c r="X2585" i="13"/>
  <c r="Y2585" i="13"/>
  <c r="X2586" i="13"/>
  <c r="X2587" i="13"/>
  <c r="Y2586" i="13"/>
  <c r="Y2587" i="13"/>
  <c r="X2588" i="13"/>
  <c r="X2589" i="13"/>
  <c r="Y2588" i="13"/>
  <c r="X2590" i="13"/>
  <c r="Y2589" i="13"/>
  <c r="X2591" i="13"/>
  <c r="Y2590" i="13"/>
  <c r="X2592" i="13"/>
  <c r="Y2591" i="13"/>
  <c r="Y2592" i="13"/>
  <c r="X2593" i="13"/>
  <c r="Y2593" i="13"/>
  <c r="X2594" i="13"/>
  <c r="X2595" i="13"/>
  <c r="Y2594" i="13"/>
  <c r="X2596" i="13"/>
  <c r="Y2595" i="13"/>
  <c r="Y2596" i="13"/>
  <c r="X2597" i="13"/>
  <c r="X2598" i="13"/>
  <c r="Y2597" i="13"/>
  <c r="X2599" i="13"/>
  <c r="Y2598" i="13"/>
  <c r="Y2599" i="13"/>
  <c r="X2600" i="13"/>
  <c r="Y2600" i="13"/>
  <c r="X2601" i="13"/>
  <c r="X2602" i="13"/>
  <c r="Y2601" i="13"/>
  <c r="Y2602" i="13"/>
  <c r="X2603" i="13"/>
  <c r="Y2603" i="13"/>
  <c r="X2604" i="13"/>
  <c r="X2605" i="13"/>
  <c r="Y2604" i="13"/>
  <c r="X2606" i="13"/>
  <c r="Y2605" i="13"/>
  <c r="Y2606" i="13"/>
  <c r="X2607" i="13"/>
  <c r="X2608" i="13"/>
  <c r="Y2607" i="13"/>
  <c r="Y2608" i="13"/>
  <c r="X2609" i="13"/>
  <c r="Y2609" i="13"/>
  <c r="X2610" i="13"/>
  <c r="X2611" i="13"/>
  <c r="Y2610" i="13"/>
  <c r="X2612" i="13"/>
  <c r="Y2611" i="13"/>
  <c r="Y2612" i="13"/>
  <c r="X2613" i="13"/>
  <c r="Y2613" i="13"/>
  <c r="X2614" i="13"/>
  <c r="X2615" i="13"/>
  <c r="Y2614" i="13"/>
  <c r="X2616" i="13"/>
  <c r="Y2615" i="13"/>
  <c r="Y2616" i="13"/>
  <c r="X2617" i="13"/>
  <c r="Y2617" i="13"/>
  <c r="X2618" i="13"/>
  <c r="X2619" i="13"/>
  <c r="Y2618" i="13"/>
  <c r="Y2619" i="13"/>
  <c r="X2620" i="13"/>
  <c r="X2621" i="13"/>
  <c r="Y2620" i="13"/>
  <c r="X2622" i="13"/>
  <c r="Y2621" i="13"/>
  <c r="X2623" i="13"/>
  <c r="Y2622" i="13"/>
  <c r="X2624" i="13"/>
  <c r="Y2623" i="13"/>
  <c r="X2625" i="13"/>
  <c r="Y2624" i="13"/>
  <c r="Y2625" i="13"/>
  <c r="X2626" i="13"/>
  <c r="X2627" i="13"/>
  <c r="Y2626" i="13"/>
  <c r="X2628" i="13"/>
  <c r="Y2627" i="13"/>
  <c r="Y2628" i="13"/>
  <c r="X2629" i="13"/>
  <c r="X2630" i="13"/>
  <c r="Y2629" i="13"/>
  <c r="X2631" i="13"/>
  <c r="Y2630" i="13"/>
  <c r="Y2631" i="13"/>
  <c r="X2632" i="13"/>
  <c r="Y2632" i="13"/>
  <c r="X2633" i="13"/>
  <c r="X2634" i="13"/>
  <c r="Y2633" i="13"/>
  <c r="X2635" i="13"/>
  <c r="Y2634" i="13"/>
  <c r="Y2635" i="13"/>
  <c r="X2636" i="13"/>
  <c r="X2637" i="13"/>
  <c r="Y2636" i="13"/>
  <c r="X2638" i="13"/>
  <c r="Y2637" i="13"/>
  <c r="X2639" i="13"/>
  <c r="Y2638" i="13"/>
  <c r="X2640" i="13"/>
  <c r="Y2639" i="13"/>
  <c r="Y2640" i="13"/>
  <c r="X2641" i="13"/>
  <c r="Y2641" i="13"/>
  <c r="X2642" i="13"/>
  <c r="X2643" i="13"/>
  <c r="Y2642" i="13"/>
  <c r="X2644" i="13"/>
  <c r="Y2643" i="13"/>
  <c r="Y2644" i="13"/>
  <c r="X2645" i="13"/>
  <c r="Y2645" i="13"/>
  <c r="X2646" i="13"/>
  <c r="X2647" i="13"/>
  <c r="Y2646" i="13"/>
  <c r="X2648" i="13"/>
  <c r="Y2647" i="13"/>
  <c r="Y2648" i="13"/>
  <c r="X2649" i="13"/>
  <c r="X2650" i="13"/>
  <c r="Y2649" i="13"/>
  <c r="X2651" i="13"/>
  <c r="Y2650" i="13"/>
  <c r="Y2651" i="13"/>
  <c r="X2652" i="13"/>
  <c r="X2653" i="13"/>
  <c r="Y2652" i="13"/>
  <c r="X2654" i="13"/>
  <c r="Y2653" i="13"/>
  <c r="X2655" i="13"/>
  <c r="Y2654" i="13"/>
  <c r="X2656" i="13"/>
  <c r="Y2655" i="13"/>
  <c r="Y2656" i="13"/>
  <c r="X2657" i="13"/>
  <c r="Y2657" i="13"/>
  <c r="X2658" i="13"/>
  <c r="X2659" i="13"/>
  <c r="Y2658" i="13"/>
  <c r="X2660" i="13"/>
  <c r="Y2659" i="13"/>
  <c r="X2661" i="13"/>
  <c r="Y2660" i="13"/>
  <c r="X2662" i="13"/>
  <c r="Y2661" i="13"/>
  <c r="X2663" i="13"/>
  <c r="Y2662" i="13"/>
  <c r="Y2663" i="13"/>
  <c r="X2664" i="13"/>
  <c r="Y2664" i="13"/>
  <c r="X2665" i="13"/>
  <c r="X2666" i="13"/>
  <c r="Y2665" i="13"/>
  <c r="X2667" i="13"/>
  <c r="Y2666" i="13"/>
  <c r="Y2667" i="13"/>
  <c r="X2668" i="13"/>
  <c r="X2669" i="13"/>
  <c r="Y2668" i="13"/>
  <c r="X2670" i="13"/>
  <c r="Y2669" i="13"/>
  <c r="X2671" i="13"/>
  <c r="Y2670" i="13"/>
  <c r="X2672" i="13"/>
  <c r="Y2671" i="13"/>
  <c r="Y2672" i="13"/>
  <c r="X2673" i="13"/>
  <c r="Y2673" i="13"/>
  <c r="X2674" i="13"/>
  <c r="X2675" i="13"/>
  <c r="Y2674" i="13"/>
  <c r="X2676" i="13"/>
  <c r="Y2675" i="13"/>
  <c r="Y2676" i="13"/>
  <c r="X2677" i="13"/>
  <c r="Y2677" i="13"/>
  <c r="X2678" i="13"/>
  <c r="X2679" i="13"/>
  <c r="Y2678" i="13"/>
  <c r="X2680" i="13"/>
  <c r="Y2679" i="13"/>
  <c r="Y2680" i="13"/>
  <c r="X2681" i="13"/>
  <c r="Y2681" i="13"/>
  <c r="X2682" i="13"/>
  <c r="X2683" i="13"/>
  <c r="Y2682" i="13"/>
  <c r="Y2683" i="13"/>
  <c r="X2684" i="13"/>
  <c r="X2685" i="13"/>
  <c r="Y2684" i="13"/>
  <c r="X2686" i="13"/>
  <c r="Y2685" i="13"/>
  <c r="X2687" i="13"/>
  <c r="Y2686" i="13"/>
  <c r="X2688" i="13"/>
  <c r="Y2687" i="13"/>
  <c r="X2689" i="13"/>
  <c r="Y2688" i="13"/>
  <c r="Y2689" i="13"/>
  <c r="X2690" i="13"/>
  <c r="X2691" i="13"/>
  <c r="Y2690" i="13"/>
  <c r="X2692" i="13"/>
  <c r="Y2691" i="13"/>
  <c r="Y2692" i="13"/>
  <c r="X2693" i="13"/>
  <c r="X2694" i="13"/>
  <c r="Y2693" i="13"/>
  <c r="X2695" i="13"/>
  <c r="Y2694" i="13"/>
  <c r="Y2695" i="13"/>
  <c r="X2696" i="13"/>
  <c r="Y2696" i="13"/>
  <c r="X2697" i="13"/>
  <c r="X2698" i="13"/>
  <c r="Y2697" i="13"/>
  <c r="Y2698" i="13"/>
  <c r="X2699" i="13"/>
  <c r="Y2699" i="13"/>
  <c r="X2700" i="13"/>
  <c r="X2701" i="13"/>
  <c r="Y2700" i="13"/>
  <c r="X2702" i="13"/>
  <c r="Y2701" i="13"/>
  <c r="X2703" i="13"/>
  <c r="Y2702" i="13"/>
  <c r="X2704" i="13"/>
  <c r="Y2703" i="13"/>
  <c r="Y2704" i="13"/>
  <c r="X2705" i="13"/>
  <c r="Y2705" i="13"/>
  <c r="X2706" i="13"/>
  <c r="X2707" i="13"/>
  <c r="Y2706" i="13"/>
  <c r="X2708" i="13"/>
  <c r="Y2707" i="13"/>
  <c r="Y2708" i="13"/>
  <c r="X2709" i="13"/>
  <c r="X2710" i="13"/>
  <c r="Y2709" i="13"/>
  <c r="X2711" i="13"/>
  <c r="Y2710" i="13"/>
  <c r="X2712" i="13"/>
  <c r="Y2711" i="13"/>
  <c r="Y2712" i="13"/>
  <c r="X2713" i="13"/>
  <c r="X2714" i="13"/>
  <c r="Y2713" i="13"/>
  <c r="Y2714" i="13"/>
  <c r="X2715" i="13"/>
  <c r="Y2715" i="13"/>
  <c r="X2716" i="13"/>
  <c r="X2717" i="13"/>
  <c r="Y2716" i="13"/>
  <c r="X2718" i="13"/>
  <c r="Y2717" i="13"/>
  <c r="X2719" i="13"/>
  <c r="Y2718" i="13"/>
  <c r="X2720" i="13"/>
  <c r="Y2719" i="13"/>
  <c r="X2721" i="13"/>
  <c r="Y2720" i="13"/>
  <c r="Y2721" i="13"/>
  <c r="X2722" i="13"/>
  <c r="X2723" i="13"/>
  <c r="Y2722" i="13"/>
  <c r="X2724" i="13"/>
  <c r="Y2723" i="13"/>
  <c r="X2725" i="13"/>
  <c r="Y2724" i="13"/>
  <c r="X2726" i="13"/>
  <c r="Y2725" i="13"/>
  <c r="Y2726" i="13"/>
  <c r="X2727" i="13"/>
  <c r="X2728" i="13"/>
  <c r="Y2727" i="13"/>
  <c r="Y2728" i="13"/>
  <c r="X2729" i="13"/>
  <c r="X2730" i="13"/>
  <c r="Y2729" i="13"/>
  <c r="Y2730" i="13"/>
  <c r="X2731" i="13"/>
  <c r="X2732" i="13"/>
  <c r="Y2731" i="13"/>
  <c r="X2733" i="13"/>
  <c r="Y2732" i="13"/>
  <c r="X2734" i="13"/>
  <c r="Y2733" i="13"/>
  <c r="Y2734" i="13"/>
  <c r="X2735" i="13"/>
  <c r="X2736" i="13"/>
  <c r="Y2735" i="13"/>
  <c r="Y2736" i="13"/>
  <c r="X2737" i="13"/>
  <c r="X2738" i="13"/>
  <c r="Y2737" i="13"/>
  <c r="X2739" i="13"/>
  <c r="Y2738" i="13"/>
  <c r="X2740" i="13"/>
  <c r="Y2739" i="13"/>
  <c r="Y2740" i="13"/>
  <c r="X2741" i="13"/>
  <c r="X2742" i="13"/>
  <c r="Y2741" i="13"/>
  <c r="Y2742" i="13"/>
  <c r="X2743" i="13"/>
  <c r="X2744" i="13"/>
  <c r="Y2743" i="13"/>
  <c r="Y2744" i="13"/>
  <c r="X2745" i="13"/>
  <c r="Y2745" i="13"/>
  <c r="X2746" i="13"/>
  <c r="Y2746" i="13"/>
  <c r="X2747" i="13"/>
  <c r="X2748" i="13"/>
  <c r="Y2747" i="13"/>
  <c r="X2749" i="13"/>
  <c r="Y2748" i="13"/>
  <c r="X2750" i="13"/>
  <c r="Y2749" i="13"/>
  <c r="X2751" i="13"/>
  <c r="Y2750" i="13"/>
  <c r="X2752" i="13"/>
  <c r="Y2751" i="13"/>
  <c r="Y2752" i="13"/>
  <c r="X2753" i="13"/>
  <c r="X2754" i="13"/>
  <c r="Y2753" i="13"/>
  <c r="X2755" i="13"/>
  <c r="Y2754" i="13"/>
  <c r="X2756" i="13"/>
  <c r="Y2755" i="13"/>
  <c r="Y2756" i="13"/>
  <c r="X2757" i="13"/>
  <c r="X2758" i="13"/>
  <c r="Y2757" i="13"/>
  <c r="Y2758" i="13"/>
  <c r="X2759" i="13"/>
  <c r="X2760" i="13"/>
  <c r="Y2759" i="13"/>
  <c r="Y2760" i="13"/>
  <c r="X2761" i="13"/>
  <c r="Y2761" i="13"/>
  <c r="X2762" i="13"/>
  <c r="X2763" i="13"/>
  <c r="Y2762" i="13"/>
  <c r="X2764" i="13"/>
  <c r="Y2763" i="13"/>
  <c r="X2765" i="13"/>
  <c r="Y2764" i="13"/>
  <c r="X2766" i="13"/>
  <c r="Y2765" i="13"/>
  <c r="Y2766" i="13"/>
  <c r="X2767" i="13"/>
  <c r="X2768" i="13"/>
  <c r="Y2767" i="13"/>
  <c r="X2769" i="13"/>
  <c r="Y2768" i="13"/>
  <c r="X2770" i="13"/>
  <c r="Y2769" i="13"/>
  <c r="X2771" i="13"/>
  <c r="Y2770" i="13"/>
  <c r="X2772" i="13"/>
  <c r="Y2771" i="13"/>
  <c r="Y2772" i="13"/>
  <c r="X2773" i="13"/>
  <c r="Y2773" i="13"/>
  <c r="X2774" i="13"/>
  <c r="Y2774" i="13"/>
  <c r="X2775" i="13"/>
  <c r="X2776" i="13"/>
  <c r="Y2775" i="13"/>
  <c r="Y2776" i="13"/>
  <c r="X2777" i="13"/>
  <c r="X2778" i="13"/>
  <c r="Y2777" i="13"/>
  <c r="X2779" i="13"/>
  <c r="Y2778" i="13"/>
  <c r="X2780" i="13"/>
  <c r="Y2779" i="13"/>
  <c r="X2781" i="13"/>
  <c r="Y2780" i="13"/>
  <c r="X2782" i="13"/>
  <c r="Y2781" i="13"/>
  <c r="Y2782" i="13"/>
  <c r="X2783" i="13"/>
  <c r="X2784" i="13"/>
  <c r="Y2783" i="13"/>
  <c r="Y2784" i="13"/>
  <c r="X2785" i="13"/>
  <c r="X2786" i="13"/>
  <c r="Y2785" i="13"/>
  <c r="X2787" i="13"/>
  <c r="Y2786" i="13"/>
  <c r="X2788" i="13"/>
  <c r="Y2787" i="13"/>
  <c r="X2789" i="13"/>
  <c r="Y2788" i="13"/>
  <c r="Y2789" i="13"/>
  <c r="X2790" i="13"/>
  <c r="Y2790" i="13"/>
  <c r="X2791" i="13"/>
  <c r="X2792" i="13"/>
  <c r="Y2791" i="13"/>
  <c r="Y2792" i="13"/>
  <c r="X2793" i="13"/>
  <c r="X2794" i="13"/>
  <c r="Y2793" i="13"/>
  <c r="X2795" i="13"/>
  <c r="Y2794" i="13"/>
  <c r="X2796" i="13"/>
  <c r="Y2795" i="13"/>
  <c r="X2797" i="13"/>
  <c r="Y2796" i="13"/>
  <c r="X2798" i="13"/>
  <c r="Y2797" i="13"/>
  <c r="Y2798" i="13"/>
  <c r="X2799" i="13"/>
  <c r="X2800" i="13"/>
  <c r="Y2799" i="13"/>
  <c r="Y2800" i="13"/>
  <c r="X2801" i="13"/>
  <c r="X2802" i="13"/>
  <c r="Y2801" i="13"/>
  <c r="X2803" i="13"/>
  <c r="Y2802" i="13"/>
  <c r="X2804" i="13"/>
  <c r="Y2803" i="13"/>
  <c r="Y2804" i="13"/>
  <c r="X2805" i="13"/>
  <c r="Y2805" i="13"/>
  <c r="X2806" i="13"/>
  <c r="X2807" i="13"/>
  <c r="Y2806" i="13"/>
  <c r="X2808" i="13"/>
  <c r="Y2807" i="13"/>
  <c r="X2809" i="13"/>
  <c r="Y2808" i="13"/>
  <c r="X2810" i="13"/>
  <c r="Y2809" i="13"/>
  <c r="Y2810" i="13"/>
  <c r="X2811" i="13"/>
  <c r="Y2811" i="13"/>
  <c r="X2812" i="13"/>
  <c r="Y2812" i="13"/>
  <c r="X2813" i="13"/>
  <c r="Y2813" i="13"/>
  <c r="X2814" i="13"/>
  <c r="X2815" i="13"/>
  <c r="Y2814" i="13"/>
  <c r="X2816" i="13"/>
  <c r="Y2815" i="13"/>
  <c r="Y2816" i="13"/>
  <c r="X2817" i="13"/>
  <c r="Y2817" i="13"/>
  <c r="X2818" i="13"/>
  <c r="X2819" i="13"/>
  <c r="Y2818" i="13"/>
  <c r="X2820" i="13"/>
  <c r="Y2819" i="13"/>
  <c r="X2821" i="13"/>
  <c r="Y2820" i="13"/>
  <c r="Y2821" i="13"/>
  <c r="X2822" i="13"/>
  <c r="X2823" i="13"/>
  <c r="Y2822" i="13"/>
  <c r="X2824" i="13"/>
  <c r="Y2823" i="13"/>
  <c r="X2825" i="13"/>
  <c r="Y2824" i="13"/>
  <c r="Y2825" i="13"/>
  <c r="X2826" i="13"/>
  <c r="X2827" i="13"/>
  <c r="Y2826" i="13"/>
  <c r="Y2827" i="13"/>
  <c r="X2828" i="13"/>
  <c r="Y2828" i="13"/>
  <c r="X2829" i="13"/>
  <c r="Y2829" i="13"/>
  <c r="X2830" i="13"/>
  <c r="Y2830" i="13"/>
  <c r="X2831" i="13"/>
  <c r="X2832" i="13"/>
  <c r="Y2831" i="13"/>
  <c r="Y2832" i="13"/>
  <c r="X2833" i="13"/>
  <c r="Y2833" i="13"/>
  <c r="X2834" i="13"/>
  <c r="X2835" i="13"/>
  <c r="Y2834" i="13"/>
  <c r="X2836" i="13"/>
  <c r="Y2835" i="13"/>
  <c r="X2837" i="13"/>
  <c r="Y2836" i="13"/>
  <c r="Y2837" i="13"/>
  <c r="X2838" i="13"/>
  <c r="X2839" i="13"/>
  <c r="Y2838" i="13"/>
  <c r="X2840" i="13"/>
  <c r="Y2839" i="13"/>
  <c r="X2841" i="13"/>
  <c r="Y2840" i="13"/>
  <c r="X2842" i="13"/>
  <c r="Y2841" i="13"/>
  <c r="X2843" i="13"/>
  <c r="Y2842" i="13"/>
  <c r="Y2843" i="13"/>
  <c r="X2844" i="13"/>
  <c r="Y2844" i="13"/>
  <c r="X2845" i="13"/>
  <c r="Y2845" i="13"/>
  <c r="X2846" i="13"/>
  <c r="Y2846" i="13"/>
  <c r="X2847" i="13"/>
  <c r="X2848" i="13"/>
  <c r="Y2847" i="13"/>
  <c r="X2849" i="13"/>
  <c r="Y2848" i="13"/>
  <c r="Y2849" i="13"/>
  <c r="X2850" i="13"/>
  <c r="X2851" i="13"/>
  <c r="Y2850" i="13"/>
  <c r="X2852" i="13"/>
  <c r="Y2851" i="13"/>
  <c r="Y2852" i="13"/>
  <c r="X2853" i="13"/>
  <c r="X2854" i="13"/>
  <c r="Y2853" i="13"/>
  <c r="X2855" i="13"/>
  <c r="Y2854" i="13"/>
  <c r="X2856" i="13"/>
  <c r="Y2855" i="13"/>
  <c r="X2857" i="13"/>
  <c r="Y2856" i="13"/>
  <c r="Y2857" i="13"/>
  <c r="X2858" i="13"/>
  <c r="Y2858" i="13"/>
  <c r="X2859" i="13"/>
  <c r="Y2859" i="13"/>
  <c r="X2860" i="13"/>
  <c r="Y2860" i="13"/>
  <c r="X2861" i="13"/>
  <c r="Y2861" i="13"/>
  <c r="X2862" i="13"/>
  <c r="X2863" i="13"/>
  <c r="Y2862" i="13"/>
  <c r="X2864" i="13"/>
  <c r="Y2863" i="13"/>
  <c r="X2865" i="13"/>
  <c r="Y2864" i="13"/>
  <c r="Y2865" i="13"/>
  <c r="X2866" i="13"/>
  <c r="X2867" i="13"/>
  <c r="Y2866" i="13"/>
  <c r="Y2867" i="13"/>
  <c r="X2868" i="13"/>
  <c r="X2869" i="13"/>
  <c r="Y2868" i="13"/>
  <c r="X2870" i="13"/>
  <c r="Y2869" i="13"/>
  <c r="X2871" i="13"/>
  <c r="Y2870" i="13"/>
  <c r="X2872" i="13"/>
  <c r="Y2871" i="13"/>
  <c r="X2873" i="13"/>
  <c r="Y2872" i="13"/>
  <c r="Y2873" i="13"/>
  <c r="X2874" i="13"/>
  <c r="Y2874" i="13"/>
  <c r="X2875" i="13"/>
  <c r="Y2875" i="13"/>
  <c r="X2876" i="13"/>
  <c r="Y2876" i="13"/>
  <c r="X2877" i="13"/>
  <c r="Y2877" i="13"/>
  <c r="X2878" i="13"/>
  <c r="Y2878" i="13"/>
  <c r="X2879" i="13"/>
  <c r="X2880" i="13"/>
  <c r="Y2879" i="13"/>
  <c r="Y2880" i="13"/>
  <c r="X2881" i="13"/>
  <c r="Y2881" i="13"/>
  <c r="X2882" i="13"/>
  <c r="X2883" i="13"/>
  <c r="Y2882" i="13"/>
  <c r="X2884" i="13"/>
  <c r="Y2883" i="13"/>
  <c r="Y2884" i="13"/>
  <c r="X2885" i="13"/>
  <c r="Y2885" i="13"/>
  <c r="X2886" i="13"/>
  <c r="X2887" i="13"/>
  <c r="Y2886" i="13"/>
  <c r="X2888" i="13"/>
  <c r="Y2887" i="13"/>
  <c r="X2889" i="13"/>
  <c r="Y2888" i="13"/>
  <c r="X2890" i="13"/>
  <c r="Y2889" i="13"/>
  <c r="X2891" i="13"/>
  <c r="Y2890" i="13"/>
  <c r="Y2891" i="13"/>
  <c r="X2892" i="13"/>
  <c r="Y2892" i="13"/>
  <c r="X2893" i="13"/>
  <c r="Y2893" i="13"/>
  <c r="X2894" i="13"/>
  <c r="Y2894" i="13"/>
  <c r="X2895" i="13"/>
  <c r="X2896" i="13"/>
  <c r="Y2895" i="13"/>
  <c r="X2897" i="13"/>
  <c r="Y2896" i="13"/>
  <c r="Y2897" i="13"/>
  <c r="X2898" i="13"/>
  <c r="X2899" i="13"/>
  <c r="Y2898" i="13"/>
  <c r="X2900" i="13"/>
  <c r="Y2899" i="13"/>
  <c r="X2901" i="13"/>
  <c r="Y2900" i="13"/>
  <c r="X2902" i="13"/>
  <c r="Y2901" i="13"/>
  <c r="X2903" i="13"/>
  <c r="Y2902" i="13"/>
  <c r="X2904" i="13"/>
  <c r="Y2903" i="13"/>
  <c r="X2905" i="13"/>
  <c r="Y2904" i="13"/>
  <c r="Y2905" i="13"/>
  <c r="X2906" i="13"/>
  <c r="X2907" i="13"/>
  <c r="Y2906" i="13"/>
  <c r="Y2907" i="13"/>
  <c r="X2908" i="13"/>
  <c r="X2909" i="13"/>
  <c r="Y2908" i="13"/>
  <c r="Y2909" i="13"/>
  <c r="X2910" i="13"/>
  <c r="X2911" i="13"/>
  <c r="Y2910" i="13"/>
  <c r="X2912" i="13"/>
  <c r="Y2911" i="13"/>
  <c r="Y2912" i="13"/>
  <c r="X2913" i="13"/>
  <c r="Y2913" i="13"/>
  <c r="X2914" i="13"/>
  <c r="X2915" i="13"/>
  <c r="Y2914" i="13"/>
  <c r="X2916" i="13"/>
  <c r="Y2915" i="13"/>
  <c r="Y2916" i="13"/>
  <c r="X2917" i="13"/>
  <c r="X2918" i="13"/>
  <c r="Y2917" i="13"/>
  <c r="Y2918" i="13"/>
  <c r="X2919" i="13"/>
  <c r="X2920" i="13"/>
  <c r="Y2919" i="13"/>
  <c r="Y2920" i="13"/>
  <c r="X2921" i="13"/>
  <c r="Y2921" i="13"/>
  <c r="X2922" i="13"/>
  <c r="Y2922" i="13"/>
  <c r="X2923" i="13"/>
  <c r="X2924" i="13"/>
  <c r="Y2923" i="13"/>
  <c r="Y2924" i="13"/>
  <c r="X2925" i="13"/>
  <c r="Y2925" i="13"/>
  <c r="X2926" i="13"/>
  <c r="X2927" i="13"/>
  <c r="Y2926" i="13"/>
  <c r="X2928" i="13"/>
  <c r="Y2927" i="13"/>
  <c r="Y2928" i="13"/>
  <c r="X2929" i="13"/>
  <c r="X2930" i="13"/>
  <c r="Y2929" i="13"/>
  <c r="X2931" i="13"/>
  <c r="Y2930" i="13"/>
  <c r="X2932" i="13"/>
  <c r="Y2931" i="13"/>
  <c r="Y2932" i="13"/>
  <c r="X2933" i="13"/>
  <c r="Y2933" i="13"/>
  <c r="X2934" i="13"/>
  <c r="Y2934" i="13"/>
  <c r="X2935" i="13"/>
  <c r="X2936" i="13"/>
  <c r="Y2935" i="13"/>
  <c r="Y2936" i="13"/>
  <c r="X2937" i="13"/>
  <c r="Y2937" i="13"/>
  <c r="X2938" i="13"/>
  <c r="X2939" i="13"/>
  <c r="Y2938" i="13"/>
  <c r="X2940" i="13"/>
  <c r="Y2939" i="13"/>
  <c r="Y2940" i="13"/>
  <c r="X2941" i="13"/>
  <c r="Y2941" i="13"/>
  <c r="X2942" i="13"/>
  <c r="X2943" i="13"/>
  <c r="Y2942" i="13"/>
  <c r="X2944" i="13"/>
  <c r="Y2943" i="13"/>
  <c r="Y2944" i="13"/>
  <c r="X2945" i="13"/>
  <c r="X2946" i="13"/>
  <c r="Y2945" i="13"/>
  <c r="X2947" i="13"/>
  <c r="Y2946" i="13"/>
  <c r="Y2947" i="13"/>
  <c r="X2948" i="13"/>
  <c r="X2949" i="13"/>
  <c r="Y2948" i="13"/>
  <c r="Y2949" i="13"/>
  <c r="X2950" i="13"/>
  <c r="Y2950" i="13"/>
  <c r="X2951" i="13"/>
  <c r="X2952" i="13"/>
  <c r="Y2951" i="13"/>
  <c r="Y2952" i="13"/>
  <c r="X2953" i="13"/>
  <c r="Y2953" i="13"/>
  <c r="X2954" i="13"/>
  <c r="X2955" i="13"/>
  <c r="Y2954" i="13"/>
  <c r="X2956" i="13"/>
  <c r="Y2955" i="13"/>
  <c r="Y2956" i="13"/>
  <c r="X2957" i="13"/>
  <c r="Y2957" i="13"/>
  <c r="X2958" i="13"/>
  <c r="X2959" i="13"/>
  <c r="Y2958" i="13"/>
  <c r="X2960" i="13"/>
  <c r="Y2959" i="13"/>
  <c r="X2961" i="13"/>
  <c r="Y2960" i="13"/>
  <c r="X2962" i="13"/>
  <c r="Y2961" i="13"/>
  <c r="X2963" i="13"/>
  <c r="Y2962" i="13"/>
  <c r="Y2963" i="13"/>
  <c r="X2964" i="13"/>
  <c r="X2965" i="13"/>
  <c r="Y2964" i="13"/>
  <c r="X2966" i="13"/>
  <c r="Y2965" i="13"/>
  <c r="Y2966" i="13"/>
  <c r="X2967" i="13"/>
  <c r="X2968" i="13"/>
  <c r="Y2967" i="13"/>
  <c r="Y2968" i="13"/>
  <c r="X2969" i="13"/>
  <c r="Y2969" i="13"/>
  <c r="X2970" i="13"/>
  <c r="X2971" i="13"/>
  <c r="Y2970" i="13"/>
  <c r="X2972" i="13"/>
  <c r="Y2971" i="13"/>
  <c r="X2973" i="13"/>
  <c r="Y2972" i="13"/>
  <c r="Y2973" i="13"/>
  <c r="X2974" i="13"/>
  <c r="X2975" i="13"/>
  <c r="Y2974" i="13"/>
  <c r="X2976" i="13"/>
  <c r="Y2975" i="13"/>
  <c r="X2977" i="13"/>
  <c r="Y2976" i="13"/>
  <c r="Y2977" i="13"/>
  <c r="X2978" i="13"/>
  <c r="Y2978" i="13"/>
  <c r="X2979" i="13"/>
  <c r="Y2979" i="13"/>
  <c r="X2980" i="13"/>
  <c r="X2981" i="13"/>
  <c r="Y2980" i="13"/>
  <c r="Y2981" i="13"/>
  <c r="X2982" i="13"/>
  <c r="Y2982" i="13"/>
  <c r="X2983" i="13"/>
  <c r="X2984" i="13"/>
  <c r="Y2983" i="13"/>
  <c r="X2985" i="13"/>
  <c r="Y2984" i="13"/>
  <c r="Y2985" i="13"/>
  <c r="X2986" i="13"/>
  <c r="X2987" i="13"/>
  <c r="Y2986" i="13"/>
  <c r="X2988" i="13"/>
  <c r="Y2987" i="13"/>
  <c r="Y2988" i="13"/>
  <c r="X2989" i="13"/>
  <c r="Y2989" i="13"/>
  <c r="X2990" i="13"/>
  <c r="Y2990" i="13"/>
  <c r="X2991" i="13"/>
  <c r="X2992" i="13"/>
  <c r="Y2991" i="13"/>
  <c r="Y2992" i="13"/>
  <c r="X2993" i="13"/>
  <c r="Y2993" i="13"/>
  <c r="X2994" i="13"/>
  <c r="Y2994" i="13"/>
  <c r="X2995" i="13"/>
  <c r="Y2995" i="13"/>
  <c r="X2996" i="13"/>
  <c r="X2997" i="13"/>
  <c r="Y2996" i="13"/>
  <c r="Y2997" i="13"/>
  <c r="X2998" i="13"/>
  <c r="X2999" i="13"/>
  <c r="Y2998" i="13"/>
  <c r="X3000" i="13"/>
  <c r="Y2999" i="13"/>
  <c r="Y3000" i="13"/>
  <c r="X3001" i="13"/>
  <c r="Y3001" i="13"/>
  <c r="X3002" i="13"/>
  <c r="Y3002" i="13"/>
  <c r="X3003" i="13"/>
  <c r="X3004" i="13"/>
  <c r="Y3003" i="13"/>
  <c r="X3005" i="13"/>
  <c r="Y3004" i="13"/>
  <c r="X3006" i="13"/>
  <c r="Y3005" i="13"/>
  <c r="X3007" i="13"/>
  <c r="Y3006" i="13"/>
  <c r="X3008" i="13"/>
  <c r="Y3007" i="13"/>
  <c r="X3009" i="13"/>
  <c r="Y3008" i="13"/>
  <c r="Y3009" i="13"/>
  <c r="X3010" i="13"/>
  <c r="Y3010" i="13"/>
  <c r="X3011" i="13"/>
  <c r="Y3011" i="13"/>
  <c r="X3012" i="13"/>
  <c r="Y3012" i="13"/>
  <c r="X3013" i="13"/>
  <c r="Y3013" i="13"/>
  <c r="X3014" i="13"/>
  <c r="X3015" i="13"/>
  <c r="Y3014" i="13"/>
  <c r="X3016" i="13"/>
  <c r="Y3015" i="13"/>
  <c r="Y3016" i="13"/>
  <c r="X3017" i="13"/>
  <c r="X3018" i="13"/>
  <c r="Y3017" i="13"/>
  <c r="X3019" i="13"/>
  <c r="Y3018" i="13"/>
  <c r="X3020" i="13"/>
  <c r="Y3019" i="13"/>
  <c r="X3021" i="13"/>
  <c r="Y3020" i="13"/>
  <c r="Y3021" i="13"/>
  <c r="X3022" i="13"/>
  <c r="Y3022" i="13"/>
  <c r="X3023" i="13"/>
  <c r="Y3023" i="13"/>
  <c r="X3024" i="13"/>
  <c r="X3025" i="13"/>
  <c r="Y3024" i="13"/>
  <c r="Y3025" i="13"/>
  <c r="X3026" i="13"/>
  <c r="Y3026" i="13"/>
  <c r="X3027" i="13"/>
  <c r="Y3027" i="13"/>
  <c r="X3028" i="13"/>
  <c r="Y3028" i="13"/>
  <c r="X3029" i="13"/>
  <c r="Y3029" i="13"/>
  <c r="X3030" i="13"/>
  <c r="Y3030" i="13"/>
  <c r="X3031" i="13"/>
  <c r="X3032" i="13"/>
  <c r="Y3031" i="13"/>
  <c r="X3033" i="13"/>
  <c r="Y3032" i="13"/>
  <c r="X3034" i="13"/>
  <c r="Y3033" i="13"/>
  <c r="Y3034" i="13"/>
  <c r="X3035" i="13"/>
  <c r="Y3035" i="13"/>
  <c r="X3036" i="13"/>
  <c r="X3037" i="13"/>
  <c r="Y3036" i="13"/>
  <c r="X3038" i="13"/>
  <c r="Y3037" i="13"/>
  <c r="Y3038" i="13"/>
  <c r="X3039" i="13"/>
  <c r="X3040" i="13"/>
  <c r="Y3039" i="13"/>
  <c r="Y3040" i="13"/>
  <c r="X3041" i="13"/>
  <c r="Y3041" i="13"/>
  <c r="X3042" i="13"/>
  <c r="X3043" i="13"/>
  <c r="Y3042" i="13"/>
  <c r="Y3043" i="13"/>
  <c r="X3044" i="13"/>
  <c r="X3045" i="13"/>
  <c r="Y3044" i="13"/>
  <c r="Y3045" i="13"/>
  <c r="X3046" i="13"/>
  <c r="X3047" i="13"/>
  <c r="Y3046" i="13"/>
  <c r="X3048" i="13"/>
  <c r="Y3047" i="13"/>
  <c r="Y3048" i="13"/>
  <c r="X3049" i="13"/>
  <c r="Y3049" i="13"/>
  <c r="X3050" i="13"/>
  <c r="X3051" i="13"/>
  <c r="Y3050" i="13"/>
  <c r="X3052" i="13"/>
  <c r="Y3051" i="13"/>
  <c r="X3053" i="13"/>
  <c r="Y3052" i="13"/>
  <c r="X3054" i="13"/>
  <c r="Y3053" i="13"/>
  <c r="Y3054" i="13"/>
  <c r="X3055" i="13"/>
  <c r="Y3055" i="13"/>
  <c r="X3056" i="13"/>
  <c r="X3057" i="13"/>
  <c r="Y3056" i="13"/>
  <c r="X3058" i="13"/>
  <c r="Y3057" i="13"/>
  <c r="Y3058" i="13"/>
  <c r="X3059" i="13"/>
  <c r="X3060" i="13"/>
  <c r="Y3059" i="13"/>
  <c r="Y3060" i="13"/>
  <c r="X3061" i="13"/>
  <c r="X3062" i="13"/>
  <c r="Y3061" i="13"/>
  <c r="X3063" i="13"/>
  <c r="Y3062" i="13"/>
  <c r="X3064" i="13"/>
  <c r="Y3063" i="13"/>
  <c r="X3065" i="13"/>
  <c r="Y3064" i="13"/>
  <c r="Y3065" i="13"/>
  <c r="X3066" i="13"/>
  <c r="Y3066" i="13"/>
  <c r="X3067" i="13"/>
  <c r="Y3067" i="13"/>
  <c r="X3068" i="13"/>
  <c r="X3069" i="13"/>
  <c r="Y3068" i="13"/>
  <c r="Y3069" i="13"/>
  <c r="X3070" i="13"/>
  <c r="Y3070" i="13"/>
  <c r="X3071" i="13"/>
  <c r="X3072" i="13"/>
  <c r="Y3071" i="13"/>
  <c r="Y3072" i="13"/>
  <c r="X3073" i="13"/>
  <c r="Y3073" i="13"/>
  <c r="X3074" i="13"/>
  <c r="X3075" i="13"/>
  <c r="Y3074" i="13"/>
  <c r="Y3075" i="13"/>
  <c r="X3076" i="13"/>
  <c r="X3077" i="13"/>
  <c r="Y3076" i="13"/>
  <c r="Y3077" i="13"/>
  <c r="X3078" i="13"/>
  <c r="X3079" i="13"/>
  <c r="Y3078" i="13"/>
  <c r="X3080" i="13"/>
  <c r="Y3079" i="13"/>
  <c r="Y3080" i="13"/>
  <c r="X3081" i="13"/>
  <c r="X3082" i="13"/>
  <c r="Y3081" i="13"/>
  <c r="X3083" i="13"/>
  <c r="Y3082" i="13"/>
  <c r="X3084" i="13"/>
  <c r="Y3083" i="13"/>
  <c r="X3085" i="13"/>
  <c r="Y3084" i="13"/>
  <c r="X3086" i="13"/>
  <c r="Y3085" i="13"/>
  <c r="Y3086" i="13"/>
  <c r="X3087" i="13"/>
  <c r="Y3087" i="13"/>
  <c r="X3088" i="13"/>
  <c r="X3089" i="13"/>
  <c r="Y3088" i="13"/>
  <c r="Y3089" i="13"/>
  <c r="X3090" i="13"/>
  <c r="Y3090" i="13"/>
  <c r="X3091" i="13"/>
  <c r="Y3091" i="13"/>
  <c r="X3092" i="13"/>
  <c r="Y3092" i="13"/>
  <c r="X3093" i="13"/>
  <c r="X3094" i="13"/>
  <c r="Y3093" i="13"/>
  <c r="Y3094" i="13"/>
  <c r="X3095" i="13"/>
  <c r="X3096" i="13"/>
  <c r="Y3095" i="13"/>
  <c r="X3097" i="13"/>
  <c r="Y3096" i="13"/>
  <c r="Y3097" i="13"/>
  <c r="X3098" i="13"/>
  <c r="Y3098" i="13"/>
  <c r="X3099" i="13"/>
  <c r="Y3099" i="13"/>
  <c r="X3100" i="13"/>
  <c r="X3101" i="13"/>
  <c r="Y3100" i="13"/>
  <c r="Y3101" i="13"/>
  <c r="X3102" i="13"/>
  <c r="Y3102" i="13"/>
  <c r="X3103" i="13"/>
  <c r="X3104" i="13"/>
  <c r="Y3103" i="13"/>
  <c r="Y3104" i="13"/>
  <c r="X3105" i="13"/>
  <c r="X3106" i="13"/>
  <c r="Y3105" i="13"/>
  <c r="X3107" i="13"/>
  <c r="Y3106" i="13"/>
  <c r="Y3107" i="13"/>
  <c r="X3108" i="13"/>
  <c r="X3109" i="13"/>
  <c r="Y3108" i="13"/>
  <c r="Y3109" i="13"/>
  <c r="X3110" i="13"/>
  <c r="X3111" i="13"/>
  <c r="Y3110" i="13"/>
  <c r="X3112" i="13"/>
  <c r="Y3111" i="13"/>
  <c r="X3113" i="13"/>
  <c r="Y3112" i="13"/>
  <c r="Y3113" i="13"/>
  <c r="X3114" i="13"/>
  <c r="Y3114" i="13"/>
  <c r="X3115" i="13"/>
  <c r="X3116" i="13"/>
  <c r="Y3115" i="13"/>
  <c r="X3117" i="13"/>
  <c r="Y3116" i="13"/>
  <c r="X3118" i="13"/>
  <c r="Y3117" i="13"/>
  <c r="Y3118" i="13"/>
  <c r="X3119" i="13"/>
  <c r="X3120" i="13"/>
  <c r="Y3119" i="13"/>
  <c r="X3121" i="13"/>
  <c r="Y3120" i="13"/>
  <c r="X3122" i="13"/>
  <c r="Y3121" i="13"/>
  <c r="Y3122" i="13"/>
  <c r="X3123" i="13"/>
  <c r="X3124" i="13"/>
  <c r="Y3123" i="13"/>
  <c r="Y3124" i="13"/>
  <c r="X3125" i="13"/>
  <c r="X3126" i="13"/>
  <c r="Y3125" i="13"/>
  <c r="X3127" i="13"/>
  <c r="Y3126" i="13"/>
  <c r="X3128" i="13"/>
  <c r="Y3127" i="13"/>
  <c r="Y3128" i="13"/>
  <c r="X3129" i="13"/>
  <c r="X3130" i="13"/>
  <c r="Y3129" i="13"/>
  <c r="Y3130" i="13"/>
  <c r="X3131" i="13"/>
  <c r="Y3131" i="13"/>
  <c r="X3132" i="13"/>
  <c r="X3133" i="13"/>
  <c r="Y3132" i="13"/>
  <c r="Y3133" i="13"/>
  <c r="X3134" i="13"/>
  <c r="Y3134" i="13"/>
  <c r="X3135" i="13"/>
  <c r="Y3135" i="13"/>
  <c r="X3136" i="13"/>
  <c r="Y3136" i="13"/>
  <c r="X3137" i="13"/>
  <c r="X3138" i="13"/>
  <c r="Y3137" i="13"/>
  <c r="Y3138" i="13"/>
  <c r="X3139" i="13"/>
  <c r="Y3139" i="13"/>
  <c r="X3140" i="13"/>
  <c r="X3141" i="13"/>
  <c r="Y3140" i="13"/>
  <c r="Y3141" i="13"/>
  <c r="X3142" i="13"/>
  <c r="X3143" i="13"/>
  <c r="Y3142" i="13"/>
  <c r="X3144" i="13"/>
  <c r="Y3143" i="13"/>
  <c r="X3145" i="13"/>
  <c r="Y3144" i="13"/>
  <c r="Y3145" i="13"/>
  <c r="X3146" i="13"/>
  <c r="X3147" i="13"/>
  <c r="Y3146" i="13"/>
  <c r="X3148" i="13"/>
  <c r="Y3147" i="13"/>
  <c r="X3149" i="13"/>
  <c r="Y3148" i="13"/>
  <c r="X3150" i="13"/>
  <c r="Y3149" i="13"/>
  <c r="Y3150" i="13"/>
  <c r="X3151" i="13"/>
  <c r="X3152" i="13"/>
  <c r="Y3151" i="13"/>
  <c r="X3153" i="13"/>
  <c r="Y3152" i="13"/>
  <c r="X3154" i="13"/>
  <c r="Y3153" i="13"/>
  <c r="X3155" i="13"/>
  <c r="Y3154" i="13"/>
  <c r="X3156" i="13"/>
  <c r="Y3155" i="13"/>
  <c r="X3157" i="13"/>
  <c r="Y3156" i="13"/>
  <c r="X3158" i="13"/>
  <c r="Y3157" i="13"/>
  <c r="X3159" i="13"/>
  <c r="Y3158" i="13"/>
  <c r="X3160" i="13"/>
  <c r="Y3159" i="13"/>
  <c r="X3161" i="13"/>
  <c r="Y3160" i="13"/>
  <c r="X3162" i="13"/>
  <c r="Y3161" i="13"/>
  <c r="X3163" i="13"/>
  <c r="Y3162" i="13"/>
  <c r="Y3163" i="13"/>
  <c r="X3164" i="13"/>
  <c r="Y3164" i="13"/>
  <c r="X3165" i="13"/>
  <c r="Y3165" i="13"/>
  <c r="X3166" i="13"/>
  <c r="Y3166" i="13"/>
  <c r="X3167" i="13"/>
  <c r="Y3167" i="13"/>
  <c r="X3168" i="13"/>
  <c r="X3169" i="13"/>
  <c r="Y3168" i="13"/>
  <c r="X3170" i="13"/>
  <c r="Y3169" i="13"/>
  <c r="X3171" i="13"/>
  <c r="Y3170" i="13"/>
  <c r="Y3171" i="13"/>
  <c r="X3172" i="13"/>
  <c r="Y3172" i="13"/>
  <c r="X3173" i="13"/>
  <c r="Y3173" i="13"/>
  <c r="X3174" i="13"/>
  <c r="X3175" i="13"/>
  <c r="Y3174" i="13"/>
  <c r="X3176" i="13"/>
  <c r="Y3175" i="13"/>
  <c r="Y3176" i="13"/>
  <c r="X3177" i="13"/>
  <c r="Y3177" i="13"/>
  <c r="X3178" i="13"/>
  <c r="X3179" i="13"/>
  <c r="Y3178" i="13"/>
  <c r="X3180" i="13"/>
  <c r="Y3179" i="13"/>
  <c r="Y3180" i="13"/>
  <c r="X3181" i="13"/>
  <c r="X3182" i="13"/>
  <c r="Y3181" i="13"/>
  <c r="X3183" i="13"/>
  <c r="Y3182" i="13"/>
  <c r="X3184" i="13"/>
  <c r="Y3183" i="13"/>
  <c r="X3185" i="13"/>
  <c r="Y3184" i="13"/>
  <c r="X3186" i="13"/>
  <c r="Y3185" i="13"/>
  <c r="X3187" i="13"/>
  <c r="Y3186" i="13"/>
  <c r="X3188" i="13"/>
  <c r="Y3187" i="13"/>
  <c r="Y3188" i="13"/>
  <c r="X3189" i="13"/>
  <c r="X3190" i="13"/>
  <c r="Y3189" i="13"/>
  <c r="X3191" i="13"/>
  <c r="Y3190" i="13"/>
  <c r="X3192" i="13"/>
  <c r="Y3191" i="13"/>
  <c r="X3193" i="13"/>
  <c r="Y3192" i="13"/>
  <c r="X3194" i="13"/>
  <c r="Y3193" i="13"/>
  <c r="X3195" i="13"/>
  <c r="Y3194" i="13"/>
  <c r="Y3195" i="13"/>
  <c r="X3196" i="13"/>
  <c r="X3197" i="13"/>
  <c r="Y3196" i="13"/>
  <c r="X3198" i="13"/>
  <c r="Y3197" i="13"/>
  <c r="X3199" i="13"/>
  <c r="Y3198" i="13"/>
  <c r="Y3199" i="13"/>
  <c r="X3200" i="13"/>
  <c r="X3201" i="13"/>
  <c r="Y3200" i="13"/>
  <c r="X3202" i="13"/>
  <c r="Y3201" i="13"/>
  <c r="X3203" i="13"/>
  <c r="Y3202" i="13"/>
  <c r="Y3203" i="13"/>
  <c r="X3204" i="13"/>
  <c r="Y3204" i="13"/>
  <c r="X3205" i="13"/>
  <c r="X3206" i="13"/>
  <c r="Y3205" i="13"/>
  <c r="Y3206" i="13"/>
  <c r="X3207" i="13"/>
  <c r="X3208" i="13"/>
  <c r="Y3207" i="13"/>
  <c r="Y3208" i="13"/>
  <c r="X3209" i="13"/>
  <c r="X3210" i="13"/>
  <c r="Y3209" i="13"/>
  <c r="X3211" i="13"/>
  <c r="Y3210" i="13"/>
  <c r="X3212" i="13"/>
  <c r="Y3211" i="13"/>
  <c r="X3213" i="13"/>
  <c r="Y3212" i="13"/>
  <c r="X3214" i="13"/>
  <c r="Y3213" i="13"/>
  <c r="Y3214" i="13"/>
  <c r="X3215" i="13"/>
  <c r="X3216" i="13"/>
  <c r="Y3215" i="13"/>
  <c r="X3217" i="13"/>
  <c r="Y3216" i="13"/>
  <c r="X3218" i="13"/>
  <c r="Y3217" i="13"/>
  <c r="Y3218" i="13"/>
  <c r="X3219" i="13"/>
  <c r="Y3219" i="13"/>
  <c r="X3220" i="13"/>
  <c r="X3221" i="13"/>
  <c r="Y3220" i="13"/>
  <c r="Y3221" i="13"/>
  <c r="X3222" i="13"/>
  <c r="X3223" i="13"/>
  <c r="Y3222" i="13"/>
  <c r="X3224" i="13"/>
  <c r="Y3223" i="13"/>
  <c r="X3225" i="13"/>
  <c r="Y3224" i="13"/>
  <c r="Y3225" i="13"/>
  <c r="X3226" i="13"/>
  <c r="X3227" i="13"/>
  <c r="Y3226" i="13"/>
  <c r="Y3227" i="13"/>
  <c r="X3228" i="13"/>
  <c r="X3229" i="13"/>
  <c r="Y3228" i="13"/>
  <c r="Y3229" i="13"/>
  <c r="X3230" i="13"/>
  <c r="Y3230" i="13"/>
  <c r="X3231" i="13"/>
  <c r="Y3231" i="13"/>
  <c r="X3232" i="13"/>
  <c r="Y3232" i="13"/>
  <c r="X3233" i="13"/>
  <c r="X3234" i="13"/>
  <c r="Y3233" i="13"/>
  <c r="Y3234" i="13"/>
  <c r="X3235" i="13"/>
  <c r="X3236" i="13"/>
  <c r="Y3235" i="13"/>
  <c r="Y3236" i="13"/>
  <c r="X3237" i="13"/>
  <c r="X3238" i="13"/>
  <c r="Y3237" i="13"/>
  <c r="X3239" i="13"/>
  <c r="Y3238" i="13"/>
  <c r="X3240" i="13"/>
  <c r="Y3239" i="13"/>
  <c r="Y3240" i="13"/>
  <c r="X3241" i="13"/>
  <c r="X3242" i="13"/>
  <c r="Y3241" i="13"/>
  <c r="X3243" i="13"/>
  <c r="Y3242" i="13"/>
  <c r="X3244" i="13"/>
  <c r="Y3243" i="13"/>
  <c r="X3245" i="13"/>
  <c r="Y3244" i="13"/>
  <c r="X3246" i="13"/>
  <c r="Y3245" i="13"/>
  <c r="X3247" i="13"/>
  <c r="Y3246" i="13"/>
  <c r="X3248" i="13"/>
  <c r="Y3247" i="13"/>
  <c r="X3249" i="13"/>
  <c r="Y3248" i="13"/>
  <c r="X3250" i="13"/>
  <c r="Y3249" i="13"/>
  <c r="X3251" i="13"/>
  <c r="Y3250" i="13"/>
  <c r="X3252" i="13"/>
  <c r="Y3251" i="13"/>
  <c r="X3253" i="13"/>
  <c r="Y3252" i="13"/>
  <c r="Y3253" i="13"/>
  <c r="X3254" i="13"/>
  <c r="X3255" i="13"/>
  <c r="Y3254" i="13"/>
  <c r="X3256" i="13"/>
  <c r="Y3255" i="13"/>
  <c r="X3257" i="13"/>
  <c r="Y3256" i="13"/>
  <c r="X3258" i="13"/>
  <c r="Y3257" i="13"/>
  <c r="X3259" i="13"/>
  <c r="Y3258" i="13"/>
  <c r="Y3259" i="13"/>
  <c r="X3260" i="13"/>
  <c r="X3261" i="13"/>
  <c r="Y3260" i="13"/>
  <c r="Y3261" i="13"/>
  <c r="X3262" i="13"/>
  <c r="X3263" i="13"/>
  <c r="Y3262" i="13"/>
  <c r="Y3263" i="13"/>
  <c r="X3264" i="13"/>
  <c r="X3265" i="13"/>
  <c r="Y3264" i="13"/>
  <c r="X3266" i="13"/>
  <c r="Y3265" i="13"/>
  <c r="Y3266" i="13"/>
  <c r="X3267" i="13"/>
  <c r="Y3267" i="13"/>
  <c r="X3268" i="13"/>
  <c r="Y3268" i="13"/>
  <c r="X3269" i="13"/>
  <c r="X3270" i="13"/>
  <c r="Y3269" i="13"/>
  <c r="X3271" i="13"/>
  <c r="Y3270" i="13"/>
  <c r="X3272" i="13"/>
  <c r="Y3271" i="13"/>
  <c r="Y3272" i="13"/>
  <c r="X3273" i="13"/>
  <c r="Y3273" i="13"/>
  <c r="X3274" i="13"/>
  <c r="Y3274" i="13"/>
  <c r="X3275" i="13"/>
  <c r="Y3275" i="13"/>
  <c r="X3276" i="13"/>
  <c r="Y3276" i="13"/>
  <c r="X3277" i="13"/>
  <c r="Y3277" i="13"/>
  <c r="X3278" i="13"/>
  <c r="Y3278" i="13"/>
  <c r="X3279" i="13"/>
  <c r="Y3279" i="13"/>
  <c r="X3280" i="13"/>
  <c r="Y3280" i="13"/>
  <c r="X3281" i="13"/>
  <c r="Y3281" i="13"/>
  <c r="X3282" i="13"/>
  <c r="Y3282" i="13"/>
  <c r="X3283" i="13"/>
  <c r="X3284" i="13"/>
  <c r="Y3283" i="13"/>
  <c r="X3285" i="13"/>
  <c r="Y3284" i="13"/>
  <c r="X3286" i="13"/>
  <c r="Y3285" i="13"/>
  <c r="X3287" i="13"/>
  <c r="Y3286" i="13"/>
  <c r="X3288" i="13"/>
  <c r="Y3287" i="13"/>
  <c r="Y3288" i="13"/>
  <c r="X3289" i="13"/>
  <c r="Y3289" i="13"/>
  <c r="X3290" i="13"/>
  <c r="X3291" i="13"/>
  <c r="Y3290" i="13"/>
  <c r="X3292" i="13"/>
  <c r="Y3291" i="13"/>
  <c r="X3293" i="13"/>
  <c r="Y3292" i="13"/>
  <c r="X3294" i="13"/>
  <c r="Y3293" i="13"/>
  <c r="Y3294" i="13"/>
  <c r="X3295" i="13"/>
  <c r="Y3295" i="13"/>
  <c r="X3296" i="13"/>
  <c r="X3297" i="13"/>
  <c r="Y3296" i="13"/>
  <c r="X3298" i="13"/>
  <c r="Y3297" i="13"/>
  <c r="Y3298" i="13"/>
  <c r="X3299" i="13"/>
  <c r="X3300" i="13"/>
  <c r="Y3299" i="13"/>
  <c r="Y3300" i="13"/>
  <c r="X3301" i="13"/>
  <c r="X3302" i="13"/>
  <c r="Y3301" i="13"/>
  <c r="Y3302" i="13"/>
  <c r="X3303" i="13"/>
  <c r="Y3303" i="13"/>
  <c r="X3304" i="13"/>
  <c r="Y3304" i="13"/>
  <c r="X3305" i="13"/>
  <c r="X3306" i="13"/>
  <c r="Y3305" i="13"/>
  <c r="X3307" i="13"/>
  <c r="Y3306" i="13"/>
  <c r="Y3307" i="13"/>
  <c r="X3308" i="13"/>
  <c r="X3309" i="13"/>
  <c r="Y3308" i="13"/>
  <c r="X3310" i="13"/>
  <c r="Y3309" i="13"/>
  <c r="Y3310" i="13"/>
  <c r="X3311" i="13"/>
  <c r="X3312" i="13"/>
  <c r="Y3311" i="13"/>
  <c r="X3313" i="13"/>
  <c r="Y3312" i="13"/>
  <c r="X3314" i="13"/>
  <c r="Y3313" i="13"/>
  <c r="Y3314" i="13"/>
  <c r="X3315" i="13"/>
  <c r="Y3315" i="13"/>
  <c r="X3316" i="13"/>
  <c r="Y3316" i="13"/>
  <c r="X3317" i="13"/>
  <c r="X3318" i="13"/>
  <c r="Y3317" i="13"/>
  <c r="Y3318" i="13"/>
  <c r="X3319" i="13"/>
  <c r="X3320" i="13"/>
  <c r="Y3319" i="13"/>
  <c r="Y3320" i="13"/>
  <c r="X3321" i="13"/>
  <c r="Y3321" i="13"/>
  <c r="X3322" i="13"/>
  <c r="Y3322" i="13"/>
  <c r="X3323" i="13"/>
  <c r="Y3323" i="13"/>
  <c r="X3324" i="13"/>
  <c r="X3325" i="13"/>
  <c r="Y3324" i="13"/>
  <c r="Y3325" i="13"/>
  <c r="X3326" i="13"/>
  <c r="Y3326" i="13"/>
  <c r="X3327" i="13"/>
  <c r="X3328" i="13"/>
  <c r="Y3327" i="13"/>
  <c r="X3329" i="13"/>
  <c r="Y3328" i="13"/>
  <c r="X3330" i="13"/>
  <c r="Y3329" i="13"/>
  <c r="Y3330" i="13"/>
  <c r="X3331" i="13"/>
  <c r="X3332" i="13"/>
  <c r="Y3331" i="13"/>
  <c r="Y3332" i="13"/>
  <c r="X3333" i="13"/>
  <c r="X3334" i="13"/>
  <c r="Y3333" i="13"/>
  <c r="X3335" i="13"/>
  <c r="Y3334" i="13"/>
  <c r="X3336" i="13"/>
  <c r="Y3335" i="13"/>
  <c r="Y3336" i="13"/>
  <c r="X3337" i="13"/>
  <c r="Y3337" i="13"/>
  <c r="X3338" i="13"/>
  <c r="Y3338" i="13"/>
  <c r="X3339" i="13"/>
  <c r="X3340" i="13"/>
  <c r="Y3339" i="13"/>
  <c r="X3341" i="13"/>
  <c r="Y3340" i="13"/>
  <c r="Y3341" i="13"/>
  <c r="X3342" i="13"/>
  <c r="X3343" i="13"/>
  <c r="Y3342" i="13"/>
  <c r="X3344" i="13"/>
  <c r="Y3343" i="13"/>
  <c r="X3345" i="13"/>
  <c r="Y3344" i="13"/>
  <c r="X3346" i="13"/>
  <c r="Y3345" i="13"/>
  <c r="Y3346" i="13"/>
  <c r="X3347" i="13"/>
  <c r="Y3347" i="13"/>
  <c r="X3348" i="13"/>
  <c r="Y3348" i="13"/>
  <c r="X3349" i="13"/>
  <c r="X3350" i="13"/>
  <c r="Y3349" i="13"/>
  <c r="Y3350" i="13"/>
  <c r="X3351" i="13"/>
  <c r="X3352" i="13"/>
  <c r="Y3351" i="13"/>
  <c r="Y3352" i="13"/>
  <c r="X3353" i="13"/>
  <c r="X3354" i="13"/>
  <c r="Y3353" i="13"/>
  <c r="Y3354" i="13"/>
  <c r="X3355" i="13"/>
  <c r="Y3355" i="13"/>
  <c r="X3356" i="13"/>
  <c r="X3357" i="13"/>
  <c r="Y3356" i="13"/>
  <c r="Y3357" i="13"/>
  <c r="X3358" i="13"/>
  <c r="Y3358" i="13"/>
  <c r="X3359" i="13"/>
  <c r="Y3359" i="13"/>
  <c r="X3360" i="13"/>
  <c r="X3361" i="13"/>
  <c r="Y3360" i="13"/>
  <c r="Y3361" i="13"/>
  <c r="X3362" i="13"/>
  <c r="Y3362" i="13"/>
  <c r="X3363" i="13"/>
  <c r="X3364" i="13"/>
  <c r="Y3363" i="13"/>
  <c r="Y3364" i="13"/>
  <c r="X3365" i="13"/>
  <c r="X3366" i="13"/>
  <c r="Y3365" i="13"/>
  <c r="Y3366" i="13"/>
  <c r="X3367" i="13"/>
  <c r="X3368" i="13"/>
  <c r="Y3367" i="13"/>
  <c r="Y3368" i="13"/>
  <c r="X3369" i="13"/>
  <c r="Y3369" i="13"/>
  <c r="X3370" i="13"/>
  <c r="Y3370" i="13"/>
  <c r="X3371" i="13"/>
  <c r="Y3371" i="13"/>
  <c r="X3372" i="13"/>
  <c r="X3373" i="13"/>
  <c r="Y3372" i="13"/>
  <c r="Y3373" i="13"/>
  <c r="X3374" i="13"/>
  <c r="X3375" i="13"/>
  <c r="Y3374" i="13"/>
  <c r="X3376" i="13"/>
  <c r="Y3375" i="13"/>
  <c r="X3377" i="13"/>
  <c r="Y3376" i="13"/>
  <c r="X3378" i="13"/>
  <c r="Y3377" i="13"/>
  <c r="Y3378" i="13"/>
  <c r="X3379" i="13"/>
  <c r="Y3379" i="13"/>
  <c r="X3380" i="13"/>
  <c r="Y3380" i="13"/>
  <c r="X3381" i="13"/>
  <c r="X3382" i="13"/>
  <c r="Y3381" i="13"/>
  <c r="Y3382" i="13"/>
  <c r="X3383" i="13"/>
  <c r="X3384" i="13"/>
  <c r="Y3383" i="13"/>
  <c r="Y3384" i="13"/>
  <c r="X3385" i="13"/>
  <c r="Y3385" i="13"/>
  <c r="X3386" i="13"/>
  <c r="Y3386" i="13"/>
  <c r="X3387" i="13"/>
  <c r="Y3387" i="13"/>
  <c r="X3388" i="13"/>
  <c r="Y3388" i="13"/>
  <c r="X3389" i="13"/>
  <c r="X3390" i="13"/>
  <c r="Y3389" i="13"/>
  <c r="Y3390" i="13"/>
  <c r="X3391" i="13"/>
  <c r="Y3391" i="13"/>
  <c r="X3392" i="13"/>
  <c r="X3393" i="13"/>
  <c r="Y3392" i="13"/>
  <c r="X3394" i="13"/>
  <c r="Y3393" i="13"/>
  <c r="Y3394" i="13"/>
  <c r="X3395" i="13"/>
  <c r="X3396" i="13"/>
  <c r="Y3395" i="13"/>
  <c r="X3397" i="13"/>
  <c r="Y3396" i="13"/>
  <c r="X3398" i="13"/>
  <c r="Y3397" i="13"/>
  <c r="Y3398" i="13"/>
  <c r="X3399" i="13"/>
  <c r="X3400" i="13"/>
  <c r="Y3399" i="13"/>
  <c r="X3401" i="13"/>
  <c r="Y3400" i="13"/>
  <c r="Y3401" i="13"/>
  <c r="X3402" i="13"/>
  <c r="X3403" i="13"/>
  <c r="Y3402" i="13"/>
  <c r="X3404" i="13"/>
  <c r="Y3403" i="13"/>
  <c r="Y3404" i="13"/>
  <c r="X3405" i="13"/>
  <c r="X3406" i="13"/>
  <c r="Y3405" i="13"/>
  <c r="X3407" i="13"/>
  <c r="Y3406" i="13"/>
  <c r="X3408" i="13"/>
  <c r="Y3407" i="13"/>
  <c r="Y3408" i="13"/>
  <c r="X3409" i="13"/>
  <c r="X3410" i="13"/>
  <c r="Y3409" i="13"/>
  <c r="X3411" i="13"/>
  <c r="Y3410" i="13"/>
  <c r="Y3411" i="13"/>
  <c r="X3412" i="13"/>
  <c r="X3413" i="13"/>
  <c r="Y3412" i="13"/>
  <c r="Y3413" i="13"/>
  <c r="X3414" i="13"/>
  <c r="Y3414" i="13"/>
  <c r="X3415" i="13"/>
  <c r="X3416" i="13"/>
  <c r="Y3415" i="13"/>
  <c r="Y3416" i="13"/>
  <c r="X3417" i="13"/>
  <c r="Y3417" i="13"/>
  <c r="X3418" i="13"/>
  <c r="Y3418" i="13"/>
  <c r="X3419" i="13"/>
  <c r="X3420" i="13"/>
  <c r="Y3419" i="13"/>
  <c r="X3421" i="13"/>
  <c r="Y3420" i="13"/>
  <c r="X3422" i="13"/>
  <c r="Y3421" i="13"/>
  <c r="Y3422" i="13"/>
  <c r="X3423" i="13"/>
  <c r="Y3423" i="13"/>
  <c r="X3424" i="13"/>
  <c r="Y3424" i="13"/>
  <c r="X3425" i="13"/>
  <c r="X3426" i="13"/>
  <c r="Y3425" i="13"/>
  <c r="Y3426" i="13"/>
  <c r="X3427" i="13"/>
  <c r="Y3427" i="13"/>
  <c r="X3428" i="13"/>
  <c r="X3429" i="13"/>
  <c r="Y3428" i="13"/>
  <c r="Y3429" i="13"/>
  <c r="X3430" i="13"/>
  <c r="Y3430" i="13"/>
  <c r="X3431" i="13"/>
  <c r="X3432" i="13"/>
  <c r="Y3431" i="13"/>
  <c r="X3433" i="13"/>
  <c r="Y3432" i="13"/>
  <c r="Y3433" i="13"/>
  <c r="X3434" i="13"/>
  <c r="Y3434" i="13"/>
  <c r="X3435" i="13"/>
  <c r="Y3435" i="13"/>
  <c r="X3436" i="13"/>
  <c r="Y3436" i="13"/>
  <c r="X3437" i="13"/>
  <c r="X3438" i="13"/>
  <c r="Y3437" i="13"/>
  <c r="X3439" i="13"/>
  <c r="Y3438" i="13"/>
  <c r="Y3439" i="13"/>
  <c r="X3440" i="13"/>
  <c r="Y3440" i="13"/>
  <c r="X3441" i="13"/>
  <c r="Y3441" i="13"/>
  <c r="X3442" i="13"/>
  <c r="Y3442" i="13"/>
  <c r="X3443" i="13"/>
  <c r="Y3443" i="13"/>
  <c r="X3444" i="13"/>
  <c r="X3445" i="13"/>
  <c r="Y3444" i="13"/>
  <c r="Y3445" i="13"/>
  <c r="X3446" i="13"/>
  <c r="X3447" i="13"/>
  <c r="Y3446" i="13"/>
  <c r="Y3447" i="13"/>
  <c r="X3448" i="13"/>
  <c r="Y3448" i="13"/>
  <c r="X3449" i="13"/>
  <c r="Y3449" i="13"/>
  <c r="X3450" i="13"/>
  <c r="Y3450" i="13"/>
  <c r="X3451" i="13"/>
  <c r="X3452" i="13"/>
  <c r="Y3451" i="13"/>
  <c r="Y3452" i="13"/>
  <c r="X3453" i="13"/>
  <c r="X3454" i="13"/>
  <c r="Y3453" i="13"/>
  <c r="Y3454" i="13"/>
  <c r="X3455" i="13"/>
  <c r="X3456" i="13"/>
  <c r="Y3455" i="13"/>
  <c r="X3457" i="13"/>
  <c r="Y3456" i="13"/>
  <c r="Y3457" i="13"/>
  <c r="X3458" i="13"/>
  <c r="X3459" i="13"/>
  <c r="Y3458" i="13"/>
  <c r="X3460" i="13"/>
  <c r="Y3459" i="13"/>
  <c r="Y3460" i="13"/>
  <c r="X3461" i="13"/>
  <c r="Y3461" i="13"/>
  <c r="X3462" i="13"/>
  <c r="X3463" i="13"/>
  <c r="Y3462" i="13"/>
  <c r="Y3463" i="13"/>
  <c r="X3464" i="13"/>
  <c r="Y3464" i="13"/>
  <c r="X3465" i="13"/>
  <c r="Y3465" i="13"/>
  <c r="X3466" i="13"/>
  <c r="X3467" i="13"/>
  <c r="Y3466" i="13"/>
  <c r="Y3467" i="13"/>
  <c r="X3468" i="13"/>
  <c r="X3469" i="13"/>
  <c r="Y3468" i="13"/>
  <c r="X3470" i="13"/>
  <c r="Y3469" i="13"/>
  <c r="Y3470" i="13"/>
  <c r="X3471" i="13"/>
  <c r="X3472" i="13"/>
  <c r="Y3471" i="13"/>
  <c r="X3473" i="13"/>
  <c r="Y3472" i="13"/>
  <c r="Y3473" i="13"/>
  <c r="X3474" i="13"/>
  <c r="X3475" i="13"/>
  <c r="Y3474" i="13"/>
  <c r="Y3475" i="13"/>
  <c r="X3476" i="13"/>
  <c r="Y3476" i="13"/>
  <c r="X3477" i="13"/>
  <c r="Y3477" i="13"/>
  <c r="X3478" i="13"/>
  <c r="Y3478" i="13"/>
  <c r="X3479" i="13"/>
  <c r="Y3479" i="13"/>
  <c r="X3480" i="13"/>
  <c r="Y3480" i="13"/>
  <c r="X3481" i="13"/>
  <c r="X3482" i="13"/>
  <c r="Y3481" i="13"/>
  <c r="X3483" i="13"/>
  <c r="Y3482" i="13"/>
  <c r="X3484" i="13"/>
  <c r="Y3483" i="13"/>
  <c r="Y3484" i="13"/>
  <c r="X3485" i="13"/>
  <c r="Y3485" i="13"/>
  <c r="X3486" i="13"/>
  <c r="X3487" i="13"/>
  <c r="Y3486" i="13"/>
  <c r="Y3487" i="13"/>
  <c r="X3488" i="13"/>
  <c r="X3489" i="13"/>
  <c r="Y3488" i="13"/>
  <c r="X3490" i="13"/>
  <c r="Y3489" i="13"/>
  <c r="X3491" i="13"/>
  <c r="Y3490" i="13"/>
  <c r="X3492" i="13"/>
  <c r="Y3491" i="13"/>
  <c r="X3493" i="13"/>
  <c r="Y3492" i="13"/>
  <c r="X3494" i="13"/>
  <c r="Y3493" i="13"/>
  <c r="X3495" i="13"/>
  <c r="Y3494" i="13"/>
  <c r="Y3495" i="13"/>
  <c r="X3496" i="13"/>
  <c r="X3497" i="13"/>
  <c r="Y3496" i="13"/>
  <c r="Y3497" i="13"/>
  <c r="X3498" i="13"/>
  <c r="Y3498" i="13"/>
  <c r="X3499" i="13"/>
  <c r="X3500" i="13"/>
  <c r="Y3499" i="13"/>
  <c r="Y3500" i="13"/>
  <c r="X3501" i="13"/>
  <c r="Y3501" i="13"/>
  <c r="X3502" i="13"/>
  <c r="Y3502" i="13"/>
  <c r="X3503" i="13"/>
  <c r="X3504" i="13"/>
  <c r="Y3503" i="13"/>
  <c r="Y3504" i="13"/>
  <c r="X3505" i="13"/>
  <c r="Y3505" i="13"/>
  <c r="X3506" i="13"/>
  <c r="X3507" i="13"/>
  <c r="Y3506" i="13"/>
  <c r="X3508" i="13"/>
  <c r="Y3507" i="13"/>
  <c r="X3509" i="13"/>
  <c r="Y3508" i="13"/>
  <c r="X3510" i="13"/>
  <c r="Y3509" i="13"/>
  <c r="Y3510" i="13"/>
  <c r="X3511" i="13"/>
  <c r="X3512" i="13"/>
  <c r="Y3511" i="13"/>
  <c r="X3513" i="13"/>
  <c r="Y3512" i="13"/>
  <c r="X3514" i="13"/>
  <c r="Y3513" i="13"/>
  <c r="Y3514" i="13"/>
  <c r="X3515" i="13"/>
  <c r="X3516" i="13"/>
  <c r="Y3515" i="13"/>
  <c r="X3517" i="13"/>
  <c r="Y3516" i="13"/>
  <c r="X3518" i="13"/>
  <c r="Y3517" i="13"/>
  <c r="X3519" i="13"/>
  <c r="Y3518" i="13"/>
  <c r="X3520" i="13"/>
  <c r="Y3519" i="13"/>
  <c r="Y3520" i="13"/>
  <c r="X3521" i="13"/>
  <c r="X3522" i="13"/>
  <c r="Y3521" i="13"/>
  <c r="X3523" i="13"/>
  <c r="Y3522" i="13"/>
  <c r="Y3523" i="13"/>
  <c r="X3524" i="13"/>
  <c r="X3525" i="13"/>
  <c r="Y3524" i="13"/>
  <c r="Y3525" i="13"/>
  <c r="X3526" i="13"/>
  <c r="Y3526" i="13"/>
  <c r="X3527" i="13"/>
  <c r="Y3527" i="13"/>
  <c r="X3528" i="13"/>
  <c r="X3529" i="13"/>
  <c r="Y3528" i="13"/>
  <c r="X3530" i="13"/>
  <c r="Y3529" i="13"/>
  <c r="X3531" i="13"/>
  <c r="Y3530" i="13"/>
  <c r="X3532" i="13"/>
  <c r="Y3531" i="13"/>
  <c r="X3533" i="13"/>
  <c r="Y3532" i="13"/>
  <c r="X3534" i="13"/>
  <c r="Y3533" i="13"/>
  <c r="Y3534" i="13"/>
  <c r="X3535" i="13"/>
  <c r="X3536" i="13"/>
  <c r="Y3535" i="13"/>
  <c r="X3537" i="13"/>
  <c r="Y3536" i="13"/>
  <c r="Y3537" i="13"/>
  <c r="X3538" i="13"/>
  <c r="X3539" i="13"/>
  <c r="Y3538" i="13"/>
  <c r="X3540" i="13"/>
  <c r="Y3539" i="13"/>
  <c r="Y3540" i="13"/>
  <c r="X3541" i="13"/>
  <c r="Y3541" i="13"/>
  <c r="X3542" i="13"/>
  <c r="Y3542" i="13"/>
  <c r="X3543" i="13"/>
  <c r="Y3543" i="13"/>
  <c r="X3544" i="13"/>
  <c r="X3545" i="13"/>
  <c r="Y3544" i="13"/>
  <c r="Y3545" i="13"/>
  <c r="X3546" i="13"/>
  <c r="X3547" i="13"/>
  <c r="Y3546" i="13"/>
  <c r="X3548" i="13"/>
  <c r="Y3547" i="13"/>
  <c r="Y3548" i="13"/>
  <c r="X3549" i="13"/>
  <c r="X3550" i="13"/>
  <c r="Y3549" i="13"/>
  <c r="X3551" i="13"/>
  <c r="Y3550" i="13"/>
  <c r="X3552" i="13"/>
  <c r="Y3551" i="13"/>
  <c r="Z19" i="13" a="1"/>
  <c r="Y3552" i="13"/>
  <c r="Z93" i="13" l="1"/>
  <c r="Z1291" i="13"/>
  <c r="Z2048" i="13"/>
  <c r="Z2070" i="13"/>
  <c r="Z1980" i="13"/>
  <c r="Z2608" i="13"/>
  <c r="Z2726" i="13"/>
  <c r="Z1075" i="13"/>
  <c r="Z2172" i="13"/>
  <c r="Z241" i="13"/>
  <c r="Z2990" i="13"/>
  <c r="Z283" i="13"/>
  <c r="Z2028" i="13"/>
  <c r="Z2339" i="13"/>
  <c r="Z1735" i="13"/>
  <c r="Z2370" i="13"/>
  <c r="Z337" i="13"/>
  <c r="Z3546" i="13"/>
  <c r="Z1687" i="13"/>
  <c r="Z943" i="13"/>
  <c r="Z3131" i="13"/>
  <c r="Z562" i="13"/>
  <c r="Z2901" i="13"/>
  <c r="Z2630" i="13"/>
  <c r="Z3296" i="13"/>
  <c r="Z2776" i="13"/>
  <c r="Z3369" i="13"/>
  <c r="Z2781" i="13"/>
  <c r="Z2682" i="13"/>
  <c r="Z1094" i="13"/>
  <c r="Z154" i="13"/>
  <c r="Z419" i="13"/>
  <c r="Z2566" i="13"/>
  <c r="Z1696" i="13"/>
  <c r="Z3443" i="13"/>
  <c r="Z2503" i="13"/>
  <c r="Z1333" i="13"/>
  <c r="Z2432" i="13"/>
  <c r="Z2393" i="13"/>
  <c r="Z666" i="13"/>
  <c r="Z734" i="13"/>
  <c r="Z2695" i="13"/>
  <c r="Z1392" i="13"/>
  <c r="Z2113" i="13"/>
  <c r="Z2163" i="13"/>
  <c r="Z216" i="13"/>
  <c r="Z3486" i="13"/>
  <c r="Z1072" i="13"/>
  <c r="Z2011" i="13"/>
  <c r="Z1139" i="13"/>
  <c r="Z3506" i="13"/>
  <c r="Z304" i="13"/>
  <c r="Z3164" i="13"/>
  <c r="Z2077" i="13"/>
  <c r="Z3160" i="13"/>
  <c r="Z103" i="13"/>
  <c r="Z2648" i="13"/>
  <c r="Z877" i="13"/>
  <c r="Z2848" i="13"/>
  <c r="Z174" i="13"/>
  <c r="Z898" i="13"/>
  <c r="Z1200" i="13"/>
  <c r="Z1442" i="13"/>
  <c r="Z1660" i="13"/>
  <c r="Z1677" i="13"/>
  <c r="Z485" i="13"/>
  <c r="Z665" i="13"/>
  <c r="Z262" i="13"/>
  <c r="Z1024" i="13"/>
  <c r="Z460" i="13"/>
  <c r="Z1741" i="13"/>
  <c r="Z1484" i="13"/>
  <c r="Z1898" i="13"/>
  <c r="Z3342" i="13"/>
  <c r="Z2219" i="13"/>
  <c r="Z940" i="13"/>
  <c r="Z2050" i="13"/>
  <c r="Z2502" i="13"/>
  <c r="Z1740" i="13"/>
  <c r="Z698" i="13"/>
  <c r="Z1912" i="13"/>
  <c r="Z1526" i="13"/>
  <c r="Z1811" i="13"/>
  <c r="Z1486" i="13"/>
  <c r="Z2773" i="13"/>
  <c r="Z1071" i="13"/>
  <c r="Z2064" i="13"/>
  <c r="Z1372" i="13"/>
  <c r="Z1644" i="13"/>
  <c r="Z1473" i="13"/>
  <c r="Z3255" i="13"/>
  <c r="Z2277" i="13"/>
  <c r="Z962" i="13"/>
  <c r="Z813" i="13"/>
  <c r="Z2193" i="13"/>
  <c r="Z2229" i="13"/>
  <c r="Z2181" i="13"/>
  <c r="Z1008" i="13"/>
  <c r="Z52" i="13"/>
  <c r="Z818" i="13"/>
  <c r="Z709" i="13"/>
  <c r="Z2052" i="13"/>
  <c r="Z989" i="13"/>
  <c r="Z1321" i="13"/>
  <c r="Z2786" i="13"/>
  <c r="Z2550" i="13"/>
  <c r="Z959" i="13"/>
  <c r="Z45" i="13"/>
  <c r="Z2974" i="13"/>
  <c r="Z1477" i="13"/>
  <c r="Z764" i="13"/>
  <c r="Z3288" i="13"/>
  <c r="Z193" i="13"/>
  <c r="Z3334" i="13"/>
  <c r="Z783" i="13"/>
  <c r="Z1533" i="13"/>
  <c r="Z558" i="13"/>
  <c r="Z1480" i="13"/>
  <c r="Z2733" i="13"/>
  <c r="Z2294" i="13"/>
  <c r="Z3521" i="13"/>
  <c r="Z449" i="13"/>
  <c r="Z374" i="13"/>
  <c r="Z1694" i="13"/>
  <c r="Z1937" i="13"/>
  <c r="Z2022" i="13"/>
  <c r="Z305" i="13"/>
  <c r="Z1905" i="13"/>
  <c r="Z2328" i="13"/>
  <c r="Z1589" i="13"/>
  <c r="Z664" i="13"/>
  <c r="Z1982" i="13"/>
  <c r="Z3327" i="13"/>
  <c r="Z1397" i="13"/>
  <c r="Z1991" i="13"/>
  <c r="Z546" i="13"/>
  <c r="Z3510" i="13"/>
  <c r="Z3523" i="13"/>
  <c r="Z1197" i="13"/>
  <c r="Z3435" i="13"/>
  <c r="Z3114" i="13"/>
  <c r="Z545" i="13"/>
  <c r="Z1042" i="13"/>
  <c r="Z2691" i="13"/>
  <c r="Z3539" i="13"/>
  <c r="Z1816" i="13"/>
  <c r="Z705" i="13"/>
  <c r="Z3219" i="13"/>
  <c r="Z59" i="13"/>
  <c r="Z1429" i="13"/>
  <c r="Z3321" i="13"/>
  <c r="Z1230" i="13"/>
  <c r="Z1826" i="13"/>
  <c r="Z1971" i="13"/>
  <c r="Z668" i="13"/>
  <c r="Z1954" i="13"/>
  <c r="Z2178" i="13"/>
  <c r="Z3190" i="13"/>
  <c r="Z3242" i="13"/>
  <c r="Z2310" i="13"/>
  <c r="Z2316" i="13"/>
  <c r="Z663" i="13"/>
  <c r="Z344" i="13"/>
  <c r="Z921" i="13"/>
  <c r="Z3390" i="13"/>
  <c r="Z1060" i="13"/>
  <c r="Z25" i="13"/>
  <c r="Z1922" i="13"/>
  <c r="Z2991" i="13"/>
  <c r="Z385" i="13"/>
  <c r="Z2782" i="13"/>
  <c r="Z3274" i="13"/>
  <c r="Z461" i="13"/>
  <c r="Z3453" i="13"/>
  <c r="Z1527" i="13"/>
  <c r="Z363" i="13"/>
  <c r="Z784" i="13"/>
  <c r="Z798" i="13"/>
  <c r="Z2295" i="13"/>
  <c r="Z3433" i="13"/>
  <c r="Z1062" i="13"/>
  <c r="Z748" i="13"/>
  <c r="Z2702" i="13"/>
  <c r="Z542" i="13"/>
  <c r="Z499" i="13"/>
  <c r="Z1870" i="13"/>
  <c r="Z3163" i="13"/>
  <c r="Z185" i="13"/>
  <c r="Z1507" i="13"/>
  <c r="Z2680" i="13"/>
  <c r="Z949" i="13"/>
  <c r="Z564" i="13"/>
  <c r="Z3135" i="13"/>
  <c r="Z428" i="13"/>
  <c r="Z2184" i="13"/>
  <c r="Z2089" i="13"/>
  <c r="Z369" i="13"/>
  <c r="Z820" i="13"/>
  <c r="Z1948" i="13"/>
  <c r="Z718" i="13"/>
  <c r="Z275" i="13"/>
  <c r="Z1460" i="13"/>
  <c r="Z2308" i="13"/>
  <c r="Z479" i="13"/>
  <c r="Z2735" i="13"/>
  <c r="Z217" i="13"/>
  <c r="Z284" i="13"/>
  <c r="Z2519" i="13"/>
  <c r="Z1211" i="13"/>
  <c r="Z1689" i="13"/>
  <c r="Z127" i="13"/>
  <c r="Z1040" i="13"/>
  <c r="Z2728" i="13"/>
  <c r="Z3104" i="13"/>
  <c r="Z1675" i="13"/>
  <c r="Z3281" i="13"/>
  <c r="Z3531" i="13"/>
  <c r="Z237" i="13"/>
  <c r="Z1789" i="13"/>
  <c r="Z1888" i="13"/>
  <c r="Z416" i="13"/>
  <c r="Z495" i="13"/>
  <c r="Z1456" i="13"/>
  <c r="Z1391" i="13"/>
  <c r="Z707" i="13"/>
  <c r="Z1842" i="13"/>
  <c r="Z2226" i="13"/>
  <c r="Z661" i="13"/>
  <c r="Z1851" i="13"/>
  <c r="Z2607" i="13"/>
  <c r="Z1961" i="13"/>
  <c r="Z2435" i="13"/>
  <c r="Z768" i="13"/>
  <c r="Z2919" i="13"/>
  <c r="Z3251" i="13"/>
  <c r="Z23" i="13"/>
  <c r="Z1549" i="13"/>
  <c r="Z799" i="13"/>
  <c r="Z2477" i="13"/>
  <c r="Z3394" i="13"/>
  <c r="Z3240" i="13"/>
  <c r="Z1158" i="13"/>
  <c r="Z1810" i="13"/>
  <c r="Z825" i="13"/>
  <c r="Z2619" i="13"/>
  <c r="Z932" i="13"/>
  <c r="Z2979" i="13"/>
  <c r="Z1159" i="13"/>
  <c r="Z42" i="13"/>
  <c r="Z3512" i="13"/>
  <c r="Z1721" i="13"/>
  <c r="Z2973" i="13"/>
  <c r="Z1688" i="13"/>
  <c r="Z1015" i="13"/>
  <c r="Z1833" i="13"/>
  <c r="Z2236" i="13"/>
  <c r="Z2852" i="13"/>
  <c r="Z931" i="13"/>
  <c r="Z371" i="13"/>
  <c r="Z1097" i="13"/>
  <c r="Z2361" i="13"/>
  <c r="Z1031" i="13"/>
  <c r="Z1938" i="13"/>
  <c r="Z355" i="13"/>
  <c r="Z2110" i="13"/>
  <c r="Z1470" i="13"/>
  <c r="Z832" i="13"/>
  <c r="Z2894" i="13"/>
  <c r="Z1117" i="13"/>
  <c r="Z2450" i="13"/>
  <c r="Z178" i="13"/>
  <c r="Z880" i="13"/>
  <c r="Z2664" i="13"/>
  <c r="Z201" i="13"/>
  <c r="Z2838" i="13"/>
  <c r="Z1089" i="13"/>
  <c r="Z168" i="13"/>
  <c r="Z3451" i="13"/>
  <c r="Z1340" i="13"/>
  <c r="Z2967" i="13"/>
  <c r="Z1508" i="13"/>
  <c r="Z2734" i="13"/>
  <c r="Z1754" i="13"/>
  <c r="Z2217" i="13"/>
  <c r="Z2395" i="13"/>
  <c r="Z1610" i="13"/>
  <c r="Z2620" i="13"/>
  <c r="Z37" i="13"/>
  <c r="Z1095" i="13"/>
  <c r="Z2191" i="13"/>
  <c r="Z1552" i="13"/>
  <c r="Z2286" i="13"/>
  <c r="Z2614" i="13"/>
  <c r="Z846" i="13"/>
  <c r="Z1792" i="13"/>
  <c r="Z1354" i="13"/>
  <c r="Z1135" i="13"/>
  <c r="Z2001" i="13"/>
  <c r="Z1695" i="13"/>
  <c r="Z3068" i="13"/>
  <c r="Z3442" i="13"/>
  <c r="Z2963" i="13"/>
  <c r="Z537" i="13"/>
  <c r="Z3040" i="13"/>
  <c r="Z2751" i="13"/>
  <c r="Z2406" i="13"/>
  <c r="Z1425" i="13"/>
  <c r="Z1926" i="13"/>
  <c r="Z941" i="13"/>
  <c r="Z113" i="13"/>
  <c r="Z2102" i="13"/>
  <c r="Z659" i="13"/>
  <c r="Z2263" i="13"/>
  <c r="Z3039" i="13"/>
  <c r="Z1958" i="13"/>
  <c r="Z3000" i="13"/>
  <c r="Z773" i="13"/>
  <c r="Z2459" i="13"/>
  <c r="Z3139" i="13"/>
  <c r="Z3271" i="13"/>
  <c r="Z3125" i="13"/>
  <c r="Z359" i="13"/>
  <c r="Z911" i="13"/>
  <c r="Z2153" i="13"/>
  <c r="Z2029" i="13"/>
  <c r="Z3343" i="13"/>
  <c r="Z443" i="13"/>
  <c r="Z1444" i="13"/>
  <c r="Z771" i="13"/>
  <c r="Z1402" i="13"/>
  <c r="Z903" i="13"/>
  <c r="Z2002" i="13"/>
  <c r="Z3214" i="13"/>
  <c r="Z1594" i="13"/>
  <c r="Z2739" i="13"/>
  <c r="Z3023" i="13"/>
  <c r="Z1112" i="13"/>
  <c r="Z3045" i="13"/>
  <c r="Z286" i="13"/>
  <c r="Z2574" i="13"/>
  <c r="Z591" i="13"/>
  <c r="Z328" i="13"/>
  <c r="Z648" i="13"/>
  <c r="Z3363" i="13"/>
  <c r="Z2616" i="13"/>
  <c r="Z1556" i="13"/>
  <c r="Z573" i="13"/>
  <c r="Z1125" i="13"/>
  <c r="Z2508" i="13"/>
  <c r="Z1294" i="13"/>
  <c r="Z1014" i="13"/>
  <c r="Z2762" i="13"/>
  <c r="Z1801" i="13"/>
  <c r="Z1490" i="13"/>
  <c r="Z2345" i="13"/>
  <c r="Z2267" i="13"/>
  <c r="Z1583" i="13"/>
  <c r="Z1305" i="13"/>
  <c r="Z20" i="13"/>
  <c r="Z1206" i="13"/>
  <c r="Z651" i="13"/>
  <c r="Z3259" i="13"/>
  <c r="Z3543" i="13"/>
  <c r="Z3178" i="13"/>
  <c r="Z883" i="13"/>
  <c r="Z1078" i="13"/>
  <c r="Z993" i="13"/>
  <c r="Z3417" i="13"/>
  <c r="Z2775" i="13"/>
  <c r="Z2214" i="13"/>
  <c r="Z3059" i="13"/>
  <c r="Z2612" i="13"/>
  <c r="Z135" i="13"/>
  <c r="Z3269" i="13"/>
  <c r="Z3165" i="13"/>
  <c r="Z3316" i="13"/>
  <c r="Z971" i="13"/>
  <c r="Z2687" i="13"/>
  <c r="Z874" i="13"/>
  <c r="Z1126" i="13"/>
  <c r="Z532" i="13"/>
  <c r="Z281" i="13"/>
  <c r="Z1077" i="13"/>
  <c r="Z1406" i="13"/>
  <c r="Z3376" i="13"/>
  <c r="Z467" i="13"/>
  <c r="Z2008" i="13"/>
  <c r="Z935" i="13"/>
  <c r="Z1538" i="13"/>
  <c r="Z939" i="13"/>
  <c r="Z1036" i="13"/>
  <c r="Z3329" i="13"/>
  <c r="Z1680" i="13"/>
  <c r="Z3549" i="13"/>
  <c r="Z1403" i="13"/>
  <c r="Z329" i="13"/>
  <c r="Z2269" i="13"/>
  <c r="Z2659" i="13"/>
  <c r="Z3224" i="13"/>
  <c r="Z2055" i="13"/>
  <c r="Z1709" i="13"/>
  <c r="Z2223" i="13"/>
  <c r="Z489" i="13"/>
  <c r="Z1612" i="13"/>
  <c r="Z2262" i="13"/>
  <c r="Z435" i="13"/>
  <c r="Z662" i="13"/>
  <c r="Z2912" i="13"/>
  <c r="Z2190" i="13"/>
  <c r="Z1653" i="13"/>
  <c r="Z1896" i="13"/>
  <c r="Z1027" i="13"/>
  <c r="Z2742" i="13"/>
  <c r="Z65" i="13"/>
  <c r="Z2378" i="13"/>
  <c r="Z2056" i="13"/>
  <c r="Z2562" i="13"/>
  <c r="Z811" i="13"/>
  <c r="Z432" i="13"/>
  <c r="Z87" i="13"/>
  <c r="Z1293" i="13"/>
  <c r="Z1633" i="13"/>
  <c r="Z2976" i="13"/>
  <c r="Z1349" i="13"/>
  <c r="Z2404" i="13"/>
  <c r="Z1339" i="13"/>
  <c r="Z1940" i="13"/>
  <c r="Z1216" i="13"/>
  <c r="Z563" i="13"/>
  <c r="Z3383" i="13"/>
  <c r="Z3123" i="13"/>
  <c r="Z1891" i="13"/>
  <c r="Z3333" i="13"/>
  <c r="Z3430" i="13"/>
  <c r="Z3064" i="13"/>
  <c r="Z2384" i="13"/>
  <c r="Z1569" i="13"/>
  <c r="Z3432" i="13"/>
  <c r="Z1672" i="13"/>
  <c r="Z3245" i="13"/>
  <c r="Z3074" i="13"/>
  <c r="Z3203" i="13"/>
  <c r="Z1304" i="13"/>
  <c r="Z649" i="13"/>
  <c r="Z140" i="13"/>
  <c r="Z377" i="13"/>
  <c r="Z603" i="13"/>
  <c r="Z2913" i="13"/>
  <c r="Z735" i="13"/>
  <c r="Z2579" i="13"/>
  <c r="Z1073" i="13"/>
  <c r="Z1619" i="13"/>
  <c r="Z1054" i="13"/>
  <c r="Z634" i="13"/>
  <c r="Z1686" i="13"/>
  <c r="Z1779" i="13"/>
  <c r="Z2216" i="13"/>
  <c r="Z3148" i="13"/>
  <c r="Z902" i="13"/>
  <c r="Z2940" i="13"/>
  <c r="Z1884" i="13"/>
  <c r="Z3088" i="13"/>
  <c r="Z1929" i="13"/>
  <c r="Z1563" i="13"/>
  <c r="Z1150" i="13"/>
  <c r="Z196" i="13"/>
  <c r="Z514" i="13"/>
  <c r="Z442" i="13"/>
  <c r="Z2759" i="13"/>
  <c r="Z1714" i="13"/>
  <c r="Z1144" i="13"/>
  <c r="Z1050" i="13"/>
  <c r="Z609" i="13"/>
  <c r="Z3545" i="13"/>
  <c r="Z2930" i="13"/>
  <c r="Z2124" i="13"/>
  <c r="Z1189" i="13"/>
  <c r="Z833" i="13"/>
  <c r="Z842" i="13"/>
  <c r="Z2592" i="13"/>
  <c r="Z2800" i="13"/>
  <c r="Z3051" i="13"/>
  <c r="Z2920" i="13"/>
  <c r="Z1311" i="13"/>
  <c r="Z2613" i="13"/>
  <c r="Z2788" i="13"/>
  <c r="Z97" i="13"/>
  <c r="Z139" i="13"/>
  <c r="Z1880" i="13"/>
  <c r="Z1719" i="13"/>
  <c r="Z1254" i="13"/>
  <c r="Z2198" i="13"/>
  <c r="Z2437" i="13"/>
  <c r="Z789" i="13"/>
  <c r="Z887" i="13"/>
  <c r="Z2548" i="13"/>
  <c r="Z2970" i="13"/>
  <c r="Z1635" i="13"/>
  <c r="Z2689" i="13"/>
  <c r="Z1661" i="13"/>
  <c r="Z2188" i="13"/>
  <c r="Z2634" i="13"/>
  <c r="Z2274" i="13"/>
  <c r="Z3211" i="13"/>
  <c r="Z375" i="13"/>
  <c r="Z2804" i="13"/>
  <c r="Z1479" i="13"/>
  <c r="Z84" i="13"/>
  <c r="Z3020" i="13"/>
  <c r="Z3121" i="13"/>
  <c r="Z1752" i="13"/>
  <c r="Z957" i="13"/>
  <c r="Z1703" i="13"/>
  <c r="Z2168" i="13"/>
  <c r="Z2541" i="13"/>
  <c r="Z1845" i="13"/>
  <c r="Z2696" i="13"/>
  <c r="Z3060" i="13"/>
  <c r="Z506" i="13"/>
  <c r="Z2907" i="13"/>
  <c r="Z476" i="13"/>
  <c r="Z2063" i="13"/>
  <c r="Z1004" i="13"/>
  <c r="Z2573" i="13"/>
  <c r="Z2845" i="13"/>
  <c r="Z2410" i="13"/>
  <c r="Z3062" i="13"/>
  <c r="Z1592" i="13"/>
  <c r="Z933" i="13"/>
  <c r="Z2374" i="13"/>
  <c r="Z2224" i="13"/>
  <c r="Z1613" i="13"/>
  <c r="Z1627" i="13"/>
  <c r="Z1624" i="13"/>
  <c r="Z2255" i="13"/>
  <c r="Z1865" i="13"/>
  <c r="Z2750" i="13"/>
  <c r="Z2101" i="13"/>
  <c r="Z954" i="13"/>
  <c r="Z2958" i="13"/>
  <c r="Z3033" i="13"/>
  <c r="Z1096" i="13"/>
  <c r="Z28" i="13"/>
  <c r="Z2285" i="13"/>
  <c r="Z3252" i="13"/>
  <c r="Z2840" i="13"/>
  <c r="Z3184" i="13"/>
  <c r="Z1181" i="13"/>
  <c r="Z2583" i="13"/>
  <c r="Z192" i="13"/>
  <c r="Z892" i="13"/>
  <c r="Z1057" i="13"/>
  <c r="Z3262" i="13"/>
  <c r="Z2183" i="13"/>
  <c r="Z2723" i="13"/>
  <c r="Z2296" i="13"/>
  <c r="Z2602" i="13"/>
  <c r="Z496" i="13"/>
  <c r="Z1435" i="13"/>
  <c r="Z3222" i="13"/>
  <c r="Z1276" i="13"/>
  <c r="Z3205" i="13"/>
  <c r="Z1286" i="13"/>
  <c r="Z3355" i="13"/>
  <c r="Z851" i="13"/>
  <c r="Z610" i="13"/>
  <c r="Z181" i="13"/>
  <c r="Z3187" i="13"/>
  <c r="Z2560" i="13"/>
  <c r="Z1149" i="13"/>
  <c r="Z1928" i="13"/>
  <c r="Z897" i="13"/>
  <c r="Z2300" i="13"/>
  <c r="Z1323" i="13"/>
  <c r="Z2922" i="13"/>
  <c r="Z3419" i="13"/>
  <c r="Z3243" i="13"/>
  <c r="Z886" i="13"/>
  <c r="Z577" i="13"/>
  <c r="Z56" i="13"/>
  <c r="Z1129" i="13"/>
  <c r="Z2596" i="13"/>
  <c r="Z2194" i="13"/>
  <c r="Z1513" i="13"/>
  <c r="Z1817" i="13"/>
  <c r="Z3141" i="13"/>
  <c r="Z2221" i="13"/>
  <c r="Z3030" i="13"/>
  <c r="Z171" i="13"/>
  <c r="Z2761" i="13"/>
  <c r="Z1236" i="13"/>
  <c r="Z3399" i="13"/>
  <c r="Z3306" i="13"/>
  <c r="Z1067" i="13"/>
  <c r="Z2615" i="13"/>
  <c r="Z1019" i="13"/>
  <c r="Z3098" i="13"/>
  <c r="Z2005" i="13"/>
  <c r="Z222" i="13"/>
  <c r="Z2647" i="13"/>
  <c r="Z2948" i="13"/>
  <c r="Z2514" i="13"/>
  <c r="Z1393" i="13"/>
  <c r="Z2220" i="13"/>
  <c r="Z2710" i="13"/>
  <c r="Z1233" i="13"/>
  <c r="Z2632" i="13"/>
  <c r="Z1410" i="13"/>
  <c r="Z1381" i="13"/>
  <c r="Z1730" i="13"/>
  <c r="Z1021" i="13"/>
  <c r="Z118" i="13"/>
  <c r="Z3092" i="13"/>
  <c r="Z2439" i="13"/>
  <c r="Z1767" i="13"/>
  <c r="Z1546" i="13"/>
  <c r="Z2535" i="13"/>
  <c r="Z104" i="13"/>
  <c r="Z2586" i="13"/>
  <c r="Z2497" i="13"/>
  <c r="Z238" i="13"/>
  <c r="Z2936" i="13"/>
  <c r="Z1065" i="13"/>
  <c r="Z1664" i="13"/>
  <c r="Z301" i="13"/>
  <c r="Z1957" i="13"/>
  <c r="Z3526" i="13"/>
  <c r="Z3151" i="13"/>
  <c r="Z2652" i="13"/>
  <c r="Z3509" i="13"/>
  <c r="Z670" i="13"/>
  <c r="Z1737" i="13"/>
  <c r="Z200" i="13"/>
  <c r="Z593" i="13"/>
  <c r="Z927" i="13"/>
  <c r="Z770" i="13"/>
  <c r="Z1063" i="13"/>
  <c r="Z2484" i="13"/>
  <c r="Z2642" i="13"/>
  <c r="Z2493" i="13"/>
  <c r="Z2367" i="13"/>
  <c r="Z145" i="13"/>
  <c r="Z2831" i="13"/>
  <c r="Z860" i="13"/>
  <c r="Z180" i="13"/>
  <c r="Z680" i="13"/>
  <c r="Z1804" i="13"/>
  <c r="Z2397" i="13"/>
  <c r="Z527" i="13"/>
  <c r="Z1570" i="13"/>
  <c r="Z2026" i="13"/>
  <c r="Z809" i="13"/>
  <c r="Z1131" i="13"/>
  <c r="Z2668" i="13"/>
  <c r="Z3493" i="13"/>
  <c r="Z315" i="13"/>
  <c r="Z3073" i="13"/>
  <c r="Z1609" i="13"/>
  <c r="Z600" i="13"/>
  <c r="Z3050" i="13"/>
  <c r="Z912" i="13"/>
  <c r="Z1292" i="13"/>
  <c r="Z599" i="13"/>
  <c r="Z1385" i="13"/>
  <c r="Z1154" i="13"/>
  <c r="Z312" i="13"/>
  <c r="Z2529" i="13"/>
  <c r="Z2213" i="13"/>
  <c r="Z1643" i="13"/>
  <c r="Z617" i="13"/>
  <c r="Z2440" i="13"/>
  <c r="Z2830" i="13"/>
  <c r="Z1439" i="13"/>
  <c r="Z518" i="13"/>
  <c r="Z3488" i="13"/>
  <c r="Z1512" i="13"/>
  <c r="Z1511" i="13"/>
  <c r="Z983" i="13"/>
  <c r="Z3468" i="13"/>
  <c r="Z895" i="13"/>
  <c r="Z841" i="13"/>
  <c r="Z956" i="13"/>
  <c r="Z3046" i="13"/>
  <c r="Z1692" i="13"/>
  <c r="Z2206" i="13"/>
  <c r="Z3107" i="13"/>
  <c r="Z998" i="13"/>
  <c r="Z1407" i="13"/>
  <c r="Z1374" i="13"/>
  <c r="Z1834" i="13"/>
  <c r="Z2741" i="13"/>
  <c r="Z147" i="13"/>
  <c r="Z1002" i="13"/>
  <c r="Z1765" i="13"/>
  <c r="Z1153" i="13"/>
  <c r="Z175" i="13"/>
  <c r="Z1187" i="13"/>
  <c r="Z636" i="13"/>
  <c r="Z468" i="13"/>
  <c r="Z991" i="13"/>
  <c r="Z2279" i="13"/>
  <c r="Z2812" i="13"/>
  <c r="Z2100" i="13"/>
  <c r="Z3422" i="13"/>
  <c r="Z694" i="13"/>
  <c r="Z2225" i="13"/>
  <c r="Z1401" i="13"/>
  <c r="Z1604" i="13"/>
  <c r="Z2719" i="13"/>
  <c r="Z1623" i="13"/>
  <c r="Z30" i="13"/>
  <c r="Z2204" i="13"/>
  <c r="Z3525" i="13"/>
  <c r="Z1637" i="13"/>
  <c r="Z2798" i="13"/>
  <c r="Z2318" i="13"/>
  <c r="Z1000" i="13"/>
  <c r="Z197" i="13"/>
  <c r="Z3206" i="13"/>
  <c r="Z3133" i="13"/>
  <c r="Z1690" i="13"/>
  <c r="Z464" i="13"/>
  <c r="Z3042" i="13"/>
  <c r="Z2268" i="13"/>
  <c r="Z672" i="13"/>
  <c r="Z254" i="13"/>
  <c r="Z539" i="13"/>
  <c r="Z67" i="13"/>
  <c r="Z1799" i="13"/>
  <c r="Z1182" i="13"/>
  <c r="Z3106" i="13"/>
  <c r="Z2571" i="13"/>
  <c r="Z1205" i="13"/>
  <c r="Z1927" i="13"/>
  <c r="Z463" i="13"/>
  <c r="Z2132" i="13"/>
  <c r="Z1449" i="13"/>
  <c r="Z256" i="13"/>
  <c r="Z289" i="13"/>
  <c r="Z1145" i="13"/>
  <c r="Z2066" i="13"/>
  <c r="Z335" i="13"/>
  <c r="Z3282" i="13"/>
  <c r="Z3497" i="13"/>
  <c r="Z785" i="13"/>
  <c r="Z1683" i="13"/>
  <c r="Z2448" i="13"/>
  <c r="Z445" i="13"/>
  <c r="Z381" i="13"/>
  <c r="Z1441" i="13"/>
  <c r="Z2557" i="13"/>
  <c r="Z510" i="13"/>
  <c r="Z3270" i="13"/>
  <c r="Z2427" i="13"/>
  <c r="Z3250" i="13"/>
  <c r="Z2670" i="13"/>
  <c r="Z1399" i="13"/>
  <c r="Z873" i="13"/>
  <c r="Z1681" i="13"/>
  <c r="Z2467" i="13"/>
  <c r="Z1921" i="13"/>
  <c r="Z777" i="13"/>
  <c r="Z1893" i="13"/>
  <c r="Z484" i="13"/>
  <c r="Z970" i="13"/>
  <c r="Z1668" i="13"/>
  <c r="Z2570" i="13"/>
  <c r="Z2584" i="13"/>
  <c r="Z293" i="13"/>
  <c r="Z630" i="13"/>
  <c r="Z862" i="13"/>
  <c r="Z219" i="13"/>
  <c r="Z3154" i="13"/>
  <c r="Z1646" i="13"/>
  <c r="Z1177" i="13"/>
  <c r="Z919" i="13"/>
  <c r="Z1457" i="13"/>
  <c r="Z2447" i="13"/>
  <c r="Z1284" i="13"/>
  <c r="Z642" i="13"/>
  <c r="Z1247" i="13"/>
  <c r="Z3324" i="13"/>
  <c r="Z2444" i="13"/>
  <c r="Z3487" i="13"/>
  <c r="Z1720" i="13"/>
  <c r="Z582" i="13"/>
  <c r="Z1351" i="13"/>
  <c r="Z3381" i="13"/>
  <c r="Z1361" i="13"/>
  <c r="Z2767" i="13"/>
  <c r="Z400" i="13"/>
  <c r="Z310" i="13"/>
  <c r="Z1738" i="13"/>
  <c r="Z538" i="13"/>
  <c r="Z1275" i="13"/>
  <c r="Z1524" i="13"/>
  <c r="Z2282" i="13"/>
  <c r="Z3307" i="13"/>
  <c r="Z2703" i="13"/>
  <c r="Z2322" i="13"/>
  <c r="Z1571" i="13"/>
  <c r="Z1225" i="13"/>
  <c r="Z1412" i="13"/>
  <c r="Z3379" i="13"/>
  <c r="Z1931" i="13"/>
  <c r="Z1843" i="13"/>
  <c r="Z423" i="13"/>
  <c r="Z2748" i="13"/>
  <c r="Z2945" i="13"/>
  <c r="Z937" i="13"/>
  <c r="Z3191" i="13"/>
  <c r="Z2039" i="13"/>
  <c r="Z184" i="13"/>
  <c r="Z2143" i="13"/>
  <c r="Z812" i="13"/>
  <c r="Z1059" i="13"/>
  <c r="Z2372" i="13"/>
  <c r="Z667" i="13"/>
  <c r="Z1188" i="13"/>
  <c r="Z1319" i="13"/>
  <c r="Z3425" i="13"/>
  <c r="Z1044" i="13"/>
  <c r="Z1913" i="13"/>
  <c r="Z3006" i="13"/>
  <c r="Z3431" i="13"/>
  <c r="Z378" i="13"/>
  <c r="Z781" i="13"/>
  <c r="Z958" i="13"/>
  <c r="Z2757" i="13"/>
  <c r="Z1985" i="13"/>
  <c r="Z1852" i="13"/>
  <c r="Z2601" i="13"/>
  <c r="Z586" i="13"/>
  <c r="Z1288" i="13"/>
  <c r="Z2139" i="13"/>
  <c r="Z744" i="13"/>
  <c r="Z2754" i="13"/>
  <c r="Z1678" i="13"/>
  <c r="Z1576" i="13"/>
  <c r="Z2747" i="13"/>
  <c r="Z60" i="13"/>
  <c r="Z408" i="13"/>
  <c r="Z1983" i="13"/>
  <c r="Z1049" i="13"/>
  <c r="Z3007" i="13"/>
  <c r="Z102" i="13"/>
  <c r="Z2287" i="13"/>
  <c r="Z3169" i="13"/>
  <c r="Z1715" i="13"/>
  <c r="Z1300" i="13"/>
  <c r="Z528" i="13"/>
  <c r="Z453" i="13"/>
  <c r="Z3235" i="13"/>
  <c r="Z2846" i="13"/>
  <c r="Z2186" i="13"/>
  <c r="Z3025" i="13"/>
  <c r="Z252" i="13"/>
  <c r="Z595" i="13"/>
  <c r="Z1212" i="13"/>
  <c r="Z1685" i="13"/>
  <c r="Z259" i="13"/>
  <c r="Z523" i="13"/>
  <c r="Z2017" i="13"/>
  <c r="Z1461" i="13"/>
  <c r="Z290" i="13"/>
  <c r="Z83" i="13"/>
  <c r="Z2836" i="13"/>
  <c r="Z720" i="13"/>
  <c r="Z325" i="13"/>
  <c r="Z1684" i="13"/>
  <c r="Z2698" i="13"/>
  <c r="Z3021" i="13"/>
  <c r="Z750" i="13"/>
  <c r="Z1872" i="13"/>
  <c r="Z2371" i="13"/>
  <c r="Z3070" i="13"/>
  <c r="Z626" i="13"/>
  <c r="Z732" i="13"/>
  <c r="Z2938" i="13"/>
  <c r="Z2980" i="13"/>
  <c r="Z1729" i="13"/>
  <c r="Z1003" i="13"/>
  <c r="Z3256" i="13"/>
  <c r="Z2307" i="13"/>
  <c r="Z3145" i="13"/>
  <c r="Z426" i="13"/>
  <c r="Z2291" i="13"/>
  <c r="Z2174" i="13"/>
  <c r="Z780" i="13"/>
  <c r="Z2875" i="13"/>
  <c r="Z1176" i="13"/>
  <c r="Z208" i="13"/>
  <c r="Z3149" i="13"/>
  <c r="Z3298" i="13"/>
  <c r="Z1066" i="13"/>
  <c r="Z1875" i="13"/>
  <c r="Z3266" i="13"/>
  <c r="Z657" i="13"/>
  <c r="Z1028" i="13"/>
  <c r="Z1327" i="13"/>
  <c r="Z418" i="13"/>
  <c r="Z3372" i="13"/>
  <c r="Z1210" i="13"/>
  <c r="Z1853" i="13"/>
  <c r="Z1964" i="13"/>
  <c r="Z454" i="13"/>
  <c r="Z2993" i="13"/>
  <c r="Z1386" i="13"/>
  <c r="Z429" i="13"/>
  <c r="Z2879" i="13"/>
  <c r="Z2301" i="13"/>
  <c r="Z2778" i="13"/>
  <c r="Z1269" i="13"/>
  <c r="Z3292" i="13"/>
  <c r="Z1104" i="13"/>
  <c r="Z2442" i="13"/>
  <c r="Z3158" i="13"/>
  <c r="Z1450" i="13"/>
  <c r="Z1617" i="13"/>
  <c r="Z163" i="13"/>
  <c r="Z2654" i="13"/>
  <c r="Z3346" i="13"/>
  <c r="Z2352" i="13"/>
  <c r="Z961" i="13"/>
  <c r="Z725" i="13"/>
  <c r="Z1376" i="13"/>
  <c r="Z1516" i="13"/>
  <c r="Z731" i="13"/>
  <c r="Z370" i="13"/>
  <c r="Z2674" i="13"/>
  <c r="Z2910" i="13"/>
  <c r="Z1861" i="13"/>
  <c r="Z3462" i="13"/>
  <c r="Z3350" i="13"/>
  <c r="Z3449" i="13"/>
  <c r="Z55" i="13"/>
  <c r="Z123" i="13"/>
  <c r="Z875" i="13"/>
  <c r="Z3389" i="13"/>
  <c r="Z3518" i="13"/>
  <c r="Z3415" i="13"/>
  <c r="Z2675" i="13"/>
  <c r="Z2173" i="13"/>
  <c r="Z990" i="13"/>
  <c r="Z2516" i="13"/>
  <c r="Z1892" i="13"/>
  <c r="Z382" i="13"/>
  <c r="Z2261" i="13"/>
  <c r="Z978" i="13"/>
  <c r="Z2847" i="13"/>
  <c r="Z3348" i="13"/>
  <c r="Z700" i="13"/>
  <c r="Z2270" i="13"/>
  <c r="Z1231" i="13"/>
  <c r="Z722" i="13"/>
  <c r="Z343" i="13"/>
  <c r="Z3357" i="13"/>
  <c r="Z1161" i="13"/>
  <c r="Z2359" i="13"/>
  <c r="Z792" i="13"/>
  <c r="Z2058" i="13"/>
  <c r="Z3198" i="13"/>
  <c r="Z229" i="13"/>
  <c r="Z981" i="13"/>
  <c r="Z1034" i="13"/>
  <c r="Z1120" i="13"/>
  <c r="Z752" i="13"/>
  <c r="Z1642" i="13"/>
  <c r="Z2492" i="13"/>
  <c r="Z2595" i="13"/>
  <c r="Z2725" i="13"/>
  <c r="Z1984" i="13"/>
  <c r="Z653" i="13"/>
  <c r="Z1221" i="13"/>
  <c r="Z635" i="13"/>
  <c r="Z388" i="13"/>
  <c r="Z353" i="13"/>
  <c r="Z3279" i="13"/>
  <c r="Z66" i="13"/>
  <c r="Z985" i="13"/>
  <c r="Z1640" i="13"/>
  <c r="Z1748" i="13"/>
  <c r="Z121" i="13"/>
  <c r="Z1178" i="13"/>
  <c r="Z608" i="13"/>
  <c r="Z462" i="13"/>
  <c r="Z108" i="13"/>
  <c r="Z696" i="13"/>
  <c r="Z612" i="13"/>
  <c r="Z119" i="13"/>
  <c r="Z276" i="13"/>
  <c r="Z2555" i="13"/>
  <c r="Z965" i="13"/>
  <c r="Z1854" i="13"/>
  <c r="Z1453" i="13"/>
  <c r="Z3286" i="13"/>
  <c r="Z1618" i="13"/>
  <c r="Z1344" i="13"/>
  <c r="Z3547" i="13"/>
  <c r="Z3176" i="13"/>
  <c r="Z2443" i="13"/>
  <c r="Z348" i="13"/>
  <c r="Z1780" i="13"/>
  <c r="Z1020" i="13"/>
  <c r="Z3361" i="13"/>
  <c r="Z125" i="13"/>
  <c r="Z1332" i="13"/>
  <c r="Z2585" i="13"/>
  <c r="Z1298" i="13"/>
  <c r="Z2045" i="13"/>
  <c r="Z3126" i="13"/>
  <c r="Z1528" i="13"/>
  <c r="Z2524" i="13"/>
  <c r="Z3344" i="13"/>
  <c r="Z2522" i="13"/>
  <c r="Z804" i="13"/>
  <c r="Z402" i="13"/>
  <c r="Z2313" i="13"/>
  <c r="Z808" i="13"/>
  <c r="Z1041" i="13"/>
  <c r="Z3044" i="13"/>
  <c r="Z1622" i="13"/>
  <c r="Z2010" i="13"/>
  <c r="Z27" i="13"/>
  <c r="Z1713" i="13"/>
  <c r="Z2921" i="13"/>
  <c r="Z1302" i="13"/>
  <c r="Z960" i="13"/>
  <c r="Z2332" i="13"/>
  <c r="Z1265" i="13"/>
  <c r="Z2161" i="13"/>
  <c r="Z1238" i="13"/>
  <c r="Z605" i="13"/>
  <c r="Z2878" i="13"/>
  <c r="Z3533" i="13"/>
  <c r="Z3317" i="13"/>
  <c r="Z1038" i="13"/>
  <c r="Z1545" i="13"/>
  <c r="Z244" i="13"/>
  <c r="Z1857" i="13"/>
  <c r="Z365" i="13"/>
  <c r="Z2877" i="13"/>
  <c r="Z2929" i="13"/>
  <c r="Z3001" i="13"/>
  <c r="Z411" i="13"/>
  <c r="Z2065" i="13"/>
  <c r="Z3071" i="13"/>
  <c r="Z2784" i="13"/>
  <c r="Z1697" i="13"/>
  <c r="Z826" i="13"/>
  <c r="Z772" i="13"/>
  <c r="Z2625" i="13"/>
  <c r="Z2517" i="13"/>
  <c r="Z2126" i="13"/>
  <c r="Z488" i="13"/>
  <c r="Z2488" i="13"/>
  <c r="Z2509" i="13"/>
  <c r="Z1639" i="13"/>
  <c r="Z2054" i="13"/>
  <c r="Z2609" i="13"/>
  <c r="Z3037" i="13"/>
  <c r="Z306" i="13"/>
  <c r="Z888" i="13"/>
  <c r="Z3012" i="13"/>
  <c r="Z2097" i="13"/>
  <c r="Z3501" i="13"/>
  <c r="Z1363" i="13"/>
  <c r="Z133" i="13"/>
  <c r="Z551" i="13"/>
  <c r="Z1058" i="13"/>
  <c r="Z733" i="13"/>
  <c r="Z2644" i="13"/>
  <c r="Z376" i="13"/>
  <c r="Z2827" i="13"/>
  <c r="Z3100" i="13"/>
  <c r="Z313" i="13"/>
  <c r="Z1932" i="13"/>
  <c r="Z33" i="13"/>
  <c r="Z554" i="13"/>
  <c r="Z3244" i="13"/>
  <c r="Z847" i="13"/>
  <c r="Z1911" i="13"/>
  <c r="Z2651" i="13"/>
  <c r="Z128" i="13"/>
  <c r="Z1105" i="13"/>
  <c r="Z2360" i="13"/>
  <c r="Z2241" i="13"/>
  <c r="Z1868" i="13"/>
  <c r="Z511" i="13"/>
  <c r="Z2796" i="13"/>
  <c r="Z2832" i="13"/>
  <c r="Z2997" i="13"/>
  <c r="Z80" i="13"/>
  <c r="Z3356" i="13"/>
  <c r="Z2375" i="13"/>
  <c r="Z2290" i="13"/>
  <c r="Z2677" i="13"/>
  <c r="Z1755" i="13"/>
  <c r="Z2819" i="13"/>
  <c r="Z2137" i="13"/>
  <c r="Z1180" i="13"/>
  <c r="Z1454" i="13"/>
  <c r="Z1704" i="13"/>
  <c r="Z2626" i="13"/>
  <c r="Z2706" i="13"/>
  <c r="Z2195" i="13"/>
  <c r="Z2355" i="13"/>
  <c r="Z2162" i="13"/>
  <c r="Z2256" i="13"/>
  <c r="Z2096" i="13"/>
  <c r="Z3511" i="13"/>
  <c r="Z2030" i="13"/>
  <c r="Z311" i="13"/>
  <c r="Z1273" i="13"/>
  <c r="Z38" i="13"/>
  <c r="Z2377" i="13"/>
  <c r="Z1010" i="13"/>
  <c r="Z2849" i="13"/>
  <c r="Z1317" i="13"/>
  <c r="Z2683" i="13"/>
  <c r="Z261" i="13"/>
  <c r="Z1172" i="13"/>
  <c r="Z736" i="13"/>
  <c r="Z3295" i="13"/>
  <c r="Z710" i="13"/>
  <c r="Z1641" i="13"/>
  <c r="Z3202" i="13"/>
  <c r="Z741" i="13"/>
  <c r="Z334" i="13"/>
  <c r="Z3078" i="13"/>
  <c r="Z2303" i="13"/>
  <c r="Z1731" i="13"/>
  <c r="Z3455" i="13"/>
  <c r="Z2818" i="13"/>
  <c r="Z2593" i="13"/>
  <c r="Z1732" i="13"/>
  <c r="Z1001" i="13"/>
  <c r="Z2118" i="13"/>
  <c r="Z2278" i="13"/>
  <c r="Z1505" i="13"/>
  <c r="Z2653" i="13"/>
  <c r="Z1588" i="13"/>
  <c r="Z297" i="13"/>
  <c r="Z2298" i="13"/>
  <c r="Z1659" i="13"/>
  <c r="Z3019" i="13"/>
  <c r="Z2952" i="13"/>
  <c r="Z326" i="13"/>
  <c r="Z923" i="13"/>
  <c r="Z3183" i="13"/>
  <c r="Z2704" i="13"/>
  <c r="Z1850" i="13"/>
  <c r="Z857" i="13"/>
  <c r="Z2587" i="13"/>
  <c r="Z2649" i="13"/>
  <c r="Z629" i="13"/>
  <c r="Z2795" i="13"/>
  <c r="Z916" i="13"/>
  <c r="Z3485" i="13"/>
  <c r="Z1904" i="13"/>
  <c r="Z3309" i="13"/>
  <c r="Z1133" i="13"/>
  <c r="Z952" i="13"/>
  <c r="Z3452" i="13"/>
  <c r="Z2737" i="13"/>
  <c r="Z3505" i="13"/>
  <c r="Z918" i="13"/>
  <c r="Z996" i="13"/>
  <c r="Z2538" i="13"/>
  <c r="Z950" i="13"/>
  <c r="Z2433" i="13"/>
  <c r="Z2235" i="13"/>
  <c r="Z503" i="13"/>
  <c r="Z1706" i="13"/>
  <c r="Z162" i="13"/>
  <c r="Z801" i="13"/>
  <c r="Z2989" i="13"/>
  <c r="Z2349" i="13"/>
  <c r="Z470" i="13"/>
  <c r="Z1261" i="13"/>
  <c r="Z2083" i="13"/>
  <c r="Z477" i="13"/>
  <c r="Z2120" i="13"/>
  <c r="Z1137" i="13"/>
  <c r="Z2724" i="13"/>
  <c r="Z746" i="13"/>
  <c r="Z1841" i="13"/>
  <c r="Z2635" i="13"/>
  <c r="Z1599" i="13"/>
  <c r="Z1722" i="13"/>
  <c r="Z3323" i="13"/>
  <c r="Z405" i="13"/>
  <c r="Z356" i="13"/>
  <c r="Z1359" i="13"/>
  <c r="Z2790" i="13"/>
  <c r="Z2839" i="13"/>
  <c r="Z1986" i="13"/>
  <c r="Z1296" i="13"/>
  <c r="Z3427" i="13"/>
  <c r="Z3199" i="13"/>
  <c r="Z3058" i="13"/>
  <c r="Z1658" i="13"/>
  <c r="Z2998" i="13"/>
  <c r="Z747" i="13"/>
  <c r="Z3111" i="13"/>
  <c r="Z3095" i="13"/>
  <c r="Z446" i="13"/>
  <c r="Z194" i="13"/>
  <c r="Z515" i="13"/>
  <c r="Z1223" i="13"/>
  <c r="Z1744" i="13"/>
  <c r="Z2843" i="13"/>
  <c r="Z3416" i="13"/>
  <c r="Z2771" i="13"/>
  <c r="Z821" i="13"/>
  <c r="Z616" i="13"/>
  <c r="Z1191" i="13"/>
  <c r="Z3313" i="13"/>
  <c r="Z1235" i="13"/>
  <c r="Z111" i="13"/>
  <c r="Z3186" i="13"/>
  <c r="Z1830" i="13"/>
  <c r="Z1881" i="13"/>
  <c r="Z3423" i="13"/>
  <c r="Z2272" i="13"/>
  <c r="Z2042" i="13"/>
  <c r="Z3341" i="13"/>
  <c r="Z1727" i="13"/>
  <c r="Z2160" i="13"/>
  <c r="Z1224" i="13"/>
  <c r="Z1116" i="13"/>
  <c r="Z296" i="13"/>
  <c r="Z69" i="13"/>
  <c r="Z2895" i="13"/>
  <c r="Z2655" i="13"/>
  <c r="Z1895" i="13"/>
  <c r="Z1949" i="13"/>
  <c r="Z148" i="13"/>
  <c r="Z3180" i="13"/>
  <c r="Z2772" i="13"/>
  <c r="Z1975" i="13"/>
  <c r="Z269" i="13"/>
  <c r="Z1092" i="13"/>
  <c r="Z2093" i="13"/>
  <c r="Z2711" i="13"/>
  <c r="Z3303" i="13"/>
  <c r="Z146" i="13"/>
  <c r="Z3542" i="13"/>
  <c r="Z908" i="13"/>
  <c r="Z1781" i="13"/>
  <c r="Z2515" i="13"/>
  <c r="Z2257" i="13"/>
  <c r="Z2073" i="13"/>
  <c r="Z2233" i="13"/>
  <c r="Z242" i="13"/>
  <c r="Z2641" i="13"/>
  <c r="Z1343" i="13"/>
  <c r="Z753" i="13"/>
  <c r="Z3185" i="13"/>
  <c r="Z3320" i="13"/>
  <c r="Z3258" i="13"/>
  <c r="Z948" i="13"/>
  <c r="Z243" i="13"/>
  <c r="Z2461" i="13"/>
  <c r="Z3283" i="13"/>
  <c r="Z3396" i="13"/>
  <c r="Z2242" i="13"/>
  <c r="Z2250" i="13"/>
  <c r="Z3138" i="13"/>
  <c r="Z713" i="13"/>
  <c r="Z843" i="13"/>
  <c r="Z701" i="13"/>
  <c r="Z255" i="13"/>
  <c r="Z71" i="13"/>
  <c r="Z1360" i="13"/>
  <c r="Z1102" i="13"/>
  <c r="Z3152" i="13"/>
  <c r="Z1043" i="13"/>
  <c r="Z3105" i="13"/>
  <c r="Z2071" i="13"/>
  <c r="Z2785" i="13"/>
  <c r="Z2365" i="13"/>
  <c r="Z3192" i="13"/>
  <c r="Z2067" i="13"/>
  <c r="Z3171" i="13"/>
  <c r="Z627" i="13"/>
  <c r="Z1263" i="13"/>
  <c r="Z1052" i="13"/>
  <c r="Z2428" i="13"/>
  <c r="Z1192" i="13"/>
  <c r="Z1455" i="13"/>
  <c r="Z2369" i="13"/>
  <c r="Z2292" i="13"/>
  <c r="Z1337" i="13"/>
  <c r="Z3084" i="13"/>
  <c r="Z1558" i="13"/>
  <c r="Z2506" i="13"/>
  <c r="Z90" i="13"/>
  <c r="Z2043" i="13"/>
  <c r="Z1794" i="13"/>
  <c r="Z2264" i="13"/>
  <c r="Z2362" i="13"/>
  <c r="Z3253" i="13"/>
  <c r="Z1064" i="13"/>
  <c r="Z170" i="13"/>
  <c r="Z1566" i="13"/>
  <c r="Z2496" i="13"/>
  <c r="Z421" i="13"/>
  <c r="Z2955" i="13"/>
  <c r="Z2094" i="13"/>
  <c r="Z1712" i="13"/>
  <c r="Z1248" i="13"/>
  <c r="Z592" i="13"/>
  <c r="Z2095" i="13"/>
  <c r="Z3109" i="13"/>
  <c r="Z3548" i="13"/>
  <c r="Z2681" i="13"/>
  <c r="Z1007" i="13"/>
  <c r="Z2756" i="13"/>
  <c r="Z158" i="13"/>
  <c r="Z2293" i="13"/>
  <c r="Z2978" i="13"/>
  <c r="Z1590" i="13"/>
  <c r="Z2623" i="13"/>
  <c r="Z3261" i="13"/>
  <c r="Z155" i="13"/>
  <c r="Z3009" i="13"/>
  <c r="Z1367" i="13"/>
  <c r="Z1992" i="13"/>
  <c r="Z151" i="13"/>
  <c r="Z401" i="13"/>
  <c r="Z480" i="13"/>
  <c r="Z1324" i="13"/>
  <c r="Z2898" i="13"/>
  <c r="Z513" i="13"/>
  <c r="Z220" i="13"/>
  <c r="Z1655" i="13"/>
  <c r="Z437" i="13"/>
  <c r="Z2823" i="13"/>
  <c r="Z2455" i="13"/>
  <c r="Z1909" i="13"/>
  <c r="Z2510" i="13"/>
  <c r="Z2865" i="13"/>
  <c r="Z2709" i="13"/>
  <c r="Z240" i="13"/>
  <c r="Z1032" i="13"/>
  <c r="Z1836" i="13"/>
  <c r="Z604" i="13"/>
  <c r="Z3210" i="13"/>
  <c r="Z2420" i="13"/>
  <c r="Z3444" i="13"/>
  <c r="Z2692" i="13"/>
  <c r="Z357" i="13"/>
  <c r="Z214" i="13"/>
  <c r="Z1580" i="13"/>
  <c r="Z2808" i="13"/>
  <c r="Z2149" i="13"/>
  <c r="Z828" i="13"/>
  <c r="Z3054" i="13"/>
  <c r="Z2638" i="13"/>
  <c r="Z3072" i="13"/>
  <c r="Z3326" i="13"/>
  <c r="Z2419" i="13"/>
  <c r="Z1350" i="13"/>
  <c r="Z2013" i="13"/>
  <c r="Z3110" i="13"/>
  <c r="Z1395" i="13"/>
  <c r="Z2886" i="13"/>
  <c r="Z1541" i="13"/>
  <c r="Z213" i="13"/>
  <c r="Z396" i="13"/>
  <c r="Z1175" i="13"/>
  <c r="Z372" i="13"/>
  <c r="Z3540" i="13"/>
  <c r="Z745" i="13"/>
  <c r="Z2987" i="13"/>
  <c r="Z3079" i="13"/>
  <c r="Z1119" i="13"/>
  <c r="Z2809" i="13"/>
  <c r="Z182" i="13"/>
  <c r="Z615" i="13"/>
  <c r="Z3101" i="13"/>
  <c r="Z2833" i="13"/>
  <c r="Z1542" i="13"/>
  <c r="Z79" i="13"/>
  <c r="Z2035" i="13"/>
  <c r="Z2247" i="13"/>
  <c r="Z1544" i="13"/>
  <c r="Z3397" i="13"/>
  <c r="Z1362" i="13"/>
  <c r="Z2842" i="13"/>
  <c r="Z3204" i="13"/>
  <c r="Z2874" i="13"/>
  <c r="Z1082" i="13"/>
  <c r="Z1331" i="13"/>
  <c r="Z920" i="13"/>
  <c r="Z3017" i="13"/>
  <c r="Z2533" i="13"/>
  <c r="Z2087" i="13"/>
  <c r="Z1030" i="13"/>
  <c r="Z339" i="13"/>
  <c r="Z2569" i="13"/>
  <c r="Z815" i="13"/>
  <c r="Z2119" i="13"/>
  <c r="Z1894" i="13"/>
  <c r="Z300" i="13"/>
  <c r="Z413" i="13"/>
  <c r="Z2299" i="13"/>
  <c r="Z2357" i="13"/>
  <c r="Z1591" i="13"/>
  <c r="Z2364" i="13"/>
  <c r="Z2977" i="13"/>
  <c r="Z406" i="13"/>
  <c r="Z478" i="13"/>
  <c r="Z802" i="13"/>
  <c r="Z533" i="13"/>
  <c r="Z2192" i="13"/>
  <c r="Z3470" i="13"/>
  <c r="Z2134" i="13"/>
  <c r="Z3330" i="13"/>
  <c r="Z1790" i="13"/>
  <c r="Z708" i="13"/>
  <c r="Z153" i="13"/>
  <c r="Z2872" i="13"/>
  <c r="Z2821" i="13"/>
  <c r="Z2953" i="13"/>
  <c r="Z567" i="13"/>
  <c r="Z1547" i="13"/>
  <c r="Z2561" i="13"/>
  <c r="Z1999" i="13"/>
  <c r="Z299" i="13"/>
  <c r="Z278" i="13"/>
  <c r="Z1466" i="13"/>
  <c r="Z994" i="13"/>
  <c r="Z1824" i="13"/>
  <c r="Z1387" i="13"/>
  <c r="Z46" i="13"/>
  <c r="Z2551" i="13"/>
  <c r="Z739" i="13"/>
  <c r="Z2935" i="13"/>
  <c r="Z1251" i="13"/>
  <c r="Z1800" i="13"/>
  <c r="Z444" i="13"/>
  <c r="Z1229" i="13"/>
  <c r="Z1437" i="13"/>
  <c r="Z3237" i="13"/>
  <c r="Z1969" i="13"/>
  <c r="Z1605" i="13"/>
  <c r="Z1705" i="13"/>
  <c r="Z1087" i="13"/>
  <c r="Z3220" i="13"/>
  <c r="Z1953" i="13"/>
  <c r="Z366" i="13"/>
  <c r="Z930" i="13"/>
  <c r="Z1195" i="13"/>
  <c r="Z2200" i="13"/>
  <c r="Z3056" i="13"/>
  <c r="Z3528" i="13"/>
  <c r="Z1214" i="13"/>
  <c r="Z854" i="13"/>
  <c r="Z535" i="13"/>
  <c r="Z1029" i="13"/>
  <c r="Z1348" i="13"/>
  <c r="Z2142" i="13"/>
  <c r="Z1812" i="13"/>
  <c r="Z2275" i="13"/>
  <c r="Z643" i="13"/>
  <c r="Z2154" i="13"/>
  <c r="Z3134" i="13"/>
  <c r="Z114" i="13"/>
  <c r="Z2934" i="13"/>
  <c r="Z349" i="13"/>
  <c r="Z1440" i="13"/>
  <c r="Z2693" i="13"/>
  <c r="Z822" i="13"/>
  <c r="Z2033" i="13"/>
  <c r="Z360" i="13"/>
  <c r="Z1280" i="13"/>
  <c r="Z655" i="13"/>
  <c r="Z3436" i="13"/>
  <c r="Z1944" i="13"/>
  <c r="Z3289" i="13"/>
  <c r="Z2363" i="13"/>
  <c r="Z1502" i="13"/>
  <c r="Z2559" i="13"/>
  <c r="Z1793" i="13"/>
  <c r="Z2599" i="13"/>
  <c r="Z1497" i="13"/>
  <c r="Z2588" i="13"/>
  <c r="Z2012" i="13"/>
  <c r="Z1759" i="13"/>
  <c r="Z1312" i="13"/>
  <c r="Z1977" i="13"/>
  <c r="Z938" i="13"/>
  <c r="Z1468" i="13"/>
  <c r="Z1329" i="13"/>
  <c r="Z209" i="13"/>
  <c r="Z1585" i="13"/>
  <c r="Z2975" i="13"/>
  <c r="Z1186" i="13"/>
  <c r="Z1209" i="13"/>
  <c r="Z3312" i="13"/>
  <c r="Z2837" i="13"/>
  <c r="Z2179" i="13"/>
  <c r="Z810" i="13"/>
  <c r="Z737" i="13"/>
  <c r="Z2441" i="13"/>
  <c r="Z2530" i="13"/>
  <c r="Z3129" i="13"/>
  <c r="Z288" i="13"/>
  <c r="Z166" i="13"/>
  <c r="Z1005" i="13"/>
  <c r="Z1366" i="13"/>
  <c r="Z2983" i="13"/>
  <c r="Z2426" i="13"/>
  <c r="Z788" i="13"/>
  <c r="Z142" i="13"/>
  <c r="Z2686" i="13"/>
  <c r="Z487" i="13"/>
  <c r="Z3439" i="13"/>
  <c r="Z3424" i="13"/>
  <c r="Z2951" i="13"/>
  <c r="Z2685" i="13"/>
  <c r="Z1394" i="13"/>
  <c r="Z1805" i="13"/>
  <c r="Z3223" i="13"/>
  <c r="Z1318" i="13"/>
  <c r="Z1463" i="13"/>
  <c r="Z1564" i="13"/>
  <c r="Z1910" i="13"/>
  <c r="Z1369" i="13"/>
  <c r="Z3299" i="13"/>
  <c r="Z438" i="13"/>
  <c r="Z1923" i="13"/>
  <c r="Z3502" i="13"/>
  <c r="Z2658" i="13"/>
  <c r="Z1662" i="13"/>
  <c r="Z1222" i="13"/>
  <c r="Z2324" i="13"/>
  <c r="Z536" i="13"/>
  <c r="Z1283" i="13"/>
  <c r="Z3238" i="13"/>
  <c r="Z3124" i="13"/>
  <c r="Z2417" i="13"/>
  <c r="Z1726" i="13"/>
  <c r="Z1579" i="13"/>
  <c r="Z1033" i="13"/>
  <c r="Z697" i="13"/>
  <c r="Z1976" i="13"/>
  <c r="Z793" i="13"/>
  <c r="Z1417" i="13"/>
  <c r="Z2931" i="13"/>
  <c r="Z3094" i="13"/>
  <c r="Z3201" i="13"/>
  <c r="Z117" i="13"/>
  <c r="Z1495" i="13"/>
  <c r="Z3473" i="13"/>
  <c r="Z3120" i="13"/>
  <c r="Z2084" i="13"/>
  <c r="Z2418" i="13"/>
  <c r="Z1156" i="13"/>
  <c r="Z2787" i="13"/>
  <c r="Z685" i="13"/>
  <c r="Z1725" i="13"/>
  <c r="Z2752" i="13"/>
  <c r="Z3514" i="13"/>
  <c r="Z1877" i="13"/>
  <c r="Z2040" i="13"/>
  <c r="Z2305" i="13"/>
  <c r="Z2873" i="13"/>
  <c r="Z1347" i="13"/>
  <c r="Z1699" i="13"/>
  <c r="Z516" i="13"/>
  <c r="Z776" i="13"/>
  <c r="Z2618" i="13"/>
  <c r="Z1438" i="13"/>
  <c r="Z3161" i="13"/>
  <c r="Z1326" i="13"/>
  <c r="Z1974" i="13"/>
  <c r="Z2341" i="13"/>
  <c r="Z1768" i="13"/>
  <c r="Z683" i="13"/>
  <c r="Z3491" i="13"/>
  <c r="Z2864" i="13"/>
  <c r="Z2540" i="13"/>
  <c r="Z2157" i="13"/>
  <c r="Z81" i="13"/>
  <c r="Z3284" i="13"/>
  <c r="Z351" i="13"/>
  <c r="Z2208" i="13"/>
  <c r="Z2915" i="13"/>
  <c r="Z2565" i="13"/>
  <c r="Z1993" i="13"/>
  <c r="Z2136" i="13"/>
  <c r="Z122" i="13"/>
  <c r="Z3081" i="13"/>
  <c r="Z2230" i="13"/>
  <c r="Z2398" i="13"/>
  <c r="Z3278" i="13"/>
  <c r="Z1802" i="13"/>
  <c r="Z1045" i="13"/>
  <c r="Z947" i="13"/>
  <c r="Z555" i="13"/>
  <c r="Z3166" i="13"/>
  <c r="Z1016" i="13"/>
  <c r="Z1897" i="13"/>
  <c r="Z2414" i="13"/>
  <c r="Z2859" i="13"/>
  <c r="Z2201" i="13"/>
  <c r="Z1171" i="13"/>
  <c r="Z1162" i="13"/>
  <c r="Z576" i="13"/>
  <c r="Z2633" i="13"/>
  <c r="Z864" i="13"/>
  <c r="Z3010" i="13"/>
  <c r="Z671" i="13"/>
  <c r="Z1518" i="13"/>
  <c r="Z475" i="13"/>
  <c r="Z2117" i="13"/>
  <c r="Z1474" i="13"/>
  <c r="Z3319" i="13"/>
  <c r="Z451" i="13"/>
  <c r="Z800" i="13"/>
  <c r="Z31" i="13"/>
  <c r="Z1379" i="13"/>
  <c r="Z2487" i="13"/>
  <c r="Z1529" i="13"/>
  <c r="Z263" i="13"/>
  <c r="Z721" i="13"/>
  <c r="Z187" i="13"/>
  <c r="Z1869" i="13"/>
  <c r="Z1979" i="13"/>
  <c r="Z2801" i="13"/>
  <c r="Z206" i="13"/>
  <c r="Z415" i="13"/>
  <c r="Z1433" i="13"/>
  <c r="Z2909" i="13"/>
  <c r="Z2348" i="13"/>
  <c r="Z2499" i="13"/>
  <c r="Z1568" i="13"/>
  <c r="Z1070" i="13"/>
  <c r="Z1885" i="13"/>
  <c r="Z2329" i="13"/>
  <c r="Z1608" i="13"/>
  <c r="Z2405" i="13"/>
  <c r="Z1114" i="13"/>
  <c r="Z40" i="13"/>
  <c r="Z2003" i="13"/>
  <c r="Z2480" i="13"/>
  <c r="Z524" i="13"/>
  <c r="Z2152" i="13"/>
  <c r="Z1053" i="13"/>
  <c r="Z1383" i="13"/>
  <c r="Z473" i="13"/>
  <c r="Z2088" i="13"/>
  <c r="Z706" i="13"/>
  <c r="Z1595" i="13"/>
  <c r="Z51" i="13"/>
  <c r="Z333" i="13"/>
  <c r="Z1325" i="13"/>
  <c r="Z2666" i="13"/>
  <c r="Z2122" i="13"/>
  <c r="Z2717" i="13"/>
  <c r="Z1638" i="13"/>
  <c r="Z2302" i="13"/>
  <c r="Z379" i="13"/>
  <c r="Z763" i="13"/>
  <c r="Z2701" i="13"/>
  <c r="Z1132" i="13"/>
  <c r="Z2917" i="13"/>
  <c r="Z2187" i="13"/>
  <c r="Z695" i="13"/>
  <c r="Z2988" i="13"/>
  <c r="Z2939" i="13"/>
  <c r="Z2640" i="13"/>
  <c r="Z1260" i="13"/>
  <c r="Z689" i="13"/>
  <c r="Z317" i="13"/>
  <c r="Z1756" i="13"/>
  <c r="Z2868" i="13"/>
  <c r="Z2155" i="13"/>
  <c r="Z1951" i="13"/>
  <c r="Z1168" i="13"/>
  <c r="Z1733" i="13"/>
  <c r="Z1621" i="13"/>
  <c r="Z1777" i="13"/>
  <c r="Z1306" i="13"/>
  <c r="Z910" i="13"/>
  <c r="Z1972" i="13"/>
  <c r="Z1555" i="13"/>
  <c r="Z1285" i="13"/>
  <c r="Z1924" i="13"/>
  <c r="Z2828" i="13"/>
  <c r="Z2402" i="13"/>
  <c r="Z742" i="13"/>
  <c r="Z3426" i="13"/>
  <c r="Z1295" i="13"/>
  <c r="Z398" i="13"/>
  <c r="Z602" i="13"/>
  <c r="Z964" i="13"/>
  <c r="Z2147" i="13"/>
  <c r="Z1115" i="13"/>
  <c r="Z116" i="13"/>
  <c r="Z2382" i="13"/>
  <c r="Z3090" i="13"/>
  <c r="Z2811" i="13"/>
  <c r="Z2814" i="13"/>
  <c r="Z1889" i="13"/>
  <c r="Z786" i="13"/>
  <c r="Z412" i="13"/>
  <c r="Z2624" i="13"/>
  <c r="Z1514" i="13"/>
  <c r="Z1378" i="13"/>
  <c r="Z2547" i="13"/>
  <c r="Z1469" i="13"/>
  <c r="Z2311" i="13"/>
  <c r="Z692" i="13"/>
  <c r="Z1981" i="13"/>
  <c r="Z2956" i="13"/>
  <c r="Z3480" i="13"/>
  <c r="Z2669" i="13"/>
  <c r="Z3364" i="13"/>
  <c r="Z3230" i="13"/>
  <c r="Z2576" i="13"/>
  <c r="Z1122" i="13"/>
  <c r="Z1290" i="13"/>
  <c r="Z2319" i="13"/>
  <c r="Z1998" i="13"/>
  <c r="Z2539" i="13"/>
  <c r="Z1458" i="13"/>
  <c r="Z942" i="13"/>
  <c r="Z2763" i="13"/>
  <c r="Z3195" i="13"/>
  <c r="Z3440" i="13"/>
  <c r="Z3482" i="13"/>
  <c r="Z1814" i="13"/>
  <c r="Z1967" i="13"/>
  <c r="Z391" i="13"/>
  <c r="Z3409" i="13"/>
  <c r="Z2789" i="13"/>
  <c r="Z2388" i="13"/>
  <c r="Z266" i="13"/>
  <c r="Z107" i="13"/>
  <c r="Z1086" i="13"/>
  <c r="Z2777" i="13"/>
  <c r="Z2454" i="13"/>
  <c r="Z1631" i="13"/>
  <c r="Z2086" i="13"/>
  <c r="Z2996" i="13"/>
  <c r="Z1955" i="13"/>
  <c r="Z2765" i="13"/>
  <c r="Z3477" i="13"/>
  <c r="Z3142" i="13"/>
  <c r="Z1630" i="13"/>
  <c r="Z152" i="13"/>
  <c r="Z1215" i="13"/>
  <c r="Z1022" i="13"/>
  <c r="Z1876" i="13"/>
  <c r="Z420" i="13"/>
  <c r="Z1537" i="13"/>
  <c r="Z130" i="13"/>
  <c r="Z872" i="13"/>
  <c r="Z870" i="13"/>
  <c r="Z1736" i="13"/>
  <c r="Z2835" i="13"/>
  <c r="Z658" i="13"/>
  <c r="Z2284" i="13"/>
  <c r="Z814" i="13"/>
  <c r="Z469" i="13"/>
  <c r="Z878" i="13"/>
  <c r="Z2254" i="13"/>
  <c r="Z1464" i="13"/>
  <c r="Z1357" i="13"/>
  <c r="Z1174" i="13"/>
  <c r="Z762" i="13"/>
  <c r="Z3137" i="13"/>
  <c r="Z271" i="13"/>
  <c r="Z459" i="13"/>
  <c r="Z3173" i="13"/>
  <c r="Z1573" i="13"/>
  <c r="Z1611" i="13"/>
  <c r="Z2135" i="13"/>
  <c r="Z1809" i="13"/>
  <c r="Z1747" i="13"/>
  <c r="Z95" i="13"/>
  <c r="Z3254" i="13"/>
  <c r="Z1278" i="13"/>
  <c r="Z1825" i="13"/>
  <c r="Z618" i="13"/>
  <c r="Z2866" i="13"/>
  <c r="Z1227" i="13"/>
  <c r="Z73" i="13"/>
  <c r="Z1837" i="13"/>
  <c r="Z2337" i="13"/>
  <c r="Z1098" i="13"/>
  <c r="Z2158" i="13"/>
  <c r="Z3481" i="13"/>
  <c r="Z2343" i="13"/>
  <c r="Z1598" i="13"/>
  <c r="Z3457" i="13"/>
  <c r="Z2867" i="13"/>
  <c r="Z1728" i="13"/>
  <c r="Z1597" i="13"/>
  <c r="Z1917" i="13"/>
  <c r="Z481" i="13"/>
  <c r="Z837" i="13"/>
  <c r="Z1501" i="13"/>
  <c r="Z3405" i="13"/>
  <c r="Z1831" i="13"/>
  <c r="Z3115" i="13"/>
  <c r="Z2159" i="13"/>
  <c r="Z787" i="13"/>
  <c r="Z227" i="13"/>
  <c r="Z2968" i="13"/>
  <c r="Z1047" i="13"/>
  <c r="Z2650" i="13"/>
  <c r="Z1883" i="13"/>
  <c r="Z1760" i="13"/>
  <c r="Z1606" i="13"/>
  <c r="Z754" i="13"/>
  <c r="Z2834" i="13"/>
  <c r="Z386" i="13"/>
  <c r="Z1434" i="13"/>
  <c r="Z1167" i="13"/>
  <c r="Z3061" i="13"/>
  <c r="Z1557" i="13"/>
  <c r="Z2338" i="13"/>
  <c r="Z1136" i="13"/>
  <c r="Z2032" i="13"/>
  <c r="Z2888" i="13"/>
  <c r="Z1700" i="13"/>
  <c r="Z1123" i="13"/>
  <c r="Z1997" i="13"/>
  <c r="Z2736" i="13"/>
  <c r="Z2112" i="13"/>
  <c r="Z769" i="13"/>
  <c r="Z1795" i="13"/>
  <c r="Z2600" i="13"/>
  <c r="Z3024" i="13"/>
  <c r="Z1243" i="13"/>
  <c r="Z498" i="13"/>
  <c r="Z2617" i="13"/>
  <c r="Z2981" i="13"/>
  <c r="Z2844" i="13"/>
  <c r="Z1864" i="13"/>
  <c r="Z1906" i="13"/>
  <c r="Z1389" i="13"/>
  <c r="Z250" i="13"/>
  <c r="Z2581" i="13"/>
  <c r="Z2421" i="13"/>
  <c r="Z2714" i="13"/>
  <c r="Z440" i="13"/>
  <c r="Z92" i="13"/>
  <c r="Z3182" i="13"/>
  <c r="Z1039" i="13"/>
  <c r="Z251" i="13"/>
  <c r="Z3524" i="13"/>
  <c r="Z969" i="13"/>
  <c r="Z2918" i="13"/>
  <c r="Z3404" i="13"/>
  <c r="Z3233" i="13"/>
  <c r="Z308" i="13"/>
  <c r="Z3300" i="13"/>
  <c r="Z2572" i="13"/>
  <c r="Z2999" i="13"/>
  <c r="Z1118" i="13"/>
  <c r="Z3297" i="13"/>
  <c r="Z1776" i="13"/>
  <c r="Z2594" i="13"/>
  <c r="Z726" i="13"/>
  <c r="Z557" i="13"/>
  <c r="Z3028" i="13"/>
  <c r="Z1753" i="13"/>
  <c r="Z1572" i="13"/>
  <c r="Z743" i="13"/>
  <c r="Z1873" i="13"/>
  <c r="Z2182" i="13"/>
  <c r="Z1509" i="13"/>
  <c r="Z2125" i="13"/>
  <c r="Z1908" i="13"/>
  <c r="Z845" i="13"/>
  <c r="Z588" i="13"/>
  <c r="Z404" i="13"/>
  <c r="Z2893" i="13"/>
  <c r="Z2825" i="13"/>
  <c r="Z2468" i="13"/>
  <c r="Z2603" i="13"/>
  <c r="Z684" i="13"/>
  <c r="Z3155" i="13"/>
  <c r="Z3550" i="13"/>
  <c r="Z1886" i="13"/>
  <c r="Z704" i="13"/>
  <c r="Z2494" i="13"/>
  <c r="Z1987" i="13"/>
  <c r="Z2567" i="13"/>
  <c r="Z2897" i="13"/>
  <c r="Z2237" i="13"/>
  <c r="Z853" i="13"/>
  <c r="Z1751" i="13"/>
  <c r="Z2169" i="13"/>
  <c r="Z2411" i="13"/>
  <c r="Z2031" i="13"/>
  <c r="Z1068" i="13"/>
  <c r="Z2469" i="13"/>
  <c r="Z126" i="13"/>
  <c r="Z1194" i="13"/>
  <c r="Z190" i="13"/>
  <c r="Z2738" i="13"/>
  <c r="Z3047" i="13"/>
  <c r="Z3400" i="13"/>
  <c r="Z1820" i="13"/>
  <c r="Z520" i="13"/>
  <c r="Z1774" i="13"/>
  <c r="Z2482" i="13"/>
  <c r="Z218" i="13"/>
  <c r="Z2713" i="13"/>
  <c r="Z3026" i="13"/>
  <c r="Z973" i="13"/>
  <c r="Z2531" i="13"/>
  <c r="Z368" i="13"/>
  <c r="Z2381" i="13"/>
  <c r="Z578" i="13"/>
  <c r="Z2911" i="13"/>
  <c r="Z2185" i="13"/>
  <c r="Z494" i="13"/>
  <c r="Z1746" i="13"/>
  <c r="Z3117" i="13"/>
  <c r="Z3029" i="13"/>
  <c r="Z1076" i="13"/>
  <c r="Z1336" i="13"/>
  <c r="Z1607" i="13"/>
  <c r="Z2107" i="13"/>
  <c r="Z1710" i="13"/>
  <c r="Z905" i="13"/>
  <c r="Z3011" i="13"/>
  <c r="Z1074" i="13"/>
  <c r="Z1567" i="13"/>
  <c r="Z1939" i="13"/>
  <c r="Z1596" i="13"/>
  <c r="Z2906" i="13"/>
  <c r="Z3181" i="13"/>
  <c r="Z1723" i="13"/>
  <c r="Z2791" i="13"/>
  <c r="Z3212" i="13"/>
  <c r="Z647" i="13"/>
  <c r="Z530" i="13"/>
  <c r="Z2351" i="13"/>
  <c r="Z2240" i="13"/>
  <c r="Z3338" i="13"/>
  <c r="Z1419" i="13"/>
  <c r="Z3507" i="13"/>
  <c r="Z3119" i="13"/>
  <c r="Z3085" i="13"/>
  <c r="Z1358" i="13"/>
  <c r="Z2498" i="13"/>
  <c r="Z1475" i="13"/>
  <c r="Z926" i="13"/>
  <c r="Z239" i="13"/>
  <c r="Z3113" i="13"/>
  <c r="Z2164" i="13"/>
  <c r="Z2729" i="13"/>
  <c r="Z1414" i="13"/>
  <c r="Z1316" i="13"/>
  <c r="Z644" i="13"/>
  <c r="Z1193" i="13"/>
  <c r="Z2860" i="13"/>
  <c r="Z2718" i="13"/>
  <c r="Z3130" i="13"/>
  <c r="Z3446" i="13"/>
  <c r="Z574" i="13"/>
  <c r="Z2705" i="13"/>
  <c r="Z390" i="13"/>
  <c r="Z1259" i="13"/>
  <c r="Z347" i="13"/>
  <c r="Z3461" i="13"/>
  <c r="Z972" i="13"/>
  <c r="Z448" i="13"/>
  <c r="Z2661" i="13"/>
  <c r="Z1807" i="13"/>
  <c r="Z3494" i="13"/>
  <c r="Z583" i="13"/>
  <c r="Z1803" i="13"/>
  <c r="Z1130" i="13"/>
  <c r="Z1504" i="13"/>
  <c r="Z3360" i="13"/>
  <c r="Z3516" i="13"/>
  <c r="Z2656" i="13"/>
  <c r="Z3447" i="13"/>
  <c r="Z2961" i="13"/>
  <c r="Z3168" i="13"/>
  <c r="Z39" i="13"/>
  <c r="Z1784" i="13"/>
  <c r="Z517" i="13"/>
  <c r="Z409" i="13"/>
  <c r="Z830" i="13"/>
  <c r="Z1405" i="13"/>
  <c r="Z1307" i="13"/>
  <c r="Z1143" i="13"/>
  <c r="Z673" i="13"/>
  <c r="Z2258" i="13"/>
  <c r="Z1061" i="13"/>
  <c r="Z327" i="13"/>
  <c r="Z132" i="13"/>
  <c r="Z2099" i="13"/>
  <c r="Z1155" i="13"/>
  <c r="Z282" i="13"/>
  <c r="Z350" i="13"/>
  <c r="Z176" i="13"/>
  <c r="Z1614" i="13"/>
  <c r="Z1213" i="13"/>
  <c r="Z2320" i="13"/>
  <c r="Z3294" i="13"/>
  <c r="Z561" i="13"/>
  <c r="Z2449" i="13"/>
  <c r="Z1890" i="13"/>
  <c r="Z758" i="13"/>
  <c r="Z3513" i="13"/>
  <c r="Z2046" i="13"/>
  <c r="Z519" i="13"/>
  <c r="Z1160" i="13"/>
  <c r="Z85" i="13"/>
  <c r="Z2246" i="13"/>
  <c r="Z632" i="13"/>
  <c r="Z221" i="13"/>
  <c r="Z346" i="13"/>
  <c r="Z143" i="13"/>
  <c r="Z2075" i="13"/>
  <c r="Z2103" i="13"/>
  <c r="Z890" i="13"/>
  <c r="Z1625" i="13"/>
  <c r="Z74" i="13"/>
  <c r="Z2722" i="13"/>
  <c r="Z1626" i="13"/>
  <c r="Z3469" i="13"/>
  <c r="Z678" i="13"/>
  <c r="Z999" i="13"/>
  <c r="Z309" i="13"/>
  <c r="Z302" i="13"/>
  <c r="Z690" i="13"/>
  <c r="Z917" i="13"/>
  <c r="Z497" i="13"/>
  <c r="Z471" i="13"/>
  <c r="Z352" i="13"/>
  <c r="Z2853" i="13"/>
  <c r="Z2037" i="13"/>
  <c r="Z2416" i="13"/>
  <c r="Z2992" i="13"/>
  <c r="Z2829" i="13"/>
  <c r="Z3392" i="13"/>
  <c r="Z1847" i="13"/>
  <c r="Z1629" i="13"/>
  <c r="Z3197" i="13"/>
  <c r="Z3349" i="13"/>
  <c r="Z2104" i="13"/>
  <c r="Z2708" i="13"/>
  <c r="Z1934" i="13"/>
  <c r="Z2957" i="13"/>
  <c r="Z968" i="13"/>
  <c r="Z32" i="13"/>
  <c r="Z1550" i="13"/>
  <c r="Z264" i="13"/>
  <c r="Z3395" i="13"/>
  <c r="Z1587" i="13"/>
  <c r="Z167" i="13"/>
  <c r="Z3460" i="13"/>
  <c r="Z1517" i="13"/>
  <c r="Z3393" i="13"/>
  <c r="Z1996" i="13"/>
  <c r="Z2081" i="13"/>
  <c r="Z1287" i="13"/>
  <c r="Z3136" i="13"/>
  <c r="Z3552" i="13"/>
  <c r="Z1088" i="13"/>
  <c r="Z3495" i="13"/>
  <c r="Z2053" i="13"/>
  <c r="Z1798" i="13"/>
  <c r="Z1978" i="13"/>
  <c r="Z2678" i="13"/>
  <c r="Z2671" i="13"/>
  <c r="Z1488" i="13"/>
  <c r="Z2400" i="13"/>
  <c r="Z1079" i="13"/>
  <c r="Z1268" i="13"/>
  <c r="Z164" i="13"/>
  <c r="Z2347" i="13"/>
  <c r="Z913" i="13"/>
  <c r="Z2239" i="13"/>
  <c r="Z1860" i="13"/>
  <c r="Z901" i="13"/>
  <c r="Z2578" i="13"/>
  <c r="Z2855" i="13"/>
  <c r="Z205" i="13"/>
  <c r="Z2521" i="13"/>
  <c r="Z3140" i="13"/>
  <c r="Z676" i="13"/>
  <c r="Z1882" i="13"/>
  <c r="Z3280" i="13"/>
  <c r="Z188" i="13"/>
  <c r="Z1498" i="13"/>
  <c r="Z1745" i="13"/>
  <c r="Z1708" i="13"/>
  <c r="Z512" i="13"/>
  <c r="Z589" i="13"/>
  <c r="Z1551" i="13"/>
  <c r="Z790" i="13"/>
  <c r="Z3188" i="13"/>
  <c r="Z3385" i="13"/>
  <c r="Z3153" i="13"/>
  <c r="Z1734" i="13"/>
  <c r="Z482" i="13"/>
  <c r="Z2926" i="13"/>
  <c r="Z3236" i="13"/>
  <c r="Z3456" i="13"/>
  <c r="Z2591" i="13"/>
  <c r="Z650" i="13"/>
  <c r="Z540" i="13"/>
  <c r="Z1048" i="13"/>
  <c r="Z1270" i="13"/>
  <c r="Z2850" i="13"/>
  <c r="Z3172" i="13"/>
  <c r="Z2927" i="13"/>
  <c r="Z2745" i="13"/>
  <c r="Z794" i="13"/>
  <c r="Z395" i="13"/>
  <c r="Z2336" i="13"/>
  <c r="Z452" i="13"/>
  <c r="Z2408" i="13"/>
  <c r="Z2383" i="13"/>
  <c r="Z3082" i="13"/>
  <c r="Z2622" i="13"/>
  <c r="Z3014" i="13"/>
  <c r="Z1788" i="13"/>
  <c r="Z2034" i="13"/>
  <c r="Z1946" i="13"/>
  <c r="Z3215" i="13"/>
  <c r="Z2333" i="13"/>
  <c r="Z639" i="13"/>
  <c r="Z3032" i="13"/>
  <c r="Z2090" i="13"/>
  <c r="Z2473" i="13"/>
  <c r="Z3413" i="13"/>
  <c r="Z1301" i="13"/>
  <c r="Z1282" i="13"/>
  <c r="Z3467" i="13"/>
  <c r="Z936" i="13"/>
  <c r="Z1226" i="13"/>
  <c r="Z2014" i="13"/>
  <c r="Z3216" i="13"/>
  <c r="Z3089" i="13"/>
  <c r="Z3157" i="13"/>
  <c r="Z1253" i="13"/>
  <c r="Z1432" i="13"/>
  <c r="Z2138" i="13"/>
  <c r="Z2036" i="13"/>
  <c r="Z2768" i="13"/>
  <c r="Z98" i="13"/>
  <c r="Z134" i="13"/>
  <c r="Z3466" i="13"/>
  <c r="Z1821" i="13"/>
  <c r="Z2589" i="13"/>
  <c r="Z2150" i="13"/>
  <c r="Z2580" i="13"/>
  <c r="Z1649" i="13"/>
  <c r="Z2590" i="13"/>
  <c r="Z341" i="13"/>
  <c r="Z2928" i="13"/>
  <c r="Z3027" i="13"/>
  <c r="Z547" i="13"/>
  <c r="Z859" i="13"/>
  <c r="Z521" i="13"/>
  <c r="Z115" i="13"/>
  <c r="Z2062" i="13"/>
  <c r="Z1303" i="13"/>
  <c r="Z318" i="13"/>
  <c r="Z2513" i="13"/>
  <c r="Z2457" i="13"/>
  <c r="Z550" i="13"/>
  <c r="Z607" i="13"/>
  <c r="Z3408" i="13"/>
  <c r="Z1757" i="13"/>
  <c r="Z934" i="13"/>
  <c r="Z1146" i="13"/>
  <c r="Z765" i="13"/>
  <c r="Z2512" i="13"/>
  <c r="Z2222" i="13"/>
  <c r="Z3472" i="13"/>
  <c r="Z279" i="13"/>
  <c r="Z827" i="13"/>
  <c r="Z3008" i="13"/>
  <c r="Z3428" i="13"/>
  <c r="Z767" i="13"/>
  <c r="Z2667" i="13"/>
  <c r="Z1128" i="13"/>
  <c r="Z491" i="13"/>
  <c r="Z3075" i="13"/>
  <c r="Z2966" i="13"/>
  <c r="Z1671" i="13"/>
  <c r="Z508" i="13"/>
  <c r="Z1218" i="13"/>
  <c r="Z3048" i="13"/>
  <c r="Z3293" i="13"/>
  <c r="Z2006" i="13"/>
  <c r="Z997" i="13"/>
  <c r="Z1202" i="13"/>
  <c r="Z424" i="13"/>
  <c r="Z1264" i="13"/>
  <c r="Z1107" i="13"/>
  <c r="Z3441" i="13"/>
  <c r="Z2144" i="13"/>
  <c r="Z1499" i="13"/>
  <c r="Z2059" i="13"/>
  <c r="Z1148" i="13"/>
  <c r="Z2069" i="13"/>
  <c r="Z1241" i="13"/>
  <c r="Z1069" i="13"/>
  <c r="Z565" i="13"/>
  <c r="Z3093" i="13"/>
  <c r="Z1274" i="13"/>
  <c r="Z2079" i="13"/>
  <c r="Z2598" i="13"/>
  <c r="Z975" i="13"/>
  <c r="Z2466" i="13"/>
  <c r="Z1198" i="13"/>
  <c r="Z806" i="13"/>
  <c r="Z2167" i="13"/>
  <c r="Z1459" i="13"/>
  <c r="Z2995" i="13"/>
  <c r="Z277" i="13"/>
  <c r="Z2610" i="13"/>
  <c r="Z1109" i="13"/>
  <c r="Z2764" i="13"/>
  <c r="Z2453" i="13"/>
  <c r="Z1101" i="13"/>
  <c r="Z3354" i="13"/>
  <c r="Z2227" i="13"/>
  <c r="Z2462" i="13"/>
  <c r="Z493" i="13"/>
  <c r="Z1925" i="13"/>
  <c r="Z1204" i="13"/>
  <c r="Z2211" i="13"/>
  <c r="Z3530" i="13"/>
  <c r="Z2631" i="13"/>
  <c r="Z3241" i="13"/>
  <c r="Z1874" i="13"/>
  <c r="Z1879" i="13"/>
  <c r="Z2941" i="13"/>
  <c r="Z1878" i="13"/>
  <c r="Z2019" i="13"/>
  <c r="Z909" i="13"/>
  <c r="Z1157" i="13"/>
  <c r="Z876" i="13"/>
  <c r="Z2694" i="13"/>
  <c r="Z966" i="13"/>
  <c r="Z3273" i="13"/>
  <c r="Z124" i="13"/>
  <c r="Z1902" i="13"/>
  <c r="Z100" i="13"/>
  <c r="Z407" i="13"/>
  <c r="Z606" i="13"/>
  <c r="Z3366" i="13"/>
  <c r="Z268" i="13"/>
  <c r="Z2476" i="13"/>
  <c r="Z622" i="13"/>
  <c r="Z1968" i="13"/>
  <c r="Z646" i="13"/>
  <c r="Z3402" i="13"/>
  <c r="Z1887" i="13"/>
  <c r="Z3002" i="13"/>
  <c r="Z1127" i="13"/>
  <c r="Z584" i="13"/>
  <c r="Z2252" i="13"/>
  <c r="Z1335" i="13"/>
  <c r="Z944" i="13"/>
  <c r="Z1179" i="13"/>
  <c r="Z1578" i="13"/>
  <c r="Z1201" i="13"/>
  <c r="Z2047" i="13"/>
  <c r="Z3412" i="13"/>
  <c r="Z1941" i="13"/>
  <c r="Z703" i="13"/>
  <c r="Z2697" i="13"/>
  <c r="Z245" i="13"/>
  <c r="Z2690" i="13"/>
  <c r="Z2553" i="13"/>
  <c r="Z2793" i="13"/>
  <c r="Z1051" i="13"/>
  <c r="Z387" i="13"/>
  <c r="Z2731" i="13"/>
  <c r="Z628" i="13"/>
  <c r="Z2606" i="13"/>
  <c r="Z2276" i="13"/>
  <c r="Z1827" i="13"/>
  <c r="Z3382" i="13"/>
  <c r="Z2060" i="13"/>
  <c r="Z2802" i="13"/>
  <c r="Z1990" i="13"/>
  <c r="Z1228" i="13"/>
  <c r="Z699" i="13"/>
  <c r="Z3207" i="13"/>
  <c r="Z1920" i="13"/>
  <c r="Z2946" i="13"/>
  <c r="Z2882" i="13"/>
  <c r="Z1026" i="13"/>
  <c r="Z389" i="13"/>
  <c r="Z331" i="13"/>
  <c r="Z3359" i="13"/>
  <c r="Z202" i="13"/>
  <c r="Z3500" i="13"/>
  <c r="Z1491" i="13"/>
  <c r="Z1855" i="13"/>
  <c r="Z1772" i="13"/>
  <c r="Z3265" i="13"/>
  <c r="Z1384" i="13"/>
  <c r="Z1081" i="13"/>
  <c r="Z2472" i="13"/>
  <c r="Z367" i="13"/>
  <c r="Z1345" i="13"/>
  <c r="Z624" i="13"/>
  <c r="Z2676" i="13"/>
  <c r="Z1166" i="13"/>
  <c r="Z1240" i="13"/>
  <c r="Z149" i="13"/>
  <c r="Z637" i="13"/>
  <c r="Z2078" i="13"/>
  <c r="Z2380" i="13"/>
  <c r="Z1647" i="13"/>
  <c r="Z2554" i="13"/>
  <c r="Z2908" i="13"/>
  <c r="Z232" i="13"/>
  <c r="Z2528" i="13"/>
  <c r="Z2327" i="13"/>
  <c r="Z1266" i="13"/>
  <c r="Z3335" i="13"/>
  <c r="Z688" i="13"/>
  <c r="Z2020" i="13"/>
  <c r="Z3031" i="13"/>
  <c r="Z183" i="13"/>
  <c r="Z2245" i="13"/>
  <c r="Z1277" i="13"/>
  <c r="Z3067" i="13"/>
  <c r="Z486" i="13"/>
  <c r="Z549" i="13"/>
  <c r="Z1593" i="13"/>
  <c r="Z3345" i="13"/>
  <c r="Z109" i="13"/>
  <c r="Z2820" i="13"/>
  <c r="Z3267" i="13"/>
  <c r="Z2128" i="13"/>
  <c r="Z1718" i="13"/>
  <c r="Z2407" i="13"/>
  <c r="Z2358" i="13"/>
  <c r="Z791" i="13"/>
  <c r="Z1554" i="13"/>
  <c r="Z191" i="13"/>
  <c r="Z2944" i="13"/>
  <c r="Z572" i="13"/>
  <c r="Z2743" i="13"/>
  <c r="Z319" i="13"/>
  <c r="Z2799" i="13"/>
  <c r="Z986" i="13"/>
  <c r="Z64" i="13"/>
  <c r="Z759" i="13"/>
  <c r="Z679" i="13"/>
  <c r="Z2249" i="13"/>
  <c r="Z1786" i="13"/>
  <c r="Z2611" i="13"/>
  <c r="Z2851" i="13"/>
  <c r="Z2396" i="13"/>
  <c r="Z2038" i="13"/>
  <c r="Z2289" i="13"/>
  <c r="Z3374" i="13"/>
  <c r="Z2171" i="13"/>
  <c r="Z924" i="13"/>
  <c r="Z1100" i="13"/>
  <c r="Z230" i="13"/>
  <c r="Z2880" i="13"/>
  <c r="Z231" i="13"/>
  <c r="Z774" i="13"/>
  <c r="Z1739" i="13"/>
  <c r="Z35" i="13"/>
  <c r="Z778" i="13"/>
  <c r="Z3097" i="13"/>
  <c r="Z1867" i="13"/>
  <c r="Z987" i="13"/>
  <c r="Z1190" i="13"/>
  <c r="Z2575" i="13"/>
  <c r="Z1666" i="13"/>
  <c r="Z2244" i="13"/>
  <c r="Z3331" i="13"/>
  <c r="Z2629" i="13"/>
  <c r="Z1808" i="13"/>
  <c r="Z3375" i="13"/>
  <c r="Z3403" i="13"/>
  <c r="Z2489" i="13"/>
  <c r="Z1656" i="13"/>
  <c r="Z1091" i="13"/>
  <c r="Z3492" i="13"/>
  <c r="Z1271" i="13"/>
  <c r="Z848" i="13"/>
  <c r="Z373" i="13"/>
  <c r="Z3418" i="13"/>
  <c r="Z2490" i="13"/>
  <c r="Z77" i="13"/>
  <c r="Z2942" i="13"/>
  <c r="Z1519" i="13"/>
  <c r="Z2259" i="13"/>
  <c r="Z2869" i="13"/>
  <c r="Z1244" i="13"/>
  <c r="Z566" i="13"/>
  <c r="Z3234" i="13"/>
  <c r="Z2568" i="13"/>
  <c r="Z2672" i="13"/>
  <c r="Z2721" i="13"/>
  <c r="Z1421" i="13"/>
  <c r="Z838" i="13"/>
  <c r="Z2248" i="13"/>
  <c r="Z1262" i="13"/>
  <c r="Z1390" i="13"/>
  <c r="Z2177" i="13"/>
  <c r="Z534" i="13"/>
  <c r="Z2806" i="13"/>
  <c r="Z1994" i="13"/>
  <c r="Z1602" i="13"/>
  <c r="Z1279" i="13"/>
  <c r="Z19" i="13"/>
  <c r="Z3373" i="13"/>
  <c r="Z2954" i="13"/>
  <c r="Z3077" i="13"/>
  <c r="Z157" i="13"/>
  <c r="Z1375" i="13"/>
  <c r="Z766" i="13"/>
  <c r="Z1111" i="13"/>
  <c r="Z2549" i="13"/>
  <c r="Z674" i="13"/>
  <c r="Z2969" i="13"/>
  <c r="Z2456" i="13"/>
  <c r="Z1237" i="13"/>
  <c r="Z3257" i="13"/>
  <c r="Z2470" i="13"/>
  <c r="Z3410" i="13"/>
  <c r="Z2885" i="13"/>
  <c r="Z723" i="13"/>
  <c r="Z186" i="13"/>
  <c r="Z3035" i="13"/>
  <c r="Z1448" i="13"/>
  <c r="Z3378" i="13"/>
  <c r="Z1945" i="13"/>
  <c r="Z1185" i="13"/>
  <c r="Z2744" i="13"/>
  <c r="Z2015" i="13"/>
  <c r="Z1766" i="13"/>
  <c r="Z2176" i="13"/>
  <c r="Z922" i="13"/>
  <c r="Z88" i="13"/>
  <c r="Z1966" i="13"/>
  <c r="Z1281" i="13"/>
  <c r="Z1525" i="13"/>
  <c r="Z3339" i="13"/>
  <c r="Z3445" i="13"/>
  <c r="Z1080" i="13"/>
  <c r="Z1943" i="13"/>
  <c r="Z2288" i="13"/>
  <c r="Z1960" i="13"/>
  <c r="Z70" i="13"/>
  <c r="Z3108" i="13"/>
  <c r="Z2115" i="13"/>
  <c r="Z358" i="13"/>
  <c r="Z3200" i="13"/>
  <c r="Z136" i="13"/>
  <c r="Z3232" i="13"/>
  <c r="Z1012" i="13"/>
  <c r="Z1823" i="13"/>
  <c r="Z3377" i="13"/>
  <c r="Z3476" i="13"/>
  <c r="Z889" i="13"/>
  <c r="Z2943" i="13"/>
  <c r="Z1669" i="13"/>
  <c r="Z681" i="13"/>
  <c r="Z620" i="13"/>
  <c r="Z1422" i="13"/>
  <c r="Z3304" i="13"/>
  <c r="Z2106" i="13"/>
  <c r="Z345" i="13"/>
  <c r="Z1540" i="13"/>
  <c r="Z568" i="13"/>
  <c r="Z945" i="13"/>
  <c r="Z21" i="13"/>
  <c r="Z2925" i="13"/>
  <c r="Z2025" i="13"/>
  <c r="Z1373" i="13"/>
  <c r="Z1297" i="13"/>
  <c r="Z638" i="13"/>
  <c r="Z49" i="13"/>
  <c r="Z1522" i="13"/>
  <c r="Z1110" i="13"/>
  <c r="Z2769" i="13"/>
  <c r="Z3401" i="13"/>
  <c r="Z2228" i="13"/>
  <c r="Z2684" i="13"/>
  <c r="Z204" i="13"/>
  <c r="Z425" i="13"/>
  <c r="Z3365" i="13"/>
  <c r="Z2175" i="13"/>
  <c r="Z2637" i="13"/>
  <c r="Z1667" i="13"/>
  <c r="Z210" i="13"/>
  <c r="Z805" i="13"/>
  <c r="Z1521" i="13"/>
  <c r="Z246" i="13"/>
  <c r="Z1632" i="13"/>
  <c r="Z211" i="13"/>
  <c r="Z2105" i="13"/>
  <c r="Z321" i="13"/>
  <c r="Z131" i="13"/>
  <c r="Z1995" i="13"/>
  <c r="Z2813" i="13"/>
  <c r="Z2891" i="13"/>
  <c r="Z1452" i="13"/>
  <c r="Z2500" i="13"/>
  <c r="Z422" i="13"/>
  <c r="Z669" i="13"/>
  <c r="Z2883" i="13"/>
  <c r="Z2937" i="13"/>
  <c r="Z3087" i="13"/>
  <c r="Z320" i="13"/>
  <c r="Z3208" i="13"/>
  <c r="Z2504" i="13"/>
  <c r="Z1973" i="13"/>
  <c r="Z1532" i="13"/>
  <c r="Z2749" i="13"/>
  <c r="Z78" i="13"/>
  <c r="Z2904" i="13"/>
  <c r="Z977" i="13"/>
  <c r="Z173" i="13"/>
  <c r="Z3221" i="13"/>
  <c r="Z885" i="13"/>
  <c r="Z1510" i="13"/>
  <c r="Z1559" i="13"/>
  <c r="Z2817" i="13"/>
  <c r="Z1584" i="13"/>
  <c r="Z575" i="13"/>
  <c r="Z3132" i="13"/>
  <c r="Z294" i="13"/>
  <c r="Z840" i="13"/>
  <c r="Z2949" i="13"/>
  <c r="Z834" i="13"/>
  <c r="Z492" i="13"/>
  <c r="Z3351" i="13"/>
  <c r="Z403" i="13"/>
  <c r="Z865" i="13"/>
  <c r="Z2403" i="13"/>
  <c r="Z660" i="13"/>
  <c r="Z1415" i="13"/>
  <c r="Z3437" i="13"/>
  <c r="Z2092" i="13"/>
  <c r="Z3534" i="13"/>
  <c r="Z3268" i="13"/>
  <c r="Z2545" i="13"/>
  <c r="Z3479" i="13"/>
  <c r="Z1025" i="13"/>
  <c r="Z1520" i="13"/>
  <c r="Z2108" i="13"/>
  <c r="Z3489" i="13"/>
  <c r="Z1819" i="13"/>
  <c r="Z3246" i="13"/>
  <c r="Z1315" i="13"/>
  <c r="Z594" i="13"/>
  <c r="Z3118" i="13"/>
  <c r="Z852" i="13"/>
  <c r="Z548" i="13"/>
  <c r="Z260" i="13"/>
  <c r="Z656" i="13"/>
  <c r="Z1764" i="13"/>
  <c r="Z2465" i="13"/>
  <c r="Z652" i="13"/>
  <c r="Z2753" i="13"/>
  <c r="Z1724" i="13"/>
  <c r="Z645" i="13"/>
  <c r="Z1828" i="13"/>
  <c r="Z2091" i="13"/>
  <c r="Z974" i="13"/>
  <c r="Z1409" i="13"/>
  <c r="Z1485" i="13"/>
  <c r="Z1121" i="13"/>
  <c r="Z2080" i="13"/>
  <c r="Z849" i="13"/>
  <c r="Z2863" i="13"/>
  <c r="Z3053" i="13"/>
  <c r="Z2170" i="13"/>
  <c r="Z1858" i="13"/>
  <c r="Z324" i="13"/>
  <c r="Z2004" i="13"/>
  <c r="Z504" i="13"/>
  <c r="Z3227" i="13"/>
  <c r="Z2057" i="13"/>
  <c r="Z3448" i="13"/>
  <c r="Z483" i="13"/>
  <c r="Z756" i="13"/>
  <c r="Z1184" i="13"/>
  <c r="Z1862" i="13"/>
  <c r="Z2986" i="13"/>
  <c r="Z2425" i="13"/>
  <c r="Z995" i="13"/>
  <c r="Z2960" i="13"/>
  <c r="Z1915" i="13"/>
  <c r="Z556" i="13"/>
  <c r="Z2429" i="13"/>
  <c r="Z1408" i="13"/>
  <c r="Z858" i="13"/>
  <c r="Z2452" i="13"/>
  <c r="Z24" i="13"/>
  <c r="Z3247" i="13"/>
  <c r="Z233" i="13"/>
  <c r="Z2481" i="13"/>
  <c r="Z823" i="13"/>
  <c r="Z3170" i="13"/>
  <c r="Z1447" i="13"/>
  <c r="Z433" i="13"/>
  <c r="Z1813" i="13"/>
  <c r="Z831" i="13"/>
  <c r="Z2903" i="13"/>
  <c r="Z3226" i="13"/>
  <c r="Z1750" i="13"/>
  <c r="Z2556" i="13"/>
  <c r="Z1113" i="13"/>
  <c r="Z2916" i="13"/>
  <c r="Z1322" i="13"/>
  <c r="Z1716" i="13"/>
  <c r="Z2415" i="13"/>
  <c r="Z2133" i="13"/>
  <c r="Z316" i="13"/>
  <c r="Z2471" i="13"/>
  <c r="Z1871" i="13"/>
  <c r="Z2389" i="13"/>
  <c r="Z1355" i="13"/>
  <c r="Z3318" i="13"/>
  <c r="Z397" i="13"/>
  <c r="Z1791" i="13"/>
  <c r="Z3459" i="13"/>
  <c r="Z899" i="13"/>
  <c r="Z714" i="13"/>
  <c r="Z2755" i="13"/>
  <c r="Z2464" i="13"/>
  <c r="Z1548" i="13"/>
  <c r="Z2900" i="13"/>
  <c r="Z1313" i="13"/>
  <c r="Z2605" i="13"/>
  <c r="Z1418" i="13"/>
  <c r="Z3287" i="13"/>
  <c r="Z3150" i="13"/>
  <c r="Z3367" i="13"/>
  <c r="Z2009" i="13"/>
  <c r="Z1163" i="13"/>
  <c r="Z3229" i="13"/>
  <c r="Z1947" i="13"/>
  <c r="Z2366" i="13"/>
  <c r="Z177" i="13"/>
  <c r="Z1246" i="13"/>
  <c r="Z2663" i="13"/>
  <c r="Z893" i="13"/>
  <c r="Z76" i="13"/>
  <c r="Z2141" i="13"/>
  <c r="Z1749" i="13"/>
  <c r="Z3302" i="13"/>
  <c r="Z2232" i="13"/>
  <c r="Z3463" i="13"/>
  <c r="Z2331" i="13"/>
  <c r="Z724" i="13"/>
  <c r="Z1574" i="13"/>
  <c r="Z1676" i="13"/>
  <c r="Z2700" i="13"/>
  <c r="Z891" i="13"/>
  <c r="Z2495" i="13"/>
  <c r="Z1581" i="13"/>
  <c r="Z3305" i="13"/>
  <c r="Z287" i="13"/>
  <c r="Z1164" i="13"/>
  <c r="Z2699" i="13"/>
  <c r="Z2636" i="13"/>
  <c r="Z203" i="13"/>
  <c r="Z1035" i="13"/>
  <c r="Z2265" i="13"/>
  <c r="Z3167" i="13"/>
  <c r="Z3055" i="13"/>
  <c r="Z1663" i="13"/>
  <c r="Z2180" i="13"/>
  <c r="Z3248" i="13"/>
  <c r="Z2902" i="13"/>
  <c r="Z2207" i="13"/>
  <c r="Z340" i="13"/>
  <c r="Z285" i="13"/>
  <c r="Z1037" i="13"/>
  <c r="Z1962" i="13"/>
  <c r="Z1257" i="13"/>
  <c r="Z3174" i="13"/>
  <c r="Z3143" i="13"/>
  <c r="Z2197" i="13"/>
  <c r="Z225" i="13"/>
  <c r="Z1428" i="13"/>
  <c r="Z1342" i="13"/>
  <c r="Z439" i="13"/>
  <c r="Z1255" i="13"/>
  <c r="Z3127" i="13"/>
  <c r="Z141" i="13"/>
  <c r="Z2890" i="13"/>
  <c r="Z1796" i="13"/>
  <c r="Z2720" i="13"/>
  <c r="Z270" i="13"/>
  <c r="Z1616" i="13"/>
  <c r="Z436" i="13"/>
  <c r="Z1849" i="13"/>
  <c r="Z869" i="13"/>
  <c r="Z1467" i="13"/>
  <c r="Z1183" i="13"/>
  <c r="Z946" i="13"/>
  <c r="Z68" i="13"/>
  <c r="Z3496" i="13"/>
  <c r="Z1535" i="13"/>
  <c r="Z1310" i="13"/>
  <c r="Z2253" i="13"/>
  <c r="Z2000" i="13"/>
  <c r="Z2805" i="13"/>
  <c r="Z3308" i="13"/>
  <c r="Z2959" i="13"/>
  <c r="Z2876" i="13"/>
  <c r="Z3336" i="13"/>
  <c r="Z717" i="13"/>
  <c r="Z314" i="13"/>
  <c r="Z693" i="13"/>
  <c r="Z431" i="13"/>
  <c r="Z2483" i="13"/>
  <c r="Z729" i="13"/>
  <c r="Z2156" i="13"/>
  <c r="Z3004" i="13"/>
  <c r="Z1289" i="13"/>
  <c r="Z99" i="13"/>
  <c r="Z3034" i="13"/>
  <c r="Z2109" i="13"/>
  <c r="Z2068" i="13"/>
  <c r="Z303" i="13"/>
  <c r="Z2018" i="13"/>
  <c r="Z3066" i="13"/>
  <c r="Z1856" i="13"/>
  <c r="Z364" i="13"/>
  <c r="Z3063" i="13"/>
  <c r="Z1742" i="13"/>
  <c r="Z979" i="13"/>
  <c r="Z1523" i="13"/>
  <c r="Z3387" i="13"/>
  <c r="Z291" i="13"/>
  <c r="Z295" i="13"/>
  <c r="Z797" i="13"/>
  <c r="Z2344" i="13"/>
  <c r="Z1702" i="13"/>
  <c r="Z2543" i="13"/>
  <c r="Z2971" i="13"/>
  <c r="Z2317" i="13"/>
  <c r="Z1560" i="13"/>
  <c r="Z900" i="13"/>
  <c r="Z198" i="13"/>
  <c r="Z3147" i="13"/>
  <c r="Z1055" i="13"/>
  <c r="Z3209" i="13"/>
  <c r="Z274" i="13"/>
  <c r="Z2356" i="13"/>
  <c r="Z1423" i="13"/>
  <c r="Z3370" i="13"/>
  <c r="Z1866" i="13"/>
  <c r="Z2321" i="13"/>
  <c r="Z1711" i="13"/>
  <c r="Z2130" i="13"/>
  <c r="Z1250" i="13"/>
  <c r="Z2342" i="13"/>
  <c r="Z1151" i="13"/>
  <c r="Z3003" i="13"/>
  <c r="Z1084" i="13"/>
  <c r="Z53" i="13"/>
  <c r="Z1603" i="13"/>
  <c r="Z2854" i="13"/>
  <c r="Z3099" i="13"/>
  <c r="Z129" i="13"/>
  <c r="Z189" i="13"/>
  <c r="Z2932" i="13"/>
  <c r="Z1553" i="13"/>
  <c r="Z3179" i="13"/>
  <c r="Z3116" i="13"/>
  <c r="Z863" i="13"/>
  <c r="Z3471" i="13"/>
  <c r="Z2933" i="13"/>
  <c r="Z3465" i="13"/>
  <c r="Z1778" i="13"/>
  <c r="Z50" i="13"/>
  <c r="Z3407" i="13"/>
  <c r="Z1106" i="13"/>
  <c r="Z3065" i="13"/>
  <c r="Z824" i="13"/>
  <c r="Z3043" i="13"/>
  <c r="Z1217" i="13"/>
  <c r="Z884" i="13"/>
  <c r="Z2665" i="13"/>
  <c r="Z2766" i="13"/>
  <c r="Z3276" i="13"/>
  <c r="Z727" i="13"/>
  <c r="Z1650" i="13"/>
  <c r="Z3517" i="13"/>
  <c r="Z82" i="13"/>
  <c r="Z988" i="13"/>
  <c r="Z712" i="13"/>
  <c r="Z2146" i="13"/>
  <c r="Z1707" i="13"/>
  <c r="Z641" i="13"/>
  <c r="Z2861" i="13"/>
  <c r="Z1620" i="13"/>
  <c r="Z1341" i="13"/>
  <c r="Z172" i="13"/>
  <c r="Z3499" i="13"/>
  <c r="Z1534" i="13"/>
  <c r="Z2621" i="13"/>
  <c r="Z2491" i="13"/>
  <c r="Z1140" i="13"/>
  <c r="Z1256" i="13"/>
  <c r="Z2446" i="13"/>
  <c r="Z963" i="13"/>
  <c r="Z3193" i="13"/>
  <c r="Z2166" i="13"/>
  <c r="Z3091" i="13"/>
  <c r="Z1575" i="13"/>
  <c r="Z2841" i="13"/>
  <c r="Z1267" i="13"/>
  <c r="Z1478" i="13"/>
  <c r="Z450" i="13"/>
  <c r="Z2098" i="13"/>
  <c r="Z1431" i="13"/>
  <c r="Z34" i="13"/>
  <c r="Z2451" i="13"/>
  <c r="Z1352" i="13"/>
  <c r="Z1919" i="13"/>
  <c r="Z740" i="13"/>
  <c r="Z2807" i="13"/>
  <c r="Z3529" i="13"/>
  <c r="Z2760" i="13"/>
  <c r="Z529" i="13"/>
  <c r="Z3041" i="13"/>
  <c r="Z1134" i="13"/>
  <c r="Z2151" i="13"/>
  <c r="Z2537" i="13"/>
  <c r="Z1903" i="13"/>
  <c r="Z280" i="13"/>
  <c r="Z456" i="13"/>
  <c r="Z953" i="13"/>
  <c r="Z1673" i="13"/>
  <c r="Z265" i="13"/>
  <c r="Z1601" i="13"/>
  <c r="Z598" i="13"/>
  <c r="Z2964" i="13"/>
  <c r="Z761" i="13"/>
  <c r="Z3535" i="13"/>
  <c r="Z640" i="13"/>
  <c r="Z675" i="13"/>
  <c r="Z47" i="13"/>
  <c r="Z3083" i="13"/>
  <c r="Z2315" i="13"/>
  <c r="Z3194" i="13"/>
  <c r="Z619" i="13"/>
  <c r="Z625" i="13"/>
  <c r="Z580" i="13"/>
  <c r="Z298" i="13"/>
  <c r="Z819" i="13"/>
  <c r="Z2199" i="13"/>
  <c r="Z702" i="13"/>
  <c r="Z850" i="13"/>
  <c r="Z1950" i="13"/>
  <c r="Z1006" i="13"/>
  <c r="Z3337" i="13"/>
  <c r="Z844" i="13"/>
  <c r="Z199" i="13"/>
  <c r="Z738" i="13"/>
  <c r="Z57" i="13"/>
  <c r="Z906" i="13"/>
  <c r="Z1147" i="13"/>
  <c r="Z779" i="13"/>
  <c r="Z2688" i="13"/>
  <c r="Z1797" i="13"/>
  <c r="Z1368" i="13"/>
  <c r="Z2024" i="13"/>
  <c r="Z410" i="13"/>
  <c r="Z2306" i="13"/>
  <c r="Z1806" i="13"/>
  <c r="Z342" i="13"/>
  <c r="Z782" i="13"/>
  <c r="Z26" i="13"/>
  <c r="Z44" i="13"/>
  <c r="Z928" i="13"/>
  <c r="Z855" i="13"/>
  <c r="Z392" i="13"/>
  <c r="Z2266" i="13"/>
  <c r="Z3325" i="13"/>
  <c r="Z711" i="13"/>
  <c r="Z144" i="13"/>
  <c r="Z749" i="13"/>
  <c r="Z2797" i="13"/>
  <c r="Z1346" i="13"/>
  <c r="Z1424" i="13"/>
  <c r="Z623" i="13"/>
  <c r="Z226" i="13"/>
  <c r="Z2889" i="13"/>
  <c r="Z1242" i="13"/>
  <c r="Z1471" i="13"/>
  <c r="Z2679" i="13"/>
  <c r="Z1462" i="13"/>
  <c r="Z505" i="13"/>
  <c r="Z1472" i="13"/>
  <c r="Z159" i="13"/>
  <c r="Z3049" i="13"/>
  <c r="Z1769" i="13"/>
  <c r="Z2870" i="13"/>
  <c r="Z1916" i="13"/>
  <c r="Z2892" i="13"/>
  <c r="Z1840" i="13"/>
  <c r="Z3332" i="13"/>
  <c r="Z2914" i="13"/>
  <c r="Z2273" i="13"/>
  <c r="Z1011" i="13"/>
  <c r="Z490" i="13"/>
  <c r="Z1013" i="13"/>
  <c r="Z894" i="13"/>
  <c r="Z3515" i="13"/>
  <c r="Z829" i="13"/>
  <c r="Z2431" i="13"/>
  <c r="Z3483" i="13"/>
  <c r="Z1989" i="13"/>
  <c r="Z72" i="13"/>
  <c r="Z292" i="13"/>
  <c r="Z2485" i="13"/>
  <c r="Z2824" i="13"/>
  <c r="Z3102" i="13"/>
  <c r="Z631" i="13"/>
  <c r="Z1665" i="13"/>
  <c r="Z2123" i="13"/>
  <c r="Z2129" i="13"/>
  <c r="Z2563" i="13"/>
  <c r="Z1901" i="13"/>
  <c r="Z525" i="13"/>
  <c r="Z2335" i="13"/>
  <c r="Z571" i="13"/>
  <c r="Z1577" i="13"/>
  <c r="Z2474" i="13"/>
  <c r="Z2082" i="13"/>
  <c r="Z3328" i="13"/>
  <c r="Z3371" i="13"/>
  <c r="Z3015" i="13"/>
  <c r="Z1465" i="13"/>
  <c r="Z247" i="13"/>
  <c r="Z2116" i="13"/>
  <c r="Z1232" i="13"/>
  <c r="Z3036" i="13"/>
  <c r="Z817" i="13"/>
  <c r="Z3277" i="13"/>
  <c r="Z2385" i="13"/>
  <c r="Z596" i="13"/>
  <c r="Z2536" i="13"/>
  <c r="Z3022" i="13"/>
  <c r="Z332" i="13"/>
  <c r="Z272" i="13"/>
  <c r="Z2283" i="13"/>
  <c r="Z2413" i="13"/>
  <c r="Z803" i="13"/>
  <c r="Z1446" i="13"/>
  <c r="Z2458" i="13"/>
  <c r="Z543" i="13"/>
  <c r="Z2899" i="13"/>
  <c r="Z1141" i="13"/>
  <c r="Z2297" i="13"/>
  <c r="Z3458" i="13"/>
  <c r="Z1899" i="13"/>
  <c r="Z751" i="13"/>
  <c r="Z757" i="13"/>
  <c r="Z3156" i="13"/>
  <c r="Z2436" i="13"/>
  <c r="Z2924" i="13"/>
  <c r="Z2391" i="13"/>
  <c r="Z2544" i="13"/>
  <c r="Z1239" i="13"/>
  <c r="Z169" i="13"/>
  <c r="Z195" i="13"/>
  <c r="Z552" i="13"/>
  <c r="Z728" i="13"/>
  <c r="Z2044" i="13"/>
  <c r="Z2111" i="13"/>
  <c r="Z2127" i="13"/>
  <c r="Z2887" i="13"/>
  <c r="Z2205" i="13"/>
  <c r="Z224" i="13"/>
  <c r="Z2732" i="13"/>
  <c r="Z1416" i="13"/>
  <c r="Z1859" i="13"/>
  <c r="Z1698" i="13"/>
  <c r="Z2982" i="13"/>
  <c r="Z2577" i="13"/>
  <c r="Z1396" i="13"/>
  <c r="Z2643" i="13"/>
  <c r="Z1108" i="13"/>
  <c r="Z3291" i="13"/>
  <c r="Z2412" i="13"/>
  <c r="Z2463" i="13"/>
  <c r="Z3380" i="13"/>
  <c r="Z1907" i="13"/>
  <c r="Z1536" i="13"/>
  <c r="Z1844" i="13"/>
  <c r="Z3414" i="13"/>
  <c r="Z1234" i="13"/>
  <c r="Z925" i="13"/>
  <c r="Z982" i="13"/>
  <c r="Z1829" i="13"/>
  <c r="Z2280" i="13"/>
  <c r="Z2628" i="13"/>
  <c r="Z101" i="13"/>
  <c r="Z3537" i="13"/>
  <c r="Z2858" i="13"/>
  <c r="Z361" i="13"/>
  <c r="Z3112" i="13"/>
  <c r="Z2387" i="13"/>
  <c r="Z3018" i="13"/>
  <c r="Z856" i="13"/>
  <c r="Z3189" i="13"/>
  <c r="Z323" i="13"/>
  <c r="Z228" i="13"/>
  <c r="Z2210" i="13"/>
  <c r="Z1815" i="13"/>
  <c r="Z1258" i="13"/>
  <c r="Z2021" i="13"/>
  <c r="Z2774" i="13"/>
  <c r="Z2534" i="13"/>
  <c r="Z2215" i="13"/>
  <c r="Z3213" i="13"/>
  <c r="Z1328" i="13"/>
  <c r="Z2368" i="13"/>
  <c r="Z3340" i="13"/>
  <c r="Z1426" i="13"/>
  <c r="Z3275" i="13"/>
  <c r="Z3196" i="13"/>
  <c r="Z2783" i="13"/>
  <c r="Z621" i="13"/>
  <c r="Z2947" i="13"/>
  <c r="Z1657" i="13"/>
  <c r="Z2962" i="13"/>
  <c r="Z2121" i="13"/>
  <c r="Z3076" i="13"/>
  <c r="Z2271" i="13"/>
  <c r="Z1093" i="13"/>
  <c r="Z1758" i="13"/>
  <c r="Z307" i="13"/>
  <c r="Z2423" i="13"/>
  <c r="Z3411" i="13"/>
  <c r="Z2905" i="13"/>
  <c r="Z2314" i="13"/>
  <c r="Z105" i="13"/>
  <c r="Z2422" i="13"/>
  <c r="Z2016" i="13"/>
  <c r="Z1152" i="13"/>
  <c r="Z976" i="13"/>
  <c r="Z1252" i="13"/>
  <c r="Z2202" i="13"/>
  <c r="Z3249" i="13"/>
  <c r="Z1411" i="13"/>
  <c r="Z3103" i="13"/>
  <c r="Z253" i="13"/>
  <c r="Z1249" i="13"/>
  <c r="Z2896" i="13"/>
  <c r="Z1822" i="13"/>
  <c r="Z207" i="13"/>
  <c r="Z882" i="13"/>
  <c r="Z1930" i="13"/>
  <c r="Z509" i="13"/>
  <c r="Z48" i="13"/>
  <c r="Z2985" i="13"/>
  <c r="Z3544" i="13"/>
  <c r="Z2511" i="13"/>
  <c r="Z3474" i="13"/>
  <c r="Z1701" i="13"/>
  <c r="Z1487" i="13"/>
  <c r="Z1652" i="13"/>
  <c r="Z1648" i="13"/>
  <c r="Z2526" i="13"/>
  <c r="Z553" i="13"/>
  <c r="Z2950" i="13"/>
  <c r="Z1009" i="13"/>
  <c r="Z2770" i="13"/>
  <c r="Z1970" i="13"/>
  <c r="Z2646" i="13"/>
  <c r="Z2815" i="13"/>
  <c r="Z2330" i="13"/>
  <c r="Z2424" i="13"/>
  <c r="Z500" i="13"/>
  <c r="Z2715" i="13"/>
  <c r="Z866" i="13"/>
  <c r="Z338" i="13"/>
  <c r="Z795" i="13"/>
  <c r="Z3162" i="13"/>
  <c r="Z1785" i="13"/>
  <c r="Z236" i="13"/>
  <c r="Z1445" i="13"/>
  <c r="Z775" i="13"/>
  <c r="Z3231" i="13"/>
  <c r="Z507" i="13"/>
  <c r="Z2196" i="13"/>
  <c r="Z3146" i="13"/>
  <c r="Z3519" i="13"/>
  <c r="Z3285" i="13"/>
  <c r="Z2816" i="13"/>
  <c r="Z150" i="13"/>
  <c r="Z1207" i="13"/>
  <c r="Z2475" i="13"/>
  <c r="Z1436" i="13"/>
  <c r="Z2340" i="13"/>
  <c r="Z1400" i="13"/>
  <c r="Z1775" i="13"/>
  <c r="Z984" i="13"/>
  <c r="Z914" i="13"/>
  <c r="Z2505" i="13"/>
  <c r="Z686" i="13"/>
  <c r="Z1835" i="13"/>
  <c r="Z2309" i="13"/>
  <c r="Z691" i="13"/>
  <c r="Z3475" i="13"/>
  <c r="Z2532" i="13"/>
  <c r="Z427" i="13"/>
  <c r="Z980" i="13"/>
  <c r="Z223" i="13"/>
  <c r="Z3159" i="13"/>
  <c r="Z2730" i="13"/>
  <c r="Z1936" i="13"/>
  <c r="Z1582" i="13"/>
  <c r="Z1743" i="13"/>
  <c r="Z1782" i="13"/>
  <c r="Z1783" i="13"/>
  <c r="Z2251" i="13"/>
  <c r="Z2350" i="13"/>
  <c r="Z2525" i="13"/>
  <c r="Z3391" i="13"/>
  <c r="Z2478" i="13"/>
  <c r="Z1017" i="13"/>
  <c r="Z1963" i="13"/>
  <c r="Z967" i="13"/>
  <c r="Z399" i="13"/>
  <c r="Z3388" i="13"/>
  <c r="Z730" i="13"/>
  <c r="Z3498" i="13"/>
  <c r="Z457" i="13"/>
  <c r="Z755" i="13"/>
  <c r="Z3347" i="13"/>
  <c r="Z3069" i="13"/>
  <c r="Z2051" i="13"/>
  <c r="Z458" i="13"/>
  <c r="Z3128" i="13"/>
  <c r="Z1846" i="13"/>
  <c r="Z1586" i="13"/>
  <c r="Z2984" i="13"/>
  <c r="Z2434" i="13"/>
  <c r="Z3013" i="13"/>
  <c r="Z3490" i="13"/>
  <c r="Z1965" i="13"/>
  <c r="Z1674" i="13"/>
  <c r="Z682" i="13"/>
  <c r="Z1492" i="13"/>
  <c r="Z3260" i="13"/>
  <c r="Z2165" i="13"/>
  <c r="Z2041" i="13"/>
  <c r="Z3272" i="13"/>
  <c r="Z1531" i="13"/>
  <c r="Z235" i="13"/>
  <c r="Z633" i="13"/>
  <c r="Z3541" i="13"/>
  <c r="Z3384" i="13"/>
  <c r="Z2582" i="13"/>
  <c r="Z1489" i="13"/>
  <c r="Z2479" i="13"/>
  <c r="Z2325" i="13"/>
  <c r="Z3228" i="13"/>
  <c r="Z1169" i="13"/>
  <c r="Z816" i="13"/>
  <c r="Z354" i="13"/>
  <c r="Z2072" i="13"/>
  <c r="Z2373" i="13"/>
  <c r="Z2518" i="13"/>
  <c r="Z86" i="13"/>
  <c r="Z2209" i="13"/>
  <c r="Z715" i="13"/>
  <c r="Z2520" i="13"/>
  <c r="Z1670" i="13"/>
  <c r="Z590" i="13"/>
  <c r="Z2856" i="13"/>
  <c r="Z43" i="13"/>
  <c r="Z417" i="13"/>
  <c r="Z1645" i="13"/>
  <c r="Z2857" i="13"/>
  <c r="Z380" i="13"/>
  <c r="Z587" i="13"/>
  <c r="Z836" i="13"/>
  <c r="Z1309" i="13"/>
  <c r="Z2390" i="13"/>
  <c r="Z3429" i="13"/>
  <c r="Z1272" i="13"/>
  <c r="Z3144" i="13"/>
  <c r="Z3175" i="13"/>
  <c r="Z474" i="13"/>
  <c r="Z2430" i="13"/>
  <c r="Z614" i="13"/>
  <c r="Z1220" i="13"/>
  <c r="Z3218" i="13"/>
  <c r="Z2376" i="13"/>
  <c r="Z2779" i="13"/>
  <c r="Z3038" i="13"/>
  <c r="Z879" i="13"/>
  <c r="Z472" i="13"/>
  <c r="Z2972" i="13"/>
  <c r="Z531" i="13"/>
  <c r="Z2712" i="13"/>
  <c r="Z441" i="13"/>
  <c r="Z1085" i="13"/>
  <c r="Z3057" i="13"/>
  <c r="Z2312" i="13"/>
  <c r="Z1561" i="13"/>
  <c r="Z677" i="13"/>
  <c r="Z110" i="13"/>
  <c r="Z3263" i="13"/>
  <c r="Z1914" i="13"/>
  <c r="Z2662" i="13"/>
  <c r="Z3438" i="13"/>
  <c r="Z526" i="13"/>
  <c r="Z1770" i="13"/>
  <c r="Z1353" i="13"/>
  <c r="Z2542" i="13"/>
  <c r="Z501" i="13"/>
  <c r="Z2023" i="13"/>
  <c r="Z3322" i="13"/>
  <c r="Z3358" i="13"/>
  <c r="Z258" i="13"/>
  <c r="Z1103" i="13"/>
  <c r="Z2399" i="13"/>
  <c r="Z3386" i="13"/>
  <c r="Z160" i="13"/>
  <c r="Z249" i="13"/>
  <c r="Z2673" i="13"/>
  <c r="Z120" i="13"/>
  <c r="Z2740" i="13"/>
  <c r="Z1848" i="13"/>
  <c r="Z2822" i="13"/>
  <c r="Z2884" i="13"/>
  <c r="Z1500" i="13"/>
  <c r="Z1493" i="13"/>
  <c r="Z3504" i="13"/>
  <c r="Z2231" i="13"/>
  <c r="Z447" i="13"/>
  <c r="Z2061" i="13"/>
  <c r="Z3239" i="13"/>
  <c r="Z2145" i="13"/>
  <c r="Z896" i="13"/>
  <c r="Z611" i="13"/>
  <c r="Z861" i="13"/>
  <c r="Z2323" i="13"/>
  <c r="Z1565" i="13"/>
  <c r="Z1138" i="13"/>
  <c r="Z3005" i="13"/>
  <c r="Z2203" i="13"/>
  <c r="Z1173" i="13"/>
  <c r="Z2260" i="13"/>
  <c r="Z156" i="13"/>
  <c r="Z1420" i="13"/>
  <c r="Z3551" i="13"/>
  <c r="Z2409" i="13"/>
  <c r="Z1199" i="13"/>
  <c r="Z2746" i="13"/>
  <c r="Z3080" i="13"/>
  <c r="Z570" i="13"/>
  <c r="Z383" i="13"/>
  <c r="Z54" i="13"/>
  <c r="Z434" i="13"/>
  <c r="Z1506" i="13"/>
  <c r="Z1935" i="13"/>
  <c r="Z3484" i="13"/>
  <c r="Z881" i="13"/>
  <c r="Z3503" i="13"/>
  <c r="Z1451" i="13"/>
  <c r="Z654" i="13"/>
  <c r="Z760" i="13"/>
  <c r="Z3016" i="13"/>
  <c r="Z1377" i="13"/>
  <c r="Z1654" i="13"/>
  <c r="Z1320" i="13"/>
  <c r="Z1299" i="13"/>
  <c r="Z1090" i="13"/>
  <c r="Z1918" i="13"/>
  <c r="Z1679" i="13"/>
  <c r="Z1356" i="13"/>
  <c r="Z1330" i="13"/>
  <c r="Z1334" i="13"/>
  <c r="Z1308" i="13"/>
  <c r="Z3301" i="13"/>
  <c r="Z1142" i="13"/>
  <c r="Z915" i="13"/>
  <c r="Z2140" i="13"/>
  <c r="Z1482" i="13"/>
  <c r="Z2234" i="13"/>
  <c r="Z3310" i="13"/>
  <c r="Z2238" i="13"/>
  <c r="Z3264" i="13"/>
  <c r="Z212" i="13"/>
  <c r="Z1636" i="13"/>
  <c r="Z2085" i="13"/>
  <c r="Z1773" i="13"/>
  <c r="Z2657" i="13"/>
  <c r="Z3532" i="13"/>
  <c r="Z273" i="13"/>
  <c r="Z1170" i="13"/>
  <c r="Z871" i="13"/>
  <c r="Z1615" i="13"/>
  <c r="Z430" i="13"/>
  <c r="Z716" i="13"/>
  <c r="Z138" i="13"/>
  <c r="Z248" i="13"/>
  <c r="Z3290" i="13"/>
  <c r="Z1942" i="13"/>
  <c r="Z3122" i="13"/>
  <c r="Z2994" i="13"/>
  <c r="Z215" i="13"/>
  <c r="Z2758" i="13"/>
  <c r="Z1543" i="13"/>
  <c r="Z3536" i="13"/>
  <c r="Z322" i="13"/>
  <c r="Z257" i="13"/>
  <c r="Z2218" i="13"/>
  <c r="Z1717" i="13"/>
  <c r="Z955" i="13"/>
  <c r="Z3362" i="13"/>
  <c r="Z394" i="13"/>
  <c r="Z3368" i="13"/>
  <c r="Z1761" i="13"/>
  <c r="Z581" i="13"/>
  <c r="Z1371" i="13"/>
  <c r="Z1494" i="13"/>
  <c r="Z868" i="13"/>
  <c r="Z2523" i="13"/>
  <c r="Z1099" i="13"/>
  <c r="Z1691" i="13"/>
  <c r="Z1364" i="13"/>
  <c r="Z89" i="13"/>
  <c r="Z2826" i="13"/>
  <c r="Z2810" i="13"/>
  <c r="Z2189" i="13"/>
  <c r="Z839" i="13"/>
  <c r="Z719" i="13"/>
  <c r="Z1370" i="13"/>
  <c r="Z1496" i="13"/>
  <c r="Z2558" i="13"/>
  <c r="Z414" i="13"/>
  <c r="Z1634" i="13"/>
  <c r="Z3520" i="13"/>
  <c r="Z2386" i="13"/>
  <c r="Z22" i="13"/>
  <c r="Z907" i="13"/>
  <c r="Z597" i="13"/>
  <c r="Z362" i="13"/>
  <c r="Z1515" i="13"/>
  <c r="Z2394" i="13"/>
  <c r="Z1539" i="13"/>
  <c r="Z62" i="13"/>
  <c r="Z2007" i="13"/>
  <c r="Z1838" i="13"/>
  <c r="Z106" i="13"/>
  <c r="Z3096" i="13"/>
  <c r="Z3217" i="13"/>
  <c r="Z29" i="13"/>
  <c r="Z234" i="13"/>
  <c r="Z1165" i="13"/>
  <c r="Z137" i="13"/>
  <c r="Z3177" i="13"/>
  <c r="Z522" i="13"/>
  <c r="Z2353" i="13"/>
  <c r="Z1124" i="13"/>
  <c r="Z929" i="13"/>
  <c r="Z2049" i="13"/>
  <c r="Z3454" i="13"/>
  <c r="Z1018" i="13"/>
  <c r="Z1245" i="13"/>
  <c r="Z2326" i="13"/>
  <c r="Z1338" i="13"/>
  <c r="Z2507" i="13"/>
  <c r="Z1693" i="13"/>
  <c r="Z2445" i="13"/>
  <c r="Z63" i="13"/>
  <c r="Z559" i="13"/>
  <c r="Z2027" i="13"/>
  <c r="Z867" i="13"/>
  <c r="Z165" i="13"/>
  <c r="Z41" i="13"/>
  <c r="Z2862" i="13"/>
  <c r="Z3464" i="13"/>
  <c r="Z585" i="13"/>
  <c r="Z1952" i="13"/>
  <c r="Z2645" i="13"/>
  <c r="Z3450" i="13"/>
  <c r="Z560" i="13"/>
  <c r="Z1988" i="13"/>
  <c r="Z1208" i="13"/>
  <c r="Z835" i="13"/>
  <c r="Z1481" i="13"/>
  <c r="Z3086" i="13"/>
  <c r="Z2564" i="13"/>
  <c r="Z3508" i="13"/>
  <c r="Z1839" i="13"/>
  <c r="Z393" i="13"/>
  <c r="Z569" i="13"/>
  <c r="Z1600" i="13"/>
  <c r="Z1762" i="13"/>
  <c r="Z807" i="13"/>
  <c r="Z336" i="13"/>
  <c r="Z3352" i="13"/>
  <c r="Z3434" i="13"/>
  <c r="Z384" i="13"/>
  <c r="Z3522" i="13"/>
  <c r="Z75" i="13"/>
  <c r="Z2792" i="13"/>
  <c r="Z2660" i="13"/>
  <c r="Z502" i="13"/>
  <c r="Z2871" i="13"/>
  <c r="Z2148" i="13"/>
  <c r="Z544" i="13"/>
  <c r="Z1900" i="13"/>
  <c r="Z1832" i="13"/>
  <c r="Z1682" i="13"/>
  <c r="Z1314" i="13"/>
  <c r="Z3421" i="13"/>
  <c r="Z61" i="13"/>
  <c r="Z2304" i="13"/>
  <c r="Z96" i="13"/>
  <c r="Z1382" i="13"/>
  <c r="Z2346" i="13"/>
  <c r="Z3311" i="13"/>
  <c r="Z2527" i="13"/>
  <c r="Z1818" i="13"/>
  <c r="Z1763" i="13"/>
  <c r="Z1427" i="13"/>
  <c r="Z2460" i="13"/>
  <c r="Z161" i="13"/>
  <c r="Z1476" i="13"/>
  <c r="Z2076" i="13"/>
  <c r="Z1388" i="13"/>
  <c r="Z992" i="13"/>
  <c r="Z2881" i="13"/>
  <c r="Z1771" i="13"/>
  <c r="Z1046" i="13"/>
  <c r="Z2707" i="13"/>
  <c r="Z267" i="13"/>
  <c r="Z579" i="13"/>
  <c r="Z455" i="13"/>
  <c r="Z2501" i="13"/>
  <c r="Z2552" i="13"/>
  <c r="Z36" i="13"/>
  <c r="Z2131" i="13"/>
  <c r="Z1959" i="13"/>
  <c r="Z1443" i="13"/>
  <c r="Z951" i="13"/>
  <c r="Z1365" i="13"/>
  <c r="Z3527" i="13"/>
  <c r="Z58" i="13"/>
  <c r="Z2604" i="13"/>
  <c r="Z2334" i="13"/>
  <c r="Z2716" i="13"/>
  <c r="Z3314" i="13"/>
  <c r="Z1863" i="13"/>
  <c r="Z1380" i="13"/>
  <c r="Z687" i="13"/>
  <c r="Z2114" i="13"/>
  <c r="Z2212" i="13"/>
  <c r="Z1562" i="13"/>
  <c r="Z1787" i="13"/>
  <c r="Z112" i="13"/>
  <c r="Z330" i="13"/>
  <c r="Z1933" i="13"/>
  <c r="Z2923" i="13"/>
  <c r="Z2546" i="13"/>
  <c r="Z2486" i="13"/>
  <c r="Z1628" i="13"/>
  <c r="Z3225" i="13"/>
  <c r="Z1413" i="13"/>
  <c r="Z3420" i="13"/>
  <c r="Z904" i="13"/>
  <c r="Z2794" i="13"/>
  <c r="Z2354" i="13"/>
  <c r="Z1056" i="13"/>
  <c r="Z3406" i="13"/>
  <c r="Z179" i="13"/>
  <c r="Z1398" i="13"/>
  <c r="Z613" i="13"/>
  <c r="Z94" i="13"/>
  <c r="Z1196" i="13"/>
  <c r="Z601" i="13"/>
  <c r="Z2803" i="13"/>
  <c r="Z541" i="13"/>
  <c r="Z2243" i="13"/>
  <c r="Z2639" i="13"/>
  <c r="Z1530" i="13"/>
  <c r="Z2597" i="13"/>
  <c r="Z91" i="13"/>
  <c r="Z1083" i="13"/>
  <c r="Z2392" i="13"/>
  <c r="Z796" i="13"/>
  <c r="Z466" i="13"/>
  <c r="Z2074" i="13"/>
  <c r="Z3315" i="13"/>
  <c r="Z2780" i="13"/>
  <c r="Z2379" i="13"/>
  <c r="Z3478" i="13"/>
  <c r="Z1219" i="13"/>
  <c r="Z2627" i="13"/>
  <c r="Z1203" i="13"/>
  <c r="Z3398" i="13"/>
  <c r="Z1956" i="13"/>
  <c r="Z2401" i="13"/>
  <c r="Z2438" i="13"/>
  <c r="Z2281" i="13"/>
  <c r="Z1651" i="13"/>
  <c r="Z2727" i="13"/>
  <c r="Z1023" i="13"/>
  <c r="Z1503" i="13"/>
  <c r="Z3353" i="13"/>
  <c r="Z1483" i="13"/>
  <c r="Z3538" i="13"/>
  <c r="Z1430" i="13"/>
  <c r="Z465" i="13"/>
  <c r="Z2965" i="13"/>
  <c r="Z1404" i="13"/>
  <c r="Z3052" i="13"/>
  <c r="AA19" i="13" a="1"/>
  <c r="J4" i="13"/>
  <c r="K4" i="13"/>
  <c r="AA2604" i="13" l="1"/>
  <c r="AA406" i="13"/>
  <c r="AA2279" i="13"/>
  <c r="AA1354" i="13"/>
  <c r="AA3443" i="13"/>
  <c r="AA2834" i="13"/>
  <c r="AA2181" i="13"/>
  <c r="AA1808" i="13"/>
  <c r="AA2213" i="13"/>
  <c r="AA409" i="13"/>
  <c r="AA2734" i="13"/>
  <c r="AA2175" i="13"/>
  <c r="AA794" i="13"/>
  <c r="AA1628" i="13"/>
  <c r="AA123" i="13"/>
  <c r="AA833" i="13"/>
  <c r="AA1678" i="13"/>
  <c r="AA2244" i="13"/>
  <c r="AA341" i="13"/>
  <c r="AA3198" i="13"/>
  <c r="AA3331" i="13"/>
  <c r="AA2169" i="13"/>
  <c r="AA3452" i="13"/>
  <c r="AA124" i="13"/>
  <c r="AA3287" i="13"/>
  <c r="AA258" i="13"/>
  <c r="AA53" i="13"/>
  <c r="AA1352" i="13"/>
  <c r="AA450" i="13"/>
  <c r="AA1970" i="13"/>
  <c r="AA1440" i="13"/>
  <c r="AA3365" i="13"/>
  <c r="AA1695" i="13"/>
  <c r="AA103" i="13"/>
  <c r="AA317" i="13"/>
  <c r="AA259" i="13"/>
  <c r="AA2419" i="13"/>
  <c r="AA1355" i="13"/>
  <c r="AA1272" i="13"/>
  <c r="AA1449" i="13"/>
  <c r="AA2116" i="13"/>
  <c r="AA2463" i="13"/>
  <c r="AA3353" i="13"/>
  <c r="AA1465" i="13"/>
  <c r="AA2072" i="13"/>
  <c r="AA2961" i="13"/>
  <c r="AA3256" i="13"/>
  <c r="AA849" i="13"/>
  <c r="AA2295" i="13"/>
  <c r="AA960" i="13"/>
  <c r="AA1040" i="13"/>
  <c r="AA2864" i="13"/>
  <c r="AA3099" i="13"/>
  <c r="AA2069" i="13"/>
  <c r="AA1856" i="13"/>
  <c r="AA1144" i="13"/>
  <c r="AA526" i="13"/>
  <c r="AA3071" i="13"/>
  <c r="AA665" i="13"/>
  <c r="AA2438" i="13"/>
  <c r="AA1902" i="13"/>
  <c r="AA535" i="13"/>
  <c r="AA955" i="13"/>
  <c r="AA1844" i="13"/>
  <c r="AA2506" i="13"/>
  <c r="AA46" i="13"/>
  <c r="AA1412" i="13"/>
  <c r="AA1901" i="13"/>
  <c r="AA2544" i="13"/>
  <c r="AA1420" i="13"/>
  <c r="AA3216" i="13"/>
  <c r="AA2689" i="13"/>
  <c r="AA290" i="13"/>
  <c r="AA2984" i="13"/>
  <c r="AA742" i="13"/>
  <c r="AA2268" i="13"/>
  <c r="AA1407" i="13"/>
  <c r="AA1825" i="13"/>
  <c r="AA576" i="13"/>
  <c r="AA1553" i="13"/>
  <c r="AA2343" i="13"/>
  <c r="AA1703" i="13"/>
  <c r="AA490" i="13"/>
  <c r="AA2724" i="13"/>
  <c r="AA1921" i="13"/>
  <c r="AA1323" i="13"/>
  <c r="AA3123" i="13"/>
  <c r="AA2873" i="13"/>
  <c r="AA2993" i="13"/>
  <c r="AA993" i="13"/>
  <c r="AA1425" i="13"/>
  <c r="AA1830" i="13"/>
  <c r="AA82" i="13"/>
  <c r="AA3508" i="13"/>
  <c r="AA1056" i="13"/>
  <c r="AA2668" i="13"/>
  <c r="AA175" i="13"/>
  <c r="AA2229" i="13"/>
  <c r="AA2237" i="13"/>
  <c r="AA3332" i="13"/>
  <c r="AA2826" i="13"/>
  <c r="AA369" i="13"/>
  <c r="AA728" i="13"/>
  <c r="AA426" i="13"/>
  <c r="AA182" i="13"/>
  <c r="AA624" i="13"/>
  <c r="AA3389" i="13"/>
  <c r="AA3014" i="13"/>
  <c r="AA2711" i="13"/>
  <c r="AA952" i="13"/>
  <c r="AA1041" i="13"/>
  <c r="AA316" i="13"/>
  <c r="AA1226" i="13"/>
  <c r="AA3126" i="13"/>
  <c r="AA3010" i="13"/>
  <c r="AA860" i="13"/>
  <c r="AA2849" i="13"/>
  <c r="AA1869" i="13"/>
  <c r="AA3289" i="13"/>
  <c r="AA2720" i="13"/>
  <c r="AA1951" i="13"/>
  <c r="AA2800" i="13"/>
  <c r="AA2290" i="13"/>
  <c r="AA696" i="13"/>
  <c r="AA683" i="13"/>
  <c r="AA219" i="13"/>
  <c r="AA2159" i="13"/>
  <c r="AA1914" i="13"/>
  <c r="AA1447" i="13"/>
  <c r="AA780" i="13"/>
  <c r="AA3118" i="13"/>
  <c r="AA2490" i="13"/>
  <c r="AA2929" i="13"/>
  <c r="AA2837" i="13"/>
  <c r="AA2243" i="13"/>
  <c r="AA1996" i="13"/>
  <c r="AA598" i="13"/>
  <c r="AA2635" i="13"/>
  <c r="AA1862" i="13"/>
  <c r="AA549" i="13"/>
  <c r="AA3222" i="13"/>
  <c r="AA1593" i="13"/>
  <c r="AA749" i="13"/>
  <c r="AA3435" i="13"/>
  <c r="AA2549" i="13"/>
  <c r="AA2048" i="13"/>
  <c r="AA2905" i="13"/>
  <c r="AA3549" i="13"/>
  <c r="AA2639" i="13"/>
  <c r="AA261" i="13"/>
  <c r="AA138" i="13"/>
  <c r="AA214" i="13"/>
  <c r="AA832" i="13"/>
  <c r="AA1935" i="13"/>
  <c r="AA194" i="13"/>
  <c r="AA3423" i="13"/>
  <c r="AA2351" i="13"/>
  <c r="AA813" i="13"/>
  <c r="AA921" i="13"/>
  <c r="AA306" i="13"/>
  <c r="AA2483" i="13"/>
  <c r="AA1801" i="13"/>
  <c r="AA1482" i="13"/>
  <c r="AA1265" i="13"/>
  <c r="AA3253" i="13"/>
  <c r="AA1674" i="13"/>
  <c r="AA1626" i="13"/>
  <c r="AA2986" i="13"/>
  <c r="AA438" i="13"/>
  <c r="AA2580" i="13"/>
  <c r="AA3479" i="13"/>
  <c r="AA485" i="13"/>
  <c r="AA1187" i="13"/>
  <c r="AA1911" i="13"/>
  <c r="AA587" i="13"/>
  <c r="AA2494" i="13"/>
  <c r="AA192" i="13"/>
  <c r="AA2943" i="13"/>
  <c r="AA3070" i="13"/>
  <c r="AA3147" i="13"/>
  <c r="AA3106" i="13"/>
  <c r="AA83" i="13"/>
  <c r="AA45" i="13"/>
  <c r="AA1097" i="13"/>
  <c r="AA3191" i="13"/>
  <c r="AA1383" i="13"/>
  <c r="AA1940" i="13"/>
  <c r="AA2998" i="13"/>
  <c r="AA837" i="13"/>
  <c r="AA2195" i="13"/>
  <c r="AA847" i="13"/>
  <c r="AA2842" i="13"/>
  <c r="AA3061" i="13"/>
  <c r="AA282" i="13"/>
  <c r="AA2089" i="13"/>
  <c r="AA43" i="13"/>
  <c r="AA663" i="13"/>
  <c r="AA694" i="13"/>
  <c r="AA1173" i="13"/>
  <c r="AA590" i="13"/>
  <c r="AA3102" i="13"/>
  <c r="AA345" i="13"/>
  <c r="AA2539" i="13"/>
  <c r="AA3136" i="13"/>
  <c r="AA1600" i="13"/>
  <c r="AA1276" i="13"/>
  <c r="AA2948" i="13"/>
  <c r="AA1019" i="13"/>
  <c r="AA3494" i="13"/>
  <c r="AA72" i="13"/>
  <c r="AA938" i="13"/>
  <c r="AA1829" i="13"/>
  <c r="AA1189" i="13"/>
  <c r="AA1796" i="13"/>
  <c r="AA1603" i="13"/>
  <c r="AA513" i="13"/>
  <c r="AA1990" i="13"/>
  <c r="AA1242" i="13"/>
  <c r="AA3440" i="13"/>
  <c r="AA1162" i="13"/>
  <c r="AA556" i="13"/>
  <c r="AA2732" i="13"/>
  <c r="AA2758" i="13"/>
  <c r="AA2247" i="13"/>
  <c r="AA1296" i="13"/>
  <c r="AA209" i="13"/>
  <c r="AA276" i="13"/>
  <c r="AA3018" i="13"/>
  <c r="AA3324" i="13"/>
  <c r="AA2825" i="13"/>
  <c r="AA3334" i="13"/>
  <c r="AA2614" i="13"/>
  <c r="AA1370" i="13"/>
  <c r="AA35" i="13"/>
  <c r="AA3214" i="13"/>
  <c r="AA1202" i="13"/>
  <c r="AA1653" i="13"/>
  <c r="AA684" i="13"/>
  <c r="AA2128" i="13"/>
  <c r="AA155" i="13"/>
  <c r="AA3536" i="13"/>
  <c r="AA1305" i="13"/>
  <c r="AA2393" i="13"/>
  <c r="AA1559" i="13"/>
  <c r="AA905" i="13"/>
  <c r="AA599" i="13"/>
  <c r="AA1659" i="13"/>
  <c r="AA2226" i="13"/>
  <c r="AA3278" i="13"/>
  <c r="AA1785" i="13"/>
  <c r="AA625" i="13"/>
  <c r="AA2848" i="13"/>
  <c r="AA652" i="13"/>
  <c r="AA3388" i="13"/>
  <c r="AA94" i="13"/>
  <c r="AA1266" i="13"/>
  <c r="AA2876" i="13"/>
  <c r="AA99" i="13"/>
  <c r="AA1038" i="13"/>
  <c r="AA2276" i="13"/>
  <c r="AA2027" i="13"/>
  <c r="AA1282" i="13"/>
  <c r="AA436" i="13"/>
  <c r="AA2768" i="13"/>
  <c r="AA986" i="13"/>
  <c r="AA3413" i="13"/>
  <c r="AA1944" i="13"/>
  <c r="AA2775" i="13"/>
  <c r="AA1613" i="13"/>
  <c r="AA561" i="13"/>
  <c r="AA109" i="13"/>
  <c r="AA701" i="13"/>
  <c r="AA679" i="13"/>
  <c r="AA2663" i="13"/>
  <c r="AA188" i="13"/>
  <c r="AA662" i="13"/>
  <c r="AA2456" i="13"/>
  <c r="AA1439" i="13"/>
  <c r="AA1669" i="13"/>
  <c r="AA3369" i="13"/>
  <c r="AA580" i="13"/>
  <c r="AA2417" i="13"/>
  <c r="AA2533" i="13"/>
  <c r="AA3113" i="13"/>
  <c r="AA3002" i="13"/>
  <c r="AA1576" i="13"/>
  <c r="AA1987" i="13"/>
  <c r="AA2283" i="13"/>
  <c r="AA1870" i="13"/>
  <c r="AA1850" i="13"/>
  <c r="AA3485" i="13"/>
  <c r="AA929" i="13"/>
  <c r="AA1457" i="13"/>
  <c r="AA1274" i="13"/>
  <c r="AA2845" i="13"/>
  <c r="AA467" i="13"/>
  <c r="AA802" i="13"/>
  <c r="AA1210" i="13"/>
  <c r="AA1762" i="13"/>
  <c r="AA1050" i="13"/>
  <c r="AA3112" i="13"/>
  <c r="AA2622" i="13"/>
  <c r="AA3391" i="13"/>
  <c r="AA1729" i="13"/>
  <c r="AA2703" i="13"/>
  <c r="AA2006" i="13"/>
  <c r="AA2455" i="13"/>
  <c r="AA1920" i="13"/>
  <c r="AA1020" i="13"/>
  <c r="AA578" i="13"/>
  <c r="AA1652" i="13"/>
  <c r="AA2451" i="13"/>
  <c r="AA2003" i="13"/>
  <c r="AA1780" i="13"/>
  <c r="AA925" i="13"/>
  <c r="AA815" i="13"/>
  <c r="AA3276" i="13"/>
  <c r="AA1890" i="13"/>
  <c r="AA862" i="13"/>
  <c r="AA274" i="13"/>
  <c r="AA546" i="13"/>
  <c r="AA3090" i="13"/>
  <c r="AA475" i="13"/>
  <c r="AA340" i="13"/>
  <c r="AA1075" i="13"/>
  <c r="AA2988" i="13"/>
  <c r="AA592" i="13"/>
  <c r="AA2020" i="13"/>
  <c r="AA1748" i="13"/>
  <c r="AA3000" i="13"/>
  <c r="AA401" i="13"/>
  <c r="AA2964" i="13"/>
  <c r="AA32" i="13"/>
  <c r="AA2498" i="13"/>
  <c r="AA3225" i="13"/>
  <c r="AA195" i="13"/>
  <c r="AA3478" i="13"/>
  <c r="AA3139" i="13"/>
  <c r="AA269" i="13"/>
  <c r="AA681" i="13"/>
  <c r="AA1563" i="13"/>
  <c r="AA1181" i="13"/>
  <c r="AA423" i="13"/>
  <c r="AA505" i="13"/>
  <c r="AA2267" i="13"/>
  <c r="AA764" i="13"/>
  <c r="AA3370" i="13"/>
  <c r="AA1525" i="13"/>
  <c r="AA1077" i="13"/>
  <c r="AA2406" i="13"/>
  <c r="AA2427" i="13"/>
  <c r="AA320" i="13"/>
  <c r="AA361" i="13"/>
  <c r="AA2426" i="13"/>
  <c r="AA79" i="13"/>
  <c r="AA807" i="13"/>
  <c r="AA1913" i="13"/>
  <c r="AA1738" i="13"/>
  <c r="AA2440" i="13"/>
  <c r="AA836" i="13"/>
  <c r="AA1424" i="13"/>
  <c r="AA2386" i="13"/>
  <c r="AA2391" i="13"/>
  <c r="AA2479" i="13"/>
  <c r="AA2847" i="13"/>
  <c r="AA984" i="13"/>
  <c r="AA714" i="13"/>
  <c r="AA2157" i="13"/>
  <c r="AA2236" i="13"/>
  <c r="AA2973" i="13"/>
  <c r="AA200" i="13"/>
  <c r="AA2410" i="13"/>
  <c r="AA3472" i="13"/>
  <c r="AA2110" i="13"/>
  <c r="AA2180" i="13"/>
  <c r="AA1995" i="13"/>
  <c r="AA2578" i="13"/>
  <c r="AA1770" i="13"/>
  <c r="AA1149" i="13"/>
  <c r="AA980" i="13"/>
  <c r="AA2249" i="13"/>
  <c r="AA365" i="13"/>
  <c r="AA3134" i="13"/>
  <c r="AA1130" i="13"/>
  <c r="AA1547" i="13"/>
  <c r="AA2726" i="13"/>
  <c r="AA240" i="13"/>
  <c r="AA2667" i="13"/>
  <c r="AA1233" i="13"/>
  <c r="AA3454" i="13"/>
  <c r="AA1665" i="13"/>
  <c r="AA943" i="13"/>
  <c r="AA2174" i="13"/>
  <c r="AA2480" i="13"/>
  <c r="AA2130" i="13"/>
  <c r="AA1090" i="13"/>
  <c r="AA3540" i="13"/>
  <c r="AA997" i="13"/>
  <c r="AA654" i="13"/>
  <c r="AA2807" i="13"/>
  <c r="AA2997" i="13"/>
  <c r="AA2952" i="13"/>
  <c r="AA2717" i="13"/>
  <c r="AA2671" i="13"/>
  <c r="AA2625" i="13"/>
  <c r="AA3428" i="13"/>
  <c r="AA525" i="13"/>
  <c r="AA3186" i="13"/>
  <c r="AA1309" i="13"/>
  <c r="AA375" i="13"/>
  <c r="AA1123" i="13"/>
  <c r="AA3025" i="13"/>
  <c r="AA2380" i="13"/>
  <c r="AA1229" i="13"/>
  <c r="AA2912" i="13"/>
  <c r="AA711" i="13"/>
  <c r="AA861" i="13"/>
  <c r="AA1734" i="13"/>
  <c r="AA1536" i="13"/>
  <c r="AA2919" i="13"/>
  <c r="AA3541" i="13"/>
  <c r="AA1965" i="13"/>
  <c r="AA944" i="13"/>
  <c r="AA3358" i="13"/>
  <c r="AA3244" i="13"/>
  <c r="AA2514" i="13"/>
  <c r="AA2340" i="13"/>
  <c r="AA3371" i="13"/>
  <c r="AA992" i="13"/>
  <c r="AA1000" i="13"/>
  <c r="AA2721" i="13"/>
  <c r="AA2999" i="13"/>
  <c r="AA892" i="13"/>
  <c r="AA2841" i="13"/>
  <c r="AA3286" i="13"/>
  <c r="AA2661" i="13"/>
  <c r="AA1450" i="13"/>
  <c r="AA2930" i="13"/>
  <c r="AA657" i="13"/>
  <c r="AA671" i="13"/>
  <c r="AA1140" i="13"/>
  <c r="AA294" i="13"/>
  <c r="AA1054" i="13"/>
  <c r="AA391" i="13"/>
  <c r="AA874" i="13"/>
  <c r="AA2896" i="13"/>
  <c r="AA328" i="13"/>
  <c r="AA2144" i="13"/>
  <c r="AA3254" i="13"/>
  <c r="AA3107" i="13"/>
  <c r="AA1180" i="13"/>
  <c r="AA2495" i="13"/>
  <c r="AA2634" i="13"/>
  <c r="AA3285" i="13"/>
  <c r="AA562" i="13"/>
  <c r="AA1021" i="13"/>
  <c r="AA3386" i="13"/>
  <c r="AA2035" i="13"/>
  <c r="AA828" i="13"/>
  <c r="AA3043" i="13"/>
  <c r="AA1577" i="13"/>
  <c r="AA1981" i="13"/>
  <c r="AA2590" i="13"/>
  <c r="AA721" i="13"/>
  <c r="AA574" i="13"/>
  <c r="AA1119" i="13"/>
  <c r="AA1568" i="13"/>
  <c r="AA39" i="13"/>
  <c r="AA2084" i="13"/>
  <c r="AA2252" i="13"/>
  <c r="AA1749" i="13"/>
  <c r="AA772" i="13"/>
  <c r="AA1421" i="13"/>
  <c r="AA2151" i="13"/>
  <c r="AA1403" i="13"/>
  <c r="AA279" i="13"/>
  <c r="AA1608" i="13"/>
  <c r="AA1843" i="13"/>
  <c r="AA134" i="13"/>
  <c r="AA332" i="13"/>
  <c r="AA3330" i="13"/>
  <c r="AA649" i="13"/>
  <c r="AA1073" i="13"/>
  <c r="AA3211" i="13"/>
  <c r="AA1569" i="13"/>
  <c r="AA1345" i="13"/>
  <c r="AA595" i="13"/>
  <c r="AA26" i="13"/>
  <c r="AA2867" i="13"/>
  <c r="AA617" i="13"/>
  <c r="AA842" i="13"/>
  <c r="AA255" i="13"/>
  <c r="AA795" i="13"/>
  <c r="AA498" i="13"/>
  <c r="AA1331" i="13"/>
  <c r="AA1190" i="13"/>
  <c r="AA2409" i="13"/>
  <c r="AA2186" i="13"/>
  <c r="AA760" i="13"/>
  <c r="AA2454" i="13"/>
  <c r="AA979" i="13"/>
  <c r="AA2334" i="13"/>
  <c r="AA864" i="13"/>
  <c r="AA1821" i="13"/>
  <c r="AA210" i="13"/>
  <c r="AA1752" i="13"/>
  <c r="AA177" i="13"/>
  <c r="AA2879" i="13"/>
  <c r="AA2715" i="13"/>
  <c r="AA1128" i="13"/>
  <c r="AA1930" i="13"/>
  <c r="AA717" i="13"/>
  <c r="AA596" i="13"/>
  <c r="AA1481" i="13"/>
  <c r="AA1032" i="13"/>
  <c r="AA2853" i="13"/>
  <c r="AA2678" i="13"/>
  <c r="AA660" i="13"/>
  <c r="AA967" i="13"/>
  <c r="AA740" i="13"/>
  <c r="AA1437" i="13"/>
  <c r="AA805" i="13"/>
  <c r="AA2747" i="13"/>
  <c r="AA2492" i="13"/>
  <c r="AA3381" i="13"/>
  <c r="AA1875" i="13"/>
  <c r="AA1515" i="13"/>
  <c r="AA244" i="13"/>
  <c r="AA2936" i="13"/>
  <c r="AA1982" i="13"/>
  <c r="AA2155" i="13"/>
  <c r="AA3130" i="13"/>
  <c r="AA433" i="13"/>
  <c r="AA1716" i="13"/>
  <c r="AA3360" i="13"/>
  <c r="AA2439" i="13"/>
  <c r="AA1158" i="13"/>
  <c r="AA539" i="13"/>
  <c r="AA2656" i="13"/>
  <c r="AA2063" i="13"/>
  <c r="AA3395" i="13"/>
  <c r="AA3527" i="13"/>
  <c r="AA2435" i="13"/>
  <c r="AA2277" i="13"/>
  <c r="AA136" i="13"/>
  <c r="AA1731" i="13"/>
  <c r="AA2196" i="13"/>
  <c r="AA3051" i="13"/>
  <c r="AA315" i="13"/>
  <c r="AA3192" i="13"/>
  <c r="AA2330" i="13"/>
  <c r="AA142" i="13"/>
  <c r="AA145" i="13"/>
  <c r="AA3455" i="13"/>
  <c r="AA1358" i="13"/>
  <c r="AA1634" i="13"/>
  <c r="AA483" i="13"/>
  <c r="AA2790" i="13"/>
  <c r="AA2416" i="13"/>
  <c r="AA2839" i="13"/>
  <c r="AA488" i="13"/>
  <c r="AA1219" i="13"/>
  <c r="AA1310" i="13"/>
  <c r="AA1442" i="13"/>
  <c r="AA1572" i="13"/>
  <c r="AA1759" i="13"/>
  <c r="AA947" i="13"/>
  <c r="AA311" i="13"/>
  <c r="AA3166" i="13"/>
  <c r="AA3451" i="13"/>
  <c r="AA2339" i="13"/>
  <c r="AA3326" i="13"/>
  <c r="AA474" i="13"/>
  <c r="AA114" i="13"/>
  <c r="AA2384" i="13"/>
  <c r="AA446" i="13"/>
  <c r="AA36" i="13"/>
  <c r="AA2165" i="13"/>
  <c r="AA1809" i="13"/>
  <c r="AA473" i="13"/>
  <c r="AA759" i="13"/>
  <c r="AA2074" i="13"/>
  <c r="AA441" i="13"/>
  <c r="AA3269" i="13"/>
  <c r="AA3374" i="13"/>
  <c r="AA425" i="13"/>
  <c r="AA2034" i="13"/>
  <c r="AA1538" i="13"/>
  <c r="AA597" i="13"/>
  <c r="AA417" i="13"/>
  <c r="AA2586" i="13"/>
  <c r="AA2792" i="13"/>
  <c r="AA419" i="13"/>
  <c r="AA3272" i="13"/>
  <c r="AA1949" i="13"/>
  <c r="AA2187" i="13"/>
  <c r="AA3295" i="13"/>
  <c r="AA851" i="13"/>
  <c r="AA2509" i="13"/>
  <c r="AA989" i="13"/>
  <c r="AA2531" i="13"/>
  <c r="AA3309" i="13"/>
  <c r="AA3100" i="13"/>
  <c r="AA1718" i="13"/>
  <c r="AA197" i="13"/>
  <c r="AA926" i="13"/>
  <c r="AA1017" i="13"/>
  <c r="AA408" i="13"/>
  <c r="AA2123" i="13"/>
  <c r="AA680" i="13"/>
  <c r="AA1462" i="13"/>
  <c r="AA1102" i="13"/>
  <c r="AA2014" i="13"/>
  <c r="AA1454" i="13"/>
  <c r="AA2918" i="13"/>
  <c r="AA1283" i="13"/>
  <c r="AA1810" i="13"/>
  <c r="AA3212" i="13"/>
  <c r="AA667" i="13"/>
  <c r="AA2666" i="13"/>
  <c r="AA49" i="13"/>
  <c r="AA364" i="13"/>
  <c r="AA460" i="13"/>
  <c r="AA2073" i="13"/>
  <c r="AA2348" i="13"/>
  <c r="AA1053" i="13"/>
  <c r="AA1410" i="13"/>
  <c r="AA380" i="13"/>
  <c r="AA2921" i="13"/>
  <c r="AA3491" i="13"/>
  <c r="AA495" i="13"/>
  <c r="AA480" i="13"/>
  <c r="AA1811" i="13"/>
  <c r="AA2216" i="13"/>
  <c r="AA2908" i="13"/>
  <c r="AA1193" i="13"/>
  <c r="AA2627" i="13"/>
  <c r="AA356" i="13"/>
  <c r="AA2001" i="13"/>
  <c r="AA3164" i="13"/>
  <c r="AA1742" i="13"/>
  <c r="AA870" i="13"/>
  <c r="AA2183" i="13"/>
  <c r="AA2231" i="13"/>
  <c r="AA1198" i="13"/>
  <c r="AA631" i="13"/>
  <c r="AA377" i="13"/>
  <c r="AA1127" i="13"/>
  <c r="AA1719" i="13"/>
  <c r="AA1114" i="13"/>
  <c r="AA796" i="13"/>
  <c r="AA1621" i="13"/>
  <c r="AA1524" i="13"/>
  <c r="AA2871" i="13"/>
  <c r="AA2820" i="13"/>
  <c r="AA1177" i="13"/>
  <c r="AA3471" i="13"/>
  <c r="AA3228" i="13"/>
  <c r="AA2577" i="13"/>
  <c r="AA1121" i="13"/>
  <c r="AA1244" i="13"/>
  <c r="AA392" i="13"/>
  <c r="AA1787" i="13"/>
  <c r="AA1243" i="13"/>
  <c r="AA30" i="13"/>
  <c r="AA2731" i="13"/>
  <c r="AA449" i="13"/>
  <c r="AA2062" i="13"/>
  <c r="AA3027" i="13"/>
  <c r="AA1169" i="13"/>
  <c r="AA2376" i="13"/>
  <c r="AA575" i="13"/>
  <c r="AA3001" i="13"/>
  <c r="AA937" i="13"/>
  <c r="AA291" i="13"/>
  <c r="AA1469" i="13"/>
  <c r="AA232" i="13"/>
  <c r="AA2211" i="13"/>
  <c r="AA2294" i="13"/>
  <c r="AA2139" i="13"/>
  <c r="AA1427" i="13"/>
  <c r="AA1223" i="13"/>
  <c r="AA2047" i="13"/>
  <c r="AA1877" i="13"/>
  <c r="AA2209" i="13"/>
  <c r="AA479" i="13"/>
  <c r="AA2474" i="13"/>
  <c r="AA2178" i="13"/>
  <c r="AA1064" i="13"/>
  <c r="AA1747" i="13"/>
  <c r="AA2835" i="13"/>
  <c r="AA1084" i="13"/>
  <c r="AA897" i="13"/>
  <c r="AA615" i="13"/>
  <c r="AA1168" i="13"/>
  <c r="AA2546" i="13"/>
  <c r="AA1045" i="13"/>
  <c r="AA646" i="13"/>
  <c r="AA3430" i="13"/>
  <c r="AA2239" i="13"/>
  <c r="AA1639" i="13"/>
  <c r="AA1592" i="13"/>
  <c r="AA3524" i="13"/>
  <c r="AA2638" i="13"/>
  <c r="AA3502" i="13"/>
  <c r="AA831" i="13"/>
  <c r="AA889" i="13"/>
  <c r="AA3273" i="13"/>
  <c r="AA606" i="13"/>
  <c r="AA1351" i="13"/>
  <c r="AA3458" i="13"/>
  <c r="AA1070" i="13"/>
  <c r="AA856" i="13"/>
  <c r="AA2140" i="13"/>
  <c r="AA3420" i="13"/>
  <c r="AA2083" i="13"/>
  <c r="AA1186" i="13"/>
  <c r="AA2567" i="13"/>
  <c r="AA3288" i="13"/>
  <c r="AA1154" i="13"/>
  <c r="AA2496" i="13"/>
  <c r="AA3551" i="13"/>
  <c r="AA3426" i="13"/>
  <c r="AA2706" i="13"/>
  <c r="AA3319" i="13"/>
  <c r="AA1582" i="13"/>
  <c r="AA1414" i="13"/>
  <c r="AA961" i="13"/>
  <c r="AA2470" i="13"/>
  <c r="AA2563" i="13"/>
  <c r="AA338" i="13"/>
  <c r="AA901" i="13"/>
  <c r="AA1012" i="13"/>
  <c r="AA593" i="13"/>
  <c r="AA2613" i="13"/>
  <c r="AA190" i="13"/>
  <c r="AA3049" i="13"/>
  <c r="AA1720" i="13"/>
  <c r="AA1655" i="13"/>
  <c r="AA3552" i="13"/>
  <c r="AA2660" i="13"/>
  <c r="AA2219" i="13"/>
  <c r="AA1615" i="13"/>
  <c r="AA2525" i="13"/>
  <c r="AA872" i="13"/>
  <c r="AA792" i="13"/>
  <c r="AA1466" i="13"/>
  <c r="AA2547" i="13"/>
  <c r="AA970" i="13"/>
  <c r="AA2170" i="13"/>
  <c r="AA144" i="13"/>
  <c r="AA1295" i="13"/>
  <c r="AA814" i="13"/>
  <c r="AA2399" i="13"/>
  <c r="AA2771" i="13"/>
  <c r="AA3219" i="13"/>
  <c r="AA2240" i="13"/>
  <c r="AA2338" i="13"/>
  <c r="AA3537" i="13"/>
  <c r="AA2633" i="13"/>
  <c r="AA1051" i="13"/>
  <c r="AA1495" i="13"/>
  <c r="AA2202" i="13"/>
  <c r="AA1853" i="13"/>
  <c r="AA3038" i="13"/>
  <c r="AA2960" i="13"/>
  <c r="AA2079" i="13"/>
  <c r="AA2696" i="13"/>
  <c r="AA2714" i="13"/>
  <c r="AA110" i="13"/>
  <c r="AA2913" i="13"/>
  <c r="AA1148" i="13"/>
  <c r="AA2418" i="13"/>
  <c r="AA2844" i="13"/>
  <c r="AA2536" i="13"/>
  <c r="AA3475" i="13"/>
  <c r="AA2950" i="13"/>
  <c r="AA1611" i="13"/>
  <c r="AA1396" i="13"/>
  <c r="AA1279" i="13"/>
  <c r="AA2443" i="13"/>
  <c r="AA2782" i="13"/>
  <c r="AA1926" i="13"/>
  <c r="AA2745" i="13"/>
  <c r="AA1033" i="13"/>
  <c r="AA422" i="13"/>
  <c r="AA641" i="13"/>
  <c r="AA434" i="13"/>
  <c r="AA1366" i="13"/>
  <c r="AA700" i="13"/>
  <c r="AA2442" i="13"/>
  <c r="AA3041" i="13"/>
  <c r="AA3377" i="13"/>
  <c r="AA3526" i="13"/>
  <c r="AA2776" i="13"/>
  <c r="AA2850" i="13"/>
  <c r="AA2321" i="13"/>
  <c r="AA2956" i="13"/>
  <c r="AA254" i="13"/>
  <c r="AA1174" i="13"/>
  <c r="AA1509" i="13"/>
  <c r="AA1864" i="13"/>
  <c r="AA2507" i="13"/>
  <c r="AA2874" i="13"/>
  <c r="AA1006" i="13"/>
  <c r="AA3546" i="13"/>
  <c r="AA2350" i="13"/>
  <c r="AA3418" i="13"/>
  <c r="AA164" i="13"/>
  <c r="AA3189" i="13"/>
  <c r="AA2468" i="13"/>
  <c r="AA2606" i="13"/>
  <c r="AA1150" i="13"/>
  <c r="AA1344" i="13"/>
  <c r="AA1200" i="13"/>
  <c r="AA100" i="13"/>
  <c r="AA3312" i="13"/>
  <c r="AA769" i="13"/>
  <c r="AA288" i="13"/>
  <c r="AA3351" i="13"/>
  <c r="AA917" i="13"/>
  <c r="AA1618" i="13"/>
  <c r="AA1907" i="13"/>
  <c r="AA2672" i="13"/>
  <c r="AA445" i="13"/>
  <c r="AA431" i="13"/>
  <c r="AA940" i="13"/>
  <c r="AA3438" i="13"/>
  <c r="AA2561" i="13"/>
  <c r="AA1299" i="13"/>
  <c r="AA491" i="13"/>
  <c r="AA1095" i="13"/>
  <c r="AA3165" i="13"/>
  <c r="AA2325" i="13"/>
  <c r="AA1002" i="13"/>
  <c r="AA2540" i="13"/>
  <c r="AA3486" i="13"/>
  <c r="AA939" i="13"/>
  <c r="AA1031" i="13"/>
  <c r="AA1682" i="13"/>
  <c r="AA586" i="13"/>
  <c r="AA809" i="13"/>
  <c r="AA1994" i="13"/>
  <c r="AA3183" i="13"/>
  <c r="AA1492" i="13"/>
  <c r="AA655" i="13"/>
  <c r="AA2115" i="13"/>
  <c r="AA86" i="13"/>
  <c r="AA534" i="13"/>
  <c r="AA1927" i="13"/>
  <c r="AA3180" i="13"/>
  <c r="AA461" i="13"/>
  <c r="AA1836" i="13"/>
  <c r="AA472" i="13"/>
  <c r="AA3343" i="13"/>
  <c r="AA829" i="13"/>
  <c r="AA1062" i="13"/>
  <c r="AA895" i="13"/>
  <c r="AA2967" i="13"/>
  <c r="AA1207" i="13"/>
  <c r="AA3169" i="13"/>
  <c r="AA2238" i="13"/>
  <c r="AA1155" i="13"/>
  <c r="AA827" i="13"/>
  <c r="AA1491" i="13"/>
  <c r="AA793" i="13"/>
  <c r="AA2285" i="13"/>
  <c r="AA1138" i="13"/>
  <c r="AA1349" i="13"/>
  <c r="AA2282" i="13"/>
  <c r="AA563" i="13"/>
  <c r="AA3042" i="13"/>
  <c r="AA2977" i="13"/>
  <c r="AA2898" i="13"/>
  <c r="AA1357" i="13"/>
  <c r="AA57" i="13"/>
  <c r="AA1598" i="13"/>
  <c r="AA2307" i="13"/>
  <c r="AA1194" i="13"/>
  <c r="AA2543" i="13"/>
  <c r="AA468" i="13"/>
  <c r="AA2515" i="13"/>
  <c r="AA2287" i="13"/>
  <c r="AA883" i="13"/>
  <c r="AA2374" i="13"/>
  <c r="AA2619" i="13"/>
  <c r="AA3162" i="13"/>
  <c r="AA313" i="13"/>
  <c r="AA2100" i="13"/>
  <c r="AA2596" i="13"/>
  <c r="AA875" i="13"/>
  <c r="AA3138" i="13"/>
  <c r="AA2105" i="13"/>
  <c r="AA2979" i="13"/>
  <c r="AA1558" i="13"/>
  <c r="AA1625" i="13"/>
  <c r="AA2096" i="13"/>
  <c r="AA2358" i="13"/>
  <c r="AA1013" i="13"/>
  <c r="AA2767" i="13"/>
  <c r="AA3153" i="13"/>
  <c r="AA3341" i="13"/>
  <c r="AA1903" i="13"/>
  <c r="AA3542" i="13"/>
  <c r="AA571" i="13"/>
  <c r="AA1302" i="13"/>
  <c r="AA3048" i="13"/>
  <c r="AA102" i="13"/>
  <c r="AA910" i="13"/>
  <c r="AA2589" i="13"/>
  <c r="AA998" i="13"/>
  <c r="AA896" i="13"/>
  <c r="AA2681" i="13"/>
  <c r="AA2039" i="13"/>
  <c r="AA2049" i="13"/>
  <c r="AA914" i="13"/>
  <c r="AA1409" i="13"/>
  <c r="AA2465" i="13"/>
  <c r="AA2519" i="13"/>
  <c r="AA2160" i="13"/>
  <c r="AA2954" i="13"/>
  <c r="AA157" i="13"/>
  <c r="AA1327" i="13"/>
  <c r="AA2198" i="13"/>
  <c r="AA22" i="13"/>
  <c r="AA991" i="13"/>
  <c r="AA3075" i="13"/>
  <c r="AA2630" i="13"/>
  <c r="AA1791" i="13"/>
  <c r="AA1923" i="13"/>
  <c r="AA1325" i="13"/>
  <c r="AA653" i="13"/>
  <c r="AA916" i="13"/>
  <c r="AA304" i="13"/>
  <c r="AA1767" i="13"/>
  <c r="AA2371" i="13"/>
  <c r="AA2597" i="13"/>
  <c r="AA1925" i="13"/>
  <c r="AA3464" i="13"/>
  <c r="AA747" i="13"/>
  <c r="AA2459" i="13"/>
  <c r="AA2803" i="13"/>
  <c r="AA2709" i="13"/>
  <c r="AA2911" i="13"/>
  <c r="AA3068" i="13"/>
  <c r="AA1585" i="13"/>
  <c r="AA457" i="13"/>
  <c r="AA2232" i="13"/>
  <c r="AA2562" i="13"/>
  <c r="AA2890" i="13"/>
  <c r="AA3308" i="13"/>
  <c r="AA567" i="13"/>
  <c r="AA2353" i="13"/>
  <c r="AA2866" i="13"/>
  <c r="AA1156" i="13"/>
  <c r="AA153" i="13"/>
  <c r="AA511" i="13"/>
  <c r="AA3179" i="13"/>
  <c r="AA1037" i="13"/>
  <c r="AA350" i="13"/>
  <c r="AA2934" i="13"/>
  <c r="AA2365" i="13"/>
  <c r="AA1813" i="13"/>
  <c r="AA2264" i="13"/>
  <c r="AA1361" i="13"/>
  <c r="AA3066" i="13"/>
  <c r="AA3029" i="13"/>
  <c r="AA1235" i="13"/>
  <c r="AA1395" i="13"/>
  <c r="AA3011" i="13"/>
  <c r="AA2504" i="13"/>
  <c r="AA783" i="13"/>
  <c r="AA1819" i="13"/>
  <c r="AA2511" i="13"/>
  <c r="AA2787" i="13"/>
  <c r="AA44" i="13"/>
  <c r="AA1860" i="13"/>
  <c r="AA3427" i="13"/>
  <c r="AA1689" i="13"/>
  <c r="AA1599" i="13"/>
  <c r="AA2054" i="13"/>
  <c r="AA738" i="13"/>
  <c r="AA3017" i="13"/>
  <c r="AA3127" i="13"/>
  <c r="AA676" i="13"/>
  <c r="AA723" i="13"/>
  <c r="AA725" i="13"/>
  <c r="AA610" i="13"/>
  <c r="AA3422" i="13"/>
  <c r="AA2723" i="13"/>
  <c r="AA2558" i="13"/>
  <c r="AA386" i="13"/>
  <c r="AA2007" i="13"/>
  <c r="AA91" i="13"/>
  <c r="AA1312" i="13"/>
  <c r="AA3007" i="13"/>
  <c r="AA1602" i="13"/>
  <c r="AA3247" i="13"/>
  <c r="AA688" i="13"/>
  <c r="AA2361" i="13"/>
  <c r="AA127" i="13"/>
  <c r="AA477" i="13"/>
  <c r="AA3047" i="13"/>
  <c r="AA3495" i="13"/>
  <c r="AA358" i="13"/>
  <c r="AA2016" i="13"/>
  <c r="AA1066" i="13"/>
  <c r="AA858" i="13"/>
  <c r="AA329" i="13"/>
  <c r="AA951" i="13"/>
  <c r="AA1636" i="13"/>
  <c r="AA555" i="13"/>
  <c r="AA2476" i="13"/>
  <c r="AA3318" i="13"/>
  <c r="AA1474" i="13"/>
  <c r="AA1431" i="13"/>
  <c r="AA3405" i="13"/>
  <c r="AA3060" i="13"/>
  <c r="AA2728" i="13"/>
  <c r="AA2505" i="13"/>
  <c r="AA2000" i="13"/>
  <c r="AA2718" i="13"/>
  <c r="AA1216" i="13"/>
  <c r="AA801" i="13"/>
  <c r="AA1867" i="13"/>
  <c r="AA3528" i="13"/>
  <c r="AA1601" i="13"/>
  <c r="AA3410" i="13"/>
  <c r="AA2941" i="13"/>
  <c r="AA413" i="13"/>
  <c r="AA2457" i="13"/>
  <c r="AA850" i="13"/>
  <c r="AA68" i="13"/>
  <c r="AA20" i="13"/>
  <c r="AA1010" i="13"/>
  <c r="AA2989" i="13"/>
  <c r="AA2564" i="13"/>
  <c r="AA205" i="13"/>
  <c r="AA2565" i="13"/>
  <c r="AA3146" i="13"/>
  <c r="AA1694" i="13"/>
  <c r="AA1463" i="13"/>
  <c r="AA3223" i="13"/>
  <c r="AA207" i="13"/>
  <c r="AA868" i="13"/>
  <c r="AA1484" i="13"/>
  <c r="AA734" i="13"/>
  <c r="AA1213" i="13"/>
  <c r="AA2322" i="13"/>
  <c r="AA2673" i="13"/>
  <c r="AA1596" i="13"/>
  <c r="AA323" i="13"/>
  <c r="AA3263" i="13"/>
  <c r="AA469" i="13"/>
  <c r="AA3402" i="13"/>
  <c r="AA1533" i="13"/>
  <c r="AA1249" i="13"/>
  <c r="AA668" i="13"/>
  <c r="AA1306" i="13"/>
  <c r="AA2924" i="13"/>
  <c r="AA822" i="13"/>
  <c r="AA1268" i="13"/>
  <c r="AA1161" i="13"/>
  <c r="AA1666" i="13"/>
  <c r="AA523" i="13"/>
  <c r="AA1579" i="13"/>
  <c r="AA2215" i="13"/>
  <c r="AA3387" i="13"/>
  <c r="AA3275" i="13"/>
  <c r="AA2707" i="13"/>
  <c r="AA722" i="13"/>
  <c r="AA2579" i="13"/>
  <c r="AA173" i="13"/>
  <c r="AA2036" i="13"/>
  <c r="AA1313" i="13"/>
  <c r="AA3260" i="13"/>
  <c r="AA3533" i="13"/>
  <c r="AA2444" i="13"/>
  <c r="AA1959" i="13"/>
  <c r="AA2631" i="13"/>
  <c r="AA1375" i="13"/>
  <c r="AA266" i="13"/>
  <c r="AA2528" i="13"/>
  <c r="AA765" i="13"/>
  <c r="AA405" i="13"/>
  <c r="AA1670" i="13"/>
  <c r="AA3024" i="13"/>
  <c r="AA429" i="13"/>
  <c r="AA2114" i="13"/>
  <c r="AA2018" i="13"/>
  <c r="AA1477" i="13"/>
  <c r="AA3156" i="13"/>
  <c r="AA1291" i="13"/>
  <c r="AA2263" i="13"/>
  <c r="AA3220" i="13"/>
  <c r="AA789" i="13"/>
  <c r="AA3215" i="13"/>
  <c r="AA2319" i="13"/>
  <c r="AA3474" i="13"/>
  <c r="AA2404" i="13"/>
  <c r="AA1590" i="13"/>
  <c r="AA1346" i="13"/>
  <c r="AA337" i="13"/>
  <c r="AA1663" i="13"/>
  <c r="AA1059" i="13"/>
  <c r="AA1371" i="13"/>
  <c r="AA2403" i="13"/>
  <c r="AA2571" i="13"/>
  <c r="AA2207" i="13"/>
  <c r="AA3133" i="13"/>
  <c r="AA3480" i="13"/>
  <c r="AA3434" i="13"/>
  <c r="AA621" i="13"/>
  <c r="AA1837" i="13"/>
  <c r="AA552" i="13"/>
  <c r="AA69" i="13"/>
  <c r="AA718" i="13"/>
  <c r="AA2686" i="13"/>
  <c r="AA2066" i="13"/>
  <c r="AA2126" i="13"/>
  <c r="AA2224" i="13"/>
  <c r="AA2840" i="13"/>
  <c r="AA1887" i="13"/>
  <c r="AA355" i="13"/>
  <c r="AA1508" i="13"/>
  <c r="AA867" i="13"/>
  <c r="AA1324" i="13"/>
  <c r="AA906" i="13"/>
  <c r="AA3476" i="13"/>
  <c r="AA1232" i="13"/>
  <c r="AA396" i="13"/>
  <c r="AA1635" i="13"/>
  <c r="AA272" i="13"/>
  <c r="AA1528" i="13"/>
  <c r="AA2113" i="13"/>
  <c r="AA3116" i="13"/>
  <c r="AA3194" i="13"/>
  <c r="AA1612" i="13"/>
  <c r="AA161" i="13"/>
  <c r="AA2222" i="13"/>
  <c r="AA1322" i="13"/>
  <c r="AA2230" i="13"/>
  <c r="AA3545" i="13"/>
  <c r="AA2147" i="13"/>
  <c r="AA778" i="13"/>
  <c r="AA178" i="13"/>
  <c r="AA2851" i="13"/>
  <c r="AA2462" i="13"/>
  <c r="AA545" i="13"/>
  <c r="AA841" i="13"/>
  <c r="AA1815" i="13"/>
  <c r="AA1609" i="13"/>
  <c r="AA3251" i="13"/>
  <c r="AA3124" i="13"/>
  <c r="AA1328" i="13"/>
  <c r="AA818" i="13"/>
  <c r="AA2523" i="13"/>
  <c r="AA3044" i="13"/>
  <c r="AA1726" i="13"/>
  <c r="AA2090" i="13"/>
  <c r="AA3050" i="13"/>
  <c r="AA2336" i="13"/>
  <c r="AA2173" i="13"/>
  <c r="AA2057" i="13"/>
  <c r="AA2379" i="13"/>
  <c r="AA3093" i="13"/>
  <c r="AA719" i="13"/>
  <c r="AA2761" i="13"/>
  <c r="AA996" i="13"/>
  <c r="AA2091" i="13"/>
  <c r="AA2764" i="13"/>
  <c r="AA1067" i="13"/>
  <c r="AA1874" i="13"/>
  <c r="AA3507" i="13"/>
  <c r="AA1011" i="13"/>
  <c r="AA3493" i="13"/>
  <c r="AA2529" i="13"/>
  <c r="AA404" i="13"/>
  <c r="AA1717" i="13"/>
  <c r="AA1478" i="13"/>
  <c r="AA1561" i="13"/>
  <c r="AA2253" i="13"/>
  <c r="AA2503" i="13"/>
  <c r="AA170" i="13"/>
  <c r="AA2313" i="13"/>
  <c r="AA2920" i="13"/>
  <c r="AA1696" i="13"/>
  <c r="AA893" i="13"/>
  <c r="AA1886" i="13"/>
  <c r="AA2928" i="13"/>
  <c r="AA2738" i="13"/>
  <c r="AA1527" i="13"/>
  <c r="AA3328" i="13"/>
  <c r="AA730" i="13"/>
  <c r="AA1005" i="13"/>
  <c r="AA3315" i="13"/>
  <c r="AA1392" i="13"/>
  <c r="AA2127" i="13"/>
  <c r="AA2878" i="13"/>
  <c r="AA1633" i="13"/>
  <c r="AA1082" i="13"/>
  <c r="AA1298" i="13"/>
  <c r="AA585" i="13"/>
  <c r="AA1760" i="13"/>
  <c r="AA3297" i="13"/>
  <c r="AA2699" i="13"/>
  <c r="AA1972" i="13"/>
  <c r="AA1910" i="13"/>
  <c r="AA1975" i="13"/>
  <c r="AA2359" i="13"/>
  <c r="AA484" i="13"/>
  <c r="AA128" i="13"/>
  <c r="AA2985" i="13"/>
  <c r="AA3477" i="13"/>
  <c r="AA2306" i="13"/>
  <c r="AA3267" i="13"/>
  <c r="AA1159" i="13"/>
  <c r="AA2142" i="13"/>
  <c r="AA156" i="13"/>
  <c r="AA1991" i="13"/>
  <c r="AA2637" i="13"/>
  <c r="AA2904" i="13"/>
  <c r="AA890" i="13"/>
  <c r="AA2642" i="13"/>
  <c r="AA2705" i="13"/>
  <c r="AA3079" i="13"/>
  <c r="AA650" i="13"/>
  <c r="AA63" i="13"/>
  <c r="AA216" i="13"/>
  <c r="AA2015" i="13"/>
  <c r="AA399" i="13"/>
  <c r="AA76" i="13"/>
  <c r="AA1644" i="13"/>
  <c r="AA1895" i="13"/>
  <c r="AA959" i="13"/>
  <c r="AA614" i="13"/>
  <c r="AA1564" i="13"/>
  <c r="AA2046" i="13"/>
  <c r="AA2412" i="13"/>
  <c r="AA1514" i="13"/>
  <c r="AA3224" i="13"/>
  <c r="AA3252" i="13"/>
  <c r="AA2669" i="13"/>
  <c r="AA1120" i="13"/>
  <c r="AA1049" i="13"/>
  <c r="AA1824" i="13"/>
  <c r="AA2537" i="13"/>
  <c r="AA2346" i="13"/>
  <c r="AA2177" i="13"/>
  <c r="AA3317" i="13"/>
  <c r="AA2466" i="13"/>
  <c r="AA1973" i="13"/>
  <c r="AA2469" i="13"/>
  <c r="AA3045" i="13"/>
  <c r="AA3097" i="13"/>
  <c r="AA2387" i="13"/>
  <c r="AA3325" i="13"/>
  <c r="AA1074" i="13"/>
  <c r="AA695" i="13"/>
  <c r="AA2101" i="13"/>
  <c r="AA2060" i="13"/>
  <c r="AA1260" i="13"/>
  <c r="AA3305" i="13"/>
  <c r="AA3157" i="13"/>
  <c r="AA2794" i="13"/>
  <c r="AA1847" i="13"/>
  <c r="AA1851" i="13"/>
  <c r="AA2609" i="13"/>
  <c r="AA804" i="13"/>
  <c r="AA678" i="13"/>
  <c r="AA236" i="13"/>
  <c r="AA3392" i="13"/>
  <c r="AA1978" i="13"/>
  <c r="AA3419" i="13"/>
  <c r="AA3158" i="13"/>
  <c r="AA265" i="13"/>
  <c r="AA430" i="13"/>
  <c r="AA1790" i="13"/>
  <c r="AA2917" i="13"/>
  <c r="AA1660" i="13"/>
  <c r="AA2805" i="13"/>
  <c r="AA1715" i="13"/>
  <c r="AA501" i="13"/>
  <c r="AA1550" i="13"/>
  <c r="AA1089" i="13"/>
  <c r="AA3279" i="13"/>
  <c r="AA1948" i="13"/>
  <c r="AA692" i="13"/>
  <c r="AA1467" i="13"/>
  <c r="AA366" i="13"/>
  <c r="AA2471" i="13"/>
  <c r="AA2602" i="13"/>
  <c r="AA1259" i="13"/>
  <c r="AA2041" i="13"/>
  <c r="AA1931" i="13"/>
  <c r="AA2741" i="13"/>
  <c r="AA982" i="13"/>
  <c r="AA2612" i="13"/>
  <c r="AA1584" i="13"/>
  <c r="AA3111" i="13"/>
  <c r="AA414" i="13"/>
  <c r="AA3087" i="13"/>
  <c r="AA949" i="13"/>
  <c r="AA3144" i="13"/>
  <c r="AA776" i="13"/>
  <c r="AA2785" i="13"/>
  <c r="AA1741" i="13"/>
  <c r="AA2641" i="13"/>
  <c r="AA538" i="13"/>
  <c r="AA907" i="13"/>
  <c r="AA3122" i="13"/>
  <c r="AA1909" i="13"/>
  <c r="AA1143" i="13"/>
  <c r="AA2996" i="13"/>
  <c r="AA435" i="13"/>
  <c r="AA1008" i="13"/>
  <c r="AA1225" i="13"/>
  <c r="AA1828" i="13"/>
  <c r="AA2659" i="13"/>
  <c r="AA2388" i="13"/>
  <c r="AA902" i="13"/>
  <c r="AA612" i="13"/>
  <c r="AA3535" i="13"/>
  <c r="AA3544" i="13"/>
  <c r="AA385" i="13"/>
  <c r="AA1997" i="13"/>
  <c r="AA2708" i="13"/>
  <c r="AA1048" i="13"/>
  <c r="AA581" i="13"/>
  <c r="AA1494" i="13"/>
  <c r="AA2712" i="13"/>
  <c r="AA1933" i="13"/>
  <c r="AA3227" i="13"/>
  <c r="AA516" i="13"/>
  <c r="AA1751" i="13"/>
  <c r="AA1030" i="13"/>
  <c r="AA2888" i="13"/>
  <c r="AA2405" i="13"/>
  <c r="AA1112" i="13"/>
  <c r="AA1922" i="13"/>
  <c r="AA1093" i="13"/>
  <c r="AA3322" i="13"/>
  <c r="AA1746" i="13"/>
  <c r="AA1035" i="13"/>
  <c r="AA2275" i="13"/>
  <c r="AA1432" i="13"/>
  <c r="AA1571" i="13"/>
  <c r="AA673" i="13"/>
  <c r="AA3150" i="13"/>
  <c r="AA2420" i="13"/>
  <c r="AA3280" i="13"/>
  <c r="AA1915" i="13"/>
  <c r="AA150" i="13"/>
  <c r="AA3432" i="13"/>
  <c r="AA3499" i="13"/>
  <c r="AA670" i="13"/>
  <c r="AA3394" i="13"/>
  <c r="AA928" i="13"/>
  <c r="AA3520" i="13"/>
  <c r="AA1905" i="13"/>
  <c r="AA1024" i="13"/>
  <c r="AA2071" i="13"/>
  <c r="AA1873" i="13"/>
  <c r="AA1028" i="13"/>
  <c r="AA1451" i="13"/>
  <c r="AA2651" i="13"/>
  <c r="AA3234" i="13"/>
  <c r="AA1686" i="13"/>
  <c r="AA2402" i="13"/>
  <c r="AA3306" i="13"/>
  <c r="AA3266" i="13"/>
  <c r="AA1146" i="13"/>
  <c r="AA256" i="13"/>
  <c r="AA1337" i="13"/>
  <c r="AA2991" i="13"/>
  <c r="AA2626" i="13"/>
  <c r="AA1658" i="13"/>
  <c r="AA2156" i="13"/>
  <c r="AA1377" i="13"/>
  <c r="AA1692" i="13"/>
  <c r="AA2846" i="13"/>
  <c r="AA2212" i="13"/>
  <c r="AA3236" i="13"/>
  <c r="AA1554" i="13"/>
  <c r="AA608" i="13"/>
  <c r="AA779" i="13"/>
  <c r="AA2814" i="13"/>
  <c r="AA3490" i="13"/>
  <c r="AA2527" i="13"/>
  <c r="AA2938" i="13"/>
  <c r="AA2070" i="13"/>
  <c r="AA882" i="13"/>
  <c r="AA397" i="13"/>
  <c r="AA1586" i="13"/>
  <c r="AA1321" i="13"/>
  <c r="AA605" i="13"/>
  <c r="AA2811" i="13"/>
  <c r="AA3518" i="13"/>
  <c r="AA3446" i="13"/>
  <c r="AA3246" i="13"/>
  <c r="AA1885" i="13"/>
  <c r="AA1039" i="13"/>
  <c r="AA691" i="13"/>
  <c r="AA2887" i="13"/>
  <c r="AA1548" i="13"/>
  <c r="AA2572" i="13"/>
  <c r="AA825" i="13"/>
  <c r="AA3148" i="13"/>
  <c r="AA1446" i="13"/>
  <c r="AA2574" i="13"/>
  <c r="AA67" i="13"/>
  <c r="AA489" i="13"/>
  <c r="AA1513" i="13"/>
  <c r="AA3170" i="13"/>
  <c r="AA131" i="13"/>
  <c r="AA2141" i="13"/>
  <c r="AA129" i="13"/>
  <c r="AA1157" i="13"/>
  <c r="AA881" i="13"/>
  <c r="AA160" i="13"/>
  <c r="AA2862" i="13"/>
  <c r="AA1807" i="13"/>
  <c r="AA720" i="13"/>
  <c r="AA2489" i="13"/>
  <c r="AA528" i="13"/>
  <c r="AA2099" i="13"/>
  <c r="AA2566" i="13"/>
  <c r="AA2592" i="13"/>
  <c r="AA737" i="13"/>
  <c r="AA2796" i="13"/>
  <c r="AA3230" i="13"/>
  <c r="AA3412" i="13"/>
  <c r="AA118" i="13"/>
  <c r="AA87" i="13"/>
  <c r="AA1196" i="13"/>
  <c r="AA569" i="13"/>
  <c r="AA3140" i="13"/>
  <c r="AA3548" i="13"/>
  <c r="AA2372" i="13"/>
  <c r="AA2863" i="13"/>
  <c r="AA2856" i="13"/>
  <c r="AA3239" i="13"/>
  <c r="AA800" i="13"/>
  <c r="AA300" i="13"/>
  <c r="AA238" i="13"/>
  <c r="AA302" i="13"/>
  <c r="AA866" i="13"/>
  <c r="AA1661" i="13"/>
  <c r="AA2360" i="13"/>
  <c r="AA215" i="13"/>
  <c r="AA146" i="13"/>
  <c r="AA3470" i="13"/>
  <c r="AA206" i="13"/>
  <c r="AA2877" i="13"/>
  <c r="AA1681" i="13"/>
  <c r="AA2953" i="13"/>
  <c r="AA3119" i="13"/>
  <c r="AA640" i="13"/>
  <c r="AA3361" i="13"/>
  <c r="AA1597" i="13"/>
  <c r="AA2250" i="13"/>
  <c r="AA1184" i="13"/>
  <c r="AA603" i="13"/>
  <c r="AA228" i="13"/>
  <c r="AA3204" i="13"/>
  <c r="AA2086" i="13"/>
  <c r="AA1215" i="13"/>
  <c r="AA1267" i="13"/>
  <c r="AA3372" i="13"/>
  <c r="AA619" i="13"/>
  <c r="AA2748" i="13"/>
  <c r="AA1993" i="13"/>
  <c r="AA1363" i="13"/>
  <c r="AA2143" i="13"/>
  <c r="AA1542" i="13"/>
  <c r="AA1445" i="13"/>
  <c r="AA1680" i="13"/>
  <c r="AA3059" i="13"/>
  <c r="AA633" i="13"/>
  <c r="AA2005" i="13"/>
  <c r="AA47" i="13"/>
  <c r="AA2424" i="13"/>
  <c r="AA3143" i="13"/>
  <c r="AA2185" i="13"/>
  <c r="AA642" i="13"/>
  <c r="AA2616" i="13"/>
  <c r="AA1185" i="13"/>
  <c r="AA1287" i="13"/>
  <c r="AA3258" i="13"/>
  <c r="AA3338" i="13"/>
  <c r="AA504" i="13"/>
  <c r="AA1036" i="13"/>
  <c r="AA1998" i="13"/>
  <c r="AA310" i="13"/>
  <c r="AA2677" i="13"/>
  <c r="AA1947" i="13"/>
  <c r="AA3078" i="13"/>
  <c r="AA2031" i="13"/>
  <c r="AA1580" i="13"/>
  <c r="AA2124" i="13"/>
  <c r="AA2118" i="13"/>
  <c r="AA1488" i="13"/>
  <c r="AA2806" i="13"/>
  <c r="AA2191" i="13"/>
  <c r="AA1240" i="13"/>
  <c r="AA1373" i="13"/>
  <c r="AA3037" i="13"/>
  <c r="AA420" i="13"/>
  <c r="AA1733" i="13"/>
  <c r="AA1896" i="13"/>
  <c r="AA2861" i="13"/>
  <c r="AA1401" i="13"/>
  <c r="AA3270" i="13"/>
  <c r="AA1099" i="13"/>
  <c r="AA2591" i="13"/>
  <c r="AA493" i="13"/>
  <c r="AA2053" i="13"/>
  <c r="AA2815" i="13"/>
  <c r="AA3367" i="13"/>
  <c r="AA2378" i="13"/>
  <c r="AA1211" i="13"/>
  <c r="AA690" i="13"/>
  <c r="AA3076" i="13"/>
  <c r="AA383" i="13"/>
  <c r="AA666" i="13"/>
  <c r="AA3098" i="13"/>
  <c r="AA3178" i="13"/>
  <c r="AA1303" i="13"/>
  <c r="AA1835" i="13"/>
  <c r="AA2702" i="13"/>
  <c r="AA2976" i="13"/>
  <c r="AA1429" i="13"/>
  <c r="AA1251" i="13"/>
  <c r="AA3382" i="13"/>
  <c r="AA2437" i="13"/>
  <c r="AA2621" i="13"/>
  <c r="AA1236" i="13"/>
  <c r="AA2793" i="13"/>
  <c r="AA3384" i="13"/>
  <c r="AA1390" i="13"/>
  <c r="AA884" i="13"/>
  <c r="AA3240" i="13"/>
  <c r="AA852" i="13"/>
  <c r="AA2624" i="13"/>
  <c r="AA2857" i="13"/>
  <c r="AA1728" i="13"/>
  <c r="AA830" i="13"/>
  <c r="AA60" i="13"/>
  <c r="AA3274" i="13"/>
  <c r="AA1934" i="13"/>
  <c r="AA2441" i="13"/>
  <c r="AA3525" i="13"/>
  <c r="AA1118" i="13"/>
  <c r="AA924" i="13"/>
  <c r="AA1899" i="13"/>
  <c r="AA2599" i="13"/>
  <c r="AA1671" i="13"/>
  <c r="AA787" i="13"/>
  <c r="AA899" i="13"/>
  <c r="AA289" i="13"/>
  <c r="AA226" i="13"/>
  <c r="AA524" i="13"/>
  <c r="AA246" i="13"/>
  <c r="AA1277" i="13"/>
  <c r="AA3523" i="13"/>
  <c r="AA1511" i="13"/>
  <c r="AA1999" i="13"/>
  <c r="AA3074" i="13"/>
  <c r="AA1153" i="13"/>
  <c r="AA3092" i="13"/>
  <c r="AA3385" i="13"/>
  <c r="AA1766" i="13"/>
  <c r="AA437" i="13"/>
  <c r="AA273" i="13"/>
  <c r="AA2598" i="13"/>
  <c r="AA1394" i="13"/>
  <c r="AA1937" i="13"/>
  <c r="AA3355" i="13"/>
  <c r="AA2753" i="13"/>
  <c r="AA3473" i="13"/>
  <c r="AA1301" i="13"/>
  <c r="AA1122" i="13"/>
  <c r="AA1055" i="13"/>
  <c r="AA2131" i="13"/>
  <c r="AA1818" i="13"/>
  <c r="AA644" i="13"/>
  <c r="AA3529" i="13"/>
  <c r="AA953" i="13"/>
  <c r="AA2942" i="13"/>
  <c r="AA2893" i="13"/>
  <c r="AA1163" i="13"/>
  <c r="AA382" i="13"/>
  <c r="AA1271" i="13"/>
  <c r="AA1136" i="13"/>
  <c r="AA988" i="13"/>
  <c r="AA1413" i="13"/>
  <c r="AA1239" i="13"/>
  <c r="AA3091" i="13"/>
  <c r="AA3250" i="13"/>
  <c r="AA80" i="13"/>
  <c r="AA968" i="13"/>
  <c r="AA1574" i="13"/>
  <c r="AA1091" i="13"/>
  <c r="AA713" i="13"/>
  <c r="AA130" i="13"/>
  <c r="AA1946" i="13"/>
  <c r="AA2067" i="13"/>
  <c r="AA798" i="13"/>
  <c r="AA2809" i="13"/>
  <c r="AA2510" i="13"/>
  <c r="AA2434" i="13"/>
  <c r="AA935" i="13"/>
  <c r="AA908" i="13"/>
  <c r="AA1003" i="13"/>
  <c r="AA1335" i="13"/>
  <c r="AA1330" i="13"/>
  <c r="AA2052" i="13"/>
  <c r="AA1490" i="13"/>
  <c r="AA2693" i="13"/>
  <c r="AA978" i="13"/>
  <c r="AA533" i="13"/>
  <c r="AA3089" i="13"/>
  <c r="AA23" i="13"/>
  <c r="AA686" i="13"/>
  <c r="AA233" i="13"/>
  <c r="AA2342" i="13"/>
  <c r="AA2026" i="13"/>
  <c r="AA151" i="13"/>
  <c r="AA1419" i="13"/>
  <c r="AA171" i="13"/>
  <c r="AA1521" i="13"/>
  <c r="AA1129" i="13"/>
  <c r="AA196" i="13"/>
  <c r="AA464" i="13"/>
  <c r="AA2061" i="13"/>
  <c r="AA2838" i="13"/>
  <c r="AA1942" i="13"/>
  <c r="AA3218" i="13"/>
  <c r="AA2400" i="13"/>
  <c r="AA3096" i="13"/>
  <c r="AA2398" i="13"/>
  <c r="AA3487" i="13"/>
  <c r="AA2368" i="13"/>
  <c r="AA2448" i="13"/>
  <c r="AA2023" i="13"/>
  <c r="AA2304" i="13"/>
  <c r="AA648" i="13"/>
  <c r="AA1378" i="13"/>
  <c r="AA139" i="13"/>
  <c r="AA1872" i="13"/>
  <c r="AA1460" i="13"/>
  <c r="AA1166" i="13"/>
  <c r="AA2032" i="13"/>
  <c r="AA2751" i="13"/>
  <c r="AA536" i="13"/>
  <c r="AA3032" i="13"/>
  <c r="AA93" i="13"/>
  <c r="AA1209" i="13"/>
  <c r="AA731" i="13"/>
  <c r="AA2670" i="13"/>
  <c r="AA3547" i="13"/>
  <c r="AA2337" i="13"/>
  <c r="AA21" i="13"/>
  <c r="AA1898" i="13"/>
  <c r="AA1861" i="13"/>
  <c r="AA1588" i="13"/>
  <c r="AA234" i="13"/>
  <c r="AA1928" i="13"/>
  <c r="AA3416" i="13"/>
  <c r="AA3277" i="13"/>
  <c r="AA1795" i="13"/>
  <c r="AA736" i="13"/>
  <c r="AA1501" i="13"/>
  <c r="AA2640" i="13"/>
  <c r="AA1015" i="13"/>
  <c r="AA92" i="13"/>
  <c r="AA3512" i="13"/>
  <c r="AA2150" i="13"/>
  <c r="AA277" i="13"/>
  <c r="AA3513" i="13"/>
  <c r="AA1960" i="13"/>
  <c r="AA878" i="13"/>
  <c r="AA225" i="13"/>
  <c r="AA159" i="13"/>
  <c r="AA3329" i="13"/>
  <c r="AA284" i="13"/>
  <c r="AA1080" i="13"/>
  <c r="AA2722" i="13"/>
  <c r="AA3131" i="13"/>
  <c r="AA283" i="13"/>
  <c r="AA1789" i="13"/>
  <c r="AA2608" i="13"/>
  <c r="AA444" i="13"/>
  <c r="AA1195" i="13"/>
  <c r="AA1814" i="13"/>
  <c r="AA1131" i="13"/>
  <c r="AA3363" i="13"/>
  <c r="AA1677" i="13"/>
  <c r="AA1676" i="13"/>
  <c r="AA486" i="13"/>
  <c r="AA1969" i="13"/>
  <c r="AA3154" i="13"/>
  <c r="AA470" i="13"/>
  <c r="AA965" i="13"/>
  <c r="AA1372" i="13"/>
  <c r="AA2121" i="13"/>
  <c r="AA2797" i="13"/>
  <c r="AA1221" i="13"/>
  <c r="AA1510" i="13"/>
  <c r="AA2193" i="13"/>
  <c r="AA1555" i="13"/>
  <c r="AA428" i="13"/>
  <c r="AA1756" i="13"/>
  <c r="AA3488" i="13"/>
  <c r="AA558" i="13"/>
  <c r="AA1849" i="13"/>
  <c r="AA876" i="13"/>
  <c r="AA309" i="13"/>
  <c r="AA846" i="13"/>
  <c r="AA2012" i="13"/>
  <c r="AA2742" i="13"/>
  <c r="AA3232" i="13"/>
  <c r="AA611" i="13"/>
  <c r="AA3175" i="13"/>
  <c r="AA416" i="13"/>
  <c r="AA1753" i="13"/>
  <c r="AA66" i="13"/>
  <c r="AA3248" i="13"/>
  <c r="AA1630" i="13"/>
  <c r="AA1007" i="13"/>
  <c r="AA1988" i="13"/>
  <c r="AA1506" i="13"/>
  <c r="AA3429" i="13"/>
  <c r="AA1257" i="13"/>
  <c r="AA1369" i="13"/>
  <c r="AA853" i="13"/>
  <c r="AA208" i="13"/>
  <c r="AA1405" i="13"/>
  <c r="AA2662" i="13"/>
  <c r="AA239" i="13"/>
  <c r="AA1353" i="13"/>
  <c r="AA1643" i="13"/>
  <c r="AA816" i="13"/>
  <c r="AA1164" i="13"/>
  <c r="AA1201" i="13"/>
  <c r="AA2617" i="13"/>
  <c r="AA1094" i="13"/>
  <c r="AA1700" i="13"/>
  <c r="AA1151" i="13"/>
  <c r="AA1962" i="13"/>
  <c r="AA218" i="13"/>
  <c r="AA3229" i="13"/>
  <c r="AA2087" i="13"/>
  <c r="AA2754" i="13"/>
  <c r="AA1085" i="13"/>
  <c r="AA512" i="13"/>
  <c r="AA122" i="13"/>
  <c r="AA2649" i="13"/>
  <c r="AA1964" i="13"/>
  <c r="AA113" i="13"/>
  <c r="AA613" i="13"/>
  <c r="AA3466" i="13"/>
  <c r="AA1591" i="13"/>
  <c r="AA2789" i="13"/>
  <c r="AA2733" i="13"/>
  <c r="AA1740" i="13"/>
  <c r="AA1461" i="13"/>
  <c r="AA1479" i="13"/>
  <c r="AA1529" i="13"/>
  <c r="AA318" i="13"/>
  <c r="AA2152" i="13"/>
  <c r="AA308" i="13"/>
  <c r="AA551" i="13"/>
  <c r="AA2129" i="13"/>
  <c r="AA2910" i="13"/>
  <c r="AA1307" i="13"/>
  <c r="AA3433" i="13"/>
  <c r="AA983" i="13"/>
  <c r="AA166" i="13"/>
  <c r="AA3121" i="13"/>
  <c r="AA482" i="13"/>
  <c r="AA2050" i="13"/>
  <c r="AA623" i="13"/>
  <c r="AA3213" i="13"/>
  <c r="AA1165" i="13"/>
  <c r="AA2532" i="13"/>
  <c r="AA1967" i="13"/>
  <c r="AA3243" i="13"/>
  <c r="AA1069" i="13"/>
  <c r="AA758" i="13"/>
  <c r="AA2058" i="13"/>
  <c r="AA1218" i="13"/>
  <c r="AA2508" i="13"/>
  <c r="AA381" i="13"/>
  <c r="AA1530" i="13"/>
  <c r="AA1081" i="13"/>
  <c r="AA1714" i="13"/>
  <c r="AA2411" i="13"/>
  <c r="AA559" i="13"/>
  <c r="AA2676" i="13"/>
  <c r="AA1517" i="13"/>
  <c r="AA2987" i="13"/>
  <c r="AA1176" i="13"/>
  <c r="AA1203" i="13"/>
  <c r="AA3375" i="13"/>
  <c r="AA3073" i="13"/>
  <c r="AA2354" i="13"/>
  <c r="AA2611" i="13"/>
  <c r="AA1799" i="13"/>
  <c r="AA824" i="13"/>
  <c r="AA632" i="13"/>
  <c r="AA1822" i="13"/>
  <c r="AA3104" i="13"/>
  <c r="AA2647" i="13"/>
  <c r="AA2830" i="13"/>
  <c r="AA707" i="13"/>
  <c r="AA1499" i="13"/>
  <c r="AA1701" i="13"/>
  <c r="AA3323" i="13"/>
  <c r="AA565" i="13"/>
  <c r="AA3532" i="13"/>
  <c r="AA974" i="13"/>
  <c r="AA2296" i="13"/>
  <c r="AA2477" i="13"/>
  <c r="AA3356" i="13"/>
  <c r="AA186" i="13"/>
  <c r="AA871" i="13"/>
  <c r="AA1984" i="13"/>
  <c r="AA3401" i="13"/>
  <c r="AA2111" i="13"/>
  <c r="AA840" i="13"/>
  <c r="AA101" i="13"/>
  <c r="AA1367" i="13"/>
  <c r="AA2485" i="13"/>
  <c r="AA1865" i="13"/>
  <c r="AA2730" i="13"/>
  <c r="AA708" i="13"/>
  <c r="AA2200" i="13"/>
  <c r="AA2779" i="13"/>
  <c r="AA105" i="13"/>
  <c r="AA1662" i="13"/>
  <c r="AA2875" i="13"/>
  <c r="AA1675" i="13"/>
  <c r="AA2305" i="13"/>
  <c r="AA2570" i="13"/>
  <c r="AA3264" i="13"/>
  <c r="AA3108" i="13"/>
  <c r="AA572" i="13"/>
  <c r="AA390" i="13"/>
  <c r="AA104" i="13"/>
  <c r="AA1617" i="13"/>
  <c r="AA2963" i="13"/>
  <c r="AA3257" i="13"/>
  <c r="AA1137" i="13"/>
  <c r="AA3013" i="13"/>
  <c r="AA2431" i="13"/>
  <c r="AA374" i="13"/>
  <c r="AA1430" i="13"/>
  <c r="AA3393" i="13"/>
  <c r="AA3095" i="13"/>
  <c r="AA1338" i="13"/>
  <c r="AA746" i="13"/>
  <c r="AA2274" i="13"/>
  <c r="AA2122" i="13"/>
  <c r="AA2746" i="13"/>
  <c r="AA2855" i="13"/>
  <c r="AA2697" i="13"/>
  <c r="AA2554" i="13"/>
  <c r="AA37" i="13"/>
  <c r="AA3514" i="13"/>
  <c r="AA143" i="13"/>
  <c r="AA451" i="13"/>
  <c r="AA174" i="13"/>
  <c r="AA3354" i="13"/>
  <c r="AA2002" i="13"/>
  <c r="AA2615" i="13"/>
  <c r="AA1945" i="13"/>
  <c r="AA503" i="13"/>
  <c r="AA1192" i="13"/>
  <c r="AA1147" i="13"/>
  <c r="AA52" i="13"/>
  <c r="AA116" i="13"/>
  <c r="AA478" i="13"/>
  <c r="AA2025" i="13"/>
  <c r="AA995" i="13"/>
  <c r="AA788" i="13"/>
  <c r="AA1979" i="13"/>
  <c r="AA3543" i="13"/>
  <c r="AA817" i="13"/>
  <c r="AA1782" i="13"/>
  <c r="AA1486" i="13"/>
  <c r="AA1834" i="13"/>
  <c r="AA1952" i="13"/>
  <c r="AA3304" i="13"/>
  <c r="AA527" i="13"/>
  <c r="AA797" i="13"/>
  <c r="AA2486" i="13"/>
  <c r="AA280" i="13"/>
  <c r="AA2383" i="13"/>
  <c r="AA1894" i="13"/>
  <c r="AA589" i="13"/>
  <c r="AA3009" i="13"/>
  <c r="AA31" i="13"/>
  <c r="AA838" i="13"/>
  <c r="AA1339" i="13"/>
  <c r="AA149" i="13"/>
  <c r="AA2103" i="13"/>
  <c r="AA971" i="13"/>
  <c r="AA1540" i="13"/>
  <c r="AA750" i="13"/>
  <c r="AA1105" i="13"/>
  <c r="AA1472" i="13"/>
  <c r="AA1072" i="13"/>
  <c r="AA237" i="13"/>
  <c r="AA557" i="13"/>
  <c r="AA198" i="13"/>
  <c r="AA548" i="13"/>
  <c r="AA2166" i="13"/>
  <c r="AA2179" i="13"/>
  <c r="AA2899" i="13"/>
  <c r="AA1389" i="13"/>
  <c r="AA421" i="13"/>
  <c r="AA566" i="13"/>
  <c r="AA2432" i="13"/>
  <c r="AA1516" i="13"/>
  <c r="AA3373" i="13"/>
  <c r="AA1954" i="13"/>
  <c r="AA835" i="13"/>
  <c r="AA1359" i="13"/>
  <c r="AA2903" i="13"/>
  <c r="AA1727" i="13"/>
  <c r="AA518" i="13"/>
  <c r="AA267" i="13"/>
  <c r="AA326" i="13"/>
  <c r="AA1938" i="13"/>
  <c r="AA1820" i="13"/>
  <c r="AA3008" i="13"/>
  <c r="AA1022" i="13"/>
  <c r="AA1175" i="13"/>
  <c r="AA3397" i="13"/>
  <c r="AA1284" i="13"/>
  <c r="AA3403" i="13"/>
  <c r="AA1640" i="13"/>
  <c r="AA2028" i="13"/>
  <c r="AA3181" i="13"/>
  <c r="AA3349" i="13"/>
  <c r="AA1683" i="13"/>
  <c r="AA1704" i="13"/>
  <c r="AA115" i="13"/>
  <c r="AA2280" i="13"/>
  <c r="AA2329" i="13"/>
  <c r="AA1052" i="13"/>
  <c r="AA481" i="13"/>
  <c r="AA3450" i="13"/>
  <c r="AA1318" i="13"/>
  <c r="AA3321" i="13"/>
  <c r="AA411" i="13"/>
  <c r="AA712" i="13"/>
  <c r="AA1827" i="13"/>
  <c r="AA1779" i="13"/>
  <c r="AA2757" i="13"/>
  <c r="AA439" i="13"/>
  <c r="AA3378" i="13"/>
  <c r="AA2363" i="13"/>
  <c r="AA2311" i="13"/>
  <c r="AA3235" i="13"/>
  <c r="AA1110" i="13"/>
  <c r="AA202" i="13"/>
  <c r="AA2382" i="13"/>
  <c r="AA1269" i="13"/>
  <c r="AA335" i="13"/>
  <c r="AA1623" i="13"/>
  <c r="AA579" i="13"/>
  <c r="AA3003" i="13"/>
  <c r="AA950" i="13"/>
  <c r="AA2204" i="13"/>
  <c r="AA532" i="13"/>
  <c r="AA1292" i="13"/>
  <c r="AA3237" i="13"/>
  <c r="AA229" i="13"/>
  <c r="AA2804" i="13"/>
  <c r="AA262" i="13"/>
  <c r="AA2618" i="13"/>
  <c r="AA699" i="13"/>
  <c r="AA3362" i="13"/>
  <c r="AA705" i="13"/>
  <c r="AA90" i="13"/>
  <c r="AA2255" i="13"/>
  <c r="AA2137" i="13"/>
  <c r="AA412" i="13"/>
  <c r="AA2737" i="13"/>
  <c r="AA221" i="13"/>
  <c r="AA3463" i="13"/>
  <c r="AA891" i="13"/>
  <c r="AA1857" i="13"/>
  <c r="AA2168" i="13"/>
  <c r="AA3291" i="13"/>
  <c r="AA3517" i="13"/>
  <c r="AA2347" i="13"/>
  <c r="AA744" i="13"/>
  <c r="AA1892" i="13"/>
  <c r="AA2653" i="13"/>
  <c r="AA193" i="13"/>
  <c r="AA1723" i="13"/>
  <c r="AA1763" i="13"/>
  <c r="AA40" i="13"/>
  <c r="AA2266" i="13"/>
  <c r="AA1761" i="13"/>
  <c r="AA1360" i="13"/>
  <c r="AA2281" i="13"/>
  <c r="AA270" i="13"/>
  <c r="AA1103" i="13"/>
  <c r="AA500" i="13"/>
  <c r="AA3193" i="13"/>
  <c r="AA1629" i="13"/>
  <c r="AA3442" i="13"/>
  <c r="AA543" i="13"/>
  <c r="AA3352" i="13"/>
  <c r="AA3316" i="13"/>
  <c r="AA1583" i="13"/>
  <c r="AA3231" i="13"/>
  <c r="AA223" i="13"/>
  <c r="AA2601" i="13"/>
  <c r="AA1859" i="13"/>
  <c r="AA2117" i="13"/>
  <c r="AA371" i="13"/>
  <c r="AA629" i="13"/>
  <c r="AA427" i="13"/>
  <c r="AA2317" i="13"/>
  <c r="AA2487" i="13"/>
  <c r="AA3200" i="13"/>
  <c r="AA125" i="13"/>
  <c r="AA2367" i="13"/>
  <c r="AA3539" i="13"/>
  <c r="AA573" i="13"/>
  <c r="AA726" i="13"/>
  <c r="AA2783" i="13"/>
  <c r="AA1939" i="13"/>
  <c r="AA250" i="13"/>
  <c r="AA2194" i="13"/>
  <c r="AA1426" i="13"/>
  <c r="AA1522" i="13"/>
  <c r="AA2713" i="13"/>
  <c r="AA754" i="13"/>
  <c r="AA732" i="13"/>
  <c r="AA2108" i="13"/>
  <c r="AA781" i="13"/>
  <c r="AA2980" i="13"/>
  <c r="AA29" i="13"/>
  <c r="AA1955" i="13"/>
  <c r="AA3359" i="13"/>
  <c r="AA213" i="13"/>
  <c r="AA1262" i="13"/>
  <c r="AA62" i="13"/>
  <c r="AA3516" i="13"/>
  <c r="AA1288" i="13"/>
  <c r="AA3390" i="13"/>
  <c r="AA2164" i="13"/>
  <c r="AA2272" i="13"/>
  <c r="AA1842" i="13"/>
  <c r="AA2582" i="13"/>
  <c r="AA3103" i="13"/>
  <c r="AA693" i="13"/>
  <c r="AA763" i="13"/>
  <c r="AA1079" i="13"/>
  <c r="AA191" i="13"/>
  <c r="AA2939" i="13"/>
  <c r="AA3531" i="13"/>
  <c r="AA3496" i="13"/>
  <c r="AA165" i="13"/>
  <c r="AA1343" i="13"/>
  <c r="AA84" i="13"/>
  <c r="AA1871" i="13"/>
  <c r="AA3311" i="13"/>
  <c r="AA2694" i="13"/>
  <c r="AA176" i="13"/>
  <c r="AA235" i="13"/>
  <c r="AA1826" i="13"/>
  <c r="AA1880" i="13"/>
  <c r="AA1906" i="13"/>
  <c r="AA34" i="13"/>
  <c r="AA3117" i="13"/>
  <c r="AA537" i="13"/>
  <c r="AA3004" i="13"/>
  <c r="AA658" i="13"/>
  <c r="AA2390" i="13"/>
  <c r="AA2119" i="13"/>
  <c r="AA583" i="13"/>
  <c r="AA2407" i="13"/>
  <c r="AA2665" i="13"/>
  <c r="AA1436" i="13"/>
  <c r="AA2957" i="13"/>
  <c r="AA1794" i="13"/>
  <c r="AA1575" i="13"/>
  <c r="AA1471" i="13"/>
  <c r="AA3015" i="13"/>
  <c r="AA834" i="13"/>
  <c r="AA203" i="13"/>
  <c r="AA2605" i="13"/>
  <c r="AA741" i="13"/>
  <c r="AA3135" i="13"/>
  <c r="AA2013" i="13"/>
  <c r="AA3125" i="13"/>
  <c r="AA2109" i="13"/>
  <c r="AA2300" i="13"/>
  <c r="AA3077" i="13"/>
  <c r="AA2729" i="13"/>
  <c r="AA2692" i="13"/>
  <c r="AA2362" i="13"/>
  <c r="AA1664" i="13"/>
  <c r="AA296" i="13"/>
  <c r="AA1642" i="13"/>
  <c r="AA1606" i="13"/>
  <c r="AA1042" i="13"/>
  <c r="AA3084" i="13"/>
  <c r="AA74" i="13"/>
  <c r="AA3313" i="13"/>
  <c r="AA582" i="13"/>
  <c r="AA2481" i="13"/>
  <c r="AA204" i="13"/>
  <c r="AA2064" i="13"/>
  <c r="AA230" i="13"/>
  <c r="AA1500" i="13"/>
  <c r="AA627" i="13"/>
  <c r="AA1311" i="13"/>
  <c r="AA1679" i="13"/>
  <c r="AA2620" i="13"/>
  <c r="AA2652" i="13"/>
  <c r="AA2683" i="13"/>
  <c r="AA2221" i="13"/>
  <c r="AA2994" i="13"/>
  <c r="AA1222" i="13"/>
  <c r="AA1487" i="13"/>
  <c r="AA2314" i="13"/>
  <c r="AA507" i="13"/>
  <c r="AA1816" i="13"/>
  <c r="AA1758" i="13"/>
  <c r="AA2044" i="13"/>
  <c r="AA3339" i="13"/>
  <c r="AA2098" i="13"/>
  <c r="AA1919" i="13"/>
  <c r="AA3205" i="13"/>
  <c r="AA3063" i="13"/>
  <c r="AA755" i="13"/>
  <c r="AA2658" i="13"/>
  <c r="AA1078" i="13"/>
  <c r="AA2332" i="13"/>
  <c r="AA966" i="13"/>
  <c r="AA1936" i="13"/>
  <c r="AA859" i="13"/>
  <c r="AA2414" i="13"/>
  <c r="AA1320" i="13"/>
  <c r="AA702" i="13"/>
  <c r="AA2818" i="13"/>
  <c r="AA2829" i="13"/>
  <c r="AA2102" i="13"/>
  <c r="AA1804" i="13"/>
  <c r="AA263" i="13"/>
  <c r="AA2097" i="13"/>
  <c r="AA1061" i="13"/>
  <c r="AA1001" i="13"/>
  <c r="AA1319" i="13"/>
  <c r="AA3467" i="13"/>
  <c r="AA2302" i="13"/>
  <c r="AA172" i="13"/>
  <c r="AA389" i="13"/>
  <c r="AA1380" i="13"/>
  <c r="AA3530" i="13"/>
  <c r="AA2134" i="13"/>
  <c r="AA1578" i="13"/>
  <c r="AA3023" i="13"/>
  <c r="AA3300" i="13"/>
  <c r="AA1904" i="13"/>
  <c r="AA1840" i="13"/>
  <c r="AA107" i="13"/>
  <c r="AA1502" i="13"/>
  <c r="AA2265" i="13"/>
  <c r="AA739" i="13"/>
  <c r="AA1924" i="13"/>
  <c r="AA2447" i="13"/>
  <c r="AA2931" i="13"/>
  <c r="AA1941" i="13"/>
  <c r="AA2872" i="13"/>
  <c r="AA887" i="13"/>
  <c r="AA108" i="13"/>
  <c r="AA946" i="13"/>
  <c r="AA1672" i="13"/>
  <c r="AA3110" i="13"/>
  <c r="AA1167" i="13"/>
  <c r="AA502" i="13"/>
  <c r="AA1347" i="13"/>
  <c r="AA1104" i="13"/>
  <c r="AA677" i="13"/>
  <c r="AA2269" i="13"/>
  <c r="AA1708" i="13"/>
  <c r="AA2735" i="13"/>
  <c r="AA1385" i="13"/>
  <c r="AA307" i="13"/>
  <c r="AA459" i="13"/>
  <c r="AA636" i="13"/>
  <c r="AA3163" i="13"/>
  <c r="AA1812" i="13"/>
  <c r="AA1108" i="13"/>
  <c r="AA2324" i="13"/>
  <c r="AA2962" i="13"/>
  <c r="AA1014" i="13"/>
  <c r="AA659" i="13"/>
  <c r="AA3086" i="13"/>
  <c r="AA972" i="13"/>
  <c r="AA476" i="13"/>
  <c r="AA2024" i="13"/>
  <c r="AA2045" i="13"/>
  <c r="AA2816" i="13"/>
  <c r="AA2397" i="13"/>
  <c r="AA2900" i="13"/>
  <c r="AA1261" i="13"/>
  <c r="AA2132" i="13"/>
  <c r="AA343" i="13"/>
  <c r="AA2112" i="13"/>
  <c r="AA3052" i="13"/>
  <c r="AA2992" i="13"/>
  <c r="AA2413" i="13"/>
  <c r="AA1065" i="13"/>
  <c r="AA2312" i="13"/>
  <c r="AA685" i="13"/>
  <c r="AA299" i="13"/>
  <c r="AA1183" i="13"/>
  <c r="AA3151" i="13"/>
  <c r="AA367" i="13"/>
  <c r="AA911" i="13"/>
  <c r="AA2453" i="13"/>
  <c r="AA2246" i="13"/>
  <c r="AA1551" i="13"/>
  <c r="AA3284" i="13"/>
  <c r="AA844" i="13"/>
  <c r="AA1381" i="13"/>
  <c r="AA339" i="13"/>
  <c r="AA3505" i="13"/>
  <c r="AA1537" i="13"/>
  <c r="AA770" i="13"/>
  <c r="AA1224" i="13"/>
  <c r="AA2385" i="13"/>
  <c r="AA651" i="13"/>
  <c r="AA976" i="13"/>
  <c r="AA403" i="13"/>
  <c r="AA3336" i="13"/>
  <c r="AA2223" i="13"/>
  <c r="AA342" i="13"/>
  <c r="AA372" i="13"/>
  <c r="AA1348" i="13"/>
  <c r="AA2801" i="13"/>
  <c r="AA2552" i="13"/>
  <c r="AA3120" i="13"/>
  <c r="AA2059" i="13"/>
  <c r="AA1699" i="13"/>
  <c r="AA3167" i="13"/>
  <c r="AA2484" i="13"/>
  <c r="AA112" i="13"/>
  <c r="AA1060" i="13"/>
  <c r="AA458" i="13"/>
  <c r="AA2966" i="13"/>
  <c r="AA1725" i="13"/>
  <c r="AA2315" i="13"/>
  <c r="AA1684" i="13"/>
  <c r="AA1797" i="13"/>
  <c r="AA2914" i="13"/>
  <c r="AA395" i="13"/>
  <c r="AA260" i="13"/>
  <c r="AA1854" i="13"/>
  <c r="AA2795" i="13"/>
  <c r="AA2716" i="13"/>
  <c r="AA2777" i="13"/>
  <c r="AA2769" i="13"/>
  <c r="AA2210" i="13"/>
  <c r="AA1386" i="13"/>
  <c r="AA137" i="13"/>
  <c r="AA1610" i="13"/>
  <c r="AA2945" i="13"/>
  <c r="AA873" i="13"/>
  <c r="AA3408" i="13"/>
  <c r="AA1624" i="13"/>
  <c r="AA1750" i="13"/>
  <c r="AA2870" i="13"/>
  <c r="AA1832" i="13"/>
  <c r="AA3065" i="13"/>
  <c r="AA2588" i="13"/>
  <c r="AA839" i="13"/>
  <c r="AA168" i="13"/>
  <c r="AA637" i="13"/>
  <c r="AA2148" i="13"/>
  <c r="AA920" i="13"/>
  <c r="AA2408" i="13"/>
  <c r="AA710" i="13"/>
  <c r="AA3085" i="13"/>
  <c r="AA443" i="13"/>
  <c r="AA1308" i="13"/>
  <c r="AA24" i="13"/>
  <c r="AA812" i="13"/>
  <c r="AA3320" i="13"/>
  <c r="AA387" i="13"/>
  <c r="AA1565" i="13"/>
  <c r="AA1505" i="13"/>
  <c r="AA3019" i="13"/>
  <c r="AA2587" i="13"/>
  <c r="AA2971" i="13"/>
  <c r="AA3245" i="13"/>
  <c r="AA2318" i="13"/>
  <c r="AA1711" i="13"/>
  <c r="AA242" i="13"/>
  <c r="AA95" i="13"/>
  <c r="AA1133" i="13"/>
  <c r="AA2995" i="13"/>
  <c r="AA1332" i="13"/>
  <c r="AA918" i="13"/>
  <c r="AA3035" i="13"/>
  <c r="AA1512" i="13"/>
  <c r="AA3039" i="13"/>
  <c r="AA664" i="13"/>
  <c r="AA3534" i="13"/>
  <c r="AA2629" i="13"/>
  <c r="AA1497" i="13"/>
  <c r="AA3409" i="13"/>
  <c r="AA1475" i="13"/>
  <c r="AA2446" i="13"/>
  <c r="AA522" i="13"/>
  <c r="AA3033" i="13"/>
  <c r="AA2774" i="13"/>
  <c r="AA1757" i="13"/>
  <c r="AA2657" i="13"/>
  <c r="AA1316" i="13"/>
  <c r="AA675" i="13"/>
  <c r="AA1304" i="13"/>
  <c r="AA2327" i="13"/>
  <c r="AA3292" i="13"/>
  <c r="AA1693" i="13"/>
  <c r="AA3016" i="13"/>
  <c r="AA706" i="13"/>
  <c r="AA903" i="13"/>
  <c r="AA1656" i="13"/>
  <c r="AA2501" i="13"/>
  <c r="AA540" i="13"/>
  <c r="AA1792" i="13"/>
  <c r="AA3348" i="13"/>
  <c r="AA803" i="13"/>
  <c r="AA1783" i="13"/>
  <c r="AA2260" i="13"/>
  <c r="AA3159" i="13"/>
  <c r="AA799" i="13"/>
  <c r="AA158" i="13"/>
  <c r="AA1839" i="13"/>
  <c r="AA162" i="13"/>
  <c r="AA257" i="13"/>
  <c r="AA54" i="13"/>
  <c r="AA2983" i="13"/>
  <c r="AA506" i="13"/>
  <c r="AA3094" i="13"/>
  <c r="AA1546" i="13"/>
  <c r="AA184" i="13"/>
  <c r="AA3057" i="13"/>
  <c r="AA2355" i="13"/>
  <c r="AA2153" i="13"/>
  <c r="AA2206" i="13"/>
  <c r="AA1441" i="13"/>
  <c r="AA2852" i="13"/>
  <c r="AA121" i="13"/>
  <c r="AA2869" i="13"/>
  <c r="AA1845" i="13"/>
  <c r="AA521" i="13"/>
  <c r="AA1438" i="13"/>
  <c r="AA1543" i="13"/>
  <c r="AA3221" i="13"/>
  <c r="AA620" i="13"/>
  <c r="AA388" i="13"/>
  <c r="AA3462" i="13"/>
  <c r="AA96" i="13"/>
  <c r="AA2603" i="13"/>
  <c r="AA962" i="13"/>
  <c r="AA1562" i="13"/>
  <c r="AA1043" i="13"/>
  <c r="AA923" i="13"/>
  <c r="AA2901" i="13"/>
  <c r="AA2573" i="13"/>
  <c r="AA2297" i="13"/>
  <c r="AA1888" i="13"/>
  <c r="AA1983" i="13"/>
  <c r="AA264" i="13"/>
  <c r="AA3299" i="13"/>
  <c r="AA3303" i="13"/>
  <c r="AA1802" i="13"/>
  <c r="AA3203" i="13"/>
  <c r="AA1503" i="13"/>
  <c r="AA3141" i="13"/>
  <c r="AA2396" i="13"/>
  <c r="AA1171" i="13"/>
  <c r="AA1204" i="13"/>
  <c r="AA3046" i="13"/>
  <c r="AA2428" i="13"/>
  <c r="AA2021" i="13"/>
  <c r="AA1326" i="13"/>
  <c r="AA2163" i="13"/>
  <c r="AA1556" i="13"/>
  <c r="AA2245" i="13"/>
  <c r="AA50" i="13"/>
  <c r="AA2430" i="13"/>
  <c r="AA2395" i="13"/>
  <c r="AA1217" i="13"/>
  <c r="AA1023" i="13"/>
  <c r="AA3021" i="13"/>
  <c r="AA682" i="13"/>
  <c r="AA3482" i="13"/>
  <c r="AA25" i="13"/>
  <c r="AA2955" i="13"/>
  <c r="AA2292" i="13"/>
  <c r="AA1004" i="13"/>
  <c r="AA2369" i="13"/>
  <c r="AA462" i="13"/>
  <c r="AA1044" i="13"/>
  <c r="AA609" i="13"/>
  <c r="AA98" i="13"/>
  <c r="AA2377" i="13"/>
  <c r="AA2812" i="13"/>
  <c r="AA969" i="13"/>
  <c r="AA1402" i="13"/>
  <c r="AA1493" i="13"/>
  <c r="AA607" i="13"/>
  <c r="AA2009" i="13"/>
  <c r="AA71" i="13"/>
  <c r="AA2415" i="13"/>
  <c r="AA2094" i="13"/>
  <c r="AA1246" i="13"/>
  <c r="AA2256" i="13"/>
  <c r="AA1086" i="13"/>
  <c r="AA1950" i="13"/>
  <c r="AA1732" i="13"/>
  <c r="AA3031" i="13"/>
  <c r="AA1290" i="13"/>
  <c r="AA2205" i="13"/>
  <c r="AA2030" i="13"/>
  <c r="AA135" i="13"/>
  <c r="AA2104" i="13"/>
  <c r="AA1526" i="13"/>
  <c r="AA48" i="13"/>
  <c r="AA1428" i="13"/>
  <c r="AA2154" i="13"/>
  <c r="AA1570" i="13"/>
  <c r="AA1712" i="13"/>
  <c r="AA1388" i="13"/>
  <c r="AA888" i="13"/>
  <c r="AA3137" i="13"/>
  <c r="AA564" i="13"/>
  <c r="AA2770" i="13"/>
  <c r="AA2772" i="13"/>
  <c r="AA2545" i="13"/>
  <c r="AA1866" i="13"/>
  <c r="AA1846" i="13"/>
  <c r="AA248" i="13"/>
  <c r="AA393" i="13"/>
  <c r="AA915" i="13"/>
  <c r="AA3290" i="13"/>
  <c r="AA3447" i="13"/>
  <c r="AA487" i="13"/>
  <c r="AA1805" i="13"/>
  <c r="AA3207" i="13"/>
  <c r="AA894" i="13"/>
  <c r="AA2261" i="13"/>
  <c r="AA1889" i="13"/>
  <c r="AA1188" i="13"/>
  <c r="AA880" i="13"/>
  <c r="AA2906" i="13"/>
  <c r="AA2907" i="13"/>
  <c r="AA1234" i="13"/>
  <c r="AA2926" i="13"/>
  <c r="AA2323" i="13"/>
  <c r="AA2258" i="13"/>
  <c r="AA3249" i="13"/>
  <c r="AA378" i="13"/>
  <c r="AA3449" i="13"/>
  <c r="AA1470" i="13"/>
  <c r="AA2802" i="13"/>
  <c r="AA312" i="13"/>
  <c r="AA3346" i="13"/>
  <c r="AA2959" i="13"/>
  <c r="AA1254" i="13"/>
  <c r="AA1238" i="13"/>
  <c r="AA357" i="13"/>
  <c r="AA2146" i="13"/>
  <c r="AA1916" i="13"/>
  <c r="AA330" i="13"/>
  <c r="AA2303" i="13"/>
  <c r="AA448" i="13"/>
  <c r="AA811" i="13"/>
  <c r="AA353" i="13"/>
  <c r="AA1422" i="13"/>
  <c r="AA560" i="13"/>
  <c r="AA42" i="13"/>
  <c r="AA132" i="13"/>
  <c r="AA2946" i="13"/>
  <c r="AA181" i="13"/>
  <c r="AA715" i="13"/>
  <c r="AA1698" i="13"/>
  <c r="AA1362" i="13"/>
  <c r="AA2798" i="13"/>
  <c r="AA2827" i="13"/>
  <c r="AA352" i="13"/>
  <c r="AA594" i="13"/>
  <c r="AA2518" i="13"/>
  <c r="AA2270" i="13"/>
  <c r="AA554" i="13"/>
  <c r="AA241" i="13"/>
  <c r="AA2817" i="13"/>
  <c r="AA570" i="13"/>
  <c r="AA773" i="13"/>
  <c r="AA2933" i="13"/>
  <c r="AA1248" i="13"/>
  <c r="AA1539" i="13"/>
  <c r="AA2949" i="13"/>
  <c r="AA305" i="13"/>
  <c r="AA2664" i="13"/>
  <c r="AA2184" i="13"/>
  <c r="AA1116" i="13"/>
  <c r="AA1735" i="13"/>
  <c r="AA2335" i="13"/>
  <c r="AA2259" i="13"/>
  <c r="AA2042" i="13"/>
  <c r="AA1046" i="13"/>
  <c r="AA2569" i="13"/>
  <c r="AA517" i="13"/>
  <c r="AA724" i="13"/>
  <c r="AA1083" i="13"/>
  <c r="AA2308" i="13"/>
  <c r="AA1205" i="13"/>
  <c r="AA3197" i="13"/>
  <c r="AA152" i="13"/>
  <c r="AA2082" i="13"/>
  <c r="AA1793" i="13"/>
  <c r="AA19" i="13"/>
  <c r="AA3282" i="13"/>
  <c r="AA672" i="13"/>
  <c r="AA1101" i="13"/>
  <c r="AA643" i="13"/>
  <c r="AA2575" i="13"/>
  <c r="AA285" i="13"/>
  <c r="AA41" i="13"/>
  <c r="AA2502" i="13"/>
  <c r="AA1364" i="13"/>
  <c r="AA321" i="13"/>
  <c r="AA602" i="13"/>
  <c r="AA3414" i="13"/>
  <c r="AA348" i="13"/>
  <c r="AA2467" i="13"/>
  <c r="AA3226" i="13"/>
  <c r="AA2278" i="13"/>
  <c r="AA933" i="13"/>
  <c r="AA964" i="13"/>
  <c r="AA2833" i="13"/>
  <c r="AA2517" i="13"/>
  <c r="AA1480" i="13"/>
  <c r="AA2488" i="13"/>
  <c r="AA3028" i="13"/>
  <c r="AA1368" i="13"/>
  <c r="AA295" i="13"/>
  <c r="AA704" i="13"/>
  <c r="AA452" i="13"/>
  <c r="AA287" i="13"/>
  <c r="AA2958" i="13"/>
  <c r="AA2880" i="13"/>
  <c r="AA334" i="13"/>
  <c r="AA743" i="13"/>
  <c r="AA777" i="13"/>
  <c r="AA2687" i="13"/>
  <c r="AA698" i="13"/>
  <c r="AA2760" i="13"/>
  <c r="AA958" i="13"/>
  <c r="AA3407" i="13"/>
  <c r="AA1245" i="13"/>
  <c r="AA2710" i="13"/>
  <c r="AA3265" i="13"/>
  <c r="AA1391" i="13"/>
  <c r="AA1549" i="13"/>
  <c r="AA3404" i="13"/>
  <c r="AA626" i="13"/>
  <c r="AA3457" i="13"/>
  <c r="AA1256" i="13"/>
  <c r="AA455" i="13"/>
  <c r="AA2843" i="13"/>
  <c r="AA1918" i="13"/>
  <c r="AA497" i="13"/>
  <c r="AA2286" i="13"/>
  <c r="AA492" i="13"/>
  <c r="AA1275" i="13"/>
  <c r="AA379" i="13"/>
  <c r="AA3345" i="13"/>
  <c r="AA1025" i="13"/>
  <c r="AA1614" i="13"/>
  <c r="AA1379" i="13"/>
  <c r="AA2940" i="13"/>
  <c r="AA761" i="13"/>
  <c r="AA2192" i="13"/>
  <c r="AA2643" i="13"/>
  <c r="AA1745" i="13"/>
  <c r="AA919" i="13"/>
  <c r="AA2043" i="13"/>
  <c r="AA1697" i="13"/>
  <c r="AA1929" i="13"/>
  <c r="AA1646" i="13"/>
  <c r="AA1393" i="13"/>
  <c r="AA1986" i="13"/>
  <c r="AA542" i="13"/>
  <c r="AA2636" i="13"/>
  <c r="AA1917" i="13"/>
  <c r="AA1088" i="13"/>
  <c r="AA577" i="13"/>
  <c r="AA1641" i="13"/>
  <c r="AA187" i="13"/>
  <c r="AA3072" i="13"/>
  <c r="AA3271" i="13"/>
  <c r="AA3497" i="13"/>
  <c r="AA271" i="13"/>
  <c r="AA1107" i="13"/>
  <c r="AA1141" i="13"/>
  <c r="AA2081" i="13"/>
  <c r="AA1418" i="13"/>
  <c r="AA180" i="13"/>
  <c r="AA3217" i="13"/>
  <c r="AA3460" i="13"/>
  <c r="AA1433" i="13"/>
  <c r="AA2836" i="13"/>
  <c r="AA3101" i="13"/>
  <c r="AA541" i="13"/>
  <c r="AA1016" i="13"/>
  <c r="AA293" i="13"/>
  <c r="AA3521" i="13"/>
  <c r="AA3424" i="13"/>
  <c r="AA3082" i="13"/>
  <c r="AA3177" i="13"/>
  <c r="AA2813" i="13"/>
  <c r="AA2810" i="13"/>
  <c r="AA2559" i="13"/>
  <c r="AA2727" i="13"/>
  <c r="AA325" i="13"/>
  <c r="AA2218" i="13"/>
  <c r="AA1253" i="13"/>
  <c r="AA2029" i="13"/>
  <c r="AA3515" i="13"/>
  <c r="AA81" i="13"/>
  <c r="AA2778" i="13"/>
  <c r="AA1455" i="13"/>
  <c r="AA2922" i="13"/>
  <c r="AA415" i="13"/>
  <c r="AA745" i="13"/>
  <c r="AA1170" i="13"/>
  <c r="AA3195" i="13"/>
  <c r="AA1855" i="13"/>
  <c r="AA1139" i="13"/>
  <c r="AA1124" i="13"/>
  <c r="AA1594" i="13"/>
  <c r="AA2171" i="13"/>
  <c r="AA520" i="13"/>
  <c r="AA227" i="13"/>
  <c r="AA2892" i="13"/>
  <c r="AA912" i="13"/>
  <c r="AA2891" i="13"/>
  <c r="AA2535" i="13"/>
  <c r="AA1765" i="13"/>
  <c r="AA689" i="13"/>
  <c r="AA3492" i="13"/>
  <c r="AA2944" i="13"/>
  <c r="AA1788" i="13"/>
  <c r="AA848" i="13"/>
  <c r="AA133" i="13"/>
  <c r="AA1520" i="13"/>
  <c r="AA2478" i="13"/>
  <c r="AA2750" i="13"/>
  <c r="AA2288" i="13"/>
  <c r="AA2822" i="13"/>
  <c r="AA1178" i="13"/>
  <c r="AA1125" i="13"/>
  <c r="AA3145" i="13"/>
  <c r="AA179" i="13"/>
  <c r="AA2935" i="13"/>
  <c r="AA1404" i="13"/>
  <c r="AA2607" i="13"/>
  <c r="AA2357" i="13"/>
  <c r="AA2916" i="13"/>
  <c r="AA3550" i="13"/>
  <c r="AA3088" i="13"/>
  <c r="AA1595" i="13"/>
  <c r="AA3383" i="13"/>
  <c r="AA2538" i="13"/>
  <c r="AA148" i="13"/>
  <c r="AA77" i="13"/>
  <c r="AA1710" i="13"/>
  <c r="AA1605" i="13"/>
  <c r="AA857" i="13"/>
  <c r="AA1688" i="13"/>
  <c r="AA2781" i="13"/>
  <c r="AA2512" i="13"/>
  <c r="AA2320" i="13"/>
  <c r="AA1087" i="13"/>
  <c r="AA1654" i="13"/>
  <c r="AA766" i="13"/>
  <c r="AA790" i="13"/>
  <c r="AA1356" i="13"/>
  <c r="AA2389" i="13"/>
  <c r="AA1607" i="13"/>
  <c r="AA2136" i="13"/>
  <c r="AA1541" i="13"/>
  <c r="AA2860" i="13"/>
  <c r="AA28" i="13"/>
  <c r="AA2548" i="13"/>
  <c r="AA1566" i="13"/>
  <c r="AA863" i="13"/>
  <c r="AA634" i="13"/>
  <c r="AA1027" i="13"/>
  <c r="AA251" i="13"/>
  <c r="AA3425" i="13"/>
  <c r="AA119" i="13"/>
  <c r="AA591" i="13"/>
  <c r="AA3006" i="13"/>
  <c r="AA810" i="13"/>
  <c r="AA2799" i="13"/>
  <c r="AA1341" i="13"/>
  <c r="AA3500" i="13"/>
  <c r="AA2780" i="13"/>
  <c r="AA3259" i="13"/>
  <c r="AA65" i="13"/>
  <c r="AA1220" i="13"/>
  <c r="AA2784" i="13"/>
  <c r="AA622" i="13"/>
  <c r="AA1657" i="13"/>
  <c r="AA2167" i="13"/>
  <c r="AA2766" i="13"/>
  <c r="AA2220" i="13"/>
  <c r="AA3335" i="13"/>
  <c r="AA432" i="13"/>
  <c r="AA3509" i="13"/>
  <c r="AA2897" i="13"/>
  <c r="AA1384" i="13"/>
  <c r="AA55" i="13"/>
  <c r="AA900" i="13"/>
  <c r="AA2821" i="13"/>
  <c r="AA2889" i="13"/>
  <c r="AA3498" i="13"/>
  <c r="AA669" i="13"/>
  <c r="AA768" i="13"/>
  <c r="AA281" i="13"/>
  <c r="AA1247" i="13"/>
  <c r="AA1744" i="13"/>
  <c r="AA1100" i="13"/>
  <c r="AA2541" i="13"/>
  <c r="AA1879" i="13"/>
  <c r="AA56" i="13"/>
  <c r="AA1691" i="13"/>
  <c r="AA167" i="13"/>
  <c r="AA1956" i="13"/>
  <c r="AA1943" i="13"/>
  <c r="AA975" i="13"/>
  <c r="AA2392" i="13"/>
  <c r="AA1498" i="13"/>
  <c r="AA3501" i="13"/>
  <c r="AA1228" i="13"/>
  <c r="AA775" i="13"/>
  <c r="AA97" i="13"/>
  <c r="AA2974" i="13"/>
  <c r="AA1350" i="13"/>
  <c r="AA2854" i="13"/>
  <c r="AA2594" i="13"/>
  <c r="AA2464" i="13"/>
  <c r="AA189" i="13"/>
  <c r="AA709" i="13"/>
  <c r="AA2680" i="13"/>
  <c r="AA2947" i="13"/>
  <c r="AA1132" i="13"/>
  <c r="AA2356" i="13"/>
  <c r="AA2791" i="13"/>
  <c r="AA249" i="13"/>
  <c r="AA1063" i="13"/>
  <c r="AA2884" i="13"/>
  <c r="AA1476" i="13"/>
  <c r="AA2056" i="13"/>
  <c r="AA1117" i="13"/>
  <c r="AA2017" i="13"/>
  <c r="AA1876" i="13"/>
  <c r="AA877" i="13"/>
  <c r="AA3184" i="13"/>
  <c r="AA2700" i="13"/>
  <c r="AA3506" i="13"/>
  <c r="AA346" i="13"/>
  <c r="AA1989" i="13"/>
  <c r="AA1737" i="13"/>
  <c r="AA2234" i="13"/>
  <c r="AA2970" i="13"/>
  <c r="AA3114" i="13"/>
  <c r="AA3481" i="13"/>
  <c r="AA1976" i="13"/>
  <c r="AA1897" i="13"/>
  <c r="AA2233" i="13"/>
  <c r="AA945" i="13"/>
  <c r="AA1736" i="13"/>
  <c r="AA985" i="13"/>
  <c r="AA3298" i="13"/>
  <c r="AA370" i="13"/>
  <c r="AA3196" i="13"/>
  <c r="AA1329" i="13"/>
  <c r="AA327" i="13"/>
  <c r="AA2349" i="13"/>
  <c r="AA1823" i="13"/>
  <c r="AA1191" i="13"/>
  <c r="AA1507" i="13"/>
  <c r="AA1444" i="13"/>
  <c r="AA2190" i="13"/>
  <c r="AA1891" i="13"/>
  <c r="AA3128" i="13"/>
  <c r="AA865" i="13"/>
  <c r="AA2823" i="13"/>
  <c r="AA2990" i="13"/>
  <c r="AA3510" i="13"/>
  <c r="AA2695" i="13"/>
  <c r="AA639" i="13"/>
  <c r="AA2251" i="13"/>
  <c r="AA2345" i="13"/>
  <c r="AA1286" i="13"/>
  <c r="AA898" i="13"/>
  <c r="AA1545" i="13"/>
  <c r="AA1365" i="13"/>
  <c r="AA2452" i="13"/>
  <c r="AA3310" i="13"/>
  <c r="AA2491" i="13"/>
  <c r="AA2460" i="13"/>
  <c r="AA3347" i="13"/>
  <c r="AA2773" i="13"/>
  <c r="AA1800" i="13"/>
  <c r="AA2610" i="13"/>
  <c r="AA2581" i="13"/>
  <c r="AA3202" i="13"/>
  <c r="AA1252" i="13"/>
  <c r="AA2756" i="13"/>
  <c r="AA1241" i="13"/>
  <c r="AA3314" i="13"/>
  <c r="AA3456" i="13"/>
  <c r="AA1544" i="13"/>
  <c r="AA2316" i="13"/>
  <c r="AA3262" i="13"/>
  <c r="AA3469" i="13"/>
  <c r="AA2654" i="13"/>
  <c r="AA3241" i="13"/>
  <c r="AA1483" i="13"/>
  <c r="AA2433" i="13"/>
  <c r="AA106" i="13"/>
  <c r="AA2271" i="13"/>
  <c r="AA2965" i="13"/>
  <c r="AA1489" i="13"/>
  <c r="AA2982" i="13"/>
  <c r="AA2828" i="13"/>
  <c r="AA1227" i="13"/>
  <c r="AA1532" i="13"/>
  <c r="AA1863" i="13"/>
  <c r="AA661" i="13"/>
  <c r="AA3206" i="13"/>
  <c r="AA941" i="13"/>
  <c r="AA1848" i="13"/>
  <c r="AA1237" i="13"/>
  <c r="AA1632" i="13"/>
  <c r="AA1098" i="13"/>
  <c r="AA3459" i="13"/>
  <c r="AA820" i="13"/>
  <c r="AA2895" i="13"/>
  <c r="AA212" i="13"/>
  <c r="AA336" i="13"/>
  <c r="AA1803" i="13"/>
  <c r="AA2865" i="13"/>
  <c r="AA1587" i="13"/>
  <c r="AA2394" i="13"/>
  <c r="AA3302" i="13"/>
  <c r="AA2228" i="13"/>
  <c r="AA1416" i="13"/>
  <c r="AA3233" i="13"/>
  <c r="AA1893" i="13"/>
  <c r="AA1336" i="13"/>
  <c r="AA1111" i="13"/>
  <c r="AA1567" i="13"/>
  <c r="AA247" i="13"/>
  <c r="AA2690" i="13"/>
  <c r="AA791" i="13"/>
  <c r="AA1456" i="13"/>
  <c r="AA1900" i="13"/>
  <c r="AA1775" i="13"/>
  <c r="AA1334" i="13"/>
  <c r="AA2725" i="13"/>
  <c r="AA2646" i="13"/>
  <c r="AA1289" i="13"/>
  <c r="AA3161" i="13"/>
  <c r="AA1145" i="13"/>
  <c r="AA1589" i="13"/>
  <c r="AA2055" i="13"/>
  <c r="AA1650" i="13"/>
  <c r="AA344" i="13"/>
  <c r="AA942" i="13"/>
  <c r="AA3461" i="13"/>
  <c r="AA1230" i="13"/>
  <c r="AA2095" i="13"/>
  <c r="AA3445" i="13"/>
  <c r="AA3307" i="13"/>
  <c r="AA3034" i="13"/>
  <c r="AA767" i="13"/>
  <c r="AA1772" i="13"/>
  <c r="AA1637" i="13"/>
  <c r="AA1985" i="13"/>
  <c r="AA2364" i="13"/>
  <c r="AA1531" i="13"/>
  <c r="AA1627" i="13"/>
  <c r="AA466" i="13"/>
  <c r="AA2242" i="13"/>
  <c r="AA3441" i="13"/>
  <c r="AA2076" i="13"/>
  <c r="AA1884" i="13"/>
  <c r="AA3437" i="13"/>
  <c r="AA2644" i="13"/>
  <c r="AA1806" i="13"/>
  <c r="AA2551" i="13"/>
  <c r="AA2093" i="13"/>
  <c r="AA2520" i="13"/>
  <c r="AA628" i="13"/>
  <c r="AA471" i="13"/>
  <c r="AA2214" i="13"/>
  <c r="AA1552" i="13"/>
  <c r="AA73" i="13"/>
  <c r="AA2075" i="13"/>
  <c r="AA2704" i="13"/>
  <c r="AA509" i="13"/>
  <c r="AA3062" i="13"/>
  <c r="AA70" i="13"/>
  <c r="AA1452" i="13"/>
  <c r="AA400" i="13"/>
  <c r="AA1134" i="13"/>
  <c r="AA756" i="13"/>
  <c r="AA2326" i="13"/>
  <c r="AA1560" i="13"/>
  <c r="AA2832" i="13"/>
  <c r="AA3465" i="13"/>
  <c r="AA2011" i="13"/>
  <c r="AA774" i="13"/>
  <c r="AA2762" i="13"/>
  <c r="AA2600" i="13"/>
  <c r="AA2421" i="13"/>
  <c r="AA3149" i="13"/>
  <c r="AA333" i="13"/>
  <c r="AA3176" i="13"/>
  <c r="AA1668" i="13"/>
  <c r="AA199" i="13"/>
  <c r="AA2556" i="13"/>
  <c r="AA278" i="13"/>
  <c r="AA1109" i="13"/>
  <c r="AA3261" i="13"/>
  <c r="AA2981" i="13"/>
  <c r="AA963" i="13"/>
  <c r="AA314" i="13"/>
  <c r="AA1778" i="13"/>
  <c r="AA2743" i="13"/>
  <c r="AA2530" i="13"/>
  <c r="AA786" i="13"/>
  <c r="AA1519" i="13"/>
  <c r="AA1773" i="13"/>
  <c r="AA2289" i="13"/>
  <c r="AA1197" i="13"/>
  <c r="AA1263" i="13"/>
  <c r="AA1280" i="13"/>
  <c r="AA2188" i="13"/>
  <c r="AA2500" i="13"/>
  <c r="AA3055" i="13"/>
  <c r="AA1777" i="13"/>
  <c r="AA3238" i="13"/>
  <c r="AA3069" i="13"/>
  <c r="AA447" i="13"/>
  <c r="AA1342" i="13"/>
  <c r="AA1881" i="13"/>
  <c r="AA2755" i="13"/>
  <c r="AA349" i="13"/>
  <c r="AA3083" i="13"/>
  <c r="AA1092" i="13"/>
  <c r="AA1047" i="13"/>
  <c r="AA808" i="13"/>
  <c r="AA2576" i="13"/>
  <c r="AA2138" i="13"/>
  <c r="AA1034" i="13"/>
  <c r="AA1278" i="13"/>
  <c r="AA1408" i="13"/>
  <c r="AA2461" i="13"/>
  <c r="AA373" i="13"/>
  <c r="AA3053" i="13"/>
  <c r="AA2968" i="13"/>
  <c r="AA2445" i="13"/>
  <c r="AA3431" i="13"/>
  <c r="AA956" i="13"/>
  <c r="AA1868" i="13"/>
  <c r="AA2248" i="13"/>
  <c r="AA2189" i="13"/>
  <c r="AA3283" i="13"/>
  <c r="AA2037" i="13"/>
  <c r="AA3160" i="13"/>
  <c r="AA752" i="13"/>
  <c r="AA2868" i="13"/>
  <c r="AA3142" i="13"/>
  <c r="AA2203" i="13"/>
  <c r="AA2004" i="13"/>
  <c r="AA2065" i="13"/>
  <c r="AA1523" i="13"/>
  <c r="AA932" i="13"/>
  <c r="AA931" i="13"/>
  <c r="AA1953" i="13"/>
  <c r="AA440" i="13"/>
  <c r="AA1504" i="13"/>
  <c r="AA3519" i="13"/>
  <c r="AA463" i="13"/>
  <c r="AA2951" i="13"/>
  <c r="AA1977" i="13"/>
  <c r="AA2106" i="13"/>
  <c r="AA1057" i="13"/>
  <c r="AA2719" i="13"/>
  <c r="AA424" i="13"/>
  <c r="AA2273" i="13"/>
  <c r="AA1473" i="13"/>
  <c r="AA1831" i="13"/>
  <c r="AA1722" i="13"/>
  <c r="AA140" i="13"/>
  <c r="AA547" i="13"/>
  <c r="AA2524" i="13"/>
  <c r="AA1273" i="13"/>
  <c r="AA3190" i="13"/>
  <c r="AA1707" i="13"/>
  <c r="AA588" i="13"/>
  <c r="AA3281" i="13"/>
  <c r="AA2310" i="13"/>
  <c r="AA2077" i="13"/>
  <c r="AA1142" i="13"/>
  <c r="AA3105" i="13"/>
  <c r="AA927" i="13"/>
  <c r="AA1992" i="13"/>
  <c r="AA252" i="13"/>
  <c r="AA656" i="13"/>
  <c r="AA211" i="13"/>
  <c r="AA2257" i="13"/>
  <c r="AA1776" i="13"/>
  <c r="AA1581" i="13"/>
  <c r="AA154" i="13"/>
  <c r="AA2254" i="13"/>
  <c r="AA2482" i="13"/>
  <c r="AA1755" i="13"/>
  <c r="AA3439" i="13"/>
  <c r="AA2208" i="13"/>
  <c r="AA1518" i="13"/>
  <c r="AA885" i="13"/>
  <c r="AA3255" i="13"/>
  <c r="AA2078" i="13"/>
  <c r="AA635" i="13"/>
  <c r="AA2125" i="13"/>
  <c r="AA1315" i="13"/>
  <c r="AA2739" i="13"/>
  <c r="AA1179" i="13"/>
  <c r="AA934" i="13"/>
  <c r="AA2915" i="13"/>
  <c r="AA3368" i="13"/>
  <c r="AA141" i="13"/>
  <c r="AA2752" i="13"/>
  <c r="AA2475" i="13"/>
  <c r="AA1374" i="13"/>
  <c r="AA994" i="13"/>
  <c r="AA2497" i="13"/>
  <c r="AA2978" i="13"/>
  <c r="AA2145" i="13"/>
  <c r="AA2328" i="13"/>
  <c r="AA2691" i="13"/>
  <c r="AA2786" i="13"/>
  <c r="AA2309" i="13"/>
  <c r="AA519" i="13"/>
  <c r="AA61" i="13"/>
  <c r="AA89" i="13"/>
  <c r="AA1838" i="13"/>
  <c r="AA601" i="13"/>
  <c r="AA2262" i="13"/>
  <c r="AA1912" i="13"/>
  <c r="AA2682" i="13"/>
  <c r="AA826" i="13"/>
  <c r="AA854" i="13"/>
  <c r="AA1647" i="13"/>
  <c r="AA1706" i="13"/>
  <c r="AA2927" i="13"/>
  <c r="AA2902" i="13"/>
  <c r="AA2560" i="13"/>
  <c r="AA957" i="13"/>
  <c r="AA2120" i="13"/>
  <c r="AA2765" i="13"/>
  <c r="AA1957" i="13"/>
  <c r="AA2423" i="13"/>
  <c r="AA1535" i="13"/>
  <c r="AA2051" i="13"/>
  <c r="AA3399" i="13"/>
  <c r="AA2623" i="13"/>
  <c r="AA3064" i="13"/>
  <c r="AA224" i="13"/>
  <c r="AA394" i="13"/>
  <c r="AA733" i="13"/>
  <c r="AA2019" i="13"/>
  <c r="AA319" i="13"/>
  <c r="AA1340" i="13"/>
  <c r="AA3109" i="13"/>
  <c r="AA2149" i="13"/>
  <c r="AA183" i="13"/>
  <c r="AA2401" i="13"/>
  <c r="AA3173" i="13"/>
  <c r="AA3342" i="13"/>
  <c r="AA2885" i="13"/>
  <c r="AA2568" i="13"/>
  <c r="AA1417" i="13"/>
  <c r="AA465" i="13"/>
  <c r="AA2858" i="13"/>
  <c r="AA2749" i="13"/>
  <c r="AA3132" i="13"/>
  <c r="AA2701" i="13"/>
  <c r="AA514" i="13"/>
  <c r="AA3415" i="13"/>
  <c r="AA2333" i="13"/>
  <c r="AA1026" i="13"/>
  <c r="AA1172" i="13"/>
  <c r="AA987" i="13"/>
  <c r="AA2162" i="13"/>
  <c r="AA806" i="13"/>
  <c r="AA2553" i="13"/>
  <c r="AA3067" i="13"/>
  <c r="AA630" i="13"/>
  <c r="AA3436" i="13"/>
  <c r="AA442" i="13"/>
  <c r="AA222" i="13"/>
  <c r="AA697" i="13"/>
  <c r="AA1029" i="13"/>
  <c r="AA3411" i="13"/>
  <c r="AA2759" i="13"/>
  <c r="AA1709" i="13"/>
  <c r="AA1817" i="13"/>
  <c r="AA58" i="13"/>
  <c r="AA751" i="13"/>
  <c r="AA544" i="13"/>
  <c r="AA1908" i="13"/>
  <c r="AA2499" i="13"/>
  <c r="AA1214" i="13"/>
  <c r="AA1620" i="13"/>
  <c r="AA1382" i="13"/>
  <c r="AA1406" i="13"/>
  <c r="AA2458" i="13"/>
  <c r="AA930" i="13"/>
  <c r="AA163" i="13"/>
  <c r="AA3005" i="13"/>
  <c r="AA510" i="13"/>
  <c r="AA3171" i="13"/>
  <c r="AA245" i="13"/>
  <c r="AA977" i="13"/>
  <c r="AA3398" i="13"/>
  <c r="AA3188" i="13"/>
  <c r="AA1113" i="13"/>
  <c r="AA362" i="13"/>
  <c r="AA398" i="13"/>
  <c r="AA297" i="13"/>
  <c r="AA2010" i="13"/>
  <c r="AA1754" i="13"/>
  <c r="AA2831" i="13"/>
  <c r="AA735" i="13"/>
  <c r="AA2593" i="13"/>
  <c r="AA1255" i="13"/>
  <c r="AA508" i="13"/>
  <c r="AA1858" i="13"/>
  <c r="AA453" i="13"/>
  <c r="AA1774" i="13"/>
  <c r="AA2182" i="13"/>
  <c r="AA2068" i="13"/>
  <c r="AA2882" i="13"/>
  <c r="AA85" i="13"/>
  <c r="AA126" i="13"/>
  <c r="AA1333" i="13"/>
  <c r="AA2674" i="13"/>
  <c r="AA782" i="13"/>
  <c r="AA2235" i="13"/>
  <c r="AA954" i="13"/>
  <c r="AA2472" i="13"/>
  <c r="AA2135" i="13"/>
  <c r="AA2284" i="13"/>
  <c r="AA376" i="13"/>
  <c r="AA3080" i="13"/>
  <c r="AA2534" i="13"/>
  <c r="AA494" i="13"/>
  <c r="AA2744" i="13"/>
  <c r="AA2107" i="13"/>
  <c r="AA347" i="13"/>
  <c r="AA3379" i="13"/>
  <c r="AA2923" i="13"/>
  <c r="AA78" i="13"/>
  <c r="AA111" i="13"/>
  <c r="AA2937" i="13"/>
  <c r="AA2366" i="13"/>
  <c r="AA553" i="13"/>
  <c r="AA2241" i="13"/>
  <c r="AA1673" i="13"/>
  <c r="AA1281" i="13"/>
  <c r="AA1971" i="13"/>
  <c r="AA363" i="13"/>
  <c r="AA2648" i="13"/>
  <c r="AA973" i="13"/>
  <c r="AA1135" i="13"/>
  <c r="AA322" i="13"/>
  <c r="AA2684" i="13"/>
  <c r="AA727" i="13"/>
  <c r="AA1387" i="13"/>
  <c r="AA948" i="13"/>
  <c r="AA3209" i="13"/>
  <c r="AA3168" i="13"/>
  <c r="AA1786" i="13"/>
  <c r="AA618" i="13"/>
  <c r="AA2824" i="13"/>
  <c r="AA909" i="13"/>
  <c r="AA1645" i="13"/>
  <c r="AA2022" i="13"/>
  <c r="AA3468" i="13"/>
  <c r="AA638" i="13"/>
  <c r="AA2583" i="13"/>
  <c r="AA3201" i="13"/>
  <c r="AA275" i="13"/>
  <c r="AA716" i="13"/>
  <c r="AA990" i="13"/>
  <c r="AA3333" i="13"/>
  <c r="AA1882" i="13"/>
  <c r="AA1496" i="13"/>
  <c r="AA515" i="13"/>
  <c r="AA147" i="13"/>
  <c r="AA2584" i="13"/>
  <c r="AA88" i="13"/>
  <c r="AA2381" i="13"/>
  <c r="AA1622" i="13"/>
  <c r="AA2225" i="13"/>
  <c r="AA2301" i="13"/>
  <c r="AA616" i="13"/>
  <c r="AA604" i="13"/>
  <c r="AA1468" i="13"/>
  <c r="AA217" i="13"/>
  <c r="AA418" i="13"/>
  <c r="AA2688" i="13"/>
  <c r="AA1399" i="13"/>
  <c r="AA2859" i="13"/>
  <c r="AA1106" i="13"/>
  <c r="AA2972" i="13"/>
  <c r="AA3210" i="13"/>
  <c r="AA2133" i="13"/>
  <c r="AA3350" i="13"/>
  <c r="AA2080" i="13"/>
  <c r="AA2975" i="13"/>
  <c r="AA2595" i="13"/>
  <c r="AA2808" i="13"/>
  <c r="AA1206" i="13"/>
  <c r="AA2819" i="13"/>
  <c r="AA1730" i="13"/>
  <c r="AA2522" i="13"/>
  <c r="AA1400" i="13"/>
  <c r="AA1314" i="13"/>
  <c r="AA351" i="13"/>
  <c r="AA324" i="13"/>
  <c r="AA331" i="13"/>
  <c r="AA823" i="13"/>
  <c r="AA3182" i="13"/>
  <c r="AA1411" i="13"/>
  <c r="AA922" i="13"/>
  <c r="AA1687" i="13"/>
  <c r="AA2675" i="13"/>
  <c r="AA3026" i="13"/>
  <c r="AA3376" i="13"/>
  <c r="AA3185" i="13"/>
  <c r="AA253" i="13"/>
  <c r="AA38" i="13"/>
  <c r="AA1458" i="13"/>
  <c r="AA2645" i="13"/>
  <c r="AA1397" i="13"/>
  <c r="AA1534" i="13"/>
  <c r="AA879" i="13"/>
  <c r="AA2698" i="13"/>
  <c r="AA33" i="13"/>
  <c r="AA1285" i="13"/>
  <c r="AA243" i="13"/>
  <c r="AA2740" i="13"/>
  <c r="AA301" i="13"/>
  <c r="AA220" i="13"/>
  <c r="AA354" i="13"/>
  <c r="AA1649" i="13"/>
  <c r="AA913" i="13"/>
  <c r="AA687" i="13"/>
  <c r="AA2370" i="13"/>
  <c r="AA2925" i="13"/>
  <c r="AA1764" i="13"/>
  <c r="AA2493" i="13"/>
  <c r="AA748" i="13"/>
  <c r="AA1212" i="13"/>
  <c r="AA529" i="13"/>
  <c r="AA2736" i="13"/>
  <c r="AA51" i="13"/>
  <c r="AA1434" i="13"/>
  <c r="AA3444" i="13"/>
  <c r="AA2172" i="13"/>
  <c r="AA2628" i="13"/>
  <c r="AA1980" i="13"/>
  <c r="AA1459" i="13"/>
  <c r="AA3208" i="13"/>
  <c r="AA1841" i="13"/>
  <c r="AA1769" i="13"/>
  <c r="AA3327" i="13"/>
  <c r="AA3296" i="13"/>
  <c r="AA286" i="13"/>
  <c r="AA1724" i="13"/>
  <c r="AA1878" i="13"/>
  <c r="AA456" i="13"/>
  <c r="AA674" i="13"/>
  <c r="AA3400" i="13"/>
  <c r="AA2521" i="13"/>
  <c r="AA2092" i="13"/>
  <c r="AA2161" i="13"/>
  <c r="AA3242" i="13"/>
  <c r="AA1115" i="13"/>
  <c r="AA1648" i="13"/>
  <c r="AA3268" i="13"/>
  <c r="AA2932" i="13"/>
  <c r="AA3489" i="13"/>
  <c r="AA2969" i="13"/>
  <c r="AA3503" i="13"/>
  <c r="AA169" i="13"/>
  <c r="AA753" i="13"/>
  <c r="AA2886" i="13"/>
  <c r="AA2883" i="13"/>
  <c r="AA3155" i="13"/>
  <c r="AA1690" i="13"/>
  <c r="AA499" i="13"/>
  <c r="AA886" i="13"/>
  <c r="AA201" i="13"/>
  <c r="AA1616" i="13"/>
  <c r="AA2685" i="13"/>
  <c r="AA1705" i="13"/>
  <c r="AA1182" i="13"/>
  <c r="AA1833" i="13"/>
  <c r="AA2375" i="13"/>
  <c r="AA1398" i="13"/>
  <c r="AA1961" i="13"/>
  <c r="AA1068" i="13"/>
  <c r="AA1968" i="13"/>
  <c r="AA2158" i="13"/>
  <c r="AA1208" i="13"/>
  <c r="AA360" i="13"/>
  <c r="AA1573" i="13"/>
  <c r="AA3199" i="13"/>
  <c r="AA75" i="13"/>
  <c r="AA2040" i="13"/>
  <c r="AA1557" i="13"/>
  <c r="AA1297" i="13"/>
  <c r="AA843" i="13"/>
  <c r="AA3054" i="13"/>
  <c r="AA1231" i="13"/>
  <c r="AA1009" i="13"/>
  <c r="AA2516" i="13"/>
  <c r="AA3417" i="13"/>
  <c r="AA1423" i="13"/>
  <c r="AA1294" i="13"/>
  <c r="AA3301" i="13"/>
  <c r="AA1293" i="13"/>
  <c r="AA3448" i="13"/>
  <c r="AA185" i="13"/>
  <c r="AA1966" i="13"/>
  <c r="AA454" i="13"/>
  <c r="AA1781" i="13"/>
  <c r="AA410" i="13"/>
  <c r="AA1798" i="13"/>
  <c r="AA1076" i="13"/>
  <c r="AA3294" i="13"/>
  <c r="AA855" i="13"/>
  <c r="AA3357" i="13"/>
  <c r="AA3036" i="13"/>
  <c r="AA1071" i="13"/>
  <c r="AA1448" i="13"/>
  <c r="AA1619" i="13"/>
  <c r="AA2788" i="13"/>
  <c r="AA645" i="13"/>
  <c r="AA3030" i="13"/>
  <c r="AA1743" i="13"/>
  <c r="AA2199" i="13"/>
  <c r="AA1453" i="13"/>
  <c r="AA1963" i="13"/>
  <c r="AA1713" i="13"/>
  <c r="AA819" i="13"/>
  <c r="AA1667" i="13"/>
  <c r="AA785" i="13"/>
  <c r="AA1768" i="13"/>
  <c r="AA2909" i="13"/>
  <c r="AA2299" i="13"/>
  <c r="AA3174" i="13"/>
  <c r="AA869" i="13"/>
  <c r="AA368" i="13"/>
  <c r="AA3022" i="13"/>
  <c r="AA1264" i="13"/>
  <c r="AA2038" i="13"/>
  <c r="AA2201" i="13"/>
  <c r="AA1485" i="13"/>
  <c r="AA821" i="13"/>
  <c r="AA2763" i="13"/>
  <c r="AA3058" i="13"/>
  <c r="AA1702" i="13"/>
  <c r="AA3056" i="13"/>
  <c r="AA2679" i="13"/>
  <c r="AA3364" i="13"/>
  <c r="AA64" i="13"/>
  <c r="AA1883" i="13"/>
  <c r="AA2650" i="13"/>
  <c r="AA3340" i="13"/>
  <c r="AA1721" i="13"/>
  <c r="AA3453" i="13"/>
  <c r="AA2550" i="13"/>
  <c r="AA1739" i="13"/>
  <c r="AA3012" i="13"/>
  <c r="AA2217" i="13"/>
  <c r="AA703" i="13"/>
  <c r="AA1604" i="13"/>
  <c r="AA3187" i="13"/>
  <c r="AA407" i="13"/>
  <c r="AA1852" i="13"/>
  <c r="AA3115" i="13"/>
  <c r="AA2352" i="13"/>
  <c r="AA3504" i="13"/>
  <c r="AA2373" i="13"/>
  <c r="AA2585" i="13"/>
  <c r="AA384" i="13"/>
  <c r="AA647" i="13"/>
  <c r="AA2341" i="13"/>
  <c r="AA2331" i="13"/>
  <c r="AA1126" i="13"/>
  <c r="AA2293" i="13"/>
  <c r="AA981" i="13"/>
  <c r="AA2344" i="13"/>
  <c r="AA1258" i="13"/>
  <c r="AA530" i="13"/>
  <c r="AA1443" i="13"/>
  <c r="AA2557" i="13"/>
  <c r="AA845" i="13"/>
  <c r="AA303" i="13"/>
  <c r="AA762" i="13"/>
  <c r="AA3081" i="13"/>
  <c r="AA1096" i="13"/>
  <c r="AA1018" i="13"/>
  <c r="AA120" i="13"/>
  <c r="AA59" i="13"/>
  <c r="AA1631" i="13"/>
  <c r="AA2298" i="13"/>
  <c r="AA2513" i="13"/>
  <c r="AA2008" i="13"/>
  <c r="AA2425" i="13"/>
  <c r="AA1160" i="13"/>
  <c r="AA2197" i="13"/>
  <c r="AA3152" i="13"/>
  <c r="AA3040" i="13"/>
  <c r="AA2894" i="13"/>
  <c r="AA2088" i="13"/>
  <c r="AA1784" i="13"/>
  <c r="AA2085" i="13"/>
  <c r="AA1152" i="13"/>
  <c r="AA3337" i="13"/>
  <c r="AA3396" i="13"/>
  <c r="AA27" i="13"/>
  <c r="AA2176" i="13"/>
  <c r="AA1300" i="13"/>
  <c r="AA2449" i="13"/>
  <c r="AA2227" i="13"/>
  <c r="AA2429" i="13"/>
  <c r="AA1058" i="13"/>
  <c r="AA1376" i="13"/>
  <c r="AA784" i="13"/>
  <c r="AA1651" i="13"/>
  <c r="AA3406" i="13"/>
  <c r="AA292" i="13"/>
  <c r="AA3020" i="13"/>
  <c r="AA568" i="13"/>
  <c r="AA936" i="13"/>
  <c r="AA2655" i="13"/>
  <c r="AA1771" i="13"/>
  <c r="AA904" i="13"/>
  <c r="AA550" i="13"/>
  <c r="AA3538" i="13"/>
  <c r="AA2632" i="13"/>
  <c r="AA298" i="13"/>
  <c r="AA2526" i="13"/>
  <c r="AA3380" i="13"/>
  <c r="AA268" i="13"/>
  <c r="AA2542" i="13"/>
  <c r="AA2450" i="13"/>
  <c r="AA359" i="13"/>
  <c r="AA402" i="13"/>
  <c r="AA771" i="13"/>
  <c r="AA729" i="13"/>
  <c r="AA3483" i="13"/>
  <c r="AA3366" i="13"/>
  <c r="AA3129" i="13"/>
  <c r="AA999" i="13"/>
  <c r="AA3511" i="13"/>
  <c r="AA1270" i="13"/>
  <c r="AA3344" i="13"/>
  <c r="AA1317" i="13"/>
  <c r="AA117" i="13"/>
  <c r="AA3421" i="13"/>
  <c r="AA1199" i="13"/>
  <c r="AA3293" i="13"/>
  <c r="AA2291" i="13"/>
  <c r="AA3172" i="13"/>
  <c r="AA2422" i="13"/>
  <c r="AA1974" i="13"/>
  <c r="AA2436" i="13"/>
  <c r="AA2033" i="13"/>
  <c r="AA1435" i="13"/>
  <c r="AA757" i="13"/>
  <c r="AA1464" i="13"/>
  <c r="AA1638" i="13"/>
  <c r="AA1932" i="13"/>
  <c r="AA1250" i="13"/>
  <c r="AA584" i="13"/>
  <c r="AA1685" i="13"/>
  <c r="AA2555" i="13"/>
  <c r="AA231" i="13"/>
  <c r="AA496" i="13"/>
  <c r="AA1958" i="13"/>
  <c r="AA2473" i="13"/>
  <c r="AA2881" i="13"/>
  <c r="AA3484" i="13"/>
  <c r="AA3522" i="13"/>
  <c r="AA600" i="13"/>
  <c r="AA1415" i="13"/>
  <c r="AA531" i="13"/>
  <c r="H4" i="13"/>
  <c r="G4" i="13"/>
  <c r="K7" i="13"/>
  <c r="J7" i="13"/>
  <c r="I4" i="13" l="1"/>
  <c r="H7" i="13"/>
  <c r="G7" i="13"/>
  <c r="I7" i="13" s="1"/>
  <c r="J14" i="13"/>
  <c r="G14" i="13" l="1"/>
  <c r="K14" i="13"/>
  <c r="H14" i="13" l="1"/>
  <c r="I14" i="13" s="1"/>
  <c r="K10" i="13"/>
  <c r="J10" i="13"/>
  <c r="H10" i="13" l="1"/>
  <c r="G10" i="13"/>
  <c r="K13" i="13"/>
  <c r="J13" i="13"/>
  <c r="I10" i="13" l="1"/>
  <c r="H13" i="13"/>
  <c r="G13" i="13"/>
  <c r="K5" i="13"/>
  <c r="J5" i="13"/>
  <c r="I13" i="13" l="1"/>
  <c r="H5" i="13"/>
  <c r="G5" i="13"/>
  <c r="J8" i="13"/>
  <c r="K8" i="13"/>
  <c r="I5" i="13" l="1"/>
  <c r="H8" i="13"/>
  <c r="G8" i="13"/>
  <c r="J15" i="13"/>
  <c r="I8" i="13" l="1"/>
  <c r="G15" i="13"/>
  <c r="K15" i="13"/>
  <c r="H15" i="13" l="1"/>
  <c r="I15" i="13" s="1"/>
  <c r="J9" i="13"/>
  <c r="K9" i="13"/>
  <c r="H9" i="13" l="1"/>
  <c r="G9" i="13"/>
  <c r="J16" i="13"/>
  <c r="I9" i="13" l="1"/>
  <c r="G16" i="13"/>
  <c r="K16" i="13"/>
  <c r="H16" i="13" l="1"/>
  <c r="I16" i="13" s="1"/>
  <c r="K12" i="13" l="1"/>
  <c r="J12" i="13"/>
  <c r="J11" i="13"/>
  <c r="J6" i="13"/>
  <c r="K6" i="13"/>
  <c r="H6" i="13" l="1"/>
  <c r="G6" i="13"/>
  <c r="G11" i="13"/>
  <c r="G12" i="13"/>
  <c r="H12" i="13"/>
  <c r="I12" i="13" l="1"/>
  <c r="I6" i="13"/>
  <c r="J3" i="13" l="1"/>
  <c r="K11" i="13"/>
  <c r="K3" i="13"/>
  <c r="G3" i="13" l="1"/>
  <c r="H3" i="13"/>
  <c r="I3" i="13" s="1"/>
  <c r="H11" i="13"/>
  <c r="I11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<sst xmlns="http://schemas.openxmlformats.org/spreadsheetml/2006/main" count="331" uniqueCount="176">
  <si>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</si>
  <si>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</si>
  <si>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</si>
  <si>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</si>
  <si>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</si>
  <si>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</si>
  <si>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</si>
  <si>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</si>
  <si>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</si>
  <si>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</si>
  <si>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</si>
  <si>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</si>
  <si>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</si>
  <si>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</si>
  <si>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</si>
  <si>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</si>
  <si>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</si>
  <si>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</si>
  <si>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</si>
  <si>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</si>
  <si>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</si>
  <si>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</si>
  <si>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</si>
  <si>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</si>
  <si>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</si>
  <si>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</si>
  <si>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</si>
  <si>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</si>
  <si>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</si>
  <si>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</si>
  <si>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</si>
  <si>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</si>
  <si>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</si>
  <si>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</si>
  <si>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</si>
  <si>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</si>
  <si>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</si>
  <si>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</si>
  <si>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</si>
  <si>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</si>
  <si>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</si>
  <si>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</si>
  <si>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</si>
  <si>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</si>
  <si>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</si>
  <si>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</si>
  <si>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</si>
  <si>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</si>
  <si>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</si>
  <si>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</si>
  <si>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</si>
  <si>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</si>
  <si>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</si>
  <si>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</si>
  <si>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</si>
  <si>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</si>
  <si>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</si>
  <si>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</si>
  <si>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</si>
  <si>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</si>
  <si>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</si>
  <si>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</si>
  <si>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</si>
  <si>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</si>
  <si>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</si>
  <si>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</si>
  <si>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</si>
  <si>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</si>
  <si>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</si>
  <si>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</si>
  <si>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</si>
  <si>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</si>
  <si>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</si>
  <si>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</si>
  <si>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</si>
  <si>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</si>
  <si>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</si>
  <si>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</si>
  <si>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</si>
  <si>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</si>
  <si>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</si>
  <si>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</si>
  <si>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</si>
  <si>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</si>
  <si>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</si>
  <si>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</si>
  <si>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</si>
  <si>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</si>
  <si>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</si>
  <si>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</si>
  <si>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</si>
  <si>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</si>
  <si>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</si>
  <si>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</si>
  <si>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</si>
  <si>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</si>
  <si>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</si>
  <si>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</si>
  <si>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</si>
  <si>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</si>
  <si>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</si>
  <si>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</si>
  <si>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</si>
  <si>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</si>
  <si>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</si>
  <si>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</si>
  <si>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</si>
  <si>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</si>
  <si>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</si>
  <si>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</si>
  <si>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</si>
  <si>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</si>
  <si>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</si>
  <si>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</si>
  <si>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</si>
  <si>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</si>
  <si>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</si>
  <si>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</si>
  <si>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</si>
  <si>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</si>
  <si>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</si>
  <si>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</si>
  <si>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</si>
  <si>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</si>
  <si>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</si>
  <si>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</si>
  <si>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</si>
  <si>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</si>
  <si>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</si>
  <si>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</si>
  <si>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</si>
  <si>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</si>
  <si>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</si>
  <si>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</si>
  <si>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</si>
  <si>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</si>
  <si>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</si>
  <si>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</si>
  <si>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</si>
  <si>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</si>
  <si>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</si>
  <si>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</si>
  <si>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</si>
  <si>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</si>
  <si>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</si>
  <si>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</si>
  <si>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</si>
  <si>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</si>
  <si>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</si>
  <si>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</si>
  <si>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</si>
  <si>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</si>
  <si>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</si>
  <si>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</si>
  <si>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</si>
  <si>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</si>
  <si>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</si>
  <si>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</si>
  <si>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</si>
  <si>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</si>
  <si>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</si>
  <si>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</si>
  <si>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</si>
  <si>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</si>
  <si>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</si>
  <si>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</si>
  <si>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</si>
  <si>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</si>
  <si>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</si>
  <si>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</si>
  <si>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</si>
  <si>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</si>
  <si>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</si>
  <si>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</si>
  <si>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 Calendar</t>
  </si>
  <si>
    <t>JoinHolidays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</si>
</sst>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30" fillId="2" borderId="0" xfId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42034</c:v>
                </c:pt>
                <c:pt idx="1">
                  <c:v>42037</c:v>
                </c:pt>
                <c:pt idx="2">
                  <c:v>42038</c:v>
                </c:pt>
                <c:pt idx="3">
                  <c:v>42039</c:v>
                </c:pt>
                <c:pt idx="4">
                  <c:v>42040</c:v>
                </c:pt>
                <c:pt idx="5">
                  <c:v>42041</c:v>
                </c:pt>
                <c:pt idx="6">
                  <c:v>42044</c:v>
                </c:pt>
                <c:pt idx="7">
                  <c:v>42045</c:v>
                </c:pt>
                <c:pt idx="8">
                  <c:v>42046</c:v>
                </c:pt>
                <c:pt idx="9">
                  <c:v>42047</c:v>
                </c:pt>
                <c:pt idx="10">
                  <c:v>42048</c:v>
                </c:pt>
                <c:pt idx="11">
                  <c:v>42052</c:v>
                </c:pt>
                <c:pt idx="12">
                  <c:v>42052</c:v>
                </c:pt>
                <c:pt idx="13">
                  <c:v>42053</c:v>
                </c:pt>
                <c:pt idx="14">
                  <c:v>42054</c:v>
                </c:pt>
                <c:pt idx="15">
                  <c:v>42055</c:v>
                </c:pt>
                <c:pt idx="16">
                  <c:v>42058</c:v>
                </c:pt>
                <c:pt idx="17">
                  <c:v>42059</c:v>
                </c:pt>
                <c:pt idx="18">
                  <c:v>42060</c:v>
                </c:pt>
                <c:pt idx="19">
                  <c:v>42061</c:v>
                </c:pt>
                <c:pt idx="20">
                  <c:v>42062</c:v>
                </c:pt>
                <c:pt idx="21">
                  <c:v>42065</c:v>
                </c:pt>
                <c:pt idx="22">
                  <c:v>42066</c:v>
                </c:pt>
                <c:pt idx="23">
                  <c:v>42067</c:v>
                </c:pt>
                <c:pt idx="24">
                  <c:v>42068</c:v>
                </c:pt>
                <c:pt idx="25">
                  <c:v>42069</c:v>
                </c:pt>
                <c:pt idx="26">
                  <c:v>42072</c:v>
                </c:pt>
                <c:pt idx="27">
                  <c:v>42073</c:v>
                </c:pt>
                <c:pt idx="28">
                  <c:v>42074</c:v>
                </c:pt>
                <c:pt idx="29">
                  <c:v>42075</c:v>
                </c:pt>
                <c:pt idx="30">
                  <c:v>42076</c:v>
                </c:pt>
                <c:pt idx="31">
                  <c:v>42079</c:v>
                </c:pt>
                <c:pt idx="32">
                  <c:v>42080</c:v>
                </c:pt>
                <c:pt idx="33">
                  <c:v>42081</c:v>
                </c:pt>
                <c:pt idx="34">
                  <c:v>42082</c:v>
                </c:pt>
                <c:pt idx="35">
                  <c:v>42083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42093</c:v>
                </c:pt>
                <c:pt idx="42">
                  <c:v>42094</c:v>
                </c:pt>
                <c:pt idx="43">
                  <c:v>42095</c:v>
                </c:pt>
                <c:pt idx="44">
                  <c:v>42096</c:v>
                </c:pt>
                <c:pt idx="45">
                  <c:v>42101</c:v>
                </c:pt>
                <c:pt idx="46">
                  <c:v>42102</c:v>
                </c:pt>
                <c:pt idx="47">
                  <c:v>42103</c:v>
                </c:pt>
                <c:pt idx="48">
                  <c:v>42104</c:v>
                </c:pt>
                <c:pt idx="49">
                  <c:v>42107</c:v>
                </c:pt>
                <c:pt idx="50">
                  <c:v>42108</c:v>
                </c:pt>
                <c:pt idx="51">
                  <c:v>42109</c:v>
                </c:pt>
                <c:pt idx="52">
                  <c:v>42110</c:v>
                </c:pt>
                <c:pt idx="53">
                  <c:v>42111</c:v>
                </c:pt>
                <c:pt idx="54">
                  <c:v>42114</c:v>
                </c:pt>
                <c:pt idx="55">
                  <c:v>42115</c:v>
                </c:pt>
                <c:pt idx="56">
                  <c:v>42116</c:v>
                </c:pt>
                <c:pt idx="57">
                  <c:v>42117</c:v>
                </c:pt>
                <c:pt idx="58">
                  <c:v>42118</c:v>
                </c:pt>
                <c:pt idx="59">
                  <c:v>42121</c:v>
                </c:pt>
                <c:pt idx="60">
                  <c:v>42122</c:v>
                </c:pt>
                <c:pt idx="61">
                  <c:v>42123</c:v>
                </c:pt>
                <c:pt idx="62">
                  <c:v>42124</c:v>
                </c:pt>
                <c:pt idx="63">
                  <c:v>42125</c:v>
                </c:pt>
                <c:pt idx="64">
                  <c:v>42129</c:v>
                </c:pt>
                <c:pt idx="65">
                  <c:v>42130</c:v>
                </c:pt>
                <c:pt idx="66">
                  <c:v>42131</c:v>
                </c:pt>
                <c:pt idx="67">
                  <c:v>42132</c:v>
                </c:pt>
                <c:pt idx="68">
                  <c:v>42135</c:v>
                </c:pt>
                <c:pt idx="69">
                  <c:v>42136</c:v>
                </c:pt>
                <c:pt idx="70">
                  <c:v>42137</c:v>
                </c:pt>
                <c:pt idx="71">
                  <c:v>42138</c:v>
                </c:pt>
                <c:pt idx="72">
                  <c:v>42139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42145</c:v>
                </c:pt>
                <c:pt idx="77">
                  <c:v>42146</c:v>
                </c:pt>
                <c:pt idx="78">
                  <c:v>42150</c:v>
                </c:pt>
                <c:pt idx="79">
                  <c:v>42151</c:v>
                </c:pt>
                <c:pt idx="80">
                  <c:v>42152</c:v>
                </c:pt>
                <c:pt idx="81">
                  <c:v>42153</c:v>
                </c:pt>
                <c:pt idx="82">
                  <c:v>42156</c:v>
                </c:pt>
                <c:pt idx="83">
                  <c:v>42157</c:v>
                </c:pt>
                <c:pt idx="84">
                  <c:v>42158</c:v>
                </c:pt>
                <c:pt idx="85">
                  <c:v>42159</c:v>
                </c:pt>
                <c:pt idx="86">
                  <c:v>42160</c:v>
                </c:pt>
                <c:pt idx="87">
                  <c:v>42163</c:v>
                </c:pt>
                <c:pt idx="88">
                  <c:v>42164</c:v>
                </c:pt>
                <c:pt idx="89">
                  <c:v>42165</c:v>
                </c:pt>
                <c:pt idx="90">
                  <c:v>42166</c:v>
                </c:pt>
                <c:pt idx="91">
                  <c:v>42167</c:v>
                </c:pt>
                <c:pt idx="92">
                  <c:v>42170</c:v>
                </c:pt>
                <c:pt idx="93">
                  <c:v>42171</c:v>
                </c:pt>
                <c:pt idx="94">
                  <c:v>42172</c:v>
                </c:pt>
                <c:pt idx="95">
                  <c:v>42173</c:v>
                </c:pt>
                <c:pt idx="96">
                  <c:v>42174</c:v>
                </c:pt>
                <c:pt idx="97">
                  <c:v>42177</c:v>
                </c:pt>
                <c:pt idx="98">
                  <c:v>42178</c:v>
                </c:pt>
                <c:pt idx="99">
                  <c:v>42179</c:v>
                </c:pt>
                <c:pt idx="100">
                  <c:v>42180</c:v>
                </c:pt>
                <c:pt idx="101">
                  <c:v>42181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42191</c:v>
                </c:pt>
                <c:pt idx="107">
                  <c:v>42191</c:v>
                </c:pt>
                <c:pt idx="108">
                  <c:v>42192</c:v>
                </c:pt>
                <c:pt idx="109">
                  <c:v>42193</c:v>
                </c:pt>
                <c:pt idx="110">
                  <c:v>42194</c:v>
                </c:pt>
                <c:pt idx="111">
                  <c:v>42195</c:v>
                </c:pt>
                <c:pt idx="112">
                  <c:v>42198</c:v>
                </c:pt>
                <c:pt idx="113">
                  <c:v>42199</c:v>
                </c:pt>
                <c:pt idx="114">
                  <c:v>42200</c:v>
                </c:pt>
                <c:pt idx="115">
                  <c:v>42201</c:v>
                </c:pt>
                <c:pt idx="116">
                  <c:v>42202</c:v>
                </c:pt>
                <c:pt idx="117">
                  <c:v>42205</c:v>
                </c:pt>
                <c:pt idx="118">
                  <c:v>42206</c:v>
                </c:pt>
                <c:pt idx="119">
                  <c:v>42207</c:v>
                </c:pt>
                <c:pt idx="120">
                  <c:v>42208</c:v>
                </c:pt>
                <c:pt idx="121">
                  <c:v>42209</c:v>
                </c:pt>
                <c:pt idx="122">
                  <c:v>42212</c:v>
                </c:pt>
                <c:pt idx="123">
                  <c:v>42213</c:v>
                </c:pt>
                <c:pt idx="124">
                  <c:v>42214</c:v>
                </c:pt>
                <c:pt idx="125">
                  <c:v>42215</c:v>
                </c:pt>
                <c:pt idx="126">
                  <c:v>42216</c:v>
                </c:pt>
                <c:pt idx="127">
                  <c:v>42219</c:v>
                </c:pt>
                <c:pt idx="128">
                  <c:v>42220</c:v>
                </c:pt>
                <c:pt idx="129">
                  <c:v>42221</c:v>
                </c:pt>
                <c:pt idx="130">
                  <c:v>42222</c:v>
                </c:pt>
                <c:pt idx="131">
                  <c:v>42223</c:v>
                </c:pt>
                <c:pt idx="132">
                  <c:v>42226</c:v>
                </c:pt>
                <c:pt idx="133">
                  <c:v>42227</c:v>
                </c:pt>
                <c:pt idx="134">
                  <c:v>42228</c:v>
                </c:pt>
                <c:pt idx="135">
                  <c:v>42229</c:v>
                </c:pt>
                <c:pt idx="136">
                  <c:v>42230</c:v>
                </c:pt>
                <c:pt idx="137">
                  <c:v>42233</c:v>
                </c:pt>
                <c:pt idx="138">
                  <c:v>42234</c:v>
                </c:pt>
                <c:pt idx="139">
                  <c:v>42235</c:v>
                </c:pt>
                <c:pt idx="140">
                  <c:v>42236</c:v>
                </c:pt>
                <c:pt idx="141">
                  <c:v>42237</c:v>
                </c:pt>
                <c:pt idx="142">
                  <c:v>42240</c:v>
                </c:pt>
                <c:pt idx="143">
                  <c:v>42241</c:v>
                </c:pt>
                <c:pt idx="144">
                  <c:v>42242</c:v>
                </c:pt>
                <c:pt idx="145">
                  <c:v>42243</c:v>
                </c:pt>
                <c:pt idx="146">
                  <c:v>42244</c:v>
                </c:pt>
                <c:pt idx="147">
                  <c:v>42248</c:v>
                </c:pt>
                <c:pt idx="148">
                  <c:v>42249</c:v>
                </c:pt>
                <c:pt idx="149">
                  <c:v>42250</c:v>
                </c:pt>
                <c:pt idx="150">
                  <c:v>42251</c:v>
                </c:pt>
                <c:pt idx="151">
                  <c:v>42255</c:v>
                </c:pt>
                <c:pt idx="152">
                  <c:v>42255</c:v>
                </c:pt>
                <c:pt idx="153">
                  <c:v>42256</c:v>
                </c:pt>
                <c:pt idx="154">
                  <c:v>42257</c:v>
                </c:pt>
                <c:pt idx="155">
                  <c:v>42258</c:v>
                </c:pt>
                <c:pt idx="156">
                  <c:v>42261</c:v>
                </c:pt>
                <c:pt idx="157">
                  <c:v>42262</c:v>
                </c:pt>
                <c:pt idx="158">
                  <c:v>42263</c:v>
                </c:pt>
                <c:pt idx="159">
                  <c:v>42264</c:v>
                </c:pt>
                <c:pt idx="160">
                  <c:v>42265</c:v>
                </c:pt>
                <c:pt idx="161">
                  <c:v>42268</c:v>
                </c:pt>
                <c:pt idx="162">
                  <c:v>42269</c:v>
                </c:pt>
                <c:pt idx="163">
                  <c:v>42270</c:v>
                </c:pt>
                <c:pt idx="164">
                  <c:v>42271</c:v>
                </c:pt>
                <c:pt idx="165">
                  <c:v>42272</c:v>
                </c:pt>
                <c:pt idx="166">
                  <c:v>42275</c:v>
                </c:pt>
                <c:pt idx="167">
                  <c:v>42276</c:v>
                </c:pt>
                <c:pt idx="168">
                  <c:v>42277</c:v>
                </c:pt>
                <c:pt idx="169">
                  <c:v>42278</c:v>
                </c:pt>
                <c:pt idx="170">
                  <c:v>42279</c:v>
                </c:pt>
                <c:pt idx="171">
                  <c:v>42282</c:v>
                </c:pt>
                <c:pt idx="172">
                  <c:v>42283</c:v>
                </c:pt>
                <c:pt idx="173">
                  <c:v>42284</c:v>
                </c:pt>
                <c:pt idx="174">
                  <c:v>42285</c:v>
                </c:pt>
                <c:pt idx="175">
                  <c:v>42286</c:v>
                </c:pt>
                <c:pt idx="176">
                  <c:v>42290</c:v>
                </c:pt>
                <c:pt idx="177">
                  <c:v>42290</c:v>
                </c:pt>
                <c:pt idx="178">
                  <c:v>42291</c:v>
                </c:pt>
                <c:pt idx="179">
                  <c:v>42292</c:v>
                </c:pt>
                <c:pt idx="180">
                  <c:v>42293</c:v>
                </c:pt>
                <c:pt idx="181">
                  <c:v>42296</c:v>
                </c:pt>
                <c:pt idx="182">
                  <c:v>42297</c:v>
                </c:pt>
                <c:pt idx="183">
                  <c:v>42298</c:v>
                </c:pt>
                <c:pt idx="184">
                  <c:v>42299</c:v>
                </c:pt>
                <c:pt idx="185">
                  <c:v>42300</c:v>
                </c:pt>
                <c:pt idx="186">
                  <c:v>42303</c:v>
                </c:pt>
                <c:pt idx="187">
                  <c:v>42304</c:v>
                </c:pt>
                <c:pt idx="188">
                  <c:v>42305</c:v>
                </c:pt>
                <c:pt idx="189">
                  <c:v>42306</c:v>
                </c:pt>
                <c:pt idx="190">
                  <c:v>42307</c:v>
                </c:pt>
                <c:pt idx="191">
                  <c:v>42310</c:v>
                </c:pt>
                <c:pt idx="192">
                  <c:v>42311</c:v>
                </c:pt>
                <c:pt idx="193">
                  <c:v>42312</c:v>
                </c:pt>
                <c:pt idx="194">
                  <c:v>42313</c:v>
                </c:pt>
                <c:pt idx="195">
                  <c:v>42314</c:v>
                </c:pt>
                <c:pt idx="196">
                  <c:v>42317</c:v>
                </c:pt>
                <c:pt idx="197">
                  <c:v>42318</c:v>
                </c:pt>
                <c:pt idx="198">
                  <c:v>42320</c:v>
                </c:pt>
                <c:pt idx="199">
                  <c:v>42320</c:v>
                </c:pt>
                <c:pt idx="200">
                  <c:v>42321</c:v>
                </c:pt>
                <c:pt idx="201">
                  <c:v>42324</c:v>
                </c:pt>
                <c:pt idx="202">
                  <c:v>42325</c:v>
                </c:pt>
                <c:pt idx="203">
                  <c:v>42326</c:v>
                </c:pt>
                <c:pt idx="204">
                  <c:v>42327</c:v>
                </c:pt>
                <c:pt idx="205">
                  <c:v>42328</c:v>
                </c:pt>
                <c:pt idx="206">
                  <c:v>42331</c:v>
                </c:pt>
                <c:pt idx="207">
                  <c:v>42332</c:v>
                </c:pt>
                <c:pt idx="208">
                  <c:v>42333</c:v>
                </c:pt>
                <c:pt idx="209">
                  <c:v>42335</c:v>
                </c:pt>
                <c:pt idx="210">
                  <c:v>42335</c:v>
                </c:pt>
                <c:pt idx="211">
                  <c:v>42338</c:v>
                </c:pt>
                <c:pt idx="212">
                  <c:v>42339</c:v>
                </c:pt>
                <c:pt idx="213">
                  <c:v>42340</c:v>
                </c:pt>
                <c:pt idx="214">
                  <c:v>42341</c:v>
                </c:pt>
                <c:pt idx="215">
                  <c:v>42342</c:v>
                </c:pt>
                <c:pt idx="216">
                  <c:v>42345</c:v>
                </c:pt>
                <c:pt idx="217">
                  <c:v>42346</c:v>
                </c:pt>
                <c:pt idx="218">
                  <c:v>42347</c:v>
                </c:pt>
                <c:pt idx="219">
                  <c:v>42348</c:v>
                </c:pt>
                <c:pt idx="220">
                  <c:v>42349</c:v>
                </c:pt>
                <c:pt idx="221">
                  <c:v>42352</c:v>
                </c:pt>
                <c:pt idx="222">
                  <c:v>42353</c:v>
                </c:pt>
                <c:pt idx="223">
                  <c:v>42354</c:v>
                </c:pt>
                <c:pt idx="224">
                  <c:v>42355</c:v>
                </c:pt>
                <c:pt idx="225">
                  <c:v>42356</c:v>
                </c:pt>
                <c:pt idx="226">
                  <c:v>42359</c:v>
                </c:pt>
                <c:pt idx="227">
                  <c:v>42360</c:v>
                </c:pt>
                <c:pt idx="228">
                  <c:v>42361</c:v>
                </c:pt>
                <c:pt idx="229">
                  <c:v>42362</c:v>
                </c:pt>
                <c:pt idx="230">
                  <c:v>42367</c:v>
                </c:pt>
                <c:pt idx="231">
                  <c:v>42368</c:v>
                </c:pt>
                <c:pt idx="232">
                  <c:v>42369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42388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42416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42458</c:v>
                </c:pt>
                <c:pt idx="293">
                  <c:v>42459</c:v>
                </c:pt>
                <c:pt idx="294">
                  <c:v>42460</c:v>
                </c:pt>
                <c:pt idx="295">
                  <c:v>42461</c:v>
                </c:pt>
                <c:pt idx="296">
                  <c:v>42464</c:v>
                </c:pt>
                <c:pt idx="297">
                  <c:v>42465</c:v>
                </c:pt>
                <c:pt idx="298">
                  <c:v>42466</c:v>
                </c:pt>
                <c:pt idx="299">
                  <c:v>42467</c:v>
                </c:pt>
                <c:pt idx="300">
                  <c:v>42468</c:v>
                </c:pt>
                <c:pt idx="301">
                  <c:v>42471</c:v>
                </c:pt>
                <c:pt idx="302">
                  <c:v>42472</c:v>
                </c:pt>
                <c:pt idx="303">
                  <c:v>42473</c:v>
                </c:pt>
                <c:pt idx="304">
                  <c:v>42474</c:v>
                </c:pt>
                <c:pt idx="305">
                  <c:v>42475</c:v>
                </c:pt>
                <c:pt idx="306">
                  <c:v>42478</c:v>
                </c:pt>
                <c:pt idx="307">
                  <c:v>42479</c:v>
                </c:pt>
                <c:pt idx="308">
                  <c:v>42480</c:v>
                </c:pt>
                <c:pt idx="309">
                  <c:v>42481</c:v>
                </c:pt>
                <c:pt idx="310">
                  <c:v>42482</c:v>
                </c:pt>
                <c:pt idx="311">
                  <c:v>42485</c:v>
                </c:pt>
                <c:pt idx="312">
                  <c:v>42486</c:v>
                </c:pt>
                <c:pt idx="313">
                  <c:v>42487</c:v>
                </c:pt>
                <c:pt idx="314">
                  <c:v>42488</c:v>
                </c:pt>
                <c:pt idx="315">
                  <c:v>42489</c:v>
                </c:pt>
                <c:pt idx="316">
                  <c:v>42493</c:v>
                </c:pt>
                <c:pt idx="317">
                  <c:v>42494</c:v>
                </c:pt>
                <c:pt idx="318">
                  <c:v>42495</c:v>
                </c:pt>
                <c:pt idx="319">
                  <c:v>42496</c:v>
                </c:pt>
                <c:pt idx="320">
                  <c:v>42499</c:v>
                </c:pt>
                <c:pt idx="321">
                  <c:v>42500</c:v>
                </c:pt>
                <c:pt idx="322">
                  <c:v>42501</c:v>
                </c:pt>
                <c:pt idx="323">
                  <c:v>42502</c:v>
                </c:pt>
                <c:pt idx="324">
                  <c:v>42503</c:v>
                </c:pt>
                <c:pt idx="325">
                  <c:v>42506</c:v>
                </c:pt>
                <c:pt idx="326">
                  <c:v>42507</c:v>
                </c:pt>
                <c:pt idx="327">
                  <c:v>42508</c:v>
                </c:pt>
                <c:pt idx="328">
                  <c:v>42509</c:v>
                </c:pt>
                <c:pt idx="329">
                  <c:v>42510</c:v>
                </c:pt>
                <c:pt idx="330">
                  <c:v>42513</c:v>
                </c:pt>
                <c:pt idx="331">
                  <c:v>42514</c:v>
                </c:pt>
                <c:pt idx="332">
                  <c:v>42515</c:v>
                </c:pt>
                <c:pt idx="333">
                  <c:v>42516</c:v>
                </c:pt>
                <c:pt idx="334">
                  <c:v>42517</c:v>
                </c:pt>
                <c:pt idx="335">
                  <c:v>42521</c:v>
                </c:pt>
                <c:pt idx="336">
                  <c:v>42522</c:v>
                </c:pt>
                <c:pt idx="337">
                  <c:v>42523</c:v>
                </c:pt>
                <c:pt idx="338">
                  <c:v>42524</c:v>
                </c:pt>
                <c:pt idx="339">
                  <c:v>42527</c:v>
                </c:pt>
                <c:pt idx="340">
                  <c:v>42528</c:v>
                </c:pt>
                <c:pt idx="341">
                  <c:v>42529</c:v>
                </c:pt>
                <c:pt idx="342">
                  <c:v>42530</c:v>
                </c:pt>
                <c:pt idx="343">
                  <c:v>42531</c:v>
                </c:pt>
                <c:pt idx="344">
                  <c:v>42534</c:v>
                </c:pt>
                <c:pt idx="345">
                  <c:v>42535</c:v>
                </c:pt>
                <c:pt idx="346">
                  <c:v>42536</c:v>
                </c:pt>
                <c:pt idx="347">
                  <c:v>42537</c:v>
                </c:pt>
                <c:pt idx="348">
                  <c:v>42538</c:v>
                </c:pt>
                <c:pt idx="349">
                  <c:v>42541</c:v>
                </c:pt>
                <c:pt idx="350">
                  <c:v>42542</c:v>
                </c:pt>
                <c:pt idx="351">
                  <c:v>42543</c:v>
                </c:pt>
                <c:pt idx="352">
                  <c:v>42544</c:v>
                </c:pt>
                <c:pt idx="353">
                  <c:v>42545</c:v>
                </c:pt>
                <c:pt idx="354">
                  <c:v>42548</c:v>
                </c:pt>
                <c:pt idx="355">
                  <c:v>42549</c:v>
                </c:pt>
                <c:pt idx="356">
                  <c:v>42550</c:v>
                </c:pt>
                <c:pt idx="357">
                  <c:v>42551</c:v>
                </c:pt>
                <c:pt idx="358">
                  <c:v>42552</c:v>
                </c:pt>
                <c:pt idx="359">
                  <c:v>42556</c:v>
                </c:pt>
                <c:pt idx="360">
                  <c:v>42556</c:v>
                </c:pt>
                <c:pt idx="361">
                  <c:v>42557</c:v>
                </c:pt>
                <c:pt idx="362">
                  <c:v>42558</c:v>
                </c:pt>
                <c:pt idx="363">
                  <c:v>42559</c:v>
                </c:pt>
                <c:pt idx="364">
                  <c:v>42562</c:v>
                </c:pt>
                <c:pt idx="365">
                  <c:v>42563</c:v>
                </c:pt>
                <c:pt idx="366">
                  <c:v>42564</c:v>
                </c:pt>
                <c:pt idx="367">
                  <c:v>42565</c:v>
                </c:pt>
                <c:pt idx="368">
                  <c:v>42566</c:v>
                </c:pt>
                <c:pt idx="369">
                  <c:v>42569</c:v>
                </c:pt>
                <c:pt idx="370">
                  <c:v>42570</c:v>
                </c:pt>
                <c:pt idx="371">
                  <c:v>42571</c:v>
                </c:pt>
                <c:pt idx="372">
                  <c:v>42572</c:v>
                </c:pt>
                <c:pt idx="373">
                  <c:v>42573</c:v>
                </c:pt>
                <c:pt idx="374">
                  <c:v>42576</c:v>
                </c:pt>
                <c:pt idx="375">
                  <c:v>42577</c:v>
                </c:pt>
                <c:pt idx="376">
                  <c:v>42578</c:v>
                </c:pt>
                <c:pt idx="377">
                  <c:v>42579</c:v>
                </c:pt>
                <c:pt idx="378">
                  <c:v>42580</c:v>
                </c:pt>
                <c:pt idx="379">
                  <c:v>42583</c:v>
                </c:pt>
                <c:pt idx="380">
                  <c:v>42584</c:v>
                </c:pt>
                <c:pt idx="381">
                  <c:v>42585</c:v>
                </c:pt>
                <c:pt idx="382">
                  <c:v>42586</c:v>
                </c:pt>
                <c:pt idx="383">
                  <c:v>42587</c:v>
                </c:pt>
                <c:pt idx="384">
                  <c:v>42590</c:v>
                </c:pt>
                <c:pt idx="385">
                  <c:v>42591</c:v>
                </c:pt>
                <c:pt idx="386">
                  <c:v>42592</c:v>
                </c:pt>
                <c:pt idx="387">
                  <c:v>42593</c:v>
                </c:pt>
                <c:pt idx="388">
                  <c:v>42594</c:v>
                </c:pt>
                <c:pt idx="389">
                  <c:v>42597</c:v>
                </c:pt>
                <c:pt idx="390">
                  <c:v>42598</c:v>
                </c:pt>
                <c:pt idx="391">
                  <c:v>42599</c:v>
                </c:pt>
                <c:pt idx="392">
                  <c:v>42600</c:v>
                </c:pt>
                <c:pt idx="393">
                  <c:v>42601</c:v>
                </c:pt>
                <c:pt idx="394">
                  <c:v>42604</c:v>
                </c:pt>
                <c:pt idx="395">
                  <c:v>42605</c:v>
                </c:pt>
                <c:pt idx="396">
                  <c:v>42606</c:v>
                </c:pt>
                <c:pt idx="397">
                  <c:v>42607</c:v>
                </c:pt>
                <c:pt idx="398">
                  <c:v>42608</c:v>
                </c:pt>
                <c:pt idx="399">
                  <c:v>42612</c:v>
                </c:pt>
                <c:pt idx="400">
                  <c:v>42613</c:v>
                </c:pt>
                <c:pt idx="401">
                  <c:v>42614</c:v>
                </c:pt>
                <c:pt idx="402">
                  <c:v>42615</c:v>
                </c:pt>
                <c:pt idx="403">
                  <c:v>42619</c:v>
                </c:pt>
                <c:pt idx="404">
                  <c:v>42619</c:v>
                </c:pt>
                <c:pt idx="405">
                  <c:v>42620</c:v>
                </c:pt>
                <c:pt idx="406">
                  <c:v>42621</c:v>
                </c:pt>
                <c:pt idx="407">
                  <c:v>42622</c:v>
                </c:pt>
                <c:pt idx="408">
                  <c:v>42625</c:v>
                </c:pt>
                <c:pt idx="409">
                  <c:v>42626</c:v>
                </c:pt>
                <c:pt idx="410">
                  <c:v>42627</c:v>
                </c:pt>
                <c:pt idx="411">
                  <c:v>42628</c:v>
                </c:pt>
                <c:pt idx="412">
                  <c:v>42629</c:v>
                </c:pt>
                <c:pt idx="413">
                  <c:v>42632</c:v>
                </c:pt>
                <c:pt idx="414">
                  <c:v>42633</c:v>
                </c:pt>
                <c:pt idx="415">
                  <c:v>42634</c:v>
                </c:pt>
                <c:pt idx="416">
                  <c:v>42635</c:v>
                </c:pt>
                <c:pt idx="417">
                  <c:v>42636</c:v>
                </c:pt>
                <c:pt idx="418">
                  <c:v>42639</c:v>
                </c:pt>
                <c:pt idx="419">
                  <c:v>42640</c:v>
                </c:pt>
                <c:pt idx="420">
                  <c:v>42641</c:v>
                </c:pt>
                <c:pt idx="421">
                  <c:v>42642</c:v>
                </c:pt>
                <c:pt idx="422">
                  <c:v>42643</c:v>
                </c:pt>
                <c:pt idx="423">
                  <c:v>42646</c:v>
                </c:pt>
                <c:pt idx="424">
                  <c:v>42647</c:v>
                </c:pt>
                <c:pt idx="425">
                  <c:v>42648</c:v>
                </c:pt>
                <c:pt idx="426">
                  <c:v>42649</c:v>
                </c:pt>
                <c:pt idx="427">
                  <c:v>42650</c:v>
                </c:pt>
                <c:pt idx="428">
                  <c:v>42654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42688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42699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42732</c:v>
                </c:pt>
                <c:pt idx="484">
                  <c:v>42733</c:v>
                </c:pt>
                <c:pt idx="485">
                  <c:v>42734</c:v>
                </c:pt>
                <c:pt idx="486">
                  <c:v>42738</c:v>
                </c:pt>
                <c:pt idx="487">
                  <c:v>42739</c:v>
                </c:pt>
                <c:pt idx="488">
                  <c:v>42740</c:v>
                </c:pt>
                <c:pt idx="489">
                  <c:v>42741</c:v>
                </c:pt>
                <c:pt idx="490">
                  <c:v>42744</c:v>
                </c:pt>
                <c:pt idx="491">
                  <c:v>42745</c:v>
                </c:pt>
                <c:pt idx="492">
                  <c:v>42746</c:v>
                </c:pt>
                <c:pt idx="493">
                  <c:v>42747</c:v>
                </c:pt>
                <c:pt idx="494">
                  <c:v>42748</c:v>
                </c:pt>
                <c:pt idx="495">
                  <c:v>42752</c:v>
                </c:pt>
                <c:pt idx="496">
                  <c:v>42752</c:v>
                </c:pt>
                <c:pt idx="497">
                  <c:v>42753</c:v>
                </c:pt>
                <c:pt idx="498">
                  <c:v>42754</c:v>
                </c:pt>
                <c:pt idx="499">
                  <c:v>42755</c:v>
                </c:pt>
                <c:pt idx="500">
                  <c:v>42758</c:v>
                </c:pt>
                <c:pt idx="501">
                  <c:v>42759</c:v>
                </c:pt>
                <c:pt idx="502">
                  <c:v>42760</c:v>
                </c:pt>
                <c:pt idx="503">
                  <c:v>42761</c:v>
                </c:pt>
                <c:pt idx="504">
                  <c:v>42762</c:v>
                </c:pt>
                <c:pt idx="505">
                  <c:v>42765</c:v>
                </c:pt>
                <c:pt idx="506">
                  <c:v>42766</c:v>
                </c:pt>
                <c:pt idx="507">
                  <c:v>42767</c:v>
                </c:pt>
                <c:pt idx="508">
                  <c:v>42768</c:v>
                </c:pt>
                <c:pt idx="509">
                  <c:v>42769</c:v>
                </c:pt>
                <c:pt idx="510">
                  <c:v>42772</c:v>
                </c:pt>
                <c:pt idx="511">
                  <c:v>42773</c:v>
                </c:pt>
                <c:pt idx="512">
                  <c:v>42774</c:v>
                </c:pt>
                <c:pt idx="513">
                  <c:v>42775</c:v>
                </c:pt>
                <c:pt idx="514">
                  <c:v>42776</c:v>
                </c:pt>
                <c:pt idx="515">
                  <c:v>42779</c:v>
                </c:pt>
                <c:pt idx="516">
                  <c:v>42780</c:v>
                </c:pt>
                <c:pt idx="517">
                  <c:v>42781</c:v>
                </c:pt>
                <c:pt idx="518">
                  <c:v>42788</c:v>
                </c:pt>
                <c:pt idx="519">
                  <c:v>42795</c:v>
                </c:pt>
                <c:pt idx="520">
                  <c:v>42802</c:v>
                </c:pt>
                <c:pt idx="521">
                  <c:v>42809</c:v>
                </c:pt>
                <c:pt idx="522">
                  <c:v>42816</c:v>
                </c:pt>
                <c:pt idx="523">
                  <c:v>42823</c:v>
                </c:pt>
                <c:pt idx="524">
                  <c:v>42830</c:v>
                </c:pt>
                <c:pt idx="525">
                  <c:v>42837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2.4719999995559405E-3</c:v>
                </c:pt>
                <c:pt idx="1">
                  <c:v>2.4854390712823206E-3</c:v>
                </c:pt>
                <c:pt idx="2">
                  <c:v>2.4868959043612038E-3</c:v>
                </c:pt>
                <c:pt idx="3">
                  <c:v>2.4883504884085639E-3</c:v>
                </c:pt>
                <c:pt idx="4">
                  <c:v>2.489793952160097E-3</c:v>
                </c:pt>
                <c:pt idx="5">
                  <c:v>2.4932237124471101E-3</c:v>
                </c:pt>
                <c:pt idx="6">
                  <c:v>2.5080370303820002E-3</c:v>
                </c:pt>
                <c:pt idx="7">
                  <c:v>2.5093983874491244E-3</c:v>
                </c:pt>
                <c:pt idx="8">
                  <c:v>2.5107353714760344E-3</c:v>
                </c:pt>
                <c:pt idx="9">
                  <c:v>2.5143049349846311E-3</c:v>
                </c:pt>
                <c:pt idx="10">
                  <c:v>2.5178957071038256E-3</c:v>
                </c:pt>
                <c:pt idx="11">
                  <c:v>2.5348676710832407E-3</c:v>
                </c:pt>
                <c:pt idx="12">
                  <c:v>2.5348676710832407E-3</c:v>
                </c:pt>
                <c:pt idx="13">
                  <c:v>2.536149667299801E-3</c:v>
                </c:pt>
                <c:pt idx="14">
                  <c:v>2.5398576113890995E-3</c:v>
                </c:pt>
                <c:pt idx="15">
                  <c:v>2.5435875865124739E-3</c:v>
                </c:pt>
                <c:pt idx="16">
                  <c:v>2.562652883650584E-3</c:v>
                </c:pt>
                <c:pt idx="17">
                  <c:v>2.5639869355225551E-3</c:v>
                </c:pt>
                <c:pt idx="18">
                  <c:v>2.5653185426186553E-3</c:v>
                </c:pt>
                <c:pt idx="19">
                  <c:v>2.5666492308352106E-3</c:v>
                </c:pt>
                <c:pt idx="20">
                  <c:v>2.5760333191634914E-3</c:v>
                </c:pt>
                <c:pt idx="21">
                  <c:v>2.5914433049349832E-3</c:v>
                </c:pt>
                <c:pt idx="22">
                  <c:v>2.5958004347449775E-3</c:v>
                </c:pt>
                <c:pt idx="23">
                  <c:v>2.6002280336933229E-3</c:v>
                </c:pt>
                <c:pt idx="24">
                  <c:v>2.6047291463541767E-3</c:v>
                </c:pt>
                <c:pt idx="25">
                  <c:v>2.6155029979381904E-3</c:v>
                </c:pt>
                <c:pt idx="26">
                  <c:v>2.6235296262583606E-3</c:v>
                </c:pt>
                <c:pt idx="27">
                  <c:v>2.6284439767501251E-3</c:v>
                </c:pt>
                <c:pt idx="28">
                  <c:v>2.6334501087998952E-3</c:v>
                </c:pt>
                <c:pt idx="29">
                  <c:v>2.6385510671217177E-3</c:v>
                </c:pt>
                <c:pt idx="30">
                  <c:v>2.6507326346439431E-3</c:v>
                </c:pt>
                <c:pt idx="31">
                  <c:v>2.6599640581985141E-3</c:v>
                </c:pt>
                <c:pt idx="32">
                  <c:v>2.6655848193975992E-3</c:v>
                </c:pt>
                <c:pt idx="33">
                  <c:v>2.6713186756508757E-3</c:v>
                </c:pt>
                <c:pt idx="34">
                  <c:v>2.6771683875509676E-3</c:v>
                </c:pt>
                <c:pt idx="35">
                  <c:v>2.6909981791553511E-3</c:v>
                </c:pt>
                <c:pt idx="36">
                  <c:v>2.7017554176767475E-3</c:v>
                </c:pt>
                <c:pt idx="37">
                  <c:v>2.7082059167837791E-3</c:v>
                </c:pt>
                <c:pt idx="38">
                  <c:v>2.7147805909688572E-3</c:v>
                </c:pt>
                <c:pt idx="39">
                  <c:v>2.7214807794911202E-3</c:v>
                </c:pt>
                <c:pt idx="40">
                  <c:v>2.7370048974329404E-3</c:v>
                </c:pt>
                <c:pt idx="41">
                  <c:v>2.7495634628854869E-3</c:v>
                </c:pt>
                <c:pt idx="42">
                  <c:v>2.7523966392503621E-3</c:v>
                </c:pt>
                <c:pt idx="43">
                  <c:v>2.759823643020153E-3</c:v>
                </c:pt>
                <c:pt idx="44">
                  <c:v>2.7673824779592218E-3</c:v>
                </c:pt>
                <c:pt idx="45">
                  <c:v>2.8070612087912044E-3</c:v>
                </c:pt>
                <c:pt idx="46">
                  <c:v>2.8153552837731875E-3</c:v>
                </c:pt>
                <c:pt idx="47">
                  <c:v>2.8237626075062069E-3</c:v>
                </c:pt>
                <c:pt idx="48">
                  <c:v>2.8322805253155406E-3</c:v>
                </c:pt>
                <c:pt idx="49">
                  <c:v>2.8584712962389978E-3</c:v>
                </c:pt>
                <c:pt idx="50">
                  <c:v>2.8674050433164931E-3</c:v>
                </c:pt>
                <c:pt idx="51">
                  <c:v>2.876436110876211E-3</c:v>
                </c:pt>
                <c:pt idx="52">
                  <c:v>2.8855618441520742E-3</c:v>
                </c:pt>
                <c:pt idx="53">
                  <c:v>2.89477958835868E-3</c:v>
                </c:pt>
                <c:pt idx="54">
                  <c:v>2.9229583384418889E-3</c:v>
                </c:pt>
                <c:pt idx="55">
                  <c:v>2.9325175781546534E-3</c:v>
                </c:pt>
                <c:pt idx="56">
                  <c:v>2.942155554591811E-3</c:v>
                </c:pt>
                <c:pt idx="57">
                  <c:v>2.9518696128502512E-3</c:v>
                </c:pt>
                <c:pt idx="58">
                  <c:v>2.96165709800666E-3</c:v>
                </c:pt>
                <c:pt idx="59">
                  <c:v>2.9914335652914859E-3</c:v>
                </c:pt>
                <c:pt idx="60">
                  <c:v>3.001488208351606E-3</c:v>
                </c:pt>
                <c:pt idx="61">
                  <c:v>3.0116030033496624E-3</c:v>
                </c:pt>
                <c:pt idx="62">
                  <c:v>3.0276247956984512E-3</c:v>
                </c:pt>
                <c:pt idx="63">
                  <c:v>3.0497372359860452E-3</c:v>
                </c:pt>
                <c:pt idx="64">
                  <c:v>3.0795595346182871E-3</c:v>
                </c:pt>
                <c:pt idx="65">
                  <c:v>3.0901391681231981E-3</c:v>
                </c:pt>
                <c:pt idx="66">
                  <c:v>3.1007890483565437E-3</c:v>
                </c:pt>
                <c:pt idx="67">
                  <c:v>3.1238891830214503E-3</c:v>
                </c:pt>
                <c:pt idx="68">
                  <c:v>3.1441426225037078E-3</c:v>
                </c:pt>
                <c:pt idx="69">
                  <c:v>3.1551824261132492E-3</c:v>
                </c:pt>
                <c:pt idx="70">
                  <c:v>3.166307952575954E-3</c:v>
                </c:pt>
                <c:pt idx="71">
                  <c:v>3.1775217813658488E-3</c:v>
                </c:pt>
                <c:pt idx="72">
                  <c:v>3.2017078726872326E-3</c:v>
                </c:pt>
                <c:pt idx="73">
                  <c:v>3.2233117105090231E-3</c:v>
                </c:pt>
                <c:pt idx="74">
                  <c:v>3.2350050301555027E-3</c:v>
                </c:pt>
                <c:pt idx="75">
                  <c:v>3.2467978449193442E-3</c:v>
                </c:pt>
                <c:pt idx="76">
                  <c:v>3.2586884496714668E-3</c:v>
                </c:pt>
                <c:pt idx="77">
                  <c:v>3.2840145234298282E-3</c:v>
                </c:pt>
                <c:pt idx="78">
                  <c:v>3.3195486428513284E-3</c:v>
                </c:pt>
                <c:pt idx="79">
                  <c:v>3.3319901790873634E-3</c:v>
                </c:pt>
                <c:pt idx="80">
                  <c:v>3.3445175690240683E-3</c:v>
                </c:pt>
                <c:pt idx="81">
                  <c:v>3.3502792896417293E-3</c:v>
                </c:pt>
                <c:pt idx="82">
                  <c:v>3.3954515606284532E-3</c:v>
                </c:pt>
                <c:pt idx="83">
                  <c:v>3.408382640058296E-3</c:v>
                </c:pt>
                <c:pt idx="84">
                  <c:v>3.4213893414629082E-3</c:v>
                </c:pt>
                <c:pt idx="85">
                  <c:v>3.4344699594933839E-3</c:v>
                </c:pt>
                <c:pt idx="86">
                  <c:v>3.4688349481629046E-3</c:v>
                </c:pt>
                <c:pt idx="87">
                  <c:v>3.4874974902319943E-3</c:v>
                </c:pt>
                <c:pt idx="88">
                  <c:v>3.5009221104917807E-3</c:v>
                </c:pt>
                <c:pt idx="89">
                  <c:v>3.5144104148799728E-3</c:v>
                </c:pt>
                <c:pt idx="90">
                  <c:v>3.527960697912121E-3</c:v>
                </c:pt>
                <c:pt idx="91">
                  <c:v>3.5560484554291454E-3</c:v>
                </c:pt>
                <c:pt idx="92">
                  <c:v>3.5827475060371105E-3</c:v>
                </c:pt>
                <c:pt idx="93">
                  <c:v>3.5965820992715962E-3</c:v>
                </c:pt>
                <c:pt idx="94">
                  <c:v>3.6104684377941364E-3</c:v>
                </c:pt>
                <c:pt idx="95">
                  <c:v>3.6244048532601382E-3</c:v>
                </c:pt>
                <c:pt idx="96">
                  <c:v>3.6532109505153635E-3</c:v>
                </c:pt>
                <c:pt idx="97">
                  <c:v>3.680639472709869E-3</c:v>
                </c:pt>
                <c:pt idx="98">
                  <c:v>3.6948212039791938E-3</c:v>
                </c:pt>
                <c:pt idx="99">
                  <c:v>3.7090526143780246E-3</c:v>
                </c:pt>
                <c:pt idx="100">
                  <c:v>3.7233339281982506E-3</c:v>
                </c:pt>
                <c:pt idx="101">
                  <c:v>3.7528459897828948E-3</c:v>
                </c:pt>
                <c:pt idx="102">
                  <c:v>3.7809627037316035E-3</c:v>
                </c:pt>
                <c:pt idx="103">
                  <c:v>3.7954968992309048E-3</c:v>
                </c:pt>
                <c:pt idx="104">
                  <c:v>3.8100823440167593E-3</c:v>
                </c:pt>
                <c:pt idx="105">
                  <c:v>3.8247192624175498E-3</c:v>
                </c:pt>
                <c:pt idx="106">
                  <c:v>3.8837861589531867E-3</c:v>
                </c:pt>
                <c:pt idx="107">
                  <c:v>3.8837861589531867E-3</c:v>
                </c:pt>
                <c:pt idx="108">
                  <c:v>3.8986838105603068E-3</c:v>
                </c:pt>
                <c:pt idx="109">
                  <c:v>3.9136342818716901E-3</c:v>
                </c:pt>
                <c:pt idx="110">
                  <c:v>3.9286377972556847E-3</c:v>
                </c:pt>
                <c:pt idx="111">
                  <c:v>3.9676607683774125E-3</c:v>
                </c:pt>
                <c:pt idx="112">
                  <c:v>3.9891867870576964E-3</c:v>
                </c:pt>
                <c:pt idx="113">
                  <c:v>4.0044588885107301E-3</c:v>
                </c:pt>
                <c:pt idx="114">
                  <c:v>4.0197853803585594E-3</c:v>
                </c:pt>
                <c:pt idx="115">
                  <c:v>4.0351664870077663E-3</c:v>
                </c:pt>
                <c:pt idx="116">
                  <c:v>4.0669728868752853E-3</c:v>
                </c:pt>
                <c:pt idx="117">
                  <c:v>4.0972415499741371E-3</c:v>
                </c:pt>
                <c:pt idx="118">
                  <c:v>4.1128990969452814E-3</c:v>
                </c:pt>
                <c:pt idx="119">
                  <c:v>4.1286126052841399E-3</c:v>
                </c:pt>
                <c:pt idx="120">
                  <c:v>4.1443822994389973E-3</c:v>
                </c:pt>
                <c:pt idx="121">
                  <c:v>4.1770068855580883E-3</c:v>
                </c:pt>
                <c:pt idx="122">
                  <c:v>4.2080274233935455E-3</c:v>
                </c:pt>
                <c:pt idx="123">
                  <c:v>4.2240814135646974E-3</c:v>
                </c:pt>
                <c:pt idx="124">
                  <c:v>4.2401929363692897E-3</c:v>
                </c:pt>
                <c:pt idx="125">
                  <c:v>4.256362216297313E-3</c:v>
                </c:pt>
                <c:pt idx="126">
                  <c:v>4.2640030502068046E-3</c:v>
                </c:pt>
                <c:pt idx="127">
                  <c:v>4.3216213972981391E-3</c:v>
                </c:pt>
                <c:pt idx="128">
                  <c:v>4.3380828304356136E-3</c:v>
                </c:pt>
                <c:pt idx="129">
                  <c:v>4.3546033677763583E-3</c:v>
                </c:pt>
                <c:pt idx="130">
                  <c:v>4.3711832338564158E-3</c:v>
                </c:pt>
                <c:pt idx="131">
                  <c:v>4.4055145708517878E-3</c:v>
                </c:pt>
                <c:pt idx="132">
                  <c:v>4.4381004765026155E-3</c:v>
                </c:pt>
                <c:pt idx="133">
                  <c:v>4.463946428241653E-3</c:v>
                </c:pt>
                <c:pt idx="134">
                  <c:v>4.4719209086617898E-3</c:v>
                </c:pt>
                <c:pt idx="135">
                  <c:v>4.4889223634579584E-3</c:v>
                </c:pt>
                <c:pt idx="136">
                  <c:v>4.5241390221578805E-3</c:v>
                </c:pt>
                <c:pt idx="137">
                  <c:v>4.5575416812145787E-3</c:v>
                </c:pt>
                <c:pt idx="138">
                  <c:v>4.574851008324477E-3</c:v>
                </c:pt>
                <c:pt idx="139">
                  <c:v>4.5922225837365408E-3</c:v>
                </c:pt>
                <c:pt idx="140">
                  <c:v>4.6096566320806493E-3</c:v>
                </c:pt>
                <c:pt idx="141">
                  <c:v>4.645777748558181E-3</c:v>
                </c:pt>
                <c:pt idx="142">
                  <c:v>4.6800220476079894E-3</c:v>
                </c:pt>
                <c:pt idx="143">
                  <c:v>4.6977718302968537E-3</c:v>
                </c:pt>
                <c:pt idx="144">
                  <c:v>4.7250560483254539E-3</c:v>
                </c:pt>
                <c:pt idx="145">
                  <c:v>4.7334630829206593E-3</c:v>
                </c:pt>
                <c:pt idx="146">
                  <c:v>4.7705061725541236E-3</c:v>
                </c:pt>
                <c:pt idx="147">
                  <c:v>4.8141667284934226E-3</c:v>
                </c:pt>
                <c:pt idx="148">
                  <c:v>4.8323989309682217E-3</c:v>
                </c:pt>
                <c:pt idx="149">
                  <c:v>4.8506967127555506E-3</c:v>
                </c:pt>
                <c:pt idx="150">
                  <c:v>4.8690603010354419E-3</c:v>
                </c:pt>
                <c:pt idx="151">
                  <c:v>4.9431772629817171E-3</c:v>
                </c:pt>
                <c:pt idx="152">
                  <c:v>4.9431772629817171E-3</c:v>
                </c:pt>
                <c:pt idx="153">
                  <c:v>4.9618732917112831E-3</c:v>
                </c:pt>
                <c:pt idx="154">
                  <c:v>4.9806364901822664E-3</c:v>
                </c:pt>
                <c:pt idx="155">
                  <c:v>4.9994670856256477E-3</c:v>
                </c:pt>
                <c:pt idx="156">
                  <c:v>5.0563655262607478E-3</c:v>
                </c:pt>
                <c:pt idx="157">
                  <c:v>5.0754679821003023E-3</c:v>
                </c:pt>
                <c:pt idx="158">
                  <c:v>5.0946389712015596E-3</c:v>
                </c:pt>
                <c:pt idx="159">
                  <c:v>5.1138785823901705E-3</c:v>
                </c:pt>
                <c:pt idx="160">
                  <c:v>5.1331863129509018E-3</c:v>
                </c:pt>
                <c:pt idx="161">
                  <c:v>5.1915101495402377E-3</c:v>
                </c:pt>
                <c:pt idx="162">
                  <c:v>5.2110822107726057E-3</c:v>
                </c:pt>
                <c:pt idx="163">
                  <c:v>5.2307182801909786E-3</c:v>
                </c:pt>
                <c:pt idx="164">
                  <c:v>5.2504175279747475E-3</c:v>
                </c:pt>
                <c:pt idx="165">
                  <c:v>5.3120714547341364E-3</c:v>
                </c:pt>
                <c:pt idx="166">
                  <c:v>5.3403582027605522E-3</c:v>
                </c:pt>
                <c:pt idx="167">
                  <c:v>5.349832397741467E-3</c:v>
                </c:pt>
                <c:pt idx="168">
                  <c:v>5.3804707286640181E-3</c:v>
                </c:pt>
                <c:pt idx="169">
                  <c:v>5.4324871483668602E-3</c:v>
                </c:pt>
                <c:pt idx="170">
                  <c:v>5.4420920520044051E-3</c:v>
                </c:pt>
                <c:pt idx="171">
                  <c:v>5.4817295117241998E-3</c:v>
                </c:pt>
                <c:pt idx="172">
                  <c:v>5.5021422668052279E-3</c:v>
                </c:pt>
                <c:pt idx="173">
                  <c:v>5.522606772435319E-3</c:v>
                </c:pt>
                <c:pt idx="174">
                  <c:v>5.5431222076112079E-3</c:v>
                </c:pt>
                <c:pt idx="175">
                  <c:v>5.585241185132866E-3</c:v>
                </c:pt>
                <c:pt idx="176">
                  <c:v>5.6464345904702982E-3</c:v>
                </c:pt>
                <c:pt idx="177">
                  <c:v>5.6464345904702982E-3</c:v>
                </c:pt>
                <c:pt idx="178">
                  <c:v>5.6672383609791882E-3</c:v>
                </c:pt>
                <c:pt idx="179">
                  <c:v>5.6880873135722399E-3</c:v>
                </c:pt>
                <c:pt idx="180">
                  <c:v>5.7416383822376177E-3</c:v>
                </c:pt>
                <c:pt idx="181">
                  <c:v>5.7719185219977081E-3</c:v>
                </c:pt>
                <c:pt idx="182">
                  <c:v>5.792981067772162E-3</c:v>
                </c:pt>
                <c:pt idx="183">
                  <c:v>5.8140838686198031E-3</c:v>
                </c:pt>
                <c:pt idx="184">
                  <c:v>5.835226103314068E-3</c:v>
                </c:pt>
                <c:pt idx="185">
                  <c:v>5.8783349262781183E-3</c:v>
                </c:pt>
                <c:pt idx="186">
                  <c:v>5.9201729554612895E-3</c:v>
                </c:pt>
                <c:pt idx="187">
                  <c:v>5.9415000404202138E-3</c:v>
                </c:pt>
                <c:pt idx="188">
                  <c:v>5.9628616315205614E-3</c:v>
                </c:pt>
                <c:pt idx="189">
                  <c:v>5.9842569074193379E-3</c:v>
                </c:pt>
                <c:pt idx="190">
                  <c:v>5.9946657031476336E-3</c:v>
                </c:pt>
                <c:pt idx="191">
                  <c:v>6.0701584315323871E-3</c:v>
                </c:pt>
                <c:pt idx="192">
                  <c:v>6.0917098106736695E-3</c:v>
                </c:pt>
                <c:pt idx="193">
                  <c:v>6.1132899461931005E-3</c:v>
                </c:pt>
                <c:pt idx="194">
                  <c:v>6.1348980166251749E-3</c:v>
                </c:pt>
                <c:pt idx="195">
                  <c:v>6.1786514429091602E-3</c:v>
                </c:pt>
                <c:pt idx="196">
                  <c:v>6.2215932175972415E-3</c:v>
                </c:pt>
                <c:pt idx="197">
                  <c:v>6.2433286400217459E-3</c:v>
                </c:pt>
                <c:pt idx="198">
                  <c:v>6.2868676805598505E-3</c:v>
                </c:pt>
                <c:pt idx="199">
                  <c:v>6.2868676805598505E-3</c:v>
                </c:pt>
                <c:pt idx="200">
                  <c:v>6.3419074449227366E-3</c:v>
                </c:pt>
                <c:pt idx="201">
                  <c:v>6.3741955393050434E-3</c:v>
                </c:pt>
                <c:pt idx="202">
                  <c:v>6.3960747480697735E-3</c:v>
                </c:pt>
                <c:pt idx="203">
                  <c:v>6.4179712111003462E-3</c:v>
                </c:pt>
                <c:pt idx="204">
                  <c:v>6.4398841066844971E-3</c:v>
                </c:pt>
                <c:pt idx="205">
                  <c:v>6.4839847410716762E-3</c:v>
                </c:pt>
                <c:pt idx="206">
                  <c:v>6.5276835796286873E-3</c:v>
                </c:pt>
                <c:pt idx="207">
                  <c:v>6.5496663116277505E-3</c:v>
                </c:pt>
                <c:pt idx="208">
                  <c:v>6.5716605455132136E-3</c:v>
                </c:pt>
                <c:pt idx="209">
                  <c:v>6.6378431259417094E-3</c:v>
                </c:pt>
                <c:pt idx="210">
                  <c:v>6.6378431259417094E-3</c:v>
                </c:pt>
                <c:pt idx="211">
                  <c:v>6.6706961584343666E-3</c:v>
                </c:pt>
                <c:pt idx="212">
                  <c:v>6.6927439410686858E-3</c:v>
                </c:pt>
                <c:pt idx="213">
                  <c:v>6.7147976063661524E-3</c:v>
                </c:pt>
                <c:pt idx="214">
                  <c:v>6.7368563233404979E-3</c:v>
                </c:pt>
                <c:pt idx="215">
                  <c:v>6.758919260988764E-3</c:v>
                </c:pt>
                <c:pt idx="216">
                  <c:v>6.8251250876567391E-3</c:v>
                </c:pt>
                <c:pt idx="217">
                  <c:v>6.8471965975889859E-3</c:v>
                </c:pt>
                <c:pt idx="218">
                  <c:v>6.8692681728983879E-3</c:v>
                </c:pt>
                <c:pt idx="219">
                  <c:v>6.8913389824686692E-3</c:v>
                </c:pt>
                <c:pt idx="220">
                  <c:v>6.9134081951677433E-3</c:v>
                </c:pt>
                <c:pt idx="221">
                  <c:v>6.9795979404217159E-3</c:v>
                </c:pt>
                <c:pt idx="222">
                  <c:v>7.0016524539285975E-3</c:v>
                </c:pt>
                <c:pt idx="223">
                  <c:v>7.0237012146183555E-3</c:v>
                </c:pt>
                <c:pt idx="224">
                  <c:v>7.0457435741963842E-3</c:v>
                </c:pt>
                <c:pt idx="225">
                  <c:v>7.0677796161528221E-3</c:v>
                </c:pt>
                <c:pt idx="226">
                  <c:v>7.1338525007555295E-3</c:v>
                </c:pt>
                <c:pt idx="227">
                  <c:v>7.1558659367175282E-3</c:v>
                </c:pt>
                <c:pt idx="228">
                  <c:v>7.1778743873337656E-3</c:v>
                </c:pt>
                <c:pt idx="229">
                  <c:v>7.1998781190776764E-3</c:v>
                </c:pt>
                <c:pt idx="230">
                  <c:v>7.3098353216796731E-3</c:v>
                </c:pt>
                <c:pt idx="231">
                  <c:v>7.3318163364541793E-3</c:v>
                </c:pt>
                <c:pt idx="232">
                  <c:v>7.3537944978329245E-3</c:v>
                </c:pt>
                <c:pt idx="233">
                  <c:v>7.4416839398929223E-3</c:v>
                </c:pt>
                <c:pt idx="234">
                  <c:v>7.4636518322201244E-3</c:v>
                </c:pt>
                <c:pt idx="235">
                  <c:v>7.4856184703637561E-3</c:v>
                </c:pt>
                <c:pt idx="236">
                  <c:v>7.5075841208789469E-3</c:v>
                </c:pt>
                <c:pt idx="237">
                  <c:v>7.5295490503287325E-3</c:v>
                </c:pt>
                <c:pt idx="238">
                  <c:v>7.5954421779880436E-3</c:v>
                </c:pt>
                <c:pt idx="239">
                  <c:v>7.6174068889102156E-3</c:v>
                </c:pt>
                <c:pt idx="240">
                  <c:v>7.6393722116647311E-3</c:v>
                </c:pt>
                <c:pt idx="241">
                  <c:v>7.6613384128471256E-3</c:v>
                </c:pt>
                <c:pt idx="242">
                  <c:v>7.6833057590626006E-3</c:v>
                </c:pt>
                <c:pt idx="243">
                  <c:v>7.7711919265191533E-3</c:v>
                </c:pt>
                <c:pt idx="244">
                  <c:v>7.7711919265191533E-3</c:v>
                </c:pt>
                <c:pt idx="245">
                  <c:v>7.7931689971519431E-3</c:v>
                </c:pt>
                <c:pt idx="246">
                  <c:v>7.8151488125596889E-3</c:v>
                </c:pt>
                <c:pt idx="247">
                  <c:v>7.8371316393888776E-3</c:v>
                </c:pt>
                <c:pt idx="248">
                  <c:v>7.9031008549323139E-3</c:v>
                </c:pt>
                <c:pt idx="249">
                  <c:v>7.9250983940069904E-3</c:v>
                </c:pt>
                <c:pt idx="250">
                  <c:v>7.9471002778145911E-3</c:v>
                </c:pt>
                <c:pt idx="251">
                  <c:v>7.9691067730341038E-3</c:v>
                </c:pt>
                <c:pt idx="252">
                  <c:v>7.9911181463532995E-3</c:v>
                </c:pt>
                <c:pt idx="253">
                  <c:v>8.0683379783225394E-3</c:v>
                </c:pt>
                <c:pt idx="254">
                  <c:v>8.0792177545439513E-3</c:v>
                </c:pt>
                <c:pt idx="255">
                  <c:v>8.0900960214744799E-3</c:v>
                </c:pt>
                <c:pt idx="256">
                  <c:v>8.112135481356475E-3</c:v>
                </c:pt>
                <c:pt idx="257">
                  <c:v>8.1341815632622883E-3</c:v>
                </c:pt>
                <c:pt idx="258">
                  <c:v>8.2115588501602346E-3</c:v>
                </c:pt>
                <c:pt idx="259">
                  <c:v>8.2224375049300136E-3</c:v>
                </c:pt>
                <c:pt idx="260">
                  <c:v>8.2445207423633704E-3</c:v>
                </c:pt>
                <c:pt idx="261">
                  <c:v>8.266612220026559E-3</c:v>
                </c:pt>
                <c:pt idx="262">
                  <c:v>8.2887122076407138E-3</c:v>
                </c:pt>
                <c:pt idx="263">
                  <c:v>8.3772026522614951E-3</c:v>
                </c:pt>
                <c:pt idx="264">
                  <c:v>8.3772026522614951E-3</c:v>
                </c:pt>
                <c:pt idx="265">
                  <c:v>8.3993492356722044E-3</c:v>
                </c:pt>
                <c:pt idx="266">
                  <c:v>8.4215059474921361E-3</c:v>
                </c:pt>
                <c:pt idx="267">
                  <c:v>8.4436730574868335E-3</c:v>
                </c:pt>
                <c:pt idx="268">
                  <c:v>8.5215480240375206E-3</c:v>
                </c:pt>
                <c:pt idx="269">
                  <c:v>8.5324508746884575E-3</c:v>
                </c:pt>
                <c:pt idx="270">
                  <c:v>8.5546740222222084E-3</c:v>
                </c:pt>
                <c:pt idx="271">
                  <c:v>8.5769091866412239E-3</c:v>
                </c:pt>
                <c:pt idx="272">
                  <c:v>8.5991566377510154E-3</c:v>
                </c:pt>
                <c:pt idx="273">
                  <c:v>8.6887221194641099E-3</c:v>
                </c:pt>
                <c:pt idx="274">
                  <c:v>8.7110394700116948E-3</c:v>
                </c:pt>
                <c:pt idx="275">
                  <c:v>8.733370547984563E-3</c:v>
                </c:pt>
                <c:pt idx="276">
                  <c:v>8.7557156173845782E-3</c:v>
                </c:pt>
                <c:pt idx="277">
                  <c:v>8.8009200752183908E-3</c:v>
                </c:pt>
                <c:pt idx="278">
                  <c:v>8.8452410895401498E-3</c:v>
                </c:pt>
                <c:pt idx="279">
                  <c:v>8.8676600763410614E-3</c:v>
                </c:pt>
                <c:pt idx="280">
                  <c:v>8.8900946387175852E-3</c:v>
                </c:pt>
                <c:pt idx="281">
                  <c:v>8.9125450407158968E-3</c:v>
                </c:pt>
                <c:pt idx="282">
                  <c:v>8.9579867301822699E-3</c:v>
                </c:pt>
                <c:pt idx="283">
                  <c:v>9.0025103260764541E-3</c:v>
                </c:pt>
                <c:pt idx="284">
                  <c:v>9.0250438870996489E-3</c:v>
                </c:pt>
                <c:pt idx="285">
                  <c:v>9.0475948721546271E-3</c:v>
                </c:pt>
                <c:pt idx="286">
                  <c:v>9.0701633595448375E-3</c:v>
                </c:pt>
                <c:pt idx="287">
                  <c:v>9.1158477439895347E-3</c:v>
                </c:pt>
                <c:pt idx="288">
                  <c:v>9.1605971775580702E-3</c:v>
                </c:pt>
                <c:pt idx="289">
                  <c:v>9.1832413458176783E-3</c:v>
                </c:pt>
                <c:pt idx="290">
                  <c:v>9.2058980981701843E-3</c:v>
                </c:pt>
                <c:pt idx="291">
                  <c:v>9.228566583874373E-3</c:v>
                </c:pt>
                <c:pt idx="292">
                  <c:v>9.3420552354385525E-3</c:v>
                </c:pt>
                <c:pt idx="293">
                  <c:v>9.3647762546342096E-3</c:v>
                </c:pt>
                <c:pt idx="294">
                  <c:v>9.3759220199006871E-3</c:v>
                </c:pt>
                <c:pt idx="295">
                  <c:v>9.3986560863884884E-3</c:v>
                </c:pt>
                <c:pt idx="296">
                  <c:v>9.4784509968047926E-3</c:v>
                </c:pt>
                <c:pt idx="297">
                  <c:v>9.4896315997669792E-3</c:v>
                </c:pt>
                <c:pt idx="298">
                  <c:v>9.5123809885652322E-3</c:v>
                </c:pt>
                <c:pt idx="299">
                  <c:v>9.5351308609160253E-3</c:v>
                </c:pt>
                <c:pt idx="300">
                  <c:v>9.5578803564675685E-3</c:v>
                </c:pt>
                <c:pt idx="301">
                  <c:v>9.6261179785364793E-3</c:v>
                </c:pt>
                <c:pt idx="302">
                  <c:v>9.6488573630006697E-3</c:v>
                </c:pt>
                <c:pt idx="303">
                  <c:v>9.6715920686220522E-3</c:v>
                </c:pt>
                <c:pt idx="304">
                  <c:v>9.6943212349311289E-3</c:v>
                </c:pt>
                <c:pt idx="305">
                  <c:v>9.7170440014408329E-3</c:v>
                </c:pt>
                <c:pt idx="306">
                  <c:v>9.7851652969982439E-3</c:v>
                </c:pt>
                <c:pt idx="307">
                  <c:v>9.8078538590374853E-3</c:v>
                </c:pt>
                <c:pt idx="308">
                  <c:v>9.8305317185424807E-3</c:v>
                </c:pt>
                <c:pt idx="309">
                  <c:v>9.8531980149075826E-3</c:v>
                </c:pt>
                <c:pt idx="310">
                  <c:v>9.8758518875078083E-3</c:v>
                </c:pt>
                <c:pt idx="311">
                  <c:v>9.943730356171682E-3</c:v>
                </c:pt>
                <c:pt idx="312">
                  <c:v>9.9663259270673446E-3</c:v>
                </c:pt>
                <c:pt idx="313">
                  <c:v>9.9889047707789752E-3</c:v>
                </c:pt>
                <c:pt idx="314">
                  <c:v>1.0011466026564764E-2</c:v>
                </c:pt>
                <c:pt idx="315">
                  <c:v>1.0034008833660945E-2</c:v>
                </c:pt>
                <c:pt idx="316">
                  <c:v>1.0135158446187576E-2</c:v>
                </c:pt>
                <c:pt idx="317">
                  <c:v>1.015757527004562E-2</c:v>
                </c:pt>
                <c:pt idx="318">
                  <c:v>1.0179968078460116E-2</c:v>
                </c:pt>
                <c:pt idx="319">
                  <c:v>1.0224516910769272E-2</c:v>
                </c:pt>
                <c:pt idx="320">
                  <c:v>1.0269282125814544E-2</c:v>
                </c:pt>
                <c:pt idx="321">
                  <c:v>1.0291542082940808E-2</c:v>
                </c:pt>
                <c:pt idx="322">
                  <c:v>1.0313772914862218E-2</c:v>
                </c:pt>
                <c:pt idx="323">
                  <c:v>1.033597376988527E-2</c:v>
                </c:pt>
                <c:pt idx="324">
                  <c:v>1.0379998614812857E-2</c:v>
                </c:pt>
                <c:pt idx="325">
                  <c:v>1.0424460386494038E-2</c:v>
                </c:pt>
                <c:pt idx="326">
                  <c:v>1.0446498580987697E-2</c:v>
                </c:pt>
                <c:pt idx="327">
                  <c:v>1.0468501688038841E-2</c:v>
                </c:pt>
                <c:pt idx="328">
                  <c:v>1.0490468855825377E-2</c:v>
                </c:pt>
                <c:pt idx="329">
                  <c:v>1.053389781131356E-2</c:v>
                </c:pt>
                <c:pt idx="330">
                  <c:v>1.0577961097270196E-2</c:v>
                </c:pt>
                <c:pt idx="331">
                  <c:v>1.0599735790784558E-2</c:v>
                </c:pt>
                <c:pt idx="332">
                  <c:v>1.0621469433728152E-2</c:v>
                </c:pt>
                <c:pt idx="333">
                  <c:v>1.0643161174155508E-2</c:v>
                </c:pt>
                <c:pt idx="334">
                  <c:v>1.0696458672317371E-2</c:v>
                </c:pt>
                <c:pt idx="335">
                  <c:v>1.0750961519202566E-2</c:v>
                </c:pt>
                <c:pt idx="336">
                  <c:v>1.0772383952683613E-2</c:v>
                </c:pt>
                <c:pt idx="337">
                  <c:v>1.0793758519539213E-2</c:v>
                </c:pt>
                <c:pt idx="338">
                  <c:v>1.0846135574761013E-2</c:v>
                </c:pt>
                <c:pt idx="339">
                  <c:v>1.0878761078776679E-2</c:v>
                </c:pt>
                <c:pt idx="340">
                  <c:v>1.0899883530913613E-2</c:v>
                </c:pt>
                <c:pt idx="341">
                  <c:v>1.0920953003674877E-2</c:v>
                </c:pt>
                <c:pt idx="342">
                  <c:v>1.0941968644876062E-2</c:v>
                </c:pt>
                <c:pt idx="343">
                  <c:v>1.0983240327389206E-2</c:v>
                </c:pt>
                <c:pt idx="344">
                  <c:v>1.1025475849886128E-2</c:v>
                </c:pt>
                <c:pt idx="345">
                  <c:v>1.1046209549999445E-2</c:v>
                </c:pt>
                <c:pt idx="346">
                  <c:v>1.1066884305126479E-2</c:v>
                </c:pt>
                <c:pt idx="347">
                  <c:v>1.1087499411746511E-2</c:v>
                </c:pt>
                <c:pt idx="348">
                  <c:v>1.1127958716117175E-2</c:v>
                </c:pt>
                <c:pt idx="349">
                  <c:v>1.1169371753267644E-2</c:v>
                </c:pt>
                <c:pt idx="350">
                  <c:v>1.1189697134132981E-2</c:v>
                </c:pt>
                <c:pt idx="351">
                  <c:v>1.1209967216714108E-2</c:v>
                </c:pt>
                <c:pt idx="352">
                  <c:v>1.1230182892808093E-2</c:v>
                </c:pt>
                <c:pt idx="353">
                  <c:v>1.1269910293898832E-2</c:v>
                </c:pt>
                <c:pt idx="354">
                  <c:v>1.131051936896651E-2</c:v>
                </c:pt>
                <c:pt idx="355">
                  <c:v>1.1330476390296801E-2</c:v>
                </c:pt>
                <c:pt idx="356">
                  <c:v>1.1350384356350728E-2</c:v>
                </c:pt>
                <c:pt idx="357">
                  <c:v>1.1370244159069598E-2</c:v>
                </c:pt>
                <c:pt idx="358">
                  <c:v>1.1409360519273585E-2</c:v>
                </c:pt>
                <c:pt idx="359">
                  <c:v>1.146885194187568E-2</c:v>
                </c:pt>
                <c:pt idx="360">
                  <c:v>1.146885194187568E-2</c:v>
                </c:pt>
                <c:pt idx="361">
                  <c:v>1.1488441496407242E-2</c:v>
                </c:pt>
                <c:pt idx="362">
                  <c:v>1.1507989131726354E-2</c:v>
                </c:pt>
                <c:pt idx="363">
                  <c:v>1.1556160575843714E-2</c:v>
                </c:pt>
                <c:pt idx="364">
                  <c:v>1.1585778323086894E-2</c:v>
                </c:pt>
                <c:pt idx="365">
                  <c:v>1.1605129744162024E-2</c:v>
                </c:pt>
                <c:pt idx="366">
                  <c:v>1.1624444598880256E-2</c:v>
                </c:pt>
                <c:pt idx="367">
                  <c:v>1.1643723779452241E-2</c:v>
                </c:pt>
                <c:pt idx="368">
                  <c:v>1.1681954706560171E-2</c:v>
                </c:pt>
                <c:pt idx="369">
                  <c:v>1.1720501605081618E-2</c:v>
                </c:pt>
                <c:pt idx="370">
                  <c:v>1.1739615798688643E-2</c:v>
                </c:pt>
                <c:pt idx="371">
                  <c:v>1.175869967178435E-2</c:v>
                </c:pt>
                <c:pt idx="372">
                  <c:v>1.1777754116705376E-2</c:v>
                </c:pt>
                <c:pt idx="373">
                  <c:v>1.1815697681217794E-2</c:v>
                </c:pt>
                <c:pt idx="374">
                  <c:v>1.1853695462001058E-2</c:v>
                </c:pt>
                <c:pt idx="375">
                  <c:v>1.1872616151722994E-2</c:v>
                </c:pt>
                <c:pt idx="376">
                  <c:v>1.189151276766544E-2</c:v>
                </c:pt>
                <c:pt idx="377">
                  <c:v>1.1910386202287543E-2</c:v>
                </c:pt>
                <c:pt idx="378">
                  <c:v>1.194813732599225E-2</c:v>
                </c:pt>
                <c:pt idx="379">
                  <c:v>1.1985665977422833E-2</c:v>
                </c:pt>
                <c:pt idx="380">
                  <c:v>1.2004436892981262E-2</c:v>
                </c:pt>
                <c:pt idx="381">
                  <c:v>1.2023189982353947E-2</c:v>
                </c:pt>
                <c:pt idx="382">
                  <c:v>1.2041926138126024E-2</c:v>
                </c:pt>
                <c:pt idx="383">
                  <c:v>1.2079573256856421E-2</c:v>
                </c:pt>
                <c:pt idx="384">
                  <c:v>1.2116719277471388E-2</c:v>
                </c:pt>
                <c:pt idx="385">
                  <c:v>1.2135384154589181E-2</c:v>
                </c:pt>
                <c:pt idx="386">
                  <c:v>1.2154037453968206E-2</c:v>
                </c:pt>
                <c:pt idx="387">
                  <c:v>1.2201160835244338E-2</c:v>
                </c:pt>
                <c:pt idx="388">
                  <c:v>1.2210305131768332E-2</c:v>
                </c:pt>
                <c:pt idx="389">
                  <c:v>1.2247161529978682E-2</c:v>
                </c:pt>
                <c:pt idx="390">
                  <c:v>1.2265764110286155E-2</c:v>
                </c:pt>
                <c:pt idx="391">
                  <c:v>1.2284361362135955E-2</c:v>
                </c:pt>
                <c:pt idx="392">
                  <c:v>1.2302954178350416E-2</c:v>
                </c:pt>
                <c:pt idx="393">
                  <c:v>1.234063265000699E-2</c:v>
                </c:pt>
                <c:pt idx="394">
                  <c:v>1.2377298943892478E-2</c:v>
                </c:pt>
                <c:pt idx="395">
                  <c:v>1.2395882974858758E-2</c:v>
                </c:pt>
                <c:pt idx="396">
                  <c:v>1.2424051348517534E-2</c:v>
                </c:pt>
                <c:pt idx="397">
                  <c:v>1.2433054694693996E-2</c:v>
                </c:pt>
                <c:pt idx="398">
                  <c:v>1.2470855551738701E-2</c:v>
                </c:pt>
                <c:pt idx="399">
                  <c:v>1.2526047003817504E-2</c:v>
                </c:pt>
                <c:pt idx="400">
                  <c:v>1.2535019694648954E-2</c:v>
                </c:pt>
                <c:pt idx="401">
                  <c:v>1.2553633821600853E-2</c:v>
                </c:pt>
                <c:pt idx="402">
                  <c:v>1.257225676852783E-2</c:v>
                </c:pt>
                <c:pt idx="403">
                  <c:v>1.2646854813606997E-2</c:v>
                </c:pt>
                <c:pt idx="404">
                  <c:v>1.2646854813606997E-2</c:v>
                </c:pt>
                <c:pt idx="405">
                  <c:v>1.2665535403778877E-2</c:v>
                </c:pt>
                <c:pt idx="406">
                  <c:v>1.2684230231395388E-2</c:v>
                </c:pt>
                <c:pt idx="407">
                  <c:v>1.2702940199428291E-2</c:v>
                </c:pt>
                <c:pt idx="408">
                  <c:v>1.2759169975999492E-2</c:v>
                </c:pt>
                <c:pt idx="409">
                  <c:v>1.2777949535758185E-2</c:v>
                </c:pt>
                <c:pt idx="410">
                  <c:v>1.2796748751050342E-2</c:v>
                </c:pt>
                <c:pt idx="411">
                  <c:v>1.281556852495138E-2</c:v>
                </c:pt>
                <c:pt idx="412">
                  <c:v>1.2834409610087392E-2</c:v>
                </c:pt>
                <c:pt idx="413">
                  <c:v>1.2891061638745954E-2</c:v>
                </c:pt>
                <c:pt idx="414">
                  <c:v>1.290998857373403E-2</c:v>
                </c:pt>
                <c:pt idx="415">
                  <c:v>1.2928936971949783E-2</c:v>
                </c:pt>
                <c:pt idx="416">
                  <c:v>1.294790663958429E-2</c:v>
                </c:pt>
                <c:pt idx="417">
                  <c:v>1.2966896606353478E-2</c:v>
                </c:pt>
                <c:pt idx="418">
                  <c:v>1.3043812755632581E-2</c:v>
                </c:pt>
                <c:pt idx="419">
                  <c:v>1.3052958234764451E-2</c:v>
                </c:pt>
                <c:pt idx="420">
                  <c:v>1.3062110171833754E-2</c:v>
                </c:pt>
                <c:pt idx="421">
                  <c:v>1.3081197479865025E-2</c:v>
                </c:pt>
                <c:pt idx="422">
                  <c:v>1.3100296935639329E-2</c:v>
                </c:pt>
                <c:pt idx="423">
                  <c:v>1.3167584692707311E-2</c:v>
                </c:pt>
                <c:pt idx="424">
                  <c:v>1.3186718538793111E-2</c:v>
                </c:pt>
                <c:pt idx="425">
                  <c:v>1.3205857723200001E-2</c:v>
                </c:pt>
                <c:pt idx="426">
                  <c:v>1.3225001093844333E-2</c:v>
                </c:pt>
                <c:pt idx="427">
                  <c:v>1.3263946042591878E-2</c:v>
                </c:pt>
                <c:pt idx="428">
                  <c:v>1.3320740416137821E-2</c:v>
                </c:pt>
                <c:pt idx="429">
                  <c:v>1.3320740416137821E-2</c:v>
                </c:pt>
                <c:pt idx="430">
                  <c:v>1.3339884709199079E-2</c:v>
                </c:pt>
                <c:pt idx="431">
                  <c:v>1.3359025123286674E-2</c:v>
                </c:pt>
                <c:pt idx="432">
                  <c:v>1.3407623147354062E-2</c:v>
                </c:pt>
                <c:pt idx="433">
                  <c:v>1.343552494428717E-2</c:v>
                </c:pt>
                <c:pt idx="434">
                  <c:v>1.3454628679105577E-2</c:v>
                </c:pt>
                <c:pt idx="435">
                  <c:v>1.3473721621034794E-2</c:v>
                </c:pt>
                <c:pt idx="436">
                  <c:v>1.3492802617677511E-2</c:v>
                </c:pt>
                <c:pt idx="437">
                  <c:v>1.3531301756990653E-2</c:v>
                </c:pt>
                <c:pt idx="438">
                  <c:v>1.3568984102653508E-2</c:v>
                </c:pt>
                <c:pt idx="439">
                  <c:v>1.3587988086122996E-2</c:v>
                </c:pt>
                <c:pt idx="440">
                  <c:v>1.3606973209454684E-2</c:v>
                </c:pt>
                <c:pt idx="441">
                  <c:v>1.3625938320095737E-2</c:v>
                </c:pt>
                <c:pt idx="442">
                  <c:v>1.3664015779834312E-2</c:v>
                </c:pt>
                <c:pt idx="443">
                  <c:v>1.370157558393836E-2</c:v>
                </c:pt>
                <c:pt idx="444">
                  <c:v>1.3720423342072571E-2</c:v>
                </c:pt>
                <c:pt idx="445">
                  <c:v>1.3739244171742973E-2</c:v>
                </c:pt>
                <c:pt idx="446">
                  <c:v>1.3758036920242946E-2</c:v>
                </c:pt>
                <c:pt idx="447">
                  <c:v>1.3795571332493504E-2</c:v>
                </c:pt>
                <c:pt idx="448">
                  <c:v>1.3832904047696125E-2</c:v>
                </c:pt>
                <c:pt idx="449">
                  <c:v>1.3851539099024254E-2</c:v>
                </c:pt>
                <c:pt idx="450">
                  <c:v>1.3870139152506022E-2</c:v>
                </c:pt>
                <c:pt idx="451">
                  <c:v>1.3888703055286227E-2</c:v>
                </c:pt>
                <c:pt idx="452">
                  <c:v>1.3962574101609655E-2</c:v>
                </c:pt>
                <c:pt idx="453">
                  <c:v>1.3962574101609655E-2</c:v>
                </c:pt>
                <c:pt idx="454">
                  <c:v>1.3980939957361519E-2</c:v>
                </c:pt>
                <c:pt idx="455">
                  <c:v>1.3999262744860071E-2</c:v>
                </c:pt>
                <c:pt idx="456">
                  <c:v>1.4017541311108484E-2</c:v>
                </c:pt>
                <c:pt idx="457">
                  <c:v>1.4062562254632439E-2</c:v>
                </c:pt>
                <c:pt idx="458">
                  <c:v>1.4090190302962987E-2</c:v>
                </c:pt>
                <c:pt idx="459">
                  <c:v>1.4108230467312308E-2</c:v>
                </c:pt>
                <c:pt idx="460">
                  <c:v>1.4126219492016067E-2</c:v>
                </c:pt>
                <c:pt idx="461">
                  <c:v>1.4179416908920273E-2</c:v>
                </c:pt>
                <c:pt idx="462">
                  <c:v>1.4179416908920273E-2</c:v>
                </c:pt>
                <c:pt idx="463">
                  <c:v>1.4215357160508544E-2</c:v>
                </c:pt>
                <c:pt idx="464">
                  <c:v>1.4224438039891412E-2</c:v>
                </c:pt>
                <c:pt idx="465">
                  <c:v>1.42335099291655E-2</c:v>
                </c:pt>
                <c:pt idx="466">
                  <c:v>1.4251126120119473E-2</c:v>
                </c:pt>
                <c:pt idx="467">
                  <c:v>1.4268681308837294E-2</c:v>
                </c:pt>
                <c:pt idx="468">
                  <c:v>1.4329337783791031E-2</c:v>
                </c:pt>
                <c:pt idx="469">
                  <c:v>1.4338268465276194E-2</c:v>
                </c:pt>
                <c:pt idx="470">
                  <c:v>1.4355500960608225E-2</c:v>
                </c:pt>
                <c:pt idx="471">
                  <c:v>1.4372665380700589E-2</c:v>
                </c:pt>
                <c:pt idx="472">
                  <c:v>1.4389760546661634E-2</c:v>
                </c:pt>
                <c:pt idx="473">
                  <c:v>1.4448703457957058E-2</c:v>
                </c:pt>
                <c:pt idx="474">
                  <c:v>1.4457425090734333E-2</c:v>
                </c:pt>
                <c:pt idx="475">
                  <c:v>1.4474156302060059E-2</c:v>
                </c:pt>
                <c:pt idx="476">
                  <c:v>1.4490811185551955E-2</c:v>
                </c:pt>
                <c:pt idx="477">
                  <c:v>1.4507388562208234E-2</c:v>
                </c:pt>
                <c:pt idx="478">
                  <c:v>1.4564438765170972E-2</c:v>
                </c:pt>
                <c:pt idx="479">
                  <c:v>1.4572899419840191E-2</c:v>
                </c:pt>
                <c:pt idx="480">
                  <c:v>1.4589071576721402E-2</c:v>
                </c:pt>
                <c:pt idx="481">
                  <c:v>1.4605159484039731E-2</c:v>
                </c:pt>
                <c:pt idx="482">
                  <c:v>1.4621163620755162E-2</c:v>
                </c:pt>
                <c:pt idx="483">
                  <c:v>1.4699956116347224E-2</c:v>
                </c:pt>
                <c:pt idx="484">
                  <c:v>1.4715474652333249E-2</c:v>
                </c:pt>
                <c:pt idx="485">
                  <c:v>1.473828700237742E-2</c:v>
                </c:pt>
                <c:pt idx="486">
                  <c:v>1.4791912104539229E-2</c:v>
                </c:pt>
                <c:pt idx="487">
                  <c:v>1.4806974224621072E-2</c:v>
                </c:pt>
                <c:pt idx="488">
                  <c:v>1.4821963113053727E-2</c:v>
                </c:pt>
                <c:pt idx="489">
                  <c:v>1.4836879580646389E-2</c:v>
                </c:pt>
                <c:pt idx="490">
                  <c:v>1.488826492157155E-2</c:v>
                </c:pt>
                <c:pt idx="491">
                  <c:v>1.489583745928158E-2</c:v>
                </c:pt>
                <c:pt idx="492">
                  <c:v>1.4910403985316734E-2</c:v>
                </c:pt>
                <c:pt idx="493">
                  <c:v>1.4924902955677943E-2</c:v>
                </c:pt>
                <c:pt idx="494">
                  <c:v>1.4939335181282765E-2</c:v>
                </c:pt>
                <c:pt idx="495">
                  <c:v>1.5003273402188315E-2</c:v>
                </c:pt>
                <c:pt idx="496">
                  <c:v>1.5003273402188315E-2</c:v>
                </c:pt>
                <c:pt idx="497">
                  <c:v>1.5010523521032937E-2</c:v>
                </c:pt>
                <c:pt idx="498">
                  <c:v>1.5024572308150574E-2</c:v>
                </c:pt>
                <c:pt idx="499">
                  <c:v>1.5038560027331727E-2</c:v>
                </c:pt>
                <c:pt idx="500">
                  <c:v>1.5086897831868123E-2</c:v>
                </c:pt>
                <c:pt idx="501">
                  <c:v>1.5093916445547251E-2</c:v>
                </c:pt>
                <c:pt idx="502">
                  <c:v>1.5107610990805931E-2</c:v>
                </c:pt>
                <c:pt idx="503">
                  <c:v>1.5121249334527853E-2</c:v>
                </c:pt>
                <c:pt idx="504">
                  <c:v>1.5134832287827749E-2</c:v>
                </c:pt>
                <c:pt idx="505">
                  <c:v>1.5162020333448843E-2</c:v>
                </c:pt>
                <c:pt idx="506">
                  <c:v>1.5168809884672162E-2</c:v>
                </c:pt>
                <c:pt idx="507">
                  <c:v>1.5201944587906802E-2</c:v>
                </c:pt>
                <c:pt idx="508">
                  <c:v>1.5208645611651193E-2</c:v>
                </c:pt>
                <c:pt idx="509">
                  <c:v>1.5221878628968627E-2</c:v>
                </c:pt>
                <c:pt idx="510">
                  <c:v>1.5274296571913931E-2</c:v>
                </c:pt>
                <c:pt idx="511">
                  <c:v>1.5280820997974232E-2</c:v>
                </c:pt>
                <c:pt idx="512">
                  <c:v>1.5287320340097377E-2</c:v>
                </c:pt>
                <c:pt idx="513">
                  <c:v>1.5300269749608806E-2</c:v>
                </c:pt>
                <c:pt idx="514">
                  <c:v>1.531317476239843E-2</c:v>
                </c:pt>
                <c:pt idx="515">
                  <c:v>1.5364471068820808E-2</c:v>
                </c:pt>
                <c:pt idx="516">
                  <c:v>1.5370778432512999E-2</c:v>
                </c:pt>
                <c:pt idx="517">
                  <c:v>1.5377062589505277E-2</c:v>
                </c:pt>
                <c:pt idx="518">
                  <c:v>1.5464870604426442E-2</c:v>
                </c:pt>
                <c:pt idx="519">
                  <c:v>1.556985318562786E-2</c:v>
                </c:pt>
                <c:pt idx="520">
                  <c:v>1.5654500646485929E-2</c:v>
                </c:pt>
                <c:pt idx="521">
                  <c:v>1.5738075195000683E-2</c:v>
                </c:pt>
                <c:pt idx="522">
                  <c:v>1.5820849056962721E-2</c:v>
                </c:pt>
                <c:pt idx="523">
                  <c:v>1.590302723407375E-2</c:v>
                </c:pt>
                <c:pt idx="524">
                  <c:v>1.5978562118173629E-2</c:v>
                </c:pt>
                <c:pt idx="525">
                  <c:v>1.6059642917431543E-2</c:v>
                </c:pt>
                <c:pt idx="526">
                  <c:v>1.6151612168709032E-2</c:v>
                </c:pt>
                <c:pt idx="527">
                  <c:v>1.6231477520417745E-2</c:v>
                </c:pt>
                <c:pt idx="528">
                  <c:v>1.6316698779925698E-2</c:v>
                </c:pt>
                <c:pt idx="529">
                  <c:v>1.6395392615403247E-2</c:v>
                </c:pt>
                <c:pt idx="530">
                  <c:v>1.6473519109012531E-2</c:v>
                </c:pt>
                <c:pt idx="531">
                  <c:v>1.6551078226850226E-2</c:v>
                </c:pt>
                <c:pt idx="532">
                  <c:v>1.6628069935259789E-2</c:v>
                </c:pt>
                <c:pt idx="533">
                  <c:v>1.6704494200829676E-2</c:v>
                </c:pt>
                <c:pt idx="534">
                  <c:v>1.6780350990395983E-2</c:v>
                </c:pt>
                <c:pt idx="535">
                  <c:v>1.6855640271037222E-2</c:v>
                </c:pt>
                <c:pt idx="536">
                  <c:v>1.6930362010081263E-2</c:v>
                </c:pt>
                <c:pt idx="537">
                  <c:v>1.7004516175100133E-2</c:v>
                </c:pt>
                <c:pt idx="538">
                  <c:v>1.7078102733911749E-2</c:v>
                </c:pt>
                <c:pt idx="539">
                  <c:v>1.7151121654579052E-2</c:v>
                </c:pt>
                <c:pt idx="540">
                  <c:v>1.7223572905413476E-2</c:v>
                </c:pt>
                <c:pt idx="541">
                  <c:v>1.7295456454970607E-2</c:v>
                </c:pt>
                <c:pt idx="542">
                  <c:v>1.7382965956923277E-2</c:v>
                </c:pt>
                <c:pt idx="543">
                  <c:v>1.7437520325708271E-2</c:v>
                </c:pt>
                <c:pt idx="544">
                  <c:v>1.7507700585230299E-2</c:v>
                </c:pt>
                <c:pt idx="545">
                  <c:v>1.7572019861494315E-2</c:v>
                </c:pt>
                <c:pt idx="546">
                  <c:v>1.7641101634050759E-2</c:v>
                </c:pt>
                <c:pt idx="547">
                  <c:v>1.7709615538628629E-2</c:v>
                </c:pt>
                <c:pt idx="548">
                  <c:v>1.7777561545813211E-2</c:v>
                </c:pt>
                <c:pt idx="549">
                  <c:v>1.7844939626433996E-2</c:v>
                </c:pt>
                <c:pt idx="550">
                  <c:v>1.7916856777042016E-2</c:v>
                </c:pt>
                <c:pt idx="551">
                  <c:v>1.7983061638539362E-2</c:v>
                </c:pt>
                <c:pt idx="552">
                  <c:v>1.8048698469116147E-2</c:v>
                </c:pt>
                <c:pt idx="553">
                  <c:v>1.8113767240282987E-2</c:v>
                </c:pt>
                <c:pt idx="554">
                  <c:v>1.8178267942596131E-2</c:v>
                </c:pt>
                <c:pt idx="555">
                  <c:v>1.8242201188009542E-2</c:v>
                </c:pt>
                <c:pt idx="556">
                  <c:v>1.830556833735815E-2</c:v>
                </c:pt>
                <c:pt idx="557">
                  <c:v>1.8386969540213714E-2</c:v>
                </c:pt>
                <c:pt idx="558">
                  <c:v>1.8420986654665406E-2</c:v>
                </c:pt>
                <c:pt idx="559">
                  <c:v>1.8482737200029575E-2</c:v>
                </c:pt>
                <c:pt idx="560">
                  <c:v>1.8543927068855659E-2</c:v>
                </c:pt>
                <c:pt idx="561">
                  <c:v>1.8604557700431457E-2</c:v>
                </c:pt>
                <c:pt idx="562">
                  <c:v>1.8673166917247741E-2</c:v>
                </c:pt>
                <c:pt idx="563">
                  <c:v>1.8732604031374223E-2</c:v>
                </c:pt>
                <c:pt idx="564">
                  <c:v>1.8791486433823223E-2</c:v>
                </c:pt>
                <c:pt idx="565">
                  <c:v>1.884981556520593E-2</c:v>
                </c:pt>
                <c:pt idx="566">
                  <c:v>1.8907592866447942E-2</c:v>
                </c:pt>
                <c:pt idx="567">
                  <c:v>1.8960335599032332E-2</c:v>
                </c:pt>
                <c:pt idx="568">
                  <c:v>1.9017049144160799E-2</c:v>
                </c:pt>
                <c:pt idx="569">
                  <c:v>1.9073213112567156E-2</c:v>
                </c:pt>
                <c:pt idx="570">
                  <c:v>1.9128827481442682E-2</c:v>
                </c:pt>
                <c:pt idx="571">
                  <c:v>1.9205553755151011E-2</c:v>
                </c:pt>
                <c:pt idx="572">
                  <c:v>1.9259887020050156E-2</c:v>
                </c:pt>
                <c:pt idx="573">
                  <c:v>1.9313670504237282E-2</c:v>
                </c:pt>
                <c:pt idx="574">
                  <c:v>1.9366904184645737E-2</c:v>
                </c:pt>
                <c:pt idx="575">
                  <c:v>1.9436958620330909E-2</c:v>
                </c:pt>
                <c:pt idx="576">
                  <c:v>1.9459281325283982E-2</c:v>
                </c:pt>
                <c:pt idx="577">
                  <c:v>1.951097491940925E-2</c:v>
                </c:pt>
                <c:pt idx="578">
                  <c:v>1.9562118691780678E-2</c:v>
                </c:pt>
                <c:pt idx="579">
                  <c:v>1.9612712621159871E-2</c:v>
                </c:pt>
                <c:pt idx="580">
                  <c:v>1.9674759125622807E-2</c:v>
                </c:pt>
                <c:pt idx="581">
                  <c:v>1.9724143553468611E-2</c:v>
                </c:pt>
                <c:pt idx="582">
                  <c:v>1.9772978001475719E-2</c:v>
                </c:pt>
                <c:pt idx="583">
                  <c:v>1.9825146723161182E-2</c:v>
                </c:pt>
                <c:pt idx="584">
                  <c:v>1.9872844482685142E-2</c:v>
                </c:pt>
                <c:pt idx="585">
                  <c:v>1.9916181258170233E-2</c:v>
                </c:pt>
                <c:pt idx="586">
                  <c:v>1.9962815579708248E-2</c:v>
                </c:pt>
                <c:pt idx="587">
                  <c:v>2.0008899819029889E-2</c:v>
                </c:pt>
                <c:pt idx="588">
                  <c:v>2.0043311659802523E-2</c:v>
                </c:pt>
                <c:pt idx="589">
                  <c:v>2.0103081862833137E-2</c:v>
                </c:pt>
                <c:pt idx="590">
                  <c:v>2.0143851847195034E-2</c:v>
                </c:pt>
                <c:pt idx="591">
                  <c:v>2.0187735562328276E-2</c:v>
                </c:pt>
                <c:pt idx="592">
                  <c:v>2.0231069098764026E-2</c:v>
                </c:pt>
                <c:pt idx="593">
                  <c:v>2.0273852437912042E-2</c:v>
                </c:pt>
                <c:pt idx="594">
                  <c:v>2.0319565072496479E-2</c:v>
                </c:pt>
                <c:pt idx="595">
                  <c:v>2.0357768451170231E-2</c:v>
                </c:pt>
                <c:pt idx="596">
                  <c:v>2.0398901089281964E-2</c:v>
                </c:pt>
                <c:pt idx="597">
                  <c:v>2.0429357354074879E-2</c:v>
                </c:pt>
                <c:pt idx="598">
                  <c:v>2.0469500535114388E-2</c:v>
                </c:pt>
                <c:pt idx="599">
                  <c:v>2.0509093496353624E-2</c:v>
                </c:pt>
                <c:pt idx="600">
                  <c:v>2.0548136221346842E-2</c:v>
                </c:pt>
                <c:pt idx="601">
                  <c:v>2.0596309895938279E-2</c:v>
                </c:pt>
                <c:pt idx="602">
                  <c:v>2.0634140661927057E-2</c:v>
                </c:pt>
                <c:pt idx="603">
                  <c:v>2.0671421057715363E-2</c:v>
                </c:pt>
                <c:pt idx="604">
                  <c:v>2.0711259744120383E-2</c:v>
                </c:pt>
                <c:pt idx="605">
                  <c:v>2.0744330674953432E-2</c:v>
                </c:pt>
                <c:pt idx="606">
                  <c:v>2.0779961151567685E-2</c:v>
                </c:pt>
                <c:pt idx="607">
                  <c:v>2.0815056406487738E-2</c:v>
                </c:pt>
                <c:pt idx="608">
                  <c:v>2.0852607943469249E-2</c:v>
                </c:pt>
                <c:pt idx="609">
                  <c:v>2.0883725668171465E-2</c:v>
                </c:pt>
                <c:pt idx="610">
                  <c:v>2.0905660506476131E-2</c:v>
                </c:pt>
                <c:pt idx="611">
                  <c:v>2.0938926317434436E-2</c:v>
                </c:pt>
                <c:pt idx="612">
                  <c:v>2.0971755492555921E-2</c:v>
                </c:pt>
                <c:pt idx="613">
                  <c:v>2.1004170138624545E-2</c:v>
                </c:pt>
                <c:pt idx="614">
                  <c:v>2.1044148501058988E-2</c:v>
                </c:pt>
                <c:pt idx="615">
                  <c:v>2.1084106689125037E-2</c:v>
                </c:pt>
                <c:pt idx="616">
                  <c:v>2.1115249797897313E-2</c:v>
                </c:pt>
                <c:pt idx="617">
                  <c:v>2.1150456162527958E-2</c:v>
                </c:pt>
                <c:pt idx="618">
                  <c:v>2.1176609649360877E-2</c:v>
                </c:pt>
                <c:pt idx="619">
                  <c:v>2.120960218918104E-2</c:v>
                </c:pt>
                <c:pt idx="620">
                  <c:v>2.1236861776047479E-2</c:v>
                </c:pt>
                <c:pt idx="621">
                  <c:v>2.126811566319553E-2</c:v>
                </c:pt>
                <c:pt idx="622">
                  <c:v>2.1298731025524591E-2</c:v>
                </c:pt>
                <c:pt idx="623">
                  <c:v>2.1327908392722562E-2</c:v>
                </c:pt>
                <c:pt idx="624">
                  <c:v>2.1356819627542656E-2</c:v>
                </c:pt>
                <c:pt idx="625">
                  <c:v>2.138546472411653E-2</c:v>
                </c:pt>
                <c:pt idx="626">
                  <c:v>2.1413843676627964E-2</c:v>
                </c:pt>
                <c:pt idx="627">
                  <c:v>2.1439361436480838E-2</c:v>
                </c:pt>
                <c:pt idx="628">
                  <c:v>2.1467225439177211E-2</c:v>
                </c:pt>
                <c:pt idx="629">
                  <c:v>2.1494823294788558E-2</c:v>
                </c:pt>
                <c:pt idx="630">
                  <c:v>2.15299151698225E-2</c:v>
                </c:pt>
                <c:pt idx="631">
                  <c:v>2.1549220542641096E-2</c:v>
                </c:pt>
                <c:pt idx="632">
                  <c:v>2.1582332313930953E-2</c:v>
                </c:pt>
                <c:pt idx="633">
                  <c:v>2.1605043833233566E-2</c:v>
                </c:pt>
                <c:pt idx="634">
                  <c:v>2.163129343034343E-2</c:v>
                </c:pt>
                <c:pt idx="635">
                  <c:v>2.1660967017780215E-2</c:v>
                </c:pt>
                <c:pt idx="636">
                  <c:v>2.1682994037356362E-2</c:v>
                </c:pt>
                <c:pt idx="637">
                  <c:v>2.1708445036761736E-2</c:v>
                </c:pt>
                <c:pt idx="638">
                  <c:v>2.1733629826523219E-2</c:v>
                </c:pt>
                <c:pt idx="639">
                  <c:v>2.1758548401529243E-2</c:v>
                </c:pt>
                <c:pt idx="640">
                  <c:v>2.1783200756719513E-2</c:v>
                </c:pt>
                <c:pt idx="641">
                  <c:v>2.1807586887086724E-2</c:v>
                </c:pt>
                <c:pt idx="642">
                  <c:v>2.1831706787681794E-2</c:v>
                </c:pt>
                <c:pt idx="643">
                  <c:v>2.1855560453604296E-2</c:v>
                </c:pt>
                <c:pt idx="644">
                  <c:v>2.1879147880012016E-2</c:v>
                </c:pt>
                <c:pt idx="645">
                  <c:v>2.190246906211574E-2</c:v>
                </c:pt>
                <c:pt idx="646">
                  <c:v>2.1925523995179261E-2</c:v>
                </c:pt>
                <c:pt idx="647">
                  <c:v>2.19483126745211E-2</c:v>
                </c:pt>
                <c:pt idx="648">
                  <c:v>2.1974030848584524E-2</c:v>
                </c:pt>
                <c:pt idx="649">
                  <c:v>2.1994041614121312E-2</c:v>
                </c:pt>
                <c:pt idx="650">
                  <c:v>2.2012888943238478E-2</c:v>
                </c:pt>
                <c:pt idx="651">
                  <c:v>2.2034630255335939E-2</c:v>
                </c:pt>
                <c:pt idx="652">
                  <c:v>2.2056105306387658E-2</c:v>
                </c:pt>
                <c:pt idx="653">
                  <c:v>2.2079453167068094E-2</c:v>
                </c:pt>
                <c:pt idx="654">
                  <c:v>2.2100377943817664E-2</c:v>
                </c:pt>
                <c:pt idx="655">
                  <c:v>2.2123965905702262E-2</c:v>
                </c:pt>
                <c:pt idx="656">
                  <c:v>2.2141428625440326E-2</c:v>
                </c:pt>
                <c:pt idx="657">
                  <c:v>2.2161554521976611E-2</c:v>
                </c:pt>
                <c:pt idx="658">
                  <c:v>2.2181415418079123E-2</c:v>
                </c:pt>
                <c:pt idx="659">
                  <c:v>2.2203807578227829E-2</c:v>
                </c:pt>
                <c:pt idx="660">
                  <c:v>2.2220405786693757E-2</c:v>
                </c:pt>
                <c:pt idx="661">
                  <c:v>2.2239578015785896E-2</c:v>
                </c:pt>
                <c:pt idx="662">
                  <c:v>2.2256555376975483E-2</c:v>
                </c:pt>
                <c:pt idx="663">
                  <c:v>2.2275380700839644E-2</c:v>
                </c:pt>
                <c:pt idx="664">
                  <c:v>2.2294060383675783E-2</c:v>
                </c:pt>
                <c:pt idx="665">
                  <c:v>2.2312616081478689E-2</c:v>
                </c:pt>
                <c:pt idx="666">
                  <c:v>2.233369855567938E-2</c:v>
                </c:pt>
                <c:pt idx="667">
                  <c:v>2.2352061496437675E-2</c:v>
                </c:pt>
                <c:pt idx="668">
                  <c:v>2.237036851654061E-2</c:v>
                </c:pt>
                <c:pt idx="669">
                  <c:v>2.238864127367482E-2</c:v>
                </c:pt>
                <c:pt idx="670">
                  <c:v>2.2406901425925739E-2</c:v>
                </c:pt>
                <c:pt idx="671">
                  <c:v>2.2425169316260238E-2</c:v>
                </c:pt>
                <c:pt idx="672">
                  <c:v>2.2441445413711847E-2</c:v>
                </c:pt>
                <c:pt idx="673">
                  <c:v>2.245974147733687E-2</c:v>
                </c:pt>
                <c:pt idx="674">
                  <c:v>2.2480064187085938E-2</c:v>
                </c:pt>
                <c:pt idx="675">
                  <c:v>2.2500406894469988E-2</c:v>
                </c:pt>
                <c:pt idx="676">
                  <c:v>2.2518753144936631E-2</c:v>
                </c:pt>
                <c:pt idx="677">
                  <c:v>2.2537114640276461E-2</c:v>
                </c:pt>
                <c:pt idx="678">
                  <c:v>2.255549138069975E-2</c:v>
                </c:pt>
                <c:pt idx="679">
                  <c:v>2.257186049237974E-2</c:v>
                </c:pt>
                <c:pt idx="680">
                  <c:v>2.259026548341778E-2</c:v>
                </c:pt>
                <c:pt idx="681">
                  <c:v>2.2613951442432577E-2</c:v>
                </c:pt>
                <c:pt idx="682">
                  <c:v>2.2632391276792688E-2</c:v>
                </c:pt>
                <c:pt idx="683">
                  <c:v>2.2652878843749284E-2</c:v>
                </c:pt>
                <c:pt idx="684">
                  <c:v>2.2671351415297348E-2</c:v>
                </c:pt>
                <c:pt idx="685">
                  <c:v>2.2689839233484145E-2</c:v>
                </c:pt>
                <c:pt idx="686">
                  <c:v>2.270834229852255E-2</c:v>
                </c:pt>
                <c:pt idx="687">
                  <c:v>2.2726860610628914E-2</c:v>
                </c:pt>
                <c:pt idx="688">
                  <c:v>2.2745394170016104E-2</c:v>
                </c:pt>
                <c:pt idx="689">
                  <c:v>2.2763942976898734E-2</c:v>
                </c:pt>
                <c:pt idx="690">
                  <c:v>2.2782507031493152E-2</c:v>
                </c:pt>
                <c:pt idx="691">
                  <c:v>2.2801086334012236E-2</c:v>
                </c:pt>
                <c:pt idx="692">
                  <c:v>2.281968088467146E-2</c:v>
                </c:pt>
                <c:pt idx="693">
                  <c:v>2.2838290683688041E-2</c:v>
                </c:pt>
                <c:pt idx="694">
                  <c:v>2.2856915731274855E-2</c:v>
                </c:pt>
                <c:pt idx="695">
                  <c:v>2.2875556027649992E-2</c:v>
                </c:pt>
                <c:pt idx="696">
                  <c:v>2.2894211573027186E-2</c:v>
                </c:pt>
                <c:pt idx="697">
                  <c:v>2.2912882367622792E-2</c:v>
                </c:pt>
                <c:pt idx="698">
                  <c:v>2.2931568411654023E-2</c:v>
                </c:pt>
                <c:pt idx="699">
                  <c:v>2.2950269705336361E-2</c:v>
                </c:pt>
                <c:pt idx="700">
                  <c:v>2.2968986248887026E-2</c:v>
                </c:pt>
                <c:pt idx="701">
                  <c:v>2.298564478843157E-2</c:v>
                </c:pt>
                <c:pt idx="702">
                  <c:v>2.3004389549148369E-2</c:v>
                </c:pt>
                <c:pt idx="703">
                  <c:v>2.3023149558425389E-2</c:v>
                </c:pt>
                <c:pt idx="704">
                  <c:v>2.3041924816476961E-2</c:v>
                </c:pt>
                <c:pt idx="705">
                  <c:v>2.3069046759856646E-2</c:v>
                </c:pt>
                <c:pt idx="706">
                  <c:v>2.3081605769563078E-2</c:v>
                </c:pt>
                <c:pt idx="707">
                  <c:v>2.3100429068267155E-2</c:v>
                </c:pt>
                <c:pt idx="708">
                  <c:v>2.3119267618577296E-2</c:v>
                </c:pt>
                <c:pt idx="709">
                  <c:v>2.3138121420711592E-2</c:v>
                </c:pt>
                <c:pt idx="710">
                  <c:v>2.3156988747613277E-2</c:v>
                </c:pt>
                <c:pt idx="711">
                  <c:v>2.3175860963055839E-2</c:v>
                </c:pt>
                <c:pt idx="712">
                  <c:v>2.3194727703353717E-2</c:v>
                </c:pt>
                <c:pt idx="713">
                  <c:v>2.3214179646101705E-2</c:v>
                </c:pt>
                <c:pt idx="714">
                  <c:v>2.3228228375306692E-2</c:v>
                </c:pt>
                <c:pt idx="715">
                  <c:v>2.3247024630187241E-2</c:v>
                </c:pt>
                <c:pt idx="716">
                  <c:v>2.3265775602289374E-2</c:v>
                </c:pt>
                <c:pt idx="717">
                  <c:v>2.3284470698039961E-2</c:v>
                </c:pt>
                <c:pt idx="718">
                  <c:v>2.3303099323670473E-2</c:v>
                </c:pt>
                <c:pt idx="719">
                  <c:v>2.3321650885220535E-2</c:v>
                </c:pt>
                <c:pt idx="720">
                  <c:v>2.3340114788537925E-2</c:v>
                </c:pt>
                <c:pt idx="721">
                  <c:v>2.3358480439280349E-2</c:v>
                </c:pt>
                <c:pt idx="722">
                  <c:v>2.3376737242919887E-2</c:v>
                </c:pt>
                <c:pt idx="723">
                  <c:v>2.3392843955145501E-2</c:v>
                </c:pt>
                <c:pt idx="724">
                  <c:v>2.3410868948721429E-2</c:v>
                </c:pt>
                <c:pt idx="725">
                  <c:v>2.3428772990990859E-2</c:v>
                </c:pt>
                <c:pt idx="726">
                  <c:v>2.3446556080357766E-2</c:v>
                </c:pt>
                <c:pt idx="727">
                  <c:v>2.3470221826719918E-2</c:v>
                </c:pt>
                <c:pt idx="728">
                  <c:v>2.3487740503026926E-2</c:v>
                </c:pt>
                <c:pt idx="729">
                  <c:v>2.3505138200288021E-2</c:v>
                </c:pt>
                <c:pt idx="730">
                  <c:v>2.352241491689927E-2</c:v>
                </c:pt>
                <c:pt idx="731">
                  <c:v>2.3537600126517171E-2</c:v>
                </c:pt>
                <c:pt idx="732">
                  <c:v>2.3554642407497006E-2</c:v>
                </c:pt>
                <c:pt idx="733">
                  <c:v>2.3571563710285858E-2</c:v>
                </c:pt>
                <c:pt idx="734">
                  <c:v>2.3588364033342107E-2</c:v>
                </c:pt>
                <c:pt idx="735">
                  <c:v>2.3605043375131154E-2</c:v>
                </c:pt>
                <c:pt idx="736">
                  <c:v>2.362353453445859E-2</c:v>
                </c:pt>
                <c:pt idx="737">
                  <c:v>2.3639964342524807E-2</c:v>
                </c:pt>
                <c:pt idx="738">
                  <c:v>2.3656273157505039E-2</c:v>
                </c:pt>
                <c:pt idx="739">
                  <c:v>2.36724609778944E-2</c:v>
                </c:pt>
                <c:pt idx="740">
                  <c:v>2.3688527802201046E-2</c:v>
                </c:pt>
                <c:pt idx="741">
                  <c:v>2.3704473628940945E-2</c:v>
                </c:pt>
                <c:pt idx="742">
                  <c:v>2.3720298456645701E-2</c:v>
                </c:pt>
                <c:pt idx="743">
                  <c:v>2.373600228385388E-2</c:v>
                </c:pt>
                <c:pt idx="744">
                  <c:v>2.3751585109117072E-2</c:v>
                </c:pt>
                <c:pt idx="745">
                  <c:v>2.3767046930999038E-2</c:v>
                </c:pt>
                <c:pt idx="746">
                  <c:v>2.3782387748072221E-2</c:v>
                </c:pt>
                <c:pt idx="747">
                  <c:v>2.3797607558922101E-2</c:v>
                </c:pt>
                <c:pt idx="748">
                  <c:v>2.3812706362145455E-2</c:v>
                </c:pt>
                <c:pt idx="749">
                  <c:v>2.3827684156348613E-2</c:v>
                </c:pt>
                <c:pt idx="750">
                  <c:v>2.3842540940150071E-2</c:v>
                </c:pt>
                <c:pt idx="751">
                  <c:v>2.3857276712180492E-2</c:v>
                </c:pt>
                <c:pt idx="752">
                  <c:v>2.3871891471079223E-2</c:v>
                </c:pt>
                <c:pt idx="753">
                  <c:v>2.3884582049414089E-2</c:v>
                </c:pt>
                <c:pt idx="754">
                  <c:v>2.3898962470584428E-2</c:v>
                </c:pt>
                <c:pt idx="755">
                  <c:v>2.3913221882148915E-2</c:v>
                </c:pt>
                <c:pt idx="756">
                  <c:v>2.3927360282808372E-2</c:v>
                </c:pt>
                <c:pt idx="757">
                  <c:v>2.3941377671272399E-2</c:v>
                </c:pt>
                <c:pt idx="758">
                  <c:v>2.3957038674005022E-2</c:v>
                </c:pt>
                <c:pt idx="759">
                  <c:v>2.3970806303863793E-2</c:v>
                </c:pt>
                <c:pt idx="760">
                  <c:v>2.3984452910119251E-2</c:v>
                </c:pt>
                <c:pt idx="761">
                  <c:v>2.3997978491512403E-2</c:v>
                </c:pt>
                <c:pt idx="762">
                  <c:v>2.4011383116054934E-2</c:v>
                </c:pt>
                <c:pt idx="763">
                  <c:v>2.4030004834246044E-2</c:v>
                </c:pt>
                <c:pt idx="764">
                  <c:v>2.4037835385382938E-2</c:v>
                </c:pt>
                <c:pt idx="765">
                  <c:v>2.4056163470276091E-2</c:v>
                </c:pt>
                <c:pt idx="766">
                  <c:v>2.406041503692169E-2</c:v>
                </c:pt>
                <c:pt idx="767">
                  <c:v>2.4073256187958414E-2</c:v>
                </c:pt>
                <c:pt idx="768">
                  <c:v>2.4085988353326648E-2</c:v>
                </c:pt>
                <c:pt idx="769">
                  <c:v>2.4098613808345881E-2</c:v>
                </c:pt>
                <c:pt idx="770">
                  <c:v>2.4120015734734324E-2</c:v>
                </c:pt>
                <c:pt idx="771">
                  <c:v>2.412531960483566E-2</c:v>
                </c:pt>
                <c:pt idx="772">
                  <c:v>2.413762449767809E-2</c:v>
                </c:pt>
                <c:pt idx="773">
                  <c:v>2.414983210688515E-2</c:v>
                </c:pt>
                <c:pt idx="774">
                  <c:v>2.4161944707963734E-2</c:v>
                </c:pt>
                <c:pt idx="775">
                  <c:v>2.4172313030628018E-2</c:v>
                </c:pt>
                <c:pt idx="776">
                  <c:v>2.4184246795699884E-2</c:v>
                </c:pt>
                <c:pt idx="777">
                  <c:v>2.4196088807947984E-2</c:v>
                </c:pt>
                <c:pt idx="778">
                  <c:v>2.4207839066569366E-2</c:v>
                </c:pt>
                <c:pt idx="779">
                  <c:v>2.422763488333184E-2</c:v>
                </c:pt>
                <c:pt idx="780">
                  <c:v>2.4239172732681811E-2</c:v>
                </c:pt>
                <c:pt idx="781">
                  <c:v>2.4250618796788546E-2</c:v>
                </c:pt>
                <c:pt idx="782">
                  <c:v>2.4261973074833128E-2</c:v>
                </c:pt>
                <c:pt idx="783">
                  <c:v>2.4268424088538854E-2</c:v>
                </c:pt>
                <c:pt idx="784">
                  <c:v>2.427961220453119E-2</c:v>
                </c:pt>
                <c:pt idx="785">
                  <c:v>2.4297008114846072E-2</c:v>
                </c:pt>
                <c:pt idx="786">
                  <c:v>2.4301713123279042E-2</c:v>
                </c:pt>
                <c:pt idx="787">
                  <c:v>2.4312625924507864E-2</c:v>
                </c:pt>
                <c:pt idx="788">
                  <c:v>2.4328171190826225E-2</c:v>
                </c:pt>
                <c:pt idx="789">
                  <c:v>2.4338882944086791E-2</c:v>
                </c:pt>
                <c:pt idx="790">
                  <c:v>2.4349502904977907E-2</c:v>
                </c:pt>
                <c:pt idx="791">
                  <c:v>2.4361587323222474E-2</c:v>
                </c:pt>
                <c:pt idx="792">
                  <c:v>2.4372017844041742E-2</c:v>
                </c:pt>
                <c:pt idx="793">
                  <c:v>2.4380812025876341E-2</c:v>
                </c:pt>
                <c:pt idx="794">
                  <c:v>2.4391064809765464E-2</c:v>
                </c:pt>
                <c:pt idx="795">
                  <c:v>2.440122579755535E-2</c:v>
                </c:pt>
                <c:pt idx="796">
                  <c:v>2.441129498852148E-2</c:v>
                </c:pt>
                <c:pt idx="797">
                  <c:v>2.4422793424654223E-2</c:v>
                </c:pt>
                <c:pt idx="798">
                  <c:v>2.443115797710561E-2</c:v>
                </c:pt>
                <c:pt idx="799">
                  <c:v>2.4440951773305172E-2</c:v>
                </c:pt>
                <c:pt idx="800">
                  <c:v>2.4450653769840694E-2</c:v>
                </c:pt>
                <c:pt idx="801">
                  <c:v>2.4460263966018265E-2</c:v>
                </c:pt>
                <c:pt idx="802">
                  <c:v>2.4469782361153321E-2</c:v>
                </c:pt>
                <c:pt idx="803">
                  <c:v>2.4479208954562154E-2</c:v>
                </c:pt>
                <c:pt idx="804">
                  <c:v>2.4488543745574666E-2</c:v>
                </c:pt>
                <c:pt idx="805">
                  <c:v>2.449336244462014E-2</c:v>
                </c:pt>
                <c:pt idx="806">
                  <c:v>2.4502531434962505E-2</c:v>
                </c:pt>
                <c:pt idx="807">
                  <c:v>2.4511608639060326E-2</c:v>
                </c:pt>
                <c:pt idx="808">
                  <c:v>2.4520594056284664E-2</c:v>
                </c:pt>
                <c:pt idx="809">
                  <c:v>2.4529487686016233E-2</c:v>
                </c:pt>
                <c:pt idx="810">
                  <c:v>2.4542624604386293E-2</c:v>
                </c:pt>
                <c:pt idx="811">
                  <c:v>2.4552754810919921E-2</c:v>
                </c:pt>
                <c:pt idx="812">
                  <c:v>2.4559917108660765E-2</c:v>
                </c:pt>
                <c:pt idx="813">
                  <c:v>2.4568425648856574E-2</c:v>
                </c:pt>
                <c:pt idx="814">
                  <c:v>2.4576843036168847E-2</c:v>
                </c:pt>
                <c:pt idx="815">
                  <c:v>2.4585888987495853E-2</c:v>
                </c:pt>
                <c:pt idx="816">
                  <c:v>2.459482868555431E-2</c:v>
                </c:pt>
                <c:pt idx="817">
                  <c:v>2.4601583693160026E-2</c:v>
                </c:pt>
                <c:pt idx="818">
                  <c:v>2.4604061149513079E-2</c:v>
                </c:pt>
                <c:pt idx="819">
                  <c:v>2.4612092963107735E-2</c:v>
                </c:pt>
                <c:pt idx="820">
                  <c:v>2.4620055296052712E-2</c:v>
                </c:pt>
                <c:pt idx="821">
                  <c:v>2.462795225711556E-2</c:v>
                </c:pt>
                <c:pt idx="822">
                  <c:v>2.4637178514221064E-2</c:v>
                </c:pt>
                <c:pt idx="823">
                  <c:v>2.4643566498856018E-2</c:v>
                </c:pt>
                <c:pt idx="824">
                  <c:v>2.4651291997249025E-2</c:v>
                </c:pt>
                <c:pt idx="825">
                  <c:v>2.4658968559189809E-2</c:v>
                </c:pt>
                <c:pt idx="826">
                  <c:v>2.4666600293621777E-2</c:v>
                </c:pt>
                <c:pt idx="827">
                  <c:v>2.4672812414918473E-2</c:v>
                </c:pt>
                <c:pt idx="828">
                  <c:v>2.4680366557906917E-2</c:v>
                </c:pt>
                <c:pt idx="829">
                  <c:v>2.4687881745531486E-2</c:v>
                </c:pt>
                <c:pt idx="830">
                  <c:v>2.4695357977577513E-2</c:v>
                </c:pt>
                <c:pt idx="831">
                  <c:v>2.4709642134676465E-2</c:v>
                </c:pt>
                <c:pt idx="832">
                  <c:v>2.4717029068875258E-2</c:v>
                </c:pt>
                <c:pt idx="833">
                  <c:v>2.4724377034195718E-2</c:v>
                </c:pt>
                <c:pt idx="834">
                  <c:v>2.4731686030415038E-2</c:v>
                </c:pt>
                <c:pt idx="835">
                  <c:v>2.4734875769391297E-2</c:v>
                </c:pt>
                <c:pt idx="836">
                  <c:v>2.4746232151094449E-2</c:v>
                </c:pt>
                <c:pt idx="837">
                  <c:v>2.4749312648028033E-2</c:v>
                </c:pt>
                <c:pt idx="838">
                  <c:v>2.4756472643927066E-2</c:v>
                </c:pt>
                <c:pt idx="839">
                  <c:v>2.4767646467269699E-2</c:v>
                </c:pt>
                <c:pt idx="840">
                  <c:v>2.477472164426546E-2</c:v>
                </c:pt>
                <c:pt idx="841">
                  <c:v>2.4781757850632798E-2</c:v>
                </c:pt>
                <c:pt idx="842">
                  <c:v>2.4788755086157414E-2</c:v>
                </c:pt>
                <c:pt idx="843">
                  <c:v>2.4797054756118028E-2</c:v>
                </c:pt>
                <c:pt idx="844">
                  <c:v>2.4803971740587016E-2</c:v>
                </c:pt>
                <c:pt idx="845">
                  <c:v>2.4809512965561716E-2</c:v>
                </c:pt>
                <c:pt idx="846">
                  <c:v>2.4816354315607334E-2</c:v>
                </c:pt>
                <c:pt idx="847">
                  <c:v>2.482315669376086E-2</c:v>
                </c:pt>
                <c:pt idx="848">
                  <c:v>2.4825929627961221E-2</c:v>
                </c:pt>
                <c:pt idx="849">
                  <c:v>2.4837972048195534E-2</c:v>
                </c:pt>
                <c:pt idx="850">
                  <c:v>2.4843329994813479E-2</c:v>
                </c:pt>
                <c:pt idx="851">
                  <c:v>2.4849976483348343E-2</c:v>
                </c:pt>
                <c:pt idx="852">
                  <c:v>2.4856583998971501E-2</c:v>
                </c:pt>
                <c:pt idx="853">
                  <c:v>2.4863152541482261E-2</c:v>
                </c:pt>
                <c:pt idx="854">
                  <c:v>2.4869682110680785E-2</c:v>
                </c:pt>
                <c:pt idx="855">
                  <c:v>2.4876172706370634E-2</c:v>
                </c:pt>
                <c:pt idx="856">
                  <c:v>2.4882624328354516E-2</c:v>
                </c:pt>
                <c:pt idx="857">
                  <c:v>2.4885109446646309E-2</c:v>
                </c:pt>
                <c:pt idx="858">
                  <c:v>2.4891490152904174E-2</c:v>
                </c:pt>
                <c:pt idx="859">
                  <c:v>2.4897831892636207E-2</c:v>
                </c:pt>
                <c:pt idx="860">
                  <c:v>2.4904134665657066E-2</c:v>
                </c:pt>
                <c:pt idx="861">
                  <c:v>2.491039847177964E-2</c:v>
                </c:pt>
                <c:pt idx="862">
                  <c:v>2.4920515601539146E-2</c:v>
                </c:pt>
                <c:pt idx="863">
                  <c:v>2.4927989144117646E-2</c:v>
                </c:pt>
                <c:pt idx="864">
                  <c:v>2.4932834227546913E-2</c:v>
                </c:pt>
                <c:pt idx="865">
                  <c:v>2.4938935077505754E-2</c:v>
                </c:pt>
                <c:pt idx="866">
                  <c:v>2.4944996673425427E-2</c:v>
                </c:pt>
                <c:pt idx="867">
                  <c:v>2.4951016507716368E-2</c:v>
                </c:pt>
                <c:pt idx="868">
                  <c:v>2.4958274874435353E-2</c:v>
                </c:pt>
                <c:pt idx="869">
                  <c:v>2.4962923347482967E-2</c:v>
                </c:pt>
                <c:pt idx="870">
                  <c:v>2.4964979527323888E-2</c:v>
                </c:pt>
                <c:pt idx="871">
                  <c:v>2.4970820265407839E-2</c:v>
                </c:pt>
                <c:pt idx="872">
                  <c:v>2.4976607161792341E-2</c:v>
                </c:pt>
                <c:pt idx="873">
                  <c:v>2.4982337476521441E-2</c:v>
                </c:pt>
                <c:pt idx="874">
                  <c:v>2.4986749957389698E-2</c:v>
                </c:pt>
                <c:pt idx="875">
                  <c:v>2.4993617401126357E-2</c:v>
                </c:pt>
                <c:pt idx="876">
                  <c:v>2.4999161531027023E-2</c:v>
                </c:pt>
                <c:pt idx="877">
                  <c:v>2.5004638119322849E-2</c:v>
                </c:pt>
                <c:pt idx="878">
                  <c:v>2.5010044425994641E-2</c:v>
                </c:pt>
                <c:pt idx="879">
                  <c:v>2.5014143491724816E-2</c:v>
                </c:pt>
                <c:pt idx="880">
                  <c:v>2.5019407273418892E-2</c:v>
                </c:pt>
                <c:pt idx="881">
                  <c:v>2.5024596472415617E-2</c:v>
                </c:pt>
                <c:pt idx="882">
                  <c:v>2.5029711088425444E-2</c:v>
                </c:pt>
                <c:pt idx="883">
                  <c:v>2.5039606094114646E-2</c:v>
                </c:pt>
                <c:pt idx="884">
                  <c:v>2.5044551605003965E-2</c:v>
                </c:pt>
                <c:pt idx="885">
                  <c:v>2.5049422511565462E-2</c:v>
                </c:pt>
                <c:pt idx="886">
                  <c:v>2.5054218813515113E-2</c:v>
                </c:pt>
                <c:pt idx="887">
                  <c:v>2.5058033016730985E-2</c:v>
                </c:pt>
                <c:pt idx="888">
                  <c:v>2.5060021929661599E-2</c:v>
                </c:pt>
                <c:pt idx="889">
                  <c:v>2.5064609447874819E-2</c:v>
                </c:pt>
                <c:pt idx="890">
                  <c:v>2.5069122375805077E-2</c:v>
                </c:pt>
                <c:pt idx="891">
                  <c:v>2.5073560713199387E-2</c:v>
                </c:pt>
                <c:pt idx="892">
                  <c:v>2.5081429913086158E-2</c:v>
                </c:pt>
                <c:pt idx="893">
                  <c:v>2.5085703975203152E-2</c:v>
                </c:pt>
                <c:pt idx="894">
                  <c:v>2.5089903430601045E-2</c:v>
                </c:pt>
                <c:pt idx="895">
                  <c:v>2.509518079831885E-2</c:v>
                </c:pt>
                <c:pt idx="896">
                  <c:v>2.5094633533541709E-2</c:v>
                </c:pt>
                <c:pt idx="897">
                  <c:v>2.510205415407183E-2</c:v>
                </c:pt>
                <c:pt idx="898">
                  <c:v>2.5105955180203744E-2</c:v>
                </c:pt>
                <c:pt idx="899">
                  <c:v>2.5109781598442175E-2</c:v>
                </c:pt>
                <c:pt idx="900">
                  <c:v>2.5113533408564325E-2</c:v>
                </c:pt>
                <c:pt idx="901">
                  <c:v>2.5117210610351649E-2</c:v>
                </c:pt>
                <c:pt idx="902">
                  <c:v>2.512193027824005E-2</c:v>
                </c:pt>
                <c:pt idx="903">
                  <c:v>2.5124341188078225E-2</c:v>
                </c:pt>
                <c:pt idx="904">
                  <c:v>2.5127794563601639E-2</c:v>
                </c:pt>
                <c:pt idx="905">
                  <c:v>2.5131173329962803E-2</c:v>
                </c:pt>
                <c:pt idx="906">
                  <c:v>2.5135574193862621E-2</c:v>
                </c:pt>
                <c:pt idx="907">
                  <c:v>2.5137707034420271E-2</c:v>
                </c:pt>
                <c:pt idx="908">
                  <c:v>2.5140861972136452E-2</c:v>
                </c:pt>
                <c:pt idx="909">
                  <c:v>2.5140695540501145E-2</c:v>
                </c:pt>
                <c:pt idx="910">
                  <c:v>2.5143716615084612E-2</c:v>
                </c:pt>
                <c:pt idx="911">
                  <c:v>2.514666309493856E-2</c:v>
                </c:pt>
                <c:pt idx="912">
                  <c:v>2.5149534979897855E-2</c:v>
                </c:pt>
                <c:pt idx="913">
                  <c:v>2.5152332269800865E-2</c:v>
                </c:pt>
                <c:pt idx="914">
                  <c:v>2.5158224783992808E-2</c:v>
                </c:pt>
                <c:pt idx="915">
                  <c:v>2.5160857448661204E-2</c:v>
                </c:pt>
                <c:pt idx="916">
                  <c:v>2.516446092721069E-2</c:v>
                </c:pt>
                <c:pt idx="917">
                  <c:v>2.516589894460362E-2</c:v>
                </c:pt>
                <c:pt idx="918">
                  <c:v>2.5168307984451226E-2</c:v>
                </c:pt>
                <c:pt idx="919">
                  <c:v>2.5170646338810731E-2</c:v>
                </c:pt>
                <c:pt idx="920">
                  <c:v>2.5173948520274717E-2</c:v>
                </c:pt>
                <c:pt idx="921">
                  <c:v>2.5175137591629742E-2</c:v>
                </c:pt>
                <c:pt idx="922">
                  <c:v>2.5174233278002573E-2</c:v>
                </c:pt>
                <c:pt idx="923">
                  <c:v>2.5175337498376749E-2</c:v>
                </c:pt>
                <c:pt idx="924">
                  <c:v>2.5177425785946284E-2</c:v>
                </c:pt>
                <c:pt idx="925">
                  <c:v>2.5179481559645112E-2</c:v>
                </c:pt>
                <c:pt idx="926">
                  <c:v>2.5182663237579561E-2</c:v>
                </c:pt>
                <c:pt idx="927">
                  <c:v>2.5184667606173328E-2</c:v>
                </c:pt>
                <c:pt idx="928">
                  <c:v>2.5186664506928302E-2</c:v>
                </c:pt>
                <c:pt idx="929">
                  <c:v>2.518968514983649E-2</c:v>
                </c:pt>
                <c:pt idx="930">
                  <c:v>2.5190663956620618E-2</c:v>
                </c:pt>
                <c:pt idx="931">
                  <c:v>2.5193706780732045E-2</c:v>
                </c:pt>
                <c:pt idx="932">
                  <c:v>2.5194711801774794E-2</c:v>
                </c:pt>
                <c:pt idx="933">
                  <c:v>2.519675907277108E-2</c:v>
                </c:pt>
                <c:pt idx="934">
                  <c:v>2.5199852359945919E-2</c:v>
                </c:pt>
                <c:pt idx="935">
                  <c:v>2.5202963905154356E-2</c:v>
                </c:pt>
                <c:pt idx="936">
                  <c:v>2.5205060417988132E-2</c:v>
                </c:pt>
                <c:pt idx="937">
                  <c:v>2.5207172507828543E-2</c:v>
                </c:pt>
                <c:pt idx="938">
                  <c:v>2.5209300174699929E-2</c:v>
                </c:pt>
                <c:pt idx="939">
                  <c:v>2.5210406509422929E-2</c:v>
                </c:pt>
                <c:pt idx="940">
                  <c:v>2.5212564067158039E-2</c:v>
                </c:pt>
                <c:pt idx="941">
                  <c:v>2.5214737200899565E-2</c:v>
                </c:pt>
                <c:pt idx="942">
                  <c:v>2.5217554117227016E-2</c:v>
                </c:pt>
                <c:pt idx="943">
                  <c:v>2.5220805184363149E-2</c:v>
                </c:pt>
                <c:pt idx="944">
                  <c:v>2.5223030764587609E-2</c:v>
                </c:pt>
                <c:pt idx="945">
                  <c:v>2.5225271922032454E-2</c:v>
                </c:pt>
                <c:pt idx="946">
                  <c:v>2.5227528656722877E-2</c:v>
                </c:pt>
                <c:pt idx="947">
                  <c:v>2.5229800968685816E-2</c:v>
                </c:pt>
                <c:pt idx="948">
                  <c:v>2.5232088857949947E-2</c:v>
                </c:pt>
                <c:pt idx="949">
                  <c:v>2.5234392324539591E-2</c:v>
                </c:pt>
                <c:pt idx="950">
                  <c:v>2.5236711368483423E-2</c:v>
                </c:pt>
                <c:pt idx="951">
                  <c:v>2.523904598980925E-2</c:v>
                </c:pt>
                <c:pt idx="952">
                  <c:v>2.5241396188544873E-2</c:v>
                </c:pt>
                <c:pt idx="953">
                  <c:v>2.524376196471723E-2</c:v>
                </c:pt>
                <c:pt idx="954">
                  <c:v>2.5246143318355858E-2</c:v>
                </c:pt>
                <c:pt idx="955">
                  <c:v>2.5248540249487694E-2</c:v>
                </c:pt>
                <c:pt idx="956">
                  <c:v>2.5250952758141411E-2</c:v>
                </c:pt>
                <c:pt idx="957">
                  <c:v>2.5253380844346553E-2</c:v>
                </c:pt>
                <c:pt idx="958">
                  <c:v>2.5255824508130919E-2</c:v>
                </c:pt>
                <c:pt idx="959">
                  <c:v>2.5258283749524057E-2</c:v>
                </c:pt>
                <c:pt idx="960">
                  <c:v>2.5260758568553764E-2</c:v>
                </c:pt>
                <c:pt idx="961">
                  <c:v>2.5262183641149648E-2</c:v>
                </c:pt>
                <c:pt idx="962">
                  <c:v>2.5264688327632481E-2</c:v>
                </c:pt>
                <c:pt idx="963">
                  <c:v>2.5267208590732237E-2</c:v>
                </c:pt>
                <c:pt idx="964">
                  <c:v>2.5274022233586615E-2</c:v>
                </c:pt>
                <c:pt idx="965">
                  <c:v>2.5273366329306556E-2</c:v>
                </c:pt>
                <c:pt idx="966">
                  <c:v>2.5275934614786496E-2</c:v>
                </c:pt>
                <c:pt idx="967">
                  <c:v>2.5278518478114142E-2</c:v>
                </c:pt>
                <c:pt idx="968">
                  <c:v>2.528111791931904E-2</c:v>
                </c:pt>
                <c:pt idx="969">
                  <c:v>2.5283732938432463E-2</c:v>
                </c:pt>
                <c:pt idx="970">
                  <c:v>2.5286363535485693E-2</c:v>
                </c:pt>
                <c:pt idx="971">
                  <c:v>2.528900971051088E-2</c:v>
                </c:pt>
                <c:pt idx="972">
                  <c:v>2.5291671463536697E-2</c:v>
                </c:pt>
                <c:pt idx="973">
                  <c:v>2.5293651503984688E-2</c:v>
                </c:pt>
                <c:pt idx="974">
                  <c:v>2.5294877571310437E-2</c:v>
                </c:pt>
                <c:pt idx="975">
                  <c:v>2.5297583453987471E-2</c:v>
                </c:pt>
                <c:pt idx="976">
                  <c:v>2.5300304912565963E-2</c:v>
                </c:pt>
                <c:pt idx="977">
                  <c:v>2.5305699594707572E-2</c:v>
                </c:pt>
                <c:pt idx="978">
                  <c:v>2.5306189059134176E-2</c:v>
                </c:pt>
                <c:pt idx="979">
                  <c:v>2.5308562744032592E-2</c:v>
                </c:pt>
                <c:pt idx="980">
                  <c:v>2.5311346506536658E-2</c:v>
                </c:pt>
                <c:pt idx="981">
                  <c:v>2.531414584510383E-2</c:v>
                </c:pt>
                <c:pt idx="982">
                  <c:v>2.5316960759764306E-2</c:v>
                </c:pt>
                <c:pt idx="983">
                  <c:v>2.5318697688178907E-2</c:v>
                </c:pt>
                <c:pt idx="984">
                  <c:v>2.5321542443075273E-2</c:v>
                </c:pt>
                <c:pt idx="985">
                  <c:v>2.5324402773048149E-2</c:v>
                </c:pt>
                <c:pt idx="986">
                  <c:v>2.5327278678130765E-2</c:v>
                </c:pt>
                <c:pt idx="987">
                  <c:v>2.5333467141128625E-2</c:v>
                </c:pt>
                <c:pt idx="988">
                  <c:v>2.5336378146613114E-2</c:v>
                </c:pt>
                <c:pt idx="989">
                  <c:v>2.5339304730662128E-2</c:v>
                </c:pt>
                <c:pt idx="990">
                  <c:v>2.5342246893309554E-2</c:v>
                </c:pt>
                <c:pt idx="991">
                  <c:v>2.5344100189156889E-2</c:v>
                </c:pt>
                <c:pt idx="992">
                  <c:v>2.5347072187761027E-2</c:v>
                </c:pt>
                <c:pt idx="993">
                  <c:v>2.5350059763949228E-2</c:v>
                </c:pt>
                <c:pt idx="994">
                  <c:v>2.535306291775662E-2</c:v>
                </c:pt>
                <c:pt idx="995">
                  <c:v>2.5357191386763595E-2</c:v>
                </c:pt>
                <c:pt idx="996">
                  <c:v>2.536022702174524E-2</c:v>
                </c:pt>
                <c:pt idx="997">
                  <c:v>2.5363278235575534E-2</c:v>
                </c:pt>
                <c:pt idx="998">
                  <c:v>2.5366345028287489E-2</c:v>
                </c:pt>
                <c:pt idx="999">
                  <c:v>2.5369427399920205E-2</c:v>
                </c:pt>
                <c:pt idx="1000">
                  <c:v>2.5372525350510176E-2</c:v>
                </c:pt>
                <c:pt idx="1001">
                  <c:v>2.5375638880093025E-2</c:v>
                </c:pt>
                <c:pt idx="1002">
                  <c:v>2.5378767988705246E-2</c:v>
                </c:pt>
                <c:pt idx="1003">
                  <c:v>2.538191267638594E-2</c:v>
                </c:pt>
                <c:pt idx="1004">
                  <c:v>2.5385072943170724E-2</c:v>
                </c:pt>
                <c:pt idx="1005">
                  <c:v>2.5388248789097831E-2</c:v>
                </c:pt>
                <c:pt idx="1006">
                  <c:v>2.5391440214203757E-2</c:v>
                </c:pt>
                <c:pt idx="1007">
                  <c:v>2.5394647218528469E-2</c:v>
                </c:pt>
                <c:pt idx="1008">
                  <c:v>2.5397869802108456E-2</c:v>
                </c:pt>
                <c:pt idx="1009">
                  <c:v>2.5401107964982819E-2</c:v>
                </c:pt>
                <c:pt idx="1010">
                  <c:v>2.5404361707189786E-2</c:v>
                </c:pt>
                <c:pt idx="1011">
                  <c:v>2.5407631028767596E-2</c:v>
                </c:pt>
                <c:pt idx="1012">
                  <c:v>2.5410915929755338E-2</c:v>
                </c:pt>
                <c:pt idx="1013">
                  <c:v>2.5413082635689005E-2</c:v>
                </c:pt>
                <c:pt idx="1014">
                  <c:v>2.5416397349521648E-2</c:v>
                </c:pt>
                <c:pt idx="1015">
                  <c:v>2.5419727641752644E-2</c:v>
                </c:pt>
                <c:pt idx="1016">
                  <c:v>2.5423073512420642E-2</c:v>
                </c:pt>
                <c:pt idx="1017">
                  <c:v>2.5430992718080993E-2</c:v>
                </c:pt>
                <c:pt idx="1018">
                  <c:v>2.5430952505481743E-2</c:v>
                </c:pt>
                <c:pt idx="1019">
                  <c:v>2.5434346463439898E-2</c:v>
                </c:pt>
                <c:pt idx="1020">
                  <c:v>2.5437756001125123E-2</c:v>
                </c:pt>
                <c:pt idx="1021">
                  <c:v>2.5441181118576524E-2</c:v>
                </c:pt>
                <c:pt idx="1022">
                  <c:v>2.5444621369290394E-2</c:v>
                </c:pt>
                <c:pt idx="1023">
                  <c:v>2.544807452057531E-2</c:v>
                </c:pt>
                <c:pt idx="1024">
                  <c:v>2.5451537893184013E-2</c:v>
                </c:pt>
                <c:pt idx="1025">
                  <c:v>2.5454357776528252E-2</c:v>
                </c:pt>
                <c:pt idx="1026">
                  <c:v>2.5456190044926608E-2</c:v>
                </c:pt>
                <c:pt idx="1027">
                  <c:v>2.5459668578831973E-2</c:v>
                </c:pt>
                <c:pt idx="1028">
                  <c:v>2.5463147042211531E-2</c:v>
                </c:pt>
                <c:pt idx="1029">
                  <c:v>2.5466622696621144E-2</c:v>
                </c:pt>
                <c:pt idx="1030">
                  <c:v>2.5470092803601574E-2</c:v>
                </c:pt>
                <c:pt idx="1031">
                  <c:v>2.5473554624694472E-2</c:v>
                </c:pt>
                <c:pt idx="1032">
                  <c:v>2.547700542142195E-2</c:v>
                </c:pt>
                <c:pt idx="1033">
                  <c:v>2.5480442455300789E-2</c:v>
                </c:pt>
                <c:pt idx="1034">
                  <c:v>2.5483862987842443E-2</c:v>
                </c:pt>
                <c:pt idx="1035">
                  <c:v>2.5486124962521037E-2</c:v>
                </c:pt>
                <c:pt idx="1036">
                  <c:v>2.5489508076318234E-2</c:v>
                </c:pt>
                <c:pt idx="1037">
                  <c:v>2.5492871560325502E-2</c:v>
                </c:pt>
                <c:pt idx="1038">
                  <c:v>2.5496215414493442E-2</c:v>
                </c:pt>
                <c:pt idx="1039">
                  <c:v>2.550294429495677E-2</c:v>
                </c:pt>
                <c:pt idx="1040">
                  <c:v>2.5506245382132559E-2</c:v>
                </c:pt>
                <c:pt idx="1041">
                  <c:v>2.550952683524527E-2</c:v>
                </c:pt>
                <c:pt idx="1042">
                  <c:v>2.5512788654246256E-2</c:v>
                </c:pt>
                <c:pt idx="1043">
                  <c:v>2.551490069691606E-2</c:v>
                </c:pt>
                <c:pt idx="1044">
                  <c:v>2.5518124422226493E-2</c:v>
                </c:pt>
                <c:pt idx="1045">
                  <c:v>2.552132851464118E-2</c:v>
                </c:pt>
                <c:pt idx="1046">
                  <c:v>2.5524512974114438E-2</c:v>
                </c:pt>
                <c:pt idx="1047">
                  <c:v>2.5527677800597077E-2</c:v>
                </c:pt>
                <c:pt idx="1048">
                  <c:v>2.5531947249198491E-2</c:v>
                </c:pt>
                <c:pt idx="1049">
                  <c:v>2.5535071628068898E-2</c:v>
                </c:pt>
                <c:pt idx="1050">
                  <c:v>2.5538176372446139E-2</c:v>
                </c:pt>
                <c:pt idx="1051">
                  <c:v>2.5541261482281565E-2</c:v>
                </c:pt>
                <c:pt idx="1052">
                  <c:v>2.5544326957533465E-2</c:v>
                </c:pt>
                <c:pt idx="1053">
                  <c:v>2.554737279815145E-2</c:v>
                </c:pt>
                <c:pt idx="1054">
                  <c:v>2.5550399004092068E-2</c:v>
                </c:pt>
                <c:pt idx="1055">
                  <c:v>2.5553405575310145E-2</c:v>
                </c:pt>
                <c:pt idx="1056">
                  <c:v>2.5556392511759628E-2</c:v>
                </c:pt>
                <c:pt idx="1057">
                  <c:v>2.5559359813397072E-2</c:v>
                </c:pt>
                <c:pt idx="1058">
                  <c:v>2.5562307480178167E-2</c:v>
                </c:pt>
                <c:pt idx="1059">
                  <c:v>2.5565235512056864E-2</c:v>
                </c:pt>
                <c:pt idx="1060">
                  <c:v>2.5568143908992324E-2</c:v>
                </c:pt>
                <c:pt idx="1061">
                  <c:v>2.55710326709385E-2</c:v>
                </c:pt>
                <c:pt idx="1062">
                  <c:v>2.5573901797853679E-2</c:v>
                </c:pt>
                <c:pt idx="1063">
                  <c:v>2.5576751289693556E-2</c:v>
                </c:pt>
                <c:pt idx="1064">
                  <c:v>2.5579581146416421E-2</c:v>
                </c:pt>
                <c:pt idx="1065">
                  <c:v>2.5581287384136064E-2</c:v>
                </c:pt>
                <c:pt idx="1066">
                  <c:v>2.5584079175255226E-2</c:v>
                </c:pt>
                <c:pt idx="1067">
                  <c:v>2.5586851332503598E-2</c:v>
                </c:pt>
                <c:pt idx="1068">
                  <c:v>2.5589603855839888E-2</c:v>
                </c:pt>
                <c:pt idx="1069">
                  <c:v>2.5592336745225451E-2</c:v>
                </c:pt>
                <c:pt idx="1070">
                  <c:v>2.5596147946949574E-2</c:v>
                </c:pt>
                <c:pt idx="1071">
                  <c:v>2.5598840356685602E-2</c:v>
                </c:pt>
                <c:pt idx="1072">
                  <c:v>2.5601513130972715E-2</c:v>
                </c:pt>
                <c:pt idx="1073">
                  <c:v>2.5604166269772674E-2</c:v>
                </c:pt>
                <c:pt idx="1074">
                  <c:v>2.5606799773047258E-2</c:v>
                </c:pt>
                <c:pt idx="1075">
                  <c:v>2.5611968654429426E-2</c:v>
                </c:pt>
                <c:pt idx="1076">
                  <c:v>2.561200787285433E-2</c:v>
                </c:pt>
                <c:pt idx="1077">
                  <c:v>2.5617126994160105E-2</c:v>
                </c:pt>
                <c:pt idx="1078">
                  <c:v>2.5616049215250781E-2</c:v>
                </c:pt>
                <c:pt idx="1079">
                  <c:v>2.5618585762935641E-2</c:v>
                </c:pt>
                <c:pt idx="1080">
                  <c:v>2.5621102676238471E-2</c:v>
                </c:pt>
                <c:pt idx="1081">
                  <c:v>2.5623599955124133E-2</c:v>
                </c:pt>
                <c:pt idx="1082">
                  <c:v>2.56278353244585E-2</c:v>
                </c:pt>
                <c:pt idx="1083">
                  <c:v>2.5628885150949736E-2</c:v>
                </c:pt>
                <c:pt idx="1084">
                  <c:v>2.5635643053781139E-2</c:v>
                </c:pt>
                <c:pt idx="1085">
                  <c:v>2.563373665732703E-2</c:v>
                </c:pt>
                <c:pt idx="1086">
                  <c:v>2.5636132958625959E-2</c:v>
                </c:pt>
                <c:pt idx="1087">
                  <c:v>2.5637432573253349E-2</c:v>
                </c:pt>
                <c:pt idx="1088">
                  <c:v>2.5639790840292775E-2</c:v>
                </c:pt>
                <c:pt idx="1089">
                  <c:v>2.5642129474003461E-2</c:v>
                </c:pt>
                <c:pt idx="1090">
                  <c:v>2.5644448474348991E-2</c:v>
                </c:pt>
                <c:pt idx="1091">
                  <c:v>2.5651035849608726E-2</c:v>
                </c:pt>
                <c:pt idx="1092">
                  <c:v>2.5653310619671257E-2</c:v>
                </c:pt>
                <c:pt idx="1093">
                  <c:v>2.5655565750737824E-2</c:v>
                </c:pt>
                <c:pt idx="1094">
                  <c:v>2.5657801242773563E-2</c:v>
                </c:pt>
                <c:pt idx="1095">
                  <c:v>2.5656816107319482E-2</c:v>
                </c:pt>
                <c:pt idx="1096">
                  <c:v>2.5659016060662496E-2</c:v>
                </c:pt>
                <c:pt idx="1097">
                  <c:v>2.5662433459517825E-2</c:v>
                </c:pt>
                <c:pt idx="1098">
                  <c:v>2.5663357062379707E-2</c:v>
                </c:pt>
                <c:pt idx="1099">
                  <c:v>2.5668684116314629E-2</c:v>
                </c:pt>
                <c:pt idx="1100">
                  <c:v>2.5670801773461288E-2</c:v>
                </c:pt>
                <c:pt idx="1101">
                  <c:v>2.5672899791344114E-2</c:v>
                </c:pt>
                <c:pt idx="1102">
                  <c:v>2.5674978169931646E-2</c:v>
                </c:pt>
                <c:pt idx="1103">
                  <c:v>2.5678093754832338E-2</c:v>
                </c:pt>
                <c:pt idx="1104">
                  <c:v>2.5680131596787309E-2</c:v>
                </c:pt>
                <c:pt idx="1105">
                  <c:v>2.5681095469607819E-2</c:v>
                </c:pt>
                <c:pt idx="1106">
                  <c:v>2.5683095290699523E-2</c:v>
                </c:pt>
                <c:pt idx="1107">
                  <c:v>2.5685075472340311E-2</c:v>
                </c:pt>
                <c:pt idx="1108">
                  <c:v>2.568388396337801E-2</c:v>
                </c:pt>
                <c:pt idx="1109">
                  <c:v>2.5690026194282334E-2</c:v>
                </c:pt>
                <c:pt idx="1110">
                  <c:v>2.5690898180254437E-2</c:v>
                </c:pt>
                <c:pt idx="1111">
                  <c:v>2.5692799803790519E-2</c:v>
                </c:pt>
                <c:pt idx="1112">
                  <c:v>2.569468178772687E-2</c:v>
                </c:pt>
                <c:pt idx="1113">
                  <c:v>2.5696544132035426E-2</c:v>
                </c:pt>
                <c:pt idx="1114">
                  <c:v>2.5698386836687272E-2</c:v>
                </c:pt>
                <c:pt idx="1115">
                  <c:v>2.5700209901654343E-2</c:v>
                </c:pt>
                <c:pt idx="1116">
                  <c:v>2.5702013326908583E-2</c:v>
                </c:pt>
                <c:pt idx="1117">
                  <c:v>2.570067935309964E-2</c:v>
                </c:pt>
                <c:pt idx="1118">
                  <c:v>2.5702447329893175E-2</c:v>
                </c:pt>
                <c:pt idx="1119">
                  <c:v>2.5704195671066112E-2</c:v>
                </c:pt>
                <c:pt idx="1120">
                  <c:v>2.5705924376590333E-2</c:v>
                </c:pt>
                <c:pt idx="1121">
                  <c:v>2.570763344644213E-2</c:v>
                </c:pt>
                <c:pt idx="1122">
                  <c:v>2.5712421442943997E-2</c:v>
                </c:pt>
                <c:pt idx="1123">
                  <c:v>2.5715118812232124E-2</c:v>
                </c:pt>
                <c:pt idx="1124">
                  <c:v>2.5715733696039626E-2</c:v>
                </c:pt>
                <c:pt idx="1125">
                  <c:v>2.5717360362674208E-2</c:v>
                </c:pt>
                <c:pt idx="1126">
                  <c:v>2.571896738933574E-2</c:v>
                </c:pt>
                <c:pt idx="1127">
                  <c:v>2.5719177412339689E-2</c:v>
                </c:pt>
                <c:pt idx="1128">
                  <c:v>2.5723147502752116E-2</c:v>
                </c:pt>
                <c:pt idx="1129">
                  <c:v>2.572367062922435E-2</c:v>
                </c:pt>
                <c:pt idx="1130">
                  <c:v>2.572110877243361E-2</c:v>
                </c:pt>
                <c:pt idx="1131">
                  <c:v>2.5722622778943993E-2</c:v>
                </c:pt>
                <c:pt idx="1132">
                  <c:v>2.5724117150912384E-2</c:v>
                </c:pt>
                <c:pt idx="1133">
                  <c:v>2.5725591888316579E-2</c:v>
                </c:pt>
                <c:pt idx="1134">
                  <c:v>2.5727046991136149E-2</c:v>
                </c:pt>
                <c:pt idx="1135">
                  <c:v>2.5728482459349777E-2</c:v>
                </c:pt>
                <c:pt idx="1136">
                  <c:v>2.572989829293526E-2</c:v>
                </c:pt>
                <c:pt idx="1137">
                  <c:v>2.5731294491873058E-2</c:v>
                </c:pt>
                <c:pt idx="1138">
                  <c:v>2.5732671056141854E-2</c:v>
                </c:pt>
                <c:pt idx="1139">
                  <c:v>2.573301691856901E-2</c:v>
                </c:pt>
                <c:pt idx="1140">
                  <c:v>2.5734355520535362E-2</c:v>
                </c:pt>
                <c:pt idx="1141">
                  <c:v>2.5735674489168549E-2</c:v>
                </c:pt>
                <c:pt idx="1142">
                  <c:v>2.5736973824448818E-2</c:v>
                </c:pt>
                <c:pt idx="1143">
                  <c:v>2.5743281903780137E-2</c:v>
                </c:pt>
                <c:pt idx="1144">
                  <c:v>2.5744535406985201E-2</c:v>
                </c:pt>
                <c:pt idx="1145">
                  <c:v>2.5745769269799677E-2</c:v>
                </c:pt>
                <c:pt idx="1146">
                  <c:v>2.5746983492205701E-2</c:v>
                </c:pt>
                <c:pt idx="1147">
                  <c:v>2.5745853124835683E-2</c:v>
                </c:pt>
                <c:pt idx="1148">
                  <c:v>2.5746355962422637E-2</c:v>
                </c:pt>
                <c:pt idx="1149">
                  <c:v>2.5747515224217764E-2</c:v>
                </c:pt>
                <c:pt idx="1150">
                  <c:v>2.5748654849722937E-2</c:v>
                </c:pt>
                <c:pt idx="1151">
                  <c:v>2.5749774838923222E-2</c:v>
                </c:pt>
                <c:pt idx="1152">
                  <c:v>2.5753856377032067E-2</c:v>
                </c:pt>
                <c:pt idx="1153">
                  <c:v>2.5754933116072125E-2</c:v>
                </c:pt>
                <c:pt idx="1154">
                  <c:v>2.5755990214562569E-2</c:v>
                </c:pt>
                <c:pt idx="1155">
                  <c:v>2.5758017259517516E-2</c:v>
                </c:pt>
                <c:pt idx="1156">
                  <c:v>2.5759033746444147E-2</c:v>
                </c:pt>
                <c:pt idx="1157">
                  <c:v>2.5759043666580609E-2</c:v>
                </c:pt>
                <c:pt idx="1158">
                  <c:v>2.5760022202716133E-2</c:v>
                </c:pt>
                <c:pt idx="1159">
                  <c:v>2.576098109822636E-2</c:v>
                </c:pt>
                <c:pt idx="1160">
                  <c:v>2.5758971105338854E-2</c:v>
                </c:pt>
                <c:pt idx="1161">
                  <c:v>2.5763821550843825E-2</c:v>
                </c:pt>
                <c:pt idx="1162">
                  <c:v>2.5763739940847949E-2</c:v>
                </c:pt>
                <c:pt idx="1163">
                  <c:v>2.5764620273707323E-2</c:v>
                </c:pt>
                <c:pt idx="1164">
                  <c:v>2.5765480965868271E-2</c:v>
                </c:pt>
                <c:pt idx="1165">
                  <c:v>2.5766322017318884E-2</c:v>
                </c:pt>
                <c:pt idx="1166">
                  <c:v>2.5768118303519591E-2</c:v>
                </c:pt>
                <c:pt idx="1167">
                  <c:v>2.5767945198039779E-2</c:v>
                </c:pt>
                <c:pt idx="1168">
                  <c:v>2.5768727327284552E-2</c:v>
                </c:pt>
                <c:pt idx="1169">
                  <c:v>2.5766576818803597E-2</c:v>
                </c:pt>
                <c:pt idx="1170">
                  <c:v>2.576732371538247E-2</c:v>
                </c:pt>
                <c:pt idx="1171">
                  <c:v>2.5768050975378869E-2</c:v>
                </c:pt>
                <c:pt idx="1172">
                  <c:v>2.5768758598783137E-2</c:v>
                </c:pt>
                <c:pt idx="1173">
                  <c:v>2.5772343361880563E-2</c:v>
                </c:pt>
                <c:pt idx="1174">
                  <c:v>2.5773007646397318E-2</c:v>
                </c:pt>
                <c:pt idx="1175">
                  <c:v>2.5773652290088087E-2</c:v>
                </c:pt>
                <c:pt idx="1176">
                  <c:v>2.5775238647261577E-2</c:v>
                </c:pt>
                <c:pt idx="1177">
                  <c:v>2.5774882654956796E-2</c:v>
                </c:pt>
                <c:pt idx="1178">
                  <c:v>2.5775468373604848E-2</c:v>
                </c:pt>
                <c:pt idx="1179">
                  <c:v>2.577603442171621E-2</c:v>
                </c:pt>
                <c:pt idx="1180">
                  <c:v>2.5777536643520543E-2</c:v>
                </c:pt>
                <c:pt idx="1181">
                  <c:v>2.5777107341496467E-2</c:v>
                </c:pt>
                <c:pt idx="1182">
                  <c:v>2.57738007919599E-2</c:v>
                </c:pt>
                <c:pt idx="1183">
                  <c:v>2.577429331285952E-2</c:v>
                </c:pt>
                <c:pt idx="1184">
                  <c:v>2.5774765976581904E-2</c:v>
                </c:pt>
                <c:pt idx="1185">
                  <c:v>2.5775218739975791E-2</c:v>
                </c:pt>
                <c:pt idx="1186">
                  <c:v>2.5773936129261127E-2</c:v>
                </c:pt>
                <c:pt idx="1187">
                  <c:v>2.577718105285973E-2</c:v>
                </c:pt>
                <c:pt idx="1188">
                  <c:v>2.5777563846005481E-2</c:v>
                </c:pt>
                <c:pt idx="1189">
                  <c:v>2.5777976716576619E-2</c:v>
                </c:pt>
                <c:pt idx="1190">
                  <c:v>2.5778269107806968E-2</c:v>
                </c:pt>
                <c:pt idx="1191">
                  <c:v>2.5779531597989763E-2</c:v>
                </c:pt>
                <c:pt idx="1192">
                  <c:v>2.5778893688271676E-2</c:v>
                </c:pt>
                <c:pt idx="1193">
                  <c:v>2.5778277180017461E-2</c:v>
                </c:pt>
                <c:pt idx="1194">
                  <c:v>2.5780373340546288E-2</c:v>
                </c:pt>
                <c:pt idx="1195">
                  <c:v>2.5780613535517156E-2</c:v>
                </c:pt>
                <c:pt idx="1196">
                  <c:v>2.5780833537542451E-2</c:v>
                </c:pt>
                <c:pt idx="1197">
                  <c:v>2.5781033346616085E-2</c:v>
                </c:pt>
                <c:pt idx="1198">
                  <c:v>2.5781212962737193E-2</c:v>
                </c:pt>
                <c:pt idx="1199">
                  <c:v>2.5780443688231271E-2</c:v>
                </c:pt>
                <c:pt idx="1200">
                  <c:v>2.5780584350751142E-2</c:v>
                </c:pt>
                <c:pt idx="1201">
                  <c:v>2.578070482175223E-2</c:v>
                </c:pt>
                <c:pt idx="1202">
                  <c:v>2.5780830043864469E-2</c:v>
                </c:pt>
                <c:pt idx="1203">
                  <c:v>2.5780885189189261E-2</c:v>
                </c:pt>
                <c:pt idx="1204">
                  <c:v>2.57818733100992E-2</c:v>
                </c:pt>
                <c:pt idx="1205">
                  <c:v>2.5781904872698692E-2</c:v>
                </c:pt>
                <c:pt idx="1206">
                  <c:v>2.5781922945119641E-2</c:v>
                </c:pt>
                <c:pt idx="1207">
                  <c:v>2.5781918873234205E-2</c:v>
                </c:pt>
                <c:pt idx="1208">
                  <c:v>2.5781898511062256E-2</c:v>
                </c:pt>
                <c:pt idx="1209">
                  <c:v>2.5781856004582181E-2</c:v>
                </c:pt>
                <c:pt idx="1210">
                  <c:v>2.5781793305137416E-2</c:v>
                </c:pt>
                <c:pt idx="1211">
                  <c:v>2.5781710412727088E-2</c:v>
                </c:pt>
                <c:pt idx="1212">
                  <c:v>2.5781607327354676E-2</c:v>
                </c:pt>
                <c:pt idx="1213">
                  <c:v>2.5781484049017572E-2</c:v>
                </c:pt>
                <c:pt idx="1214">
                  <c:v>2.578134057772186E-2</c:v>
                </c:pt>
                <c:pt idx="1215">
                  <c:v>2.5781176913467534E-2</c:v>
                </c:pt>
                <c:pt idx="1216">
                  <c:v>2.5780993056258077E-2</c:v>
                </c:pt>
                <c:pt idx="1217">
                  <c:v>2.5780789006096094E-2</c:v>
                </c:pt>
                <c:pt idx="1218">
                  <c:v>2.5780564762984189E-2</c:v>
                </c:pt>
                <c:pt idx="1219">
                  <c:v>2.5780320326926707E-2</c:v>
                </c:pt>
                <c:pt idx="1220">
                  <c:v>2.5780016245379806E-2</c:v>
                </c:pt>
                <c:pt idx="1221">
                  <c:v>2.5778831893957837E-2</c:v>
                </c:pt>
                <c:pt idx="1222">
                  <c:v>2.577857047129849E-2</c:v>
                </c:pt>
                <c:pt idx="1223">
                  <c:v>2.5778246728955668E-2</c:v>
                </c:pt>
                <c:pt idx="1224">
                  <c:v>2.5777902795130071E-2</c:v>
                </c:pt>
                <c:pt idx="1225">
                  <c:v>2.5778429658944533E-2</c:v>
                </c:pt>
                <c:pt idx="1226">
                  <c:v>2.5778043872386181E-2</c:v>
                </c:pt>
                <c:pt idx="1227">
                  <c:v>2.5777578247454528E-2</c:v>
                </c:pt>
                <c:pt idx="1228">
                  <c:v>2.5777211720555259E-2</c:v>
                </c:pt>
                <c:pt idx="1229">
                  <c:v>2.5776765355293985E-2</c:v>
                </c:pt>
                <c:pt idx="1230">
                  <c:v>2.5776298797146217E-2</c:v>
                </c:pt>
                <c:pt idx="1231">
                  <c:v>2.577574086185868E-2</c:v>
                </c:pt>
                <c:pt idx="1232">
                  <c:v>2.57753051022164E-2</c:v>
                </c:pt>
                <c:pt idx="1233">
                  <c:v>2.5774777965449119E-2</c:v>
                </c:pt>
                <c:pt idx="1234">
                  <c:v>2.5773352926575191E-2</c:v>
                </c:pt>
                <c:pt idx="1235">
                  <c:v>2.5772786886842303E-2</c:v>
                </c:pt>
                <c:pt idx="1236">
                  <c:v>2.5772200655708337E-2</c:v>
                </c:pt>
                <c:pt idx="1237">
                  <c:v>2.5771594233182954E-2</c:v>
                </c:pt>
                <c:pt idx="1238">
                  <c:v>2.5770004797109003E-2</c:v>
                </c:pt>
                <c:pt idx="1239">
                  <c:v>2.5769356595840343E-2</c:v>
                </c:pt>
                <c:pt idx="1240">
                  <c:v>2.5769556883841416E-2</c:v>
                </c:pt>
                <c:pt idx="1241">
                  <c:v>2.5767999623542259E-2</c:v>
                </c:pt>
                <c:pt idx="1242">
                  <c:v>2.5767290852535041E-2</c:v>
                </c:pt>
                <c:pt idx="1243">
                  <c:v>2.5767426092404493E-2</c:v>
                </c:pt>
                <c:pt idx="1244">
                  <c:v>2.5765812740854876E-2</c:v>
                </c:pt>
                <c:pt idx="1245">
                  <c:v>2.5765043400205023E-2</c:v>
                </c:pt>
                <c:pt idx="1246">
                  <c:v>2.5765113579097495E-2</c:v>
                </c:pt>
                <c:pt idx="1247">
                  <c:v>2.576516046574814E-2</c:v>
                </c:pt>
                <c:pt idx="1248">
                  <c:v>2.5764327552479351E-2</c:v>
                </c:pt>
                <c:pt idx="1249">
                  <c:v>2.576347444651261E-2</c:v>
                </c:pt>
                <c:pt idx="1250">
                  <c:v>2.5762601147863561E-2</c:v>
                </c:pt>
                <c:pt idx="1251">
                  <c:v>2.5760855564746714E-2</c:v>
                </c:pt>
                <c:pt idx="1252">
                  <c:v>2.5759943388166291E-2</c:v>
                </c:pt>
                <c:pt idx="1253">
                  <c:v>2.5758740920997815E-2</c:v>
                </c:pt>
                <c:pt idx="1254">
                  <c:v>2.5757782593111317E-2</c:v>
                </c:pt>
                <c:pt idx="1255">
                  <c:v>2.5757649695473721E-2</c:v>
                </c:pt>
                <c:pt idx="1256">
                  <c:v>2.5756649471706434E-2</c:v>
                </c:pt>
                <c:pt idx="1257">
                  <c:v>2.5755629055361967E-2</c:v>
                </c:pt>
                <c:pt idx="1258">
                  <c:v>2.575458844645423E-2</c:v>
                </c:pt>
                <c:pt idx="1259">
                  <c:v>2.5753527645000593E-2</c:v>
                </c:pt>
                <c:pt idx="1260">
                  <c:v>2.5752446651015833E-2</c:v>
                </c:pt>
                <c:pt idx="1261">
                  <c:v>2.5751345464518193E-2</c:v>
                </c:pt>
                <c:pt idx="1262">
                  <c:v>2.5750224085523316E-2</c:v>
                </c:pt>
                <c:pt idx="1263">
                  <c:v>2.5749082514049441E-2</c:v>
                </c:pt>
                <c:pt idx="1264">
                  <c:v>2.5747920750113954E-2</c:v>
                </c:pt>
                <c:pt idx="1265">
                  <c:v>2.5746738793733358E-2</c:v>
                </c:pt>
                <c:pt idx="1266">
                  <c:v>2.5745536644927642E-2</c:v>
                </c:pt>
                <c:pt idx="1267">
                  <c:v>2.5744314303714176E-2</c:v>
                </c:pt>
                <c:pt idx="1268">
                  <c:v>2.5743071770112952E-2</c:v>
                </c:pt>
                <c:pt idx="1269">
                  <c:v>2.5741809044142208E-2</c:v>
                </c:pt>
                <c:pt idx="1270">
                  <c:v>2.5740526125821065E-2</c:v>
                </c:pt>
                <c:pt idx="1271">
                  <c:v>2.5739223015169507E-2</c:v>
                </c:pt>
                <c:pt idx="1272">
                  <c:v>2.5737899712207517E-2</c:v>
                </c:pt>
                <c:pt idx="1273">
                  <c:v>2.5735738058987032E-2</c:v>
                </c:pt>
                <c:pt idx="1274">
                  <c:v>2.573437591083276E-2</c:v>
                </c:pt>
                <c:pt idx="1275">
                  <c:v>2.5732993571861557E-2</c:v>
                </c:pt>
                <c:pt idx="1276">
                  <c:v>2.5734844532699697E-2</c:v>
                </c:pt>
                <c:pt idx="1277">
                  <c:v>2.5730980313470056E-2</c:v>
                </c:pt>
                <c:pt idx="1278">
                  <c:v>2.5729535857084249E-2</c:v>
                </c:pt>
                <c:pt idx="1279">
                  <c:v>2.5728071208538327E-2</c:v>
                </c:pt>
                <c:pt idx="1280">
                  <c:v>2.5726586367853136E-2</c:v>
                </c:pt>
                <c:pt idx="1281">
                  <c:v>2.572508133505301E-2</c:v>
                </c:pt>
                <c:pt idx="1282">
                  <c:v>2.57235561101588E-2</c:v>
                </c:pt>
                <c:pt idx="1283">
                  <c:v>2.5722010693196577E-2</c:v>
                </c:pt>
                <c:pt idx="1284">
                  <c:v>2.5720445084188054E-2</c:v>
                </c:pt>
                <c:pt idx="1285">
                  <c:v>2.5717831722979229E-2</c:v>
                </c:pt>
                <c:pt idx="1286">
                  <c:v>2.5716455255541615E-2</c:v>
                </c:pt>
                <c:pt idx="1287">
                  <c:v>2.5714830628503882E-2</c:v>
                </c:pt>
                <c:pt idx="1288">
                  <c:v>2.5713185810947878E-2</c:v>
                </c:pt>
                <c:pt idx="1289">
                  <c:v>2.5711352768499004E-2</c:v>
                </c:pt>
                <c:pt idx="1290">
                  <c:v>2.5709593213530082E-2</c:v>
                </c:pt>
                <c:pt idx="1291">
                  <c:v>2.570813021541446E-2</c:v>
                </c:pt>
                <c:pt idx="1292">
                  <c:v>2.5706404636034855E-2</c:v>
                </c:pt>
                <c:pt idx="1293">
                  <c:v>2.570465886626435E-2</c:v>
                </c:pt>
                <c:pt idx="1294">
                  <c:v>2.5702892906130183E-2</c:v>
                </c:pt>
                <c:pt idx="1295">
                  <c:v>2.5700322681513121E-2</c:v>
                </c:pt>
                <c:pt idx="1296">
                  <c:v>2.5698517911324714E-2</c:v>
                </c:pt>
                <c:pt idx="1297">
                  <c:v>2.5696692952277722E-2</c:v>
                </c:pt>
                <c:pt idx="1298">
                  <c:v>2.5694847804402343E-2</c:v>
                </c:pt>
                <c:pt idx="1299">
                  <c:v>2.5694537920714418E-2</c:v>
                </c:pt>
                <c:pt idx="1300">
                  <c:v>2.5692649242463231E-2</c:v>
                </c:pt>
                <c:pt idx="1301">
                  <c:v>2.5690740372617565E-2</c:v>
                </c:pt>
                <c:pt idx="1302">
                  <c:v>2.568881131120869E-2</c:v>
                </c:pt>
                <c:pt idx="1303">
                  <c:v>2.5686090703065698E-2</c:v>
                </c:pt>
                <c:pt idx="1304">
                  <c:v>2.5684122840817159E-2</c:v>
                </c:pt>
                <c:pt idx="1305">
                  <c:v>2.568213478851767E-2</c:v>
                </c:pt>
                <c:pt idx="1306">
                  <c:v>2.5680126546196221E-2</c:v>
                </c:pt>
                <c:pt idx="1307">
                  <c:v>2.5678098113882677E-2</c:v>
                </c:pt>
                <c:pt idx="1308">
                  <c:v>2.5676812921579893E-2</c:v>
                </c:pt>
                <c:pt idx="1309">
                  <c:v>2.5674742520067052E-2</c:v>
                </c:pt>
                <c:pt idx="1310">
                  <c:v>2.5672651927234291E-2</c:v>
                </c:pt>
                <c:pt idx="1311">
                  <c:v>2.5670541143116361E-2</c:v>
                </c:pt>
                <c:pt idx="1312">
                  <c:v>2.5668410167743679E-2</c:v>
                </c:pt>
                <c:pt idx="1313">
                  <c:v>2.5666259001150996E-2</c:v>
                </c:pt>
                <c:pt idx="1314">
                  <c:v>2.5664087643368725E-2</c:v>
                </c:pt>
                <c:pt idx="1315">
                  <c:v>2.5661896094433354E-2</c:v>
                </c:pt>
                <c:pt idx="1316">
                  <c:v>2.5659684354375299E-2</c:v>
                </c:pt>
                <c:pt idx="1317">
                  <c:v>2.5657452423232786E-2</c:v>
                </c:pt>
                <c:pt idx="1318">
                  <c:v>2.5655200301035356E-2</c:v>
                </c:pt>
                <c:pt idx="1319">
                  <c:v>2.5652927987821244E-2</c:v>
                </c:pt>
                <c:pt idx="1320">
                  <c:v>2.5650635483622595E-2</c:v>
                </c:pt>
                <c:pt idx="1321">
                  <c:v>2.5648322788476771E-2</c:v>
                </c:pt>
                <c:pt idx="1322">
                  <c:v>2.5645989902419394E-2</c:v>
                </c:pt>
                <c:pt idx="1323">
                  <c:v>2.564363682548609E-2</c:v>
                </c:pt>
                <c:pt idx="1324">
                  <c:v>2.5641263557711614E-2</c:v>
                </c:pt>
                <c:pt idx="1325">
                  <c:v>2.563813388046297E-2</c:v>
                </c:pt>
                <c:pt idx="1326">
                  <c:v>2.5635721844535494E-2</c:v>
                </c:pt>
                <c:pt idx="1327">
                  <c:v>2.5633289619290549E-2</c:v>
                </c:pt>
                <c:pt idx="1328">
                  <c:v>2.5630837204768542E-2</c:v>
                </c:pt>
                <c:pt idx="1329">
                  <c:v>2.5628364601004608E-2</c:v>
                </c:pt>
                <c:pt idx="1330">
                  <c:v>2.562659994548715E-2</c:v>
                </c:pt>
                <c:pt idx="1331">
                  <c:v>2.5624085342872322E-2</c:v>
                </c:pt>
                <c:pt idx="1332">
                  <c:v>2.5621550549716078E-2</c:v>
                </c:pt>
                <c:pt idx="1333">
                  <c:v>2.5618995566060999E-2</c:v>
                </c:pt>
                <c:pt idx="1334">
                  <c:v>2.5616420391943572E-2</c:v>
                </c:pt>
                <c:pt idx="1335">
                  <c:v>2.5614891826164735E-2</c:v>
                </c:pt>
                <c:pt idx="1336">
                  <c:v>2.5611209472484166E-2</c:v>
                </c:pt>
                <c:pt idx="1337">
                  <c:v>2.5609628242245372E-2</c:v>
                </c:pt>
                <c:pt idx="1338">
                  <c:v>2.5604487401712284E-2</c:v>
                </c:pt>
                <c:pt idx="1339">
                  <c:v>2.5601814539207624E-2</c:v>
                </c:pt>
                <c:pt idx="1340">
                  <c:v>2.5599121489301879E-2</c:v>
                </c:pt>
                <c:pt idx="1341">
                  <c:v>2.5596408252034131E-2</c:v>
                </c:pt>
                <c:pt idx="1342">
                  <c:v>2.5591710021748426E-2</c:v>
                </c:pt>
                <c:pt idx="1343">
                  <c:v>2.5590526194513963E-2</c:v>
                </c:pt>
                <c:pt idx="1344">
                  <c:v>2.5587749511518432E-2</c:v>
                </c:pt>
                <c:pt idx="1345">
                  <c:v>2.5584952641333203E-2</c:v>
                </c:pt>
                <c:pt idx="1346">
                  <c:v>2.5582135583999133E-2</c:v>
                </c:pt>
                <c:pt idx="1347">
                  <c:v>2.5578597929376157E-2</c:v>
                </c:pt>
                <c:pt idx="1348">
                  <c:v>2.5575742142067055E-2</c:v>
                </c:pt>
                <c:pt idx="1349">
                  <c:v>2.5572866169142075E-2</c:v>
                </c:pt>
                <c:pt idx="1350">
                  <c:v>2.5569970010643435E-2</c:v>
                </c:pt>
                <c:pt idx="1351">
                  <c:v>2.5570521545258289E-2</c:v>
                </c:pt>
                <c:pt idx="1352">
                  <c:v>2.5567576764553047E-2</c:v>
                </c:pt>
                <c:pt idx="1353">
                  <c:v>2.5564611791394989E-2</c:v>
                </c:pt>
                <c:pt idx="1354">
                  <c:v>2.5561626625830888E-2</c:v>
                </c:pt>
                <c:pt idx="1355">
                  <c:v>2.5556560745289725E-2</c:v>
                </c:pt>
                <c:pt idx="1356">
                  <c:v>2.5553540163226571E-2</c:v>
                </c:pt>
                <c:pt idx="1357">
                  <c:v>2.5548752746153688E-2</c:v>
                </c:pt>
                <c:pt idx="1358">
                  <c:v>2.5547438434947008E-2</c:v>
                </c:pt>
                <c:pt idx="1359">
                  <c:v>2.5544357288825467E-2</c:v>
                </c:pt>
                <c:pt idx="1360">
                  <c:v>2.5543291594562322E-2</c:v>
                </c:pt>
                <c:pt idx="1361">
                  <c:v>2.5540165083485906E-2</c:v>
                </c:pt>
                <c:pt idx="1362">
                  <c:v>2.5537018380385267E-2</c:v>
                </c:pt>
                <c:pt idx="1363">
                  <c:v>2.5534524784006862E-2</c:v>
                </c:pt>
                <c:pt idx="1364">
                  <c:v>2.5531336029341913E-2</c:v>
                </c:pt>
                <c:pt idx="1365">
                  <c:v>2.5527457119451639E-2</c:v>
                </c:pt>
                <c:pt idx="1366">
                  <c:v>2.5524229648762636E-2</c:v>
                </c:pt>
                <c:pt idx="1367">
                  <c:v>2.5520981986301126E-2</c:v>
                </c:pt>
                <c:pt idx="1368">
                  <c:v>2.5517714132118126E-2</c:v>
                </c:pt>
                <c:pt idx="1369">
                  <c:v>2.5515089358013224E-2</c:v>
                </c:pt>
                <c:pt idx="1370">
                  <c:v>2.5511117848796866E-2</c:v>
                </c:pt>
                <c:pt idx="1371">
                  <c:v>2.5507789419761499E-2</c:v>
                </c:pt>
                <c:pt idx="1372">
                  <c:v>2.5504440799213841E-2</c:v>
                </c:pt>
                <c:pt idx="1373">
                  <c:v>2.5501071987204065E-2</c:v>
                </c:pt>
                <c:pt idx="1374">
                  <c:v>2.5497682983787441E-2</c:v>
                </c:pt>
                <c:pt idx="1375">
                  <c:v>2.5494273789015851E-2</c:v>
                </c:pt>
                <c:pt idx="1376">
                  <c:v>2.5490844402942862E-2</c:v>
                </c:pt>
                <c:pt idx="1377">
                  <c:v>2.5485444570262618E-2</c:v>
                </c:pt>
                <c:pt idx="1378">
                  <c:v>2.5481979861919097E-2</c:v>
                </c:pt>
                <c:pt idx="1379">
                  <c:v>2.5478494966599086E-2</c:v>
                </c:pt>
                <c:pt idx="1380">
                  <c:v>2.5474989884355297E-2</c:v>
                </c:pt>
                <c:pt idx="1381">
                  <c:v>2.5471464615240434E-2</c:v>
                </c:pt>
                <c:pt idx="1382">
                  <c:v>2.5469844072225915E-2</c:v>
                </c:pt>
                <c:pt idx="1383">
                  <c:v>2.5466913029373976E-2</c:v>
                </c:pt>
                <c:pt idx="1384">
                  <c:v>2.5462682434058314E-2</c:v>
                </c:pt>
                <c:pt idx="1385">
                  <c:v>2.5459071328739716E-2</c:v>
                </c:pt>
                <c:pt idx="1386">
                  <c:v>2.5455440032673318E-2</c:v>
                </c:pt>
                <c:pt idx="1387">
                  <c:v>2.544895272094078E-2</c:v>
                </c:pt>
                <c:pt idx="1388">
                  <c:v>2.5448748058154141E-2</c:v>
                </c:pt>
                <c:pt idx="1389">
                  <c:v>2.544442500055881E-2</c:v>
                </c:pt>
                <c:pt idx="1390">
                  <c:v>2.543820047719425E-2</c:v>
                </c:pt>
                <c:pt idx="1391">
                  <c:v>2.5434475046653304E-2</c:v>
                </c:pt>
                <c:pt idx="1392">
                  <c:v>2.5430729431227483E-2</c:v>
                </c:pt>
                <c:pt idx="1393">
                  <c:v>2.5426963630972743E-2</c:v>
                </c:pt>
                <c:pt idx="1394">
                  <c:v>2.5423799136365749E-2</c:v>
                </c:pt>
                <c:pt idx="1395">
                  <c:v>2.5419371476206543E-2</c:v>
                </c:pt>
                <c:pt idx="1396">
                  <c:v>2.5415545121808769E-2</c:v>
                </c:pt>
                <c:pt idx="1397">
                  <c:v>2.5411698582811226E-2</c:v>
                </c:pt>
                <c:pt idx="1398">
                  <c:v>2.5407831859271646E-2</c:v>
                </c:pt>
                <c:pt idx="1399">
                  <c:v>2.5403331888589092E-2</c:v>
                </c:pt>
                <c:pt idx="1400">
                  <c:v>2.5399426512588974E-2</c:v>
                </c:pt>
                <c:pt idx="1401">
                  <c:v>2.53955009535956E-2</c:v>
                </c:pt>
                <c:pt idx="1402">
                  <c:v>2.5391555211666455E-2</c:v>
                </c:pt>
                <c:pt idx="1403">
                  <c:v>2.5390618871641336E-2</c:v>
                </c:pt>
                <c:pt idx="1404">
                  <c:v>2.5386624152178034E-2</c:v>
                </c:pt>
                <c:pt idx="1405">
                  <c:v>2.5382609243105595E-2</c:v>
                </c:pt>
                <c:pt idx="1406">
                  <c:v>2.5378574144486105E-2</c:v>
                </c:pt>
                <c:pt idx="1407">
                  <c:v>2.5372722208720999E-2</c:v>
                </c:pt>
                <c:pt idx="1408">
                  <c:v>2.5366316970703653E-2</c:v>
                </c:pt>
                <c:pt idx="1409">
                  <c:v>2.5364561436790251E-2</c:v>
                </c:pt>
                <c:pt idx="1410">
                  <c:v>2.5360450773008136E-2</c:v>
                </c:pt>
                <c:pt idx="1411">
                  <c:v>2.5358095810425273E-2</c:v>
                </c:pt>
                <c:pt idx="1412">
                  <c:v>2.5353939575870454E-2</c:v>
                </c:pt>
                <c:pt idx="1413">
                  <c:v>2.5349763152219283E-2</c:v>
                </c:pt>
                <c:pt idx="1414">
                  <c:v>2.5345566539538941E-2</c:v>
                </c:pt>
                <c:pt idx="1415">
                  <c:v>2.5341934480720276E-2</c:v>
                </c:pt>
                <c:pt idx="1416">
                  <c:v>2.5337695750765457E-2</c:v>
                </c:pt>
                <c:pt idx="1417">
                  <c:v>2.533285556797513E-2</c:v>
                </c:pt>
                <c:pt idx="1418">
                  <c:v>2.5328578199835448E-2</c:v>
                </c:pt>
                <c:pt idx="1419">
                  <c:v>2.5324280642999096E-2</c:v>
                </c:pt>
                <c:pt idx="1420">
                  <c:v>2.5318233963612134E-2</c:v>
                </c:pt>
                <c:pt idx="1421">
                  <c:v>2.5316199249450458E-2</c:v>
                </c:pt>
                <c:pt idx="1422">
                  <c:v>2.5311266840980954E-2</c:v>
                </c:pt>
                <c:pt idx="1423">
                  <c:v>2.5306888530033118E-2</c:v>
                </c:pt>
                <c:pt idx="1424">
                  <c:v>2.530249003072961E-2</c:v>
                </c:pt>
                <c:pt idx="1425">
                  <c:v>2.5298071343136767E-2</c:v>
                </c:pt>
                <c:pt idx="1426">
                  <c:v>2.5293632467326868E-2</c:v>
                </c:pt>
                <c:pt idx="1427">
                  <c:v>2.5289173403367945E-2</c:v>
                </c:pt>
                <c:pt idx="1428">
                  <c:v>2.528469415133228E-2</c:v>
                </c:pt>
                <c:pt idx="1429">
                  <c:v>2.5278513059936471E-2</c:v>
                </c:pt>
                <c:pt idx="1430">
                  <c:v>2.5273998705881942E-2</c:v>
                </c:pt>
                <c:pt idx="1431">
                  <c:v>2.5269464168015867E-2</c:v>
                </c:pt>
                <c:pt idx="1432">
                  <c:v>2.5264909446404128E-2</c:v>
                </c:pt>
                <c:pt idx="1433">
                  <c:v>2.5260334541117875E-2</c:v>
                </c:pt>
                <c:pt idx="1434">
                  <c:v>2.5257394693433768E-2</c:v>
                </c:pt>
                <c:pt idx="1435">
                  <c:v>2.5253323823573294E-2</c:v>
                </c:pt>
                <c:pt idx="1436">
                  <c:v>2.5248133372737045E-2</c:v>
                </c:pt>
                <c:pt idx="1437">
                  <c:v>2.5243472431202188E-2</c:v>
                </c:pt>
                <c:pt idx="1438">
                  <c:v>2.5238791597721369E-2</c:v>
                </c:pt>
                <c:pt idx="1439">
                  <c:v>2.5230988632293276E-2</c:v>
                </c:pt>
                <c:pt idx="1440">
                  <c:v>2.5229921866988515E-2</c:v>
                </c:pt>
                <c:pt idx="1441">
                  <c:v>2.5224653711886563E-2</c:v>
                </c:pt>
                <c:pt idx="1442">
                  <c:v>2.5217752816892869E-2</c:v>
                </c:pt>
                <c:pt idx="1443">
                  <c:v>2.5213011631286975E-2</c:v>
                </c:pt>
                <c:pt idx="1444">
                  <c:v>2.5208265798306151E-2</c:v>
                </c:pt>
                <c:pt idx="1445">
                  <c:v>2.5203518256875057E-2</c:v>
                </c:pt>
                <c:pt idx="1446">
                  <c:v>2.5199314176752963E-2</c:v>
                </c:pt>
                <c:pt idx="1447">
                  <c:v>2.5194029804298523E-2</c:v>
                </c:pt>
                <c:pt idx="1448">
                  <c:v>2.5189294770933124E-2</c:v>
                </c:pt>
                <c:pt idx="1449">
                  <c:v>2.5184569784687305E-2</c:v>
                </c:pt>
                <c:pt idx="1450">
                  <c:v>2.5179857784413784E-2</c:v>
                </c:pt>
                <c:pt idx="1451">
                  <c:v>2.5174615427155198E-2</c:v>
                </c:pt>
                <c:pt idx="1452">
                  <c:v>2.5169935894643596E-2</c:v>
                </c:pt>
                <c:pt idx="1453">
                  <c:v>2.5165273964913252E-2</c:v>
                </c:pt>
                <c:pt idx="1454">
                  <c:v>2.516062963790219E-2</c:v>
                </c:pt>
                <c:pt idx="1455">
                  <c:v>2.5158753942334633E-2</c:v>
                </c:pt>
                <c:pt idx="1456">
                  <c:v>2.5154149503967028E-2</c:v>
                </c:pt>
                <c:pt idx="1457">
                  <c:v>2.5149562674540112E-2</c:v>
                </c:pt>
                <c:pt idx="1458">
                  <c:v>2.5141282916381263E-2</c:v>
                </c:pt>
                <c:pt idx="1459">
                  <c:v>2.5138779615022217E-2</c:v>
                </c:pt>
                <c:pt idx="1460">
                  <c:v>2.5134242786178186E-2</c:v>
                </c:pt>
                <c:pt idx="1461">
                  <c:v>2.5129723562194142E-2</c:v>
                </c:pt>
                <c:pt idx="1462">
                  <c:v>2.5125221943006835E-2</c:v>
                </c:pt>
                <c:pt idx="1463">
                  <c:v>2.5120737928558297E-2</c:v>
                </c:pt>
                <c:pt idx="1464">
                  <c:v>2.5117947913647513E-2</c:v>
                </c:pt>
                <c:pt idx="1465">
                  <c:v>2.5113501953504494E-2</c:v>
                </c:pt>
                <c:pt idx="1466">
                  <c:v>2.510907360174516E-2</c:v>
                </c:pt>
                <c:pt idx="1467">
                  <c:v>2.5105224739297979E-2</c:v>
                </c:pt>
                <c:pt idx="1468">
                  <c:v>2.5100832556603805E-2</c:v>
                </c:pt>
                <c:pt idx="1469">
                  <c:v>2.5095894196167218E-2</c:v>
                </c:pt>
                <c:pt idx="1470">
                  <c:v>2.5091536277338015E-2</c:v>
                </c:pt>
                <c:pt idx="1471">
                  <c:v>2.5087195966593159E-2</c:v>
                </c:pt>
                <c:pt idx="1472">
                  <c:v>2.5081174002017224E-2</c:v>
                </c:pt>
                <c:pt idx="1473">
                  <c:v>2.507913578404837E-2</c:v>
                </c:pt>
                <c:pt idx="1474">
                  <c:v>2.5074280682261793E-2</c:v>
                </c:pt>
                <c:pt idx="1475">
                  <c:v>2.5070010803255681E-2</c:v>
                </c:pt>
                <c:pt idx="1476">
                  <c:v>2.5065758532037134E-2</c:v>
                </c:pt>
                <c:pt idx="1477">
                  <c:v>2.5061523868550033E-2</c:v>
                </c:pt>
                <c:pt idx="1478">
                  <c:v>2.5057879240868417E-2</c:v>
                </c:pt>
                <c:pt idx="1479">
                  <c:v>2.5053107364531198E-2</c:v>
                </c:pt>
                <c:pt idx="1480">
                  <c:v>2.5048925523885518E-2</c:v>
                </c:pt>
                <c:pt idx="1481">
                  <c:v>2.5043036012099434E-2</c:v>
                </c:pt>
                <c:pt idx="1482">
                  <c:v>2.5038886476647485E-2</c:v>
                </c:pt>
                <c:pt idx="1483">
                  <c:v>2.5034754544790601E-2</c:v>
                </c:pt>
                <c:pt idx="1484">
                  <c:v>2.5030640216471681E-2</c:v>
                </c:pt>
                <c:pt idx="1485">
                  <c:v>2.5028280432002666E-2</c:v>
                </c:pt>
                <c:pt idx="1486">
                  <c:v>2.5024204235499781E-2</c:v>
                </c:pt>
                <c:pt idx="1487">
                  <c:v>2.5020145646158579E-2</c:v>
                </c:pt>
                <c:pt idx="1488">
                  <c:v>2.5016686813358158E-2</c:v>
                </c:pt>
                <c:pt idx="1489">
                  <c:v>2.5012081288732481E-2</c:v>
                </c:pt>
                <c:pt idx="1490">
                  <c:v>2.5008075520538738E-2</c:v>
                </c:pt>
                <c:pt idx="1491">
                  <c:v>2.5004087359284728E-2</c:v>
                </c:pt>
                <c:pt idx="1492">
                  <c:v>2.5000702878199135E-2</c:v>
                </c:pt>
                <c:pt idx="1493">
                  <c:v>2.4996163857375669E-2</c:v>
                </c:pt>
                <c:pt idx="1494">
                  <c:v>2.4990465116015614E-2</c:v>
                </c:pt>
                <c:pt idx="1495">
                  <c:v>2.4986544423070807E-2</c:v>
                </c:pt>
                <c:pt idx="1496">
                  <c:v>2.4982641333025354E-2</c:v>
                </c:pt>
                <c:pt idx="1497">
                  <c:v>2.4978755845827434E-2</c:v>
                </c:pt>
                <c:pt idx="1498">
                  <c:v>2.4973235685280745E-2</c:v>
                </c:pt>
                <c:pt idx="1499">
                  <c:v>2.4969392947640567E-2</c:v>
                </c:pt>
                <c:pt idx="1500">
                  <c:v>2.4966161852997756E-2</c:v>
                </c:pt>
                <c:pt idx="1501">
                  <c:v>2.4961217784078196E-2</c:v>
                </c:pt>
                <c:pt idx="1502">
                  <c:v>2.4957970350548198E-2</c:v>
                </c:pt>
                <c:pt idx="1503">
                  <c:v>2.4954795050000648E-2</c:v>
                </c:pt>
                <c:pt idx="1504">
                  <c:v>2.4950443298505445E-2</c:v>
                </c:pt>
                <c:pt idx="1505">
                  <c:v>2.4945574694794637E-2</c:v>
                </c:pt>
                <c:pt idx="1506">
                  <c:v>2.4943586680502033E-2</c:v>
                </c:pt>
                <c:pt idx="1507">
                  <c:v>2.4939885764546598E-2</c:v>
                </c:pt>
                <c:pt idx="1508">
                  <c:v>2.4936202452111544E-2</c:v>
                </c:pt>
                <c:pt idx="1509">
                  <c:v>2.4932536743150817E-2</c:v>
                </c:pt>
                <c:pt idx="1510">
                  <c:v>2.4928888637614031E-2</c:v>
                </c:pt>
                <c:pt idx="1511">
                  <c:v>2.4924653090010927E-2</c:v>
                </c:pt>
                <c:pt idx="1512">
                  <c:v>2.4921039183212496E-2</c:v>
                </c:pt>
                <c:pt idx="1513">
                  <c:v>2.4916418595816722E-2</c:v>
                </c:pt>
                <c:pt idx="1514">
                  <c:v>2.4913864175660883E-2</c:v>
                </c:pt>
                <c:pt idx="1515">
                  <c:v>2.4910303074810198E-2</c:v>
                </c:pt>
                <c:pt idx="1516">
                  <c:v>2.4906865041116225E-2</c:v>
                </c:pt>
                <c:pt idx="1517">
                  <c:v>2.4903844790629997E-2</c:v>
                </c:pt>
                <c:pt idx="1518">
                  <c:v>2.4900337510740004E-2</c:v>
                </c:pt>
                <c:pt idx="1519">
                  <c:v>2.4896350745547247E-2</c:v>
                </c:pt>
                <c:pt idx="1520">
                  <c:v>2.4893375759888554E-2</c:v>
                </c:pt>
                <c:pt idx="1521">
                  <c:v>2.4889921288834129E-2</c:v>
                </c:pt>
                <c:pt idx="1522">
                  <c:v>2.4886484420631051E-2</c:v>
                </c:pt>
                <c:pt idx="1523">
                  <c:v>2.4883065155235015E-2</c:v>
                </c:pt>
                <c:pt idx="1524">
                  <c:v>2.4879663492598226E-2</c:v>
                </c:pt>
                <c:pt idx="1525">
                  <c:v>2.4876279432677246E-2</c:v>
                </c:pt>
                <c:pt idx="1526">
                  <c:v>2.4872912975423413E-2</c:v>
                </c:pt>
                <c:pt idx="1527">
                  <c:v>2.4869564120795027E-2</c:v>
                </c:pt>
                <c:pt idx="1528">
                  <c:v>2.4866232868745165E-2</c:v>
                </c:pt>
                <c:pt idx="1529">
                  <c:v>2.4862919219231255E-2</c:v>
                </c:pt>
                <c:pt idx="1530">
                  <c:v>2.4860247708808972E-2</c:v>
                </c:pt>
                <c:pt idx="1531">
                  <c:v>2.4856344727627083E-2</c:v>
                </c:pt>
                <c:pt idx="1532">
                  <c:v>2.4852619487782657E-2</c:v>
                </c:pt>
                <c:pt idx="1533">
                  <c:v>2.4848751106847221E-2</c:v>
                </c:pt>
                <c:pt idx="1534">
                  <c:v>2.4845986464929627E-2</c:v>
                </c:pt>
                <c:pt idx="1535">
                  <c:v>2.4842777393174927E-2</c:v>
                </c:pt>
                <c:pt idx="1536">
                  <c:v>2.4839585922414292E-2</c:v>
                </c:pt>
                <c:pt idx="1537">
                  <c:v>2.4836412052602928E-2</c:v>
                </c:pt>
                <c:pt idx="1538">
                  <c:v>2.4833888480397515E-2</c:v>
                </c:pt>
                <c:pt idx="1539">
                  <c:v>2.4830304058359204E-2</c:v>
                </c:pt>
                <c:pt idx="1540">
                  <c:v>2.4827630829307171E-2</c:v>
                </c:pt>
                <c:pt idx="1541">
                  <c:v>2.4824528406809137E-2</c:v>
                </c:pt>
                <c:pt idx="1542">
                  <c:v>2.4821443586285765E-2</c:v>
                </c:pt>
                <c:pt idx="1543">
                  <c:v>2.4818376367697084E-2</c:v>
                </c:pt>
                <c:pt idx="1544">
                  <c:v>2.4815326750999653E-2</c:v>
                </c:pt>
                <c:pt idx="1545">
                  <c:v>2.481229473615611E-2</c:v>
                </c:pt>
                <c:pt idx="1546">
                  <c:v>2.4808639260185443E-2</c:v>
                </c:pt>
                <c:pt idx="1547">
                  <c:v>2.4805641397597823E-2</c:v>
                </c:pt>
                <c:pt idx="1548">
                  <c:v>2.4802661135509718E-2</c:v>
                </c:pt>
                <c:pt idx="1549">
                  <c:v>2.4799698473882484E-2</c:v>
                </c:pt>
                <c:pt idx="1550">
                  <c:v>2.4795269752440063E-2</c:v>
                </c:pt>
                <c:pt idx="1551">
                  <c:v>2.4792346263853737E-2</c:v>
                </c:pt>
                <c:pt idx="1552">
                  <c:v>2.4789440374371807E-2</c:v>
                </c:pt>
                <c:pt idx="1553">
                  <c:v>2.4786552083953417E-2</c:v>
                </c:pt>
                <c:pt idx="1554">
                  <c:v>2.4783681392562151E-2</c:v>
                </c:pt>
                <c:pt idx="1555">
                  <c:v>2.4780828300161595E-2</c:v>
                </c:pt>
                <c:pt idx="1556">
                  <c:v>2.4777341134096322E-2</c:v>
                </c:pt>
                <c:pt idx="1557">
                  <c:v>2.4774522175921118E-2</c:v>
                </c:pt>
                <c:pt idx="1558">
                  <c:v>2.4772374616522264E-2</c:v>
                </c:pt>
                <c:pt idx="1559">
                  <c:v>2.4770902049599509E-2</c:v>
                </c:pt>
                <c:pt idx="1560">
                  <c:v>2.4768139086714068E-2</c:v>
                </c:pt>
                <c:pt idx="1561">
                  <c:v>2.4765393725047373E-2</c:v>
                </c:pt>
                <c:pt idx="1562">
                  <c:v>2.4762665964563797E-2</c:v>
                </c:pt>
                <c:pt idx="1563">
                  <c:v>2.4759296396435367E-2</c:v>
                </c:pt>
                <c:pt idx="1564">
                  <c:v>2.4756219397991195E-2</c:v>
                </c:pt>
                <c:pt idx="1565">
                  <c:v>2.4753545881330392E-2</c:v>
                </c:pt>
                <c:pt idx="1566">
                  <c:v>2.475088996447955E-2</c:v>
                </c:pt>
                <c:pt idx="1567">
                  <c:v>2.4748915507552517E-2</c:v>
                </c:pt>
                <c:pt idx="1568">
                  <c:v>2.4746295867823027E-2</c:v>
                </c:pt>
                <c:pt idx="1569">
                  <c:v>2.4743693829022081E-2</c:v>
                </c:pt>
                <c:pt idx="1570">
                  <c:v>2.4741109391111446E-2</c:v>
                </c:pt>
                <c:pt idx="1571">
                  <c:v>2.4738542554057233E-2</c:v>
                </c:pt>
                <c:pt idx="1572">
                  <c:v>2.4735993317827297E-2</c:v>
                </c:pt>
                <c:pt idx="1573">
                  <c:v>2.4733461682383408E-2</c:v>
                </c:pt>
                <c:pt idx="1574">
                  <c:v>2.4730947647696021E-2</c:v>
                </c:pt>
                <c:pt idx="1575">
                  <c:v>2.4728451213727781E-2</c:v>
                </c:pt>
                <c:pt idx="1576">
                  <c:v>2.4725972380447402E-2</c:v>
                </c:pt>
                <c:pt idx="1577">
                  <c:v>2.4723511147820131E-2</c:v>
                </c:pt>
                <c:pt idx="1578">
                  <c:v>2.4721067515814692E-2</c:v>
                </c:pt>
                <c:pt idx="1579">
                  <c:v>2.471864148439459E-2</c:v>
                </c:pt>
                <c:pt idx="1580">
                  <c:v>2.4716233053533758E-2</c:v>
                </c:pt>
                <c:pt idx="1581">
                  <c:v>2.4713842223193967E-2</c:v>
                </c:pt>
                <c:pt idx="1582">
                  <c:v>2.4711468993345673E-2</c:v>
                </c:pt>
                <c:pt idx="1583">
                  <c:v>2.4709113363957601E-2</c:v>
                </c:pt>
                <c:pt idx="1584">
                  <c:v>2.4706775334995861E-2</c:v>
                </c:pt>
                <c:pt idx="1585">
                  <c:v>2.4703771462539818E-2</c:v>
                </c:pt>
                <c:pt idx="1586">
                  <c:v>2.4701467534780037E-2</c:v>
                </c:pt>
                <c:pt idx="1587">
                  <c:v>2.4699181206138902E-2</c:v>
                </c:pt>
                <c:pt idx="1588">
                  <c:v>2.469691247658479E-2</c:v>
                </c:pt>
                <c:pt idx="1589">
                  <c:v>2.46974135644886E-2</c:v>
                </c:pt>
                <c:pt idx="1590">
                  <c:v>2.469311676847458E-2</c:v>
                </c:pt>
                <c:pt idx="1591">
                  <c:v>2.4690901941643948E-2</c:v>
                </c:pt>
                <c:pt idx="1592">
                  <c:v>2.4688704714996363E-2</c:v>
                </c:pt>
                <c:pt idx="1593">
                  <c:v>2.4686525088503157E-2</c:v>
                </c:pt>
                <c:pt idx="1594">
                  <c:v>2.4684363062134788E-2</c:v>
                </c:pt>
                <c:pt idx="1595">
                  <c:v>2.4682218635863451E-2</c:v>
                </c:pt>
                <c:pt idx="1596">
                  <c:v>2.4680091809657866E-2</c:v>
                </c:pt>
                <c:pt idx="1597">
                  <c:v>2.4676985824294367E-2</c:v>
                </c:pt>
                <c:pt idx="1598">
                  <c:v>2.4674495429632515E-2</c:v>
                </c:pt>
                <c:pt idx="1599">
                  <c:v>2.4672419172928173E-2</c:v>
                </c:pt>
                <c:pt idx="1600">
                  <c:v>2.4670360513752598E-2</c:v>
                </c:pt>
                <c:pt idx="1601">
                  <c:v>2.4668319452081811E-2</c:v>
                </c:pt>
                <c:pt idx="1602">
                  <c:v>2.4666295987885611E-2</c:v>
                </c:pt>
                <c:pt idx="1603">
                  <c:v>2.4664290121140908E-2</c:v>
                </c:pt>
                <c:pt idx="1604">
                  <c:v>2.4662301851818391E-2</c:v>
                </c:pt>
                <c:pt idx="1605">
                  <c:v>2.4660331179892303E-2</c:v>
                </c:pt>
                <c:pt idx="1606">
                  <c:v>2.4658378105339551E-2</c:v>
                </c:pt>
                <c:pt idx="1607">
                  <c:v>2.4655734992773303E-2</c:v>
                </c:pt>
                <c:pt idx="1608">
                  <c:v>2.4653815986966907E-2</c:v>
                </c:pt>
                <c:pt idx="1609">
                  <c:v>2.4651914577245099E-2</c:v>
                </c:pt>
                <c:pt idx="1610">
                  <c:v>2.4650030763584532E-2</c:v>
                </c:pt>
                <c:pt idx="1611">
                  <c:v>2.4650301405812362E-2</c:v>
                </c:pt>
                <c:pt idx="1612">
                  <c:v>2.4648456176964383E-2</c:v>
                </c:pt>
                <c:pt idx="1613">
                  <c:v>2.4646628547730344E-2</c:v>
                </c:pt>
                <c:pt idx="1614">
                  <c:v>2.4644818518087652E-2</c:v>
                </c:pt>
                <c:pt idx="1615">
                  <c:v>2.4642309129467122E-2</c:v>
                </c:pt>
                <c:pt idx="1616">
                  <c:v>2.4640533163013664E-2</c:v>
                </c:pt>
                <c:pt idx="1617">
                  <c:v>2.4638774794867192E-2</c:v>
                </c:pt>
                <c:pt idx="1618">
                  <c:v>2.4637034025009261E-2</c:v>
                </c:pt>
                <c:pt idx="1619">
                  <c:v>2.4635310853415273E-2</c:v>
                </c:pt>
                <c:pt idx="1620">
                  <c:v>2.4634327930271826E-2</c:v>
                </c:pt>
                <c:pt idx="1621">
                  <c:v>2.4632641097092602E-2</c:v>
                </c:pt>
                <c:pt idx="1622">
                  <c:v>2.4630971863315313E-2</c:v>
                </c:pt>
                <c:pt idx="1623">
                  <c:v>2.4629320228918238E-2</c:v>
                </c:pt>
                <c:pt idx="1624">
                  <c:v>2.4627686193877917E-2</c:v>
                </c:pt>
                <c:pt idx="1625">
                  <c:v>2.4626069758174367E-2</c:v>
                </c:pt>
                <c:pt idx="1626">
                  <c:v>2.4624470921784998E-2</c:v>
                </c:pt>
                <c:pt idx="1627">
                  <c:v>2.4622889684688957E-2</c:v>
                </c:pt>
                <c:pt idx="1628">
                  <c:v>2.4621326046864518E-2</c:v>
                </c:pt>
                <c:pt idx="1629">
                  <c:v>2.4619780008289963E-2</c:v>
                </c:pt>
                <c:pt idx="1630">
                  <c:v>2.4618251568946179E-2</c:v>
                </c:pt>
                <c:pt idx="1631">
                  <c:v>2.4616740728812307E-2</c:v>
                </c:pt>
                <c:pt idx="1632">
                  <c:v>2.4615247487866632E-2</c:v>
                </c:pt>
                <c:pt idx="1633">
                  <c:v>2.4613771846090034E-2</c:v>
                </c:pt>
                <c:pt idx="1634">
                  <c:v>2.4612313803464271E-2</c:v>
                </c:pt>
                <c:pt idx="1635">
                  <c:v>2.4610873359966746E-2</c:v>
                </c:pt>
                <c:pt idx="1636">
                  <c:v>2.4609450515580087E-2</c:v>
                </c:pt>
                <c:pt idx="1637">
                  <c:v>2.4607303042883812E-2</c:v>
                </c:pt>
                <c:pt idx="1638">
                  <c:v>2.4605914234223647E-2</c:v>
                </c:pt>
                <c:pt idx="1639">
                  <c:v>2.4604543023413694E-2</c:v>
                </c:pt>
                <c:pt idx="1640">
                  <c:v>2.4603189410438143E-2</c:v>
                </c:pt>
                <c:pt idx="1641">
                  <c:v>2.4601853395275028E-2</c:v>
                </c:pt>
                <c:pt idx="1642">
                  <c:v>2.4601283029535209E-2</c:v>
                </c:pt>
                <c:pt idx="1643">
                  <c:v>2.4599983378401542E-2</c:v>
                </c:pt>
                <c:pt idx="1644">
                  <c:v>2.4598701326232767E-2</c:v>
                </c:pt>
                <c:pt idx="1645">
                  <c:v>2.4597436873012374E-2</c:v>
                </c:pt>
                <c:pt idx="1646">
                  <c:v>2.4596190018721258E-2</c:v>
                </c:pt>
                <c:pt idx="1647">
                  <c:v>2.4596295178315256E-2</c:v>
                </c:pt>
                <c:pt idx="1648">
                  <c:v>2.4593749106864272E-2</c:v>
                </c:pt>
                <c:pt idx="1649">
                  <c:v>2.4593899194419712E-2</c:v>
                </c:pt>
                <c:pt idx="1650">
                  <c:v>2.4589863871530504E-2</c:v>
                </c:pt>
                <c:pt idx="1651">
                  <c:v>2.4588702655681693E-2</c:v>
                </c:pt>
                <c:pt idx="1652">
                  <c:v>2.4587559036266526E-2</c:v>
                </c:pt>
                <c:pt idx="1653">
                  <c:v>2.4586433013267239E-2</c:v>
                </c:pt>
                <c:pt idx="1654">
                  <c:v>2.4584543626686717E-2</c:v>
                </c:pt>
                <c:pt idx="1655">
                  <c:v>2.4584079360012723E-2</c:v>
                </c:pt>
                <c:pt idx="1656">
                  <c:v>2.4583008639943671E-2</c:v>
                </c:pt>
                <c:pt idx="1657">
                  <c:v>2.4581955516230991E-2</c:v>
                </c:pt>
                <c:pt idx="1658">
                  <c:v>2.4580919988863137E-2</c:v>
                </c:pt>
                <c:pt idx="1659">
                  <c:v>2.4579134105944204E-2</c:v>
                </c:pt>
                <c:pt idx="1660">
                  <c:v>2.4578132582518217E-2</c:v>
                </c:pt>
                <c:pt idx="1661">
                  <c:v>2.4577148654193332E-2</c:v>
                </c:pt>
                <c:pt idx="1662">
                  <c:v>2.4576182320961471E-2</c:v>
                </c:pt>
                <c:pt idx="1663">
                  <c:v>2.4579098641984164E-2</c:v>
                </c:pt>
                <c:pt idx="1664">
                  <c:v>2.4578173468079868E-2</c:v>
                </c:pt>
                <c:pt idx="1665">
                  <c:v>2.4577265895224701E-2</c:v>
                </c:pt>
                <c:pt idx="1666">
                  <c:v>2.4576375923406758E-2</c:v>
                </c:pt>
                <c:pt idx="1667">
                  <c:v>2.4573169720548182E-2</c:v>
                </c:pt>
                <c:pt idx="1668">
                  <c:v>2.4571828760287549E-2</c:v>
                </c:pt>
                <c:pt idx="1669">
                  <c:v>2.4571470585595886E-2</c:v>
                </c:pt>
                <c:pt idx="1670">
                  <c:v>2.457064741421779E-2</c:v>
                </c:pt>
                <c:pt idx="1671">
                  <c:v>2.456984184022171E-2</c:v>
                </c:pt>
                <c:pt idx="1672">
                  <c:v>2.4571405713615792E-2</c:v>
                </c:pt>
                <c:pt idx="1673">
                  <c:v>2.4570638948731866E-2</c:v>
                </c:pt>
                <c:pt idx="1674">
                  <c:v>2.4569889784795022E-2</c:v>
                </c:pt>
                <c:pt idx="1675">
                  <c:v>2.4569946091845048E-2</c:v>
                </c:pt>
                <c:pt idx="1676">
                  <c:v>2.4569233338492286E-2</c:v>
                </c:pt>
                <c:pt idx="1677">
                  <c:v>2.4567747898558139E-2</c:v>
                </c:pt>
                <c:pt idx="1678">
                  <c:v>2.4567069138305028E-2</c:v>
                </c:pt>
                <c:pt idx="1679">
                  <c:v>2.456640797895138E-2</c:v>
                </c:pt>
                <c:pt idx="1680">
                  <c:v>2.4565764420485286E-2</c:v>
                </c:pt>
                <c:pt idx="1681">
                  <c:v>2.4565933603255236E-2</c:v>
                </c:pt>
                <c:pt idx="1682">
                  <c:v>2.4564530106186006E-2</c:v>
                </c:pt>
                <c:pt idx="1683">
                  <c:v>2.4563939350333259E-2</c:v>
                </c:pt>
                <c:pt idx="1684">
                  <c:v>2.4563366195336604E-2</c:v>
                </c:pt>
                <c:pt idx="1685">
                  <c:v>2.4562810641184988E-2</c:v>
                </c:pt>
                <c:pt idx="1686">
                  <c:v>2.4562272687875003E-2</c:v>
                </c:pt>
                <c:pt idx="1687">
                  <c:v>2.4561752335395599E-2</c:v>
                </c:pt>
                <c:pt idx="1688">
                  <c:v>2.4561249583741677E-2</c:v>
                </c:pt>
                <c:pt idx="1689">
                  <c:v>2.4558350649793493E-2</c:v>
                </c:pt>
                <c:pt idx="1690">
                  <c:v>2.4557879424315514E-2</c:v>
                </c:pt>
                <c:pt idx="1691">
                  <c:v>2.455742579605177E-2</c:v>
                </c:pt>
                <c:pt idx="1692">
                  <c:v>2.4556989764996116E-2</c:v>
                </c:pt>
                <c:pt idx="1693">
                  <c:v>2.4556571331142394E-2</c:v>
                </c:pt>
                <c:pt idx="1694">
                  <c:v>2.4558602690767938E-2</c:v>
                </c:pt>
                <c:pt idx="1695">
                  <c:v>2.4559035416757431E-2</c:v>
                </c:pt>
                <c:pt idx="1696">
                  <c:v>2.455786119942557E-2</c:v>
                </c:pt>
                <c:pt idx="1697">
                  <c:v>2.4557516854913516E-2</c:v>
                </c:pt>
                <c:pt idx="1698">
                  <c:v>2.4557189944025368E-2</c:v>
                </c:pt>
                <c:pt idx="1699">
                  <c:v>2.4555117171468393E-2</c:v>
                </c:pt>
                <c:pt idx="1700">
                  <c:v>2.4557402738859709E-2</c:v>
                </c:pt>
                <c:pt idx="1701">
                  <c:v>2.4556304787345502E-2</c:v>
                </c:pt>
                <c:pt idx="1702">
                  <c:v>2.4553580808924842E-2</c:v>
                </c:pt>
                <c:pt idx="1703">
                  <c:v>2.455332498479549E-2</c:v>
                </c:pt>
                <c:pt idx="1704">
                  <c:v>2.4553080987453596E-2</c:v>
                </c:pt>
                <c:pt idx="1705">
                  <c:v>2.4552847781189626E-2</c:v>
                </c:pt>
                <c:pt idx="1706">
                  <c:v>2.4551803261849692E-2</c:v>
                </c:pt>
                <c:pt idx="1707">
                  <c:v>2.4552409599059046E-2</c:v>
                </c:pt>
                <c:pt idx="1708">
                  <c:v>2.4552202551775992E-2</c:v>
                </c:pt>
                <c:pt idx="1709">
                  <c:v>2.4552002152737968E-2</c:v>
                </c:pt>
                <c:pt idx="1710">
                  <c:v>2.4551807366235436E-2</c:v>
                </c:pt>
                <c:pt idx="1711">
                  <c:v>2.4550794546271071E-2</c:v>
                </c:pt>
                <c:pt idx="1712">
                  <c:v>2.4550608232805082E-2</c:v>
                </c:pt>
                <c:pt idx="1713">
                  <c:v>2.4550426052011076E-2</c:v>
                </c:pt>
                <c:pt idx="1714">
                  <c:v>2.4550248003889941E-2</c:v>
                </c:pt>
                <c:pt idx="1715">
                  <c:v>2.4553369572428423E-2</c:v>
                </c:pt>
                <c:pt idx="1716">
                  <c:v>2.4553200924554885E-2</c:v>
                </c:pt>
                <c:pt idx="1717">
                  <c:v>2.4553036410474228E-2</c:v>
                </c:pt>
                <c:pt idx="1718">
                  <c:v>2.4552876030189005E-2</c:v>
                </c:pt>
                <c:pt idx="1719">
                  <c:v>2.4550156748082509E-2</c:v>
                </c:pt>
                <c:pt idx="1720">
                  <c:v>2.4550091696737976E-2</c:v>
                </c:pt>
                <c:pt idx="1721">
                  <c:v>2.4549942862375999E-2</c:v>
                </c:pt>
                <c:pt idx="1722">
                  <c:v>2.4549798160962949E-2</c:v>
                </c:pt>
                <c:pt idx="1723">
                  <c:v>2.4549657592497071E-2</c:v>
                </c:pt>
                <c:pt idx="1724">
                  <c:v>2.4552000558112894E-2</c:v>
                </c:pt>
                <c:pt idx="1725">
                  <c:v>2.4551869114368494E-2</c:v>
                </c:pt>
                <c:pt idx="1726">
                  <c:v>2.4551741804414426E-2</c:v>
                </c:pt>
                <c:pt idx="1727">
                  <c:v>2.4552446084787263E-2</c:v>
                </c:pt>
                <c:pt idx="1728">
                  <c:v>2.4552327329609779E-2</c:v>
                </c:pt>
                <c:pt idx="1729">
                  <c:v>2.4551384677289959E-2</c:v>
                </c:pt>
                <c:pt idx="1730">
                  <c:v>2.4551273902491261E-2</c:v>
                </c:pt>
                <c:pt idx="1731">
                  <c:v>2.4551167261482047E-2</c:v>
                </c:pt>
                <c:pt idx="1732">
                  <c:v>2.454857845890843E-2</c:v>
                </c:pt>
                <c:pt idx="1733">
                  <c:v>2.455179556476457E-2</c:v>
                </c:pt>
                <c:pt idx="1734">
                  <c:v>2.4550872141178532E-2</c:v>
                </c:pt>
                <c:pt idx="1735">
                  <c:v>2.4550782035317038E-2</c:v>
                </c:pt>
                <c:pt idx="1736">
                  <c:v>2.4550696063244174E-2</c:v>
                </c:pt>
                <c:pt idx="1737">
                  <c:v>2.4550614224954834E-2</c:v>
                </c:pt>
                <c:pt idx="1738">
                  <c:v>2.4551367151622136E-2</c:v>
                </c:pt>
                <c:pt idx="1739">
                  <c:v>2.4550462949736951E-2</c:v>
                </c:pt>
                <c:pt idx="1740">
                  <c:v>2.4550393512805004E-2</c:v>
                </c:pt>
                <c:pt idx="1741">
                  <c:v>2.4547834093825452E-2</c:v>
                </c:pt>
                <c:pt idx="1742">
                  <c:v>2.4547772051307516E-2</c:v>
                </c:pt>
                <c:pt idx="1743">
                  <c:v>2.4547714141730601E-2</c:v>
                </c:pt>
                <c:pt idx="1744">
                  <c:v>2.4547660365097344E-2</c:v>
                </c:pt>
                <c:pt idx="1745">
                  <c:v>2.4550108334924544E-2</c:v>
                </c:pt>
                <c:pt idx="1746">
                  <c:v>2.4550063700701417E-2</c:v>
                </c:pt>
                <c:pt idx="1747">
                  <c:v>2.4550023200262672E-2</c:v>
                </c:pt>
                <c:pt idx="1748">
                  <c:v>2.4550820380315166E-2</c:v>
                </c:pt>
                <c:pt idx="1749">
                  <c:v>2.4549954600739162E-2</c:v>
                </c:pt>
                <c:pt idx="1750">
                  <c:v>2.4549926501652698E-2</c:v>
                </c:pt>
                <c:pt idx="1751">
                  <c:v>2.4549902536349765E-2</c:v>
                </c:pt>
                <c:pt idx="1752">
                  <c:v>2.455071742561777E-2</c:v>
                </c:pt>
                <c:pt idx="1753">
                  <c:v>2.4549867007094484E-2</c:v>
                </c:pt>
                <c:pt idx="1754">
                  <c:v>2.4546514864924873E-2</c:v>
                </c:pt>
                <c:pt idx="1755">
                  <c:v>2.4546506256015732E-2</c:v>
                </c:pt>
                <c:pt idx="1756">
                  <c:v>2.4546501779767915E-2</c:v>
                </c:pt>
                <c:pt idx="1757">
                  <c:v>2.4546501436176982E-2</c:v>
                </c:pt>
                <c:pt idx="1758">
                  <c:v>2.4544835607659916E-2</c:v>
                </c:pt>
                <c:pt idx="1759">
                  <c:v>2.4547354455467411E-2</c:v>
                </c:pt>
                <c:pt idx="1760">
                  <c:v>2.4547368577146182E-2</c:v>
                </c:pt>
                <c:pt idx="1761">
                  <c:v>2.4547389776952047E-2</c:v>
                </c:pt>
                <c:pt idx="1762">
                  <c:v>2.4547409219326792E-2</c:v>
                </c:pt>
                <c:pt idx="1763">
                  <c:v>2.4548273640822741E-2</c:v>
                </c:pt>
                <c:pt idx="1764">
                  <c:v>2.4547466393269733E-2</c:v>
                </c:pt>
                <c:pt idx="1765">
                  <c:v>2.4546668014514772E-2</c:v>
                </c:pt>
                <c:pt idx="1766">
                  <c:v>2.4548378892758606E-2</c:v>
                </c:pt>
                <c:pt idx="1767">
                  <c:v>2.4548422243180119E-2</c:v>
                </c:pt>
                <c:pt idx="1768">
                  <c:v>2.4548469726824961E-2</c:v>
                </c:pt>
                <c:pt idx="1769">
                  <c:v>2.4548521343692262E-2</c:v>
                </c:pt>
                <c:pt idx="1770">
                  <c:v>2.4548577093781155E-2</c:v>
                </c:pt>
                <c:pt idx="1771">
                  <c:v>2.4547796689720142E-2</c:v>
                </c:pt>
                <c:pt idx="1772">
                  <c:v>2.4547860406693819E-2</c:v>
                </c:pt>
                <c:pt idx="1773">
                  <c:v>2.4547928256610275E-2</c:v>
                </c:pt>
                <c:pt idx="1774">
                  <c:v>2.4548021565110541E-2</c:v>
                </c:pt>
                <c:pt idx="1775">
                  <c:v>2.4548076355268886E-2</c:v>
                </c:pt>
                <c:pt idx="1776">
                  <c:v>2.4549010236472435E-2</c:v>
                </c:pt>
                <c:pt idx="1777">
                  <c:v>2.4549083074659223E-2</c:v>
                </c:pt>
                <c:pt idx="1778">
                  <c:v>2.4549171890536483E-2</c:v>
                </c:pt>
                <c:pt idx="1779">
                  <c:v>2.4549278455488127E-2</c:v>
                </c:pt>
                <c:pt idx="1780">
                  <c:v>2.4549361921967074E-2</c:v>
                </c:pt>
                <c:pt idx="1781">
                  <c:v>2.4549463137518667E-2</c:v>
                </c:pt>
                <c:pt idx="1782">
                  <c:v>2.454956848629793E-2</c:v>
                </c:pt>
                <c:pt idx="1783">
                  <c:v>2.4549677968301393E-2</c:v>
                </c:pt>
                <c:pt idx="1784">
                  <c:v>2.4549791583532529E-2</c:v>
                </c:pt>
                <c:pt idx="1785">
                  <c:v>2.4549909331988733E-2</c:v>
                </c:pt>
                <c:pt idx="1786">
                  <c:v>2.4550031213672611E-2</c:v>
                </c:pt>
                <c:pt idx="1787">
                  <c:v>2.4550157228584158E-2</c:v>
                </c:pt>
                <c:pt idx="1788">
                  <c:v>2.4550287376723382E-2</c:v>
                </c:pt>
                <c:pt idx="1789">
                  <c:v>2.4550421658090276E-2</c:v>
                </c:pt>
                <c:pt idx="1790">
                  <c:v>2.4550560072685714E-2</c:v>
                </c:pt>
                <c:pt idx="1791">
                  <c:v>2.4550702620511431E-2</c:v>
                </c:pt>
                <c:pt idx="1792">
                  <c:v>2.4550870593407024E-2</c:v>
                </c:pt>
                <c:pt idx="1793">
                  <c:v>2.4550175011848394E-2</c:v>
                </c:pt>
                <c:pt idx="1794">
                  <c:v>2.4550307814975129E-2</c:v>
                </c:pt>
                <c:pt idx="1795">
                  <c:v>2.4550466589695973E-2</c:v>
                </c:pt>
                <c:pt idx="1796">
                  <c:v>2.4550629497365747E-2</c:v>
                </c:pt>
                <c:pt idx="1797">
                  <c:v>2.4551644705294657E-2</c:v>
                </c:pt>
                <c:pt idx="1798">
                  <c:v>2.455181618573668E-2</c:v>
                </c:pt>
                <c:pt idx="1799">
                  <c:v>2.4552017224484936E-2</c:v>
                </c:pt>
                <c:pt idx="1800">
                  <c:v>2.4552171546318509E-2</c:v>
                </c:pt>
                <c:pt idx="1801">
                  <c:v>2.4552355426460056E-2</c:v>
                </c:pt>
                <c:pt idx="1802">
                  <c:v>2.4552543439837097E-2</c:v>
                </c:pt>
                <c:pt idx="1803">
                  <c:v>2.4552763373370222E-2</c:v>
                </c:pt>
                <c:pt idx="1804">
                  <c:v>2.455293186629592E-2</c:v>
                </c:pt>
                <c:pt idx="1805">
                  <c:v>2.4553132279380309E-2</c:v>
                </c:pt>
                <c:pt idx="1806">
                  <c:v>2.4552485886452154E-2</c:v>
                </c:pt>
                <c:pt idx="1807">
                  <c:v>2.4552694256611961E-2</c:v>
                </c:pt>
                <c:pt idx="1808">
                  <c:v>2.455290675972948E-2</c:v>
                </c:pt>
                <c:pt idx="1809">
                  <c:v>2.4553123395803834E-2</c:v>
                </c:pt>
                <c:pt idx="1810">
                  <c:v>2.4552523886049116E-2</c:v>
                </c:pt>
                <c:pt idx="1811">
                  <c:v>2.4553601533071637E-2</c:v>
                </c:pt>
                <c:pt idx="1812">
                  <c:v>2.4552978382513579E-2</c:v>
                </c:pt>
                <c:pt idx="1813">
                  <c:v>2.4553211829764443E-2</c:v>
                </c:pt>
                <c:pt idx="1814">
                  <c:v>2.4553449409697059E-2</c:v>
                </c:pt>
                <c:pt idx="1815">
                  <c:v>2.4554544832341541E-2</c:v>
                </c:pt>
                <c:pt idx="1816">
                  <c:v>2.4553936967603995E-2</c:v>
                </c:pt>
                <c:pt idx="1817">
                  <c:v>2.4554186945580092E-2</c:v>
                </c:pt>
                <c:pt idx="1818">
                  <c:v>2.455529570290375E-2</c:v>
                </c:pt>
                <c:pt idx="1819">
                  <c:v>2.4556409287096799E-2</c:v>
                </c:pt>
                <c:pt idx="1820">
                  <c:v>2.4556672289275966E-2</c:v>
                </c:pt>
                <c:pt idx="1821">
                  <c:v>2.4556939424701919E-2</c:v>
                </c:pt>
                <c:pt idx="1822">
                  <c:v>2.4557210693378136E-2</c:v>
                </c:pt>
                <c:pt idx="1823">
                  <c:v>2.4556629813157229E-2</c:v>
                </c:pt>
                <c:pt idx="1824">
                  <c:v>2.4556989570646962E-2</c:v>
                </c:pt>
                <c:pt idx="1825">
                  <c:v>2.4557274105422484E-2</c:v>
                </c:pt>
                <c:pt idx="1826">
                  <c:v>2.4557562773168014E-2</c:v>
                </c:pt>
                <c:pt idx="1827">
                  <c:v>2.455871320467265E-2</c:v>
                </c:pt>
                <c:pt idx="1828">
                  <c:v>2.4559010453792749E-2</c:v>
                </c:pt>
                <c:pt idx="1829">
                  <c:v>2.455931183616572E-2</c:v>
                </c:pt>
                <c:pt idx="1830">
                  <c:v>2.4559617351798513E-2</c:v>
                </c:pt>
                <c:pt idx="1831">
                  <c:v>2.4559927000686783E-2</c:v>
                </c:pt>
                <c:pt idx="1832">
                  <c:v>2.4560240782833136E-2</c:v>
                </c:pt>
                <c:pt idx="1833">
                  <c:v>2.4560558698240177E-2</c:v>
                </c:pt>
                <c:pt idx="1834">
                  <c:v>2.4560880746906173E-2</c:v>
                </c:pt>
                <c:pt idx="1835">
                  <c:v>2.4561206928834598E-2</c:v>
                </c:pt>
                <c:pt idx="1836">
                  <c:v>2.4561537244026318E-2</c:v>
                </c:pt>
                <c:pt idx="1837">
                  <c:v>2.4561871692480468E-2</c:v>
                </c:pt>
                <c:pt idx="1838">
                  <c:v>2.456221027419965E-2</c:v>
                </c:pt>
                <c:pt idx="1839">
                  <c:v>2.4562552989185606E-2</c:v>
                </c:pt>
                <c:pt idx="1840">
                  <c:v>2.4562899837437466E-2</c:v>
                </c:pt>
                <c:pt idx="1841">
                  <c:v>2.4563250818956966E-2</c:v>
                </c:pt>
                <c:pt idx="1842">
                  <c:v>2.4563605933744976E-2</c:v>
                </c:pt>
                <c:pt idx="1843">
                  <c:v>2.4563965181804103E-2</c:v>
                </c:pt>
                <c:pt idx="1844">
                  <c:v>2.4564328563134345E-2</c:v>
                </c:pt>
                <c:pt idx="1845">
                  <c:v>2.4563832726210929E-2</c:v>
                </c:pt>
                <c:pt idx="1846">
                  <c:v>2.4564204053592956E-2</c:v>
                </c:pt>
                <c:pt idx="1847">
                  <c:v>2.4564579513968714E-2</c:v>
                </c:pt>
                <c:pt idx="1848">
                  <c:v>2.4568416781984823E-2</c:v>
                </c:pt>
                <c:pt idx="1849">
                  <c:v>2.4566207468892282E-2</c:v>
                </c:pt>
                <c:pt idx="1850">
                  <c:v>2.4566595649873554E-2</c:v>
                </c:pt>
                <c:pt idx="1851">
                  <c:v>2.456698796413637E-2</c:v>
                </c:pt>
                <c:pt idx="1852">
                  <c:v>2.456738441167812E-2</c:v>
                </c:pt>
                <c:pt idx="1853">
                  <c:v>2.4567784992502284E-2</c:v>
                </c:pt>
                <c:pt idx="1854">
                  <c:v>2.4568189706608859E-2</c:v>
                </c:pt>
                <c:pt idx="1855">
                  <c:v>2.4568598554001321E-2</c:v>
                </c:pt>
                <c:pt idx="1856">
                  <c:v>2.4569011534677936E-2</c:v>
                </c:pt>
                <c:pt idx="1857">
                  <c:v>2.4568621311478141E-2</c:v>
                </c:pt>
                <c:pt idx="1858">
                  <c:v>2.4568114886361236E-2</c:v>
                </c:pt>
                <c:pt idx="1859">
                  <c:v>2.4568539618634588E-2</c:v>
                </c:pt>
                <c:pt idx="1860">
                  <c:v>2.4568968483635878E-2</c:v>
                </c:pt>
                <c:pt idx="1861">
                  <c:v>2.4571388091523167E-2</c:v>
                </c:pt>
                <c:pt idx="1862">
                  <c:v>2.4569901396402472E-2</c:v>
                </c:pt>
                <c:pt idx="1863">
                  <c:v>2.4570279875019807E-2</c:v>
                </c:pt>
                <c:pt idx="1864">
                  <c:v>2.4570725270945282E-2</c:v>
                </c:pt>
                <c:pt idx="1865">
                  <c:v>2.4571174799603135E-2</c:v>
                </c:pt>
                <c:pt idx="1866">
                  <c:v>2.4571628460998696E-2</c:v>
                </c:pt>
                <c:pt idx="1867">
                  <c:v>2.4571215928992338E-2</c:v>
                </c:pt>
                <c:pt idx="1868">
                  <c:v>2.457167752925507E-2</c:v>
                </c:pt>
                <c:pt idx="1869">
                  <c:v>2.4572143261975772E-2</c:v>
                </c:pt>
                <c:pt idx="1870">
                  <c:v>2.4572613127156244E-2</c:v>
                </c:pt>
                <c:pt idx="1871">
                  <c:v>2.45757022400581E-2</c:v>
                </c:pt>
                <c:pt idx="1872">
                  <c:v>2.457618135349398E-2</c:v>
                </c:pt>
                <c:pt idx="1873">
                  <c:v>2.4576664600240949E-2</c:v>
                </c:pt>
                <c:pt idx="1874">
                  <c:v>2.4577151980297262E-2</c:v>
                </c:pt>
                <c:pt idx="1875">
                  <c:v>2.457677040477808E-2</c:v>
                </c:pt>
                <c:pt idx="1876">
                  <c:v>2.4577265722514795E-2</c:v>
                </c:pt>
                <c:pt idx="1877">
                  <c:v>2.457776517328477E-2</c:v>
                </c:pt>
                <c:pt idx="1878">
                  <c:v>2.4578268757088875E-2</c:v>
                </c:pt>
                <c:pt idx="1879">
                  <c:v>2.4579650880307655E-2</c:v>
                </c:pt>
                <c:pt idx="1880">
                  <c:v>2.4580163060265232E-2</c:v>
                </c:pt>
                <c:pt idx="1881">
                  <c:v>2.4580679373544318E-2</c:v>
                </c:pt>
                <c:pt idx="1882">
                  <c:v>2.4581199820148395E-2</c:v>
                </c:pt>
                <c:pt idx="1883">
                  <c:v>2.4581724400077453E-2</c:v>
                </c:pt>
                <c:pt idx="1884">
                  <c:v>2.4582253113334108E-2</c:v>
                </c:pt>
                <c:pt idx="1885">
                  <c:v>2.4582785959919223E-2</c:v>
                </c:pt>
                <c:pt idx="1886">
                  <c:v>2.4583322939835409E-2</c:v>
                </c:pt>
                <c:pt idx="1887">
                  <c:v>2.4583864053082664E-2</c:v>
                </c:pt>
                <c:pt idx="1888">
                  <c:v>2.4584409299663591E-2</c:v>
                </c:pt>
                <c:pt idx="1889">
                  <c:v>2.4584958679580802E-2</c:v>
                </c:pt>
                <c:pt idx="1890">
                  <c:v>2.4585512192835161E-2</c:v>
                </c:pt>
                <c:pt idx="1891">
                  <c:v>2.4586069839430152E-2</c:v>
                </c:pt>
                <c:pt idx="1892">
                  <c:v>2.4586631619364026E-2</c:v>
                </c:pt>
                <c:pt idx="1893">
                  <c:v>2.4587197532642005E-2</c:v>
                </c:pt>
                <c:pt idx="1894">
                  <c:v>2.4587767579263217E-2</c:v>
                </c:pt>
                <c:pt idx="1895">
                  <c:v>2.4588341759230265E-2</c:v>
                </c:pt>
                <c:pt idx="1896">
                  <c:v>2.4588920072544894E-2</c:v>
                </c:pt>
                <c:pt idx="1897">
                  <c:v>2.4588622128262013E-2</c:v>
                </c:pt>
                <c:pt idx="1898">
                  <c:v>2.4589208373119505E-2</c:v>
                </c:pt>
                <c:pt idx="1899">
                  <c:v>2.4589798751048907E-2</c:v>
                </c:pt>
                <c:pt idx="1900">
                  <c:v>2.4590393262049336E-2</c:v>
                </c:pt>
                <c:pt idx="1901">
                  <c:v>2.4594519272036344E-2</c:v>
                </c:pt>
                <c:pt idx="1902">
                  <c:v>2.4592476752851686E-2</c:v>
                </c:pt>
                <c:pt idx="1903">
                  <c:v>2.4593083999653226E-2</c:v>
                </c:pt>
                <c:pt idx="1904">
                  <c:v>2.459369537981972E-2</c:v>
                </c:pt>
                <c:pt idx="1905">
                  <c:v>2.4594310893351165E-2</c:v>
                </c:pt>
                <c:pt idx="1906">
                  <c:v>2.4594930540249308E-2</c:v>
                </c:pt>
                <c:pt idx="1907">
                  <c:v>2.4595554320515876E-2</c:v>
                </c:pt>
                <c:pt idx="1908">
                  <c:v>2.4596182234153482E-2</c:v>
                </c:pt>
                <c:pt idx="1909">
                  <c:v>2.4598674088164792E-2</c:v>
                </c:pt>
                <c:pt idx="1910">
                  <c:v>2.4596565691487233E-2</c:v>
                </c:pt>
                <c:pt idx="1911">
                  <c:v>2.4597205666414792E-2</c:v>
                </c:pt>
                <c:pt idx="1912">
                  <c:v>2.4597849774438851E-2</c:v>
                </c:pt>
                <c:pt idx="1913">
                  <c:v>2.4598498015562048E-2</c:v>
                </c:pt>
                <c:pt idx="1914">
                  <c:v>2.4599150389782626E-2</c:v>
                </c:pt>
                <c:pt idx="1915">
                  <c:v>2.4599806897105857E-2</c:v>
                </c:pt>
                <c:pt idx="1916">
                  <c:v>2.4600467537533494E-2</c:v>
                </c:pt>
                <c:pt idx="1917">
                  <c:v>2.460113231106642E-2</c:v>
                </c:pt>
                <c:pt idx="1918">
                  <c:v>2.4601801217708143E-2</c:v>
                </c:pt>
                <c:pt idx="1919">
                  <c:v>2.4601586500610395E-2</c:v>
                </c:pt>
                <c:pt idx="1920">
                  <c:v>2.4602263332138996E-2</c:v>
                </c:pt>
                <c:pt idx="1921">
                  <c:v>2.4602944296499452E-2</c:v>
                </c:pt>
                <c:pt idx="1922">
                  <c:v>2.4603629393690873E-2</c:v>
                </c:pt>
                <c:pt idx="1923">
                  <c:v>2.4606096944573108E-2</c:v>
                </c:pt>
                <c:pt idx="1924">
                  <c:v>2.4606790992420996E-2</c:v>
                </c:pt>
                <c:pt idx="1925">
                  <c:v>2.460748917367294E-2</c:v>
                </c:pt>
                <c:pt idx="1926">
                  <c:v>2.4608191488333282E-2</c:v>
                </c:pt>
                <c:pt idx="1927">
                  <c:v>2.4608007367695032E-2</c:v>
                </c:pt>
                <c:pt idx="1928">
                  <c:v>2.460871760553544E-2</c:v>
                </c:pt>
                <c:pt idx="1929">
                  <c:v>2.4609431976505731E-2</c:v>
                </c:pt>
                <c:pt idx="1930">
                  <c:v>2.4610150480610295E-2</c:v>
                </c:pt>
                <c:pt idx="1931">
                  <c:v>2.4610873117852646E-2</c:v>
                </c:pt>
                <c:pt idx="1932">
                  <c:v>2.4612492177997675E-2</c:v>
                </c:pt>
                <c:pt idx="1933">
                  <c:v>2.4613223426578491E-2</c:v>
                </c:pt>
                <c:pt idx="1934">
                  <c:v>2.4613958808585953E-2</c:v>
                </c:pt>
                <c:pt idx="1935">
                  <c:v>2.4614698324023538E-2</c:v>
                </c:pt>
                <c:pt idx="1936">
                  <c:v>2.46154419728895E-2</c:v>
                </c:pt>
                <c:pt idx="1937">
                  <c:v>2.461618975519167E-2</c:v>
                </c:pt>
                <c:pt idx="1938">
                  <c:v>2.4616941670928299E-2</c:v>
                </c:pt>
                <c:pt idx="1939">
                  <c:v>2.4617697720102E-2</c:v>
                </c:pt>
                <c:pt idx="1940">
                  <c:v>2.4618457902717116E-2</c:v>
                </c:pt>
                <c:pt idx="1941">
                  <c:v>2.4619222218775386E-2</c:v>
                </c:pt>
                <c:pt idx="1942">
                  <c:v>2.4619990668278548E-2</c:v>
                </c:pt>
                <c:pt idx="1943">
                  <c:v>2.4620763251229204E-2</c:v>
                </c:pt>
                <c:pt idx="1944">
                  <c:v>2.4621539967629967E-2</c:v>
                </c:pt>
                <c:pt idx="1945">
                  <c:v>2.4622320817483438E-2</c:v>
                </c:pt>
                <c:pt idx="1946">
                  <c:v>2.4625797684611289E-2</c:v>
                </c:pt>
                <c:pt idx="1947">
                  <c:v>2.4623894917557204E-2</c:v>
                </c:pt>
                <c:pt idx="1948">
                  <c:v>2.462468816778271E-2</c:v>
                </c:pt>
                <c:pt idx="1949">
                  <c:v>2.4624587357113353E-2</c:v>
                </c:pt>
                <c:pt idx="1950">
                  <c:v>2.4625388524384777E-2</c:v>
                </c:pt>
                <c:pt idx="1951">
                  <c:v>2.4626193824840548E-2</c:v>
                </c:pt>
                <c:pt idx="1952">
                  <c:v>2.462700325848154E-2</c:v>
                </c:pt>
                <c:pt idx="1953">
                  <c:v>2.4627816825311268E-2</c:v>
                </c:pt>
                <c:pt idx="1954">
                  <c:v>2.4629534471938084E-2</c:v>
                </c:pt>
                <c:pt idx="1955">
                  <c:v>2.4630356656453335E-2</c:v>
                </c:pt>
                <c:pt idx="1956">
                  <c:v>2.4631182974449974E-2</c:v>
                </c:pt>
                <c:pt idx="1957">
                  <c:v>2.463201342592973E-2</c:v>
                </c:pt>
                <c:pt idx="1958">
                  <c:v>2.4632847956749832E-2</c:v>
                </c:pt>
                <c:pt idx="1959">
                  <c:v>2.4633685603308902E-2</c:v>
                </c:pt>
                <c:pt idx="1960">
                  <c:v>2.4634524647365742E-2</c:v>
                </c:pt>
                <c:pt idx="1961">
                  <c:v>2.4637284871691791E-2</c:v>
                </c:pt>
                <c:pt idx="1962">
                  <c:v>2.4634398883842223E-2</c:v>
                </c:pt>
                <c:pt idx="1963">
                  <c:v>2.4635232976609522E-2</c:v>
                </c:pt>
                <c:pt idx="1964">
                  <c:v>2.4636061796179831E-2</c:v>
                </c:pt>
                <c:pt idx="1965">
                  <c:v>2.4636883563013967E-2</c:v>
                </c:pt>
                <c:pt idx="1966">
                  <c:v>2.4638708818912822E-2</c:v>
                </c:pt>
                <c:pt idx="1967">
                  <c:v>2.4638612467808407E-2</c:v>
                </c:pt>
                <c:pt idx="1968">
                  <c:v>2.4639400483717822E-2</c:v>
                </c:pt>
                <c:pt idx="1969">
                  <c:v>2.4640174074496812E-2</c:v>
                </c:pt>
                <c:pt idx="1970">
                  <c:v>2.4640931460599091E-2</c:v>
                </c:pt>
                <c:pt idx="1971">
                  <c:v>2.4640779972062959E-2</c:v>
                </c:pt>
                <c:pt idx="1972">
                  <c:v>2.46415019955251E-2</c:v>
                </c:pt>
                <c:pt idx="1973">
                  <c:v>2.4642205273360168E-2</c:v>
                </c:pt>
                <c:pt idx="1974">
                  <c:v>2.4642889805559183E-2</c:v>
                </c:pt>
                <c:pt idx="1975">
                  <c:v>2.4647983654295467E-2</c:v>
                </c:pt>
                <c:pt idx="1976">
                  <c:v>2.4648624218863664E-2</c:v>
                </c:pt>
                <c:pt idx="1977">
                  <c:v>2.4649246031374084E-2</c:v>
                </c:pt>
                <c:pt idx="1978">
                  <c:v>2.4649849091813964E-2</c:v>
                </c:pt>
                <c:pt idx="1979">
                  <c:v>2.4647792380987649E-2</c:v>
                </c:pt>
                <c:pt idx="1980">
                  <c:v>2.4648678825927958E-2</c:v>
                </c:pt>
                <c:pt idx="1981">
                  <c:v>2.4648912548671093E-2</c:v>
                </c:pt>
                <c:pt idx="1982">
                  <c:v>2.4649444510121809E-2</c:v>
                </c:pt>
                <c:pt idx="1983">
                  <c:v>2.4652583112703647E-2</c:v>
                </c:pt>
                <c:pt idx="1984">
                  <c:v>2.4653073660562151E-2</c:v>
                </c:pt>
                <c:pt idx="1985">
                  <c:v>2.4653545456296548E-2</c:v>
                </c:pt>
                <c:pt idx="1986">
                  <c:v>2.4653998499900881E-2</c:v>
                </c:pt>
                <c:pt idx="1987">
                  <c:v>2.4655302519849029E-2</c:v>
                </c:pt>
                <c:pt idx="1988">
                  <c:v>2.4655716748008174E-2</c:v>
                </c:pt>
                <c:pt idx="1989">
                  <c:v>2.465524511786208E-2</c:v>
                </c:pt>
                <c:pt idx="1990">
                  <c:v>2.4655623152879839E-2</c:v>
                </c:pt>
                <c:pt idx="1991">
                  <c:v>2.4655982435736072E-2</c:v>
                </c:pt>
                <c:pt idx="1992">
                  <c:v>2.4653732968656906E-2</c:v>
                </c:pt>
                <c:pt idx="1993">
                  <c:v>2.4657506587246678E-2</c:v>
                </c:pt>
                <c:pt idx="1994">
                  <c:v>2.465694777128799E-2</c:v>
                </c:pt>
                <c:pt idx="1995">
                  <c:v>2.4657232045449649E-2</c:v>
                </c:pt>
                <c:pt idx="1996">
                  <c:v>2.4657497567428521E-2</c:v>
                </c:pt>
                <c:pt idx="1997">
                  <c:v>2.4657744337217805E-2</c:v>
                </c:pt>
                <c:pt idx="1998">
                  <c:v>2.4657972354814098E-2</c:v>
                </c:pt>
                <c:pt idx="1999">
                  <c:v>2.4658181620216549E-2</c:v>
                </c:pt>
                <c:pt idx="2000">
                  <c:v>2.4658372133420061E-2</c:v>
                </c:pt>
                <c:pt idx="2001">
                  <c:v>2.4655989599344931E-2</c:v>
                </c:pt>
                <c:pt idx="2002">
                  <c:v>2.4656146594312287E-2</c:v>
                </c:pt>
                <c:pt idx="2003">
                  <c:v>2.4656284840916781E-2</c:v>
                </c:pt>
                <c:pt idx="2004">
                  <c:v>2.4656404339152265E-2</c:v>
                </c:pt>
                <c:pt idx="2005">
                  <c:v>2.4656505089019617E-2</c:v>
                </c:pt>
                <c:pt idx="2006">
                  <c:v>2.4659121416338324E-2</c:v>
                </c:pt>
                <c:pt idx="2007">
                  <c:v>2.4660023926057342E-2</c:v>
                </c:pt>
                <c:pt idx="2008">
                  <c:v>2.4659221159630249E-2</c:v>
                </c:pt>
                <c:pt idx="2009">
                  <c:v>2.4659242902956537E-2</c:v>
                </c:pt>
                <c:pt idx="2010">
                  <c:v>2.4659245894067726E-2</c:v>
                </c:pt>
                <c:pt idx="2011">
                  <c:v>2.4657542703479942E-2</c:v>
                </c:pt>
                <c:pt idx="2012">
                  <c:v>2.4660032184960799E-2</c:v>
                </c:pt>
                <c:pt idx="2013">
                  <c:v>2.4659142354120898E-2</c:v>
                </c:pt>
                <c:pt idx="2014">
                  <c:v>2.465573392199083E-2</c:v>
                </c:pt>
                <c:pt idx="2015">
                  <c:v>2.4655648533135732E-2</c:v>
                </c:pt>
                <c:pt idx="2016">
                  <c:v>2.4655544397192308E-2</c:v>
                </c:pt>
                <c:pt idx="2017">
                  <c:v>2.4655421514158782E-2</c:v>
                </c:pt>
                <c:pt idx="2018">
                  <c:v>2.4656108735456018E-2</c:v>
                </c:pt>
                <c:pt idx="2019">
                  <c:v>2.4655119506834744E-2</c:v>
                </c:pt>
                <c:pt idx="2020">
                  <c:v>2.4654940382547785E-2</c:v>
                </c:pt>
                <c:pt idx="2021">
                  <c:v>2.4654742511180494E-2</c:v>
                </c:pt>
                <c:pt idx="2022">
                  <c:v>2.4654525892737311E-2</c:v>
                </c:pt>
                <c:pt idx="2023">
                  <c:v>2.4653468347249446E-2</c:v>
                </c:pt>
                <c:pt idx="2024">
                  <c:v>2.4653215590993968E-2</c:v>
                </c:pt>
                <c:pt idx="2025">
                  <c:v>2.465294408894975E-2</c:v>
                </c:pt>
                <c:pt idx="2026">
                  <c:v>2.4652653841122182E-2</c:v>
                </c:pt>
                <c:pt idx="2027">
                  <c:v>2.4656427655262849E-2</c:v>
                </c:pt>
                <c:pt idx="2028">
                  <c:v>2.4656093106782014E-2</c:v>
                </c:pt>
                <c:pt idx="2029">
                  <c:v>2.4655739806133704E-2</c:v>
                </c:pt>
                <c:pt idx="2030">
                  <c:v>2.4653523628448901E-2</c:v>
                </c:pt>
                <c:pt idx="2031">
                  <c:v>2.4652543908915688E-2</c:v>
                </c:pt>
                <c:pt idx="2032">
                  <c:v>2.4652138453157047E-2</c:v>
                </c:pt>
                <c:pt idx="2033">
                  <c:v>2.4651714249090011E-2</c:v>
                </c:pt>
                <c:pt idx="2034">
                  <c:v>2.4651271296721601E-2</c:v>
                </c:pt>
                <c:pt idx="2035">
                  <c:v>2.4650809596056207E-2</c:v>
                </c:pt>
                <c:pt idx="2036">
                  <c:v>2.4652741641360235E-2</c:v>
                </c:pt>
                <c:pt idx="2037">
                  <c:v>2.4652238323577887E-2</c:v>
                </c:pt>
                <c:pt idx="2038">
                  <c:v>2.4651716253683339E-2</c:v>
                </c:pt>
                <c:pt idx="2039">
                  <c:v>2.4651975282097189E-2</c:v>
                </c:pt>
                <c:pt idx="2040">
                  <c:v>2.465141433027998E-2</c:v>
                </c:pt>
                <c:pt idx="2041">
                  <c:v>2.4650037531405555E-2</c:v>
                </c:pt>
                <c:pt idx="2042">
                  <c:v>2.464944045314298E-2</c:v>
                </c:pt>
                <c:pt idx="2043">
                  <c:v>2.4648824622809869E-2</c:v>
                </c:pt>
                <c:pt idx="2044">
                  <c:v>2.4645810617906098E-2</c:v>
                </c:pt>
                <c:pt idx="2045">
                  <c:v>2.4648328270878692E-2</c:v>
                </c:pt>
                <c:pt idx="2046">
                  <c:v>2.4646864619476617E-2</c:v>
                </c:pt>
                <c:pt idx="2047">
                  <c:v>2.4646173780952359E-2</c:v>
                </c:pt>
                <c:pt idx="2048">
                  <c:v>2.4645464190405184E-2</c:v>
                </c:pt>
                <c:pt idx="2049">
                  <c:v>2.4644735847845305E-2</c:v>
                </c:pt>
                <c:pt idx="2050">
                  <c:v>2.4644773378467096E-2</c:v>
                </c:pt>
                <c:pt idx="2051">
                  <c:v>2.4643222906729937E-2</c:v>
                </c:pt>
                <c:pt idx="2052">
                  <c:v>2.4642438308196561E-2</c:v>
                </c:pt>
                <c:pt idx="2053">
                  <c:v>2.4639293034158672E-2</c:v>
                </c:pt>
                <c:pt idx="2054">
                  <c:v>2.463847511740808E-2</c:v>
                </c:pt>
                <c:pt idx="2055">
                  <c:v>2.4637638452540585E-2</c:v>
                </c:pt>
                <c:pt idx="2056">
                  <c:v>2.4636783039571113E-2</c:v>
                </c:pt>
                <c:pt idx="2057">
                  <c:v>2.463823403623875E-2</c:v>
                </c:pt>
                <c:pt idx="2058">
                  <c:v>2.4637336926074723E-2</c:v>
                </c:pt>
                <c:pt idx="2059">
                  <c:v>2.463642106401704E-2</c:v>
                </c:pt>
                <c:pt idx="2060">
                  <c:v>2.4636257100035166E-2</c:v>
                </c:pt>
                <c:pt idx="2061">
                  <c:v>2.4634533084272582E-2</c:v>
                </c:pt>
                <c:pt idx="2062">
                  <c:v>2.4633560966613021E-2</c:v>
                </c:pt>
                <c:pt idx="2063">
                  <c:v>2.4632570097114229E-2</c:v>
                </c:pt>
                <c:pt idx="2064">
                  <c:v>2.4632325499929476E-2</c:v>
                </c:pt>
                <c:pt idx="2065">
                  <c:v>2.4630532102659333E-2</c:v>
                </c:pt>
                <c:pt idx="2066">
                  <c:v>2.4626435163450644E-2</c:v>
                </c:pt>
                <c:pt idx="2067">
                  <c:v>2.462537493364092E-2</c:v>
                </c:pt>
                <c:pt idx="2068">
                  <c:v>2.4624295957165643E-2</c:v>
                </c:pt>
                <c:pt idx="2069">
                  <c:v>2.4623198234036359E-2</c:v>
                </c:pt>
                <c:pt idx="2070">
                  <c:v>2.4620084549916307E-2</c:v>
                </c:pt>
                <c:pt idx="2071">
                  <c:v>2.4621209213900278E-2</c:v>
                </c:pt>
                <c:pt idx="2072">
                  <c:v>2.4620799204865797E-2</c:v>
                </c:pt>
                <c:pt idx="2073">
                  <c:v>2.4617941338730631E-2</c:v>
                </c:pt>
                <c:pt idx="2074">
                  <c:v>2.4617662723542627E-2</c:v>
                </c:pt>
                <c:pt idx="2075">
                  <c:v>2.4617192207717874E-2</c:v>
                </c:pt>
                <c:pt idx="2076">
                  <c:v>2.4615204657504441E-2</c:v>
                </c:pt>
                <c:pt idx="2077">
                  <c:v>2.4613020185639378E-2</c:v>
                </c:pt>
                <c:pt idx="2078">
                  <c:v>2.4613416468880635E-2</c:v>
                </c:pt>
                <c:pt idx="2079">
                  <c:v>2.4612120391198936E-2</c:v>
                </c:pt>
                <c:pt idx="2080">
                  <c:v>2.4610805564513148E-2</c:v>
                </c:pt>
                <c:pt idx="2081">
                  <c:v>2.4609471988840649E-2</c:v>
                </c:pt>
                <c:pt idx="2082">
                  <c:v>2.4608119664202292E-2</c:v>
                </c:pt>
                <c:pt idx="2083">
                  <c:v>2.4606010872041395E-2</c:v>
                </c:pt>
                <c:pt idx="2084">
                  <c:v>2.4604622483338928E-2</c:v>
                </c:pt>
                <c:pt idx="2085">
                  <c:v>2.4602809864605137E-2</c:v>
                </c:pt>
                <c:pt idx="2086">
                  <c:v>2.4601789463044088E-2</c:v>
                </c:pt>
                <c:pt idx="2087">
                  <c:v>2.4600344831489488E-2</c:v>
                </c:pt>
                <c:pt idx="2088">
                  <c:v>2.4599401198945593E-2</c:v>
                </c:pt>
                <c:pt idx="2089">
                  <c:v>2.4598128422333661E-2</c:v>
                </c:pt>
                <c:pt idx="2090">
                  <c:v>2.4596626106681781E-2</c:v>
                </c:pt>
                <c:pt idx="2091">
                  <c:v>2.4594886216817425E-2</c:v>
                </c:pt>
                <c:pt idx="2092">
                  <c:v>2.4593565229053031E-2</c:v>
                </c:pt>
                <c:pt idx="2093">
                  <c:v>2.4592006667117871E-2</c:v>
                </c:pt>
                <c:pt idx="2094">
                  <c:v>2.4590429356467082E-2</c:v>
                </c:pt>
                <c:pt idx="2095">
                  <c:v>2.4588833297121526E-2</c:v>
                </c:pt>
                <c:pt idx="2096">
                  <c:v>2.458721848910379E-2</c:v>
                </c:pt>
                <c:pt idx="2097">
                  <c:v>2.4585584932437329E-2</c:v>
                </c:pt>
                <c:pt idx="2098">
                  <c:v>2.458393262714648E-2</c:v>
                </c:pt>
                <c:pt idx="2099">
                  <c:v>2.4582261573253831E-2</c:v>
                </c:pt>
                <c:pt idx="2100">
                  <c:v>2.4580571770783703E-2</c:v>
                </c:pt>
                <c:pt idx="2101">
                  <c:v>2.4578863219760435E-2</c:v>
                </c:pt>
                <c:pt idx="2102">
                  <c:v>2.457713592020835E-2</c:v>
                </c:pt>
                <c:pt idx="2103">
                  <c:v>2.4575389872150039E-2</c:v>
                </c:pt>
                <c:pt idx="2104">
                  <c:v>2.457337143133468E-2</c:v>
                </c:pt>
                <c:pt idx="2105">
                  <c:v>2.4570879535098549E-2</c:v>
                </c:pt>
                <c:pt idx="2106">
                  <c:v>2.4569334817270614E-2</c:v>
                </c:pt>
                <c:pt idx="2107">
                  <c:v>2.4567515238415549E-2</c:v>
                </c:pt>
                <c:pt idx="2108">
                  <c:v>2.4565676912448493E-2</c:v>
                </c:pt>
                <c:pt idx="2109">
                  <c:v>2.4564519866626524E-2</c:v>
                </c:pt>
                <c:pt idx="2110">
                  <c:v>2.4562642579751007E-2</c:v>
                </c:pt>
                <c:pt idx="2111">
                  <c:v>2.4560474151938915E-2</c:v>
                </c:pt>
                <c:pt idx="2112">
                  <c:v>2.4558831761134686E-2</c:v>
                </c:pt>
                <c:pt idx="2113">
                  <c:v>2.4556898229449491E-2</c:v>
                </c:pt>
                <c:pt idx="2114">
                  <c:v>2.4554945949547404E-2</c:v>
                </c:pt>
                <c:pt idx="2115">
                  <c:v>2.4552691815553158E-2</c:v>
                </c:pt>
                <c:pt idx="2116">
                  <c:v>2.4550985145208981E-2</c:v>
                </c:pt>
                <c:pt idx="2117">
                  <c:v>2.4548976620829992E-2</c:v>
                </c:pt>
                <c:pt idx="2118">
                  <c:v>2.4546262567409639E-2</c:v>
                </c:pt>
                <c:pt idx="2119">
                  <c:v>2.4544218024974505E-2</c:v>
                </c:pt>
                <c:pt idx="2120">
                  <c:v>2.4542154735755026E-2</c:v>
                </c:pt>
                <c:pt idx="2121">
                  <c:v>2.4540072699780192E-2</c:v>
                </c:pt>
                <c:pt idx="2122">
                  <c:v>2.4537670274924216E-2</c:v>
                </c:pt>
                <c:pt idx="2123">
                  <c:v>2.4535548067433157E-2</c:v>
                </c:pt>
                <c:pt idx="2124">
                  <c:v>2.4533407113280732E-2</c:v>
                </c:pt>
                <c:pt idx="2125">
                  <c:v>2.4531247412497688E-2</c:v>
                </c:pt>
                <c:pt idx="2126">
                  <c:v>2.4529068965113886E-2</c:v>
                </c:pt>
                <c:pt idx="2127">
                  <c:v>2.4526871771160953E-2</c:v>
                </c:pt>
                <c:pt idx="2128">
                  <c:v>2.4523983988733455E-2</c:v>
                </c:pt>
                <c:pt idx="2129">
                  <c:v>2.4521750792431796E-2</c:v>
                </c:pt>
                <c:pt idx="2130">
                  <c:v>2.4520167710195682E-2</c:v>
                </c:pt>
                <c:pt idx="2131">
                  <c:v>2.45185627840314E-2</c:v>
                </c:pt>
                <c:pt idx="2132">
                  <c:v>2.4516270363045316E-2</c:v>
                </c:pt>
                <c:pt idx="2133">
                  <c:v>2.4513959194422747E-2</c:v>
                </c:pt>
                <c:pt idx="2134">
                  <c:v>2.4511629278199318E-2</c:v>
                </c:pt>
                <c:pt idx="2135">
                  <c:v>2.4508619346814503E-2</c:v>
                </c:pt>
                <c:pt idx="2136">
                  <c:v>2.4505574017216338E-2</c:v>
                </c:pt>
                <c:pt idx="2137">
                  <c:v>2.4503184003255532E-2</c:v>
                </c:pt>
                <c:pt idx="2138">
                  <c:v>2.4500775243089259E-2</c:v>
                </c:pt>
                <c:pt idx="2139">
                  <c:v>2.4499002568328595E-2</c:v>
                </c:pt>
                <c:pt idx="2140">
                  <c:v>2.4496554810807574E-2</c:v>
                </c:pt>
                <c:pt idx="2141">
                  <c:v>2.449408830593245E-2</c:v>
                </c:pt>
                <c:pt idx="2142">
                  <c:v>2.4491603053740582E-2</c:v>
                </c:pt>
                <c:pt idx="2143">
                  <c:v>2.4489099054264989E-2</c:v>
                </c:pt>
                <c:pt idx="2144">
                  <c:v>2.4486576307542161E-2</c:v>
                </c:pt>
                <c:pt idx="2145">
                  <c:v>2.4484034813609463E-2</c:v>
                </c:pt>
                <c:pt idx="2146">
                  <c:v>2.448147457250165E-2</c:v>
                </c:pt>
                <c:pt idx="2147">
                  <c:v>2.4478895584256082E-2</c:v>
                </c:pt>
                <c:pt idx="2148">
                  <c:v>2.4476297848909249E-2</c:v>
                </c:pt>
                <c:pt idx="2149">
                  <c:v>2.4473681366497645E-2</c:v>
                </c:pt>
                <c:pt idx="2150">
                  <c:v>2.4471046137060373E-2</c:v>
                </c:pt>
                <c:pt idx="2151">
                  <c:v>2.4468392160633921E-2</c:v>
                </c:pt>
                <c:pt idx="2152">
                  <c:v>2.4465719437255652E-2</c:v>
                </c:pt>
                <c:pt idx="2153">
                  <c:v>2.4463027966966405E-2</c:v>
                </c:pt>
                <c:pt idx="2154">
                  <c:v>2.4460317749799194E-2</c:v>
                </c:pt>
                <c:pt idx="2155">
                  <c:v>2.4457588785798332E-2</c:v>
                </c:pt>
                <c:pt idx="2156">
                  <c:v>2.445484107500118E-2</c:v>
                </c:pt>
                <c:pt idx="2157">
                  <c:v>2.4451447068066779E-2</c:v>
                </c:pt>
                <c:pt idx="2158">
                  <c:v>2.4448663391323601E-2</c:v>
                </c:pt>
                <c:pt idx="2159">
                  <c:v>2.4445860969148841E-2</c:v>
                </c:pt>
                <c:pt idx="2160">
                  <c:v>2.4443039801578519E-2</c:v>
                </c:pt>
                <c:pt idx="2161">
                  <c:v>2.4442684907006015E-2</c:v>
                </c:pt>
                <c:pt idx="2162">
                  <c:v>2.4437961129696175E-2</c:v>
                </c:pt>
                <c:pt idx="2163">
                  <c:v>2.4435082192434544E-2</c:v>
                </c:pt>
                <c:pt idx="2164">
                  <c:v>2.4432184508698111E-2</c:v>
                </c:pt>
                <c:pt idx="2165">
                  <c:v>2.4429268078525964E-2</c:v>
                </c:pt>
                <c:pt idx="2166">
                  <c:v>2.4426332901962423E-2</c:v>
                </c:pt>
                <c:pt idx="2167">
                  <c:v>2.4423378979049195E-2</c:v>
                </c:pt>
                <c:pt idx="2168">
                  <c:v>2.4420406309827111E-2</c:v>
                </c:pt>
                <c:pt idx="2169">
                  <c:v>2.4416377102284392E-2</c:v>
                </c:pt>
                <c:pt idx="2170">
                  <c:v>2.4413189423790449E-2</c:v>
                </c:pt>
                <c:pt idx="2171">
                  <c:v>2.4410163603062252E-2</c:v>
                </c:pt>
                <c:pt idx="2172">
                  <c:v>2.4407119038674097E-2</c:v>
                </c:pt>
                <c:pt idx="2173">
                  <c:v>2.4404055730669505E-2</c:v>
                </c:pt>
                <c:pt idx="2174">
                  <c:v>2.4400973679091109E-2</c:v>
                </c:pt>
                <c:pt idx="2175">
                  <c:v>2.4397872883980654E-2</c:v>
                </c:pt>
                <c:pt idx="2176">
                  <c:v>2.4394753345383435E-2</c:v>
                </c:pt>
                <c:pt idx="2177">
                  <c:v>2.4391615063341199E-2</c:v>
                </c:pt>
                <c:pt idx="2178">
                  <c:v>2.4388458037899241E-2</c:v>
                </c:pt>
                <c:pt idx="2179">
                  <c:v>2.4384688369197164E-2</c:v>
                </c:pt>
                <c:pt idx="2180">
                  <c:v>2.438149541151105E-2</c:v>
                </c:pt>
                <c:pt idx="2181">
                  <c:v>2.4378283711791394E-2</c:v>
                </c:pt>
                <c:pt idx="2182">
                  <c:v>2.4375053270083102E-2</c:v>
                </c:pt>
                <c:pt idx="2183">
                  <c:v>2.4373566744030691E-2</c:v>
                </c:pt>
                <c:pt idx="2184">
                  <c:v>2.4370294139835227E-2</c:v>
                </c:pt>
                <c:pt idx="2185">
                  <c:v>2.4367002790090304E-2</c:v>
                </c:pt>
                <c:pt idx="2186">
                  <c:v>2.4363692694842839E-2</c:v>
                </c:pt>
                <c:pt idx="2187">
                  <c:v>2.4359782670231117E-2</c:v>
                </c:pt>
                <c:pt idx="2188">
                  <c:v>2.4356436648783512E-2</c:v>
                </c:pt>
                <c:pt idx="2189">
                  <c:v>2.4353071883205259E-2</c:v>
                </c:pt>
                <c:pt idx="2190">
                  <c:v>2.4349688373542046E-2</c:v>
                </c:pt>
                <c:pt idx="2191">
                  <c:v>2.4346286119846568E-2</c:v>
                </c:pt>
                <c:pt idx="2192">
                  <c:v>2.4343438470457338E-2</c:v>
                </c:pt>
                <c:pt idx="2193">
                  <c:v>2.4339997158028405E-2</c:v>
                </c:pt>
                <c:pt idx="2194">
                  <c:v>2.4336537100480973E-2</c:v>
                </c:pt>
                <c:pt idx="2195">
                  <c:v>2.4333058297866299E-2</c:v>
                </c:pt>
                <c:pt idx="2196">
                  <c:v>2.4329560750234784E-2</c:v>
                </c:pt>
                <c:pt idx="2197">
                  <c:v>2.4326044457634217E-2</c:v>
                </c:pt>
                <c:pt idx="2198">
                  <c:v>2.4322509420114984E-2</c:v>
                </c:pt>
                <c:pt idx="2199">
                  <c:v>2.4318955637730094E-2</c:v>
                </c:pt>
                <c:pt idx="2200">
                  <c:v>2.4315383110528201E-2</c:v>
                </c:pt>
                <c:pt idx="2201">
                  <c:v>2.43117918385597E-2</c:v>
                </c:pt>
                <c:pt idx="2202">
                  <c:v>2.4308181821877592E-2</c:v>
                </c:pt>
                <c:pt idx="2203">
                  <c:v>2.430455306053227E-2</c:v>
                </c:pt>
                <c:pt idx="2204">
                  <c:v>2.4300905554577604E-2</c:v>
                </c:pt>
                <c:pt idx="2205">
                  <c:v>2.4297239304062253E-2</c:v>
                </c:pt>
                <c:pt idx="2206">
                  <c:v>2.4293554309040954E-2</c:v>
                </c:pt>
                <c:pt idx="2207">
                  <c:v>2.4289850569567579E-2</c:v>
                </c:pt>
                <c:pt idx="2208">
                  <c:v>2.4286128085691649E-2</c:v>
                </c:pt>
                <c:pt idx="2209">
                  <c:v>2.4281840379386365E-2</c:v>
                </c:pt>
                <c:pt idx="2210">
                  <c:v>2.4278081998458569E-2</c:v>
                </c:pt>
                <c:pt idx="2211">
                  <c:v>2.4274304874506058E-2</c:v>
                </c:pt>
                <c:pt idx="2212">
                  <c:v>2.4270509007585053E-2</c:v>
                </c:pt>
                <c:pt idx="2213">
                  <c:v>2.4266694397746501E-2</c:v>
                </c:pt>
                <c:pt idx="2214">
                  <c:v>2.4263399553017456E-2</c:v>
                </c:pt>
                <c:pt idx="2215">
                  <c:v>2.4259545859840713E-2</c:v>
                </c:pt>
                <c:pt idx="2216">
                  <c:v>2.4255673422694985E-2</c:v>
                </c:pt>
                <c:pt idx="2217">
                  <c:v>2.4251782241636745E-2</c:v>
                </c:pt>
                <c:pt idx="2218">
                  <c:v>2.4247872316722475E-2</c:v>
                </c:pt>
                <c:pt idx="2219">
                  <c:v>2.4244441048745211E-2</c:v>
                </c:pt>
                <c:pt idx="2220">
                  <c:v>2.4239996235543054E-2</c:v>
                </c:pt>
                <c:pt idx="2221">
                  <c:v>2.4236515705604304E-2</c:v>
                </c:pt>
                <c:pt idx="2222">
                  <c:v>2.4230993664536626E-2</c:v>
                </c:pt>
                <c:pt idx="2223">
                  <c:v>2.4226993235714644E-2</c:v>
                </c:pt>
                <c:pt idx="2224">
                  <c:v>2.4222974065793323E-2</c:v>
                </c:pt>
                <c:pt idx="2225">
                  <c:v>2.4218936154826842E-2</c:v>
                </c:pt>
                <c:pt idx="2226">
                  <c:v>2.4211970420292772E-2</c:v>
                </c:pt>
                <c:pt idx="2227">
                  <c:v>2.4210220381138292E-2</c:v>
                </c:pt>
                <c:pt idx="2228">
                  <c:v>2.42061235701172E-2</c:v>
                </c:pt>
                <c:pt idx="2229">
                  <c:v>2.4202008018288979E-2</c:v>
                </c:pt>
                <c:pt idx="2230">
                  <c:v>2.4197873725708696E-2</c:v>
                </c:pt>
                <c:pt idx="2231">
                  <c:v>2.4193209477660078E-2</c:v>
                </c:pt>
                <c:pt idx="2232">
                  <c:v>2.4189039321762178E-2</c:v>
                </c:pt>
                <c:pt idx="2233">
                  <c:v>2.4184850426491974E-2</c:v>
                </c:pt>
                <c:pt idx="2234">
                  <c:v>2.4180642791906057E-2</c:v>
                </c:pt>
                <c:pt idx="2235">
                  <c:v>2.4178938773128069E-2</c:v>
                </c:pt>
                <c:pt idx="2236">
                  <c:v>2.4174685544081663E-2</c:v>
                </c:pt>
                <c:pt idx="2237">
                  <c:v>2.4170413569894501E-2</c:v>
                </c:pt>
                <c:pt idx="2238">
                  <c:v>2.4166122850626956E-2</c:v>
                </c:pt>
                <c:pt idx="2239">
                  <c:v>2.4160319872372795E-2</c:v>
                </c:pt>
                <c:pt idx="2240">
                  <c:v>2.4153517661991898E-2</c:v>
                </c:pt>
                <c:pt idx="2241">
                  <c:v>2.4151654481726882E-2</c:v>
                </c:pt>
                <c:pt idx="2242">
                  <c:v>2.4147293674515284E-2</c:v>
                </c:pt>
                <c:pt idx="2243">
                  <c:v>2.4142914126129799E-2</c:v>
                </c:pt>
                <c:pt idx="2244">
                  <c:v>2.4139984891875521E-2</c:v>
                </c:pt>
                <c:pt idx="2245">
                  <c:v>2.4135562958820054E-2</c:v>
                </c:pt>
                <c:pt idx="2246">
                  <c:v>2.4131122281191887E-2</c:v>
                </c:pt>
                <c:pt idx="2247">
                  <c:v>2.4127147368848176E-2</c:v>
                </c:pt>
                <c:pt idx="2248">
                  <c:v>2.4122667564145821E-2</c:v>
                </c:pt>
                <c:pt idx="2249">
                  <c:v>2.4117687781533618E-2</c:v>
                </c:pt>
                <c:pt idx="2250">
                  <c:v>2.4113172126273685E-2</c:v>
                </c:pt>
                <c:pt idx="2251">
                  <c:v>2.41086377267693E-2</c:v>
                </c:pt>
                <c:pt idx="2252">
                  <c:v>2.4104084583087642E-2</c:v>
                </c:pt>
                <c:pt idx="2253">
                  <c:v>2.4099987358446626E-2</c:v>
                </c:pt>
                <c:pt idx="2254">
                  <c:v>2.4094922063453567E-2</c:v>
                </c:pt>
                <c:pt idx="2255">
                  <c:v>2.4090312687637217E-2</c:v>
                </c:pt>
                <c:pt idx="2256">
                  <c:v>2.408568456790976E-2</c:v>
                </c:pt>
                <c:pt idx="2257">
                  <c:v>2.4081037704338379E-2</c:v>
                </c:pt>
                <c:pt idx="2258">
                  <c:v>2.4076372096992805E-2</c:v>
                </c:pt>
                <c:pt idx="2259">
                  <c:v>2.4071687745940221E-2</c:v>
                </c:pt>
                <c:pt idx="2260">
                  <c:v>2.4066984651247805E-2</c:v>
                </c:pt>
                <c:pt idx="2261">
                  <c:v>2.4060877585984138E-2</c:v>
                </c:pt>
                <c:pt idx="2262">
                  <c:v>2.4056141967321212E-2</c:v>
                </c:pt>
                <c:pt idx="2263">
                  <c:v>2.4051387608770406E-2</c:v>
                </c:pt>
                <c:pt idx="2264">
                  <c:v>2.4046614510397597E-2</c:v>
                </c:pt>
                <c:pt idx="2265">
                  <c:v>2.4041822672273935E-2</c:v>
                </c:pt>
                <c:pt idx="2266">
                  <c:v>2.4038372470545643E-2</c:v>
                </c:pt>
                <c:pt idx="2267">
                  <c:v>2.4033989693930884E-2</c:v>
                </c:pt>
                <c:pt idx="2268">
                  <c:v>2.4028685131009989E-2</c:v>
                </c:pt>
                <c:pt idx="2269">
                  <c:v>2.4023813346690199E-2</c:v>
                </c:pt>
                <c:pt idx="2270">
                  <c:v>2.4018922819430445E-2</c:v>
                </c:pt>
                <c:pt idx="2271">
                  <c:v>2.4011015114663838E-2</c:v>
                </c:pt>
                <c:pt idx="2272">
                  <c:v>2.4009528737112075E-2</c:v>
                </c:pt>
                <c:pt idx="2273">
                  <c:v>2.4004138780725704E-2</c:v>
                </c:pt>
                <c:pt idx="2274">
                  <c:v>2.3997412428498954E-2</c:v>
                </c:pt>
                <c:pt idx="2275">
                  <c:v>2.3992434865895973E-2</c:v>
                </c:pt>
                <c:pt idx="2276">
                  <c:v>2.3987438565470143E-2</c:v>
                </c:pt>
                <c:pt idx="2277">
                  <c:v>2.398242352729163E-2</c:v>
                </c:pt>
                <c:pt idx="2278">
                  <c:v>2.3977389751429712E-2</c:v>
                </c:pt>
                <c:pt idx="2279">
                  <c:v>2.3972337237956332E-2</c:v>
                </c:pt>
                <c:pt idx="2280">
                  <c:v>2.3967265986940767E-2</c:v>
                </c:pt>
                <c:pt idx="2281">
                  <c:v>2.396217599845496E-2</c:v>
                </c:pt>
                <c:pt idx="2282">
                  <c:v>2.3957067272569077E-2</c:v>
                </c:pt>
                <c:pt idx="2283">
                  <c:v>2.3951514310663329E-2</c:v>
                </c:pt>
                <c:pt idx="2284">
                  <c:v>2.3946369789802781E-2</c:v>
                </c:pt>
                <c:pt idx="2285">
                  <c:v>2.3941206532921859E-2</c:v>
                </c:pt>
                <c:pt idx="2286">
                  <c:v>2.3936024540089716E-2</c:v>
                </c:pt>
                <c:pt idx="2287">
                  <c:v>2.3932916256389609E-2</c:v>
                </c:pt>
                <c:pt idx="2288">
                  <c:v>2.3927688368677088E-2</c:v>
                </c:pt>
                <c:pt idx="2289">
                  <c:v>2.3922441739425183E-2</c:v>
                </c:pt>
                <c:pt idx="2290">
                  <c:v>2.3917176368714679E-2</c:v>
                </c:pt>
                <c:pt idx="2291">
                  <c:v>2.3908043221927799E-2</c:v>
                </c:pt>
                <c:pt idx="2292">
                  <c:v>2.3905359669869893E-2</c:v>
                </c:pt>
                <c:pt idx="2293">
                  <c:v>2.3900043147108519E-2</c:v>
                </c:pt>
                <c:pt idx="2294">
                  <c:v>2.3894707886666727E-2</c:v>
                </c:pt>
                <c:pt idx="2295">
                  <c:v>2.3890568395946603E-2</c:v>
                </c:pt>
                <c:pt idx="2296">
                  <c:v>2.3885190578092588E-2</c:v>
                </c:pt>
                <c:pt idx="2297">
                  <c:v>2.3879794019323369E-2</c:v>
                </c:pt>
                <c:pt idx="2298">
                  <c:v>2.3874378719715487E-2</c:v>
                </c:pt>
                <c:pt idx="2299">
                  <c:v>2.3869342442915508E-2</c:v>
                </c:pt>
                <c:pt idx="2300">
                  <c:v>2.3863887962790677E-2</c:v>
                </c:pt>
                <c:pt idx="2301">
                  <c:v>2.385802037665238E-2</c:v>
                </c:pt>
                <c:pt idx="2302">
                  <c:v>2.3852530114484079E-2</c:v>
                </c:pt>
                <c:pt idx="2303">
                  <c:v>2.3847021111875092E-2</c:v>
                </c:pt>
                <c:pt idx="2304">
                  <c:v>2.3840324726420871E-2</c:v>
                </c:pt>
                <c:pt idx="2305">
                  <c:v>2.3836334437518758E-2</c:v>
                </c:pt>
                <c:pt idx="2306">
                  <c:v>2.3830381662209309E-2</c:v>
                </c:pt>
                <c:pt idx="2307">
                  <c:v>2.3824797698643731E-2</c:v>
                </c:pt>
                <c:pt idx="2308">
                  <c:v>2.3819194995043095E-2</c:v>
                </c:pt>
                <c:pt idx="2309">
                  <c:v>2.3813573551489043E-2</c:v>
                </c:pt>
                <c:pt idx="2310">
                  <c:v>2.3807933368062358E-2</c:v>
                </c:pt>
                <c:pt idx="2311">
                  <c:v>2.3802274444844677E-2</c:v>
                </c:pt>
                <c:pt idx="2312">
                  <c:v>2.3796596781921888E-2</c:v>
                </c:pt>
                <c:pt idx="2313">
                  <c:v>2.3789777880431174E-2</c:v>
                </c:pt>
                <c:pt idx="2314">
                  <c:v>2.3784067882520195E-2</c:v>
                </c:pt>
                <c:pt idx="2315">
                  <c:v>2.3778339148566169E-2</c:v>
                </c:pt>
                <c:pt idx="2316">
                  <c:v>2.3772591678649032E-2</c:v>
                </c:pt>
                <c:pt idx="2317">
                  <c:v>2.3766825472850476E-2</c:v>
                </c:pt>
                <c:pt idx="2318">
                  <c:v>2.3762137275189544E-2</c:v>
                </c:pt>
                <c:pt idx="2319">
                  <c:v>2.3756692001113806E-2</c:v>
                </c:pt>
                <c:pt idx="2320">
                  <c:v>2.3750500859077161E-2</c:v>
                </c:pt>
                <c:pt idx="2321">
                  <c:v>2.3744654542550949E-2</c:v>
                </c:pt>
                <c:pt idx="2322">
                  <c:v>2.3738789487157259E-2</c:v>
                </c:pt>
                <c:pt idx="2323">
                  <c:v>2.372966602288927E-2</c:v>
                </c:pt>
                <c:pt idx="2324">
                  <c:v>2.3727358103689866E-2</c:v>
                </c:pt>
                <c:pt idx="2325">
                  <c:v>2.3721081888637856E-2</c:v>
                </c:pt>
                <c:pt idx="2326">
                  <c:v>2.3714086519503606E-2</c:v>
                </c:pt>
                <c:pt idx="2327">
                  <c:v>2.3708132959411213E-2</c:v>
                </c:pt>
                <c:pt idx="2328">
                  <c:v>2.3702160664346564E-2</c:v>
                </c:pt>
                <c:pt idx="2329">
                  <c:v>2.3696169634393992E-2</c:v>
                </c:pt>
                <c:pt idx="2330">
                  <c:v>2.3690159869640452E-2</c:v>
                </c:pt>
                <c:pt idx="2331">
                  <c:v>2.3684131370169403E-2</c:v>
                </c:pt>
                <c:pt idx="2332">
                  <c:v>2.3678084136066046E-2</c:v>
                </c:pt>
                <c:pt idx="2333">
                  <c:v>2.3673376492295055E-2</c:v>
                </c:pt>
                <c:pt idx="2334">
                  <c:v>2.366593346430499E-2</c:v>
                </c:pt>
                <c:pt idx="2335">
                  <c:v>2.3659493543582322E-2</c:v>
                </c:pt>
                <c:pt idx="2336">
                  <c:v>2.3653373110979814E-2</c:v>
                </c:pt>
                <c:pt idx="2337">
                  <c:v>2.3647233945292889E-2</c:v>
                </c:pt>
                <c:pt idx="2338">
                  <c:v>2.3641076046605924E-2</c:v>
                </c:pt>
                <c:pt idx="2339">
                  <c:v>2.3636216582930761E-2</c:v>
                </c:pt>
                <c:pt idx="2340">
                  <c:v>2.3630014242844978E-2</c:v>
                </c:pt>
                <c:pt idx="2341">
                  <c:v>2.3623793165565274E-2</c:v>
                </c:pt>
                <c:pt idx="2342">
                  <c:v>2.3617553351184338E-2</c:v>
                </c:pt>
                <c:pt idx="2343">
                  <c:v>2.3610328099831202E-2</c:v>
                </c:pt>
                <c:pt idx="2344">
                  <c:v>2.360405605688114E-2</c:v>
                </c:pt>
                <c:pt idx="2345">
                  <c:v>2.3597765280431053E-2</c:v>
                </c:pt>
                <c:pt idx="2346">
                  <c:v>2.3587841925475715E-2</c:v>
                </c:pt>
                <c:pt idx="2347">
                  <c:v>2.3585127527383048E-2</c:v>
                </c:pt>
                <c:pt idx="2348">
                  <c:v>2.3579720990858127E-2</c:v>
                </c:pt>
                <c:pt idx="2349">
                  <c:v>2.3573350019323969E-2</c:v>
                </c:pt>
                <c:pt idx="2350">
                  <c:v>2.3566960311422455E-2</c:v>
                </c:pt>
                <c:pt idx="2351">
                  <c:v>2.3560859773563023E-2</c:v>
                </c:pt>
                <c:pt idx="2352">
                  <c:v>2.3553205314749786E-2</c:v>
                </c:pt>
                <c:pt idx="2353">
                  <c:v>2.3547678770452635E-2</c:v>
                </c:pt>
                <c:pt idx="2354">
                  <c:v>2.3541214118020543E-2</c:v>
                </c:pt>
                <c:pt idx="2355">
                  <c:v>2.353473072969051E-2</c:v>
                </c:pt>
                <c:pt idx="2356">
                  <c:v>2.3528228605557779E-2</c:v>
                </c:pt>
                <c:pt idx="2357">
                  <c:v>2.3521707745717598E-2</c:v>
                </c:pt>
                <c:pt idx="2358">
                  <c:v>2.3515463729803572E-2</c:v>
                </c:pt>
                <c:pt idx="2359">
                  <c:v>2.3508609819292443E-2</c:v>
                </c:pt>
                <c:pt idx="2360">
                  <c:v>2.3502032752900505E-2</c:v>
                </c:pt>
                <c:pt idx="2361">
                  <c:v>2.3495436951180386E-2</c:v>
                </c:pt>
                <c:pt idx="2362">
                  <c:v>2.3489110925792176E-2</c:v>
                </c:pt>
                <c:pt idx="2363">
                  <c:v>2.3482189142151881E-2</c:v>
                </c:pt>
                <c:pt idx="2364">
                  <c:v>2.3475537135033978E-2</c:v>
                </c:pt>
                <c:pt idx="2365">
                  <c:v>2.3468015855020685E-2</c:v>
                </c:pt>
                <c:pt idx="2366">
                  <c:v>2.3461331695987825E-2</c:v>
                </c:pt>
                <c:pt idx="2367">
                  <c:v>2.3454628805469155E-2</c:v>
                </c:pt>
                <c:pt idx="2368">
                  <c:v>2.3447907183561295E-2</c:v>
                </c:pt>
                <c:pt idx="2369">
                  <c:v>2.3441166830356481E-2</c:v>
                </c:pt>
                <c:pt idx="2370">
                  <c:v>2.3435231662022066E-2</c:v>
                </c:pt>
                <c:pt idx="2371">
                  <c:v>2.3428448512384341E-2</c:v>
                </c:pt>
                <c:pt idx="2372">
                  <c:v>2.3421917393913402E-2</c:v>
                </c:pt>
                <c:pt idx="2373">
                  <c:v>2.3414826010451046E-2</c:v>
                </c:pt>
                <c:pt idx="2374">
                  <c:v>2.3407986658355317E-2</c:v>
                </c:pt>
                <c:pt idx="2375">
                  <c:v>2.3401128572306473E-2</c:v>
                </c:pt>
                <c:pt idx="2376">
                  <c:v>2.3394515389068844E-2</c:v>
                </c:pt>
                <c:pt idx="2377">
                  <c:v>2.3387356198747433E-2</c:v>
                </c:pt>
                <c:pt idx="2378">
                  <c:v>2.3379660759049653E-2</c:v>
                </c:pt>
                <c:pt idx="2379">
                  <c:v>2.3372474182136393E-2</c:v>
                </c:pt>
                <c:pt idx="2380">
                  <c:v>2.3365529578400768E-2</c:v>
                </c:pt>
                <c:pt idx="2381">
                  <c:v>2.3358566245601509E-2</c:v>
                </c:pt>
                <c:pt idx="2382">
                  <c:v>2.3347586025368905E-2</c:v>
                </c:pt>
                <c:pt idx="2383">
                  <c:v>2.3340825269034624E-2</c:v>
                </c:pt>
                <c:pt idx="2384">
                  <c:v>2.3333544311050503E-2</c:v>
                </c:pt>
                <c:pt idx="2385">
                  <c:v>2.3326495360918464E-2</c:v>
                </c:pt>
                <c:pt idx="2386">
                  <c:v>2.3319427682267246E-2</c:v>
                </c:pt>
                <c:pt idx="2387">
                  <c:v>2.3312584836234457E-2</c:v>
                </c:pt>
                <c:pt idx="2388">
                  <c:v>2.3305236139805174E-2</c:v>
                </c:pt>
                <c:pt idx="2389">
                  <c:v>2.3298112276194161E-2</c:v>
                </c:pt>
                <c:pt idx="2390">
                  <c:v>2.3291207852761411E-2</c:v>
                </c:pt>
                <c:pt idx="2391">
                  <c:v>2.3284280940348411E-2</c:v>
                </c:pt>
                <c:pt idx="2392">
                  <c:v>2.3277097290973058E-2</c:v>
                </c:pt>
                <c:pt idx="2393">
                  <c:v>2.3269894911660975E-2</c:v>
                </c:pt>
                <c:pt idx="2394">
                  <c:v>2.3262673802515552E-2</c:v>
                </c:pt>
                <c:pt idx="2395">
                  <c:v>2.3255204966697338E-2</c:v>
                </c:pt>
                <c:pt idx="2396">
                  <c:v>2.3245871402476054E-2</c:v>
                </c:pt>
                <c:pt idx="2397">
                  <c:v>2.3238590559693753E-2</c:v>
                </c:pt>
                <c:pt idx="2398">
                  <c:v>2.3231290988573888E-2</c:v>
                </c:pt>
                <c:pt idx="2399">
                  <c:v>2.322419394234513E-2</c:v>
                </c:pt>
                <c:pt idx="2400">
                  <c:v>2.3216855105192367E-2</c:v>
                </c:pt>
                <c:pt idx="2401">
                  <c:v>2.320949753896305E-2</c:v>
                </c:pt>
                <c:pt idx="2402">
                  <c:v>2.3202121243763189E-2</c:v>
                </c:pt>
                <c:pt idx="2403">
                  <c:v>2.3194726219697911E-2</c:v>
                </c:pt>
                <c:pt idx="2404">
                  <c:v>2.318731246687409E-2</c:v>
                </c:pt>
                <c:pt idx="2405">
                  <c:v>2.3179879985395987E-2</c:v>
                </c:pt>
                <c:pt idx="2406">
                  <c:v>2.317242877536874E-2</c:v>
                </c:pt>
                <c:pt idx="2407">
                  <c:v>2.3164958836901822E-2</c:v>
                </c:pt>
                <c:pt idx="2408">
                  <c:v>2.31574701700995E-2</c:v>
                </c:pt>
                <c:pt idx="2409">
                  <c:v>2.3149962775070382E-2</c:v>
                </c:pt>
                <c:pt idx="2410">
                  <c:v>2.3142436651920475E-2</c:v>
                </c:pt>
                <c:pt idx="2411">
                  <c:v>2.3134891800756643E-2</c:v>
                </c:pt>
                <c:pt idx="2412">
                  <c:v>2.3127328221688365E-2</c:v>
                </c:pt>
                <c:pt idx="2413">
                  <c:v>2.3119745914822513E-2</c:v>
                </c:pt>
                <c:pt idx="2414">
                  <c:v>2.3112144880268568E-2</c:v>
                </c:pt>
                <c:pt idx="2415">
                  <c:v>2.3104525118133396E-2</c:v>
                </c:pt>
                <c:pt idx="2416">
                  <c:v>2.3096886628527349E-2</c:v>
                </c:pt>
                <c:pt idx="2417">
                  <c:v>2.3089040891757374E-2</c:v>
                </c:pt>
                <c:pt idx="2418">
                  <c:v>2.3081366775880106E-2</c:v>
                </c:pt>
                <c:pt idx="2419">
                  <c:v>2.3073673933885912E-2</c:v>
                </c:pt>
                <c:pt idx="2420">
                  <c:v>2.3066693491440304E-2</c:v>
                </c:pt>
                <c:pt idx="2421">
                  <c:v>2.3058413272248265E-2</c:v>
                </c:pt>
                <c:pt idx="2422">
                  <c:v>2.30506624201125E-2</c:v>
                </c:pt>
                <c:pt idx="2423">
                  <c:v>2.3042892841275676E-2</c:v>
                </c:pt>
                <c:pt idx="2424">
                  <c:v>2.3035104535845532E-2</c:v>
                </c:pt>
                <c:pt idx="2425">
                  <c:v>2.3027297503935888E-2</c:v>
                </c:pt>
                <c:pt idx="2426">
                  <c:v>2.3019471745657098E-2</c:v>
                </c:pt>
                <c:pt idx="2427">
                  <c:v>2.3011627261122977E-2</c:v>
                </c:pt>
                <c:pt idx="2428">
                  <c:v>2.3003764050443003E-2</c:v>
                </c:pt>
                <c:pt idx="2429">
                  <c:v>2.2994588344792118E-2</c:v>
                </c:pt>
                <c:pt idx="2430">
                  <c:v>2.2987651939241793E-2</c:v>
                </c:pt>
                <c:pt idx="2431">
                  <c:v>2.2979736233804893E-2</c:v>
                </c:pt>
                <c:pt idx="2432">
                  <c:v>2.2971801804692937E-2</c:v>
                </c:pt>
                <c:pt idx="2433">
                  <c:v>2.2959611935897687E-2</c:v>
                </c:pt>
                <c:pt idx="2434">
                  <c:v>2.2954736408009602E-2</c:v>
                </c:pt>
                <c:pt idx="2435">
                  <c:v>2.2947886176428511E-2</c:v>
                </c:pt>
                <c:pt idx="2436">
                  <c:v>2.2939876853733665E-2</c:v>
                </c:pt>
                <c:pt idx="2437">
                  <c:v>2.2931848807922428E-2</c:v>
                </c:pt>
                <c:pt idx="2438">
                  <c:v>2.2923802039106711E-2</c:v>
                </c:pt>
                <c:pt idx="2439">
                  <c:v>2.291558814599336E-2</c:v>
                </c:pt>
                <c:pt idx="2440">
                  <c:v>2.2907505781789832E-2</c:v>
                </c:pt>
                <c:pt idx="2441">
                  <c:v>2.2899404695919393E-2</c:v>
                </c:pt>
                <c:pt idx="2442">
                  <c:v>2.2891284888491611E-2</c:v>
                </c:pt>
                <c:pt idx="2443">
                  <c:v>2.2883568829850005E-2</c:v>
                </c:pt>
                <c:pt idx="2444">
                  <c:v>2.2875406016304906E-2</c:v>
                </c:pt>
                <c:pt idx="2445">
                  <c:v>2.2867224478561092E-2</c:v>
                </c:pt>
                <c:pt idx="2446">
                  <c:v>2.2859024216733258E-2</c:v>
                </c:pt>
                <c:pt idx="2447">
                  <c:v>2.2850672002857463E-2</c:v>
                </c:pt>
                <c:pt idx="2448">
                  <c:v>2.2842436151806648E-2</c:v>
                </c:pt>
                <c:pt idx="2449">
                  <c:v>2.2834181578012043E-2</c:v>
                </c:pt>
                <c:pt idx="2450">
                  <c:v>2.2825908281593105E-2</c:v>
                </c:pt>
                <c:pt idx="2451">
                  <c:v>2.2817742050464364E-2</c:v>
                </c:pt>
                <c:pt idx="2452">
                  <c:v>2.2809429446609544E-2</c:v>
                </c:pt>
                <c:pt idx="2453">
                  <c:v>2.2801098119496127E-2</c:v>
                </c:pt>
                <c:pt idx="2454">
                  <c:v>2.279274806924576E-2</c:v>
                </c:pt>
                <c:pt idx="2455">
                  <c:v>2.2784379295975734E-2</c:v>
                </c:pt>
                <c:pt idx="2456">
                  <c:v>2.2775991799805956E-2</c:v>
                </c:pt>
                <c:pt idx="2457">
                  <c:v>2.2767585580856328E-2</c:v>
                </c:pt>
                <c:pt idx="2458">
                  <c:v>2.2759160639245889E-2</c:v>
                </c:pt>
                <c:pt idx="2459">
                  <c:v>2.2750716975098017E-2</c:v>
                </c:pt>
                <c:pt idx="2460">
                  <c:v>2.2742254588529142E-2</c:v>
                </c:pt>
                <c:pt idx="2461">
                  <c:v>2.2733773479662638E-2</c:v>
                </c:pt>
                <c:pt idx="2462">
                  <c:v>2.2725273648618413E-2</c:v>
                </c:pt>
                <c:pt idx="2463">
                  <c:v>2.2716755095520718E-2</c:v>
                </c:pt>
                <c:pt idx="2464">
                  <c:v>2.2708217820487715E-2</c:v>
                </c:pt>
                <c:pt idx="2465">
                  <c:v>2.2699661823642785E-2</c:v>
                </c:pt>
                <c:pt idx="2466">
                  <c:v>2.2691087105107571E-2</c:v>
                </c:pt>
                <c:pt idx="2467">
                  <c:v>2.2682493665004581E-2</c:v>
                </c:pt>
                <c:pt idx="2468">
                  <c:v>2.2673881503457196E-2</c:v>
                </c:pt>
                <c:pt idx="2469">
                  <c:v>2.2665158507766965E-2</c:v>
                </c:pt>
                <c:pt idx="2470">
                  <c:v>2.2656510783726814E-2</c:v>
                </c:pt>
                <c:pt idx="2471">
                  <c:v>2.264784433957109E-2</c:v>
                </c:pt>
                <c:pt idx="2472">
                  <c:v>2.2639159175421905E-2</c:v>
                </c:pt>
                <c:pt idx="2473">
                  <c:v>2.2630792582482965E-2</c:v>
                </c:pt>
                <c:pt idx="2474">
                  <c:v>2.2621815390740305E-2</c:v>
                </c:pt>
                <c:pt idx="2475">
                  <c:v>2.2613072182537653E-2</c:v>
                </c:pt>
                <c:pt idx="2476">
                  <c:v>2.2604310253881991E-2</c:v>
                </c:pt>
                <c:pt idx="2477">
                  <c:v>2.259552960489843E-2</c:v>
                </c:pt>
                <c:pt idx="2478">
                  <c:v>2.2586730689884441E-2</c:v>
                </c:pt>
                <c:pt idx="2479">
                  <c:v>2.257791577982169E-2</c:v>
                </c:pt>
                <c:pt idx="2480">
                  <c:v>2.2569087599841598E-2</c:v>
                </c:pt>
                <c:pt idx="2481">
                  <c:v>2.2558913369562374E-2</c:v>
                </c:pt>
                <c:pt idx="2482">
                  <c:v>2.2551258821535747E-2</c:v>
                </c:pt>
                <c:pt idx="2483">
                  <c:v>2.25424076170615E-2</c:v>
                </c:pt>
                <c:pt idx="2484">
                  <c:v>2.25335536103346E-2</c:v>
                </c:pt>
                <c:pt idx="2485">
                  <c:v>2.2524699586574215E-2</c:v>
                </c:pt>
                <c:pt idx="2486">
                  <c:v>2.2515848330980859E-2</c:v>
                </c:pt>
                <c:pt idx="2487">
                  <c:v>2.2507002628723072E-2</c:v>
                </c:pt>
                <c:pt idx="2488">
                  <c:v>2.2498165264949854E-2</c:v>
                </c:pt>
                <c:pt idx="2489">
                  <c:v>2.2489339024784449E-2</c:v>
                </c:pt>
                <c:pt idx="2490">
                  <c:v>2.2480526693324343E-2</c:v>
                </c:pt>
                <c:pt idx="2491">
                  <c:v>2.2471655804784021E-2</c:v>
                </c:pt>
                <c:pt idx="2492">
                  <c:v>2.2462876290591523E-2</c:v>
                </c:pt>
                <c:pt idx="2493">
                  <c:v>2.2454113866570993E-2</c:v>
                </c:pt>
                <c:pt idx="2494">
                  <c:v>2.2445368532612867E-2</c:v>
                </c:pt>
                <c:pt idx="2495">
                  <c:v>2.2436873484009547E-2</c:v>
                </c:pt>
                <c:pt idx="2496">
                  <c:v>2.2428164368664998E-2</c:v>
                </c:pt>
                <c:pt idx="2497">
                  <c:v>2.2419472346840094E-2</c:v>
                </c:pt>
                <c:pt idx="2498">
                  <c:v>2.2410797418423615E-2</c:v>
                </c:pt>
                <c:pt idx="2499">
                  <c:v>2.2402059056833661E-2</c:v>
                </c:pt>
                <c:pt idx="2500">
                  <c:v>2.2393417630098163E-2</c:v>
                </c:pt>
                <c:pt idx="2501">
                  <c:v>2.2384793295178101E-2</c:v>
                </c:pt>
                <c:pt idx="2502">
                  <c:v>2.2376186051957524E-2</c:v>
                </c:pt>
                <c:pt idx="2503">
                  <c:v>2.236759590032663E-2</c:v>
                </c:pt>
                <c:pt idx="2504">
                  <c:v>2.2359106803201557E-2</c:v>
                </c:pt>
                <c:pt idx="2505">
                  <c:v>2.2350551525495289E-2</c:v>
                </c:pt>
                <c:pt idx="2506">
                  <c:v>2.2342013340302513E-2</c:v>
                </c:pt>
                <c:pt idx="2507">
                  <c:v>2.2333492247507671E-2</c:v>
                </c:pt>
                <c:pt idx="2508">
                  <c:v>2.2324988247003016E-2</c:v>
                </c:pt>
                <c:pt idx="2509">
                  <c:v>2.2316501338676471E-2</c:v>
                </c:pt>
                <c:pt idx="2510">
                  <c:v>2.2308031522418555E-2</c:v>
                </c:pt>
                <c:pt idx="2511">
                  <c:v>2.2299578798117187E-2</c:v>
                </c:pt>
                <c:pt idx="2512">
                  <c:v>2.2291143165662886E-2</c:v>
                </c:pt>
                <c:pt idx="2513">
                  <c:v>2.2282724624947913E-2</c:v>
                </c:pt>
                <c:pt idx="2514">
                  <c:v>2.2274323175859312E-2</c:v>
                </c:pt>
                <c:pt idx="2515">
                  <c:v>2.2265938818290219E-2</c:v>
                </c:pt>
                <c:pt idx="2516">
                  <c:v>2.225757155213115E-2</c:v>
                </c:pt>
                <c:pt idx="2517">
                  <c:v>2.2249221377272633E-2</c:v>
                </c:pt>
                <c:pt idx="2518">
                  <c:v>2.2240888293605186E-2</c:v>
                </c:pt>
                <c:pt idx="2519">
                  <c:v>2.2232572301021936E-2</c:v>
                </c:pt>
                <c:pt idx="2520">
                  <c:v>2.2224273399413411E-2</c:v>
                </c:pt>
                <c:pt idx="2521">
                  <c:v>2.2215895707900338E-2</c:v>
                </c:pt>
                <c:pt idx="2522">
                  <c:v>2.2207630275719013E-2</c:v>
                </c:pt>
                <c:pt idx="2523">
                  <c:v>2.2199381932958555E-2</c:v>
                </c:pt>
                <c:pt idx="2524">
                  <c:v>2.2191150679511801E-2</c:v>
                </c:pt>
                <c:pt idx="2525">
                  <c:v>2.2182936515271576E-2</c:v>
                </c:pt>
                <c:pt idx="2526">
                  <c:v>2.2174838894205816E-2</c:v>
                </c:pt>
                <c:pt idx="2527">
                  <c:v>2.2166659626410581E-2</c:v>
                </c:pt>
                <c:pt idx="2528">
                  <c:v>2.2158497448732495E-2</c:v>
                </c:pt>
                <c:pt idx="2529">
                  <c:v>2.2150352361063816E-2</c:v>
                </c:pt>
                <c:pt idx="2530">
                  <c:v>2.2142224363301148E-2</c:v>
                </c:pt>
                <c:pt idx="2531">
                  <c:v>2.2133162692397491E-2</c:v>
                </c:pt>
                <c:pt idx="2532">
                  <c:v>2.2126019637065494E-2</c:v>
                </c:pt>
                <c:pt idx="2533">
                  <c:v>2.2116999930048564E-2</c:v>
                </c:pt>
                <c:pt idx="2534">
                  <c:v>2.210977803406711E-2</c:v>
                </c:pt>
                <c:pt idx="2535">
                  <c:v>2.2101734756119255E-2</c:v>
                </c:pt>
                <c:pt idx="2536">
                  <c:v>2.2093708566228085E-2</c:v>
                </c:pt>
                <c:pt idx="2537">
                  <c:v>2.2085699464289069E-2</c:v>
                </c:pt>
                <c:pt idx="2538">
                  <c:v>2.207200933059953E-2</c:v>
                </c:pt>
                <c:pt idx="2539">
                  <c:v>2.206859464357672E-2</c:v>
                </c:pt>
                <c:pt idx="2540">
                  <c:v>2.2060639245962205E-2</c:v>
                </c:pt>
                <c:pt idx="2541">
                  <c:v>2.2052700935872933E-2</c:v>
                </c:pt>
                <c:pt idx="2542">
                  <c:v>2.2044779713208763E-2</c:v>
                </c:pt>
                <c:pt idx="2543">
                  <c:v>2.2036763715502339E-2</c:v>
                </c:pt>
                <c:pt idx="2544">
                  <c:v>2.2028875928314484E-2</c:v>
                </c:pt>
                <c:pt idx="2545">
                  <c:v>2.2021005227037982E-2</c:v>
                </c:pt>
                <c:pt idx="2546">
                  <c:v>2.2013151611574244E-2</c:v>
                </c:pt>
                <c:pt idx="2547">
                  <c:v>2.2005774839356056E-2</c:v>
                </c:pt>
                <c:pt idx="2548">
                  <c:v>2.1997958371625964E-2</c:v>
                </c:pt>
                <c:pt idx="2549">
                  <c:v>2.1990158994219071E-2</c:v>
                </c:pt>
                <c:pt idx="2550">
                  <c:v>2.1982376707029929E-2</c:v>
                </c:pt>
                <c:pt idx="2551">
                  <c:v>2.1969945073275141E-2</c:v>
                </c:pt>
                <c:pt idx="2552">
                  <c:v>2.1966507272574303E-2</c:v>
                </c:pt>
                <c:pt idx="2553">
                  <c:v>2.1958774004894457E-2</c:v>
                </c:pt>
                <c:pt idx="2554">
                  <c:v>2.1951057823429248E-2</c:v>
                </c:pt>
                <c:pt idx="2555">
                  <c:v>2.1943721620744872E-2</c:v>
                </c:pt>
                <c:pt idx="2556">
                  <c:v>2.1936041872699714E-2</c:v>
                </c:pt>
                <c:pt idx="2557">
                  <c:v>2.1928379214153738E-2</c:v>
                </c:pt>
                <c:pt idx="2558">
                  <c:v>2.1920733645004888E-2</c:v>
                </c:pt>
                <c:pt idx="2559">
                  <c:v>2.1913229306425076E-2</c:v>
                </c:pt>
                <c:pt idx="2560">
                  <c:v>2.1905618674579921E-2</c:v>
                </c:pt>
                <c:pt idx="2561">
                  <c:v>2.1897899472919823E-2</c:v>
                </c:pt>
                <c:pt idx="2562">
                  <c:v>2.1890322260342442E-2</c:v>
                </c:pt>
                <c:pt idx="2563">
                  <c:v>2.1882762136655364E-2</c:v>
                </c:pt>
                <c:pt idx="2564">
                  <c:v>2.1874835728843339E-2</c:v>
                </c:pt>
                <c:pt idx="2565">
                  <c:v>2.1867821867536576E-2</c:v>
                </c:pt>
                <c:pt idx="2566">
                  <c:v>2.1860184297929942E-2</c:v>
                </c:pt>
                <c:pt idx="2567">
                  <c:v>2.1852692528800621E-2</c:v>
                </c:pt>
                <c:pt idx="2568">
                  <c:v>2.1845217848061579E-2</c:v>
                </c:pt>
                <c:pt idx="2569">
                  <c:v>2.183776025561162E-2</c:v>
                </c:pt>
                <c:pt idx="2570">
                  <c:v>2.1830319751352946E-2</c:v>
                </c:pt>
                <c:pt idx="2571">
                  <c:v>2.1822896335186918E-2</c:v>
                </c:pt>
                <c:pt idx="2572">
                  <c:v>2.1815490007014885E-2</c:v>
                </c:pt>
                <c:pt idx="2573">
                  <c:v>2.1807696625571235E-2</c:v>
                </c:pt>
                <c:pt idx="2574">
                  <c:v>2.1800322147827171E-2</c:v>
                </c:pt>
                <c:pt idx="2575">
                  <c:v>2.1792964754259816E-2</c:v>
                </c:pt>
                <c:pt idx="2576">
                  <c:v>2.1785624444769912E-2</c:v>
                </c:pt>
                <c:pt idx="2577">
                  <c:v>2.1778301219266102E-2</c:v>
                </c:pt>
                <c:pt idx="2578">
                  <c:v>2.1771410880340226E-2</c:v>
                </c:pt>
                <c:pt idx="2579">
                  <c:v>2.1764263707729967E-2</c:v>
                </c:pt>
                <c:pt idx="2580">
                  <c:v>2.1756854537623507E-2</c:v>
                </c:pt>
                <c:pt idx="2581">
                  <c:v>2.1749601996984821E-2</c:v>
                </c:pt>
                <c:pt idx="2582">
                  <c:v>2.1742366543364745E-2</c:v>
                </c:pt>
                <c:pt idx="2583">
                  <c:v>2.1731774031973013E-2</c:v>
                </c:pt>
                <c:pt idx="2584">
                  <c:v>2.1728090362837859E-2</c:v>
                </c:pt>
                <c:pt idx="2585">
                  <c:v>2.1720762703655232E-2</c:v>
                </c:pt>
                <c:pt idx="2586">
                  <c:v>2.1713016234794935E-2</c:v>
                </c:pt>
                <c:pt idx="2587">
                  <c:v>2.1705863053991692E-2</c:v>
                </c:pt>
                <c:pt idx="2588">
                  <c:v>2.1698726954988423E-2</c:v>
                </c:pt>
                <c:pt idx="2589">
                  <c:v>2.169160793769187E-2</c:v>
                </c:pt>
                <c:pt idx="2590">
                  <c:v>2.1684653887746815E-2</c:v>
                </c:pt>
                <c:pt idx="2591">
                  <c:v>2.1677421147856535E-2</c:v>
                </c:pt>
                <c:pt idx="2592">
                  <c:v>2.1670353375140117E-2</c:v>
                </c:pt>
                <c:pt idx="2593">
                  <c:v>2.1663302683767149E-2</c:v>
                </c:pt>
                <c:pt idx="2594">
                  <c:v>2.1656269073650591E-2</c:v>
                </c:pt>
                <c:pt idx="2595">
                  <c:v>2.1649100756643967E-2</c:v>
                </c:pt>
                <c:pt idx="2596">
                  <c:v>2.1642100508493831E-2</c:v>
                </c:pt>
                <c:pt idx="2597">
                  <c:v>2.1635117340179668E-2</c:v>
                </c:pt>
                <c:pt idx="2598">
                  <c:v>2.1628151251612559E-2</c:v>
                </c:pt>
                <c:pt idx="2599">
                  <c:v>2.1621978053274669E-2</c:v>
                </c:pt>
                <c:pt idx="2600">
                  <c:v>2.1615050149749772E-2</c:v>
                </c:pt>
                <c:pt idx="2601">
                  <c:v>2.1608139331454276E-2</c:v>
                </c:pt>
                <c:pt idx="2602">
                  <c:v>2.1601245598292934E-2</c:v>
                </c:pt>
                <c:pt idx="2603">
                  <c:v>2.159389353048103E-2</c:v>
                </c:pt>
                <c:pt idx="2604">
                  <c:v>2.1587031537647738E-2</c:v>
                </c:pt>
                <c:pt idx="2605">
                  <c:v>2.1580186626240828E-2</c:v>
                </c:pt>
                <c:pt idx="2606">
                  <c:v>2.1569464848132845E-2</c:v>
                </c:pt>
                <c:pt idx="2607">
                  <c:v>2.1566548047359187E-2</c:v>
                </c:pt>
                <c:pt idx="2608">
                  <c:v>2.1560241982085851E-2</c:v>
                </c:pt>
                <c:pt idx="2609">
                  <c:v>2.155346784232778E-2</c:v>
                </c:pt>
                <c:pt idx="2610">
                  <c:v>2.1546710786977636E-2</c:v>
                </c:pt>
                <c:pt idx="2611">
                  <c:v>2.1540135969775401E-2</c:v>
                </c:pt>
                <c:pt idx="2612">
                  <c:v>2.1533413902278239E-2</c:v>
                </c:pt>
                <c:pt idx="2613">
                  <c:v>2.1526542126492097E-2</c:v>
                </c:pt>
                <c:pt idx="2614">
                  <c:v>2.151985340788503E-2</c:v>
                </c:pt>
                <c:pt idx="2615">
                  <c:v>2.1513181773241991E-2</c:v>
                </c:pt>
                <c:pt idx="2616">
                  <c:v>2.1506019949949388E-2</c:v>
                </c:pt>
                <c:pt idx="2617">
                  <c:v>2.150005984215388E-2</c:v>
                </c:pt>
                <c:pt idx="2618">
                  <c:v>2.1493269372195652E-2</c:v>
                </c:pt>
                <c:pt idx="2619">
                  <c:v>2.1486666072514985E-2</c:v>
                </c:pt>
                <c:pt idx="2620">
                  <c:v>2.1480079856355295E-2</c:v>
                </c:pt>
                <c:pt idx="2621">
                  <c:v>2.1473510723628148E-2</c:v>
                </c:pt>
                <c:pt idx="2622">
                  <c:v>2.1467132902772502E-2</c:v>
                </c:pt>
                <c:pt idx="2623">
                  <c:v>2.146042370812792E-2</c:v>
                </c:pt>
                <c:pt idx="2624">
                  <c:v>2.1453905825177113E-2</c:v>
                </c:pt>
                <c:pt idx="2625">
                  <c:v>2.1446875363802943E-2</c:v>
                </c:pt>
                <c:pt idx="2626">
                  <c:v>2.1440389142357283E-2</c:v>
                </c:pt>
                <c:pt idx="2627">
                  <c:v>2.1433920000450284E-2</c:v>
                </c:pt>
                <c:pt idx="2628">
                  <c:v>2.14274679379985E-2</c:v>
                </c:pt>
                <c:pt idx="2629">
                  <c:v>2.1421572654980552E-2</c:v>
                </c:pt>
                <c:pt idx="2630">
                  <c:v>2.1415157269249814E-2</c:v>
                </c:pt>
                <c:pt idx="2631">
                  <c:v>2.140875896608763E-2</c:v>
                </c:pt>
                <c:pt idx="2632">
                  <c:v>2.1402560342123254E-2</c:v>
                </c:pt>
                <c:pt idx="2633">
                  <c:v>2.1396013607133862E-2</c:v>
                </c:pt>
                <c:pt idx="2634">
                  <c:v>2.1389666551172203E-2</c:v>
                </c:pt>
                <c:pt idx="2635">
                  <c:v>2.138333657743979E-2</c:v>
                </c:pt>
                <c:pt idx="2636">
                  <c:v>2.1377209661220562E-2</c:v>
                </c:pt>
                <c:pt idx="2637">
                  <c:v>2.1370727876333612E-2</c:v>
                </c:pt>
                <c:pt idx="2638">
                  <c:v>2.1363699347801024E-2</c:v>
                </c:pt>
                <c:pt idx="2639">
                  <c:v>2.1357434304798417E-2</c:v>
                </c:pt>
                <c:pt idx="2640">
                  <c:v>2.1351186339157557E-2</c:v>
                </c:pt>
                <c:pt idx="2641">
                  <c:v>2.134495545079762E-2</c:v>
                </c:pt>
                <c:pt idx="2642">
                  <c:v>2.1335701899440996E-2</c:v>
                </c:pt>
                <c:pt idx="2643">
                  <c:v>2.1330086330657902E-2</c:v>
                </c:pt>
                <c:pt idx="2644">
                  <c:v>2.132410773254468E-2</c:v>
                </c:pt>
                <c:pt idx="2645">
                  <c:v>2.131668886146354E-2</c:v>
                </c:pt>
                <c:pt idx="2646">
                  <c:v>2.1311623115339962E-2</c:v>
                </c:pt>
                <c:pt idx="2647">
                  <c:v>2.130569832365346E-2</c:v>
                </c:pt>
                <c:pt idx="2648">
                  <c:v>2.1299399694666956E-2</c:v>
                </c:pt>
                <c:pt idx="2649">
                  <c:v>2.1292248341917563E-2</c:v>
                </c:pt>
                <c:pt idx="2650">
                  <c:v>2.1287442624935524E-2</c:v>
                </c:pt>
                <c:pt idx="2651">
                  <c:v>2.1281391549475694E-2</c:v>
                </c:pt>
                <c:pt idx="2652">
                  <c:v>2.1275357552607448E-2</c:v>
                </c:pt>
                <c:pt idx="2653">
                  <c:v>2.1269340634251718E-2</c:v>
                </c:pt>
                <c:pt idx="2654">
                  <c:v>2.1263340794332043E-2</c:v>
                </c:pt>
                <c:pt idx="2655">
                  <c:v>2.1257155666512716E-2</c:v>
                </c:pt>
                <c:pt idx="2656">
                  <c:v>2.1251189114686042E-2</c:v>
                </c:pt>
                <c:pt idx="2657">
                  <c:v>2.1243542926641126E-2</c:v>
                </c:pt>
                <c:pt idx="2658">
                  <c:v>2.1239307242264697E-2</c:v>
                </c:pt>
                <c:pt idx="2659">
                  <c:v>2.1233391921518061E-2</c:v>
                </c:pt>
                <c:pt idx="2660">
                  <c:v>2.122685931013241E-2</c:v>
                </c:pt>
                <c:pt idx="2661">
                  <c:v>2.1221820104529179E-2</c:v>
                </c:pt>
                <c:pt idx="2662">
                  <c:v>2.1215956889294115E-2</c:v>
                </c:pt>
                <c:pt idx="2663">
                  <c:v>2.120927698339526E-2</c:v>
                </c:pt>
                <c:pt idx="2664">
                  <c:v>2.1204281691966934E-2</c:v>
                </c:pt>
                <c:pt idx="2665">
                  <c:v>2.1198469709721893E-2</c:v>
                </c:pt>
                <c:pt idx="2666">
                  <c:v>2.1192674804989303E-2</c:v>
                </c:pt>
                <c:pt idx="2667">
                  <c:v>2.1186896977694436E-2</c:v>
                </c:pt>
                <c:pt idx="2668">
                  <c:v>2.1181136227759096E-2</c:v>
                </c:pt>
                <c:pt idx="2669">
                  <c:v>2.1175392555112034E-2</c:v>
                </c:pt>
                <c:pt idx="2670">
                  <c:v>2.1169665959675923E-2</c:v>
                </c:pt>
                <c:pt idx="2671">
                  <c:v>2.1163956441379514E-2</c:v>
                </c:pt>
                <c:pt idx="2672">
                  <c:v>2.1158264000142001E-2</c:v>
                </c:pt>
                <c:pt idx="2673">
                  <c:v>2.1152588635894747E-2</c:v>
                </c:pt>
                <c:pt idx="2674">
                  <c:v>2.1146930348562156E-2</c:v>
                </c:pt>
                <c:pt idx="2675">
                  <c:v>2.1141289138071246E-2</c:v>
                </c:pt>
                <c:pt idx="2676">
                  <c:v>2.1134862950692494E-2</c:v>
                </c:pt>
                <c:pt idx="2677">
                  <c:v>2.1129036479209495E-2</c:v>
                </c:pt>
                <c:pt idx="2678">
                  <c:v>2.1124245347865524E-2</c:v>
                </c:pt>
                <c:pt idx="2679">
                  <c:v>2.1118671550417321E-2</c:v>
                </c:pt>
                <c:pt idx="2680">
                  <c:v>2.1113114828367797E-2</c:v>
                </c:pt>
                <c:pt idx="2681">
                  <c:v>2.1107800484693909E-2</c:v>
                </c:pt>
                <c:pt idx="2682">
                  <c:v>2.1102278810049439E-2</c:v>
                </c:pt>
                <c:pt idx="2683">
                  <c:v>2.1095989234441281E-2</c:v>
                </c:pt>
                <c:pt idx="2684">
                  <c:v>2.1091286689464382E-2</c:v>
                </c:pt>
                <c:pt idx="2685">
                  <c:v>2.1085816243383911E-2</c:v>
                </c:pt>
                <c:pt idx="2686">
                  <c:v>2.1080362873347493E-2</c:v>
                </c:pt>
                <c:pt idx="2687">
                  <c:v>2.1074151359803974E-2</c:v>
                </c:pt>
                <c:pt idx="2688">
                  <c:v>2.1069507361130536E-2</c:v>
                </c:pt>
                <c:pt idx="2689">
                  <c:v>2.1064105218807496E-2</c:v>
                </c:pt>
                <c:pt idx="2690">
                  <c:v>2.1058486739053264E-2</c:v>
                </c:pt>
                <c:pt idx="2691">
                  <c:v>2.1053117841694044E-2</c:v>
                </c:pt>
                <c:pt idx="2692">
                  <c:v>2.1047766018887585E-2</c:v>
                </c:pt>
                <c:pt idx="2693">
                  <c:v>2.1042431270563614E-2</c:v>
                </c:pt>
                <c:pt idx="2694">
                  <c:v>2.1035170885994291E-2</c:v>
                </c:pt>
                <c:pt idx="2695">
                  <c:v>2.1030819172108473E-2</c:v>
                </c:pt>
                <c:pt idx="2696">
                  <c:v>2.1025537174148567E-2</c:v>
                </c:pt>
                <c:pt idx="2697">
                  <c:v>2.102027224932268E-2</c:v>
                </c:pt>
                <c:pt idx="2698">
                  <c:v>2.1015024397563309E-2</c:v>
                </c:pt>
                <c:pt idx="2699">
                  <c:v>2.1010035262914822E-2</c:v>
                </c:pt>
                <c:pt idx="2700">
                  <c:v>2.1004579912978549E-2</c:v>
                </c:pt>
                <c:pt idx="2701">
                  <c:v>2.0999383280020822E-2</c:v>
                </c:pt>
                <c:pt idx="2702">
                  <c:v>2.09944481155117E-2</c:v>
                </c:pt>
                <c:pt idx="2703">
                  <c:v>2.0989531959674429E-2</c:v>
                </c:pt>
                <c:pt idx="2704">
                  <c:v>2.0984388385788488E-2</c:v>
                </c:pt>
                <c:pt idx="2705">
                  <c:v>2.0979261886628523E-2</c:v>
                </c:pt>
                <c:pt idx="2706">
                  <c:v>2.0974152462125903E-2</c:v>
                </c:pt>
                <c:pt idx="2707">
                  <c:v>2.0967358926494914E-2</c:v>
                </c:pt>
                <c:pt idx="2708">
                  <c:v>2.0962287604493455E-2</c:v>
                </c:pt>
                <c:pt idx="2709">
                  <c:v>2.0957233355872948E-2</c:v>
                </c:pt>
                <c:pt idx="2710">
                  <c:v>2.0952196180572782E-2</c:v>
                </c:pt>
                <c:pt idx="2711">
                  <c:v>2.0947429149782041E-2</c:v>
                </c:pt>
                <c:pt idx="2712">
                  <c:v>2.0942427050190986E-2</c:v>
                </c:pt>
                <c:pt idx="2713">
                  <c:v>2.0937442024780262E-2</c:v>
                </c:pt>
                <c:pt idx="2714">
                  <c:v>2.0932474073482095E-2</c:v>
                </c:pt>
                <c:pt idx="2715">
                  <c:v>2.0927523196235667E-2</c:v>
                </c:pt>
                <c:pt idx="2716">
                  <c:v>2.0922589392971466E-2</c:v>
                </c:pt>
                <c:pt idx="2717">
                  <c:v>2.0917672663631277E-2</c:v>
                </c:pt>
                <c:pt idx="2718">
                  <c:v>2.0912773008145594E-2</c:v>
                </c:pt>
                <c:pt idx="2719">
                  <c:v>2.0907890426453597E-2</c:v>
                </c:pt>
                <c:pt idx="2720">
                  <c:v>2.0903024918490984E-2</c:v>
                </c:pt>
                <c:pt idx="2721">
                  <c:v>2.0898176484195199E-2</c:v>
                </c:pt>
                <c:pt idx="2722">
                  <c:v>2.0893345123502813E-2</c:v>
                </c:pt>
                <c:pt idx="2723">
                  <c:v>2.0888530836350405E-2</c:v>
                </c:pt>
                <c:pt idx="2724">
                  <c:v>2.0883733622674538E-2</c:v>
                </c:pt>
                <c:pt idx="2725">
                  <c:v>2.0878953482413528E-2</c:v>
                </c:pt>
                <c:pt idx="2726">
                  <c:v>2.0874190415507421E-2</c:v>
                </c:pt>
                <c:pt idx="2727">
                  <c:v>2.0869444421890187E-2</c:v>
                </c:pt>
                <c:pt idx="2728">
                  <c:v>2.0864715501502738E-2</c:v>
                </c:pt>
                <c:pt idx="2729">
                  <c:v>2.0859733695358079E-2</c:v>
                </c:pt>
                <c:pt idx="2730">
                  <c:v>2.085503797309167E-2</c:v>
                </c:pt>
                <c:pt idx="2731">
                  <c:v>2.0850359322827097E-2</c:v>
                </c:pt>
                <c:pt idx="2732">
                  <c:v>2.0846789578217756E-2</c:v>
                </c:pt>
                <c:pt idx="2733">
                  <c:v>2.0841326995854014E-2</c:v>
                </c:pt>
                <c:pt idx="2734">
                  <c:v>2.0836700513555011E-2</c:v>
                </c:pt>
                <c:pt idx="2735">
                  <c:v>2.0832091104060046E-2</c:v>
                </c:pt>
                <c:pt idx="2736">
                  <c:v>2.0827498767307433E-2</c:v>
                </c:pt>
                <c:pt idx="2737">
                  <c:v>2.082292350323809E-2</c:v>
                </c:pt>
                <c:pt idx="2738">
                  <c:v>2.0818365311792927E-2</c:v>
                </c:pt>
                <c:pt idx="2739">
                  <c:v>2.0813824192910259E-2</c:v>
                </c:pt>
                <c:pt idx="2740">
                  <c:v>2.0809300146534478E-2</c:v>
                </c:pt>
                <c:pt idx="2741">
                  <c:v>2.0803869170247603E-2</c:v>
                </c:pt>
                <c:pt idx="2742">
                  <c:v>2.0800020905000917E-2</c:v>
                </c:pt>
                <c:pt idx="2743">
                  <c:v>2.0795547114129089E-2</c:v>
                </c:pt>
                <c:pt idx="2744">
                  <c:v>2.0791090394492239E-2</c:v>
                </c:pt>
                <c:pt idx="2745">
                  <c:v>2.0784121468648806E-2</c:v>
                </c:pt>
                <c:pt idx="2746">
                  <c:v>2.0781597765495537E-2</c:v>
                </c:pt>
                <c:pt idx="2747">
                  <c:v>2.0777822662428464E-2</c:v>
                </c:pt>
                <c:pt idx="2748">
                  <c:v>2.0773434227166689E-2</c:v>
                </c:pt>
                <c:pt idx="2749">
                  <c:v>2.0769062862854404E-2</c:v>
                </c:pt>
                <c:pt idx="2750">
                  <c:v>2.0764708569438902E-2</c:v>
                </c:pt>
                <c:pt idx="2751">
                  <c:v>2.0760080392463465E-2</c:v>
                </c:pt>
                <c:pt idx="2752">
                  <c:v>2.0755759269856178E-2</c:v>
                </c:pt>
                <c:pt idx="2753">
                  <c:v>2.0751455216946546E-2</c:v>
                </c:pt>
                <c:pt idx="2754">
                  <c:v>2.0747168233682167E-2</c:v>
                </c:pt>
                <c:pt idx="2755">
                  <c:v>2.074348811197246E-2</c:v>
                </c:pt>
                <c:pt idx="2756">
                  <c:v>2.0739237217817522E-2</c:v>
                </c:pt>
                <c:pt idx="2757">
                  <c:v>2.0735003395197203E-2</c:v>
                </c:pt>
                <c:pt idx="2758">
                  <c:v>2.0730786644057635E-2</c:v>
                </c:pt>
                <c:pt idx="2759">
                  <c:v>2.0726288109804925E-2</c:v>
                </c:pt>
                <c:pt idx="2760">
                  <c:v>2.0722104522295094E-2</c:v>
                </c:pt>
                <c:pt idx="2761">
                  <c:v>2.0717938005075945E-2</c:v>
                </c:pt>
                <c:pt idx="2762">
                  <c:v>2.0713788558092128E-2</c:v>
                </c:pt>
                <c:pt idx="2763">
                  <c:v>2.0709656181292696E-2</c:v>
                </c:pt>
                <c:pt idx="2764">
                  <c:v>2.0705844635214132E-2</c:v>
                </c:pt>
                <c:pt idx="2765">
                  <c:v>2.0701747382901918E-2</c:v>
                </c:pt>
                <c:pt idx="2766">
                  <c:v>2.0697667201636891E-2</c:v>
                </c:pt>
                <c:pt idx="2767">
                  <c:v>2.0693604091363442E-2</c:v>
                </c:pt>
                <c:pt idx="2768">
                  <c:v>2.0689558052031171E-2</c:v>
                </c:pt>
                <c:pt idx="2769">
                  <c:v>2.0685529083586215E-2</c:v>
                </c:pt>
                <c:pt idx="2770">
                  <c:v>2.0681517185975572E-2</c:v>
                </c:pt>
                <c:pt idx="2771">
                  <c:v>2.0677522359148843E-2</c:v>
                </c:pt>
                <c:pt idx="2772">
                  <c:v>2.0673544603051295E-2</c:v>
                </c:pt>
                <c:pt idx="2773">
                  <c:v>2.0669583917634266E-2</c:v>
                </c:pt>
                <c:pt idx="2774">
                  <c:v>2.0665640302843888E-2</c:v>
                </c:pt>
                <c:pt idx="2775">
                  <c:v>2.0661713758631507E-2</c:v>
                </c:pt>
                <c:pt idx="2776">
                  <c:v>2.0657804284943248E-2</c:v>
                </c:pt>
                <c:pt idx="2777">
                  <c:v>2.0653911881727851E-2</c:v>
                </c:pt>
                <c:pt idx="2778">
                  <c:v>2.0650036548935793E-2</c:v>
                </c:pt>
                <c:pt idx="2779">
                  <c:v>2.0646178286519278E-2</c:v>
                </c:pt>
                <c:pt idx="2780">
                  <c:v>2.0642337094424444E-2</c:v>
                </c:pt>
                <c:pt idx="2781">
                  <c:v>2.0638192340721766E-2</c:v>
                </c:pt>
                <c:pt idx="2782">
                  <c:v>2.0634384287553143E-2</c:v>
                </c:pt>
                <c:pt idx="2783">
                  <c:v>2.0630593303545552E-2</c:v>
                </c:pt>
                <c:pt idx="2784">
                  <c:v>2.0626819388648923E-2</c:v>
                </c:pt>
                <c:pt idx="2785">
                  <c:v>2.0623062542818451E-2</c:v>
                </c:pt>
                <c:pt idx="2786">
                  <c:v>2.0619648415848534E-2</c:v>
                </c:pt>
                <c:pt idx="2787">
                  <c:v>2.061592671462481E-2</c:v>
                </c:pt>
                <c:pt idx="2788">
                  <c:v>2.0612222083330904E-2</c:v>
                </c:pt>
                <c:pt idx="2789">
                  <c:v>2.0608534521918156E-2</c:v>
                </c:pt>
                <c:pt idx="2790">
                  <c:v>2.0604864030337046E-2</c:v>
                </c:pt>
                <c:pt idx="2791">
                  <c:v>2.060135208701741E-2</c:v>
                </c:pt>
                <c:pt idx="2792">
                  <c:v>2.0597574256485531E-2</c:v>
                </c:pt>
                <c:pt idx="2793">
                  <c:v>2.0594105379702337E-2</c:v>
                </c:pt>
                <c:pt idx="2794">
                  <c:v>2.058968540869266E-2</c:v>
                </c:pt>
                <c:pt idx="2795">
                  <c:v>2.0586098236320183E-2</c:v>
                </c:pt>
                <c:pt idx="2796">
                  <c:v>2.0582528131485311E-2</c:v>
                </c:pt>
                <c:pt idx="2797">
                  <c:v>2.0578975094144525E-2</c:v>
                </c:pt>
                <c:pt idx="2798">
                  <c:v>2.0572923880901151E-2</c:v>
                </c:pt>
                <c:pt idx="2799">
                  <c:v>2.057141891465708E-2</c:v>
                </c:pt>
                <c:pt idx="2800">
                  <c:v>2.0567919517714195E-2</c:v>
                </c:pt>
                <c:pt idx="2801">
                  <c:v>2.05644371880771E-2</c:v>
                </c:pt>
                <c:pt idx="2802">
                  <c:v>2.0560971925703164E-2</c:v>
                </c:pt>
                <c:pt idx="2803">
                  <c:v>2.0557180906272433E-2</c:v>
                </c:pt>
                <c:pt idx="2804">
                  <c:v>2.0553748754690168E-2</c:v>
                </c:pt>
                <c:pt idx="2805">
                  <c:v>2.0550333669236188E-2</c:v>
                </c:pt>
                <c:pt idx="2806">
                  <c:v>2.0546935649872772E-2</c:v>
                </c:pt>
                <c:pt idx="2807">
                  <c:v>2.0545290432102473E-2</c:v>
                </c:pt>
                <c:pt idx="2808">
                  <c:v>2.054193168411295E-2</c:v>
                </c:pt>
                <c:pt idx="2809">
                  <c:v>2.0538590007079992E-2</c:v>
                </c:pt>
                <c:pt idx="2810">
                  <c:v>2.0535265400957677E-2</c:v>
                </c:pt>
                <c:pt idx="2811">
                  <c:v>2.053090373674624E-2</c:v>
                </c:pt>
                <c:pt idx="2812">
                  <c:v>2.0525735804903775E-2</c:v>
                </c:pt>
                <c:pt idx="2813">
                  <c:v>2.0524333683708363E-2</c:v>
                </c:pt>
                <c:pt idx="2814">
                  <c:v>2.0521074258828913E-2</c:v>
                </c:pt>
                <c:pt idx="2815">
                  <c:v>2.0517831901648808E-2</c:v>
                </c:pt>
                <c:pt idx="2816">
                  <c:v>2.0515676250893913E-2</c:v>
                </c:pt>
                <c:pt idx="2817">
                  <c:v>2.0512471139924094E-2</c:v>
                </c:pt>
                <c:pt idx="2818">
                  <c:v>2.050928309951711E-2</c:v>
                </c:pt>
                <c:pt idx="2819">
                  <c:v>2.0506472015484469E-2</c:v>
                </c:pt>
                <c:pt idx="2820">
                  <c:v>2.0503319156302317E-2</c:v>
                </c:pt>
                <c:pt idx="2821">
                  <c:v>2.0499821401255634E-2</c:v>
                </c:pt>
                <c:pt idx="2822">
                  <c:v>2.0496701642681601E-2</c:v>
                </c:pt>
                <c:pt idx="2823">
                  <c:v>2.0493598954461213E-2</c:v>
                </c:pt>
                <c:pt idx="2824">
                  <c:v>2.0490513336554498E-2</c:v>
                </c:pt>
                <c:pt idx="2825">
                  <c:v>2.0487810931020676E-2</c:v>
                </c:pt>
                <c:pt idx="2826">
                  <c:v>2.0484393311515411E-2</c:v>
                </c:pt>
                <c:pt idx="2827">
                  <c:v>2.0481358904300553E-2</c:v>
                </c:pt>
                <c:pt idx="2828">
                  <c:v>2.0478341567236092E-2</c:v>
                </c:pt>
                <c:pt idx="2829">
                  <c:v>2.0475341300280364E-2</c:v>
                </c:pt>
                <c:pt idx="2830">
                  <c:v>2.0472358103395951E-2</c:v>
                </c:pt>
                <c:pt idx="2831">
                  <c:v>2.0469391976542881E-2</c:v>
                </c:pt>
                <c:pt idx="2832">
                  <c:v>2.046644291967864E-2</c:v>
                </c:pt>
                <c:pt idx="2833">
                  <c:v>2.0462388003023184E-2</c:v>
                </c:pt>
                <c:pt idx="2834">
                  <c:v>2.0459469924509414E-2</c:v>
                </c:pt>
                <c:pt idx="2835">
                  <c:v>2.0456568912903532E-2</c:v>
                </c:pt>
                <c:pt idx="2836">
                  <c:v>2.0453684968172153E-2</c:v>
                </c:pt>
                <c:pt idx="2837">
                  <c:v>2.0450818090273121E-2</c:v>
                </c:pt>
                <c:pt idx="2838">
                  <c:v>2.0449107046119835E-2</c:v>
                </c:pt>
                <c:pt idx="2839">
                  <c:v>2.0446658356827695E-2</c:v>
                </c:pt>
                <c:pt idx="2840">
                  <c:v>2.0443464979776348E-2</c:v>
                </c:pt>
                <c:pt idx="2841">
                  <c:v>2.0440669551091219E-2</c:v>
                </c:pt>
                <c:pt idx="2842">
                  <c:v>2.04378911920148E-2</c:v>
                </c:pt>
                <c:pt idx="2843">
                  <c:v>2.0433180905112043E-2</c:v>
                </c:pt>
                <c:pt idx="2844">
                  <c:v>2.0432771871243535E-2</c:v>
                </c:pt>
                <c:pt idx="2845">
                  <c:v>2.0429658532072098E-2</c:v>
                </c:pt>
                <c:pt idx="2846">
                  <c:v>2.0425396336712254E-2</c:v>
                </c:pt>
                <c:pt idx="2847">
                  <c:v>2.0422699058777916E-2</c:v>
                </c:pt>
                <c:pt idx="2848">
                  <c:v>2.0420018846301957E-2</c:v>
                </c:pt>
                <c:pt idx="2849">
                  <c:v>2.0417355699247963E-2</c:v>
                </c:pt>
                <c:pt idx="2850">
                  <c:v>2.0415101743071137E-2</c:v>
                </c:pt>
                <c:pt idx="2851">
                  <c:v>2.0412080601278859E-2</c:v>
                </c:pt>
                <c:pt idx="2852">
                  <c:v>2.0409468650293583E-2</c:v>
                </c:pt>
                <c:pt idx="2853">
                  <c:v>2.0406873764597933E-2</c:v>
                </c:pt>
                <c:pt idx="2854">
                  <c:v>2.0404295944158157E-2</c:v>
                </c:pt>
                <c:pt idx="2855">
                  <c:v>2.0401337819567305E-2</c:v>
                </c:pt>
                <c:pt idx="2856">
                  <c:v>2.0398793054448677E-2</c:v>
                </c:pt>
                <c:pt idx="2857">
                  <c:v>2.0396265353507533E-2</c:v>
                </c:pt>
                <c:pt idx="2858">
                  <c:v>2.0393754716712443E-2</c:v>
                </c:pt>
                <c:pt idx="2859">
                  <c:v>2.0393270702943528E-2</c:v>
                </c:pt>
                <c:pt idx="2860">
                  <c:v>2.0390799590726549E-2</c:v>
                </c:pt>
                <c:pt idx="2861">
                  <c:v>2.0388345547456676E-2</c:v>
                </c:pt>
                <c:pt idx="2862">
                  <c:v>2.0383711782554589E-2</c:v>
                </c:pt>
                <c:pt idx="2863">
                  <c:v>2.0382269607514932E-2</c:v>
                </c:pt>
                <c:pt idx="2864">
                  <c:v>2.0379863520924305E-2</c:v>
                </c:pt>
                <c:pt idx="2865">
                  <c:v>2.0377474500216451E-2</c:v>
                </c:pt>
                <c:pt idx="2866">
                  <c:v>2.0375102545363261E-2</c:v>
                </c:pt>
                <c:pt idx="2867">
                  <c:v>2.0373979733876255E-2</c:v>
                </c:pt>
                <c:pt idx="2868">
                  <c:v>2.037164517232197E-2</c:v>
                </c:pt>
                <c:pt idx="2869">
                  <c:v>2.0369327679459676E-2</c:v>
                </c:pt>
                <c:pt idx="2870">
                  <c:v>2.0367027255257908E-2</c:v>
                </c:pt>
                <c:pt idx="2871">
                  <c:v>2.0365159186381283E-2</c:v>
                </c:pt>
                <c:pt idx="2872">
                  <c:v>2.0362893990802385E-2</c:v>
                </c:pt>
                <c:pt idx="2873">
                  <c:v>2.0360228394306231E-2</c:v>
                </c:pt>
                <c:pt idx="2874">
                  <c:v>2.0357996244440436E-2</c:v>
                </c:pt>
                <c:pt idx="2875">
                  <c:v>2.03557811630838E-2</c:v>
                </c:pt>
                <c:pt idx="2876">
                  <c:v>2.035232161216978E-2</c:v>
                </c:pt>
                <c:pt idx="2877">
                  <c:v>2.0351824055461782E-2</c:v>
                </c:pt>
                <c:pt idx="2878">
                  <c:v>2.0349238329777166E-2</c:v>
                </c:pt>
                <c:pt idx="2879">
                  <c:v>2.0347091522163786E-2</c:v>
                </c:pt>
                <c:pt idx="2880">
                  <c:v>2.0344961782914998E-2</c:v>
                </c:pt>
                <c:pt idx="2881">
                  <c:v>2.0342849112005294E-2</c:v>
                </c:pt>
                <c:pt idx="2882">
                  <c:v>2.0340753509401507E-2</c:v>
                </c:pt>
                <c:pt idx="2883">
                  <c:v>2.0338674975076427E-2</c:v>
                </c:pt>
                <c:pt idx="2884">
                  <c:v>2.033661350900624E-2</c:v>
                </c:pt>
                <c:pt idx="2885">
                  <c:v>2.0333277876035366E-2</c:v>
                </c:pt>
                <c:pt idx="2886">
                  <c:v>2.0331247232133545E-2</c:v>
                </c:pt>
                <c:pt idx="2887">
                  <c:v>2.0329233653489067E-2</c:v>
                </c:pt>
                <c:pt idx="2888">
                  <c:v>2.0327237140078207E-2</c:v>
                </c:pt>
                <c:pt idx="2889">
                  <c:v>2.0325257691873738E-2</c:v>
                </c:pt>
                <c:pt idx="2890">
                  <c:v>2.032460314435874E-2</c:v>
                </c:pt>
                <c:pt idx="2891">
                  <c:v>2.0323098454773769E-2</c:v>
                </c:pt>
                <c:pt idx="2892">
                  <c:v>2.0320736234277235E-2</c:v>
                </c:pt>
                <c:pt idx="2893">
                  <c:v>2.0318828381270596E-2</c:v>
                </c:pt>
                <c:pt idx="2894">
                  <c:v>2.0316937596252679E-2</c:v>
                </c:pt>
                <c:pt idx="2895">
                  <c:v>2.0313381998813468E-2</c:v>
                </c:pt>
                <c:pt idx="2896">
                  <c:v>2.0313650093430773E-2</c:v>
                </c:pt>
                <c:pt idx="2897">
                  <c:v>2.0311367648877011E-2</c:v>
                </c:pt>
                <c:pt idx="2898">
                  <c:v>2.03077659855877E-2</c:v>
                </c:pt>
                <c:pt idx="2899">
                  <c:v>2.030595607099972E-2</c:v>
                </c:pt>
                <c:pt idx="2900">
                  <c:v>2.0304163220384197E-2</c:v>
                </c:pt>
                <c:pt idx="2901">
                  <c:v>2.0302387433714486E-2</c:v>
                </c:pt>
                <c:pt idx="2902">
                  <c:v>2.0301077787742042E-2</c:v>
                </c:pt>
                <c:pt idx="2903">
                  <c:v>2.029888705213434E-2</c:v>
                </c:pt>
                <c:pt idx="2904">
                  <c:v>2.029716245717772E-2</c:v>
                </c:pt>
                <c:pt idx="2905">
                  <c:v>2.0295454926078094E-2</c:v>
                </c:pt>
                <c:pt idx="2906">
                  <c:v>2.0293764458817698E-2</c:v>
                </c:pt>
                <c:pt idx="2907">
                  <c:v>2.0291636488582707E-2</c:v>
                </c:pt>
                <c:pt idx="2908">
                  <c:v>2.0289979023280624E-2</c:v>
                </c:pt>
                <c:pt idx="2909">
                  <c:v>2.0288338620786332E-2</c:v>
                </c:pt>
                <c:pt idx="2910">
                  <c:v>2.0286715281080978E-2</c:v>
                </c:pt>
                <c:pt idx="2911">
                  <c:v>2.028740562967922E-2</c:v>
                </c:pt>
                <c:pt idx="2912">
                  <c:v>2.0285822064373103E-2</c:v>
                </c:pt>
                <c:pt idx="2913">
                  <c:v>2.0284255566616061E-2</c:v>
                </c:pt>
                <c:pt idx="2914">
                  <c:v>2.0282706136386833E-2</c:v>
                </c:pt>
                <c:pt idx="2915">
                  <c:v>2.0279781847163586E-2</c:v>
                </c:pt>
                <c:pt idx="2916">
                  <c:v>2.0278263150629781E-2</c:v>
                </c:pt>
                <c:pt idx="2917">
                  <c:v>2.0275911104908517E-2</c:v>
                </c:pt>
                <c:pt idx="2918">
                  <c:v>2.0275276951273419E-2</c:v>
                </c:pt>
                <c:pt idx="2919">
                  <c:v>2.0273809448409577E-2</c:v>
                </c:pt>
                <c:pt idx="2920">
                  <c:v>2.0273767971977372E-2</c:v>
                </c:pt>
                <c:pt idx="2921">
                  <c:v>2.0272338013883309E-2</c:v>
                </c:pt>
                <c:pt idx="2922">
                  <c:v>2.0270925123161442E-2</c:v>
                </c:pt>
                <c:pt idx="2923">
                  <c:v>2.027000262560379E-2</c:v>
                </c:pt>
                <c:pt idx="2924">
                  <c:v>2.0268625011303262E-2</c:v>
                </c:pt>
                <c:pt idx="2925">
                  <c:v>2.0266788855028334E-2</c:v>
                </c:pt>
                <c:pt idx="2926">
                  <c:v>2.0265444233600514E-2</c:v>
                </c:pt>
                <c:pt idx="2927">
                  <c:v>2.0264116679452202E-2</c:v>
                </c:pt>
                <c:pt idx="2928">
                  <c:v>2.0261369823805331E-2</c:v>
                </c:pt>
                <c:pt idx="2929">
                  <c:v>2.0261992963588046E-2</c:v>
                </c:pt>
                <c:pt idx="2930">
                  <c:v>2.0260236420499754E-2</c:v>
                </c:pt>
                <c:pt idx="2931">
                  <c:v>2.0258977135288327E-2</c:v>
                </c:pt>
                <c:pt idx="2932">
                  <c:v>2.0257734917272216E-2</c:v>
                </c:pt>
                <c:pt idx="2933">
                  <c:v>2.0256509766431015E-2</c:v>
                </c:pt>
                <c:pt idx="2934">
                  <c:v>2.0255787620573878E-2</c:v>
                </c:pt>
                <c:pt idx="2935">
                  <c:v>2.0254110666211252E-2</c:v>
                </c:pt>
                <c:pt idx="2936">
                  <c:v>2.0252936716800379E-2</c:v>
                </c:pt>
                <c:pt idx="2937">
                  <c:v>2.0250312412382798E-2</c:v>
                </c:pt>
                <c:pt idx="2938">
                  <c:v>2.0249169132399585E-2</c:v>
                </c:pt>
                <c:pt idx="2939">
                  <c:v>2.0248042916618733E-2</c:v>
                </c:pt>
                <c:pt idx="2940">
                  <c:v>2.0246933765026183E-2</c:v>
                </c:pt>
                <c:pt idx="2941">
                  <c:v>2.0247322976128062E-2</c:v>
                </c:pt>
                <c:pt idx="2942">
                  <c:v>2.0246251429163711E-2</c:v>
                </c:pt>
                <c:pt idx="2943">
                  <c:v>2.0245196949223748E-2</c:v>
                </c:pt>
                <c:pt idx="2944">
                  <c:v>2.024465704045229E-2</c:v>
                </c:pt>
                <c:pt idx="2945">
                  <c:v>2.0243139190355766E-2</c:v>
                </c:pt>
                <c:pt idx="2946">
                  <c:v>2.0242135911403083E-2</c:v>
                </c:pt>
                <c:pt idx="2947">
                  <c:v>2.0241149699416965E-2</c:v>
                </c:pt>
                <c:pt idx="2948">
                  <c:v>2.0240682711947258E-2</c:v>
                </c:pt>
                <c:pt idx="2949">
                  <c:v>2.0239228476298499E-2</c:v>
                </c:pt>
                <c:pt idx="2950">
                  <c:v>2.023678077635397E-2</c:v>
                </c:pt>
                <c:pt idx="2951">
                  <c:v>2.0235859329926241E-2</c:v>
                </c:pt>
                <c:pt idx="2952">
                  <c:v>2.0234954947528697E-2</c:v>
                </c:pt>
                <c:pt idx="2953">
                  <c:v>2.0234067629149925E-2</c:v>
                </c:pt>
                <c:pt idx="2954">
                  <c:v>2.0232829632290613E-2</c:v>
                </c:pt>
                <c:pt idx="2955">
                  <c:v>2.023249420254114E-2</c:v>
                </c:pt>
                <c:pt idx="2956">
                  <c:v>2.0231154941796201E-2</c:v>
                </c:pt>
                <c:pt idx="2957">
                  <c:v>2.0230228621301603E-2</c:v>
                </c:pt>
                <c:pt idx="2958">
                  <c:v>2.0229548507181859E-2</c:v>
                </c:pt>
                <c:pt idx="2959">
                  <c:v>2.0229286028883974E-2</c:v>
                </c:pt>
                <c:pt idx="2960">
                  <c:v>2.0228010328361499E-2</c:v>
                </c:pt>
                <c:pt idx="2961">
                  <c:v>2.0226644481302181E-2</c:v>
                </c:pt>
                <c:pt idx="2962">
                  <c:v>2.0227059080091647E-2</c:v>
                </c:pt>
                <c:pt idx="2963">
                  <c:v>2.022635089357526E-2</c:v>
                </c:pt>
                <c:pt idx="2964">
                  <c:v>2.0225659771917096E-2</c:v>
                </c:pt>
                <c:pt idx="2965">
                  <c:v>2.0224985715107599E-2</c:v>
                </c:pt>
                <c:pt idx="2966">
                  <c:v>2.0224328723138944E-2</c:v>
                </c:pt>
                <c:pt idx="2967">
                  <c:v>2.0223164215783896E-2</c:v>
                </c:pt>
                <c:pt idx="2968">
                  <c:v>2.0222365004770045E-2</c:v>
                </c:pt>
                <c:pt idx="2969">
                  <c:v>2.0221933187121153E-2</c:v>
                </c:pt>
                <c:pt idx="2970">
                  <c:v>2.0221343268570221E-2</c:v>
                </c:pt>
                <c:pt idx="2971">
                  <c:v>2.02207704138615E-2</c:v>
                </c:pt>
                <c:pt idx="2972">
                  <c:v>2.0220667296545723E-2</c:v>
                </c:pt>
                <c:pt idx="2973">
                  <c:v>2.0220207594203444E-2</c:v>
                </c:pt>
                <c:pt idx="2974">
                  <c:v>2.0219687120670477E-2</c:v>
                </c:pt>
                <c:pt idx="2975">
                  <c:v>2.0219113189413173E-2</c:v>
                </c:pt>
                <c:pt idx="2976">
                  <c:v>2.0218697367910727E-2</c:v>
                </c:pt>
                <c:pt idx="2977">
                  <c:v>2.0218228088672647E-2</c:v>
                </c:pt>
                <c:pt idx="2978">
                  <c:v>2.0217775874186789E-2</c:v>
                </c:pt>
                <c:pt idx="2979">
                  <c:v>2.0217340724447072E-2</c:v>
                </c:pt>
                <c:pt idx="2980">
                  <c:v>2.0216922639449145E-2</c:v>
                </c:pt>
                <c:pt idx="2981">
                  <c:v>2.0216521619187799E-2</c:v>
                </c:pt>
                <c:pt idx="2982">
                  <c:v>2.0216137663653475E-2</c:v>
                </c:pt>
                <c:pt idx="2983">
                  <c:v>2.0215770772847912E-2</c:v>
                </c:pt>
                <c:pt idx="2984">
                  <c:v>2.0215420946762423E-2</c:v>
                </c:pt>
                <c:pt idx="2985">
                  <c:v>2.021508818539092E-2</c:v>
                </c:pt>
                <c:pt idx="2986">
                  <c:v>2.0215319862578487E-2</c:v>
                </c:pt>
                <c:pt idx="2987">
                  <c:v>2.0214473856780331E-2</c:v>
                </c:pt>
                <c:pt idx="2988">
                  <c:v>2.0214153458679236E-2</c:v>
                </c:pt>
                <c:pt idx="2989">
                  <c:v>2.0213340373899751E-2</c:v>
                </c:pt>
                <c:pt idx="2990">
                  <c:v>2.0213128296191388E-2</c:v>
                </c:pt>
                <c:pt idx="2991">
                  <c:v>2.0212896717097025E-2</c:v>
                </c:pt>
                <c:pt idx="2992">
                  <c:v>2.0212682201738583E-2</c:v>
                </c:pt>
                <c:pt idx="2993">
                  <c:v>2.0212484750109908E-2</c:v>
                </c:pt>
                <c:pt idx="2994">
                  <c:v>2.0212861244636511E-2</c:v>
                </c:pt>
                <c:pt idx="2995">
                  <c:v>2.0212677364059659E-2</c:v>
                </c:pt>
                <c:pt idx="2996">
                  <c:v>2.0212554080493692E-2</c:v>
                </c:pt>
                <c:pt idx="2997">
                  <c:v>2.0212426095442441E-2</c:v>
                </c:pt>
                <c:pt idx="2998">
                  <c:v>2.0212315134688814E-2</c:v>
                </c:pt>
                <c:pt idx="2999">
                  <c:v>2.0212220479633714E-2</c:v>
                </c:pt>
                <c:pt idx="3000">
                  <c:v>2.0212140848913436E-2</c:v>
                </c:pt>
                <c:pt idx="3001">
                  <c:v>2.0212074944124851E-2</c:v>
                </c:pt>
                <c:pt idx="3002">
                  <c:v>2.0211456552341224E-2</c:v>
                </c:pt>
                <c:pt idx="3003">
                  <c:v>2.021141374125468E-2</c:v>
                </c:pt>
                <c:pt idx="3004">
                  <c:v>2.0211380868376632E-2</c:v>
                </c:pt>
                <c:pt idx="3005">
                  <c:v>2.0211356621113976E-2</c:v>
                </c:pt>
                <c:pt idx="3006">
                  <c:v>2.0210769815213858E-2</c:v>
                </c:pt>
                <c:pt idx="3007">
                  <c:v>2.0210760250138904E-2</c:v>
                </c:pt>
                <c:pt idx="3008">
                  <c:v>2.0210755045544815E-2</c:v>
                </c:pt>
                <c:pt idx="3009">
                  <c:v>2.0210752874332272E-2</c:v>
                </c:pt>
                <c:pt idx="3010">
                  <c:v>2.0210752409393962E-2</c:v>
                </c:pt>
                <c:pt idx="3011">
                  <c:v>2.0210752404234533E-2</c:v>
                </c:pt>
                <c:pt idx="3012">
                  <c:v>2.0210186042199679E-2</c:v>
                </c:pt>
                <c:pt idx="3013">
                  <c:v>2.0210186042198781E-2</c:v>
                </c:pt>
                <c:pt idx="3014">
                  <c:v>2.0210752404235421E-2</c:v>
                </c:pt>
                <c:pt idx="3015">
                  <c:v>2.0211885191766678E-2</c:v>
                </c:pt>
                <c:pt idx="3016">
                  <c:v>2.0211885191767549E-2</c:v>
                </c:pt>
                <c:pt idx="3017">
                  <c:v>2.0211885191766678E-2</c:v>
                </c:pt>
                <c:pt idx="3018">
                  <c:v>2.0211885191767549E-2</c:v>
                </c:pt>
                <c:pt idx="3019">
                  <c:v>2.0211318787423507E-2</c:v>
                </c:pt>
                <c:pt idx="3020">
                  <c:v>2.0211318787424385E-2</c:v>
                </c:pt>
                <c:pt idx="3021">
                  <c:v>2.0211318787423507E-2</c:v>
                </c:pt>
                <c:pt idx="3022">
                  <c:v>2.0211318787423507E-2</c:v>
                </c:pt>
                <c:pt idx="3023">
                  <c:v>2.0211885191767549E-2</c:v>
                </c:pt>
                <c:pt idx="3024">
                  <c:v>2.0211885191766678E-2</c:v>
                </c:pt>
                <c:pt idx="3025">
                  <c:v>2.0211885191767549E-2</c:v>
                </c:pt>
                <c:pt idx="3026">
                  <c:v>2.0211885191766678E-2</c:v>
                </c:pt>
                <c:pt idx="3027">
                  <c:v>2.0211885191766678E-2</c:v>
                </c:pt>
                <c:pt idx="3028">
                  <c:v>2.0211885191767549E-2</c:v>
                </c:pt>
                <c:pt idx="3029">
                  <c:v>2.0211885191766678E-2</c:v>
                </c:pt>
                <c:pt idx="3030">
                  <c:v>2.0211885191766678E-2</c:v>
                </c:pt>
                <c:pt idx="3031">
                  <c:v>2.0211885191766678E-2</c:v>
                </c:pt>
                <c:pt idx="3032">
                  <c:v>2.0211885191766678E-2</c:v>
                </c:pt>
                <c:pt idx="3033">
                  <c:v>2.0211885191766678E-2</c:v>
                </c:pt>
                <c:pt idx="3034">
                  <c:v>2.0211885191767549E-2</c:v>
                </c:pt>
                <c:pt idx="3035">
                  <c:v>2.0211885191766678E-2</c:v>
                </c:pt>
                <c:pt idx="3036">
                  <c:v>2.0211885191766678E-2</c:v>
                </c:pt>
                <c:pt idx="3037">
                  <c:v>2.0211885191766678E-2</c:v>
                </c:pt>
                <c:pt idx="3038">
                  <c:v>2.0211885191766678E-2</c:v>
                </c:pt>
                <c:pt idx="3039">
                  <c:v>2.0211885191767549E-2</c:v>
                </c:pt>
                <c:pt idx="3040">
                  <c:v>2.0211885191767549E-2</c:v>
                </c:pt>
                <c:pt idx="3041">
                  <c:v>2.0211318787424385E-2</c:v>
                </c:pt>
                <c:pt idx="3042">
                  <c:v>2.0211318787424385E-2</c:v>
                </c:pt>
                <c:pt idx="3043">
                  <c:v>2.0211318787423507E-2</c:v>
                </c:pt>
                <c:pt idx="3044">
                  <c:v>2.0211318787423507E-2</c:v>
                </c:pt>
                <c:pt idx="3045">
                  <c:v>2.0213584531730468E-2</c:v>
                </c:pt>
                <c:pt idx="3046">
                  <c:v>2.0211885191767549E-2</c:v>
                </c:pt>
                <c:pt idx="3047">
                  <c:v>2.0211885191766678E-2</c:v>
                </c:pt>
                <c:pt idx="3048">
                  <c:v>2.0211885191766678E-2</c:v>
                </c:pt>
                <c:pt idx="3049">
                  <c:v>2.0211885191767549E-2</c:v>
                </c:pt>
                <c:pt idx="3050">
                  <c:v>2.0211885191767549E-2</c:v>
                </c:pt>
                <c:pt idx="3051">
                  <c:v>2.0211885191767549E-2</c:v>
                </c:pt>
                <c:pt idx="3052">
                  <c:v>2.0211885191766678E-2</c:v>
                </c:pt>
                <c:pt idx="3053">
                  <c:v>2.0211318787423507E-2</c:v>
                </c:pt>
                <c:pt idx="3054">
                  <c:v>2.0210752404233645E-2</c:v>
                </c:pt>
                <c:pt idx="3055">
                  <c:v>2.0210752404234533E-2</c:v>
                </c:pt>
                <c:pt idx="3056">
                  <c:v>2.0210752404235421E-2</c:v>
                </c:pt>
                <c:pt idx="3057">
                  <c:v>2.0210752404234533E-2</c:v>
                </c:pt>
                <c:pt idx="3058">
                  <c:v>2.0210752404234533E-2</c:v>
                </c:pt>
                <c:pt idx="3059">
                  <c:v>2.0210752404234533E-2</c:v>
                </c:pt>
                <c:pt idx="3060">
                  <c:v>2.0210752404234533E-2</c:v>
                </c:pt>
                <c:pt idx="3061">
                  <c:v>2.0210752404234533E-2</c:v>
                </c:pt>
                <c:pt idx="3062">
                  <c:v>2.0210752404234533E-2</c:v>
                </c:pt>
                <c:pt idx="3063">
                  <c:v>2.0210186042197882E-2</c:v>
                </c:pt>
                <c:pt idx="3064">
                  <c:v>2.0210186042199679E-2</c:v>
                </c:pt>
                <c:pt idx="3065">
                  <c:v>2.0210186042198781E-2</c:v>
                </c:pt>
                <c:pt idx="3066">
                  <c:v>2.0210186042198781E-2</c:v>
                </c:pt>
                <c:pt idx="3067">
                  <c:v>2.0211885191766678E-2</c:v>
                </c:pt>
                <c:pt idx="3068">
                  <c:v>2.0211885191767549E-2</c:v>
                </c:pt>
                <c:pt idx="3069">
                  <c:v>2.0211885191766678E-2</c:v>
                </c:pt>
                <c:pt idx="3070">
                  <c:v>2.0211885191766678E-2</c:v>
                </c:pt>
                <c:pt idx="3071">
                  <c:v>2.0211318787424385E-2</c:v>
                </c:pt>
                <c:pt idx="3072">
                  <c:v>2.0211318787423507E-2</c:v>
                </c:pt>
                <c:pt idx="3073">
                  <c:v>2.021131878742263E-2</c:v>
                </c:pt>
                <c:pt idx="3074">
                  <c:v>2.0211318787423507E-2</c:v>
                </c:pt>
                <c:pt idx="3075">
                  <c:v>2.0211318787424385E-2</c:v>
                </c:pt>
                <c:pt idx="3076">
                  <c:v>2.0211885191767549E-2</c:v>
                </c:pt>
                <c:pt idx="3077">
                  <c:v>2.0211885191766678E-2</c:v>
                </c:pt>
                <c:pt idx="3078">
                  <c:v>2.0211885191766678E-2</c:v>
                </c:pt>
                <c:pt idx="3079">
                  <c:v>2.0211885191767549E-2</c:v>
                </c:pt>
                <c:pt idx="3080">
                  <c:v>2.0211885191767549E-2</c:v>
                </c:pt>
                <c:pt idx="3081">
                  <c:v>2.0211885191766678E-2</c:v>
                </c:pt>
                <c:pt idx="3082">
                  <c:v>2.0211885191766678E-2</c:v>
                </c:pt>
                <c:pt idx="3083">
                  <c:v>2.0211885191767549E-2</c:v>
                </c:pt>
                <c:pt idx="3084">
                  <c:v>2.0211885191766678E-2</c:v>
                </c:pt>
                <c:pt idx="3085">
                  <c:v>2.0211885191766678E-2</c:v>
                </c:pt>
                <c:pt idx="3086">
                  <c:v>2.0211885191767549E-2</c:v>
                </c:pt>
                <c:pt idx="3087">
                  <c:v>2.0211885191766678E-2</c:v>
                </c:pt>
                <c:pt idx="3088">
                  <c:v>2.0211885191766678E-2</c:v>
                </c:pt>
                <c:pt idx="3089">
                  <c:v>2.0211885191766678E-2</c:v>
                </c:pt>
                <c:pt idx="3090">
                  <c:v>2.0211885191767549E-2</c:v>
                </c:pt>
                <c:pt idx="3091">
                  <c:v>2.0211885191766678E-2</c:v>
                </c:pt>
                <c:pt idx="3092">
                  <c:v>2.021188519176581E-2</c:v>
                </c:pt>
                <c:pt idx="3093">
                  <c:v>2.0211318787424385E-2</c:v>
                </c:pt>
                <c:pt idx="3094">
                  <c:v>2.0211318787424385E-2</c:v>
                </c:pt>
                <c:pt idx="3095">
                  <c:v>2.0211318787423507E-2</c:v>
                </c:pt>
                <c:pt idx="3096">
                  <c:v>2.0211318787424385E-2</c:v>
                </c:pt>
                <c:pt idx="3097">
                  <c:v>2.0211318787423507E-2</c:v>
                </c:pt>
                <c:pt idx="3098">
                  <c:v>2.0211885191766678E-2</c:v>
                </c:pt>
                <c:pt idx="3099">
                  <c:v>2.0211885191767549E-2</c:v>
                </c:pt>
                <c:pt idx="3100">
                  <c:v>2.0211885191766678E-2</c:v>
                </c:pt>
                <c:pt idx="3101">
                  <c:v>2.021188519176581E-2</c:v>
                </c:pt>
                <c:pt idx="3102">
                  <c:v>2.0211885191766678E-2</c:v>
                </c:pt>
                <c:pt idx="3103">
                  <c:v>2.0213018063919286E-2</c:v>
                </c:pt>
                <c:pt idx="3104">
                  <c:v>2.0211885191767549E-2</c:v>
                </c:pt>
                <c:pt idx="3105">
                  <c:v>2.0213018063920136E-2</c:v>
                </c:pt>
                <c:pt idx="3106">
                  <c:v>2.0210752404234533E-2</c:v>
                </c:pt>
                <c:pt idx="3107">
                  <c:v>2.0210752404234533E-2</c:v>
                </c:pt>
                <c:pt idx="3108">
                  <c:v>2.0210752404234533E-2</c:v>
                </c:pt>
                <c:pt idx="3109">
                  <c:v>2.0210752404234533E-2</c:v>
                </c:pt>
                <c:pt idx="3110">
                  <c:v>2.0211318787423507E-2</c:v>
                </c:pt>
                <c:pt idx="3111">
                  <c:v>2.0210752404234533E-2</c:v>
                </c:pt>
                <c:pt idx="3112">
                  <c:v>2.0210752404234533E-2</c:v>
                </c:pt>
                <c:pt idx="3113">
                  <c:v>2.0210752404235421E-2</c:v>
                </c:pt>
                <c:pt idx="3114">
                  <c:v>2.0210752404234533E-2</c:v>
                </c:pt>
                <c:pt idx="3115">
                  <c:v>2.0210186042197882E-2</c:v>
                </c:pt>
                <c:pt idx="3116">
                  <c:v>2.0210186042198781E-2</c:v>
                </c:pt>
                <c:pt idx="3117">
                  <c:v>2.0210186042198781E-2</c:v>
                </c:pt>
                <c:pt idx="3118">
                  <c:v>2.0210186042197882E-2</c:v>
                </c:pt>
                <c:pt idx="3119">
                  <c:v>2.0213018063919286E-2</c:v>
                </c:pt>
                <c:pt idx="3120">
                  <c:v>2.0213018063919286E-2</c:v>
                </c:pt>
                <c:pt idx="3121">
                  <c:v>2.0213018063919286E-2</c:v>
                </c:pt>
                <c:pt idx="3122">
                  <c:v>2.0213018063919286E-2</c:v>
                </c:pt>
                <c:pt idx="3123">
                  <c:v>2.0211318787423507E-2</c:v>
                </c:pt>
                <c:pt idx="3124">
                  <c:v>2.0211318787423507E-2</c:v>
                </c:pt>
                <c:pt idx="3125">
                  <c:v>2.0211318787423507E-2</c:v>
                </c:pt>
                <c:pt idx="3126">
                  <c:v>2.0211318787424385E-2</c:v>
                </c:pt>
                <c:pt idx="3127">
                  <c:v>2.0211318787424385E-2</c:v>
                </c:pt>
                <c:pt idx="3128">
                  <c:v>2.0213018063918436E-2</c:v>
                </c:pt>
                <c:pt idx="3129">
                  <c:v>2.0213018063918436E-2</c:v>
                </c:pt>
                <c:pt idx="3130">
                  <c:v>2.0213018063919286E-2</c:v>
                </c:pt>
                <c:pt idx="3131">
                  <c:v>2.0213584531729629E-2</c:v>
                </c:pt>
                <c:pt idx="3132">
                  <c:v>2.0213584531731311E-2</c:v>
                </c:pt>
                <c:pt idx="3133">
                  <c:v>2.0213018063919286E-2</c:v>
                </c:pt>
                <c:pt idx="3134">
                  <c:v>2.0213018063919286E-2</c:v>
                </c:pt>
                <c:pt idx="3135">
                  <c:v>2.0213018063919286E-2</c:v>
                </c:pt>
                <c:pt idx="3136">
                  <c:v>2.0213018063919286E-2</c:v>
                </c:pt>
                <c:pt idx="3137">
                  <c:v>2.0213584531730468E-2</c:v>
                </c:pt>
                <c:pt idx="3138">
                  <c:v>2.0213018063919286E-2</c:v>
                </c:pt>
                <c:pt idx="3139">
                  <c:v>2.0213018063918436E-2</c:v>
                </c:pt>
                <c:pt idx="3140">
                  <c:v>2.0213018063919286E-2</c:v>
                </c:pt>
                <c:pt idx="3141">
                  <c:v>2.0213018063920136E-2</c:v>
                </c:pt>
                <c:pt idx="3142">
                  <c:v>2.0213018063919286E-2</c:v>
                </c:pt>
                <c:pt idx="3143">
                  <c:v>2.0213018063920136E-2</c:v>
                </c:pt>
                <c:pt idx="3144">
                  <c:v>2.0213018063919286E-2</c:v>
                </c:pt>
                <c:pt idx="3145">
                  <c:v>2.0211318787424385E-2</c:v>
                </c:pt>
                <c:pt idx="3146">
                  <c:v>2.0211318787423507E-2</c:v>
                </c:pt>
                <c:pt idx="3147">
                  <c:v>2.0211318787423507E-2</c:v>
                </c:pt>
                <c:pt idx="3148">
                  <c:v>2.0211318787424385E-2</c:v>
                </c:pt>
                <c:pt idx="3149">
                  <c:v>2.0211318787423507E-2</c:v>
                </c:pt>
                <c:pt idx="3150">
                  <c:v>2.0213018063918436E-2</c:v>
                </c:pt>
                <c:pt idx="3151">
                  <c:v>2.0213584531730468E-2</c:v>
                </c:pt>
                <c:pt idx="3152">
                  <c:v>2.0213018063920136E-2</c:v>
                </c:pt>
                <c:pt idx="3153">
                  <c:v>2.0213018063919286E-2</c:v>
                </c:pt>
                <c:pt idx="3154">
                  <c:v>2.0213018063918436E-2</c:v>
                </c:pt>
                <c:pt idx="3155">
                  <c:v>2.0211885191766678E-2</c:v>
                </c:pt>
                <c:pt idx="3156">
                  <c:v>2.0213584531730468E-2</c:v>
                </c:pt>
                <c:pt idx="3157">
                  <c:v>2.0213018063918436E-2</c:v>
                </c:pt>
                <c:pt idx="3158">
                  <c:v>2.021131878742263E-2</c:v>
                </c:pt>
                <c:pt idx="3159">
                  <c:v>2.0211318787423507E-2</c:v>
                </c:pt>
                <c:pt idx="3160">
                  <c:v>2.0211318787423507E-2</c:v>
                </c:pt>
                <c:pt idx="3161">
                  <c:v>2.0211318787423507E-2</c:v>
                </c:pt>
                <c:pt idx="3162">
                  <c:v>2.0211318787424385E-2</c:v>
                </c:pt>
                <c:pt idx="3163">
                  <c:v>2.0211318787423507E-2</c:v>
                </c:pt>
                <c:pt idx="3164">
                  <c:v>2.0211318787423507E-2</c:v>
                </c:pt>
                <c:pt idx="3165">
                  <c:v>2.0213584531730468E-2</c:v>
                </c:pt>
                <c:pt idx="3166">
                  <c:v>2.0211318787424385E-2</c:v>
                </c:pt>
                <c:pt idx="3167">
                  <c:v>2.0210752404234533E-2</c:v>
                </c:pt>
                <c:pt idx="3168">
                  <c:v>2.0210752404235421E-2</c:v>
                </c:pt>
                <c:pt idx="3169">
                  <c:v>2.0210752404233645E-2</c:v>
                </c:pt>
                <c:pt idx="3170">
                  <c:v>2.0210752404233645E-2</c:v>
                </c:pt>
                <c:pt idx="3171">
                  <c:v>2.0213018063919286E-2</c:v>
                </c:pt>
                <c:pt idx="3172">
                  <c:v>2.0213018063918436E-2</c:v>
                </c:pt>
                <c:pt idx="3173">
                  <c:v>2.0213018063919286E-2</c:v>
                </c:pt>
                <c:pt idx="3174">
                  <c:v>2.0213018063920136E-2</c:v>
                </c:pt>
                <c:pt idx="3175">
                  <c:v>2.0211318787423507E-2</c:v>
                </c:pt>
                <c:pt idx="3176">
                  <c:v>2.0211318787423507E-2</c:v>
                </c:pt>
                <c:pt idx="3177">
                  <c:v>2.0211318787423507E-2</c:v>
                </c:pt>
                <c:pt idx="3178">
                  <c:v>2.0211318787423507E-2</c:v>
                </c:pt>
                <c:pt idx="3179">
                  <c:v>2.021131878742263E-2</c:v>
                </c:pt>
                <c:pt idx="3180">
                  <c:v>2.0213018063919286E-2</c:v>
                </c:pt>
                <c:pt idx="3181">
                  <c:v>2.0213018063920136E-2</c:v>
                </c:pt>
                <c:pt idx="3182">
                  <c:v>2.0213018063919286E-2</c:v>
                </c:pt>
                <c:pt idx="3183">
                  <c:v>2.0213584531730468E-2</c:v>
                </c:pt>
                <c:pt idx="3184">
                  <c:v>2.0213584531729629E-2</c:v>
                </c:pt>
                <c:pt idx="3185">
                  <c:v>2.0213018063920136E-2</c:v>
                </c:pt>
                <c:pt idx="3186">
                  <c:v>2.0213018063920136E-2</c:v>
                </c:pt>
                <c:pt idx="3187">
                  <c:v>2.0213018063919286E-2</c:v>
                </c:pt>
                <c:pt idx="3188">
                  <c:v>2.0211318787423507E-2</c:v>
                </c:pt>
                <c:pt idx="3189">
                  <c:v>2.0213584531731311E-2</c:v>
                </c:pt>
                <c:pt idx="3190">
                  <c:v>2.0213018063919286E-2</c:v>
                </c:pt>
                <c:pt idx="3191">
                  <c:v>2.0213018063919286E-2</c:v>
                </c:pt>
                <c:pt idx="3192">
                  <c:v>2.0213018063919286E-2</c:v>
                </c:pt>
                <c:pt idx="3193">
                  <c:v>2.0213018063919286E-2</c:v>
                </c:pt>
                <c:pt idx="3194">
                  <c:v>2.0213584531730468E-2</c:v>
                </c:pt>
                <c:pt idx="3195">
                  <c:v>2.0213018063919286E-2</c:v>
                </c:pt>
                <c:pt idx="3196">
                  <c:v>2.0213018063920136E-2</c:v>
                </c:pt>
                <c:pt idx="3197">
                  <c:v>2.0211318787423507E-2</c:v>
                </c:pt>
                <c:pt idx="3198">
                  <c:v>2.0211318787424385E-2</c:v>
                </c:pt>
                <c:pt idx="3199">
                  <c:v>2.0211318787424385E-2</c:v>
                </c:pt>
                <c:pt idx="3200">
                  <c:v>2.0211318787423507E-2</c:v>
                </c:pt>
                <c:pt idx="3201">
                  <c:v>2.0213018063918436E-2</c:v>
                </c:pt>
                <c:pt idx="3202">
                  <c:v>2.0213018063919286E-2</c:v>
                </c:pt>
                <c:pt idx="3203">
                  <c:v>2.0213018063920136E-2</c:v>
                </c:pt>
                <c:pt idx="3204">
                  <c:v>2.0213584531729629E-2</c:v>
                </c:pt>
                <c:pt idx="3205">
                  <c:v>2.0213018063918436E-2</c:v>
                </c:pt>
                <c:pt idx="3206">
                  <c:v>2.0213018063919286E-2</c:v>
                </c:pt>
                <c:pt idx="3207">
                  <c:v>2.0213018063919286E-2</c:v>
                </c:pt>
                <c:pt idx="3208">
                  <c:v>2.0213584531730468E-2</c:v>
                </c:pt>
                <c:pt idx="3209">
                  <c:v>2.0213018063919286E-2</c:v>
                </c:pt>
                <c:pt idx="3210">
                  <c:v>2.0210752404234533E-2</c:v>
                </c:pt>
                <c:pt idx="3211">
                  <c:v>2.0210752404234533E-2</c:v>
                </c:pt>
                <c:pt idx="3212">
                  <c:v>2.0210752404234533E-2</c:v>
                </c:pt>
                <c:pt idx="3213">
                  <c:v>2.0210752404234533E-2</c:v>
                </c:pt>
                <c:pt idx="3214">
                  <c:v>2.0209619701316146E-2</c:v>
                </c:pt>
                <c:pt idx="3215">
                  <c:v>2.0211318787423507E-2</c:v>
                </c:pt>
                <c:pt idx="3216">
                  <c:v>2.0211885191766678E-2</c:v>
                </c:pt>
                <c:pt idx="3217">
                  <c:v>2.0210752404234533E-2</c:v>
                </c:pt>
                <c:pt idx="3218">
                  <c:v>2.0211318787423507E-2</c:v>
                </c:pt>
                <c:pt idx="3219">
                  <c:v>2.0211885191766678E-2</c:v>
                </c:pt>
                <c:pt idx="3220">
                  <c:v>2.0211318787424385E-2</c:v>
                </c:pt>
                <c:pt idx="3221">
                  <c:v>2.0210752404234533E-2</c:v>
                </c:pt>
                <c:pt idx="3222">
                  <c:v>2.0211885191767549E-2</c:v>
                </c:pt>
                <c:pt idx="3223">
                  <c:v>2.0211885191767549E-2</c:v>
                </c:pt>
                <c:pt idx="3224">
                  <c:v>2.0211885191766678E-2</c:v>
                </c:pt>
                <c:pt idx="3225">
                  <c:v>2.0211885191766678E-2</c:v>
                </c:pt>
                <c:pt idx="3226">
                  <c:v>2.0211885191766678E-2</c:v>
                </c:pt>
                <c:pt idx="3227">
                  <c:v>2.0211318787423507E-2</c:v>
                </c:pt>
                <c:pt idx="3228">
                  <c:v>2.0211318787423507E-2</c:v>
                </c:pt>
                <c:pt idx="3229">
                  <c:v>2.0211318787423507E-2</c:v>
                </c:pt>
                <c:pt idx="3230">
                  <c:v>2.0211318787423507E-2</c:v>
                </c:pt>
                <c:pt idx="3231">
                  <c:v>2.0211318787424385E-2</c:v>
                </c:pt>
                <c:pt idx="3232">
                  <c:v>2.0211885191766678E-2</c:v>
                </c:pt>
                <c:pt idx="3233">
                  <c:v>2.0211885191767549E-2</c:v>
                </c:pt>
                <c:pt idx="3234">
                  <c:v>2.0211885191766678E-2</c:v>
                </c:pt>
                <c:pt idx="3235">
                  <c:v>2.0211885191766678E-2</c:v>
                </c:pt>
                <c:pt idx="3236">
                  <c:v>2.0211885191767549E-2</c:v>
                </c:pt>
                <c:pt idx="3237">
                  <c:v>2.0211885191767549E-2</c:v>
                </c:pt>
                <c:pt idx="3238">
                  <c:v>2.0211885191767549E-2</c:v>
                </c:pt>
                <c:pt idx="3239">
                  <c:v>2.0211885191766678E-2</c:v>
                </c:pt>
                <c:pt idx="3240">
                  <c:v>2.0211885191767549E-2</c:v>
                </c:pt>
                <c:pt idx="3241">
                  <c:v>2.0211885191767549E-2</c:v>
                </c:pt>
                <c:pt idx="3242">
                  <c:v>2.0211885191766678E-2</c:v>
                </c:pt>
                <c:pt idx="3243">
                  <c:v>2.0211885191766678E-2</c:v>
                </c:pt>
                <c:pt idx="3244">
                  <c:v>2.0211885191766678E-2</c:v>
                </c:pt>
                <c:pt idx="3245">
                  <c:v>2.0211885191766678E-2</c:v>
                </c:pt>
                <c:pt idx="3246">
                  <c:v>2.0211885191766678E-2</c:v>
                </c:pt>
                <c:pt idx="3247">
                  <c:v>2.0211885191766678E-2</c:v>
                </c:pt>
                <c:pt idx="3248">
                  <c:v>2.0211885191766678E-2</c:v>
                </c:pt>
                <c:pt idx="3249">
                  <c:v>2.0211318787423507E-2</c:v>
                </c:pt>
                <c:pt idx="3250">
                  <c:v>2.0211318787423507E-2</c:v>
                </c:pt>
                <c:pt idx="3251">
                  <c:v>2.0211318787423507E-2</c:v>
                </c:pt>
                <c:pt idx="3252">
                  <c:v>2.0211318787423507E-2</c:v>
                </c:pt>
                <c:pt idx="3253">
                  <c:v>2.0211885191766678E-2</c:v>
                </c:pt>
                <c:pt idx="3254">
                  <c:v>2.0211885191766678E-2</c:v>
                </c:pt>
                <c:pt idx="3255">
                  <c:v>2.0211885191766678E-2</c:v>
                </c:pt>
                <c:pt idx="3256">
                  <c:v>2.0211885191766678E-2</c:v>
                </c:pt>
                <c:pt idx="3257">
                  <c:v>2.0211885191766678E-2</c:v>
                </c:pt>
                <c:pt idx="3258">
                  <c:v>2.0211885191767549E-2</c:v>
                </c:pt>
                <c:pt idx="3259">
                  <c:v>2.0211885191766678E-2</c:v>
                </c:pt>
                <c:pt idx="3260">
                  <c:v>2.0211885191766678E-2</c:v>
                </c:pt>
                <c:pt idx="3261">
                  <c:v>2.0211885191766678E-2</c:v>
                </c:pt>
                <c:pt idx="3262">
                  <c:v>2.021131878742263E-2</c:v>
                </c:pt>
                <c:pt idx="3263">
                  <c:v>2.0211318787423507E-2</c:v>
                </c:pt>
                <c:pt idx="3264">
                  <c:v>2.0211318787424385E-2</c:v>
                </c:pt>
                <c:pt idx="3265">
                  <c:v>2.0211318787424385E-2</c:v>
                </c:pt>
                <c:pt idx="3266">
                  <c:v>2.0208487083002311E-2</c:v>
                </c:pt>
                <c:pt idx="3267">
                  <c:v>2.0210752404234533E-2</c:v>
                </c:pt>
                <c:pt idx="3268">
                  <c:v>2.0210752404235421E-2</c:v>
                </c:pt>
                <c:pt idx="3269">
                  <c:v>2.0210752404234533E-2</c:v>
                </c:pt>
                <c:pt idx="3270">
                  <c:v>2.0210752404234533E-2</c:v>
                </c:pt>
                <c:pt idx="3271">
                  <c:v>2.0211318787423507E-2</c:v>
                </c:pt>
                <c:pt idx="3272">
                  <c:v>2.0210752404234533E-2</c:v>
                </c:pt>
                <c:pt idx="3273">
                  <c:v>2.0210752404235421E-2</c:v>
                </c:pt>
                <c:pt idx="3274">
                  <c:v>2.0211318787423507E-2</c:v>
                </c:pt>
                <c:pt idx="3275">
                  <c:v>2.021188519176581E-2</c:v>
                </c:pt>
                <c:pt idx="3276">
                  <c:v>2.0211885191767549E-2</c:v>
                </c:pt>
                <c:pt idx="3277">
                  <c:v>2.0211885191766678E-2</c:v>
                </c:pt>
                <c:pt idx="3278">
                  <c:v>2.0211885191766678E-2</c:v>
                </c:pt>
                <c:pt idx="3279">
                  <c:v>2.0211318787423507E-2</c:v>
                </c:pt>
                <c:pt idx="3280">
                  <c:v>2.0211318787424385E-2</c:v>
                </c:pt>
                <c:pt idx="3281">
                  <c:v>2.0211318787423507E-2</c:v>
                </c:pt>
                <c:pt idx="3282">
                  <c:v>2.0211318787423507E-2</c:v>
                </c:pt>
                <c:pt idx="3283">
                  <c:v>2.0211885191766678E-2</c:v>
                </c:pt>
                <c:pt idx="3284">
                  <c:v>2.0211885191767549E-2</c:v>
                </c:pt>
                <c:pt idx="3285">
                  <c:v>2.0211885191766678E-2</c:v>
                </c:pt>
                <c:pt idx="3286">
                  <c:v>2.0211885191766678E-2</c:v>
                </c:pt>
                <c:pt idx="3287">
                  <c:v>2.0211885191766678E-2</c:v>
                </c:pt>
                <c:pt idx="3288">
                  <c:v>2.0211885191766678E-2</c:v>
                </c:pt>
                <c:pt idx="3289">
                  <c:v>2.021188519176581E-2</c:v>
                </c:pt>
                <c:pt idx="3290">
                  <c:v>2.021188519176581E-2</c:v>
                </c:pt>
                <c:pt idx="3291">
                  <c:v>2.0211885191766678E-2</c:v>
                </c:pt>
                <c:pt idx="3292">
                  <c:v>2.0211885191766678E-2</c:v>
                </c:pt>
                <c:pt idx="3293">
                  <c:v>2.0211885191766678E-2</c:v>
                </c:pt>
                <c:pt idx="3294">
                  <c:v>2.0211885191766678E-2</c:v>
                </c:pt>
                <c:pt idx="3295">
                  <c:v>2.0211885191766678E-2</c:v>
                </c:pt>
                <c:pt idx="3296">
                  <c:v>2.0211885191766678E-2</c:v>
                </c:pt>
                <c:pt idx="3297">
                  <c:v>2.0211885191766678E-2</c:v>
                </c:pt>
                <c:pt idx="3298">
                  <c:v>2.0211885191768416E-2</c:v>
                </c:pt>
                <c:pt idx="3299">
                  <c:v>2.0211885191767549E-2</c:v>
                </c:pt>
                <c:pt idx="3300">
                  <c:v>2.0211885191766678E-2</c:v>
                </c:pt>
                <c:pt idx="3301">
                  <c:v>2.0211318787424385E-2</c:v>
                </c:pt>
                <c:pt idx="3302">
                  <c:v>2.0211318787424385E-2</c:v>
                </c:pt>
                <c:pt idx="3303">
                  <c:v>2.0211318787423507E-2</c:v>
                </c:pt>
                <c:pt idx="3304">
                  <c:v>2.0213584531730468E-2</c:v>
                </c:pt>
                <c:pt idx="3305">
                  <c:v>2.0211885191767549E-2</c:v>
                </c:pt>
                <c:pt idx="3306">
                  <c:v>2.0211885191766678E-2</c:v>
                </c:pt>
                <c:pt idx="3307">
                  <c:v>2.0211885191766678E-2</c:v>
                </c:pt>
                <c:pt idx="3308">
                  <c:v>2.0211885191766678E-2</c:v>
                </c:pt>
                <c:pt idx="3309">
                  <c:v>2.0211885191766678E-2</c:v>
                </c:pt>
                <c:pt idx="3310">
                  <c:v>2.0211885191767549E-2</c:v>
                </c:pt>
                <c:pt idx="3311">
                  <c:v>2.0211885191766678E-2</c:v>
                </c:pt>
                <c:pt idx="3312">
                  <c:v>2.0211885191767549E-2</c:v>
                </c:pt>
                <c:pt idx="3313">
                  <c:v>2.0211318787424385E-2</c:v>
                </c:pt>
                <c:pt idx="3314">
                  <c:v>2.0210752404234533E-2</c:v>
                </c:pt>
                <c:pt idx="3315">
                  <c:v>2.0210752404234533E-2</c:v>
                </c:pt>
                <c:pt idx="3316">
                  <c:v>2.0210752404234533E-2</c:v>
                </c:pt>
                <c:pt idx="3317">
                  <c:v>2.0211318787423507E-2</c:v>
                </c:pt>
                <c:pt idx="3318">
                  <c:v>2.0210752404234533E-2</c:v>
                </c:pt>
                <c:pt idx="3319">
                  <c:v>2.0210752404235421E-2</c:v>
                </c:pt>
                <c:pt idx="3320">
                  <c:v>2.0210752404234533E-2</c:v>
                </c:pt>
                <c:pt idx="3321">
                  <c:v>2.0210752404234533E-2</c:v>
                </c:pt>
                <c:pt idx="3322">
                  <c:v>2.0210752404234533E-2</c:v>
                </c:pt>
                <c:pt idx="3323">
                  <c:v>2.0210186042198781E-2</c:v>
                </c:pt>
                <c:pt idx="3324">
                  <c:v>2.0210186042199679E-2</c:v>
                </c:pt>
                <c:pt idx="3325">
                  <c:v>2.0210186042198781E-2</c:v>
                </c:pt>
                <c:pt idx="3326">
                  <c:v>2.0210186042198781E-2</c:v>
                </c:pt>
                <c:pt idx="3327">
                  <c:v>2.0211885191767549E-2</c:v>
                </c:pt>
                <c:pt idx="3328">
                  <c:v>2.0211885191766678E-2</c:v>
                </c:pt>
                <c:pt idx="3329">
                  <c:v>2.0211885191766678E-2</c:v>
                </c:pt>
                <c:pt idx="3330">
                  <c:v>2.0211885191766678E-2</c:v>
                </c:pt>
                <c:pt idx="3331">
                  <c:v>2.0211318787423507E-2</c:v>
                </c:pt>
                <c:pt idx="3332">
                  <c:v>2.0211318787423507E-2</c:v>
                </c:pt>
                <c:pt idx="3333">
                  <c:v>2.0211318787423507E-2</c:v>
                </c:pt>
                <c:pt idx="3334">
                  <c:v>2.0211318787423507E-2</c:v>
                </c:pt>
                <c:pt idx="3335">
                  <c:v>2.0211885191766678E-2</c:v>
                </c:pt>
                <c:pt idx="3336">
                  <c:v>2.0211885191766678E-2</c:v>
                </c:pt>
                <c:pt idx="3337">
                  <c:v>2.0211885191767549E-2</c:v>
                </c:pt>
                <c:pt idx="3338">
                  <c:v>2.0211885191766678E-2</c:v>
                </c:pt>
                <c:pt idx="3339">
                  <c:v>2.0211885191766678E-2</c:v>
                </c:pt>
                <c:pt idx="3340">
                  <c:v>2.0211885191766678E-2</c:v>
                </c:pt>
                <c:pt idx="3341">
                  <c:v>2.0211885191766678E-2</c:v>
                </c:pt>
                <c:pt idx="3342">
                  <c:v>2.0211885191767549E-2</c:v>
                </c:pt>
                <c:pt idx="3343">
                  <c:v>2.0211885191766678E-2</c:v>
                </c:pt>
                <c:pt idx="3344">
                  <c:v>2.0211885191766678E-2</c:v>
                </c:pt>
                <c:pt idx="3345">
                  <c:v>2.0211885191767549E-2</c:v>
                </c:pt>
                <c:pt idx="3346">
                  <c:v>2.0211885191766678E-2</c:v>
                </c:pt>
                <c:pt idx="3347">
                  <c:v>2.0211885191767549E-2</c:v>
                </c:pt>
                <c:pt idx="3348">
                  <c:v>2.0211885191766678E-2</c:v>
                </c:pt>
                <c:pt idx="3349">
                  <c:v>2.0211885191766678E-2</c:v>
                </c:pt>
                <c:pt idx="3350">
                  <c:v>2.0211885191766678E-2</c:v>
                </c:pt>
                <c:pt idx="3351">
                  <c:v>2.0211885191766678E-2</c:v>
                </c:pt>
                <c:pt idx="3352">
                  <c:v>2.0211885191766678E-2</c:v>
                </c:pt>
                <c:pt idx="3353">
                  <c:v>2.0211318787423507E-2</c:v>
                </c:pt>
                <c:pt idx="3354">
                  <c:v>2.0211318787423507E-2</c:v>
                </c:pt>
                <c:pt idx="3355">
                  <c:v>2.0211318787424385E-2</c:v>
                </c:pt>
                <c:pt idx="3356">
                  <c:v>2.0211318787424385E-2</c:v>
                </c:pt>
                <c:pt idx="3357">
                  <c:v>2.0213584531730468E-2</c:v>
                </c:pt>
                <c:pt idx="3358">
                  <c:v>2.0211885191766678E-2</c:v>
                </c:pt>
                <c:pt idx="3359">
                  <c:v>2.0211885191766678E-2</c:v>
                </c:pt>
                <c:pt idx="3360">
                  <c:v>2.0211885191766678E-2</c:v>
                </c:pt>
                <c:pt idx="3361">
                  <c:v>2.0211885191766678E-2</c:v>
                </c:pt>
                <c:pt idx="3362">
                  <c:v>2.0211885191766678E-2</c:v>
                </c:pt>
                <c:pt idx="3363">
                  <c:v>2.0211885191766678E-2</c:v>
                </c:pt>
                <c:pt idx="3364">
                  <c:v>2.0211885191766678E-2</c:v>
                </c:pt>
                <c:pt idx="3365">
                  <c:v>2.0213018063919286E-2</c:v>
                </c:pt>
                <c:pt idx="3366">
                  <c:v>2.0211318787423507E-2</c:v>
                </c:pt>
                <c:pt idx="3367">
                  <c:v>2.0211318787423507E-2</c:v>
                </c:pt>
                <c:pt idx="3368">
                  <c:v>2.0211318787423507E-2</c:v>
                </c:pt>
                <c:pt idx="3369">
                  <c:v>2.0211318787424385E-2</c:v>
                </c:pt>
                <c:pt idx="3370">
                  <c:v>2.0211318787423507E-2</c:v>
                </c:pt>
                <c:pt idx="3371">
                  <c:v>2.0211318787423507E-2</c:v>
                </c:pt>
                <c:pt idx="3372">
                  <c:v>2.0211318787423507E-2</c:v>
                </c:pt>
                <c:pt idx="3373">
                  <c:v>2.0211318787423507E-2</c:v>
                </c:pt>
                <c:pt idx="3374">
                  <c:v>2.0211318787423507E-2</c:v>
                </c:pt>
                <c:pt idx="3375">
                  <c:v>2.0210752404234533E-2</c:v>
                </c:pt>
                <c:pt idx="3376">
                  <c:v>2.0210752404234533E-2</c:v>
                </c:pt>
                <c:pt idx="3377">
                  <c:v>2.0210752404234533E-2</c:v>
                </c:pt>
                <c:pt idx="3378">
                  <c:v>2.0210752404234533E-2</c:v>
                </c:pt>
                <c:pt idx="3379">
                  <c:v>2.0211885191767549E-2</c:v>
                </c:pt>
                <c:pt idx="3380">
                  <c:v>2.0211885191767549E-2</c:v>
                </c:pt>
                <c:pt idx="3381">
                  <c:v>2.0211885191767549E-2</c:v>
                </c:pt>
                <c:pt idx="3382">
                  <c:v>2.0211885191766678E-2</c:v>
                </c:pt>
                <c:pt idx="3383">
                  <c:v>2.0211318787423507E-2</c:v>
                </c:pt>
                <c:pt idx="3384">
                  <c:v>2.0211318787424385E-2</c:v>
                </c:pt>
                <c:pt idx="3385">
                  <c:v>2.0211318787424385E-2</c:v>
                </c:pt>
                <c:pt idx="3386">
                  <c:v>2.0211318787423507E-2</c:v>
                </c:pt>
                <c:pt idx="3387">
                  <c:v>2.0211318787424385E-2</c:v>
                </c:pt>
                <c:pt idx="3388">
                  <c:v>2.0211885191766678E-2</c:v>
                </c:pt>
                <c:pt idx="3389">
                  <c:v>2.0211885191767549E-2</c:v>
                </c:pt>
                <c:pt idx="3390">
                  <c:v>2.0211885191766678E-2</c:v>
                </c:pt>
                <c:pt idx="3391">
                  <c:v>2.0211885191766678E-2</c:v>
                </c:pt>
                <c:pt idx="3392">
                  <c:v>2.0211885191767549E-2</c:v>
                </c:pt>
                <c:pt idx="3393">
                  <c:v>2.021188519176581E-2</c:v>
                </c:pt>
                <c:pt idx="3394">
                  <c:v>2.021188519176581E-2</c:v>
                </c:pt>
                <c:pt idx="3395">
                  <c:v>2.0211885191766678E-2</c:v>
                </c:pt>
                <c:pt idx="3396">
                  <c:v>2.0211885191766678E-2</c:v>
                </c:pt>
                <c:pt idx="3397">
                  <c:v>2.0211885191766678E-2</c:v>
                </c:pt>
                <c:pt idx="3398">
                  <c:v>2.0211885191766678E-2</c:v>
                </c:pt>
                <c:pt idx="3399">
                  <c:v>2.0211885191766678E-2</c:v>
                </c:pt>
                <c:pt idx="3400">
                  <c:v>2.0211885191766678E-2</c:v>
                </c:pt>
                <c:pt idx="3401">
                  <c:v>2.0211885191766678E-2</c:v>
                </c:pt>
                <c:pt idx="3402">
                  <c:v>2.0213584531730468E-2</c:v>
                </c:pt>
                <c:pt idx="3403">
                  <c:v>2.0211885191767549E-2</c:v>
                </c:pt>
                <c:pt idx="3404">
                  <c:v>2.021188519176581E-2</c:v>
                </c:pt>
                <c:pt idx="3405">
                  <c:v>2.0211318787424385E-2</c:v>
                </c:pt>
                <c:pt idx="3406">
                  <c:v>2.0211318787425266E-2</c:v>
                </c:pt>
                <c:pt idx="3407">
                  <c:v>2.0211318787423507E-2</c:v>
                </c:pt>
                <c:pt idx="3408">
                  <c:v>2.0211318787423507E-2</c:v>
                </c:pt>
                <c:pt idx="3409">
                  <c:v>2.0211318787423507E-2</c:v>
                </c:pt>
                <c:pt idx="3410">
                  <c:v>2.0211885191767549E-2</c:v>
                </c:pt>
                <c:pt idx="3411">
                  <c:v>2.0211885191766678E-2</c:v>
                </c:pt>
                <c:pt idx="3412">
                  <c:v>2.0211885191766678E-2</c:v>
                </c:pt>
                <c:pt idx="3413">
                  <c:v>2.021188519176581E-2</c:v>
                </c:pt>
                <c:pt idx="3414">
                  <c:v>2.0211885191767549E-2</c:v>
                </c:pt>
                <c:pt idx="3415">
                  <c:v>2.0211885191766678E-2</c:v>
                </c:pt>
                <c:pt idx="3416">
                  <c:v>2.0211885191766678E-2</c:v>
                </c:pt>
                <c:pt idx="3417">
                  <c:v>2.0213018063919286E-2</c:v>
                </c:pt>
                <c:pt idx="3418">
                  <c:v>2.0210752404234533E-2</c:v>
                </c:pt>
                <c:pt idx="3419">
                  <c:v>2.0210752404233645E-2</c:v>
                </c:pt>
                <c:pt idx="3420">
                  <c:v>2.0210752404235421E-2</c:v>
                </c:pt>
                <c:pt idx="3421">
                  <c:v>2.0210752404234533E-2</c:v>
                </c:pt>
                <c:pt idx="3422">
                  <c:v>2.0211318787423507E-2</c:v>
                </c:pt>
                <c:pt idx="3423">
                  <c:v>2.0210752404233645E-2</c:v>
                </c:pt>
                <c:pt idx="3424">
                  <c:v>2.0210752404234533E-2</c:v>
                </c:pt>
                <c:pt idx="3425">
                  <c:v>2.0210752404234533E-2</c:v>
                </c:pt>
                <c:pt idx="3426">
                  <c:v>2.0210752404234533E-2</c:v>
                </c:pt>
                <c:pt idx="3427">
                  <c:v>2.0210186042197882E-2</c:v>
                </c:pt>
                <c:pt idx="3428">
                  <c:v>2.0210186042198781E-2</c:v>
                </c:pt>
                <c:pt idx="3429">
                  <c:v>2.0210186042199679E-2</c:v>
                </c:pt>
                <c:pt idx="3430">
                  <c:v>2.0210186042199679E-2</c:v>
                </c:pt>
                <c:pt idx="3431">
                  <c:v>2.0213018063919286E-2</c:v>
                </c:pt>
                <c:pt idx="3432">
                  <c:v>2.0213018063919286E-2</c:v>
                </c:pt>
                <c:pt idx="3433">
                  <c:v>2.0213018063920136E-2</c:v>
                </c:pt>
                <c:pt idx="3434">
                  <c:v>2.0211885191767549E-2</c:v>
                </c:pt>
                <c:pt idx="3435">
                  <c:v>2.0211318787423507E-2</c:v>
                </c:pt>
                <c:pt idx="3436">
                  <c:v>2.0211318787424385E-2</c:v>
                </c:pt>
                <c:pt idx="3437">
                  <c:v>2.0211318787423507E-2</c:v>
                </c:pt>
                <c:pt idx="3438">
                  <c:v>2.0211318787423507E-2</c:v>
                </c:pt>
                <c:pt idx="3439">
                  <c:v>2.0213018063918436E-2</c:v>
                </c:pt>
                <c:pt idx="3440">
                  <c:v>2.0213018063920136E-2</c:v>
                </c:pt>
                <c:pt idx="3441">
                  <c:v>2.0213018063919286E-2</c:v>
                </c:pt>
                <c:pt idx="3442">
                  <c:v>2.0213018063919286E-2</c:v>
                </c:pt>
                <c:pt idx="3443">
                  <c:v>2.0213584531730468E-2</c:v>
                </c:pt>
                <c:pt idx="3444">
                  <c:v>2.0213584531730468E-2</c:v>
                </c:pt>
                <c:pt idx="3445">
                  <c:v>2.0213018063919286E-2</c:v>
                </c:pt>
                <c:pt idx="3446">
                  <c:v>2.0213018063918436E-2</c:v>
                </c:pt>
                <c:pt idx="3447">
                  <c:v>2.0213018063920136E-2</c:v>
                </c:pt>
                <c:pt idx="3448">
                  <c:v>2.0211318787423507E-2</c:v>
                </c:pt>
                <c:pt idx="3449">
                  <c:v>2.0213584531730468E-2</c:v>
                </c:pt>
                <c:pt idx="3450">
                  <c:v>2.0213018063919286E-2</c:v>
                </c:pt>
                <c:pt idx="3451">
                  <c:v>2.0213018063919286E-2</c:v>
                </c:pt>
                <c:pt idx="3452">
                  <c:v>2.0213018063919286E-2</c:v>
                </c:pt>
                <c:pt idx="3453">
                  <c:v>2.0213018063918436E-2</c:v>
                </c:pt>
                <c:pt idx="3454">
                  <c:v>2.0213018063919286E-2</c:v>
                </c:pt>
                <c:pt idx="3455">
                  <c:v>2.0213018063919286E-2</c:v>
                </c:pt>
                <c:pt idx="3456">
                  <c:v>2.0213018063919286E-2</c:v>
                </c:pt>
                <c:pt idx="3457">
                  <c:v>2.0211318787423507E-2</c:v>
                </c:pt>
                <c:pt idx="3458">
                  <c:v>2.0211318787424385E-2</c:v>
                </c:pt>
                <c:pt idx="3459">
                  <c:v>2.0211318787424385E-2</c:v>
                </c:pt>
                <c:pt idx="3460">
                  <c:v>2.021131878742263E-2</c:v>
                </c:pt>
                <c:pt idx="3461">
                  <c:v>2.0211318787424385E-2</c:v>
                </c:pt>
                <c:pt idx="3462">
                  <c:v>2.0213018063919286E-2</c:v>
                </c:pt>
                <c:pt idx="3463">
                  <c:v>2.0213584531730468E-2</c:v>
                </c:pt>
                <c:pt idx="3464">
                  <c:v>2.0213018063919286E-2</c:v>
                </c:pt>
                <c:pt idx="3465">
                  <c:v>2.0213018063919286E-2</c:v>
                </c:pt>
                <c:pt idx="3466">
                  <c:v>2.0213018063919286E-2</c:v>
                </c:pt>
                <c:pt idx="3467">
                  <c:v>2.0211885191767549E-2</c:v>
                </c:pt>
                <c:pt idx="3468">
                  <c:v>2.0213584531731311E-2</c:v>
                </c:pt>
                <c:pt idx="3469">
                  <c:v>2.0213018063920136E-2</c:v>
                </c:pt>
                <c:pt idx="3470">
                  <c:v>2.0210752404234533E-2</c:v>
                </c:pt>
                <c:pt idx="3471">
                  <c:v>2.0210752404234533E-2</c:v>
                </c:pt>
                <c:pt idx="3472">
                  <c:v>2.0210752404234533E-2</c:v>
                </c:pt>
                <c:pt idx="3473">
                  <c:v>2.0210752404235421E-2</c:v>
                </c:pt>
                <c:pt idx="3474">
                  <c:v>2.0211318787423507E-2</c:v>
                </c:pt>
                <c:pt idx="3475">
                  <c:v>2.0210752404233645E-2</c:v>
                </c:pt>
                <c:pt idx="3476">
                  <c:v>2.0210752404234533E-2</c:v>
                </c:pt>
                <c:pt idx="3477">
                  <c:v>2.0210752404234533E-2</c:v>
                </c:pt>
                <c:pt idx="3478">
                  <c:v>2.0210752404234533E-2</c:v>
                </c:pt>
                <c:pt idx="3479">
                  <c:v>2.0210186042198781E-2</c:v>
                </c:pt>
                <c:pt idx="3480">
                  <c:v>2.0210186042199679E-2</c:v>
                </c:pt>
                <c:pt idx="3481">
                  <c:v>2.0210186042198781E-2</c:v>
                </c:pt>
                <c:pt idx="3482">
                  <c:v>2.0210186042197882E-2</c:v>
                </c:pt>
                <c:pt idx="3483">
                  <c:v>2.0213018063919286E-2</c:v>
                </c:pt>
                <c:pt idx="3484">
                  <c:v>2.0213018063919286E-2</c:v>
                </c:pt>
                <c:pt idx="3485">
                  <c:v>2.0213018063919286E-2</c:v>
                </c:pt>
                <c:pt idx="3486">
                  <c:v>2.0213018063919286E-2</c:v>
                </c:pt>
                <c:pt idx="3487">
                  <c:v>2.0211318787423507E-2</c:v>
                </c:pt>
                <c:pt idx="3488">
                  <c:v>2.0211318787424385E-2</c:v>
                </c:pt>
                <c:pt idx="3489">
                  <c:v>2.0211318787424385E-2</c:v>
                </c:pt>
                <c:pt idx="3490">
                  <c:v>2.0211318787423507E-2</c:v>
                </c:pt>
                <c:pt idx="3491">
                  <c:v>2.0211318787423507E-2</c:v>
                </c:pt>
                <c:pt idx="3492">
                  <c:v>2.0213018063920136E-2</c:v>
                </c:pt>
                <c:pt idx="3493">
                  <c:v>2.0213018063919286E-2</c:v>
                </c:pt>
                <c:pt idx="3494">
                  <c:v>2.0213018063919286E-2</c:v>
                </c:pt>
                <c:pt idx="3495">
                  <c:v>2.0213584531730468E-2</c:v>
                </c:pt>
                <c:pt idx="3496">
                  <c:v>2.0213584531730468E-2</c:v>
                </c:pt>
                <c:pt idx="3497">
                  <c:v>2.0213018063919286E-2</c:v>
                </c:pt>
                <c:pt idx="3498">
                  <c:v>2.0213018063920136E-2</c:v>
                </c:pt>
                <c:pt idx="3499">
                  <c:v>2.0213018063919286E-2</c:v>
                </c:pt>
                <c:pt idx="3500">
                  <c:v>2.0211318787423507E-2</c:v>
                </c:pt>
                <c:pt idx="3501">
                  <c:v>2.0213584531729629E-2</c:v>
                </c:pt>
                <c:pt idx="3502">
                  <c:v>2.0213018063920136E-2</c:v>
                </c:pt>
                <c:pt idx="3503">
                  <c:v>2.0213018063919286E-2</c:v>
                </c:pt>
                <c:pt idx="3504">
                  <c:v>2.0213018063918436E-2</c:v>
                </c:pt>
                <c:pt idx="3505">
                  <c:v>2.0213018063920136E-2</c:v>
                </c:pt>
                <c:pt idx="3506">
                  <c:v>2.0213584531730468E-2</c:v>
                </c:pt>
                <c:pt idx="3507">
                  <c:v>2.0213018063919286E-2</c:v>
                </c:pt>
                <c:pt idx="3508">
                  <c:v>2.0213018063920136E-2</c:v>
                </c:pt>
                <c:pt idx="3509">
                  <c:v>2.0211318787423507E-2</c:v>
                </c:pt>
                <c:pt idx="3510">
                  <c:v>2.021131878742263E-2</c:v>
                </c:pt>
                <c:pt idx="3511">
                  <c:v>2.021131878742263E-2</c:v>
                </c:pt>
                <c:pt idx="3512">
                  <c:v>2.0211318787423507E-2</c:v>
                </c:pt>
                <c:pt idx="3513">
                  <c:v>2.0213018063918436E-2</c:v>
                </c:pt>
                <c:pt idx="3514">
                  <c:v>2.0213018063919286E-2</c:v>
                </c:pt>
                <c:pt idx="3515">
                  <c:v>2.0213018063920136E-2</c:v>
                </c:pt>
                <c:pt idx="3516">
                  <c:v>2.0213584531730468E-2</c:v>
                </c:pt>
                <c:pt idx="3517">
                  <c:v>2.0213018063918436E-2</c:v>
                </c:pt>
                <c:pt idx="3518">
                  <c:v>2.0213018063919286E-2</c:v>
                </c:pt>
                <c:pt idx="3519">
                  <c:v>2.0213018063918436E-2</c:v>
                </c:pt>
                <c:pt idx="3520">
                  <c:v>2.0213584531730468E-2</c:v>
                </c:pt>
                <c:pt idx="3521">
                  <c:v>2.0213018063919286E-2</c:v>
                </c:pt>
                <c:pt idx="3522">
                  <c:v>2.0210752404234533E-2</c:v>
                </c:pt>
                <c:pt idx="3523">
                  <c:v>2.0210752404235421E-2</c:v>
                </c:pt>
                <c:pt idx="3524">
                  <c:v>2.0210752404235421E-2</c:v>
                </c:pt>
                <c:pt idx="3525">
                  <c:v>2.0210752404235421E-2</c:v>
                </c:pt>
                <c:pt idx="3526">
                  <c:v>2.0209619701316146E-2</c:v>
                </c:pt>
                <c:pt idx="3527">
                  <c:v>2.0211885191766678E-2</c:v>
                </c:pt>
                <c:pt idx="3528">
                  <c:v>2.0211318787423507E-2</c:v>
                </c:pt>
                <c:pt idx="3529">
                  <c:v>2.0210752404235421E-2</c:v>
                </c:pt>
                <c:pt idx="3530">
                  <c:v>2.0211318787424385E-2</c:v>
                </c:pt>
                <c:pt idx="3531">
                  <c:v>2.0211885191766678E-2</c:v>
                </c:pt>
                <c:pt idx="3532">
                  <c:v>2.0211318787423507E-2</c:v>
                </c:pt>
                <c:pt idx="3533">
                  <c:v>2.0210752404235421E-2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432128"/>
        <c:axId val="57043430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42081</c:v>
                </c:pt>
                <c:pt idx="1">
                  <c:v>42172</c:v>
                </c:pt>
                <c:pt idx="2">
                  <c:v>42263</c:v>
                </c:pt>
                <c:pt idx="3">
                  <c:v>42354</c:v>
                </c:pt>
                <c:pt idx="4">
                  <c:v>42445</c:v>
                </c:pt>
                <c:pt idx="5">
                  <c:v>42536</c:v>
                </c:pt>
                <c:pt idx="6">
                  <c:v>42634</c:v>
                </c:pt>
                <c:pt idx="7">
                  <c:v>42725</c:v>
                </c:pt>
                <c:pt idx="8">
                  <c:v>42809</c:v>
                </c:pt>
                <c:pt idx="9">
                  <c:v>42907</c:v>
                </c:pt>
                <c:pt idx="10">
                  <c:v>42998</c:v>
                </c:pt>
                <c:pt idx="11">
                  <c:v>43089</c:v>
                </c:pt>
                <c:pt idx="12">
                  <c:v>43180</c:v>
                </c:pt>
                <c:pt idx="13">
                  <c:v>43271</c:v>
                </c:pt>
                <c:pt idx="14">
                  <c:v>43362</c:v>
                </c:pt>
                <c:pt idx="15">
                  <c:v>43453</c:v>
                </c:pt>
                <c:pt idx="16">
                  <c:v>43544</c:v>
                </c:pt>
                <c:pt idx="17">
                  <c:v>43635</c:v>
                </c:pt>
                <c:pt idx="18">
                  <c:v>43726</c:v>
                </c:pt>
                <c:pt idx="19">
                  <c:v>43817</c:v>
                </c:pt>
                <c:pt idx="20">
                  <c:v>43908</c:v>
                </c:pt>
                <c:pt idx="21">
                  <c:v>43999</c:v>
                </c:pt>
                <c:pt idx="22">
                  <c:v>44090</c:v>
                </c:pt>
                <c:pt idx="23">
                  <c:v>44181</c:v>
                </c:pt>
                <c:pt idx="24">
                  <c:v>44272</c:v>
                </c:pt>
                <c:pt idx="25">
                  <c:v>44363</c:v>
                </c:pt>
                <c:pt idx="26">
                  <c:v>44454</c:v>
                </c:pt>
                <c:pt idx="27">
                  <c:v>44545</c:v>
                </c:pt>
                <c:pt idx="28">
                  <c:v>44636</c:v>
                </c:pt>
                <c:pt idx="29">
                  <c:v>44727</c:v>
                </c:pt>
                <c:pt idx="30">
                  <c:v>44825</c:v>
                </c:pt>
                <c:pt idx="31">
                  <c:v>44916</c:v>
                </c:pt>
                <c:pt idx="32">
                  <c:v>45000</c:v>
                </c:pt>
                <c:pt idx="33">
                  <c:v>45098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2.6749999999999829E-3</c:v>
                </c:pt>
                <c:pt idx="1">
                  <c:v>3.6249999999999893E-3</c:v>
                </c:pt>
                <c:pt idx="2">
                  <c:v>5.1250000000000462E-3</c:v>
                </c:pt>
                <c:pt idx="3">
                  <c:v>7.0749999999999424E-3</c:v>
                </c:pt>
                <c:pt idx="4">
                  <c:v>9.1249999999999387E-3</c:v>
                </c:pt>
                <c:pt idx="5">
                  <c:v>1.1175000000000046E-2</c:v>
                </c:pt>
                <c:pt idx="6">
                  <c:v>1.3075000000000059E-2</c:v>
                </c:pt>
                <c:pt idx="7">
                  <c:v>1.4774999999999872E-2</c:v>
                </c:pt>
                <c:pt idx="8">
                  <c:v>1.6124999999999945E-2</c:v>
                </c:pt>
                <c:pt idx="9">
                  <c:v>1.7425000000000024E-2</c:v>
                </c:pt>
                <c:pt idx="10">
                  <c:v>1.8524999999999903E-2</c:v>
                </c:pt>
                <c:pt idx="11">
                  <c:v>1.9525000000000015E-2</c:v>
                </c:pt>
                <c:pt idx="12">
                  <c:v>2.0275000000000043E-2</c:v>
                </c:pt>
                <c:pt idx="13">
                  <c:v>2.0974999999999966E-2</c:v>
                </c:pt>
                <c:pt idx="14">
                  <c:v>2.1624999999999894E-2</c:v>
                </c:pt>
                <c:pt idx="15">
                  <c:v>2.2224999999999939E-2</c:v>
                </c:pt>
                <c:pt idx="16">
                  <c:v>2.2700000000000053E-2</c:v>
                </c:pt>
                <c:pt idx="17">
                  <c:v>2.3174999999999946E-2</c:v>
                </c:pt>
                <c:pt idx="18">
                  <c:v>2.3675000000000113E-2</c:v>
                </c:pt>
                <c:pt idx="19">
                  <c:v>2.4124999999999952E-2</c:v>
                </c:pt>
                <c:pt idx="20">
                  <c:v>2.4525000000000019E-2</c:v>
                </c:pt>
                <c:pt idx="21">
                  <c:v>2.4925000000000086E-2</c:v>
                </c:pt>
                <c:pt idx="22">
                  <c:v>2.5349999999999984E-2</c:v>
                </c:pt>
                <c:pt idx="23">
                  <c:v>2.574999999999994E-2</c:v>
                </c:pt>
                <c:pt idx="24">
                  <c:v>2.6049999999999907E-2</c:v>
                </c:pt>
                <c:pt idx="25">
                  <c:v>2.6349999999999874E-2</c:v>
                </c:pt>
                <c:pt idx="26">
                  <c:v>2.6624999999999899E-2</c:v>
                </c:pt>
                <c:pt idx="27">
                  <c:v>2.6874999999999982E-2</c:v>
                </c:pt>
                <c:pt idx="28">
                  <c:v>2.7000000000000024E-2</c:v>
                </c:pt>
                <c:pt idx="29">
                  <c:v>2.7299999999999991E-2</c:v>
                </c:pt>
                <c:pt idx="30">
                  <c:v>2.7475000000000027E-2</c:v>
                </c:pt>
                <c:pt idx="31">
                  <c:v>2.7699999999999947E-2</c:v>
                </c:pt>
                <c:pt idx="32">
                  <c:v>2.8050000000000019E-2</c:v>
                </c:pt>
                <c:pt idx="33">
                  <c:v>2.8199999999999892E-2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42062</c:v>
                </c:pt>
                <c:pt idx="1">
                  <c:v>42094</c:v>
                </c:pt>
                <c:pt idx="2">
                  <c:v>42124</c:v>
                </c:pt>
                <c:pt idx="3">
                  <c:v>42153</c:v>
                </c:pt>
                <c:pt idx="4">
                  <c:v>42185</c:v>
                </c:pt>
                <c:pt idx="5">
                  <c:v>42216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2.5700000000000002E-3</c:v>
                </c:pt>
                <c:pt idx="1">
                  <c:v>2.7400000000000002E-3</c:v>
                </c:pt>
                <c:pt idx="2">
                  <c:v>3.0100000000000005E-3</c:v>
                </c:pt>
                <c:pt idx="3">
                  <c:v>3.3499999999999997E-3</c:v>
                </c:pt>
                <c:pt idx="4">
                  <c:v>3.79E-3</c:v>
                </c:pt>
                <c:pt idx="5">
                  <c:v>4.2599999999999999E-3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42053</c:v>
                </c:pt>
                <c:pt idx="1">
                  <c:v>42109</c:v>
                </c:pt>
                <c:pt idx="2">
                  <c:v>42144</c:v>
                </c:pt>
                <c:pt idx="3">
                  <c:v>42200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2.5374999999999703E-3</c:v>
                </c:pt>
                <c:pt idx="1">
                  <c:v>2.8249999999999664E-3</c:v>
                </c:pt>
                <c:pt idx="2">
                  <c:v>3.2750000000000279E-3</c:v>
                </c:pt>
                <c:pt idx="3">
                  <c:v>4.0250000000000563E-3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432128"/>
        <c:axId val="570434304"/>
      </c:scatterChart>
      <c:dateAx>
        <c:axId val="570432128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704343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043430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043212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42034</c:v>
                </c:pt>
                <c:pt idx="1">
                  <c:v>42037</c:v>
                </c:pt>
                <c:pt idx="2">
                  <c:v>42038</c:v>
                </c:pt>
                <c:pt idx="3">
                  <c:v>42039</c:v>
                </c:pt>
                <c:pt idx="4">
                  <c:v>42040</c:v>
                </c:pt>
                <c:pt idx="5">
                  <c:v>42041</c:v>
                </c:pt>
                <c:pt idx="6">
                  <c:v>42044</c:v>
                </c:pt>
                <c:pt idx="7">
                  <c:v>42045</c:v>
                </c:pt>
                <c:pt idx="8">
                  <c:v>42046</c:v>
                </c:pt>
                <c:pt idx="9">
                  <c:v>42047</c:v>
                </c:pt>
                <c:pt idx="10">
                  <c:v>42048</c:v>
                </c:pt>
                <c:pt idx="11">
                  <c:v>42052</c:v>
                </c:pt>
                <c:pt idx="12">
                  <c:v>42052</c:v>
                </c:pt>
                <c:pt idx="13">
                  <c:v>42053</c:v>
                </c:pt>
                <c:pt idx="14">
                  <c:v>42054</c:v>
                </c:pt>
                <c:pt idx="15">
                  <c:v>42055</c:v>
                </c:pt>
                <c:pt idx="16">
                  <c:v>42058</c:v>
                </c:pt>
                <c:pt idx="17">
                  <c:v>42059</c:v>
                </c:pt>
                <c:pt idx="18">
                  <c:v>42060</c:v>
                </c:pt>
                <c:pt idx="19">
                  <c:v>42061</c:v>
                </c:pt>
                <c:pt idx="20">
                  <c:v>42062</c:v>
                </c:pt>
                <c:pt idx="21">
                  <c:v>42065</c:v>
                </c:pt>
                <c:pt idx="22">
                  <c:v>42066</c:v>
                </c:pt>
                <c:pt idx="23">
                  <c:v>42067</c:v>
                </c:pt>
                <c:pt idx="24">
                  <c:v>42068</c:v>
                </c:pt>
                <c:pt idx="25">
                  <c:v>42069</c:v>
                </c:pt>
                <c:pt idx="26">
                  <c:v>42072</c:v>
                </c:pt>
                <c:pt idx="27">
                  <c:v>42073</c:v>
                </c:pt>
                <c:pt idx="28">
                  <c:v>42074</c:v>
                </c:pt>
                <c:pt idx="29">
                  <c:v>42075</c:v>
                </c:pt>
                <c:pt idx="30">
                  <c:v>42076</c:v>
                </c:pt>
                <c:pt idx="31">
                  <c:v>42079</c:v>
                </c:pt>
                <c:pt idx="32">
                  <c:v>42080</c:v>
                </c:pt>
                <c:pt idx="33">
                  <c:v>42081</c:v>
                </c:pt>
                <c:pt idx="34">
                  <c:v>42082</c:v>
                </c:pt>
                <c:pt idx="35">
                  <c:v>42083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42093</c:v>
                </c:pt>
                <c:pt idx="42">
                  <c:v>42094</c:v>
                </c:pt>
                <c:pt idx="43">
                  <c:v>42095</c:v>
                </c:pt>
                <c:pt idx="44">
                  <c:v>42096</c:v>
                </c:pt>
                <c:pt idx="45">
                  <c:v>42101</c:v>
                </c:pt>
                <c:pt idx="46">
                  <c:v>42102</c:v>
                </c:pt>
                <c:pt idx="47">
                  <c:v>42103</c:v>
                </c:pt>
                <c:pt idx="48">
                  <c:v>42104</c:v>
                </c:pt>
                <c:pt idx="49">
                  <c:v>42107</c:v>
                </c:pt>
                <c:pt idx="50">
                  <c:v>42108</c:v>
                </c:pt>
                <c:pt idx="51">
                  <c:v>42109</c:v>
                </c:pt>
                <c:pt idx="52">
                  <c:v>42110</c:v>
                </c:pt>
                <c:pt idx="53">
                  <c:v>42111</c:v>
                </c:pt>
                <c:pt idx="54">
                  <c:v>42114</c:v>
                </c:pt>
                <c:pt idx="55">
                  <c:v>42115</c:v>
                </c:pt>
                <c:pt idx="56">
                  <c:v>42116</c:v>
                </c:pt>
                <c:pt idx="57">
                  <c:v>42117</c:v>
                </c:pt>
                <c:pt idx="58">
                  <c:v>42118</c:v>
                </c:pt>
                <c:pt idx="59">
                  <c:v>42121</c:v>
                </c:pt>
                <c:pt idx="60">
                  <c:v>42122</c:v>
                </c:pt>
                <c:pt idx="61">
                  <c:v>42123</c:v>
                </c:pt>
                <c:pt idx="62">
                  <c:v>42124</c:v>
                </c:pt>
                <c:pt idx="63">
                  <c:v>42125</c:v>
                </c:pt>
                <c:pt idx="64">
                  <c:v>42129</c:v>
                </c:pt>
                <c:pt idx="65">
                  <c:v>42130</c:v>
                </c:pt>
                <c:pt idx="66">
                  <c:v>42131</c:v>
                </c:pt>
                <c:pt idx="67">
                  <c:v>42132</c:v>
                </c:pt>
                <c:pt idx="68">
                  <c:v>42135</c:v>
                </c:pt>
                <c:pt idx="69">
                  <c:v>42136</c:v>
                </c:pt>
                <c:pt idx="70">
                  <c:v>42137</c:v>
                </c:pt>
                <c:pt idx="71">
                  <c:v>42138</c:v>
                </c:pt>
                <c:pt idx="72">
                  <c:v>42139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42145</c:v>
                </c:pt>
                <c:pt idx="77">
                  <c:v>42146</c:v>
                </c:pt>
                <c:pt idx="78">
                  <c:v>42150</c:v>
                </c:pt>
                <c:pt idx="79">
                  <c:v>42151</c:v>
                </c:pt>
                <c:pt idx="80">
                  <c:v>42152</c:v>
                </c:pt>
                <c:pt idx="81">
                  <c:v>42153</c:v>
                </c:pt>
                <c:pt idx="82">
                  <c:v>42156</c:v>
                </c:pt>
                <c:pt idx="83">
                  <c:v>42157</c:v>
                </c:pt>
                <c:pt idx="84">
                  <c:v>42158</c:v>
                </c:pt>
                <c:pt idx="85">
                  <c:v>42159</c:v>
                </c:pt>
                <c:pt idx="86">
                  <c:v>42160</c:v>
                </c:pt>
                <c:pt idx="87">
                  <c:v>42163</c:v>
                </c:pt>
                <c:pt idx="88">
                  <c:v>42164</c:v>
                </c:pt>
                <c:pt idx="89">
                  <c:v>42165</c:v>
                </c:pt>
                <c:pt idx="90">
                  <c:v>42166</c:v>
                </c:pt>
                <c:pt idx="91">
                  <c:v>42167</c:v>
                </c:pt>
                <c:pt idx="92">
                  <c:v>42170</c:v>
                </c:pt>
                <c:pt idx="93">
                  <c:v>42171</c:v>
                </c:pt>
                <c:pt idx="94">
                  <c:v>42172</c:v>
                </c:pt>
                <c:pt idx="95">
                  <c:v>42173</c:v>
                </c:pt>
                <c:pt idx="96">
                  <c:v>42174</c:v>
                </c:pt>
                <c:pt idx="97">
                  <c:v>42177</c:v>
                </c:pt>
                <c:pt idx="98">
                  <c:v>42178</c:v>
                </c:pt>
                <c:pt idx="99">
                  <c:v>42179</c:v>
                </c:pt>
                <c:pt idx="100">
                  <c:v>42180</c:v>
                </c:pt>
                <c:pt idx="101">
                  <c:v>42181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42191</c:v>
                </c:pt>
                <c:pt idx="107">
                  <c:v>42191</c:v>
                </c:pt>
                <c:pt idx="108">
                  <c:v>42192</c:v>
                </c:pt>
                <c:pt idx="109">
                  <c:v>42193</c:v>
                </c:pt>
                <c:pt idx="110">
                  <c:v>42194</c:v>
                </c:pt>
                <c:pt idx="111">
                  <c:v>42195</c:v>
                </c:pt>
                <c:pt idx="112">
                  <c:v>42198</c:v>
                </c:pt>
                <c:pt idx="113">
                  <c:v>42199</c:v>
                </c:pt>
                <c:pt idx="114">
                  <c:v>42200</c:v>
                </c:pt>
                <c:pt idx="115">
                  <c:v>42201</c:v>
                </c:pt>
                <c:pt idx="116">
                  <c:v>42202</c:v>
                </c:pt>
                <c:pt idx="117">
                  <c:v>42205</c:v>
                </c:pt>
                <c:pt idx="118">
                  <c:v>42206</c:v>
                </c:pt>
                <c:pt idx="119">
                  <c:v>42207</c:v>
                </c:pt>
                <c:pt idx="120">
                  <c:v>42208</c:v>
                </c:pt>
                <c:pt idx="121">
                  <c:v>42209</c:v>
                </c:pt>
                <c:pt idx="122">
                  <c:v>42212</c:v>
                </c:pt>
                <c:pt idx="123">
                  <c:v>42213</c:v>
                </c:pt>
                <c:pt idx="124">
                  <c:v>42214</c:v>
                </c:pt>
                <c:pt idx="125">
                  <c:v>42215</c:v>
                </c:pt>
                <c:pt idx="126">
                  <c:v>42216</c:v>
                </c:pt>
                <c:pt idx="127">
                  <c:v>42219</c:v>
                </c:pt>
                <c:pt idx="128">
                  <c:v>42220</c:v>
                </c:pt>
                <c:pt idx="129">
                  <c:v>42221</c:v>
                </c:pt>
                <c:pt idx="130">
                  <c:v>42222</c:v>
                </c:pt>
                <c:pt idx="131">
                  <c:v>42223</c:v>
                </c:pt>
                <c:pt idx="132">
                  <c:v>42226</c:v>
                </c:pt>
                <c:pt idx="133">
                  <c:v>42227</c:v>
                </c:pt>
                <c:pt idx="134">
                  <c:v>42228</c:v>
                </c:pt>
                <c:pt idx="135">
                  <c:v>42229</c:v>
                </c:pt>
                <c:pt idx="136">
                  <c:v>42230</c:v>
                </c:pt>
                <c:pt idx="137">
                  <c:v>42233</c:v>
                </c:pt>
                <c:pt idx="138">
                  <c:v>42234</c:v>
                </c:pt>
                <c:pt idx="139">
                  <c:v>42235</c:v>
                </c:pt>
                <c:pt idx="140">
                  <c:v>42236</c:v>
                </c:pt>
                <c:pt idx="141">
                  <c:v>42237</c:v>
                </c:pt>
                <c:pt idx="142">
                  <c:v>42240</c:v>
                </c:pt>
                <c:pt idx="143">
                  <c:v>42241</c:v>
                </c:pt>
                <c:pt idx="144">
                  <c:v>42242</c:v>
                </c:pt>
                <c:pt idx="145">
                  <c:v>42243</c:v>
                </c:pt>
                <c:pt idx="146">
                  <c:v>42244</c:v>
                </c:pt>
                <c:pt idx="147">
                  <c:v>42248</c:v>
                </c:pt>
                <c:pt idx="148">
                  <c:v>42249</c:v>
                </c:pt>
                <c:pt idx="149">
                  <c:v>42250</c:v>
                </c:pt>
                <c:pt idx="150">
                  <c:v>42251</c:v>
                </c:pt>
                <c:pt idx="151">
                  <c:v>42255</c:v>
                </c:pt>
                <c:pt idx="152">
                  <c:v>42255</c:v>
                </c:pt>
                <c:pt idx="153">
                  <c:v>42256</c:v>
                </c:pt>
                <c:pt idx="154">
                  <c:v>42257</c:v>
                </c:pt>
                <c:pt idx="155">
                  <c:v>42258</c:v>
                </c:pt>
                <c:pt idx="156">
                  <c:v>42261</c:v>
                </c:pt>
                <c:pt idx="157">
                  <c:v>42262</c:v>
                </c:pt>
                <c:pt idx="158">
                  <c:v>42263</c:v>
                </c:pt>
                <c:pt idx="159">
                  <c:v>42264</c:v>
                </c:pt>
                <c:pt idx="160">
                  <c:v>42265</c:v>
                </c:pt>
                <c:pt idx="161">
                  <c:v>42268</c:v>
                </c:pt>
                <c:pt idx="162">
                  <c:v>42269</c:v>
                </c:pt>
                <c:pt idx="163">
                  <c:v>42270</c:v>
                </c:pt>
                <c:pt idx="164">
                  <c:v>42271</c:v>
                </c:pt>
                <c:pt idx="165">
                  <c:v>42272</c:v>
                </c:pt>
                <c:pt idx="166">
                  <c:v>42275</c:v>
                </c:pt>
                <c:pt idx="167">
                  <c:v>42276</c:v>
                </c:pt>
                <c:pt idx="168">
                  <c:v>42277</c:v>
                </c:pt>
                <c:pt idx="169">
                  <c:v>42278</c:v>
                </c:pt>
                <c:pt idx="170">
                  <c:v>42279</c:v>
                </c:pt>
                <c:pt idx="171">
                  <c:v>42282</c:v>
                </c:pt>
                <c:pt idx="172">
                  <c:v>42283</c:v>
                </c:pt>
                <c:pt idx="173">
                  <c:v>42284</c:v>
                </c:pt>
                <c:pt idx="174">
                  <c:v>42285</c:v>
                </c:pt>
                <c:pt idx="175">
                  <c:v>42286</c:v>
                </c:pt>
                <c:pt idx="176">
                  <c:v>42290</c:v>
                </c:pt>
                <c:pt idx="177">
                  <c:v>42290</c:v>
                </c:pt>
                <c:pt idx="178">
                  <c:v>42291</c:v>
                </c:pt>
                <c:pt idx="179">
                  <c:v>42292</c:v>
                </c:pt>
                <c:pt idx="180">
                  <c:v>42293</c:v>
                </c:pt>
                <c:pt idx="181">
                  <c:v>42296</c:v>
                </c:pt>
                <c:pt idx="182">
                  <c:v>42297</c:v>
                </c:pt>
                <c:pt idx="183">
                  <c:v>42298</c:v>
                </c:pt>
                <c:pt idx="184">
                  <c:v>42299</c:v>
                </c:pt>
                <c:pt idx="185">
                  <c:v>42300</c:v>
                </c:pt>
                <c:pt idx="186">
                  <c:v>42303</c:v>
                </c:pt>
                <c:pt idx="187">
                  <c:v>42304</c:v>
                </c:pt>
                <c:pt idx="188">
                  <c:v>42305</c:v>
                </c:pt>
                <c:pt idx="189">
                  <c:v>42306</c:v>
                </c:pt>
                <c:pt idx="190">
                  <c:v>42307</c:v>
                </c:pt>
                <c:pt idx="191">
                  <c:v>42310</c:v>
                </c:pt>
                <c:pt idx="192">
                  <c:v>42311</c:v>
                </c:pt>
                <c:pt idx="193">
                  <c:v>42312</c:v>
                </c:pt>
                <c:pt idx="194">
                  <c:v>42313</c:v>
                </c:pt>
                <c:pt idx="195">
                  <c:v>42314</c:v>
                </c:pt>
                <c:pt idx="196">
                  <c:v>42317</c:v>
                </c:pt>
                <c:pt idx="197">
                  <c:v>42318</c:v>
                </c:pt>
                <c:pt idx="198">
                  <c:v>42320</c:v>
                </c:pt>
                <c:pt idx="199">
                  <c:v>42320</c:v>
                </c:pt>
                <c:pt idx="200">
                  <c:v>42321</c:v>
                </c:pt>
                <c:pt idx="201">
                  <c:v>42324</c:v>
                </c:pt>
                <c:pt idx="202">
                  <c:v>42325</c:v>
                </c:pt>
                <c:pt idx="203">
                  <c:v>42326</c:v>
                </c:pt>
                <c:pt idx="204">
                  <c:v>42327</c:v>
                </c:pt>
                <c:pt idx="205">
                  <c:v>42328</c:v>
                </c:pt>
                <c:pt idx="206">
                  <c:v>42331</c:v>
                </c:pt>
                <c:pt idx="207">
                  <c:v>42332</c:v>
                </c:pt>
                <c:pt idx="208">
                  <c:v>42333</c:v>
                </c:pt>
                <c:pt idx="209">
                  <c:v>42335</c:v>
                </c:pt>
                <c:pt idx="210">
                  <c:v>42335</c:v>
                </c:pt>
                <c:pt idx="211">
                  <c:v>42338</c:v>
                </c:pt>
                <c:pt idx="212">
                  <c:v>42339</c:v>
                </c:pt>
                <c:pt idx="213">
                  <c:v>42340</c:v>
                </c:pt>
                <c:pt idx="214">
                  <c:v>42341</c:v>
                </c:pt>
                <c:pt idx="215">
                  <c:v>42342</c:v>
                </c:pt>
                <c:pt idx="216">
                  <c:v>42345</c:v>
                </c:pt>
                <c:pt idx="217">
                  <c:v>42346</c:v>
                </c:pt>
                <c:pt idx="218">
                  <c:v>42347</c:v>
                </c:pt>
                <c:pt idx="219">
                  <c:v>42348</c:v>
                </c:pt>
                <c:pt idx="220">
                  <c:v>42349</c:v>
                </c:pt>
                <c:pt idx="221">
                  <c:v>42352</c:v>
                </c:pt>
                <c:pt idx="222">
                  <c:v>42353</c:v>
                </c:pt>
                <c:pt idx="223">
                  <c:v>42354</c:v>
                </c:pt>
                <c:pt idx="224">
                  <c:v>42355</c:v>
                </c:pt>
                <c:pt idx="225">
                  <c:v>42356</c:v>
                </c:pt>
                <c:pt idx="226">
                  <c:v>42359</c:v>
                </c:pt>
                <c:pt idx="227">
                  <c:v>42360</c:v>
                </c:pt>
                <c:pt idx="228">
                  <c:v>42361</c:v>
                </c:pt>
                <c:pt idx="229">
                  <c:v>42362</c:v>
                </c:pt>
                <c:pt idx="230">
                  <c:v>42367</c:v>
                </c:pt>
                <c:pt idx="231">
                  <c:v>42368</c:v>
                </c:pt>
                <c:pt idx="232">
                  <c:v>42369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42388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42416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42458</c:v>
                </c:pt>
                <c:pt idx="293">
                  <c:v>42459</c:v>
                </c:pt>
                <c:pt idx="294">
                  <c:v>42460</c:v>
                </c:pt>
                <c:pt idx="295">
                  <c:v>42461</c:v>
                </c:pt>
                <c:pt idx="296">
                  <c:v>42464</c:v>
                </c:pt>
                <c:pt idx="297">
                  <c:v>42465</c:v>
                </c:pt>
                <c:pt idx="298">
                  <c:v>42466</c:v>
                </c:pt>
                <c:pt idx="299">
                  <c:v>42467</c:v>
                </c:pt>
                <c:pt idx="300">
                  <c:v>42468</c:v>
                </c:pt>
                <c:pt idx="301">
                  <c:v>42471</c:v>
                </c:pt>
                <c:pt idx="302">
                  <c:v>42472</c:v>
                </c:pt>
                <c:pt idx="303">
                  <c:v>42473</c:v>
                </c:pt>
                <c:pt idx="304">
                  <c:v>42474</c:v>
                </c:pt>
                <c:pt idx="305">
                  <c:v>42475</c:v>
                </c:pt>
                <c:pt idx="306">
                  <c:v>42478</c:v>
                </c:pt>
                <c:pt idx="307">
                  <c:v>42479</c:v>
                </c:pt>
                <c:pt idx="308">
                  <c:v>42480</c:v>
                </c:pt>
                <c:pt idx="309">
                  <c:v>42481</c:v>
                </c:pt>
                <c:pt idx="310">
                  <c:v>42482</c:v>
                </c:pt>
                <c:pt idx="311">
                  <c:v>42485</c:v>
                </c:pt>
                <c:pt idx="312">
                  <c:v>42486</c:v>
                </c:pt>
                <c:pt idx="313">
                  <c:v>42487</c:v>
                </c:pt>
                <c:pt idx="314">
                  <c:v>42488</c:v>
                </c:pt>
                <c:pt idx="315">
                  <c:v>42489</c:v>
                </c:pt>
                <c:pt idx="316">
                  <c:v>42493</c:v>
                </c:pt>
                <c:pt idx="317">
                  <c:v>42494</c:v>
                </c:pt>
                <c:pt idx="318">
                  <c:v>42495</c:v>
                </c:pt>
                <c:pt idx="319">
                  <c:v>42496</c:v>
                </c:pt>
                <c:pt idx="320">
                  <c:v>42499</c:v>
                </c:pt>
                <c:pt idx="321">
                  <c:v>42500</c:v>
                </c:pt>
                <c:pt idx="322">
                  <c:v>42501</c:v>
                </c:pt>
                <c:pt idx="323">
                  <c:v>42502</c:v>
                </c:pt>
                <c:pt idx="324">
                  <c:v>42503</c:v>
                </c:pt>
                <c:pt idx="325">
                  <c:v>42506</c:v>
                </c:pt>
                <c:pt idx="326">
                  <c:v>42507</c:v>
                </c:pt>
                <c:pt idx="327">
                  <c:v>42508</c:v>
                </c:pt>
                <c:pt idx="328">
                  <c:v>42509</c:v>
                </c:pt>
                <c:pt idx="329">
                  <c:v>42510</c:v>
                </c:pt>
                <c:pt idx="330">
                  <c:v>42513</c:v>
                </c:pt>
                <c:pt idx="331">
                  <c:v>42514</c:v>
                </c:pt>
                <c:pt idx="332">
                  <c:v>42515</c:v>
                </c:pt>
                <c:pt idx="333">
                  <c:v>42516</c:v>
                </c:pt>
                <c:pt idx="334">
                  <c:v>42517</c:v>
                </c:pt>
                <c:pt idx="335">
                  <c:v>42521</c:v>
                </c:pt>
                <c:pt idx="336">
                  <c:v>42522</c:v>
                </c:pt>
                <c:pt idx="337">
                  <c:v>42523</c:v>
                </c:pt>
                <c:pt idx="338">
                  <c:v>42524</c:v>
                </c:pt>
                <c:pt idx="339">
                  <c:v>42527</c:v>
                </c:pt>
                <c:pt idx="340">
                  <c:v>42528</c:v>
                </c:pt>
                <c:pt idx="341">
                  <c:v>42529</c:v>
                </c:pt>
                <c:pt idx="342">
                  <c:v>42530</c:v>
                </c:pt>
                <c:pt idx="343">
                  <c:v>42531</c:v>
                </c:pt>
                <c:pt idx="344">
                  <c:v>42534</c:v>
                </c:pt>
                <c:pt idx="345">
                  <c:v>42535</c:v>
                </c:pt>
                <c:pt idx="346">
                  <c:v>42536</c:v>
                </c:pt>
                <c:pt idx="347">
                  <c:v>42537</c:v>
                </c:pt>
                <c:pt idx="348">
                  <c:v>42538</c:v>
                </c:pt>
                <c:pt idx="349">
                  <c:v>42541</c:v>
                </c:pt>
                <c:pt idx="350">
                  <c:v>42542</c:v>
                </c:pt>
                <c:pt idx="351">
                  <c:v>42543</c:v>
                </c:pt>
                <c:pt idx="352">
                  <c:v>42544</c:v>
                </c:pt>
                <c:pt idx="353">
                  <c:v>42545</c:v>
                </c:pt>
                <c:pt idx="354">
                  <c:v>42548</c:v>
                </c:pt>
                <c:pt idx="355">
                  <c:v>42549</c:v>
                </c:pt>
                <c:pt idx="356">
                  <c:v>42550</c:v>
                </c:pt>
                <c:pt idx="357">
                  <c:v>42551</c:v>
                </c:pt>
                <c:pt idx="358">
                  <c:v>42552</c:v>
                </c:pt>
                <c:pt idx="359">
                  <c:v>42556</c:v>
                </c:pt>
                <c:pt idx="360">
                  <c:v>42556</c:v>
                </c:pt>
                <c:pt idx="361">
                  <c:v>42557</c:v>
                </c:pt>
                <c:pt idx="362">
                  <c:v>42558</c:v>
                </c:pt>
                <c:pt idx="363">
                  <c:v>42559</c:v>
                </c:pt>
                <c:pt idx="364">
                  <c:v>42562</c:v>
                </c:pt>
                <c:pt idx="365">
                  <c:v>42563</c:v>
                </c:pt>
                <c:pt idx="366">
                  <c:v>42564</c:v>
                </c:pt>
                <c:pt idx="367">
                  <c:v>42565</c:v>
                </c:pt>
                <c:pt idx="368">
                  <c:v>42566</c:v>
                </c:pt>
                <c:pt idx="369">
                  <c:v>42569</c:v>
                </c:pt>
                <c:pt idx="370">
                  <c:v>42570</c:v>
                </c:pt>
                <c:pt idx="371">
                  <c:v>42571</c:v>
                </c:pt>
                <c:pt idx="372">
                  <c:v>42572</c:v>
                </c:pt>
                <c:pt idx="373">
                  <c:v>42573</c:v>
                </c:pt>
                <c:pt idx="374">
                  <c:v>42576</c:v>
                </c:pt>
                <c:pt idx="375">
                  <c:v>42577</c:v>
                </c:pt>
                <c:pt idx="376">
                  <c:v>42578</c:v>
                </c:pt>
                <c:pt idx="377">
                  <c:v>42579</c:v>
                </c:pt>
                <c:pt idx="378">
                  <c:v>42580</c:v>
                </c:pt>
                <c:pt idx="379">
                  <c:v>42583</c:v>
                </c:pt>
                <c:pt idx="380">
                  <c:v>42584</c:v>
                </c:pt>
                <c:pt idx="381">
                  <c:v>42585</c:v>
                </c:pt>
                <c:pt idx="382">
                  <c:v>42586</c:v>
                </c:pt>
                <c:pt idx="383">
                  <c:v>42587</c:v>
                </c:pt>
                <c:pt idx="384">
                  <c:v>42590</c:v>
                </c:pt>
                <c:pt idx="385">
                  <c:v>42591</c:v>
                </c:pt>
                <c:pt idx="386">
                  <c:v>42592</c:v>
                </c:pt>
                <c:pt idx="387">
                  <c:v>42593</c:v>
                </c:pt>
                <c:pt idx="388">
                  <c:v>42594</c:v>
                </c:pt>
                <c:pt idx="389">
                  <c:v>42597</c:v>
                </c:pt>
                <c:pt idx="390">
                  <c:v>42598</c:v>
                </c:pt>
                <c:pt idx="391">
                  <c:v>42599</c:v>
                </c:pt>
                <c:pt idx="392">
                  <c:v>42600</c:v>
                </c:pt>
                <c:pt idx="393">
                  <c:v>42601</c:v>
                </c:pt>
                <c:pt idx="394">
                  <c:v>42604</c:v>
                </c:pt>
                <c:pt idx="395">
                  <c:v>42605</c:v>
                </c:pt>
                <c:pt idx="396">
                  <c:v>42606</c:v>
                </c:pt>
                <c:pt idx="397">
                  <c:v>42607</c:v>
                </c:pt>
                <c:pt idx="398">
                  <c:v>42608</c:v>
                </c:pt>
                <c:pt idx="399">
                  <c:v>42612</c:v>
                </c:pt>
                <c:pt idx="400">
                  <c:v>42613</c:v>
                </c:pt>
                <c:pt idx="401">
                  <c:v>42614</c:v>
                </c:pt>
                <c:pt idx="402">
                  <c:v>42615</c:v>
                </c:pt>
                <c:pt idx="403">
                  <c:v>42619</c:v>
                </c:pt>
                <c:pt idx="404">
                  <c:v>42619</c:v>
                </c:pt>
                <c:pt idx="405">
                  <c:v>42620</c:v>
                </c:pt>
                <c:pt idx="406">
                  <c:v>42621</c:v>
                </c:pt>
                <c:pt idx="407">
                  <c:v>42622</c:v>
                </c:pt>
                <c:pt idx="408">
                  <c:v>42625</c:v>
                </c:pt>
                <c:pt idx="409">
                  <c:v>42626</c:v>
                </c:pt>
                <c:pt idx="410">
                  <c:v>42627</c:v>
                </c:pt>
                <c:pt idx="411">
                  <c:v>42628</c:v>
                </c:pt>
                <c:pt idx="412">
                  <c:v>42629</c:v>
                </c:pt>
                <c:pt idx="413">
                  <c:v>42632</c:v>
                </c:pt>
                <c:pt idx="414">
                  <c:v>42633</c:v>
                </c:pt>
                <c:pt idx="415">
                  <c:v>42634</c:v>
                </c:pt>
                <c:pt idx="416">
                  <c:v>42635</c:v>
                </c:pt>
                <c:pt idx="417">
                  <c:v>42636</c:v>
                </c:pt>
                <c:pt idx="418">
                  <c:v>42639</c:v>
                </c:pt>
                <c:pt idx="419">
                  <c:v>42640</c:v>
                </c:pt>
                <c:pt idx="420">
                  <c:v>42641</c:v>
                </c:pt>
                <c:pt idx="421">
                  <c:v>42642</c:v>
                </c:pt>
                <c:pt idx="422">
                  <c:v>42643</c:v>
                </c:pt>
                <c:pt idx="423">
                  <c:v>42646</c:v>
                </c:pt>
                <c:pt idx="424">
                  <c:v>42647</c:v>
                </c:pt>
                <c:pt idx="425">
                  <c:v>42648</c:v>
                </c:pt>
                <c:pt idx="426">
                  <c:v>42649</c:v>
                </c:pt>
                <c:pt idx="427">
                  <c:v>42650</c:v>
                </c:pt>
                <c:pt idx="428">
                  <c:v>42654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42688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42699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42732</c:v>
                </c:pt>
                <c:pt idx="484">
                  <c:v>42733</c:v>
                </c:pt>
                <c:pt idx="485">
                  <c:v>42734</c:v>
                </c:pt>
                <c:pt idx="486">
                  <c:v>42738</c:v>
                </c:pt>
                <c:pt idx="487">
                  <c:v>42739</c:v>
                </c:pt>
                <c:pt idx="488">
                  <c:v>42740</c:v>
                </c:pt>
                <c:pt idx="489">
                  <c:v>42741</c:v>
                </c:pt>
                <c:pt idx="490">
                  <c:v>42744</c:v>
                </c:pt>
                <c:pt idx="491">
                  <c:v>42745</c:v>
                </c:pt>
                <c:pt idx="492">
                  <c:v>42746</c:v>
                </c:pt>
                <c:pt idx="493">
                  <c:v>42747</c:v>
                </c:pt>
                <c:pt idx="494">
                  <c:v>42748</c:v>
                </c:pt>
                <c:pt idx="495">
                  <c:v>42752</c:v>
                </c:pt>
                <c:pt idx="496">
                  <c:v>42752</c:v>
                </c:pt>
                <c:pt idx="497">
                  <c:v>42753</c:v>
                </c:pt>
                <c:pt idx="498">
                  <c:v>42754</c:v>
                </c:pt>
                <c:pt idx="499">
                  <c:v>42755</c:v>
                </c:pt>
                <c:pt idx="500">
                  <c:v>42758</c:v>
                </c:pt>
                <c:pt idx="501">
                  <c:v>42759</c:v>
                </c:pt>
                <c:pt idx="502">
                  <c:v>42760</c:v>
                </c:pt>
                <c:pt idx="503">
                  <c:v>42761</c:v>
                </c:pt>
                <c:pt idx="504">
                  <c:v>42762</c:v>
                </c:pt>
                <c:pt idx="505">
                  <c:v>42765</c:v>
                </c:pt>
                <c:pt idx="506">
                  <c:v>42766</c:v>
                </c:pt>
                <c:pt idx="507">
                  <c:v>42767</c:v>
                </c:pt>
                <c:pt idx="508">
                  <c:v>42768</c:v>
                </c:pt>
                <c:pt idx="509">
                  <c:v>42769</c:v>
                </c:pt>
                <c:pt idx="510">
                  <c:v>42772</c:v>
                </c:pt>
                <c:pt idx="511">
                  <c:v>42773</c:v>
                </c:pt>
                <c:pt idx="512">
                  <c:v>42774</c:v>
                </c:pt>
                <c:pt idx="513">
                  <c:v>42775</c:v>
                </c:pt>
                <c:pt idx="514">
                  <c:v>42776</c:v>
                </c:pt>
                <c:pt idx="515">
                  <c:v>42779</c:v>
                </c:pt>
                <c:pt idx="516">
                  <c:v>42780</c:v>
                </c:pt>
                <c:pt idx="517">
                  <c:v>42781</c:v>
                </c:pt>
                <c:pt idx="518">
                  <c:v>42788</c:v>
                </c:pt>
                <c:pt idx="519">
                  <c:v>42795</c:v>
                </c:pt>
                <c:pt idx="520">
                  <c:v>42802</c:v>
                </c:pt>
                <c:pt idx="521">
                  <c:v>42809</c:v>
                </c:pt>
                <c:pt idx="522">
                  <c:v>42816</c:v>
                </c:pt>
                <c:pt idx="523">
                  <c:v>42823</c:v>
                </c:pt>
                <c:pt idx="524">
                  <c:v>42830</c:v>
                </c:pt>
                <c:pt idx="525">
                  <c:v>42837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2.3545186232709625E-3</c:v>
                </c:pt>
                <c:pt idx="1">
                  <c:v>2.358430524154187E-3</c:v>
                </c:pt>
                <c:pt idx="2">
                  <c:v>2.3631248052780052E-3</c:v>
                </c:pt>
                <c:pt idx="3">
                  <c:v>2.3737488976571797E-3</c:v>
                </c:pt>
                <c:pt idx="4">
                  <c:v>2.3840192807877969E-3</c:v>
                </c:pt>
                <c:pt idx="5">
                  <c:v>2.3889239810337415E-3</c:v>
                </c:pt>
                <c:pt idx="6">
                  <c:v>2.3936856910200532E-3</c:v>
                </c:pt>
                <c:pt idx="7">
                  <c:v>2.3983044106667961E-3</c:v>
                </c:pt>
                <c:pt idx="8">
                  <c:v>2.4070813099275057E-3</c:v>
                </c:pt>
                <c:pt idx="9">
                  <c:v>2.4153493860179509E-3</c:v>
                </c:pt>
                <c:pt idx="10">
                  <c:v>2.4192531541267215E-3</c:v>
                </c:pt>
                <c:pt idx="11">
                  <c:v>2.4266317190857478E-3</c:v>
                </c:pt>
                <c:pt idx="12">
                  <c:v>2.4266317190857478E-3</c:v>
                </c:pt>
                <c:pt idx="13">
                  <c:v>2.4334071076825836E-3</c:v>
                </c:pt>
                <c:pt idx="14">
                  <c:v>2.439672965088846E-3</c:v>
                </c:pt>
                <c:pt idx="15">
                  <c:v>2.4425758006607623E-3</c:v>
                </c:pt>
                <c:pt idx="16">
                  <c:v>2.4453356458131736E-3</c:v>
                </c:pt>
                <c:pt idx="17">
                  <c:v>2.4479525007059522E-3</c:v>
                </c:pt>
                <c:pt idx="18">
                  <c:v>2.4528285287939156E-3</c:v>
                </c:pt>
                <c:pt idx="19">
                  <c:v>2.4574103406571624E-3</c:v>
                </c:pt>
                <c:pt idx="20">
                  <c:v>2.4595848864805703E-3</c:v>
                </c:pt>
                <c:pt idx="21">
                  <c:v>2.4616846025615757E-3</c:v>
                </c:pt>
                <c:pt idx="22">
                  <c:v>2.4637094889801148E-3</c:v>
                </c:pt>
                <c:pt idx="23">
                  <c:v>2.467526742400139E-3</c:v>
                </c:pt>
                <c:pt idx="24">
                  <c:v>2.4710607378697347E-3</c:v>
                </c:pt>
                <c:pt idx="25">
                  <c:v>2.4727114758960056E-3</c:v>
                </c:pt>
                <c:pt idx="26">
                  <c:v>2.474287384179874E-3</c:v>
                </c:pt>
                <c:pt idx="27">
                  <c:v>2.4757884628012761E-3</c:v>
                </c:pt>
                <c:pt idx="28">
                  <c:v>2.4785582522124372E-3</c:v>
                </c:pt>
                <c:pt idx="29">
                  <c:v>2.4810444805023479E-3</c:v>
                </c:pt>
                <c:pt idx="30">
                  <c:v>2.4821714107314818E-3</c:v>
                </c:pt>
                <c:pt idx="31">
                  <c:v>2.4832235111382772E-3</c:v>
                </c:pt>
                <c:pt idx="32">
                  <c:v>2.4842007819625422E-3</c:v>
                </c:pt>
                <c:pt idx="33">
                  <c:v>2.4859230572715774E-3</c:v>
                </c:pt>
                <c:pt idx="34">
                  <c:v>2.4873615683151939E-3</c:v>
                </c:pt>
                <c:pt idx="35">
                  <c:v>2.4879646905873187E-3</c:v>
                </c:pt>
                <c:pt idx="36">
                  <c:v>2.4884929832769132E-3</c:v>
                </c:pt>
                <c:pt idx="37">
                  <c:v>2.4889464462241051E-3</c:v>
                </c:pt>
                <c:pt idx="38">
                  <c:v>2.489621156858135E-3</c:v>
                </c:pt>
                <c:pt idx="39">
                  <c:v>2.4900120010684645E-3</c:v>
                </c:pt>
                <c:pt idx="40">
                  <c:v>2.4901520721432036E-3</c:v>
                </c:pt>
                <c:pt idx="41">
                  <c:v>2.4905210963943603E-3</c:v>
                </c:pt>
                <c:pt idx="42">
                  <c:v>2.4936906843624485E-3</c:v>
                </c:pt>
                <c:pt idx="43">
                  <c:v>2.4988191481600808E-3</c:v>
                </c:pt>
                <c:pt idx="44">
                  <c:v>2.5012161411641642E-3</c:v>
                </c:pt>
                <c:pt idx="45">
                  <c:v>2.5039028440243527E-3</c:v>
                </c:pt>
                <c:pt idx="46">
                  <c:v>2.5102594529169409E-3</c:v>
                </c:pt>
                <c:pt idx="47">
                  <c:v>2.5175467540261565E-3</c:v>
                </c:pt>
                <c:pt idx="48">
                  <c:v>2.5216820060869338E-3</c:v>
                </c:pt>
                <c:pt idx="49">
                  <c:v>2.5261069681636883E-3</c:v>
                </c:pt>
                <c:pt idx="50">
                  <c:v>2.5308216400965478E-3</c:v>
                </c:pt>
                <c:pt idx="51">
                  <c:v>2.5412346219866322E-3</c:v>
                </c:pt>
                <c:pt idx="52">
                  <c:v>2.55257742710846E-3</c:v>
                </c:pt>
                <c:pt idx="53">
                  <c:v>2.5587406487215247E-3</c:v>
                </c:pt>
                <c:pt idx="54">
                  <c:v>2.5651935802706305E-3</c:v>
                </c:pt>
                <c:pt idx="55">
                  <c:v>2.5719362218357134E-3</c:v>
                </c:pt>
                <c:pt idx="56">
                  <c:v>2.5864057867419632E-3</c:v>
                </c:pt>
                <c:pt idx="57">
                  <c:v>2.6018038884956241E-3</c:v>
                </c:pt>
                <c:pt idx="58">
                  <c:v>2.6099950802205285E-3</c:v>
                </c:pt>
                <c:pt idx="59">
                  <c:v>2.6184759821212822E-3</c:v>
                </c:pt>
                <c:pt idx="60">
                  <c:v>2.6271668402344517E-3</c:v>
                </c:pt>
                <c:pt idx="61">
                  <c:v>2.6481785226484256E-3</c:v>
                </c:pt>
                <c:pt idx="62">
                  <c:v>2.6681876985445996E-3</c:v>
                </c:pt>
                <c:pt idx="63">
                  <c:v>2.6758254297121198E-3</c:v>
                </c:pt>
                <c:pt idx="64">
                  <c:v>2.6832743474347609E-3</c:v>
                </c:pt>
                <c:pt idx="65">
                  <c:v>2.6975630174685961E-3</c:v>
                </c:pt>
                <c:pt idx="66">
                  <c:v>2.7111818827574297E-3</c:v>
                </c:pt>
                <c:pt idx="67">
                  <c:v>2.7176867326961229E-3</c:v>
                </c:pt>
                <c:pt idx="68">
                  <c:v>2.724002769030065E-3</c:v>
                </c:pt>
                <c:pt idx="69">
                  <c:v>2.7301299918391919E-3</c:v>
                </c:pt>
                <c:pt idx="70">
                  <c:v>2.7417759398584707E-3</c:v>
                </c:pt>
                <c:pt idx="71">
                  <c:v>2.7528163932366567E-3</c:v>
                </c:pt>
                <c:pt idx="72">
                  <c:v>2.7583934264718835E-3</c:v>
                </c:pt>
                <c:pt idx="73">
                  <c:v>2.7641755248719591E-3</c:v>
                </c:pt>
                <c:pt idx="74">
                  <c:v>2.7701626881171393E-3</c:v>
                </c:pt>
                <c:pt idx="75">
                  <c:v>2.7861882661817106E-3</c:v>
                </c:pt>
                <c:pt idx="76">
                  <c:v>2.8031744803769243E-3</c:v>
                </c:pt>
                <c:pt idx="77">
                  <c:v>2.8103920340516453E-3</c:v>
                </c:pt>
                <c:pt idx="78">
                  <c:v>2.8178146528112791E-3</c:v>
                </c:pt>
                <c:pt idx="79">
                  <c:v>2.8333657402157542E-3</c:v>
                </c:pt>
                <c:pt idx="80">
                  <c:v>2.8495557790186865E-3</c:v>
                </c:pt>
                <c:pt idx="81">
                  <c:v>2.8580037233627564E-3</c:v>
                </c:pt>
                <c:pt idx="82">
                  <c:v>2.8666567330315473E-3</c:v>
                </c:pt>
                <c:pt idx="83">
                  <c:v>2.875514807705315E-3</c:v>
                </c:pt>
                <c:pt idx="84">
                  <c:v>2.8939377711800773E-3</c:v>
                </c:pt>
                <c:pt idx="85">
                  <c:v>2.9129977590880429E-3</c:v>
                </c:pt>
                <c:pt idx="86">
                  <c:v>2.9228811600656712E-3</c:v>
                </c:pt>
                <c:pt idx="87">
                  <c:v>2.9329696262880844E-3</c:v>
                </c:pt>
                <c:pt idx="88">
                  <c:v>2.9432631578352186E-3</c:v>
                </c:pt>
                <c:pt idx="89">
                  <c:v>2.9645581844306435E-3</c:v>
                </c:pt>
                <c:pt idx="90">
                  <c:v>2.9864879375107733E-3</c:v>
                </c:pt>
                <c:pt idx="91">
                  <c:v>2.9978067958413845E-3</c:v>
                </c:pt>
                <c:pt idx="92">
                  <c:v>3.0093307195766528E-3</c:v>
                </c:pt>
                <c:pt idx="93">
                  <c:v>3.0210335713043435E-3</c:v>
                </c:pt>
                <c:pt idx="94">
                  <c:v>3.0446781004922485E-3</c:v>
                </c:pt>
                <c:pt idx="95">
                  <c:v>3.0684319315010811E-3</c:v>
                </c:pt>
                <c:pt idx="96">
                  <c:v>3.0804021224195566E-3</c:v>
                </c:pt>
                <c:pt idx="97">
                  <c:v>3.0924205537896654E-3</c:v>
                </c:pt>
                <c:pt idx="98">
                  <c:v>3.1044872254515354E-3</c:v>
                </c:pt>
                <c:pt idx="99">
                  <c:v>3.1288085624758821E-3</c:v>
                </c:pt>
                <c:pt idx="100">
                  <c:v>3.1532363159758603E-3</c:v>
                </c:pt>
                <c:pt idx="101">
                  <c:v>3.1655441896560887E-3</c:v>
                </c:pt>
                <c:pt idx="102">
                  <c:v>3.1779003036280784E-3</c:v>
                </c:pt>
                <c:pt idx="103">
                  <c:v>3.1903046580517014E-3</c:v>
                </c:pt>
                <c:pt idx="104">
                  <c:v>3.2153028847936582E-3</c:v>
                </c:pt>
                <c:pt idx="105">
                  <c:v>3.2404044797829101E-3</c:v>
                </c:pt>
                <c:pt idx="106">
                  <c:v>3.2657438332783784E-3</c:v>
                </c:pt>
                <c:pt idx="107">
                  <c:v>3.2657438332783784E-3</c:v>
                </c:pt>
                <c:pt idx="108">
                  <c:v>3.2784858706236264E-3</c:v>
                </c:pt>
                <c:pt idx="109">
                  <c:v>3.3041610726147752E-3</c:v>
                </c:pt>
                <c:pt idx="110">
                  <c:v>3.3299364246008878E-3</c:v>
                </c:pt>
                <c:pt idx="111">
                  <c:v>3.3429196642842385E-3</c:v>
                </c:pt>
                <c:pt idx="112">
                  <c:v>3.3559511444192225E-3</c:v>
                </c:pt>
                <c:pt idx="113">
                  <c:v>3.3690308650857759E-3</c:v>
                </c:pt>
                <c:pt idx="114">
                  <c:v>3.3953831311350768E-3</c:v>
                </c:pt>
                <c:pt idx="115">
                  <c:v>3.4218321523482587E-3</c:v>
                </c:pt>
                <c:pt idx="116">
                  <c:v>3.4351530753529147E-3</c:v>
                </c:pt>
                <c:pt idx="117">
                  <c:v>3.4485222389690762E-3</c:v>
                </c:pt>
                <c:pt idx="118">
                  <c:v>3.461939643036871E-3</c:v>
                </c:pt>
                <c:pt idx="119">
                  <c:v>3.4889690658435057E-3</c:v>
                </c:pt>
                <c:pt idx="120">
                  <c:v>3.5160916645438078E-3</c:v>
                </c:pt>
                <c:pt idx="121">
                  <c:v>3.5297502712694495E-3</c:v>
                </c:pt>
                <c:pt idx="122">
                  <c:v>3.5434571186065966E-3</c:v>
                </c:pt>
                <c:pt idx="123">
                  <c:v>3.5572122063953771E-3</c:v>
                </c:pt>
                <c:pt idx="124">
                  <c:v>3.5849188821490685E-3</c:v>
                </c:pt>
                <c:pt idx="125">
                  <c:v>3.6127149633458089E-3</c:v>
                </c:pt>
                <c:pt idx="126">
                  <c:v>3.6267112539523083E-3</c:v>
                </c:pt>
                <c:pt idx="127">
                  <c:v>3.6407557852502492E-3</c:v>
                </c:pt>
                <c:pt idx="128">
                  <c:v>3.6548485570797595E-3</c:v>
                </c:pt>
                <c:pt idx="129">
                  <c:v>3.6832325858071613E-3</c:v>
                </c:pt>
                <c:pt idx="130">
                  <c:v>3.711702050432919E-3</c:v>
                </c:pt>
                <c:pt idx="131">
                  <c:v>3.7260360253199565E-3</c:v>
                </c:pt>
                <c:pt idx="132">
                  <c:v>3.7404182408184994E-3</c:v>
                </c:pt>
                <c:pt idx="133">
                  <c:v>3.7548486969285477E-3</c:v>
                </c:pt>
                <c:pt idx="134">
                  <c:v>3.7839101825998256E-3</c:v>
                </c:pt>
                <c:pt idx="135">
                  <c:v>3.8130529278834757E-3</c:v>
                </c:pt>
                <c:pt idx="136">
                  <c:v>3.8277245872109233E-3</c:v>
                </c:pt>
                <c:pt idx="137">
                  <c:v>3.8424444873097485E-3</c:v>
                </c:pt>
                <c:pt idx="138">
                  <c:v>3.8572126280200791E-3</c:v>
                </c:pt>
                <c:pt idx="139">
                  <c:v>3.8869516784956204E-3</c:v>
                </c:pt>
                <c:pt idx="140">
                  <c:v>3.9167675976159444E-3</c:v>
                </c:pt>
                <c:pt idx="141">
                  <c:v>3.9317769418634185E-3</c:v>
                </c:pt>
                <c:pt idx="142">
                  <c:v>3.946834526642462E-3</c:v>
                </c:pt>
                <c:pt idx="143">
                  <c:v>3.9619403522728192E-3</c:v>
                </c:pt>
                <c:pt idx="144">
                  <c:v>4.0000127847594769E-3</c:v>
                </c:pt>
                <c:pt idx="145">
                  <c:v>4.0381930910360353E-3</c:v>
                </c:pt>
                <c:pt idx="146">
                  <c:v>4.0535883610548495E-3</c:v>
                </c:pt>
                <c:pt idx="147">
                  <c:v>4.0690318717651053E-3</c:v>
                </c:pt>
                <c:pt idx="148">
                  <c:v>4.1001263919770992E-3</c:v>
                </c:pt>
                <c:pt idx="149">
                  <c:v>4.1312883223998398E-3</c:v>
                </c:pt>
                <c:pt idx="150">
                  <c:v>4.1469730370469193E-3</c:v>
                </c:pt>
                <c:pt idx="151">
                  <c:v>4.1784871886552111E-3</c:v>
                </c:pt>
                <c:pt idx="152">
                  <c:v>4.1784871886552111E-3</c:v>
                </c:pt>
                <c:pt idx="153">
                  <c:v>4.2102596222193256E-3</c:v>
                </c:pt>
                <c:pt idx="154">
                  <c:v>4.2420943815280054E-3</c:v>
                </c:pt>
                <c:pt idx="155">
                  <c:v>4.2581167818944721E-3</c:v>
                </c:pt>
                <c:pt idx="156">
                  <c:v>4.2741874230323162E-3</c:v>
                </c:pt>
                <c:pt idx="157">
                  <c:v>4.2903097326796313E-3</c:v>
                </c:pt>
                <c:pt idx="158">
                  <c:v>4.322828758764885E-3</c:v>
                </c:pt>
                <c:pt idx="159">
                  <c:v>4.3554733271999879E-3</c:v>
                </c:pt>
                <c:pt idx="160">
                  <c:v>4.3719362424710084E-3</c:v>
                </c:pt>
                <c:pt idx="161">
                  <c:v>4.3884679645422864E-3</c:v>
                </c:pt>
                <c:pt idx="162">
                  <c:v>4.4050684932539497E-3</c:v>
                </c:pt>
                <c:pt idx="163">
                  <c:v>4.4385536294377914E-3</c:v>
                </c:pt>
                <c:pt idx="164">
                  <c:v>4.4721586754636888E-3</c:v>
                </c:pt>
                <c:pt idx="165">
                  <c:v>4.4891032378568951E-3</c:v>
                </c:pt>
                <c:pt idx="166">
                  <c:v>4.5061166070503589E-3</c:v>
                </c:pt>
                <c:pt idx="167">
                  <c:v>4.5231987830440801E-3</c:v>
                </c:pt>
                <c:pt idx="168">
                  <c:v>4.5576501898914046E-3</c:v>
                </c:pt>
                <c:pt idx="169">
                  <c:v>4.5922155547817312E-3</c:v>
                </c:pt>
                <c:pt idx="170">
                  <c:v>4.6096417647767396E-3</c:v>
                </c:pt>
                <c:pt idx="171">
                  <c:v>4.6271367815720055E-3</c:v>
                </c:pt>
                <c:pt idx="172">
                  <c:v>4.6447006051675288E-3</c:v>
                </c:pt>
                <c:pt idx="173">
                  <c:v>4.6801184501976678E-3</c:v>
                </c:pt>
                <c:pt idx="174">
                  <c:v>4.7156439684314932E-3</c:v>
                </c:pt>
                <c:pt idx="175">
                  <c:v>4.7335518264279841E-3</c:v>
                </c:pt>
                <c:pt idx="176">
                  <c:v>4.7695739632214185E-3</c:v>
                </c:pt>
                <c:pt idx="177">
                  <c:v>4.7695739632214185E-3</c:v>
                </c:pt>
                <c:pt idx="178">
                  <c:v>4.8059584206150419E-3</c:v>
                </c:pt>
                <c:pt idx="179">
                  <c:v>4.8424439199301617E-3</c:v>
                </c:pt>
                <c:pt idx="180">
                  <c:v>4.8608334264876873E-3</c:v>
                </c:pt>
                <c:pt idx="181">
                  <c:v>4.8792917400852787E-3</c:v>
                </c:pt>
                <c:pt idx="182">
                  <c:v>4.8978188606429995E-3</c:v>
                </c:pt>
                <c:pt idx="183">
                  <c:v>4.9351701117750224E-3</c:v>
                </c:pt>
                <c:pt idx="184">
                  <c:v>4.9726154127949229E-3</c:v>
                </c:pt>
                <c:pt idx="185">
                  <c:v>4.9914865684730358E-3</c:v>
                </c:pt>
                <c:pt idx="186">
                  <c:v>5.0104265311912144E-3</c:v>
                </c:pt>
                <c:pt idx="187">
                  <c:v>5.0294353009494586E-3</c:v>
                </c:pt>
                <c:pt idx="188">
                  <c:v>5.0677535345755587E-3</c:v>
                </c:pt>
                <c:pt idx="189">
                  <c:v>5.1061584507827718E-3</c:v>
                </c:pt>
                <c:pt idx="190">
                  <c:v>5.1255112560610883E-3</c:v>
                </c:pt>
                <c:pt idx="191">
                  <c:v>5.1449328683794704E-3</c:v>
                </c:pt>
                <c:pt idx="192">
                  <c:v>5.1644232878977903E-3</c:v>
                </c:pt>
                <c:pt idx="193">
                  <c:v>5.2037087002076987E-3</c:v>
                </c:pt>
                <c:pt idx="194">
                  <c:v>5.2430730374908308E-3</c:v>
                </c:pt>
                <c:pt idx="195">
                  <c:v>5.2629074929289033E-3</c:v>
                </c:pt>
                <c:pt idx="196">
                  <c:v>5.2828107554869774E-3</c:v>
                </c:pt>
                <c:pt idx="197">
                  <c:v>5.3027828253249254E-3</c:v>
                </c:pt>
                <c:pt idx="198">
                  <c:v>5.3833591769159028E-3</c:v>
                </c:pt>
                <c:pt idx="199">
                  <c:v>5.3833591769159028E-3</c:v>
                </c:pt>
                <c:pt idx="200">
                  <c:v>5.4036752830732837E-3</c:v>
                </c:pt>
                <c:pt idx="201">
                  <c:v>5.4240601963506663E-3</c:v>
                </c:pt>
                <c:pt idx="202">
                  <c:v>5.4445139170677948E-3</c:v>
                </c:pt>
                <c:pt idx="203">
                  <c:v>5.4857343060366048E-3</c:v>
                </c:pt>
                <c:pt idx="204">
                  <c:v>5.5270168729748548E-3</c:v>
                </c:pt>
                <c:pt idx="205">
                  <c:v>5.5478146303311604E-3</c:v>
                </c:pt>
                <c:pt idx="206">
                  <c:v>5.5686811949673398E-3</c:v>
                </c:pt>
                <c:pt idx="207">
                  <c:v>5.5896165671232012E-3</c:v>
                </c:pt>
                <c:pt idx="208">
                  <c:v>5.6318047700010254E-3</c:v>
                </c:pt>
                <c:pt idx="209">
                  <c:v>5.6953255387792723E-3</c:v>
                </c:pt>
                <c:pt idx="210">
                  <c:v>5.6953255387792723E-3</c:v>
                </c:pt>
                <c:pt idx="211">
                  <c:v>5.716673755413737E-3</c:v>
                </c:pt>
                <c:pt idx="212">
                  <c:v>5.7380907795678837E-3</c:v>
                </c:pt>
                <c:pt idx="213">
                  <c:v>5.7812470243323588E-3</c:v>
                </c:pt>
                <c:pt idx="214">
                  <c:v>5.8244469509816099E-3</c:v>
                </c:pt>
                <c:pt idx="215">
                  <c:v>5.8462080126542304E-3</c:v>
                </c:pt>
                <c:pt idx="216">
                  <c:v>5.8680378818465329E-3</c:v>
                </c:pt>
                <c:pt idx="217">
                  <c:v>5.8899365585585173E-3</c:v>
                </c:pt>
                <c:pt idx="218">
                  <c:v>5.9340610816072115E-3</c:v>
                </c:pt>
                <c:pt idx="219">
                  <c:v>5.9782193413226992E-3</c:v>
                </c:pt>
                <c:pt idx="220">
                  <c:v>6.0004620560327737E-3</c:v>
                </c:pt>
                <c:pt idx="221">
                  <c:v>6.0227609948881877E-3</c:v>
                </c:pt>
                <c:pt idx="222">
                  <c:v>6.0450658236721466E-3</c:v>
                </c:pt>
                <c:pt idx="223">
                  <c:v>6.0897561803674449E-3</c:v>
                </c:pt>
                <c:pt idx="224">
                  <c:v>6.1342182034707093E-3</c:v>
                </c:pt>
                <c:pt idx="225">
                  <c:v>6.1564895646259998E-3</c:v>
                </c:pt>
                <c:pt idx="226">
                  <c:v>6.1787542321756206E-3</c:v>
                </c:pt>
                <c:pt idx="227">
                  <c:v>6.2457180839512461E-3</c:v>
                </c:pt>
                <c:pt idx="228">
                  <c:v>6.3122016729533215E-3</c:v>
                </c:pt>
                <c:pt idx="229">
                  <c:v>6.3344194856629343E-3</c:v>
                </c:pt>
                <c:pt idx="230">
                  <c:v>6.3901006808575467E-3</c:v>
                </c:pt>
                <c:pt idx="231">
                  <c:v>6.4454081458453771E-3</c:v>
                </c:pt>
                <c:pt idx="232">
                  <c:v>6.4675857972407158E-3</c:v>
                </c:pt>
                <c:pt idx="233">
                  <c:v>6.4897567549504487E-3</c:v>
                </c:pt>
                <c:pt idx="234">
                  <c:v>6.5119210192143839E-3</c:v>
                </c:pt>
                <c:pt idx="235">
                  <c:v>6.556346636372723E-3</c:v>
                </c:pt>
                <c:pt idx="236">
                  <c:v>6.6005111404532357E-3</c:v>
                </c:pt>
                <c:pt idx="237">
                  <c:v>6.6226419368486944E-3</c:v>
                </c:pt>
                <c:pt idx="238">
                  <c:v>6.6447660397184194E-3</c:v>
                </c:pt>
                <c:pt idx="239">
                  <c:v>6.6668834489025386E-3</c:v>
                </c:pt>
                <c:pt idx="240">
                  <c:v>6.7112210636555147E-3</c:v>
                </c:pt>
                <c:pt idx="241">
                  <c:v>6.7552861502218065E-3</c:v>
                </c:pt>
                <c:pt idx="242">
                  <c:v>6.7773700915374491E-3</c:v>
                </c:pt>
                <c:pt idx="243">
                  <c:v>6.8215178935915333E-3</c:v>
                </c:pt>
                <c:pt idx="244">
                  <c:v>6.8215178935915333E-3</c:v>
                </c:pt>
                <c:pt idx="245">
                  <c:v>6.8657676264827217E-3</c:v>
                </c:pt>
                <c:pt idx="246">
                  <c:v>6.9097331745915369E-3</c:v>
                </c:pt>
                <c:pt idx="247">
                  <c:v>6.9317702609072995E-3</c:v>
                </c:pt>
                <c:pt idx="248">
                  <c:v>6.9538006535374564E-3</c:v>
                </c:pt>
                <c:pt idx="249">
                  <c:v>6.9758243527218156E-3</c:v>
                </c:pt>
                <c:pt idx="250">
                  <c:v>7.0199863235220761E-3</c:v>
                </c:pt>
                <c:pt idx="251">
                  <c:v>7.0638522132426829E-3</c:v>
                </c:pt>
                <c:pt idx="252">
                  <c:v>7.0858424443187573E-3</c:v>
                </c:pt>
                <c:pt idx="253">
                  <c:v>7.1078259819490341E-3</c:v>
                </c:pt>
                <c:pt idx="254">
                  <c:v>7.1298028258137691E-3</c:v>
                </c:pt>
                <c:pt idx="255">
                  <c:v>7.1738771535745371E-3</c:v>
                </c:pt>
                <c:pt idx="256">
                  <c:v>7.217643265695628E-3</c:v>
                </c:pt>
                <c:pt idx="257">
                  <c:v>7.2395866416119503E-3</c:v>
                </c:pt>
                <c:pt idx="258">
                  <c:v>7.2615233239226029E-3</c:v>
                </c:pt>
                <c:pt idx="259">
                  <c:v>7.2834533127075218E-3</c:v>
                </c:pt>
                <c:pt idx="260">
                  <c:v>7.3274401153344826E-3</c:v>
                </c:pt>
                <c:pt idx="261">
                  <c:v>7.3711063315506919E-3</c:v>
                </c:pt>
                <c:pt idx="262">
                  <c:v>7.3930028522273261E-3</c:v>
                </c:pt>
                <c:pt idx="263">
                  <c:v>7.4367758126836492E-3</c:v>
                </c:pt>
                <c:pt idx="264">
                  <c:v>7.4367758126836492E-3</c:v>
                </c:pt>
                <c:pt idx="265">
                  <c:v>7.4806752076028715E-3</c:v>
                </c:pt>
                <c:pt idx="266">
                  <c:v>7.5242414103282584E-3</c:v>
                </c:pt>
                <c:pt idx="267">
                  <c:v>7.5460910756852684E-3</c:v>
                </c:pt>
                <c:pt idx="268">
                  <c:v>7.5679340474366086E-3</c:v>
                </c:pt>
                <c:pt idx="269">
                  <c:v>7.589770325582279E-3</c:v>
                </c:pt>
                <c:pt idx="270">
                  <c:v>7.6335824290474363E-3</c:v>
                </c:pt>
                <c:pt idx="271">
                  <c:v>7.6770485017085832E-3</c:v>
                </c:pt>
                <c:pt idx="272">
                  <c:v>7.6988513117459689E-3</c:v>
                </c:pt>
                <c:pt idx="273">
                  <c:v>7.7206474280977488E-3</c:v>
                </c:pt>
                <c:pt idx="274">
                  <c:v>7.742436850763923E-3</c:v>
                </c:pt>
                <c:pt idx="275">
                  <c:v>7.7861617784424908E-3</c:v>
                </c:pt>
                <c:pt idx="276">
                  <c:v>7.829527605291986E-3</c:v>
                </c:pt>
                <c:pt idx="277">
                  <c:v>7.8512835598498754E-3</c:v>
                </c:pt>
                <c:pt idx="278">
                  <c:v>7.8730328206422229E-3</c:v>
                </c:pt>
                <c:pt idx="279">
                  <c:v>7.8947753879887728E-3</c:v>
                </c:pt>
                <c:pt idx="280">
                  <c:v>7.9384132545889941E-3</c:v>
                </c:pt>
                <c:pt idx="281">
                  <c:v>7.9816787205189144E-3</c:v>
                </c:pt>
                <c:pt idx="282">
                  <c:v>8.0033878195173713E-3</c:v>
                </c:pt>
                <c:pt idx="283">
                  <c:v>8.0250942604820352E-3</c:v>
                </c:pt>
                <c:pt idx="284">
                  <c:v>8.0468141853806685E-3</c:v>
                </c:pt>
                <c:pt idx="285">
                  <c:v>8.090494249080038E-3</c:v>
                </c:pt>
                <c:pt idx="286">
                  <c:v>8.1338690807530867E-3</c:v>
                </c:pt>
                <c:pt idx="287">
                  <c:v>8.1556766035006945E-3</c:v>
                </c:pt>
                <c:pt idx="288">
                  <c:v>8.1775016458340843E-3</c:v>
                </c:pt>
                <c:pt idx="289">
                  <c:v>8.2434769098860272E-3</c:v>
                </c:pt>
                <c:pt idx="290">
                  <c:v>8.3088198109759759E-3</c:v>
                </c:pt>
                <c:pt idx="291">
                  <c:v>8.3307674904098405E-3</c:v>
                </c:pt>
                <c:pt idx="292">
                  <c:v>8.3527326894294873E-3</c:v>
                </c:pt>
                <c:pt idx="293">
                  <c:v>8.3969173342524073E-3</c:v>
                </c:pt>
                <c:pt idx="294">
                  <c:v>8.4407686815257676E-3</c:v>
                </c:pt>
                <c:pt idx="295">
                  <c:v>8.462821478554261E-3</c:v>
                </c:pt>
                <c:pt idx="296">
                  <c:v>8.4848917952484726E-3</c:v>
                </c:pt>
                <c:pt idx="297">
                  <c:v>8.5069796316084023E-3</c:v>
                </c:pt>
                <c:pt idx="298">
                  <c:v>8.5514168242273314E-3</c:v>
                </c:pt>
                <c:pt idx="299">
                  <c:v>8.5955061730658144E-3</c:v>
                </c:pt>
                <c:pt idx="300">
                  <c:v>8.6176816074345908E-3</c:v>
                </c:pt>
                <c:pt idx="301">
                  <c:v>8.6398745615490213E-3</c:v>
                </c:pt>
                <c:pt idx="302">
                  <c:v>8.662085035249234E-3</c:v>
                </c:pt>
                <c:pt idx="303">
                  <c:v>8.7067749502178771E-3</c:v>
                </c:pt>
                <c:pt idx="304">
                  <c:v>8.7511021267072664E-3</c:v>
                </c:pt>
                <c:pt idx="305">
                  <c:v>8.7734001986561339E-3</c:v>
                </c:pt>
                <c:pt idx="306">
                  <c:v>8.7957157903506555E-3</c:v>
                </c:pt>
                <c:pt idx="307">
                  <c:v>8.8180489017108954E-3</c:v>
                </c:pt>
                <c:pt idx="308">
                  <c:v>8.862991715528068E-3</c:v>
                </c:pt>
                <c:pt idx="309">
                  <c:v>8.9075565437291004E-3</c:v>
                </c:pt>
                <c:pt idx="310">
                  <c:v>8.9299772533379951E-3</c:v>
                </c:pt>
                <c:pt idx="311">
                  <c:v>8.95241548277248E-3</c:v>
                </c:pt>
                <c:pt idx="312">
                  <c:v>8.9748712318726831E-3</c:v>
                </c:pt>
                <c:pt idx="313">
                  <c:v>9.0314380442269027E-3</c:v>
                </c:pt>
                <c:pt idx="314">
                  <c:v>9.0874127726792153E-3</c:v>
                </c:pt>
                <c:pt idx="315">
                  <c:v>9.1099736399335995E-3</c:v>
                </c:pt>
                <c:pt idx="316">
                  <c:v>9.132552027013574E-3</c:v>
                </c:pt>
                <c:pt idx="317">
                  <c:v>9.1780011776432247E-3</c:v>
                </c:pt>
                <c:pt idx="318">
                  <c:v>9.2230407720705898E-3</c:v>
                </c:pt>
                <c:pt idx="319">
                  <c:v>9.2457067577189633E-3</c:v>
                </c:pt>
                <c:pt idx="320">
                  <c:v>9.268390263033055E-3</c:v>
                </c:pt>
                <c:pt idx="321">
                  <c:v>9.2910912880928009E-3</c:v>
                </c:pt>
                <c:pt idx="322">
                  <c:v>9.3367938811894646E-3</c:v>
                </c:pt>
                <c:pt idx="323">
                  <c:v>9.3820705857883269E-3</c:v>
                </c:pt>
                <c:pt idx="324">
                  <c:v>9.4048592094964079E-3</c:v>
                </c:pt>
                <c:pt idx="325">
                  <c:v>9.4276653531100152E-3</c:v>
                </c:pt>
                <c:pt idx="326">
                  <c:v>9.4504890163893407E-3</c:v>
                </c:pt>
                <c:pt idx="327">
                  <c:v>9.496445237591189E-3</c:v>
                </c:pt>
                <c:pt idx="328">
                  <c:v>9.5419588672029931E-3</c:v>
                </c:pt>
                <c:pt idx="329">
                  <c:v>9.5648701294503979E-3</c:v>
                </c:pt>
                <c:pt idx="330">
                  <c:v>9.5877989112835849E-3</c:v>
                </c:pt>
                <c:pt idx="331">
                  <c:v>9.6107452130222981E-3</c:v>
                </c:pt>
                <c:pt idx="332">
                  <c:v>9.6685880475444463E-3</c:v>
                </c:pt>
                <c:pt idx="333">
                  <c:v>9.7257395183802942E-3</c:v>
                </c:pt>
                <c:pt idx="334">
                  <c:v>9.7487909388327409E-3</c:v>
                </c:pt>
                <c:pt idx="335">
                  <c:v>9.771859879110778E-3</c:v>
                </c:pt>
                <c:pt idx="336">
                  <c:v>9.8183239227100927E-3</c:v>
                </c:pt>
                <c:pt idx="337">
                  <c:v>9.8643108383189571E-3</c:v>
                </c:pt>
                <c:pt idx="338">
                  <c:v>9.8874673776450095E-3</c:v>
                </c:pt>
                <c:pt idx="339">
                  <c:v>9.9106414367966522E-3</c:v>
                </c:pt>
                <c:pt idx="340">
                  <c:v>9.9338330157738852E-3</c:v>
                </c:pt>
                <c:pt idx="341">
                  <c:v>9.9805512583284184E-3</c:v>
                </c:pt>
                <c:pt idx="342">
                  <c:v>1.0026774530178528E-2</c:v>
                </c:pt>
                <c:pt idx="343">
                  <c:v>1.0050053708363649E-2</c:v>
                </c:pt>
                <c:pt idx="344">
                  <c:v>1.007335040637436E-2</c:v>
                </c:pt>
                <c:pt idx="345">
                  <c:v>1.0096651606623652E-2</c:v>
                </c:pt>
                <c:pt idx="346">
                  <c:v>1.0143363874384193E-2</c:v>
                </c:pt>
                <c:pt idx="347">
                  <c:v>1.0189302617167328E-2</c:v>
                </c:pt>
                <c:pt idx="348">
                  <c:v>1.0212313904522929E-2</c:v>
                </c:pt>
                <c:pt idx="349">
                  <c:v>1.0235264605702454E-2</c:v>
                </c:pt>
                <c:pt idx="350">
                  <c:v>1.0258154720705903E-2</c:v>
                </c:pt>
                <c:pt idx="351">
                  <c:v>1.030402790723528E-2</c:v>
                </c:pt>
                <c:pt idx="352">
                  <c:v>1.0349109318879002E-2</c:v>
                </c:pt>
                <c:pt idx="353">
                  <c:v>1.037169650300207E-2</c:v>
                </c:pt>
                <c:pt idx="354">
                  <c:v>1.0394223100789191E-2</c:v>
                </c:pt>
                <c:pt idx="355">
                  <c:v>1.0416689112400235E-2</c:v>
                </c:pt>
                <c:pt idx="356">
                  <c:v>1.0461723187376037E-2</c:v>
                </c:pt>
                <c:pt idx="357">
                  <c:v>1.0505947296044482E-2</c:v>
                </c:pt>
                <c:pt idx="358">
                  <c:v>1.0528110376215594E-2</c:v>
                </c:pt>
                <c:pt idx="359">
                  <c:v>1.0572254777629908E-2</c:v>
                </c:pt>
                <c:pt idx="360">
                  <c:v>1.0572254777629908E-2</c:v>
                </c:pt>
                <c:pt idx="361">
                  <c:v>1.0616449703082509E-2</c:v>
                </c:pt>
                <c:pt idx="362">
                  <c:v>1.0659816544507095E-2</c:v>
                </c:pt>
                <c:pt idx="363">
                  <c:v>1.0681555520326569E-2</c:v>
                </c:pt>
                <c:pt idx="364">
                  <c:v>1.0703233909730159E-2</c:v>
                </c:pt>
                <c:pt idx="365">
                  <c:v>1.07248517127978E-2</c:v>
                </c:pt>
                <c:pt idx="366">
                  <c:v>1.0768207442897193E-2</c:v>
                </c:pt>
                <c:pt idx="367">
                  <c:v>1.0810717060669717E-2</c:v>
                </c:pt>
                <c:pt idx="368">
                  <c:v>1.0832031931578001E-2</c:v>
                </c:pt>
                <c:pt idx="369">
                  <c:v>1.0853286215990465E-2</c:v>
                </c:pt>
                <c:pt idx="370">
                  <c:v>1.0874479913907109E-2</c:v>
                </c:pt>
                <c:pt idx="371">
                  <c:v>1.091699639552246E-2</c:v>
                </c:pt>
                <c:pt idx="372">
                  <c:v>1.0958648840775354E-2</c:v>
                </c:pt>
                <c:pt idx="373">
                  <c:v>1.097953960613296E-2</c:v>
                </c:pt>
                <c:pt idx="374">
                  <c:v>1.1000369785074682E-2</c:v>
                </c:pt>
                <c:pt idx="375">
                  <c:v>1.1021139377440647E-2</c:v>
                </c:pt>
                <c:pt idx="376">
                  <c:v>1.106281654995378E-2</c:v>
                </c:pt>
                <c:pt idx="377">
                  <c:v>1.110361188106701E-2</c:v>
                </c:pt>
                <c:pt idx="378">
                  <c:v>1.1124078540554194E-2</c:v>
                </c:pt>
                <c:pt idx="379">
                  <c:v>1.1144484613385686E-2</c:v>
                </c:pt>
                <c:pt idx="380">
                  <c:v>1.1164830099641421E-2</c:v>
                </c:pt>
                <c:pt idx="381">
                  <c:v>1.1205667895346494E-2</c:v>
                </c:pt>
                <c:pt idx="382">
                  <c:v>1.1245606178107437E-2</c:v>
                </c:pt>
                <c:pt idx="383">
                  <c:v>1.126564873108471E-2</c:v>
                </c:pt>
                <c:pt idx="384">
                  <c:v>1.128563069740629E-2</c:v>
                </c:pt>
                <c:pt idx="385">
                  <c:v>1.1305552076912306E-2</c:v>
                </c:pt>
                <c:pt idx="386">
                  <c:v>1.1345550421095751E-2</c:v>
                </c:pt>
                <c:pt idx="387">
                  <c:v>1.1384631728219574E-2</c:v>
                </c:pt>
                <c:pt idx="388">
                  <c:v>1.140425017420732E-2</c:v>
                </c:pt>
                <c:pt idx="389">
                  <c:v>1.1423808033459437E-2</c:v>
                </c:pt>
                <c:pt idx="390">
                  <c:v>1.1443305305975926E-2</c:v>
                </c:pt>
                <c:pt idx="391">
                  <c:v>1.148246411683651E-2</c:v>
                </c:pt>
                <c:pt idx="392">
                  <c:v>1.1520688528046108E-2</c:v>
                </c:pt>
                <c:pt idx="393">
                  <c:v>1.1539882866644646E-2</c:v>
                </c:pt>
                <c:pt idx="394">
                  <c:v>1.1559016618347684E-2</c:v>
                </c:pt>
                <c:pt idx="395">
                  <c:v>1.1578089783235157E-2</c:v>
                </c:pt>
                <c:pt idx="396">
                  <c:v>1.1626032904188399E-2</c:v>
                </c:pt>
                <c:pt idx="397">
                  <c:v>1.1672546804879502E-2</c:v>
                </c:pt>
                <c:pt idx="398">
                  <c:v>1.169125644863378E-2</c:v>
                </c:pt>
                <c:pt idx="399">
                  <c:v>1.1709905505412621E-2</c:v>
                </c:pt>
                <c:pt idx="400">
                  <c:v>1.1747384977818243E-2</c:v>
                </c:pt>
                <c:pt idx="401">
                  <c:v>1.178389586357298E-2</c:v>
                </c:pt>
                <c:pt idx="402">
                  <c:v>1.1802241985794382E-2</c:v>
                </c:pt>
                <c:pt idx="403">
                  <c:v>1.1838752469310876E-2</c:v>
                </c:pt>
                <c:pt idx="404">
                  <c:v>1.1838752469310876E-2</c:v>
                </c:pt>
                <c:pt idx="405">
                  <c:v>1.1875392123421591E-2</c:v>
                </c:pt>
                <c:pt idx="406">
                  <c:v>1.1911046392718561E-2</c:v>
                </c:pt>
                <c:pt idx="407">
                  <c:v>1.192896840603197E-2</c:v>
                </c:pt>
                <c:pt idx="408">
                  <c:v>1.1946829832369943E-2</c:v>
                </c:pt>
                <c:pt idx="409">
                  <c:v>1.1964644320334727E-2</c:v>
                </c:pt>
                <c:pt idx="410">
                  <c:v>1.2000717040692166E-2</c:v>
                </c:pt>
                <c:pt idx="411">
                  <c:v>1.2036060726963171E-2</c:v>
                </c:pt>
                <c:pt idx="412">
                  <c:v>1.2053968090954825E-2</c:v>
                </c:pt>
                <c:pt idx="413">
                  <c:v>1.2071896759904277E-2</c:v>
                </c:pt>
                <c:pt idx="414">
                  <c:v>1.2089846733891463E-2</c:v>
                </c:pt>
                <c:pt idx="415">
                  <c:v>1.2126226134370199E-2</c:v>
                </c:pt>
                <c:pt idx="416">
                  <c:v>1.2161859679178377E-2</c:v>
                </c:pt>
                <c:pt idx="417">
                  <c:v>1.2179916177954553E-2</c:v>
                </c:pt>
                <c:pt idx="418">
                  <c:v>1.2197993981688526E-2</c:v>
                </c:pt>
                <c:pt idx="419">
                  <c:v>1.2216093090460234E-2</c:v>
                </c:pt>
                <c:pt idx="420">
                  <c:v>1.2252779329893215E-2</c:v>
                </c:pt>
                <c:pt idx="421">
                  <c:v>1.2288702575045107E-2</c:v>
                </c:pt>
                <c:pt idx="422">
                  <c:v>1.2306908208685741E-2</c:v>
                </c:pt>
                <c:pt idx="423">
                  <c:v>1.2325135147364108E-2</c:v>
                </c:pt>
                <c:pt idx="424">
                  <c:v>1.2343383391000273E-2</c:v>
                </c:pt>
                <c:pt idx="425">
                  <c:v>1.2380376630591883E-2</c:v>
                </c:pt>
                <c:pt idx="426">
                  <c:v>1.241658941560253E-2</c:v>
                </c:pt>
                <c:pt idx="427">
                  <c:v>1.243494418434743E-2</c:v>
                </c:pt>
                <c:pt idx="428">
                  <c:v>1.2471717636790558E-2</c:v>
                </c:pt>
                <c:pt idx="429">
                  <c:v>1.2471717636790558E-2</c:v>
                </c:pt>
                <c:pt idx="430">
                  <c:v>1.250901803974358E-2</c:v>
                </c:pt>
                <c:pt idx="431">
                  <c:v>1.2545520201969751E-2</c:v>
                </c:pt>
                <c:pt idx="432">
                  <c:v>1.2564024105898852E-2</c:v>
                </c:pt>
                <c:pt idx="433">
                  <c:v>1.2582549314785751E-2</c:v>
                </c:pt>
                <c:pt idx="434">
                  <c:v>1.2601095828790321E-2</c:v>
                </c:pt>
                <c:pt idx="435">
                  <c:v>1.2638703560732267E-2</c:v>
                </c:pt>
                <c:pt idx="436">
                  <c:v>1.2675494935265874E-2</c:v>
                </c:pt>
                <c:pt idx="437">
                  <c:v>1.269414797453905E-2</c:v>
                </c:pt>
                <c:pt idx="438">
                  <c:v>1.2712822318849959E-2</c:v>
                </c:pt>
                <c:pt idx="439">
                  <c:v>1.2731517968278538E-2</c:v>
                </c:pt>
                <c:pt idx="440">
                  <c:v>1.2769433196941904E-2</c:v>
                </c:pt>
                <c:pt idx="441">
                  <c:v>1.2806513616689941E-2</c:v>
                </c:pt>
                <c:pt idx="442">
                  <c:v>1.2825315791387126E-2</c:v>
                </c:pt>
                <c:pt idx="443">
                  <c:v>1.2844139271281918E-2</c:v>
                </c:pt>
                <c:pt idx="444">
                  <c:v>1.286298405629438E-2</c:v>
                </c:pt>
                <c:pt idx="445">
                  <c:v>1.2901206951783095E-2</c:v>
                </c:pt>
                <c:pt idx="446">
                  <c:v>1.2938576247201183E-2</c:v>
                </c:pt>
                <c:pt idx="447">
                  <c:v>1.2957527557642123E-2</c:v>
                </c:pt>
                <c:pt idx="448">
                  <c:v>1.297650017328067E-2</c:v>
                </c:pt>
                <c:pt idx="449">
                  <c:v>1.299549409395695E-2</c:v>
                </c:pt>
                <c:pt idx="450">
                  <c:v>1.3034024828719737E-2</c:v>
                </c:pt>
                <c:pt idx="451">
                  <c:v>1.3071682828158515E-2</c:v>
                </c:pt>
                <c:pt idx="452">
                  <c:v>1.3109905025965318E-2</c:v>
                </c:pt>
                <c:pt idx="453">
                  <c:v>1.3109905025965318E-2</c:v>
                </c:pt>
                <c:pt idx="454">
                  <c:v>1.3129048082545225E-2</c:v>
                </c:pt>
                <c:pt idx="455">
                  <c:v>1.3167886831162434E-2</c:v>
                </c:pt>
                <c:pt idx="456">
                  <c:v>1.3205833360521169E-2</c:v>
                </c:pt>
                <c:pt idx="457">
                  <c:v>1.3225082942929234E-2</c:v>
                </c:pt>
                <c:pt idx="458">
                  <c:v>1.3244353830375033E-2</c:v>
                </c:pt>
                <c:pt idx="459">
                  <c:v>1.326364602317831E-2</c:v>
                </c:pt>
                <c:pt idx="460">
                  <c:v>1.3302792962655019E-2</c:v>
                </c:pt>
                <c:pt idx="461">
                  <c:v>1.3360426564199557E-2</c:v>
                </c:pt>
                <c:pt idx="462">
                  <c:v>1.3360426564199557E-2</c:v>
                </c:pt>
                <c:pt idx="463">
                  <c:v>1.3379846587948663E-2</c:v>
                </c:pt>
                <c:pt idx="464">
                  <c:v>1.3399287916895375E-2</c:v>
                </c:pt>
                <c:pt idx="465">
                  <c:v>1.3438743226688032E-2</c:v>
                </c:pt>
                <c:pt idx="466">
                  <c:v>1.3477266284578349E-2</c:v>
                </c:pt>
                <c:pt idx="467">
                  <c:v>1.3496814139513091E-2</c:v>
                </c:pt>
                <c:pt idx="468">
                  <c:v>1.351638329964544E-2</c:v>
                </c:pt>
                <c:pt idx="469">
                  <c:v>1.3535973764975395E-2</c:v>
                </c:pt>
                <c:pt idx="470">
                  <c:v>1.3575737626805306E-2</c:v>
                </c:pt>
                <c:pt idx="471">
                  <c:v>1.3614548678591021E-2</c:v>
                </c:pt>
                <c:pt idx="472">
                  <c:v>1.3634245669988942E-2</c:v>
                </c:pt>
                <c:pt idx="473">
                  <c:v>1.3653963966744342E-2</c:v>
                </c:pt>
                <c:pt idx="474">
                  <c:v>1.3673703568617412E-2</c:v>
                </c:pt>
                <c:pt idx="475">
                  <c:v>1.3713776166630609E-2</c:v>
                </c:pt>
                <c:pt idx="476">
                  <c:v>1.3752875028805178E-2</c:v>
                </c:pt>
                <c:pt idx="477">
                  <c:v>1.3772721156986023E-2</c:v>
                </c:pt>
                <c:pt idx="478">
                  <c:v>1.3792570982769092E-2</c:v>
                </c:pt>
                <c:pt idx="479">
                  <c:v>1.3812354075692923E-2</c:v>
                </c:pt>
                <c:pt idx="480">
                  <c:v>1.3872181942801376E-2</c:v>
                </c:pt>
                <c:pt idx="481">
                  <c:v>1.3929281481450673E-2</c:v>
                </c:pt>
                <c:pt idx="482">
                  <c:v>1.3948474190472737E-2</c:v>
                </c:pt>
                <c:pt idx="483">
                  <c:v>1.3996850484143675E-2</c:v>
                </c:pt>
                <c:pt idx="484">
                  <c:v>1.4043172625326505E-2</c:v>
                </c:pt>
                <c:pt idx="485">
                  <c:v>1.4061859290341872E-2</c:v>
                </c:pt>
                <c:pt idx="486">
                  <c:v>1.4080461614582873E-2</c:v>
                </c:pt>
                <c:pt idx="487">
                  <c:v>1.411793874699363E-2</c:v>
                </c:pt>
                <c:pt idx="488">
                  <c:v>1.4154027504362787E-2</c:v>
                </c:pt>
                <c:pt idx="489">
                  <c:v>1.4172208124971775E-2</c:v>
                </c:pt>
                <c:pt idx="490">
                  <c:v>1.4190304404726461E-2</c:v>
                </c:pt>
                <c:pt idx="491">
                  <c:v>1.4208316343706784E-2</c:v>
                </c:pt>
                <c:pt idx="492">
                  <c:v>1.4244622685000152E-2</c:v>
                </c:pt>
                <c:pt idx="493">
                  <c:v>1.4279520691404812E-2</c:v>
                </c:pt>
                <c:pt idx="494">
                  <c:v>1.4297110926193568E-2</c:v>
                </c:pt>
                <c:pt idx="495">
                  <c:v>1.4332038373208178E-2</c:v>
                </c:pt>
                <c:pt idx="496">
                  <c:v>1.4332038373208178E-2</c:v>
                </c:pt>
                <c:pt idx="497">
                  <c:v>1.4367173681524292E-2</c:v>
                </c:pt>
                <c:pt idx="498">
                  <c:v>1.4400881176426239E-2</c:v>
                </c:pt>
                <c:pt idx="499">
                  <c:v>1.4417881024915147E-2</c:v>
                </c:pt>
                <c:pt idx="500">
                  <c:v>1.4434796532469818E-2</c:v>
                </c:pt>
                <c:pt idx="501">
                  <c:v>1.4451627699010317E-2</c:v>
                </c:pt>
                <c:pt idx="502">
                  <c:v>1.4485591723856217E-2</c:v>
                </c:pt>
                <c:pt idx="503">
                  <c:v>1.4518108955350328E-2</c:v>
                </c:pt>
                <c:pt idx="504">
                  <c:v>1.45345184168999E-2</c:v>
                </c:pt>
                <c:pt idx="505">
                  <c:v>1.4550843537435298E-2</c:v>
                </c:pt>
                <c:pt idx="506">
                  <c:v>1.4567084316876588E-2</c:v>
                </c:pt>
                <c:pt idx="507">
                  <c:v>1.4599876799792355E-2</c:v>
                </c:pt>
                <c:pt idx="508">
                  <c:v>1.4631204024020406E-2</c:v>
                </c:pt>
                <c:pt idx="509">
                  <c:v>1.4647023098071088E-2</c:v>
                </c:pt>
                <c:pt idx="510">
                  <c:v>1.4662757831027662E-2</c:v>
                </c:pt>
                <c:pt idx="511">
                  <c:v>1.4678408222890127E-2</c:v>
                </c:pt>
                <c:pt idx="512">
                  <c:v>1.4710028897528815E-2</c:v>
                </c:pt>
                <c:pt idx="513">
                  <c:v>1.4740166378679476E-2</c:v>
                </c:pt>
                <c:pt idx="514">
                  <c:v>1.4755395064751653E-2</c:v>
                </c:pt>
                <c:pt idx="515">
                  <c:v>1.4770539409489913E-2</c:v>
                </c:pt>
                <c:pt idx="516">
                  <c:v>1.4785599413214001E-2</c:v>
                </c:pt>
                <c:pt idx="517">
                  <c:v>1.4816048005661386E-2</c:v>
                </c:pt>
                <c:pt idx="518">
                  <c:v>1.4917934113265474E-2</c:v>
                </c:pt>
                <c:pt idx="519">
                  <c:v>1.5015687209816164E-2</c:v>
                </c:pt>
                <c:pt idx="520">
                  <c:v>1.5109307285161577E-2</c:v>
                </c:pt>
                <c:pt idx="521">
                  <c:v>1.5198794329709386E-2</c:v>
                </c:pt>
                <c:pt idx="522">
                  <c:v>1.5284912584530019E-2</c:v>
                </c:pt>
                <c:pt idx="523">
                  <c:v>1.5370209545491065E-2</c:v>
                </c:pt>
                <c:pt idx="524">
                  <c:v>1.5454939961321301E-2</c:v>
                </c:pt>
                <c:pt idx="525">
                  <c:v>1.5574330695340421E-2</c:v>
                </c:pt>
                <c:pt idx="526">
                  <c:v>1.5645805910846633E-2</c:v>
                </c:pt>
                <c:pt idx="527">
                  <c:v>1.5740458726032358E-2</c:v>
                </c:pt>
                <c:pt idx="528">
                  <c:v>1.5810962732905054E-2</c:v>
                </c:pt>
                <c:pt idx="529">
                  <c:v>1.589269133559057E-2</c:v>
                </c:pt>
                <c:pt idx="530">
                  <c:v>1.5973853398900673E-2</c:v>
                </c:pt>
                <c:pt idx="531">
                  <c:v>1.6065916320586737E-2</c:v>
                </c:pt>
                <c:pt idx="532">
                  <c:v>1.6134477905955791E-2</c:v>
                </c:pt>
                <c:pt idx="533">
                  <c:v>1.6213940348821509E-2</c:v>
                </c:pt>
                <c:pt idx="534">
                  <c:v>1.6292836250872966E-2</c:v>
                </c:pt>
                <c:pt idx="535">
                  <c:v>1.6371165611550609E-2</c:v>
                </c:pt>
                <c:pt idx="536">
                  <c:v>1.6448928430694565E-2</c:v>
                </c:pt>
                <c:pt idx="537">
                  <c:v>1.6526124707825218E-2</c:v>
                </c:pt>
                <c:pt idx="538">
                  <c:v>1.6602754442542889E-2</c:v>
                </c:pt>
                <c:pt idx="539">
                  <c:v>1.6678817634527832E-2</c:v>
                </c:pt>
                <c:pt idx="540">
                  <c:v>1.6754314283460303E-2</c:v>
                </c:pt>
                <c:pt idx="541">
                  <c:v>1.6829244388860687E-2</c:v>
                </c:pt>
                <c:pt idx="542">
                  <c:v>1.6903607950489175E-2</c:v>
                </c:pt>
                <c:pt idx="543">
                  <c:v>1.6977404968105958E-2</c:v>
                </c:pt>
                <c:pt idx="544">
                  <c:v>1.70610506886959E-2</c:v>
                </c:pt>
                <c:pt idx="545">
                  <c:v>1.7123299369226075E-2</c:v>
                </c:pt>
                <c:pt idx="546">
                  <c:v>1.7195396752249792E-2</c:v>
                </c:pt>
                <c:pt idx="547">
                  <c:v>1.726692758974302E-2</c:v>
                </c:pt>
                <c:pt idx="548">
                  <c:v>1.7337891881306078E-2</c:v>
                </c:pt>
                <c:pt idx="549">
                  <c:v>1.7408289626699158E-2</c:v>
                </c:pt>
                <c:pt idx="550">
                  <c:v>1.7478120825522581E-2</c:v>
                </c:pt>
                <c:pt idx="551">
                  <c:v>1.7547385477456601E-2</c:v>
                </c:pt>
                <c:pt idx="552">
                  <c:v>1.761608358226141E-2</c:v>
                </c:pt>
                <c:pt idx="553">
                  <c:v>1.7684215139537329E-2</c:v>
                </c:pt>
                <c:pt idx="554">
                  <c:v>1.7751780149044549E-2</c:v>
                </c:pt>
                <c:pt idx="555">
                  <c:v>1.7818778610303454E-2</c:v>
                </c:pt>
                <c:pt idx="556">
                  <c:v>1.7885210523074235E-2</c:v>
                </c:pt>
                <c:pt idx="557">
                  <c:v>1.7960438975981319E-2</c:v>
                </c:pt>
                <c:pt idx="558">
                  <c:v>1.8016374702112259E-2</c:v>
                </c:pt>
                <c:pt idx="559">
                  <c:v>1.8081106967580141E-2</c:v>
                </c:pt>
                <c:pt idx="560">
                  <c:v>1.8145272683440794E-2</c:v>
                </c:pt>
                <c:pt idx="561">
                  <c:v>1.8226938979246654E-2</c:v>
                </c:pt>
                <c:pt idx="562">
                  <c:v>1.8289809723137651E-2</c:v>
                </c:pt>
                <c:pt idx="563">
                  <c:v>1.8343248004137891E-2</c:v>
                </c:pt>
                <c:pt idx="564">
                  <c:v>1.8405066582314333E-2</c:v>
                </c:pt>
                <c:pt idx="565">
                  <c:v>1.8466318609124954E-2</c:v>
                </c:pt>
                <c:pt idx="566">
                  <c:v>1.8527004148198856E-2</c:v>
                </c:pt>
                <c:pt idx="567">
                  <c:v>1.858713378522836E-2</c:v>
                </c:pt>
                <c:pt idx="568">
                  <c:v>1.8646715618775289E-2</c:v>
                </c:pt>
                <c:pt idx="569">
                  <c:v>1.8705749648519898E-2</c:v>
                </c:pt>
                <c:pt idx="570">
                  <c:v>1.8764235874222379E-2</c:v>
                </c:pt>
                <c:pt idx="571">
                  <c:v>1.8822174295642924E-2</c:v>
                </c:pt>
                <c:pt idx="572">
                  <c:v>1.8879564912461788E-2</c:v>
                </c:pt>
                <c:pt idx="573">
                  <c:v>1.8936407724439164E-2</c:v>
                </c:pt>
                <c:pt idx="574">
                  <c:v>1.8992702731415179E-2</c:v>
                </c:pt>
                <c:pt idx="575">
                  <c:v>1.9064277087457171E-2</c:v>
                </c:pt>
                <c:pt idx="576">
                  <c:v>1.9103649328924277E-2</c:v>
                </c:pt>
                <c:pt idx="577">
                  <c:v>1.915830091905768E-2</c:v>
                </c:pt>
                <c:pt idx="578">
                  <c:v>1.9212404703070618E-2</c:v>
                </c:pt>
                <c:pt idx="579">
                  <c:v>1.9265960680723282E-2</c:v>
                </c:pt>
                <c:pt idx="580">
                  <c:v>1.9326496728817588E-2</c:v>
                </c:pt>
                <c:pt idx="581">
                  <c:v>1.9371429216068492E-2</c:v>
                </c:pt>
                <c:pt idx="582">
                  <c:v>1.9423341773201486E-2</c:v>
                </c:pt>
                <c:pt idx="583">
                  <c:v>1.9481999625456936E-2</c:v>
                </c:pt>
                <c:pt idx="584">
                  <c:v>1.9525523465349082E-2</c:v>
                </c:pt>
                <c:pt idx="585">
                  <c:v>1.9575792599884068E-2</c:v>
                </c:pt>
                <c:pt idx="586">
                  <c:v>1.9625513926380123E-2</c:v>
                </c:pt>
                <c:pt idx="587">
                  <c:v>1.9674687444677375E-2</c:v>
                </c:pt>
                <c:pt idx="588">
                  <c:v>1.9723313154536015E-2</c:v>
                </c:pt>
                <c:pt idx="589">
                  <c:v>1.97713910556363E-2</c:v>
                </c:pt>
                <c:pt idx="590">
                  <c:v>1.9818921147818358E-2</c:v>
                </c:pt>
                <c:pt idx="591">
                  <c:v>1.9865903431002252E-2</c:v>
                </c:pt>
                <c:pt idx="592">
                  <c:v>1.9912337904788302E-2</c:v>
                </c:pt>
                <c:pt idx="593">
                  <c:v>1.9958224569016636E-2</c:v>
                </c:pt>
                <c:pt idx="594">
                  <c:v>2.0003563423527382E-2</c:v>
                </c:pt>
                <c:pt idx="595">
                  <c:v>2.0048354468080731E-2</c:v>
                </c:pt>
                <c:pt idx="596">
                  <c:v>2.0098873445162369E-2</c:v>
                </c:pt>
                <c:pt idx="597">
                  <c:v>2.0136293126356009E-2</c:v>
                </c:pt>
                <c:pt idx="598">
                  <c:v>2.0179440739758192E-2</c:v>
                </c:pt>
                <c:pt idx="599">
                  <c:v>2.0222040542483555E-2</c:v>
                </c:pt>
                <c:pt idx="600">
                  <c:v>2.0264092534132416E-2</c:v>
                </c:pt>
                <c:pt idx="601">
                  <c:v>2.0305596714704777E-2</c:v>
                </c:pt>
                <c:pt idx="602">
                  <c:v>2.0346553083880892E-2</c:v>
                </c:pt>
                <c:pt idx="603">
                  <c:v>2.0386961641580825E-2</c:v>
                </c:pt>
                <c:pt idx="604">
                  <c:v>2.0426822387564769E-2</c:v>
                </c:pt>
                <c:pt idx="605">
                  <c:v>2.0466135321592915E-2</c:v>
                </c:pt>
                <c:pt idx="606">
                  <c:v>2.0504900443665264E-2</c:v>
                </c:pt>
                <c:pt idx="607">
                  <c:v>2.054311775346207E-2</c:v>
                </c:pt>
                <c:pt idx="608">
                  <c:v>2.0580787250743526E-2</c:v>
                </c:pt>
                <c:pt idx="609">
                  <c:v>2.0617908935509632E-2</c:v>
                </c:pt>
                <c:pt idx="610">
                  <c:v>2.0654482807440644E-2</c:v>
                </c:pt>
                <c:pt idx="611">
                  <c:v>2.0690508866536561E-2</c:v>
                </c:pt>
                <c:pt idx="612">
                  <c:v>2.0725987112397704E-2</c:v>
                </c:pt>
                <c:pt idx="613">
                  <c:v>2.0770797049918244E-2</c:v>
                </c:pt>
                <c:pt idx="614">
                  <c:v>2.0805023151071467E-2</c:v>
                </c:pt>
                <c:pt idx="615">
                  <c:v>2.0833923794310039E-2</c:v>
                </c:pt>
                <c:pt idx="616">
                  <c:v>2.0867132527113696E-2</c:v>
                </c:pt>
                <c:pt idx="617">
                  <c:v>2.0904414572084917E-2</c:v>
                </c:pt>
                <c:pt idx="618">
                  <c:v>2.0931907513128678E-2</c:v>
                </c:pt>
                <c:pt idx="619">
                  <c:v>2.0963634460278158E-2</c:v>
                </c:pt>
                <c:pt idx="620">
                  <c:v>2.0995096491738252E-2</c:v>
                </c:pt>
                <c:pt idx="621">
                  <c:v>2.103072871259215E-2</c:v>
                </c:pt>
                <c:pt idx="622">
                  <c:v>2.1057225807590285E-2</c:v>
                </c:pt>
                <c:pt idx="623">
                  <c:v>2.1087893091902288E-2</c:v>
                </c:pt>
                <c:pt idx="624">
                  <c:v>2.1118295460285097E-2</c:v>
                </c:pt>
                <c:pt idx="625">
                  <c:v>2.1148432912738713E-2</c:v>
                </c:pt>
                <c:pt idx="626">
                  <c:v>2.1178305449103263E-2</c:v>
                </c:pt>
                <c:pt idx="627">
                  <c:v>2.1207913069458684E-2</c:v>
                </c:pt>
                <c:pt idx="628">
                  <c:v>2.1237255773725039E-2</c:v>
                </c:pt>
                <c:pt idx="629">
                  <c:v>2.1266333561742456E-2</c:v>
                </c:pt>
                <c:pt idx="630">
                  <c:v>2.1308673060209671E-2</c:v>
                </c:pt>
                <c:pt idx="631">
                  <c:v>2.1323694388870607E-2</c:v>
                </c:pt>
                <c:pt idx="632">
                  <c:v>2.1355996236227526E-2</c:v>
                </c:pt>
                <c:pt idx="633">
                  <c:v>2.1379995550443454E-2</c:v>
                </c:pt>
                <c:pt idx="634">
                  <c:v>2.1407748756496758E-2</c:v>
                </c:pt>
                <c:pt idx="635">
                  <c:v>2.1439142318646631E-2</c:v>
                </c:pt>
                <c:pt idx="636">
                  <c:v>2.1462460418817386E-2</c:v>
                </c:pt>
                <c:pt idx="637">
                  <c:v>2.1489418874924837E-2</c:v>
                </c:pt>
                <c:pt idx="638">
                  <c:v>2.1516112414303734E-2</c:v>
                </c:pt>
                <c:pt idx="639">
                  <c:v>2.1542541036794205E-2</c:v>
                </c:pt>
                <c:pt idx="640">
                  <c:v>2.156870474239625E-2</c:v>
                </c:pt>
                <c:pt idx="641">
                  <c:v>2.1594603531189804E-2</c:v>
                </c:pt>
                <c:pt idx="642">
                  <c:v>2.1620237402935061E-2</c:v>
                </c:pt>
                <c:pt idx="643">
                  <c:v>2.1645606357632019E-2</c:v>
                </c:pt>
                <c:pt idx="644">
                  <c:v>2.1670710395120807E-2</c:v>
                </c:pt>
                <c:pt idx="645">
                  <c:v>2.1695549515561297E-2</c:v>
                </c:pt>
                <c:pt idx="646">
                  <c:v>2.1720123718793616E-2</c:v>
                </c:pt>
                <c:pt idx="647">
                  <c:v>2.1744433004657893E-2</c:v>
                </c:pt>
                <c:pt idx="648">
                  <c:v>2.1771890657129589E-2</c:v>
                </c:pt>
                <c:pt idx="649">
                  <c:v>2.1795632263010845E-2</c:v>
                </c:pt>
                <c:pt idx="650">
                  <c:v>2.1815771358282277E-2</c:v>
                </c:pt>
                <c:pt idx="651">
                  <c:v>2.1839020974594447E-2</c:v>
                </c:pt>
                <c:pt idx="652">
                  <c:v>2.1862005673378704E-2</c:v>
                </c:pt>
                <c:pt idx="653">
                  <c:v>2.188472545455511E-2</c:v>
                </c:pt>
                <c:pt idx="654">
                  <c:v>2.1907180318043729E-2</c:v>
                </c:pt>
                <c:pt idx="655">
                  <c:v>2.1932518630292108E-2</c:v>
                </c:pt>
                <c:pt idx="656">
                  <c:v>2.1951295292117479E-2</c:v>
                </c:pt>
                <c:pt idx="657">
                  <c:v>2.1972955402382865E-2</c:v>
                </c:pt>
                <c:pt idx="658">
                  <c:v>2.1994350594960466E-2</c:v>
                </c:pt>
                <c:pt idx="659">
                  <c:v>2.2018477854350849E-2</c:v>
                </c:pt>
                <c:pt idx="660">
                  <c:v>2.2036346226332881E-2</c:v>
                </c:pt>
                <c:pt idx="661">
                  <c:v>2.2056946665047761E-2</c:v>
                </c:pt>
                <c:pt idx="662">
                  <c:v>2.2077282185835045E-2</c:v>
                </c:pt>
                <c:pt idx="663">
                  <c:v>2.2097352788534863E-2</c:v>
                </c:pt>
                <c:pt idx="664">
                  <c:v>2.2117158473147214E-2</c:v>
                </c:pt>
                <c:pt idx="665">
                  <c:v>2.2146353206018432E-2</c:v>
                </c:pt>
                <c:pt idx="666">
                  <c:v>2.2165517876482355E-2</c:v>
                </c:pt>
                <c:pt idx="667">
                  <c:v>2.2177680238986142E-2</c:v>
                </c:pt>
                <c:pt idx="668">
                  <c:v>2.2196388405202327E-2</c:v>
                </c:pt>
                <c:pt idx="669">
                  <c:v>2.2214831653171174E-2</c:v>
                </c:pt>
                <c:pt idx="670">
                  <c:v>2.2233010935091002E-2</c:v>
                </c:pt>
                <c:pt idx="671">
                  <c:v>2.2251084342181926E-2</c:v>
                </c:pt>
                <c:pt idx="672">
                  <c:v>2.2269172823614625E-2</c:v>
                </c:pt>
                <c:pt idx="673">
                  <c:v>2.2287276379389098E-2</c:v>
                </c:pt>
                <c:pt idx="674">
                  <c:v>2.2305395009585283E-2</c:v>
                </c:pt>
                <c:pt idx="675">
                  <c:v>2.2323528714203178E-2</c:v>
                </c:pt>
                <c:pt idx="676">
                  <c:v>2.2341677493162848E-2</c:v>
                </c:pt>
                <c:pt idx="677">
                  <c:v>2.2359841346464293E-2</c:v>
                </c:pt>
                <c:pt idx="678">
                  <c:v>2.2378020274267385E-2</c:v>
                </c:pt>
                <c:pt idx="679">
                  <c:v>2.2396214276412252E-2</c:v>
                </c:pt>
                <c:pt idx="680">
                  <c:v>2.2422421639635814E-2</c:v>
                </c:pt>
                <c:pt idx="681">
                  <c:v>2.2443068072455219E-2</c:v>
                </c:pt>
                <c:pt idx="682">
                  <c:v>2.2461315911694868E-2</c:v>
                </c:pt>
                <c:pt idx="683">
                  <c:v>2.2482189043637746E-2</c:v>
                </c:pt>
                <c:pt idx="684">
                  <c:v>2.2497856813439299E-2</c:v>
                </c:pt>
                <c:pt idx="685">
                  <c:v>2.251614987594408E-2</c:v>
                </c:pt>
                <c:pt idx="686">
                  <c:v>2.253707469158428E-2</c:v>
                </c:pt>
                <c:pt idx="687">
                  <c:v>2.2552781224218776E-2</c:v>
                </c:pt>
                <c:pt idx="688">
                  <c:v>2.2571119509908755E-2</c:v>
                </c:pt>
                <c:pt idx="689">
                  <c:v>2.258947287010038E-2</c:v>
                </c:pt>
                <c:pt idx="690">
                  <c:v>2.260784130463378E-2</c:v>
                </c:pt>
                <c:pt idx="691">
                  <c:v>2.2626224813588891E-2</c:v>
                </c:pt>
                <c:pt idx="692">
                  <c:v>2.2644623397045649E-2</c:v>
                </c:pt>
                <c:pt idx="693">
                  <c:v>2.2663037054844182E-2</c:v>
                </c:pt>
                <c:pt idx="694">
                  <c:v>2.2681465787144361E-2</c:v>
                </c:pt>
                <c:pt idx="695">
                  <c:v>2.2699909593866252E-2</c:v>
                </c:pt>
                <c:pt idx="696">
                  <c:v>2.2718368475009854E-2</c:v>
                </c:pt>
                <c:pt idx="697">
                  <c:v>2.2736842430575166E-2</c:v>
                </c:pt>
                <c:pt idx="698">
                  <c:v>2.2755331460562189E-2</c:v>
                </c:pt>
                <c:pt idx="699">
                  <c:v>2.2773835564970923E-2</c:v>
                </c:pt>
                <c:pt idx="700">
                  <c:v>2.2795001571438434E-2</c:v>
                </c:pt>
                <c:pt idx="701">
                  <c:v>2.2810888997213397E-2</c:v>
                </c:pt>
                <c:pt idx="702">
                  <c:v>2.2829438325047136E-2</c:v>
                </c:pt>
                <c:pt idx="703">
                  <c:v>2.2848002727302585E-2</c:v>
                </c:pt>
                <c:pt idx="704">
                  <c:v>2.286658220389981E-2</c:v>
                </c:pt>
                <c:pt idx="705">
                  <c:v>2.2885176755078618E-2</c:v>
                </c:pt>
                <c:pt idx="706">
                  <c:v>2.2903786380679136E-2</c:v>
                </c:pt>
                <c:pt idx="707">
                  <c:v>2.2922411080701366E-2</c:v>
                </c:pt>
                <c:pt idx="708">
                  <c:v>2.2941050855225242E-2</c:v>
                </c:pt>
                <c:pt idx="709">
                  <c:v>2.2959705704250766E-2</c:v>
                </c:pt>
                <c:pt idx="710">
                  <c:v>2.2978375627698E-2</c:v>
                </c:pt>
                <c:pt idx="711">
                  <c:v>2.2997060625566945E-2</c:v>
                </c:pt>
                <c:pt idx="712">
                  <c:v>2.3015760697937537E-2</c:v>
                </c:pt>
                <c:pt idx="713">
                  <c:v>2.3037150667732931E-2</c:v>
                </c:pt>
                <c:pt idx="714">
                  <c:v>2.3053206066183662E-2</c:v>
                </c:pt>
                <c:pt idx="715">
                  <c:v>2.3071951361979259E-2</c:v>
                </c:pt>
                <c:pt idx="716">
                  <c:v>2.3090711732276503E-2</c:v>
                </c:pt>
                <c:pt idx="717">
                  <c:v>2.3114854358574632E-2</c:v>
                </c:pt>
                <c:pt idx="718">
                  <c:v>2.3130963286766004E-2</c:v>
                </c:pt>
                <c:pt idx="719">
                  <c:v>2.314708329009818E-2</c:v>
                </c:pt>
                <c:pt idx="720">
                  <c:v>2.316590395824214E-2</c:v>
                </c:pt>
                <c:pt idx="721">
                  <c:v>2.3184739701047619E-2</c:v>
                </c:pt>
                <c:pt idx="722">
                  <c:v>2.3203573476147099E-2</c:v>
                </c:pt>
                <c:pt idx="723">
                  <c:v>2.3222303952437073E-2</c:v>
                </c:pt>
                <c:pt idx="724">
                  <c:v>2.3240914087709896E-2</c:v>
                </c:pt>
                <c:pt idx="725">
                  <c:v>2.3259403882045504E-2</c:v>
                </c:pt>
                <c:pt idx="726">
                  <c:v>2.327777333536396E-2</c:v>
                </c:pt>
                <c:pt idx="727">
                  <c:v>2.3296022447665266E-2</c:v>
                </c:pt>
                <c:pt idx="728">
                  <c:v>2.3314151218949419E-2</c:v>
                </c:pt>
                <c:pt idx="729">
                  <c:v>2.3332159649136486E-2</c:v>
                </c:pt>
                <c:pt idx="730">
                  <c:v>2.3350047738146529E-2</c:v>
                </c:pt>
                <c:pt idx="731">
                  <c:v>2.337286988216114E-2</c:v>
                </c:pt>
                <c:pt idx="732">
                  <c:v>2.3385462893115161E-2</c:v>
                </c:pt>
                <c:pt idx="733">
                  <c:v>2.3402989958833942E-2</c:v>
                </c:pt>
                <c:pt idx="734">
                  <c:v>2.3420396683455635E-2</c:v>
                </c:pt>
                <c:pt idx="735">
                  <c:v>2.3440142726416369E-2</c:v>
                </c:pt>
                <c:pt idx="736">
                  <c:v>2.3454849109088016E-2</c:v>
                </c:pt>
                <c:pt idx="737">
                  <c:v>2.3471894810098703E-2</c:v>
                </c:pt>
                <c:pt idx="738">
                  <c:v>2.3488820170012303E-2</c:v>
                </c:pt>
                <c:pt idx="739">
                  <c:v>2.3508016081752459E-2</c:v>
                </c:pt>
                <c:pt idx="740">
                  <c:v>2.3522309865908753E-2</c:v>
                </c:pt>
                <c:pt idx="741">
                  <c:v>2.3538874201971538E-2</c:v>
                </c:pt>
                <c:pt idx="742">
                  <c:v>2.3555318196777364E-2</c:v>
                </c:pt>
                <c:pt idx="743">
                  <c:v>2.3571641850246294E-2</c:v>
                </c:pt>
                <c:pt idx="744">
                  <c:v>2.3587845162378329E-2</c:v>
                </c:pt>
                <c:pt idx="745">
                  <c:v>2.3603928133253405E-2</c:v>
                </c:pt>
                <c:pt idx="746">
                  <c:v>2.3619890762711648E-2</c:v>
                </c:pt>
                <c:pt idx="747">
                  <c:v>2.3635733050832997E-2</c:v>
                </c:pt>
                <c:pt idx="748">
                  <c:v>2.3651454997457577E-2</c:v>
                </c:pt>
                <c:pt idx="749">
                  <c:v>2.3667056602825198E-2</c:v>
                </c:pt>
                <c:pt idx="750">
                  <c:v>2.3682537866775988E-2</c:v>
                </c:pt>
                <c:pt idx="751">
                  <c:v>2.369789878923001E-2</c:v>
                </c:pt>
                <c:pt idx="752">
                  <c:v>2.3715306772364997E-2</c:v>
                </c:pt>
                <c:pt idx="753">
                  <c:v>2.3728259609807623E-2</c:v>
                </c:pt>
                <c:pt idx="754">
                  <c:v>2.3743259507851278E-2</c:v>
                </c:pt>
                <c:pt idx="755">
                  <c:v>2.3758139064478101E-2</c:v>
                </c:pt>
                <c:pt idx="756">
                  <c:v>2.3772898279528221E-2</c:v>
                </c:pt>
                <c:pt idx="757">
                  <c:v>2.3787537153081573E-2</c:v>
                </c:pt>
                <c:pt idx="758">
                  <c:v>2.3802055685218093E-2</c:v>
                </c:pt>
                <c:pt idx="759">
                  <c:v>2.3816453875618038E-2</c:v>
                </c:pt>
                <c:pt idx="760">
                  <c:v>2.3830731724601151E-2</c:v>
                </c:pt>
                <c:pt idx="761">
                  <c:v>2.3844889231927624E-2</c:v>
                </c:pt>
                <c:pt idx="762">
                  <c:v>2.3858926397597457E-2</c:v>
                </c:pt>
                <c:pt idx="763">
                  <c:v>2.3874821515699196E-2</c:v>
                </c:pt>
                <c:pt idx="764">
                  <c:v>2.3886639704286949E-2</c:v>
                </c:pt>
                <c:pt idx="765">
                  <c:v>2.3902259755779198E-2</c:v>
                </c:pt>
                <c:pt idx="766">
                  <c:v>2.3913871644429818E-2</c:v>
                </c:pt>
                <c:pt idx="767">
                  <c:v>2.3927307101976325E-2</c:v>
                </c:pt>
                <c:pt idx="768">
                  <c:v>2.3940622217866192E-2</c:v>
                </c:pt>
                <c:pt idx="769">
                  <c:v>2.3957564823984256E-2</c:v>
                </c:pt>
                <c:pt idx="770">
                  <c:v>2.3972457913465917E-2</c:v>
                </c:pt>
                <c:pt idx="771">
                  <c:v>2.398168627586017E-2</c:v>
                </c:pt>
                <c:pt idx="772">
                  <c:v>2.3994502833275533E-2</c:v>
                </c:pt>
                <c:pt idx="773">
                  <c:v>2.4007199048874384E-2</c:v>
                </c:pt>
                <c:pt idx="774">
                  <c:v>2.4019775615462535E-2</c:v>
                </c:pt>
                <c:pt idx="775">
                  <c:v>2.4032251929124726E-2</c:v>
                </c:pt>
                <c:pt idx="776">
                  <c:v>2.4044636994977608E-2</c:v>
                </c:pt>
                <c:pt idx="777">
                  <c:v>2.4056930813181054E-2</c:v>
                </c:pt>
                <c:pt idx="778">
                  <c:v>2.4069133383735064E-2</c:v>
                </c:pt>
                <c:pt idx="779">
                  <c:v>2.4081244706479765E-2</c:v>
                </c:pt>
                <c:pt idx="780">
                  <c:v>2.4093264781495094E-2</c:v>
                </c:pt>
                <c:pt idx="781">
                  <c:v>2.4105193608860986E-2</c:v>
                </c:pt>
                <c:pt idx="782">
                  <c:v>2.411703118841757E-2</c:v>
                </c:pt>
                <c:pt idx="783">
                  <c:v>2.4128777520164846E-2</c:v>
                </c:pt>
                <c:pt idx="784">
                  <c:v>2.4140432604262685E-2</c:v>
                </c:pt>
                <c:pt idx="785">
                  <c:v>2.4155283633948699E-2</c:v>
                </c:pt>
                <c:pt idx="786">
                  <c:v>2.4163469029030438E-2</c:v>
                </c:pt>
                <c:pt idx="787">
                  <c:v>2.4176468826748732E-2</c:v>
                </c:pt>
                <c:pt idx="788">
                  <c:v>2.4186140462560957E-2</c:v>
                </c:pt>
                <c:pt idx="789">
                  <c:v>2.4197339307692189E-2</c:v>
                </c:pt>
                <c:pt idx="790">
                  <c:v>2.4208446904934178E-2</c:v>
                </c:pt>
                <c:pt idx="791">
                  <c:v>2.4221029569764241E-2</c:v>
                </c:pt>
                <c:pt idx="792">
                  <c:v>2.4230388355990229E-2</c:v>
                </c:pt>
                <c:pt idx="793">
                  <c:v>2.4241222209724356E-2</c:v>
                </c:pt>
                <c:pt idx="794">
                  <c:v>2.425196481572911E-2</c:v>
                </c:pt>
                <c:pt idx="795">
                  <c:v>2.4262616173764684E-2</c:v>
                </c:pt>
                <c:pt idx="796">
                  <c:v>2.4273176283911013E-2</c:v>
                </c:pt>
                <c:pt idx="797">
                  <c:v>2.4283645146248034E-2</c:v>
                </c:pt>
                <c:pt idx="798">
                  <c:v>2.429402276069581E-2</c:v>
                </c:pt>
                <c:pt idx="799">
                  <c:v>2.4304309127254342E-2</c:v>
                </c:pt>
                <c:pt idx="800">
                  <c:v>2.4314504245843693E-2</c:v>
                </c:pt>
                <c:pt idx="801">
                  <c:v>2.4324608116623736E-2</c:v>
                </c:pt>
                <c:pt idx="802">
                  <c:v>2.4334620739434598E-2</c:v>
                </c:pt>
                <c:pt idx="803">
                  <c:v>2.4344542114356216E-2</c:v>
                </c:pt>
                <c:pt idx="804">
                  <c:v>2.4355769096420232E-2</c:v>
                </c:pt>
                <c:pt idx="805">
                  <c:v>2.4364111120371845E-2</c:v>
                </c:pt>
                <c:pt idx="806">
                  <c:v>2.4373758751465857E-2</c:v>
                </c:pt>
                <c:pt idx="807">
                  <c:v>2.4383315134590688E-2</c:v>
                </c:pt>
                <c:pt idx="808">
                  <c:v>2.4392780269826275E-2</c:v>
                </c:pt>
                <c:pt idx="809">
                  <c:v>2.4402154157012745E-2</c:v>
                </c:pt>
                <c:pt idx="810">
                  <c:v>2.4411436796309971E-2</c:v>
                </c:pt>
                <c:pt idx="811">
                  <c:v>2.442062818755808E-2</c:v>
                </c:pt>
                <c:pt idx="812">
                  <c:v>2.4429728330916944E-2</c:v>
                </c:pt>
                <c:pt idx="813">
                  <c:v>2.4438737226146756E-2</c:v>
                </c:pt>
                <c:pt idx="814">
                  <c:v>2.4447654873407387E-2</c:v>
                </c:pt>
                <c:pt idx="815">
                  <c:v>2.4457734738110304E-2</c:v>
                </c:pt>
                <c:pt idx="816">
                  <c:v>2.4465216423941172E-2</c:v>
                </c:pt>
                <c:pt idx="817">
                  <c:v>2.4473860327214325E-2</c:v>
                </c:pt>
                <c:pt idx="818">
                  <c:v>2.4482412982438362E-2</c:v>
                </c:pt>
                <c:pt idx="819">
                  <c:v>2.4490874389613282E-2</c:v>
                </c:pt>
                <c:pt idx="820">
                  <c:v>2.4499244548819021E-2</c:v>
                </c:pt>
                <c:pt idx="821">
                  <c:v>2.4509872103255503E-2</c:v>
                </c:pt>
                <c:pt idx="822">
                  <c:v>2.4516873340285628E-2</c:v>
                </c:pt>
                <c:pt idx="823">
                  <c:v>2.4523807537981668E-2</c:v>
                </c:pt>
                <c:pt idx="824">
                  <c:v>2.4531812704831069E-2</c:v>
                </c:pt>
                <c:pt idx="825">
                  <c:v>2.4539726623711289E-2</c:v>
                </c:pt>
                <c:pt idx="826">
                  <c:v>2.4547550544822272E-2</c:v>
                </c:pt>
                <c:pt idx="827">
                  <c:v>2.4555319476480264E-2</c:v>
                </c:pt>
                <c:pt idx="828">
                  <c:v>2.456304967272338E-2</c:v>
                </c:pt>
                <c:pt idx="829">
                  <c:v>2.4570741133551621E-2</c:v>
                </c:pt>
                <c:pt idx="830">
                  <c:v>2.457839385888505E-2</c:v>
                </c:pt>
                <c:pt idx="831">
                  <c:v>2.4586007848723668E-2</c:v>
                </c:pt>
                <c:pt idx="832">
                  <c:v>2.4593583103147409E-2</c:v>
                </c:pt>
                <c:pt idx="833">
                  <c:v>2.4601119622156276E-2</c:v>
                </c:pt>
                <c:pt idx="834">
                  <c:v>2.4608617405590394E-2</c:v>
                </c:pt>
                <c:pt idx="835">
                  <c:v>2.4616076453609637E-2</c:v>
                </c:pt>
                <c:pt idx="836">
                  <c:v>2.4625609740729359E-2</c:v>
                </c:pt>
                <c:pt idx="837">
                  <c:v>2.4630878343083751E-2</c:v>
                </c:pt>
                <c:pt idx="838">
                  <c:v>2.4638221184618558E-2</c:v>
                </c:pt>
                <c:pt idx="839">
                  <c:v>2.4646565572359336E-2</c:v>
                </c:pt>
                <c:pt idx="840">
                  <c:v>2.4652790661283674E-2</c:v>
                </c:pt>
                <c:pt idx="841">
                  <c:v>2.4660017296413983E-2</c:v>
                </c:pt>
                <c:pt idx="842">
                  <c:v>2.4667205195969544E-2</c:v>
                </c:pt>
                <c:pt idx="843">
                  <c:v>2.4675372507196869E-2</c:v>
                </c:pt>
                <c:pt idx="844">
                  <c:v>2.4681464788676166E-2</c:v>
                </c:pt>
                <c:pt idx="845">
                  <c:v>2.4688536481827228E-2</c:v>
                </c:pt>
                <c:pt idx="846">
                  <c:v>2.4695569439403542E-2</c:v>
                </c:pt>
                <c:pt idx="847">
                  <c:v>2.470256366156498E-2</c:v>
                </c:pt>
                <c:pt idx="848">
                  <c:v>2.4709519148151671E-2</c:v>
                </c:pt>
                <c:pt idx="849">
                  <c:v>2.471643589924355E-2</c:v>
                </c:pt>
                <c:pt idx="850">
                  <c:v>2.4723313914840617E-2</c:v>
                </c:pt>
                <c:pt idx="851">
                  <c:v>2.4730153194942872E-2</c:v>
                </c:pt>
                <c:pt idx="852">
                  <c:v>2.473695373947038E-2</c:v>
                </c:pt>
                <c:pt idx="853">
                  <c:v>2.4743715548503076E-2</c:v>
                </c:pt>
                <c:pt idx="854">
                  <c:v>2.475043862204096E-2</c:v>
                </c:pt>
                <c:pt idx="855">
                  <c:v>2.4757122960004097E-2</c:v>
                </c:pt>
                <c:pt idx="856">
                  <c:v>2.4764714772222973E-2</c:v>
                </c:pt>
                <c:pt idx="857">
                  <c:v>2.4770375429445934E-2</c:v>
                </c:pt>
                <c:pt idx="858">
                  <c:v>2.4776943560924636E-2</c:v>
                </c:pt>
                <c:pt idx="859">
                  <c:v>2.4783472956828589E-2</c:v>
                </c:pt>
                <c:pt idx="860">
                  <c:v>2.4789963617157795E-2</c:v>
                </c:pt>
                <c:pt idx="861">
                  <c:v>2.4796415542072126E-2</c:v>
                </c:pt>
                <c:pt idx="862">
                  <c:v>2.4802828731331772E-2</c:v>
                </c:pt>
                <c:pt idx="863">
                  <c:v>2.4809203185176543E-2</c:v>
                </c:pt>
                <c:pt idx="864">
                  <c:v>2.481553890336663E-2</c:v>
                </c:pt>
                <c:pt idx="865">
                  <c:v>2.4821835886061905E-2</c:v>
                </c:pt>
                <c:pt idx="866">
                  <c:v>2.4828094133182432E-2</c:v>
                </c:pt>
                <c:pt idx="867">
                  <c:v>2.4835198984449747E-2</c:v>
                </c:pt>
                <c:pt idx="868">
                  <c:v>2.4840494420859116E-2</c:v>
                </c:pt>
                <c:pt idx="869">
                  <c:v>2.4846636461335336E-2</c:v>
                </c:pt>
                <c:pt idx="870">
                  <c:v>2.4852739766316745E-2</c:v>
                </c:pt>
                <c:pt idx="871">
                  <c:v>2.4858804335723406E-2</c:v>
                </c:pt>
                <c:pt idx="872">
                  <c:v>2.4864830169555319E-2</c:v>
                </c:pt>
                <c:pt idx="873">
                  <c:v>2.4872520752685645E-2</c:v>
                </c:pt>
                <c:pt idx="874">
                  <c:v>2.4877612234641688E-2</c:v>
                </c:pt>
                <c:pt idx="875">
                  <c:v>2.4882675257762443E-2</c:v>
                </c:pt>
                <c:pt idx="876">
                  <c:v>2.4888546149295365E-2</c:v>
                </c:pt>
                <c:pt idx="877">
                  <c:v>2.4894378305333476E-2</c:v>
                </c:pt>
                <c:pt idx="878">
                  <c:v>2.4900171605493071E-2</c:v>
                </c:pt>
                <c:pt idx="879">
                  <c:v>2.4905906064480732E-2</c:v>
                </c:pt>
                <c:pt idx="880">
                  <c:v>2.4911566392606943E-2</c:v>
                </c:pt>
                <c:pt idx="881">
                  <c:v>2.4917152589871705E-2</c:v>
                </c:pt>
                <c:pt idx="882">
                  <c:v>2.4922664656275018E-2</c:v>
                </c:pt>
                <c:pt idx="883">
                  <c:v>2.4928102591736945E-2</c:v>
                </c:pt>
                <c:pt idx="884">
                  <c:v>2.4933466396337423E-2</c:v>
                </c:pt>
                <c:pt idx="885">
                  <c:v>2.4938756069996515E-2</c:v>
                </c:pt>
                <c:pt idx="886">
                  <c:v>2.4943971612794158E-2</c:v>
                </c:pt>
                <c:pt idx="887">
                  <c:v>2.4950568383683702E-2</c:v>
                </c:pt>
                <c:pt idx="888">
                  <c:v>2.495418030572516E-2</c:v>
                </c:pt>
                <c:pt idx="889">
                  <c:v>2.4959173455858519E-2</c:v>
                </c:pt>
                <c:pt idx="890">
                  <c:v>2.4964092475050492E-2</c:v>
                </c:pt>
                <c:pt idx="891">
                  <c:v>2.496893736330108E-2</c:v>
                </c:pt>
                <c:pt idx="892">
                  <c:v>2.4974383605878003E-2</c:v>
                </c:pt>
                <c:pt idx="893">
                  <c:v>2.4978404747058036E-2</c:v>
                </c:pt>
                <c:pt idx="894">
                  <c:v>2.4983027242564404E-2</c:v>
                </c:pt>
                <c:pt idx="895">
                  <c:v>2.4988219322050753E-2</c:v>
                </c:pt>
                <c:pt idx="896">
                  <c:v>2.4992049840832919E-2</c:v>
                </c:pt>
                <c:pt idx="897">
                  <c:v>2.4996449943515131E-2</c:v>
                </c:pt>
                <c:pt idx="898">
                  <c:v>2.5000775915335893E-2</c:v>
                </c:pt>
                <c:pt idx="899">
                  <c:v>2.500502775621527E-2</c:v>
                </c:pt>
                <c:pt idx="900">
                  <c:v>2.5009205466153261E-2</c:v>
                </c:pt>
                <c:pt idx="901">
                  <c:v>2.5013309045149867E-2</c:v>
                </c:pt>
                <c:pt idx="902">
                  <c:v>2.5017338493125152E-2</c:v>
                </c:pt>
                <c:pt idx="903">
                  <c:v>2.5021293810318923E-2</c:v>
                </c:pt>
                <c:pt idx="904">
                  <c:v>2.5025174996411437E-2</c:v>
                </c:pt>
                <c:pt idx="905">
                  <c:v>2.5028982051562565E-2</c:v>
                </c:pt>
                <c:pt idx="906">
                  <c:v>2.5032714975852244E-2</c:v>
                </c:pt>
                <c:pt idx="907">
                  <c:v>2.5036373769200537E-2</c:v>
                </c:pt>
                <c:pt idx="908">
                  <c:v>2.5040464474574975E-2</c:v>
                </c:pt>
                <c:pt idx="909">
                  <c:v>2.504346896283316E-2</c:v>
                </c:pt>
                <c:pt idx="910">
                  <c:v>2.5046905363277361E-2</c:v>
                </c:pt>
                <c:pt idx="911">
                  <c:v>2.505026763270024E-2</c:v>
                </c:pt>
                <c:pt idx="912">
                  <c:v>2.5053555771181735E-2</c:v>
                </c:pt>
                <c:pt idx="913">
                  <c:v>2.5056769778721844E-2</c:v>
                </c:pt>
                <c:pt idx="914">
                  <c:v>2.5059909655240631E-2</c:v>
                </c:pt>
                <c:pt idx="915">
                  <c:v>2.5062975400818033E-2</c:v>
                </c:pt>
                <c:pt idx="916">
                  <c:v>2.5065967015374113E-2</c:v>
                </c:pt>
                <c:pt idx="917">
                  <c:v>2.5068884498988808E-2</c:v>
                </c:pt>
                <c:pt idx="918">
                  <c:v>2.5071727851662118E-2</c:v>
                </c:pt>
                <c:pt idx="919">
                  <c:v>2.5074497073314106E-2</c:v>
                </c:pt>
                <c:pt idx="920">
                  <c:v>2.5077192164024709E-2</c:v>
                </c:pt>
                <c:pt idx="921">
                  <c:v>2.507981312371399E-2</c:v>
                </c:pt>
                <c:pt idx="922">
                  <c:v>2.508235995238195E-2</c:v>
                </c:pt>
                <c:pt idx="923">
                  <c:v>2.5084832650108524E-2</c:v>
                </c:pt>
                <c:pt idx="924">
                  <c:v>2.5087231216813777E-2</c:v>
                </c:pt>
                <c:pt idx="925">
                  <c:v>2.5091629816724748E-2</c:v>
                </c:pt>
                <c:pt idx="926">
                  <c:v>2.5094807158740906E-2</c:v>
                </c:pt>
                <c:pt idx="927">
                  <c:v>2.5094590279213236E-2</c:v>
                </c:pt>
                <c:pt idx="928">
                  <c:v>2.5096671141655591E-2</c:v>
                </c:pt>
                <c:pt idx="929">
                  <c:v>2.5098677873156561E-2</c:v>
                </c:pt>
                <c:pt idx="930">
                  <c:v>2.5100610778432397E-2</c:v>
                </c:pt>
                <c:pt idx="931">
                  <c:v>2.510252045277106E-2</c:v>
                </c:pt>
                <c:pt idx="932">
                  <c:v>2.5104445604169356E-2</c:v>
                </c:pt>
                <c:pt idx="933">
                  <c:v>2.5106386232947031E-2</c:v>
                </c:pt>
                <c:pt idx="934">
                  <c:v>2.5108342339104084E-2</c:v>
                </c:pt>
                <c:pt idx="935">
                  <c:v>2.5110313922480643E-2</c:v>
                </c:pt>
                <c:pt idx="936">
                  <c:v>2.5112300983076707E-2</c:v>
                </c:pt>
                <c:pt idx="937">
                  <c:v>2.511430352105215E-2</c:v>
                </c:pt>
                <c:pt idx="938">
                  <c:v>2.5116321536406971E-2</c:v>
                </c:pt>
                <c:pt idx="939">
                  <c:v>2.5118355028821426E-2</c:v>
                </c:pt>
                <c:pt idx="940">
                  <c:v>2.5120403998615259E-2</c:v>
                </c:pt>
                <c:pt idx="941">
                  <c:v>2.5126568181171649E-2</c:v>
                </c:pt>
                <c:pt idx="942">
                  <c:v>2.5125743847338455E-2</c:v>
                </c:pt>
                <c:pt idx="943">
                  <c:v>2.5128149963125068E-2</c:v>
                </c:pt>
                <c:pt idx="944">
                  <c:v>2.5129967816193144E-2</c:v>
                </c:pt>
                <c:pt idx="945">
                  <c:v>2.5132103016689555E-2</c:v>
                </c:pt>
                <c:pt idx="946">
                  <c:v>2.5134562197468568E-2</c:v>
                </c:pt>
                <c:pt idx="947">
                  <c:v>2.5136419849340896E-2</c:v>
                </c:pt>
                <c:pt idx="948">
                  <c:v>2.5138601481575762E-2</c:v>
                </c:pt>
                <c:pt idx="949">
                  <c:v>2.5140798591190006E-2</c:v>
                </c:pt>
                <c:pt idx="950">
                  <c:v>2.5143011178023755E-2</c:v>
                </c:pt>
                <c:pt idx="951">
                  <c:v>2.5145239242156947E-2</c:v>
                </c:pt>
                <c:pt idx="952">
                  <c:v>2.5147482783589581E-2</c:v>
                </c:pt>
                <c:pt idx="953">
                  <c:v>2.5149741802321657E-2</c:v>
                </c:pt>
                <c:pt idx="954">
                  <c:v>2.5152016298273239E-2</c:v>
                </c:pt>
                <c:pt idx="955">
                  <c:v>2.5154306271604199E-2</c:v>
                </c:pt>
                <c:pt idx="956">
                  <c:v>2.5156611722154665E-2</c:v>
                </c:pt>
                <c:pt idx="957">
                  <c:v>2.5158932650084509E-2</c:v>
                </c:pt>
                <c:pt idx="958">
                  <c:v>2.5161269055313795E-2</c:v>
                </c:pt>
                <c:pt idx="959">
                  <c:v>2.5163958184393209E-2</c:v>
                </c:pt>
                <c:pt idx="960">
                  <c:v>2.5165988297510822E-2</c:v>
                </c:pt>
                <c:pt idx="961">
                  <c:v>2.5168371134558498E-2</c:v>
                </c:pt>
                <c:pt idx="962">
                  <c:v>2.5170769448905617E-2</c:v>
                </c:pt>
                <c:pt idx="963">
                  <c:v>2.5173183240472241E-2</c:v>
                </c:pt>
                <c:pt idx="964">
                  <c:v>2.5175612509418244E-2</c:v>
                </c:pt>
                <c:pt idx="965">
                  <c:v>2.5178057255743624E-2</c:v>
                </c:pt>
                <c:pt idx="966">
                  <c:v>2.5180517479208575E-2</c:v>
                </c:pt>
                <c:pt idx="967">
                  <c:v>2.5182993180052904E-2</c:v>
                </c:pt>
                <c:pt idx="968">
                  <c:v>2.5185484358116739E-2</c:v>
                </c:pt>
                <c:pt idx="969">
                  <c:v>2.5187991013559952E-2</c:v>
                </c:pt>
                <c:pt idx="970">
                  <c:v>2.5190513146222671E-2</c:v>
                </c:pt>
                <c:pt idx="971">
                  <c:v>2.5193050756264768E-2</c:v>
                </c:pt>
                <c:pt idx="972">
                  <c:v>2.5195603843526371E-2</c:v>
                </c:pt>
                <c:pt idx="973">
                  <c:v>2.5198540609316922E-2</c:v>
                </c:pt>
                <c:pt idx="974">
                  <c:v>2.5200756450027839E-2</c:v>
                </c:pt>
                <c:pt idx="975">
                  <c:v>2.5203355969187768E-2</c:v>
                </c:pt>
                <c:pt idx="976">
                  <c:v>2.5205970965567204E-2</c:v>
                </c:pt>
                <c:pt idx="977">
                  <c:v>2.5210427352946319E-2</c:v>
                </c:pt>
                <c:pt idx="978">
                  <c:v>2.5211626646930441E-2</c:v>
                </c:pt>
                <c:pt idx="979">
                  <c:v>2.5213908818901842E-2</c:v>
                </c:pt>
                <c:pt idx="980">
                  <c:v>2.5216585724558982E-2</c:v>
                </c:pt>
                <c:pt idx="981">
                  <c:v>2.5219278107515564E-2</c:v>
                </c:pt>
                <c:pt idx="982">
                  <c:v>2.5221985967771587E-2</c:v>
                </c:pt>
                <c:pt idx="983">
                  <c:v>2.5224709305327053E-2</c:v>
                </c:pt>
                <c:pt idx="984">
                  <c:v>2.5227448120181961E-2</c:v>
                </c:pt>
                <c:pt idx="985">
                  <c:v>2.5230202412416247E-2</c:v>
                </c:pt>
                <c:pt idx="986">
                  <c:v>2.5232972181870039E-2</c:v>
                </c:pt>
                <c:pt idx="987">
                  <c:v>2.5235757428703209E-2</c:v>
                </c:pt>
                <c:pt idx="988">
                  <c:v>2.5238558152755886E-2</c:v>
                </c:pt>
                <c:pt idx="989">
                  <c:v>2.5241374354108004E-2</c:v>
                </c:pt>
                <c:pt idx="990">
                  <c:v>2.52442060328395E-2</c:v>
                </c:pt>
                <c:pt idx="991">
                  <c:v>2.5247869504685383E-2</c:v>
                </c:pt>
                <c:pt idx="992">
                  <c:v>2.5249915822040947E-2</c:v>
                </c:pt>
                <c:pt idx="993">
                  <c:v>2.5252793932590833E-2</c:v>
                </c:pt>
                <c:pt idx="994">
                  <c:v>2.5255687520520098E-2</c:v>
                </c:pt>
                <c:pt idx="995">
                  <c:v>2.5259013429907995E-2</c:v>
                </c:pt>
                <c:pt idx="996">
                  <c:v>2.5261521128276954E-2</c:v>
                </c:pt>
                <c:pt idx="997">
                  <c:v>2.5264461148024608E-2</c:v>
                </c:pt>
                <c:pt idx="998">
                  <c:v>2.5267840122484841E-2</c:v>
                </c:pt>
                <c:pt idx="999">
                  <c:v>2.5270387619578116E-2</c:v>
                </c:pt>
                <c:pt idx="1000">
                  <c:v>2.5273374071304033E-2</c:v>
                </c:pt>
                <c:pt idx="1001">
                  <c:v>2.5276376000329392E-2</c:v>
                </c:pt>
                <c:pt idx="1002">
                  <c:v>2.5279393406654194E-2</c:v>
                </c:pt>
                <c:pt idx="1003">
                  <c:v>2.5282426290278437E-2</c:v>
                </c:pt>
                <c:pt idx="1004">
                  <c:v>2.5285474651282058E-2</c:v>
                </c:pt>
                <c:pt idx="1005">
                  <c:v>2.5288538489505186E-2</c:v>
                </c:pt>
                <c:pt idx="1006">
                  <c:v>2.5291617805107691E-2</c:v>
                </c:pt>
                <c:pt idx="1007">
                  <c:v>2.5294712597929703E-2</c:v>
                </c:pt>
                <c:pt idx="1008">
                  <c:v>2.5297822868131092E-2</c:v>
                </c:pt>
                <c:pt idx="1009">
                  <c:v>2.530094861571186E-2</c:v>
                </c:pt>
                <c:pt idx="1010">
                  <c:v>2.5304089840512134E-2</c:v>
                </c:pt>
                <c:pt idx="1011">
                  <c:v>2.530724654261185E-2</c:v>
                </c:pt>
                <c:pt idx="1012">
                  <c:v>2.5310873153943092E-2</c:v>
                </c:pt>
                <c:pt idx="1013">
                  <c:v>2.5313606378709608E-2</c:v>
                </c:pt>
                <c:pt idx="1014">
                  <c:v>2.5316809512787586E-2</c:v>
                </c:pt>
                <c:pt idx="1015">
                  <c:v>2.5320028124165006E-2</c:v>
                </c:pt>
                <c:pt idx="1016">
                  <c:v>2.5323262212841868E-2</c:v>
                </c:pt>
                <c:pt idx="1017">
                  <c:v>2.5326511778818173E-2</c:v>
                </c:pt>
                <c:pt idx="1018">
                  <c:v>2.5329776822093919E-2</c:v>
                </c:pt>
                <c:pt idx="1019">
                  <c:v>2.533305734282898E-2</c:v>
                </c:pt>
                <c:pt idx="1020">
                  <c:v>2.5336353340623674E-2</c:v>
                </c:pt>
                <c:pt idx="1021">
                  <c:v>2.5339664815957619E-2</c:v>
                </c:pt>
                <c:pt idx="1022">
                  <c:v>2.5342991768511069E-2</c:v>
                </c:pt>
                <c:pt idx="1023">
                  <c:v>2.5346334198363962E-2</c:v>
                </c:pt>
                <c:pt idx="1024">
                  <c:v>2.5349692105596233E-2</c:v>
                </c:pt>
                <c:pt idx="1025">
                  <c:v>2.5353548665547621E-2</c:v>
                </c:pt>
                <c:pt idx="1026">
                  <c:v>2.5356454351959101E-2</c:v>
                </c:pt>
                <c:pt idx="1027">
                  <c:v>2.5359858691009762E-2</c:v>
                </c:pt>
                <c:pt idx="1028">
                  <c:v>2.5363278507439802E-2</c:v>
                </c:pt>
                <c:pt idx="1029">
                  <c:v>2.5367698156566476E-2</c:v>
                </c:pt>
                <c:pt idx="1030">
                  <c:v>2.5370658803094415E-2</c:v>
                </c:pt>
                <c:pt idx="1031">
                  <c:v>2.537363082076638E-2</c:v>
                </c:pt>
                <c:pt idx="1032">
                  <c:v>2.5377112546474123E-2</c:v>
                </c:pt>
                <c:pt idx="1033">
                  <c:v>2.5380609749561245E-2</c:v>
                </c:pt>
                <c:pt idx="1034">
                  <c:v>2.5384118026670066E-2</c:v>
                </c:pt>
                <c:pt idx="1035">
                  <c:v>2.5387611196103776E-2</c:v>
                </c:pt>
                <c:pt idx="1036">
                  <c:v>2.5391084854424761E-2</c:v>
                </c:pt>
                <c:pt idx="1037">
                  <c:v>2.5394539001872829E-2</c:v>
                </c:pt>
                <c:pt idx="1038">
                  <c:v>2.5397973638288107E-2</c:v>
                </c:pt>
                <c:pt idx="1039">
                  <c:v>2.5401388763750532E-2</c:v>
                </c:pt>
                <c:pt idx="1040">
                  <c:v>2.5404784378180167E-2</c:v>
                </c:pt>
                <c:pt idx="1041">
                  <c:v>2.540816048165695E-2</c:v>
                </c:pt>
                <c:pt idx="1042">
                  <c:v>2.5412472516865847E-2</c:v>
                </c:pt>
                <c:pt idx="1043">
                  <c:v>2.5414854155592081E-2</c:v>
                </c:pt>
                <c:pt idx="1044">
                  <c:v>2.5418171726130367E-2</c:v>
                </c:pt>
                <c:pt idx="1045">
                  <c:v>2.5421469785635864E-2</c:v>
                </c:pt>
                <c:pt idx="1046">
                  <c:v>2.5424748334028635E-2</c:v>
                </c:pt>
                <c:pt idx="1047">
                  <c:v>2.5428471355679605E-2</c:v>
                </c:pt>
                <c:pt idx="1048">
                  <c:v>2.5431246898115489E-2</c:v>
                </c:pt>
                <c:pt idx="1049">
                  <c:v>2.54344669136497E-2</c:v>
                </c:pt>
                <c:pt idx="1050">
                  <c:v>2.5437667418231058E-2</c:v>
                </c:pt>
                <c:pt idx="1051">
                  <c:v>2.5441301246669212E-2</c:v>
                </c:pt>
                <c:pt idx="1052">
                  <c:v>2.5444009894375341E-2</c:v>
                </c:pt>
                <c:pt idx="1053">
                  <c:v>2.5447151865858331E-2</c:v>
                </c:pt>
                <c:pt idx="1054">
                  <c:v>2.5450274326468403E-2</c:v>
                </c:pt>
                <c:pt idx="1055">
                  <c:v>2.545337727596575E-2</c:v>
                </c:pt>
                <c:pt idx="1056">
                  <c:v>2.5456460714590179E-2</c:v>
                </c:pt>
                <c:pt idx="1057">
                  <c:v>2.5459524642101883E-2</c:v>
                </c:pt>
                <c:pt idx="1058">
                  <c:v>2.5462569058660733E-2</c:v>
                </c:pt>
                <c:pt idx="1059">
                  <c:v>2.5465593964266731E-2</c:v>
                </c:pt>
                <c:pt idx="1060">
                  <c:v>2.5468599358839938E-2</c:v>
                </c:pt>
                <c:pt idx="1061">
                  <c:v>2.5471585242460293E-2</c:v>
                </c:pt>
                <c:pt idx="1062">
                  <c:v>2.5474551615047858E-2</c:v>
                </c:pt>
                <c:pt idx="1063">
                  <c:v>2.5477498476602634E-2</c:v>
                </c:pt>
                <c:pt idx="1064">
                  <c:v>2.5480842427398898E-2</c:v>
                </c:pt>
                <c:pt idx="1065">
                  <c:v>2.5483333666693753E-2</c:v>
                </c:pt>
                <c:pt idx="1066">
                  <c:v>2.5486221995310032E-2</c:v>
                </c:pt>
                <c:pt idx="1067">
                  <c:v>2.5489090812893522E-2</c:v>
                </c:pt>
                <c:pt idx="1068">
                  <c:v>2.5491940119444223E-2</c:v>
                </c:pt>
                <c:pt idx="1069">
                  <c:v>2.549476991504207E-2</c:v>
                </c:pt>
                <c:pt idx="1070">
                  <c:v>2.5497580199607128E-2</c:v>
                </c:pt>
                <c:pt idx="1071">
                  <c:v>2.5500370973139397E-2</c:v>
                </c:pt>
                <c:pt idx="1072">
                  <c:v>2.5503142235718812E-2</c:v>
                </c:pt>
                <c:pt idx="1073">
                  <c:v>2.5505893987265438E-2</c:v>
                </c:pt>
                <c:pt idx="1074">
                  <c:v>2.5508626227779274E-2</c:v>
                </c:pt>
                <c:pt idx="1075">
                  <c:v>2.5511724897340216E-2</c:v>
                </c:pt>
                <c:pt idx="1076">
                  <c:v>2.5514032175868451E-2</c:v>
                </c:pt>
                <c:pt idx="1077">
                  <c:v>2.5517086248862952E-2</c:v>
                </c:pt>
                <c:pt idx="1078">
                  <c:v>2.5519360079906406E-2</c:v>
                </c:pt>
                <c:pt idx="1079">
                  <c:v>2.5521994765416167E-2</c:v>
                </c:pt>
                <c:pt idx="1080">
                  <c:v>2.5524609939973075E-2</c:v>
                </c:pt>
                <c:pt idx="1081">
                  <c:v>2.5527943637850825E-2</c:v>
                </c:pt>
                <c:pt idx="1082">
                  <c:v>2.5530879848485455E-2</c:v>
                </c:pt>
                <c:pt idx="1083">
                  <c:v>2.5532702039123834E-2</c:v>
                </c:pt>
                <c:pt idx="1084">
                  <c:v>2.5535236382339122E-2</c:v>
                </c:pt>
                <c:pt idx="1085">
                  <c:v>2.553775121452162E-2</c:v>
                </c:pt>
                <c:pt idx="1086">
                  <c:v>2.5540246535671329E-2</c:v>
                </c:pt>
                <c:pt idx="1087">
                  <c:v>2.5542722345788249E-2</c:v>
                </c:pt>
                <c:pt idx="1088">
                  <c:v>2.5545178644952315E-2</c:v>
                </c:pt>
                <c:pt idx="1089">
                  <c:v>2.5547615433003656E-2</c:v>
                </c:pt>
                <c:pt idx="1090">
                  <c:v>2.5550032710102144E-2</c:v>
                </c:pt>
                <c:pt idx="1091">
                  <c:v>2.5552430476247778E-2</c:v>
                </c:pt>
                <c:pt idx="1092">
                  <c:v>2.5554808731280687E-2</c:v>
                </c:pt>
                <c:pt idx="1093">
                  <c:v>2.5557167475440679E-2</c:v>
                </c:pt>
                <c:pt idx="1094">
                  <c:v>2.5559506708487945E-2</c:v>
                </c:pt>
                <c:pt idx="1095">
                  <c:v>2.5561826430582357E-2</c:v>
                </c:pt>
                <c:pt idx="1096">
                  <c:v>2.5564126641564044E-2</c:v>
                </c:pt>
                <c:pt idx="1097">
                  <c:v>2.5567055386490622E-2</c:v>
                </c:pt>
                <c:pt idx="1098">
                  <c:v>2.5568668530588923E-2</c:v>
                </c:pt>
                <c:pt idx="1099">
                  <c:v>2.5571228855501005E-2</c:v>
                </c:pt>
                <c:pt idx="1100">
                  <c:v>2.5573132375562579E-2</c:v>
                </c:pt>
                <c:pt idx="1101">
                  <c:v>2.5575335031460256E-2</c:v>
                </c:pt>
                <c:pt idx="1102">
                  <c:v>2.5577518176405079E-2</c:v>
                </c:pt>
                <c:pt idx="1103">
                  <c:v>2.5579989308184281E-2</c:v>
                </c:pt>
                <c:pt idx="1104">
                  <c:v>2.5581825933276292E-2</c:v>
                </c:pt>
                <c:pt idx="1105">
                  <c:v>2.5583950545122747E-2</c:v>
                </c:pt>
                <c:pt idx="1106">
                  <c:v>2.5586055646016348E-2</c:v>
                </c:pt>
                <c:pt idx="1107">
                  <c:v>2.558814123587716E-2</c:v>
                </c:pt>
                <c:pt idx="1108">
                  <c:v>2.5590207314625246E-2</c:v>
                </c:pt>
                <c:pt idx="1109">
                  <c:v>2.5592253882500415E-2</c:v>
                </c:pt>
                <c:pt idx="1110">
                  <c:v>2.5594280939262859E-2</c:v>
                </c:pt>
                <c:pt idx="1111">
                  <c:v>2.5596288484992513E-2</c:v>
                </c:pt>
                <c:pt idx="1112">
                  <c:v>2.559827651984925E-2</c:v>
                </c:pt>
                <c:pt idx="1113">
                  <c:v>2.5600245043593262E-2</c:v>
                </c:pt>
                <c:pt idx="1114">
                  <c:v>2.5602194056304484E-2</c:v>
                </c:pt>
                <c:pt idx="1115">
                  <c:v>2.560412355790298E-2</c:v>
                </c:pt>
                <c:pt idx="1116">
                  <c:v>2.5606304811720548E-2</c:v>
                </c:pt>
                <c:pt idx="1117">
                  <c:v>2.5607924028241413E-2</c:v>
                </c:pt>
                <c:pt idx="1118">
                  <c:v>2.5609794996901414E-2</c:v>
                </c:pt>
                <c:pt idx="1119">
                  <c:v>2.5611646454448689E-2</c:v>
                </c:pt>
                <c:pt idx="1120">
                  <c:v>2.561347840104311E-2</c:v>
                </c:pt>
                <c:pt idx="1121">
                  <c:v>2.5615290836684679E-2</c:v>
                </c:pt>
                <c:pt idx="1122">
                  <c:v>2.5617083761213522E-2</c:v>
                </c:pt>
                <c:pt idx="1123">
                  <c:v>2.5618857174709575E-2</c:v>
                </c:pt>
                <c:pt idx="1124">
                  <c:v>2.5620611077172839E-2</c:v>
                </c:pt>
                <c:pt idx="1125">
                  <c:v>2.562234546868325E-2</c:v>
                </c:pt>
                <c:pt idx="1126">
                  <c:v>2.5624060349160871E-2</c:v>
                </c:pt>
                <c:pt idx="1127">
                  <c:v>2.5625996321343436E-2</c:v>
                </c:pt>
                <c:pt idx="1128">
                  <c:v>2.5627431576857873E-2</c:v>
                </c:pt>
                <c:pt idx="1129">
                  <c:v>2.5629087924317062E-2</c:v>
                </c:pt>
                <c:pt idx="1130">
                  <c:v>2.563072476058359E-2</c:v>
                </c:pt>
                <c:pt idx="1131">
                  <c:v>2.56323420859772E-2</c:v>
                </c:pt>
                <c:pt idx="1132">
                  <c:v>2.5633939900258085E-2</c:v>
                </c:pt>
                <c:pt idx="1133">
                  <c:v>2.5635965563575169E-2</c:v>
                </c:pt>
                <c:pt idx="1134">
                  <c:v>2.5637298087586302E-2</c:v>
                </c:pt>
                <c:pt idx="1135">
                  <c:v>2.5638616276983939E-2</c:v>
                </c:pt>
                <c:pt idx="1136">
                  <c:v>2.5640136047133666E-2</c:v>
                </c:pt>
                <c:pt idx="1137">
                  <c:v>2.5641636306250604E-2</c:v>
                </c:pt>
                <c:pt idx="1138">
                  <c:v>2.5643117054414688E-2</c:v>
                </c:pt>
                <c:pt idx="1139">
                  <c:v>2.5644578291545983E-2</c:v>
                </c:pt>
                <c:pt idx="1140">
                  <c:v>2.5646020017564553E-2</c:v>
                </c:pt>
                <c:pt idx="1141">
                  <c:v>2.5647442232630269E-2</c:v>
                </c:pt>
                <c:pt idx="1142">
                  <c:v>2.5648844936663195E-2</c:v>
                </c:pt>
                <c:pt idx="1143">
                  <c:v>2.5650228129663333E-2</c:v>
                </c:pt>
                <c:pt idx="1144">
                  <c:v>2.5651591811550745E-2</c:v>
                </c:pt>
                <c:pt idx="1145">
                  <c:v>2.5652935982565239E-2</c:v>
                </c:pt>
                <c:pt idx="1146">
                  <c:v>2.5654260642387072E-2</c:v>
                </c:pt>
                <c:pt idx="1147">
                  <c:v>2.565593510727382E-2</c:v>
                </c:pt>
                <c:pt idx="1148">
                  <c:v>2.5656851429172178E-2</c:v>
                </c:pt>
                <c:pt idx="1149">
                  <c:v>2.5658117556055515E-2</c:v>
                </c:pt>
                <c:pt idx="1150">
                  <c:v>2.5659364171746191E-2</c:v>
                </c:pt>
                <c:pt idx="1151">
                  <c:v>2.5660591276563949E-2</c:v>
                </c:pt>
                <c:pt idx="1152">
                  <c:v>2.5661969790826689E-2</c:v>
                </c:pt>
                <c:pt idx="1153">
                  <c:v>2.5662986952941225E-2</c:v>
                </c:pt>
                <c:pt idx="1154">
                  <c:v>2.5664155524580679E-2</c:v>
                </c:pt>
                <c:pt idx="1155">
                  <c:v>2.5665467143953791E-2</c:v>
                </c:pt>
                <c:pt idx="1156">
                  <c:v>2.5666434134841154E-2</c:v>
                </c:pt>
                <c:pt idx="1157">
                  <c:v>2.566754417338224E-2</c:v>
                </c:pt>
                <c:pt idx="1158">
                  <c:v>2.5668634700970472E-2</c:v>
                </c:pt>
                <c:pt idx="1159">
                  <c:v>2.5669705717366043E-2</c:v>
                </c:pt>
                <c:pt idx="1160">
                  <c:v>2.5670757222888696E-2</c:v>
                </c:pt>
                <c:pt idx="1161">
                  <c:v>2.567178921737856E-2</c:v>
                </c:pt>
                <c:pt idx="1162">
                  <c:v>2.5672801700755699E-2</c:v>
                </c:pt>
                <c:pt idx="1163">
                  <c:v>2.5673794673100048E-2</c:v>
                </c:pt>
                <c:pt idx="1164">
                  <c:v>2.5674768134411607E-2</c:v>
                </c:pt>
                <c:pt idx="1165">
                  <c:v>2.5675722084770314E-2</c:v>
                </c:pt>
                <c:pt idx="1166">
                  <c:v>2.5676656524016295E-2</c:v>
                </c:pt>
                <c:pt idx="1167">
                  <c:v>2.5677571452309422E-2</c:v>
                </c:pt>
                <c:pt idx="1168">
                  <c:v>2.5678593193481092E-2</c:v>
                </c:pt>
                <c:pt idx="1169">
                  <c:v>2.5679342775717373E-2</c:v>
                </c:pt>
                <c:pt idx="1170">
                  <c:v>2.5680199170832196E-2</c:v>
                </c:pt>
                <c:pt idx="1171">
                  <c:v>2.568103605491423E-2</c:v>
                </c:pt>
                <c:pt idx="1172">
                  <c:v>2.5681853427963475E-2</c:v>
                </c:pt>
                <c:pt idx="1173">
                  <c:v>2.5682651290059866E-2</c:v>
                </c:pt>
                <c:pt idx="1174">
                  <c:v>2.5683429641043531E-2</c:v>
                </c:pt>
                <c:pt idx="1175">
                  <c:v>2.5684188481074344E-2</c:v>
                </c:pt>
                <c:pt idx="1176">
                  <c:v>2.5684927809992431E-2</c:v>
                </c:pt>
                <c:pt idx="1177">
                  <c:v>2.5685647627877728E-2</c:v>
                </c:pt>
                <c:pt idx="1178">
                  <c:v>2.5686347934730236E-2</c:v>
                </c:pt>
                <c:pt idx="1179">
                  <c:v>2.5687028730629891E-2</c:v>
                </c:pt>
                <c:pt idx="1180">
                  <c:v>2.568769001541682E-2</c:v>
                </c:pt>
                <c:pt idx="1181">
                  <c:v>2.5688331789250896E-2</c:v>
                </c:pt>
                <c:pt idx="1182">
                  <c:v>2.568895405189231E-2</c:v>
                </c:pt>
                <c:pt idx="1183">
                  <c:v>2.5689556803660807E-2</c:v>
                </c:pt>
                <c:pt idx="1184">
                  <c:v>2.5690140044236642E-2</c:v>
                </c:pt>
                <c:pt idx="1185">
                  <c:v>2.5690861255807107E-2</c:v>
                </c:pt>
                <c:pt idx="1186">
                  <c:v>2.5691399899896439E-2</c:v>
                </c:pt>
                <c:pt idx="1187">
                  <c:v>2.5691846065560853E-2</c:v>
                </c:pt>
                <c:pt idx="1188">
                  <c:v>2.5692348474715132E-2</c:v>
                </c:pt>
                <c:pt idx="1189">
                  <c:v>2.5692898765647953E-2</c:v>
                </c:pt>
                <c:pt idx="1190">
                  <c:v>2.5693294758246665E-2</c:v>
                </c:pt>
                <c:pt idx="1191">
                  <c:v>2.5693738319354509E-2</c:v>
                </c:pt>
                <c:pt idx="1192">
                  <c:v>2.5694161818350381E-2</c:v>
                </c:pt>
                <c:pt idx="1193">
                  <c:v>2.5694621251082239E-2</c:v>
                </c:pt>
                <c:pt idx="1194">
                  <c:v>2.5694948629526593E-2</c:v>
                </c:pt>
                <c:pt idx="1195">
                  <c:v>2.5695311941786869E-2</c:v>
                </c:pt>
                <c:pt idx="1196">
                  <c:v>2.5695655191855238E-2</c:v>
                </c:pt>
                <c:pt idx="1197">
                  <c:v>2.5695978379651763E-2</c:v>
                </c:pt>
                <c:pt idx="1198">
                  <c:v>2.569628150525638E-2</c:v>
                </c:pt>
                <c:pt idx="1199">
                  <c:v>2.5696564568589153E-2</c:v>
                </c:pt>
                <c:pt idx="1200">
                  <c:v>2.5696827569730019E-2</c:v>
                </c:pt>
                <c:pt idx="1201">
                  <c:v>2.5697070508678976E-2</c:v>
                </c:pt>
                <c:pt idx="1202">
                  <c:v>2.5699216990391349E-2</c:v>
                </c:pt>
                <c:pt idx="1203">
                  <c:v>2.5697496199841297E-2</c:v>
                </c:pt>
                <c:pt idx="1204">
                  <c:v>2.5697703421840856E-2</c:v>
                </c:pt>
                <c:pt idx="1205">
                  <c:v>2.569784164215605E-2</c:v>
                </c:pt>
                <c:pt idx="1206">
                  <c:v>2.569798426990566E-2</c:v>
                </c:pt>
                <c:pt idx="1207">
                  <c:v>2.5698122707167315E-2</c:v>
                </c:pt>
                <c:pt idx="1208">
                  <c:v>2.5698209338909095E-2</c:v>
                </c:pt>
                <c:pt idx="1209">
                  <c:v>2.5698291780003046E-2</c:v>
                </c:pt>
                <c:pt idx="1210">
                  <c:v>2.569835415890509E-2</c:v>
                </c:pt>
                <c:pt idx="1211">
                  <c:v>2.569839647553529E-2</c:v>
                </c:pt>
                <c:pt idx="1212">
                  <c:v>2.5698418730053518E-2</c:v>
                </c:pt>
                <c:pt idx="1213">
                  <c:v>2.5698420922299903E-2</c:v>
                </c:pt>
                <c:pt idx="1214">
                  <c:v>2.5698403052354379E-2</c:v>
                </c:pt>
                <c:pt idx="1215">
                  <c:v>2.5698365120057076E-2</c:v>
                </c:pt>
                <c:pt idx="1216">
                  <c:v>2.5698307125567865E-2</c:v>
                </c:pt>
                <c:pt idx="1217">
                  <c:v>2.5698229068966683E-2</c:v>
                </c:pt>
                <c:pt idx="1218">
                  <c:v>2.569813095001372E-2</c:v>
                </c:pt>
                <c:pt idx="1219">
                  <c:v>2.5698012768948786E-2</c:v>
                </c:pt>
                <c:pt idx="1220">
                  <c:v>2.5697853138879623E-2</c:v>
                </c:pt>
                <c:pt idx="1221">
                  <c:v>2.5697691967243586E-2</c:v>
                </c:pt>
                <c:pt idx="1222">
                  <c:v>2.5697537852282792E-2</c:v>
                </c:pt>
                <c:pt idx="1223">
                  <c:v>2.5697339422290355E-2</c:v>
                </c:pt>
                <c:pt idx="1224">
                  <c:v>2.569712093010601E-2</c:v>
                </c:pt>
                <c:pt idx="1225">
                  <c:v>2.5696882375569885E-2</c:v>
                </c:pt>
                <c:pt idx="1226">
                  <c:v>2.5696623758841852E-2</c:v>
                </c:pt>
                <c:pt idx="1227">
                  <c:v>2.5696303630997619E-2</c:v>
                </c:pt>
                <c:pt idx="1228">
                  <c:v>2.5696046338810064E-2</c:v>
                </c:pt>
                <c:pt idx="1229">
                  <c:v>2.5695727535506308E-2</c:v>
                </c:pt>
                <c:pt idx="1230">
                  <c:v>2.5695388669930708E-2</c:v>
                </c:pt>
                <c:pt idx="1231">
                  <c:v>2.5694976828969374E-2</c:v>
                </c:pt>
                <c:pt idx="1232">
                  <c:v>2.5694650752043913E-2</c:v>
                </c:pt>
                <c:pt idx="1233">
                  <c:v>2.569425169989259E-2</c:v>
                </c:pt>
                <c:pt idx="1234">
                  <c:v>2.5693832585469423E-2</c:v>
                </c:pt>
                <c:pt idx="1235">
                  <c:v>2.569339340861454E-2</c:v>
                </c:pt>
                <c:pt idx="1236">
                  <c:v>2.5692934169807558E-2</c:v>
                </c:pt>
                <c:pt idx="1237">
                  <c:v>2.5694076806592747E-2</c:v>
                </c:pt>
                <c:pt idx="1238">
                  <c:v>2.5693568772631181E-2</c:v>
                </c:pt>
                <c:pt idx="1239">
                  <c:v>2.5691360238262462E-2</c:v>
                </c:pt>
                <c:pt idx="1240">
                  <c:v>2.5690817884420625E-2</c:v>
                </c:pt>
                <c:pt idx="1241">
                  <c:v>2.569025546838688E-2</c:v>
                </c:pt>
                <c:pt idx="1242">
                  <c:v>2.5689672990081291E-2</c:v>
                </c:pt>
                <c:pt idx="1243">
                  <c:v>2.5689070449583795E-2</c:v>
                </c:pt>
                <c:pt idx="1244">
                  <c:v>2.5688447846814455E-2</c:v>
                </c:pt>
                <c:pt idx="1245">
                  <c:v>2.5687805181853207E-2</c:v>
                </c:pt>
                <c:pt idx="1246">
                  <c:v>2.5687142454700052E-2</c:v>
                </c:pt>
                <c:pt idx="1247">
                  <c:v>2.5686459665354988E-2</c:v>
                </c:pt>
                <c:pt idx="1248">
                  <c:v>2.5685756813658145E-2</c:v>
                </c:pt>
                <c:pt idx="1249">
                  <c:v>2.568503389984933E-2</c:v>
                </c:pt>
                <c:pt idx="1250">
                  <c:v>2.5684290923688735E-2</c:v>
                </c:pt>
                <c:pt idx="1251">
                  <c:v>2.5683527885496105E-2</c:v>
                </c:pt>
                <c:pt idx="1252">
                  <c:v>2.5686181607266434E-2</c:v>
                </c:pt>
                <c:pt idx="1253">
                  <c:v>2.5681473664542764E-2</c:v>
                </c:pt>
                <c:pt idx="1254">
                  <c:v>2.5680638975504877E-2</c:v>
                </c:pt>
                <c:pt idx="1255">
                  <c:v>2.5679660479100974E-2</c:v>
                </c:pt>
                <c:pt idx="1256">
                  <c:v>2.5678909410693507E-2</c:v>
                </c:pt>
                <c:pt idx="1257">
                  <c:v>2.5678014534920024E-2</c:v>
                </c:pt>
                <c:pt idx="1258">
                  <c:v>2.5676967253778216E-2</c:v>
                </c:pt>
                <c:pt idx="1259">
                  <c:v>2.5676164596717399E-2</c:v>
                </c:pt>
                <c:pt idx="1260">
                  <c:v>2.5675209534368193E-2</c:v>
                </c:pt>
                <c:pt idx="1261">
                  <c:v>2.5674234409747143E-2</c:v>
                </c:pt>
                <c:pt idx="1262">
                  <c:v>2.5673239222854249E-2</c:v>
                </c:pt>
                <c:pt idx="1263">
                  <c:v>2.5672223973849384E-2</c:v>
                </c:pt>
                <c:pt idx="1264">
                  <c:v>2.5671188662492739E-2</c:v>
                </c:pt>
                <c:pt idx="1265">
                  <c:v>2.5670133289024122E-2</c:v>
                </c:pt>
                <c:pt idx="1266">
                  <c:v>2.5669057853283661E-2</c:v>
                </c:pt>
                <c:pt idx="1267">
                  <c:v>2.5667962355351293E-2</c:v>
                </c:pt>
                <c:pt idx="1268">
                  <c:v>2.5666846795227016E-2</c:v>
                </c:pt>
                <c:pt idx="1269">
                  <c:v>2.5665711172830896E-2</c:v>
                </c:pt>
                <c:pt idx="1270">
                  <c:v>2.5664555488162932E-2</c:v>
                </c:pt>
                <c:pt idx="1271">
                  <c:v>2.5663210139850179E-2</c:v>
                </c:pt>
                <c:pt idx="1272">
                  <c:v>2.5662183932331217E-2</c:v>
                </c:pt>
                <c:pt idx="1273">
                  <c:v>2.566096806108753E-2</c:v>
                </c:pt>
                <c:pt idx="1274">
                  <c:v>2.5659732127651935E-2</c:v>
                </c:pt>
                <c:pt idx="1275">
                  <c:v>2.565847613186456E-2</c:v>
                </c:pt>
                <c:pt idx="1276">
                  <c:v>2.5657200073965214E-2</c:v>
                </c:pt>
                <c:pt idx="1277">
                  <c:v>2.565590395387396E-2</c:v>
                </c:pt>
                <c:pt idx="1278">
                  <c:v>2.5654587771590798E-2</c:v>
                </c:pt>
                <c:pt idx="1279">
                  <c:v>2.5653251526955856E-2</c:v>
                </c:pt>
                <c:pt idx="1280">
                  <c:v>2.5651895220208942E-2</c:v>
                </c:pt>
                <c:pt idx="1281">
                  <c:v>2.5650518851270121E-2</c:v>
                </c:pt>
                <c:pt idx="1282">
                  <c:v>2.564912241997952E-2</c:v>
                </c:pt>
                <c:pt idx="1283">
                  <c:v>2.5647705926576947E-2</c:v>
                </c:pt>
                <c:pt idx="1284">
                  <c:v>2.564626937090253E-2</c:v>
                </c:pt>
                <c:pt idx="1285">
                  <c:v>2.5644603027119572E-2</c:v>
                </c:pt>
                <c:pt idx="1286">
                  <c:v>2.5643336072977974E-2</c:v>
                </c:pt>
                <c:pt idx="1287">
                  <c:v>2.5641839330727834E-2</c:v>
                </c:pt>
                <c:pt idx="1288">
                  <c:v>2.564032252620585E-2</c:v>
                </c:pt>
                <c:pt idx="1289">
                  <c:v>2.5639144808322634E-2</c:v>
                </c:pt>
                <c:pt idx="1290">
                  <c:v>2.5637004674372577E-2</c:v>
                </c:pt>
                <c:pt idx="1291">
                  <c:v>2.563565173932858E-2</c:v>
                </c:pt>
                <c:pt idx="1292">
                  <c:v>2.5634054686118901E-2</c:v>
                </c:pt>
                <c:pt idx="1293">
                  <c:v>2.5632437570477506E-2</c:v>
                </c:pt>
                <c:pt idx="1294">
                  <c:v>2.563080039272414E-2</c:v>
                </c:pt>
                <c:pt idx="1295">
                  <c:v>2.562914315269893E-2</c:v>
                </c:pt>
                <c:pt idx="1296">
                  <c:v>2.5627465850481812E-2</c:v>
                </c:pt>
                <c:pt idx="1297">
                  <c:v>2.562576848599285E-2</c:v>
                </c:pt>
                <c:pt idx="1298">
                  <c:v>2.5624051059471853E-2</c:v>
                </c:pt>
                <c:pt idx="1299">
                  <c:v>2.5622313570599076E-2</c:v>
                </c:pt>
                <c:pt idx="1300">
                  <c:v>2.5620556019534391E-2</c:v>
                </c:pt>
                <c:pt idx="1301">
                  <c:v>2.5618778406277798E-2</c:v>
                </c:pt>
                <c:pt idx="1302">
                  <c:v>2.5616463424311675E-2</c:v>
                </c:pt>
                <c:pt idx="1303">
                  <c:v>2.5615162993029017E-2</c:v>
                </c:pt>
                <c:pt idx="1304">
                  <c:v>2.5613325193196701E-2</c:v>
                </c:pt>
                <c:pt idx="1305">
                  <c:v>2.5611467331092541E-2</c:v>
                </c:pt>
                <c:pt idx="1306">
                  <c:v>2.5609589406716537E-2</c:v>
                </c:pt>
                <c:pt idx="1307">
                  <c:v>2.5607418641548918E-2</c:v>
                </c:pt>
                <c:pt idx="1308">
                  <c:v>2.5605773371468743E-2</c:v>
                </c:pt>
                <c:pt idx="1309">
                  <c:v>2.5603835260517016E-2</c:v>
                </c:pt>
                <c:pt idx="1310">
                  <c:v>2.5601877087373381E-2</c:v>
                </c:pt>
                <c:pt idx="1311">
                  <c:v>2.5599614609248533E-2</c:v>
                </c:pt>
                <c:pt idx="1312">
                  <c:v>2.5597900554430453E-2</c:v>
                </c:pt>
                <c:pt idx="1313">
                  <c:v>2.5595882194631159E-2</c:v>
                </c:pt>
                <c:pt idx="1314">
                  <c:v>2.5593843772719893E-2</c:v>
                </c:pt>
                <c:pt idx="1315">
                  <c:v>2.5591785288456848E-2</c:v>
                </c:pt>
                <c:pt idx="1316">
                  <c:v>2.5589706742001894E-2</c:v>
                </c:pt>
                <c:pt idx="1317">
                  <c:v>2.5587608133434969E-2</c:v>
                </c:pt>
                <c:pt idx="1318">
                  <c:v>2.5585489462676136E-2</c:v>
                </c:pt>
                <c:pt idx="1319">
                  <c:v>2.558335072964546E-2</c:v>
                </c:pt>
                <c:pt idx="1320">
                  <c:v>2.5581191934422876E-2</c:v>
                </c:pt>
                <c:pt idx="1321">
                  <c:v>2.5579013077008383E-2</c:v>
                </c:pt>
                <c:pt idx="1322">
                  <c:v>2.5576814157322048E-2</c:v>
                </c:pt>
                <c:pt idx="1323">
                  <c:v>2.5574595175443804E-2</c:v>
                </c:pt>
                <c:pt idx="1324">
                  <c:v>2.5572034630307883E-2</c:v>
                </c:pt>
                <c:pt idx="1325">
                  <c:v>2.5570097025271465E-2</c:v>
                </c:pt>
                <c:pt idx="1326">
                  <c:v>2.5567817856737562E-2</c:v>
                </c:pt>
                <c:pt idx="1327">
                  <c:v>2.5565518626091688E-2</c:v>
                </c:pt>
                <c:pt idx="1328">
                  <c:v>2.5563199333333841E-2</c:v>
                </c:pt>
                <c:pt idx="1329">
                  <c:v>2.5560859978224215E-2</c:v>
                </c:pt>
                <c:pt idx="1330">
                  <c:v>2.5558500561002617E-2</c:v>
                </c:pt>
                <c:pt idx="1331">
                  <c:v>2.5556121081509175E-2</c:v>
                </c:pt>
                <c:pt idx="1332">
                  <c:v>2.5553721539903762E-2</c:v>
                </c:pt>
                <c:pt idx="1333">
                  <c:v>2.5551301936026505E-2</c:v>
                </c:pt>
                <c:pt idx="1334">
                  <c:v>2.554886226995734E-2</c:v>
                </c:pt>
                <c:pt idx="1335">
                  <c:v>2.5546049514248992E-2</c:v>
                </c:pt>
                <c:pt idx="1336">
                  <c:v>2.5543922751243286E-2</c:v>
                </c:pt>
                <c:pt idx="1337">
                  <c:v>2.5541064139096292E-2</c:v>
                </c:pt>
                <c:pt idx="1338">
                  <c:v>2.5538902983761602E-2</c:v>
                </c:pt>
                <c:pt idx="1339">
                  <c:v>2.5536363006732898E-2</c:v>
                </c:pt>
                <c:pt idx="1340">
                  <c:v>2.5533802967432351E-2</c:v>
                </c:pt>
                <c:pt idx="1341">
                  <c:v>2.5530482009283872E-2</c:v>
                </c:pt>
                <c:pt idx="1342">
                  <c:v>2.552750220504052E-2</c:v>
                </c:pt>
                <c:pt idx="1343">
                  <c:v>2.5525626520872535E-2</c:v>
                </c:pt>
                <c:pt idx="1344">
                  <c:v>2.5522983366856877E-2</c:v>
                </c:pt>
                <c:pt idx="1345">
                  <c:v>2.5520320150489439E-2</c:v>
                </c:pt>
                <c:pt idx="1346">
                  <c:v>2.5517636872089966E-2</c:v>
                </c:pt>
                <c:pt idx="1347">
                  <c:v>2.5514933531418649E-2</c:v>
                </c:pt>
                <c:pt idx="1348">
                  <c:v>2.551221012863536E-2</c:v>
                </c:pt>
                <c:pt idx="1349">
                  <c:v>2.5509466663660163E-2</c:v>
                </c:pt>
                <c:pt idx="1350">
                  <c:v>2.5506703136413122E-2</c:v>
                </c:pt>
                <c:pt idx="1351">
                  <c:v>2.5503919546974174E-2</c:v>
                </c:pt>
                <c:pt idx="1352">
                  <c:v>2.5501115895343318E-2</c:v>
                </c:pt>
                <c:pt idx="1353">
                  <c:v>2.5498292181680426E-2</c:v>
                </c:pt>
                <c:pt idx="1354">
                  <c:v>2.5495448405585819E-2</c:v>
                </c:pt>
                <c:pt idx="1355">
                  <c:v>2.5492584567459176E-2</c:v>
                </c:pt>
                <c:pt idx="1356">
                  <c:v>2.5489700667140625E-2</c:v>
                </c:pt>
                <c:pt idx="1357">
                  <c:v>2.5485963316072002E-2</c:v>
                </c:pt>
                <c:pt idx="1358">
                  <c:v>2.5483872679767927E-2</c:v>
                </c:pt>
                <c:pt idx="1359">
                  <c:v>2.5480506371255984E-2</c:v>
                </c:pt>
                <c:pt idx="1360">
                  <c:v>2.5477964443787471E-2</c:v>
                </c:pt>
                <c:pt idx="1361">
                  <c:v>2.5474980232429445E-2</c:v>
                </c:pt>
                <c:pt idx="1362">
                  <c:v>2.5471975958959447E-2</c:v>
                </c:pt>
                <c:pt idx="1363">
                  <c:v>2.5468517937570212E-2</c:v>
                </c:pt>
                <c:pt idx="1364">
                  <c:v>2.5465907225363793E-2</c:v>
                </c:pt>
                <c:pt idx="1365">
                  <c:v>2.5462842765398008E-2</c:v>
                </c:pt>
                <c:pt idx="1366">
                  <c:v>2.5459758243080444E-2</c:v>
                </c:pt>
                <c:pt idx="1367">
                  <c:v>2.5456653658730843E-2</c:v>
                </c:pt>
                <c:pt idx="1368">
                  <c:v>2.5453529012109399E-2</c:v>
                </c:pt>
                <c:pt idx="1369">
                  <c:v>2.5450384303296048E-2</c:v>
                </c:pt>
                <c:pt idx="1370">
                  <c:v>2.5447219532290788E-2</c:v>
                </c:pt>
                <c:pt idx="1371">
                  <c:v>2.5444034699173557E-2</c:v>
                </c:pt>
                <c:pt idx="1372">
                  <c:v>2.5440829803864418E-2</c:v>
                </c:pt>
                <c:pt idx="1373">
                  <c:v>2.5437604846363371E-2</c:v>
                </c:pt>
                <c:pt idx="1374">
                  <c:v>2.543435982659048E-2</c:v>
                </c:pt>
                <c:pt idx="1375">
                  <c:v>2.5431094744785554E-2</c:v>
                </c:pt>
                <c:pt idx="1376">
                  <c:v>2.5427338656784926E-2</c:v>
                </c:pt>
                <c:pt idx="1377">
                  <c:v>2.5424504394440106E-2</c:v>
                </c:pt>
                <c:pt idx="1378">
                  <c:v>2.5421179126059457E-2</c:v>
                </c:pt>
                <c:pt idx="1379">
                  <c:v>2.5417833795486899E-2</c:v>
                </c:pt>
                <c:pt idx="1380">
                  <c:v>2.541446840280237E-2</c:v>
                </c:pt>
                <c:pt idx="1381">
                  <c:v>2.5411082947845998E-2</c:v>
                </c:pt>
                <c:pt idx="1382">
                  <c:v>2.5407677430697717E-2</c:v>
                </c:pt>
                <c:pt idx="1383">
                  <c:v>2.5404251851357529E-2</c:v>
                </c:pt>
                <c:pt idx="1384">
                  <c:v>2.5400806209905369E-2</c:v>
                </c:pt>
                <c:pt idx="1385">
                  <c:v>2.5397340506261301E-2</c:v>
                </c:pt>
                <c:pt idx="1386">
                  <c:v>2.5393854740425326E-2</c:v>
                </c:pt>
                <c:pt idx="1387">
                  <c:v>2.5389846442251951E-2</c:v>
                </c:pt>
                <c:pt idx="1388">
                  <c:v>2.5386823022257587E-2</c:v>
                </c:pt>
                <c:pt idx="1389">
                  <c:v>2.5383277070005761E-2</c:v>
                </c:pt>
                <c:pt idx="1390">
                  <c:v>2.537971105548209E-2</c:v>
                </c:pt>
                <c:pt idx="1391">
                  <c:v>2.5376124978766512E-2</c:v>
                </c:pt>
                <c:pt idx="1392">
                  <c:v>2.5372518839938962E-2</c:v>
                </c:pt>
                <c:pt idx="1393">
                  <c:v>2.5367852896627241E-2</c:v>
                </c:pt>
                <c:pt idx="1394">
                  <c:v>2.5364723843290804E-2</c:v>
                </c:pt>
                <c:pt idx="1395">
                  <c:v>2.5361580050384802E-2</c:v>
                </c:pt>
                <c:pt idx="1396">
                  <c:v>2.5357893662789621E-2</c:v>
                </c:pt>
                <c:pt idx="1397">
                  <c:v>2.5354187213162405E-2</c:v>
                </c:pt>
                <c:pt idx="1398">
                  <c:v>2.5350460701263344E-2</c:v>
                </c:pt>
                <c:pt idx="1399">
                  <c:v>2.5346714127252312E-2</c:v>
                </c:pt>
                <c:pt idx="1400">
                  <c:v>2.5342947491129308E-2</c:v>
                </c:pt>
                <c:pt idx="1401">
                  <c:v>2.5339160792734461E-2</c:v>
                </c:pt>
                <c:pt idx="1402">
                  <c:v>2.5335354032227642E-2</c:v>
                </c:pt>
                <c:pt idx="1403">
                  <c:v>2.5331527209448979E-2</c:v>
                </c:pt>
                <c:pt idx="1404">
                  <c:v>2.5327680324718216E-2</c:v>
                </c:pt>
                <c:pt idx="1405">
                  <c:v>2.5323813377635673E-2</c:v>
                </c:pt>
                <c:pt idx="1406">
                  <c:v>2.5319926368521095E-2</c:v>
                </c:pt>
                <c:pt idx="1407">
                  <c:v>2.5316019297214609E-2</c:v>
                </c:pt>
                <c:pt idx="1408">
                  <c:v>2.5310966440681426E-2</c:v>
                </c:pt>
                <c:pt idx="1409">
                  <c:v>2.530814496810585E-2</c:v>
                </c:pt>
                <c:pt idx="1410">
                  <c:v>2.5304177710143705E-2</c:v>
                </c:pt>
                <c:pt idx="1411">
                  <c:v>2.5299619135425999E-2</c:v>
                </c:pt>
                <c:pt idx="1412">
                  <c:v>2.5296183008123307E-2</c:v>
                </c:pt>
                <c:pt idx="1413">
                  <c:v>2.5292155563825247E-2</c:v>
                </c:pt>
                <c:pt idx="1414">
                  <c:v>2.5288108057335279E-2</c:v>
                </c:pt>
                <c:pt idx="1415">
                  <c:v>2.5283457769820217E-2</c:v>
                </c:pt>
                <c:pt idx="1416">
                  <c:v>2.5279952858099364E-2</c:v>
                </c:pt>
                <c:pt idx="1417">
                  <c:v>2.5275845165113608E-2</c:v>
                </c:pt>
                <c:pt idx="1418">
                  <c:v>2.5271717410095818E-2</c:v>
                </c:pt>
                <c:pt idx="1419">
                  <c:v>2.5267569592886119E-2</c:v>
                </c:pt>
                <c:pt idx="1420">
                  <c:v>2.5263401713484512E-2</c:v>
                </c:pt>
                <c:pt idx="1421">
                  <c:v>2.5259213771970934E-2</c:v>
                </c:pt>
                <c:pt idx="1422">
                  <c:v>2.5255005768345384E-2</c:v>
                </c:pt>
                <c:pt idx="1423">
                  <c:v>2.5250777702447991E-2</c:v>
                </c:pt>
                <c:pt idx="1424">
                  <c:v>2.5246529574518561E-2</c:v>
                </c:pt>
                <c:pt idx="1425">
                  <c:v>2.5242261384397224E-2</c:v>
                </c:pt>
                <c:pt idx="1426">
                  <c:v>2.5237973132163916E-2</c:v>
                </c:pt>
                <c:pt idx="1427">
                  <c:v>2.5233664817818635E-2</c:v>
                </c:pt>
                <c:pt idx="1428">
                  <c:v>2.5228716464011924E-2</c:v>
                </c:pt>
                <c:pt idx="1429">
                  <c:v>2.5224988002552351E-2</c:v>
                </c:pt>
                <c:pt idx="1430">
                  <c:v>2.5220619501711283E-2</c:v>
                </c:pt>
                <c:pt idx="1431">
                  <c:v>2.5216230938678308E-2</c:v>
                </c:pt>
                <c:pt idx="1432">
                  <c:v>2.5211822313533361E-2</c:v>
                </c:pt>
                <c:pt idx="1433">
                  <c:v>2.5207393626276442E-2</c:v>
                </c:pt>
                <c:pt idx="1434">
                  <c:v>2.5202944876827615E-2</c:v>
                </c:pt>
                <c:pt idx="1435">
                  <c:v>2.5198476065266817E-2</c:v>
                </c:pt>
                <c:pt idx="1436">
                  <c:v>2.5193987191594047E-2</c:v>
                </c:pt>
                <c:pt idx="1437">
                  <c:v>2.5189478255729369E-2</c:v>
                </c:pt>
                <c:pt idx="1438">
                  <c:v>2.518494925775272E-2</c:v>
                </c:pt>
                <c:pt idx="1439">
                  <c:v>2.5179748694252879E-2</c:v>
                </c:pt>
                <c:pt idx="1440">
                  <c:v>2.5175831075463506E-2</c:v>
                </c:pt>
                <c:pt idx="1441">
                  <c:v>2.517124189099107E-2</c:v>
                </c:pt>
                <c:pt idx="1442">
                  <c:v>2.5166632644566533E-2</c:v>
                </c:pt>
                <c:pt idx="1443">
                  <c:v>2.5162003335870153E-2</c:v>
                </c:pt>
                <c:pt idx="1444">
                  <c:v>2.5157353965061802E-2</c:v>
                </c:pt>
                <c:pt idx="1445">
                  <c:v>2.5151346723557566E-2</c:v>
                </c:pt>
                <c:pt idx="1446">
                  <c:v>2.5147323471506056E-2</c:v>
                </c:pt>
                <c:pt idx="1447">
                  <c:v>2.5143285479964916E-2</c:v>
                </c:pt>
                <c:pt idx="1448">
                  <c:v>2.513855586046887E-2</c:v>
                </c:pt>
                <c:pt idx="1449">
                  <c:v>2.5133806179020723E-2</c:v>
                </c:pt>
                <c:pt idx="1450">
                  <c:v>2.5129036563198426E-2</c:v>
                </c:pt>
                <c:pt idx="1451">
                  <c:v>2.5124268215721557E-2</c:v>
                </c:pt>
                <c:pt idx="1452">
                  <c:v>2.5119517358254129E-2</c:v>
                </c:pt>
                <c:pt idx="1453">
                  <c:v>2.5114783990556333E-2</c:v>
                </c:pt>
                <c:pt idx="1454">
                  <c:v>2.5110068112788042E-2</c:v>
                </c:pt>
                <c:pt idx="1455">
                  <c:v>2.510536972486932E-2</c:v>
                </c:pt>
                <c:pt idx="1456">
                  <c:v>2.5100688826880102E-2</c:v>
                </c:pt>
                <c:pt idx="1457">
                  <c:v>2.5096025418660517E-2</c:v>
                </c:pt>
                <c:pt idx="1458">
                  <c:v>2.5090055307614989E-2</c:v>
                </c:pt>
                <c:pt idx="1459">
                  <c:v>2.5086751072009861E-2</c:v>
                </c:pt>
                <c:pt idx="1460">
                  <c:v>2.5082140133418918E-2</c:v>
                </c:pt>
                <c:pt idx="1461">
                  <c:v>2.5077546684837415E-2</c:v>
                </c:pt>
                <c:pt idx="1462">
                  <c:v>2.5072970726025545E-2</c:v>
                </c:pt>
                <c:pt idx="1463">
                  <c:v>2.506841225714318E-2</c:v>
                </c:pt>
                <c:pt idx="1464">
                  <c:v>2.5063223994443717E-2</c:v>
                </c:pt>
                <c:pt idx="1465">
                  <c:v>2.5059347788927155E-2</c:v>
                </c:pt>
                <c:pt idx="1466">
                  <c:v>2.5054841789593496E-2</c:v>
                </c:pt>
                <c:pt idx="1467">
                  <c:v>2.5049713492286685E-2</c:v>
                </c:pt>
                <c:pt idx="1468">
                  <c:v>2.5045882260634755E-2</c:v>
                </c:pt>
                <c:pt idx="1469">
                  <c:v>2.5041428730849802E-2</c:v>
                </c:pt>
                <c:pt idx="1470">
                  <c:v>2.5036992691074289E-2</c:v>
                </c:pt>
                <c:pt idx="1471">
                  <c:v>2.5032574141068409E-2</c:v>
                </c:pt>
                <c:pt idx="1472">
                  <c:v>2.5028173080992033E-2</c:v>
                </c:pt>
                <c:pt idx="1473">
                  <c:v>2.5023789510765226E-2</c:v>
                </c:pt>
                <c:pt idx="1474">
                  <c:v>2.5019423430467924E-2</c:v>
                </c:pt>
                <c:pt idx="1475">
                  <c:v>2.5015074839940254E-2</c:v>
                </c:pt>
                <c:pt idx="1476">
                  <c:v>2.5010743739342089E-2</c:v>
                </c:pt>
                <c:pt idx="1477">
                  <c:v>2.5006430128593493E-2</c:v>
                </c:pt>
                <c:pt idx="1478">
                  <c:v>2.5002134007694465E-2</c:v>
                </c:pt>
                <c:pt idx="1479">
                  <c:v>2.4997855376645006E-2</c:v>
                </c:pt>
                <c:pt idx="1480">
                  <c:v>2.4992986928760175E-2</c:v>
                </c:pt>
                <c:pt idx="1481">
                  <c:v>2.498935058417473E-2</c:v>
                </c:pt>
                <c:pt idx="1482">
                  <c:v>2.4985124422594041E-2</c:v>
                </c:pt>
                <c:pt idx="1483">
                  <c:v>2.4980915751102728E-2</c:v>
                </c:pt>
                <c:pt idx="1484">
                  <c:v>2.4976724569381048E-2</c:v>
                </c:pt>
                <c:pt idx="1485">
                  <c:v>2.4972550877429001E-2</c:v>
                </c:pt>
                <c:pt idx="1486">
                  <c:v>2.4968394675406458E-2</c:v>
                </c:pt>
                <c:pt idx="1487">
                  <c:v>2.4964255963153548E-2</c:v>
                </c:pt>
                <c:pt idx="1488">
                  <c:v>2.4960134740910078E-2</c:v>
                </c:pt>
                <c:pt idx="1489">
                  <c:v>2.4956031008516177E-2</c:v>
                </c:pt>
                <c:pt idx="1490">
                  <c:v>2.4951944765811973E-2</c:v>
                </c:pt>
                <c:pt idx="1491">
                  <c:v>2.4947876013117209E-2</c:v>
                </c:pt>
                <c:pt idx="1492">
                  <c:v>2.4943824750272015E-2</c:v>
                </c:pt>
                <c:pt idx="1493">
                  <c:v>2.4939790977196452E-2</c:v>
                </c:pt>
                <c:pt idx="1494">
                  <c:v>2.4935774694050394E-2</c:v>
                </c:pt>
                <c:pt idx="1495">
                  <c:v>2.4931775900673969E-2</c:v>
                </c:pt>
                <c:pt idx="1496">
                  <c:v>2.4927794597227049E-2</c:v>
                </c:pt>
                <c:pt idx="1497">
                  <c:v>2.4922701477860798E-2</c:v>
                </c:pt>
                <c:pt idx="1498">
                  <c:v>2.4918760151155794E-2</c:v>
                </c:pt>
                <c:pt idx="1499">
                  <c:v>2.4915395791644812E-2</c:v>
                </c:pt>
                <c:pt idx="1500">
                  <c:v>2.4911486946077588E-2</c:v>
                </c:pt>
                <c:pt idx="1501">
                  <c:v>2.4907041110218131E-2</c:v>
                </c:pt>
                <c:pt idx="1502">
                  <c:v>2.4903721724571781E-2</c:v>
                </c:pt>
                <c:pt idx="1503">
                  <c:v>2.4899865348553263E-2</c:v>
                </c:pt>
                <c:pt idx="1504">
                  <c:v>2.4896026462464249E-2</c:v>
                </c:pt>
                <c:pt idx="1505">
                  <c:v>2.4891660580168562E-2</c:v>
                </c:pt>
                <c:pt idx="1506">
                  <c:v>2.4888401159834928E-2</c:v>
                </c:pt>
                <c:pt idx="1507">
                  <c:v>2.4884614743134748E-2</c:v>
                </c:pt>
                <c:pt idx="1508">
                  <c:v>2.4880845816364072E-2</c:v>
                </c:pt>
                <c:pt idx="1509">
                  <c:v>2.4877094379442966E-2</c:v>
                </c:pt>
                <c:pt idx="1510">
                  <c:v>2.4873360432451364E-2</c:v>
                </c:pt>
                <c:pt idx="1511">
                  <c:v>2.4869643975229394E-2</c:v>
                </c:pt>
                <c:pt idx="1512">
                  <c:v>2.4865945007856993E-2</c:v>
                </c:pt>
                <c:pt idx="1513">
                  <c:v>2.4862408083290433E-2</c:v>
                </c:pt>
                <c:pt idx="1514">
                  <c:v>2.4858599542580961E-2</c:v>
                </c:pt>
                <c:pt idx="1515">
                  <c:v>2.4854953044757266E-2</c:v>
                </c:pt>
                <c:pt idx="1516">
                  <c:v>2.4850807034741962E-2</c:v>
                </c:pt>
                <c:pt idx="1517">
                  <c:v>2.484771251849871E-2</c:v>
                </c:pt>
                <c:pt idx="1518">
                  <c:v>2.4844118490223721E-2</c:v>
                </c:pt>
                <c:pt idx="1519">
                  <c:v>2.4840032445441196E-2</c:v>
                </c:pt>
                <c:pt idx="1520">
                  <c:v>2.4836982903062577E-2</c:v>
                </c:pt>
                <c:pt idx="1521">
                  <c:v>2.4833441344256357E-2</c:v>
                </c:pt>
                <c:pt idx="1522">
                  <c:v>2.4829917275299707E-2</c:v>
                </c:pt>
                <c:pt idx="1523">
                  <c:v>2.4826410696112688E-2</c:v>
                </c:pt>
                <c:pt idx="1524">
                  <c:v>2.4822921606855175E-2</c:v>
                </c:pt>
                <c:pt idx="1525">
                  <c:v>2.4819450007367294E-2</c:v>
                </c:pt>
                <c:pt idx="1526">
                  <c:v>2.4815995897808918E-2</c:v>
                </c:pt>
                <c:pt idx="1527">
                  <c:v>2.4812559277860302E-2</c:v>
                </c:pt>
                <c:pt idx="1528">
                  <c:v>2.4809140148001063E-2</c:v>
                </c:pt>
                <c:pt idx="1529">
                  <c:v>2.4805738507831521E-2</c:v>
                </c:pt>
                <c:pt idx="1530">
                  <c:v>2.4802354357511547E-2</c:v>
                </c:pt>
                <c:pt idx="1531">
                  <c:v>2.4798987697041142E-2</c:v>
                </c:pt>
                <c:pt idx="1532">
                  <c:v>2.4795161501280916E-2</c:v>
                </c:pt>
                <c:pt idx="1533">
                  <c:v>2.4791832318991069E-2</c:v>
                </c:pt>
                <c:pt idx="1534">
                  <c:v>2.4788992654647402E-2</c:v>
                </c:pt>
                <c:pt idx="1535">
                  <c:v>2.4785695953575271E-2</c:v>
                </c:pt>
                <c:pt idx="1536">
                  <c:v>2.4782416742272773E-2</c:v>
                </c:pt>
                <c:pt idx="1537">
                  <c:v>2.4779155020819843E-2</c:v>
                </c:pt>
                <c:pt idx="1538">
                  <c:v>2.477591078905661E-2</c:v>
                </c:pt>
                <c:pt idx="1539">
                  <c:v>2.4772224511933061E-2</c:v>
                </c:pt>
                <c:pt idx="1540">
                  <c:v>2.4769474795238722E-2</c:v>
                </c:pt>
                <c:pt idx="1541">
                  <c:v>2.4766283033184067E-2</c:v>
                </c:pt>
                <c:pt idx="1542">
                  <c:v>2.4763108760819108E-2</c:v>
                </c:pt>
                <c:pt idx="1543">
                  <c:v>2.4759951978303718E-2</c:v>
                </c:pt>
                <c:pt idx="1544">
                  <c:v>2.4756812685637897E-2</c:v>
                </c:pt>
                <c:pt idx="1545">
                  <c:v>2.4753690882741708E-2</c:v>
                </c:pt>
                <c:pt idx="1546">
                  <c:v>2.4750586569775024E-2</c:v>
                </c:pt>
                <c:pt idx="1547">
                  <c:v>2.4747499746498036E-2</c:v>
                </c:pt>
                <c:pt idx="1548">
                  <c:v>2.4744430413230489E-2</c:v>
                </c:pt>
                <c:pt idx="1549">
                  <c:v>2.474391093317152E-2</c:v>
                </c:pt>
                <c:pt idx="1550">
                  <c:v>2.4736187528375808E-2</c:v>
                </c:pt>
                <c:pt idx="1551">
                  <c:v>2.4735739290928649E-2</c:v>
                </c:pt>
                <c:pt idx="1552">
                  <c:v>2.4732747001365851E-2</c:v>
                </c:pt>
                <c:pt idx="1553">
                  <c:v>2.4729772204103995E-2</c:v>
                </c:pt>
                <c:pt idx="1554">
                  <c:v>2.4726814899116434E-2</c:v>
                </c:pt>
                <c:pt idx="1555">
                  <c:v>2.4723875086349878E-2</c:v>
                </c:pt>
                <c:pt idx="1556">
                  <c:v>2.4720952765937554E-2</c:v>
                </c:pt>
                <c:pt idx="1557">
                  <c:v>2.4718047937719589E-2</c:v>
                </c:pt>
                <c:pt idx="1558">
                  <c:v>2.4715160601802566E-2</c:v>
                </c:pt>
                <c:pt idx="1559">
                  <c:v>2.4712290758186484E-2</c:v>
                </c:pt>
                <c:pt idx="1560">
                  <c:v>2.4709438406738116E-2</c:v>
                </c:pt>
                <c:pt idx="1561">
                  <c:v>2.4706603547670625E-2</c:v>
                </c:pt>
                <c:pt idx="1562">
                  <c:v>2.4703786180770848E-2</c:v>
                </c:pt>
                <c:pt idx="1563">
                  <c:v>2.4698097123625473E-2</c:v>
                </c:pt>
                <c:pt idx="1564">
                  <c:v>2.4695717905762749E-2</c:v>
                </c:pt>
                <c:pt idx="1565">
                  <c:v>2.4692958392025233E-2</c:v>
                </c:pt>
                <c:pt idx="1566">
                  <c:v>2.4690216368137285E-2</c:v>
                </c:pt>
                <c:pt idx="1567">
                  <c:v>2.468710404277985E-2</c:v>
                </c:pt>
                <c:pt idx="1568">
                  <c:v>2.4684784789910097E-2</c:v>
                </c:pt>
                <c:pt idx="1569">
                  <c:v>2.4682095235410983E-2</c:v>
                </c:pt>
                <c:pt idx="1570">
                  <c:v>2.4679042874966584E-2</c:v>
                </c:pt>
                <c:pt idx="1571">
                  <c:v>2.4676768596121335E-2</c:v>
                </c:pt>
                <c:pt idx="1572">
                  <c:v>2.4674131511090991E-2</c:v>
                </c:pt>
                <c:pt idx="1573">
                  <c:v>2.4671511915910216E-2</c:v>
                </c:pt>
                <c:pt idx="1574">
                  <c:v>2.4668909810499073E-2</c:v>
                </c:pt>
                <c:pt idx="1575">
                  <c:v>2.4666325195017436E-2</c:v>
                </c:pt>
                <c:pt idx="1576">
                  <c:v>2.466375806930543E-2</c:v>
                </c:pt>
                <c:pt idx="1577">
                  <c:v>2.4661208433363058E-2</c:v>
                </c:pt>
                <c:pt idx="1578">
                  <c:v>2.465867628735019E-2</c:v>
                </c:pt>
                <c:pt idx="1579">
                  <c:v>2.4656161630867146E-2</c:v>
                </c:pt>
                <c:pt idx="1580">
                  <c:v>2.4653664464553415E-2</c:v>
                </c:pt>
                <c:pt idx="1581">
                  <c:v>2.4651184787849445E-2</c:v>
                </c:pt>
                <c:pt idx="1582">
                  <c:v>2.4648722600995043E-2</c:v>
                </c:pt>
                <c:pt idx="1583">
                  <c:v>2.4646277903910274E-2</c:v>
                </c:pt>
                <c:pt idx="1584">
                  <c:v>2.4643505380579356E-2</c:v>
                </c:pt>
                <c:pt idx="1585">
                  <c:v>2.4641440979209506E-2</c:v>
                </c:pt>
                <c:pt idx="1586">
                  <c:v>2.4639048751673442E-2</c:v>
                </c:pt>
                <c:pt idx="1587">
                  <c:v>2.4636674013827076E-2</c:v>
                </c:pt>
                <c:pt idx="1588">
                  <c:v>2.4634316765830278E-2</c:v>
                </c:pt>
                <c:pt idx="1589">
                  <c:v>2.4631977007762984E-2</c:v>
                </c:pt>
                <c:pt idx="1590">
                  <c:v>2.4629654739305451E-2</c:v>
                </c:pt>
                <c:pt idx="1591">
                  <c:v>2.4627349960777423E-2</c:v>
                </c:pt>
                <c:pt idx="1592">
                  <c:v>2.4625062671939091E-2</c:v>
                </c:pt>
                <c:pt idx="1593">
                  <c:v>2.4622792873030264E-2</c:v>
                </c:pt>
                <c:pt idx="1594">
                  <c:v>2.4620540563891069E-2</c:v>
                </c:pt>
                <c:pt idx="1595">
                  <c:v>2.4618305744521507E-2</c:v>
                </c:pt>
                <c:pt idx="1596">
                  <c:v>2.4616088415001514E-2</c:v>
                </c:pt>
                <c:pt idx="1597">
                  <c:v>2.4613575740133342E-2</c:v>
                </c:pt>
                <c:pt idx="1598">
                  <c:v>2.461170622535036E-2</c:v>
                </c:pt>
                <c:pt idx="1599">
                  <c:v>2.4609541365139265E-2</c:v>
                </c:pt>
                <c:pt idx="1600">
                  <c:v>2.460739399493761E-2</c:v>
                </c:pt>
                <c:pt idx="1601">
                  <c:v>2.4604658789515454E-2</c:v>
                </c:pt>
                <c:pt idx="1602">
                  <c:v>2.4602851381292368E-2</c:v>
                </c:pt>
                <c:pt idx="1603">
                  <c:v>2.4601056822790568E-2</c:v>
                </c:pt>
                <c:pt idx="1604">
                  <c:v>2.4598979411667443E-2</c:v>
                </c:pt>
                <c:pt idx="1605">
                  <c:v>2.4596919490313951E-2</c:v>
                </c:pt>
                <c:pt idx="1606">
                  <c:v>2.4594877058889963E-2</c:v>
                </c:pt>
                <c:pt idx="1607">
                  <c:v>2.4592852117235608E-2</c:v>
                </c:pt>
                <c:pt idx="1608">
                  <c:v>2.4590844665350886E-2</c:v>
                </c:pt>
                <c:pt idx="1609">
                  <c:v>2.4588854703235796E-2</c:v>
                </c:pt>
                <c:pt idx="1610">
                  <c:v>2.4586882230970275E-2</c:v>
                </c:pt>
                <c:pt idx="1611">
                  <c:v>2.4584927248474386E-2</c:v>
                </c:pt>
                <c:pt idx="1612">
                  <c:v>2.458298975574813E-2</c:v>
                </c:pt>
                <c:pt idx="1613">
                  <c:v>2.4581069752951379E-2</c:v>
                </c:pt>
                <c:pt idx="1614">
                  <c:v>2.4579167239764388E-2</c:v>
                </c:pt>
                <c:pt idx="1615">
                  <c:v>2.4577282216586838E-2</c:v>
                </c:pt>
                <c:pt idx="1616">
                  <c:v>2.4575414683098984E-2</c:v>
                </c:pt>
                <c:pt idx="1617">
                  <c:v>2.4573564639380763E-2</c:v>
                </c:pt>
                <c:pt idx="1618">
                  <c:v>2.4571211711128527E-2</c:v>
                </c:pt>
                <c:pt idx="1619">
                  <c:v>2.4569659154325407E-2</c:v>
                </c:pt>
                <c:pt idx="1620">
                  <c:v>2.4568119447163639E-2</c:v>
                </c:pt>
                <c:pt idx="1621">
                  <c:v>2.456633936268382E-2</c:v>
                </c:pt>
                <c:pt idx="1622">
                  <c:v>2.4564576767973634E-2</c:v>
                </c:pt>
                <c:pt idx="1623">
                  <c:v>2.4562583790190828E-2</c:v>
                </c:pt>
                <c:pt idx="1624">
                  <c:v>2.4561104048022031E-2</c:v>
                </c:pt>
                <c:pt idx="1625">
                  <c:v>2.4559393922700679E-2</c:v>
                </c:pt>
                <c:pt idx="1626">
                  <c:v>2.4557701287228895E-2</c:v>
                </c:pt>
                <c:pt idx="1627">
                  <c:v>2.4556026141606679E-2</c:v>
                </c:pt>
                <c:pt idx="1628">
                  <c:v>2.4554368485674161E-2</c:v>
                </c:pt>
                <c:pt idx="1629">
                  <c:v>2.4552728319511274E-2</c:v>
                </c:pt>
                <c:pt idx="1630">
                  <c:v>2.4551105643277893E-2</c:v>
                </c:pt>
                <c:pt idx="1631">
                  <c:v>2.4549500456814144E-2</c:v>
                </c:pt>
                <c:pt idx="1632">
                  <c:v>2.4547912760120028E-2</c:v>
                </c:pt>
                <c:pt idx="1633">
                  <c:v>2.4546342553115608E-2</c:v>
                </c:pt>
                <c:pt idx="1634">
                  <c:v>2.4544789835960756E-2</c:v>
                </c:pt>
                <c:pt idx="1635">
                  <c:v>2.4543254608655474E-2</c:v>
                </c:pt>
                <c:pt idx="1636">
                  <c:v>2.4541521479255479E-2</c:v>
                </c:pt>
                <c:pt idx="1637">
                  <c:v>2.4540236623433742E-2</c:v>
                </c:pt>
                <c:pt idx="1638">
                  <c:v>2.4538753865517293E-2</c:v>
                </c:pt>
                <c:pt idx="1639">
                  <c:v>2.4537288597370477E-2</c:v>
                </c:pt>
                <c:pt idx="1640">
                  <c:v>2.4535840818913357E-2</c:v>
                </c:pt>
                <c:pt idx="1641">
                  <c:v>2.4534410530465678E-2</c:v>
                </c:pt>
                <c:pt idx="1642">
                  <c:v>2.4532997731707695E-2</c:v>
                </c:pt>
                <c:pt idx="1643">
                  <c:v>2.4531602422799281E-2</c:v>
                </c:pt>
                <c:pt idx="1644">
                  <c:v>2.4530224603580564E-2</c:v>
                </c:pt>
                <c:pt idx="1645">
                  <c:v>2.4528864274211415E-2</c:v>
                </c:pt>
                <c:pt idx="1646">
                  <c:v>2.4527521434611899E-2</c:v>
                </c:pt>
                <c:pt idx="1647">
                  <c:v>2.4526008176852798E-2</c:v>
                </c:pt>
                <c:pt idx="1648">
                  <c:v>2.45248882248017E-2</c:v>
                </c:pt>
                <c:pt idx="1649">
                  <c:v>2.452341494370458E-2</c:v>
                </c:pt>
                <c:pt idx="1650">
                  <c:v>2.4522324974229903E-2</c:v>
                </c:pt>
                <c:pt idx="1651">
                  <c:v>2.452106958347855E-2</c:v>
                </c:pt>
                <c:pt idx="1652">
                  <c:v>2.4519831682736637E-2</c:v>
                </c:pt>
                <c:pt idx="1653">
                  <c:v>2.4518265795157035E-2</c:v>
                </c:pt>
                <c:pt idx="1654">
                  <c:v>2.4516898166826451E-2</c:v>
                </c:pt>
                <c:pt idx="1655">
                  <c:v>2.4516054999370596E-2</c:v>
                </c:pt>
                <c:pt idx="1656">
                  <c:v>2.4514889556268571E-2</c:v>
                </c:pt>
                <c:pt idx="1657">
                  <c:v>2.4513741602856243E-2</c:v>
                </c:pt>
                <c:pt idx="1658">
                  <c:v>2.4512611139373419E-2</c:v>
                </c:pt>
                <c:pt idx="1659">
                  <c:v>2.4511498165580292E-2</c:v>
                </c:pt>
                <c:pt idx="1660">
                  <c:v>2.451040268171667E-2</c:v>
                </c:pt>
                <c:pt idx="1661">
                  <c:v>2.4509324687542744E-2</c:v>
                </c:pt>
                <c:pt idx="1662">
                  <c:v>2.4508264183058515E-2</c:v>
                </c:pt>
                <c:pt idx="1663">
                  <c:v>2.450722116850379E-2</c:v>
                </c:pt>
                <c:pt idx="1664">
                  <c:v>2.4506195643718698E-2</c:v>
                </c:pt>
                <c:pt idx="1665">
                  <c:v>2.4505187608703238E-2</c:v>
                </c:pt>
                <c:pt idx="1666">
                  <c:v>2.4504197063457411E-2</c:v>
                </c:pt>
                <c:pt idx="1667">
                  <c:v>2.4503224007981217E-2</c:v>
                </c:pt>
                <c:pt idx="1668">
                  <c:v>2.4501998636017319E-2</c:v>
                </c:pt>
                <c:pt idx="1669">
                  <c:v>2.4501330366577534E-2</c:v>
                </c:pt>
                <c:pt idx="1670">
                  <c:v>2.4500409780490173E-2</c:v>
                </c:pt>
                <c:pt idx="1671">
                  <c:v>2.4499379098230634E-2</c:v>
                </c:pt>
                <c:pt idx="1672">
                  <c:v>2.4498621077704286E-2</c:v>
                </c:pt>
                <c:pt idx="1673">
                  <c:v>2.4497752961005759E-2</c:v>
                </c:pt>
                <c:pt idx="1674">
                  <c:v>2.44969023341568E-2</c:v>
                </c:pt>
                <c:pt idx="1675">
                  <c:v>2.4495951605221222E-2</c:v>
                </c:pt>
                <c:pt idx="1676">
                  <c:v>2.4495253549687845E-2</c:v>
                </c:pt>
                <c:pt idx="1677">
                  <c:v>2.4494455392227721E-2</c:v>
                </c:pt>
                <c:pt idx="1678">
                  <c:v>2.4493674724297421E-2</c:v>
                </c:pt>
                <c:pt idx="1679">
                  <c:v>2.4492911546456497E-2</c:v>
                </c:pt>
                <c:pt idx="1680">
                  <c:v>2.4492165858225334E-2</c:v>
                </c:pt>
                <c:pt idx="1681">
                  <c:v>2.4491437659763804E-2</c:v>
                </c:pt>
                <c:pt idx="1682">
                  <c:v>2.4490726951231778E-2</c:v>
                </c:pt>
                <c:pt idx="1683">
                  <c:v>2.4490033732389449E-2</c:v>
                </c:pt>
                <c:pt idx="1684">
                  <c:v>2.4489358003396688E-2</c:v>
                </c:pt>
                <c:pt idx="1685">
                  <c:v>2.4488699764093624E-2</c:v>
                </c:pt>
                <c:pt idx="1686">
                  <c:v>2.4488059014720065E-2</c:v>
                </c:pt>
                <c:pt idx="1687">
                  <c:v>2.4487435755036202E-2</c:v>
                </c:pt>
                <c:pt idx="1688">
                  <c:v>2.4486744874323563E-2</c:v>
                </c:pt>
                <c:pt idx="1689">
                  <c:v>2.448624170505731E-2</c:v>
                </c:pt>
                <c:pt idx="1690">
                  <c:v>2.4485670914762281E-2</c:v>
                </c:pt>
                <c:pt idx="1691">
                  <c:v>2.4485117614156948E-2</c:v>
                </c:pt>
                <c:pt idx="1692">
                  <c:v>2.448458180348112E-2</c:v>
                </c:pt>
                <c:pt idx="1693">
                  <c:v>2.4484063482494989E-2</c:v>
                </c:pt>
                <c:pt idx="1694">
                  <c:v>2.4483562651358426E-2</c:v>
                </c:pt>
                <c:pt idx="1695">
                  <c:v>2.4483079310071432E-2</c:v>
                </c:pt>
                <c:pt idx="1696">
                  <c:v>2.4482613458474134E-2</c:v>
                </c:pt>
                <c:pt idx="1697">
                  <c:v>2.4482165096646469E-2</c:v>
                </c:pt>
                <c:pt idx="1698">
                  <c:v>2.4481734224588436E-2</c:v>
                </c:pt>
                <c:pt idx="1699">
                  <c:v>2.4481263215596627E-2</c:v>
                </c:pt>
                <c:pt idx="1700">
                  <c:v>2.4480924949941141E-2</c:v>
                </c:pt>
                <c:pt idx="1701">
                  <c:v>2.4480546547271942E-2</c:v>
                </c:pt>
                <c:pt idx="1702">
                  <c:v>2.4480185634372376E-2</c:v>
                </c:pt>
                <c:pt idx="1703">
                  <c:v>2.4479842211402314E-2</c:v>
                </c:pt>
                <c:pt idx="1704">
                  <c:v>2.4479516278121949E-2</c:v>
                </c:pt>
                <c:pt idx="1705">
                  <c:v>2.4479122920215701E-2</c:v>
                </c:pt>
                <c:pt idx="1706">
                  <c:v>2.4478876743776468E-2</c:v>
                </c:pt>
                <c:pt idx="1707">
                  <c:v>2.4478643416898649E-2</c:v>
                </c:pt>
                <c:pt idx="1708">
                  <c:v>2.447838744277675E-2</c:v>
                </c:pt>
                <c:pt idx="1709">
                  <c:v>2.4478148958344548E-2</c:v>
                </c:pt>
                <c:pt idx="1710">
                  <c:v>2.4477927645136788E-2</c:v>
                </c:pt>
                <c:pt idx="1711">
                  <c:v>2.447771458172987E-2</c:v>
                </c:pt>
                <c:pt idx="1712">
                  <c:v>2.4477505626157026E-2</c:v>
                </c:pt>
                <c:pt idx="1713">
                  <c:v>2.447730077809851E-2</c:v>
                </c:pt>
                <c:pt idx="1714">
                  <c:v>2.4477100037954003E-2</c:v>
                </c:pt>
                <c:pt idx="1715">
                  <c:v>2.4476903405563633E-2</c:v>
                </c:pt>
                <c:pt idx="1716">
                  <c:v>2.4476710880767527E-2</c:v>
                </c:pt>
                <c:pt idx="1717">
                  <c:v>2.4476522463725559E-2</c:v>
                </c:pt>
                <c:pt idx="1718">
                  <c:v>2.4476338154437727E-2</c:v>
                </c:pt>
                <c:pt idx="1719">
                  <c:v>2.4476107221325094E-2</c:v>
                </c:pt>
                <c:pt idx="1720">
                  <c:v>2.4475981859124474E-2</c:v>
                </c:pt>
                <c:pt idx="1721">
                  <c:v>2.4475809873019116E-2</c:v>
                </c:pt>
                <c:pt idx="1722">
                  <c:v>2.4475641994667896E-2</c:v>
                </c:pt>
                <c:pt idx="1723">
                  <c:v>2.4475478224150748E-2</c:v>
                </c:pt>
                <c:pt idx="1724">
                  <c:v>2.4475296087604903E-2</c:v>
                </c:pt>
                <c:pt idx="1725">
                  <c:v>2.4475163006218992E-2</c:v>
                </c:pt>
                <c:pt idx="1726">
                  <c:v>2.4475011558724447E-2</c:v>
                </c:pt>
                <c:pt idx="1727">
                  <c:v>2.4474843505792876E-2</c:v>
                </c:pt>
                <c:pt idx="1728">
                  <c:v>2.4474720987077703E-2</c:v>
                </c:pt>
                <c:pt idx="1729">
                  <c:v>2.4474581862845568E-2</c:v>
                </c:pt>
                <c:pt idx="1730">
                  <c:v>2.447444684636757E-2</c:v>
                </c:pt>
                <c:pt idx="1731">
                  <c:v>2.4474315937643709E-2</c:v>
                </c:pt>
                <c:pt idx="1732">
                  <c:v>2.4474189136673985E-2</c:v>
                </c:pt>
                <c:pt idx="1733">
                  <c:v>2.4474066443378462E-2</c:v>
                </c:pt>
                <c:pt idx="1734">
                  <c:v>2.4473947857837075E-2</c:v>
                </c:pt>
                <c:pt idx="1735">
                  <c:v>2.4473833380049825E-2</c:v>
                </c:pt>
                <c:pt idx="1736">
                  <c:v>2.4473723009936776E-2</c:v>
                </c:pt>
                <c:pt idx="1737">
                  <c:v>2.4473616747577864E-2</c:v>
                </c:pt>
                <c:pt idx="1738">
                  <c:v>2.4473514592973089E-2</c:v>
                </c:pt>
                <c:pt idx="1739">
                  <c:v>2.4473416546042515E-2</c:v>
                </c:pt>
                <c:pt idx="1740">
                  <c:v>2.4473309522372588E-2</c:v>
                </c:pt>
                <c:pt idx="1741">
                  <c:v>2.4473232775523712E-2</c:v>
                </c:pt>
                <c:pt idx="1742">
                  <c:v>2.4473147051855548E-2</c:v>
                </c:pt>
                <c:pt idx="1743">
                  <c:v>2.4473065436021457E-2</c:v>
                </c:pt>
                <c:pt idx="1744">
                  <c:v>2.4472987927621759E-2</c:v>
                </c:pt>
                <c:pt idx="1745">
                  <c:v>2.4472914527216005E-2</c:v>
                </c:pt>
                <c:pt idx="1746">
                  <c:v>2.4472845234484453E-2</c:v>
                </c:pt>
                <c:pt idx="1747">
                  <c:v>2.4472780049507037E-2</c:v>
                </c:pt>
                <c:pt idx="1748">
                  <c:v>2.4472718972203822E-2</c:v>
                </c:pt>
                <c:pt idx="1749">
                  <c:v>2.4472662002654744E-2</c:v>
                </c:pt>
                <c:pt idx="1750">
                  <c:v>2.4472609140779866E-2</c:v>
                </c:pt>
                <c:pt idx="1751">
                  <c:v>2.4472560386739062E-2</c:v>
                </c:pt>
                <c:pt idx="1752">
                  <c:v>2.4472515740292522E-2</c:v>
                </c:pt>
                <c:pt idx="1753">
                  <c:v>2.4472475201759991E-2</c:v>
                </c:pt>
                <c:pt idx="1754">
                  <c:v>2.4472438770901661E-2</c:v>
                </c:pt>
                <c:pt idx="1755">
                  <c:v>2.4472406447717532E-2</c:v>
                </c:pt>
                <c:pt idx="1756">
                  <c:v>2.4472378232287539E-2</c:v>
                </c:pt>
                <c:pt idx="1757">
                  <c:v>2.4472347991197907E-2</c:v>
                </c:pt>
                <c:pt idx="1758">
                  <c:v>2.4472329164897388E-2</c:v>
                </c:pt>
                <c:pt idx="1759">
                  <c:v>2.4472316297510233E-2</c:v>
                </c:pt>
                <c:pt idx="1760">
                  <c:v>2.4472305099747516E-2</c:v>
                </c:pt>
                <c:pt idx="1761">
                  <c:v>2.4472297332280846E-2</c:v>
                </c:pt>
                <c:pt idx="1762">
                  <c:v>2.4472295027644364E-2</c:v>
                </c:pt>
                <c:pt idx="1763">
                  <c:v>2.4472296153144057E-2</c:v>
                </c:pt>
                <c:pt idx="1764">
                  <c:v>2.4472301386397888E-2</c:v>
                </c:pt>
                <c:pt idx="1765">
                  <c:v>2.4472312397270102E-2</c:v>
                </c:pt>
                <c:pt idx="1766">
                  <c:v>2.4472324176167959E-2</c:v>
                </c:pt>
                <c:pt idx="1767">
                  <c:v>2.44723417326842E-2</c:v>
                </c:pt>
                <c:pt idx="1768">
                  <c:v>2.4472363396874641E-2</c:v>
                </c:pt>
                <c:pt idx="1769">
                  <c:v>2.4472389168739284E-2</c:v>
                </c:pt>
                <c:pt idx="1770">
                  <c:v>2.4472419048437999E-2</c:v>
                </c:pt>
                <c:pt idx="1771">
                  <c:v>2.4472453035810915E-2</c:v>
                </c:pt>
                <c:pt idx="1772">
                  <c:v>2.4472491130937968E-2</c:v>
                </c:pt>
                <c:pt idx="1773">
                  <c:v>2.4472533333739221E-2</c:v>
                </c:pt>
                <c:pt idx="1774">
                  <c:v>2.447426444875056E-2</c:v>
                </c:pt>
                <c:pt idx="1775">
                  <c:v>2.4472630062764011E-2</c:v>
                </c:pt>
                <c:pt idx="1776">
                  <c:v>2.4472692713528588E-2</c:v>
                </c:pt>
                <c:pt idx="1777">
                  <c:v>2.4472743222485605E-2</c:v>
                </c:pt>
                <c:pt idx="1778">
                  <c:v>2.4472805964057542E-2</c:v>
                </c:pt>
                <c:pt idx="1779">
                  <c:v>2.4472882698516329E-2</c:v>
                </c:pt>
                <c:pt idx="1780">
                  <c:v>2.4472943770303957E-2</c:v>
                </c:pt>
                <c:pt idx="1781">
                  <c:v>2.4473018834978433E-2</c:v>
                </c:pt>
                <c:pt idx="1782">
                  <c:v>2.4473098007566918E-2</c:v>
                </c:pt>
                <c:pt idx="1783">
                  <c:v>2.4473181287669732E-2</c:v>
                </c:pt>
                <c:pt idx="1784">
                  <c:v>2.4473268675606619E-2</c:v>
                </c:pt>
                <c:pt idx="1785">
                  <c:v>2.4473360171377578E-2</c:v>
                </c:pt>
                <c:pt idx="1786">
                  <c:v>2.4473455774742803E-2</c:v>
                </c:pt>
                <c:pt idx="1787">
                  <c:v>2.4473555485862164E-2</c:v>
                </c:pt>
                <c:pt idx="1788">
                  <c:v>2.4473659304655726E-2</c:v>
                </c:pt>
                <c:pt idx="1789">
                  <c:v>2.4473767231203425E-2</c:v>
                </c:pt>
                <c:pt idx="1790">
                  <c:v>2.4473879265505261E-2</c:v>
                </c:pt>
                <c:pt idx="1791">
                  <c:v>2.4473995407641169E-2</c:v>
                </c:pt>
                <c:pt idx="1792">
                  <c:v>2.4474133171281665E-2</c:v>
                </c:pt>
                <c:pt idx="1793">
                  <c:v>2.4474258115576575E-2</c:v>
                </c:pt>
                <c:pt idx="1794">
                  <c:v>2.4474368480174036E-2</c:v>
                </c:pt>
                <c:pt idx="1795">
                  <c:v>2.447450105316662E-2</c:v>
                </c:pt>
                <c:pt idx="1796">
                  <c:v>2.447463773391334E-2</c:v>
                </c:pt>
                <c:pt idx="1797">
                  <c:v>2.4474778522254326E-2</c:v>
                </c:pt>
                <c:pt idx="1798">
                  <c:v>2.447492341850932E-2</c:v>
                </c:pt>
                <c:pt idx="1799">
                  <c:v>2.4475094044023038E-2</c:v>
                </c:pt>
                <c:pt idx="1800">
                  <c:v>2.4475225534121847E-2</c:v>
                </c:pt>
                <c:pt idx="1801">
                  <c:v>2.447538275347938E-2</c:v>
                </c:pt>
                <c:pt idx="1802">
                  <c:v>2.447554408059105E-2</c:v>
                </c:pt>
                <c:pt idx="1803">
                  <c:v>2.4475733484283779E-2</c:v>
                </c:pt>
                <c:pt idx="1804">
                  <c:v>2.4475879057996863E-2</c:v>
                </c:pt>
                <c:pt idx="1805">
                  <c:v>2.4476052708370943E-2</c:v>
                </c:pt>
                <c:pt idx="1806">
                  <c:v>2.4476230466339288E-2</c:v>
                </c:pt>
                <c:pt idx="1807">
                  <c:v>2.4476412332141706E-2</c:v>
                </c:pt>
                <c:pt idx="1808">
                  <c:v>2.4476598305698261E-2</c:v>
                </c:pt>
                <c:pt idx="1809">
                  <c:v>2.4478535387926215E-2</c:v>
                </c:pt>
                <c:pt idx="1810">
                  <c:v>2.4478731364014905E-2</c:v>
                </c:pt>
                <c:pt idx="1811">
                  <c:v>2.4477209536044597E-2</c:v>
                </c:pt>
                <c:pt idx="1812">
                  <c:v>2.4477412527348363E-2</c:v>
                </c:pt>
                <c:pt idx="1813">
                  <c:v>2.4477619626246394E-2</c:v>
                </c:pt>
                <c:pt idx="1814">
                  <c:v>2.4477830832978498E-2</c:v>
                </c:pt>
                <c:pt idx="1815">
                  <c:v>2.4478046147464738E-2</c:v>
                </c:pt>
                <c:pt idx="1816">
                  <c:v>2.4478265569705115E-2</c:v>
                </c:pt>
                <c:pt idx="1817">
                  <c:v>2.4478489099619694E-2</c:v>
                </c:pt>
                <c:pt idx="1818">
                  <c:v>2.4478716737368345E-2</c:v>
                </c:pt>
                <c:pt idx="1819">
                  <c:v>2.447894848271126E-2</c:v>
                </c:pt>
                <c:pt idx="1820">
                  <c:v>2.4479184335808313E-2</c:v>
                </c:pt>
                <c:pt idx="1821">
                  <c:v>2.4479424296659502E-2</c:v>
                </c:pt>
                <c:pt idx="1822">
                  <c:v>2.4479668365184892E-2</c:v>
                </c:pt>
                <c:pt idx="1823">
                  <c:v>2.4483317790634729E-2</c:v>
                </c:pt>
                <c:pt idx="1824">
                  <c:v>2.4480314832304728E-2</c:v>
                </c:pt>
                <c:pt idx="1825">
                  <c:v>2.4480573571254993E-2</c:v>
                </c:pt>
                <c:pt idx="1826">
                  <c:v>2.4480836418119267E-2</c:v>
                </c:pt>
                <c:pt idx="1827">
                  <c:v>2.4481141844363563E-2</c:v>
                </c:pt>
                <c:pt idx="1828">
                  <c:v>2.4481374434950354E-2</c:v>
                </c:pt>
                <c:pt idx="1829">
                  <c:v>2.4481649604997102E-2</c:v>
                </c:pt>
                <c:pt idx="1830">
                  <c:v>2.4481969114855673E-2</c:v>
                </c:pt>
                <c:pt idx="1831">
                  <c:v>2.4482212268193138E-2</c:v>
                </c:pt>
                <c:pt idx="1832">
                  <c:v>2.4482499761422361E-2</c:v>
                </c:pt>
                <c:pt idx="1833">
                  <c:v>2.4482791362325784E-2</c:v>
                </c:pt>
                <c:pt idx="1834">
                  <c:v>2.4483087070903409E-2</c:v>
                </c:pt>
                <c:pt idx="1835">
                  <c:v>2.4483386887395042E-2</c:v>
                </c:pt>
                <c:pt idx="1836">
                  <c:v>2.4483690811560876E-2</c:v>
                </c:pt>
                <c:pt idx="1837">
                  <c:v>2.4483998843400911E-2</c:v>
                </c:pt>
                <c:pt idx="1838">
                  <c:v>2.4484310982995083E-2</c:v>
                </c:pt>
                <c:pt idx="1839">
                  <c:v>2.4484627230343392E-2</c:v>
                </c:pt>
                <c:pt idx="1840">
                  <c:v>2.4484947585445838E-2</c:v>
                </c:pt>
                <c:pt idx="1841">
                  <c:v>2.4485272048222484E-2</c:v>
                </c:pt>
                <c:pt idx="1842">
                  <c:v>2.4485600618673331E-2</c:v>
                </c:pt>
                <c:pt idx="1843">
                  <c:v>2.4485981157873482E-2</c:v>
                </c:pt>
                <c:pt idx="1844">
                  <c:v>2.4486270083077244E-2</c:v>
                </c:pt>
                <c:pt idx="1845">
                  <c:v>2.4486610976790502E-2</c:v>
                </c:pt>
                <c:pt idx="1846">
                  <c:v>2.4486955978257896E-2</c:v>
                </c:pt>
                <c:pt idx="1847">
                  <c:v>2.4487305087559363E-2</c:v>
                </c:pt>
                <c:pt idx="1848">
                  <c:v>2.4487658304375159E-2</c:v>
                </c:pt>
                <c:pt idx="1849">
                  <c:v>2.4488015629025028E-2</c:v>
                </c:pt>
                <c:pt idx="1850">
                  <c:v>2.448837706150897E-2</c:v>
                </c:pt>
                <c:pt idx="1851">
                  <c:v>2.4488742601667113E-2</c:v>
                </c:pt>
                <c:pt idx="1852">
                  <c:v>2.4489112249499456E-2</c:v>
                </c:pt>
                <c:pt idx="1853">
                  <c:v>2.4489486005085936E-2</c:v>
                </c:pt>
                <c:pt idx="1854">
                  <c:v>2.4489863868426553E-2</c:v>
                </c:pt>
                <c:pt idx="1855">
                  <c:v>2.4490245839521307E-2</c:v>
                </c:pt>
                <c:pt idx="1856">
                  <c:v>2.4490631918290262E-2</c:v>
                </c:pt>
                <c:pt idx="1857">
                  <c:v>2.4491078181156922E-2</c:v>
                </c:pt>
                <c:pt idx="1858">
                  <c:v>2.4491416399170518E-2</c:v>
                </c:pt>
                <c:pt idx="1859">
                  <c:v>2.4491814801121947E-2</c:v>
                </c:pt>
                <c:pt idx="1860">
                  <c:v>2.4492217310907449E-2</c:v>
                </c:pt>
                <c:pt idx="1861">
                  <c:v>2.4493603343436199E-2</c:v>
                </c:pt>
                <c:pt idx="1862">
                  <c:v>2.4493093663897625E-2</c:v>
                </c:pt>
                <c:pt idx="1863">
                  <c:v>2.4493449486548968E-2</c:v>
                </c:pt>
                <c:pt idx="1864">
                  <c:v>2.4493868427111209E-2</c:v>
                </c:pt>
                <c:pt idx="1865">
                  <c:v>2.449429147558746E-2</c:v>
                </c:pt>
                <c:pt idx="1866">
                  <c:v>2.4494718631737911E-2</c:v>
                </c:pt>
                <c:pt idx="1867">
                  <c:v>2.4495149895562562E-2</c:v>
                </c:pt>
                <c:pt idx="1868">
                  <c:v>2.4495585267221287E-2</c:v>
                </c:pt>
                <c:pt idx="1869">
                  <c:v>2.4496024746554212E-2</c:v>
                </c:pt>
                <c:pt idx="1870">
                  <c:v>2.4496468333641275E-2</c:v>
                </c:pt>
                <c:pt idx="1871">
                  <c:v>2.4496916028402538E-2</c:v>
                </c:pt>
                <c:pt idx="1872">
                  <c:v>2.4497367830997874E-2</c:v>
                </c:pt>
                <c:pt idx="1873">
                  <c:v>2.4497823741187474E-2</c:v>
                </c:pt>
                <c:pt idx="1874">
                  <c:v>2.4498415947551422E-2</c:v>
                </c:pt>
                <c:pt idx="1875">
                  <c:v>2.4498747885068894E-2</c:v>
                </c:pt>
                <c:pt idx="1876">
                  <c:v>2.4499216118520906E-2</c:v>
                </c:pt>
                <c:pt idx="1877">
                  <c:v>2.449968845980699E-2</c:v>
                </c:pt>
                <c:pt idx="1878">
                  <c:v>2.4500164908607402E-2</c:v>
                </c:pt>
                <c:pt idx="1879">
                  <c:v>2.4500714451658467E-2</c:v>
                </c:pt>
                <c:pt idx="1880">
                  <c:v>2.4501130129790383E-2</c:v>
                </c:pt>
                <c:pt idx="1881">
                  <c:v>2.4501618901933142E-2</c:v>
                </c:pt>
                <c:pt idx="1882">
                  <c:v>2.4502182528598482E-2</c:v>
                </c:pt>
                <c:pt idx="1883">
                  <c:v>2.4502608769481071E-2</c:v>
                </c:pt>
                <c:pt idx="1884">
                  <c:v>2.4503109864806305E-2</c:v>
                </c:pt>
                <c:pt idx="1885">
                  <c:v>2.450361506780574E-2</c:v>
                </c:pt>
                <c:pt idx="1886">
                  <c:v>2.4504124378719183E-2</c:v>
                </c:pt>
                <c:pt idx="1887">
                  <c:v>2.4504637797226891E-2</c:v>
                </c:pt>
                <c:pt idx="1888">
                  <c:v>2.4505155323568673E-2</c:v>
                </c:pt>
                <c:pt idx="1889">
                  <c:v>2.4505676957584654E-2</c:v>
                </c:pt>
                <c:pt idx="1890">
                  <c:v>2.4506202699354773E-2</c:v>
                </c:pt>
                <c:pt idx="1891">
                  <c:v>2.4506732548799093E-2</c:v>
                </c:pt>
                <c:pt idx="1892">
                  <c:v>2.4507266505997549E-2</c:v>
                </c:pt>
                <c:pt idx="1893">
                  <c:v>2.4507804570950142E-2</c:v>
                </c:pt>
                <c:pt idx="1894">
                  <c:v>2.4508346743656872E-2</c:v>
                </c:pt>
                <c:pt idx="1895">
                  <c:v>2.4508893024197675E-2</c:v>
                </c:pt>
                <c:pt idx="1896">
                  <c:v>2.4509522374529524E-2</c:v>
                </c:pt>
                <c:pt idx="1897">
                  <c:v>2.4509997908142012E-2</c:v>
                </c:pt>
                <c:pt idx="1898">
                  <c:v>2.4510556511705417E-2</c:v>
                </c:pt>
                <c:pt idx="1899">
                  <c:v>2.4511119223182831E-2</c:v>
                </c:pt>
                <c:pt idx="1900">
                  <c:v>2.4511686042334446E-2</c:v>
                </c:pt>
                <c:pt idx="1901">
                  <c:v>2.4512256969160262E-2</c:v>
                </c:pt>
                <c:pt idx="1902">
                  <c:v>2.4512832003660279E-2</c:v>
                </c:pt>
                <c:pt idx="1903">
                  <c:v>2.4513411145914432E-2</c:v>
                </c:pt>
                <c:pt idx="1904">
                  <c:v>2.4513994396002659E-2</c:v>
                </c:pt>
                <c:pt idx="1905">
                  <c:v>2.4514581753765086E-2</c:v>
                </c:pt>
                <c:pt idx="1906">
                  <c:v>2.451517321928165E-2</c:v>
                </c:pt>
                <c:pt idx="1907">
                  <c:v>2.4515768792472414E-2</c:v>
                </c:pt>
                <c:pt idx="1908">
                  <c:v>2.4516368473497252E-2</c:v>
                </c:pt>
                <c:pt idx="1909">
                  <c:v>2.4517058853010809E-2</c:v>
                </c:pt>
                <c:pt idx="1910">
                  <c:v>2.4517580158649466E-2</c:v>
                </c:pt>
                <c:pt idx="1911">
                  <c:v>2.4518192162856778E-2</c:v>
                </c:pt>
                <c:pt idx="1912">
                  <c:v>2.4518808274738291E-2</c:v>
                </c:pt>
                <c:pt idx="1913">
                  <c:v>2.4519606454420639E-2</c:v>
                </c:pt>
                <c:pt idx="1914">
                  <c:v>2.4520142346791118E-2</c:v>
                </c:pt>
                <c:pt idx="1915">
                  <c:v>2.4520681256827714E-2</c:v>
                </c:pt>
                <c:pt idx="1916">
                  <c:v>2.4521313799645839E-2</c:v>
                </c:pt>
                <c:pt idx="1917">
                  <c:v>2.4521950450377972E-2</c:v>
                </c:pt>
                <c:pt idx="1918">
                  <c:v>2.4522591208624434E-2</c:v>
                </c:pt>
                <c:pt idx="1919">
                  <c:v>2.4523236074704968E-2</c:v>
                </c:pt>
                <c:pt idx="1920">
                  <c:v>2.4523885048379768E-2</c:v>
                </c:pt>
                <c:pt idx="1921">
                  <c:v>2.4524538129968576E-2</c:v>
                </c:pt>
                <c:pt idx="1922">
                  <c:v>2.4525195319231585E-2</c:v>
                </c:pt>
                <c:pt idx="1923">
                  <c:v>2.4525856616168795E-2</c:v>
                </c:pt>
                <c:pt idx="1924">
                  <c:v>2.4526522020940078E-2</c:v>
                </c:pt>
                <c:pt idx="1925">
                  <c:v>2.4527191533465498E-2</c:v>
                </c:pt>
                <c:pt idx="1926">
                  <c:v>2.4527865153665118E-2</c:v>
                </c:pt>
                <c:pt idx="1927">
                  <c:v>2.4528542881538939E-2</c:v>
                </c:pt>
                <c:pt idx="1928">
                  <c:v>2.4529224717246834E-2</c:v>
                </c:pt>
                <c:pt idx="1929">
                  <c:v>2.4530107398854639E-2</c:v>
                </c:pt>
                <c:pt idx="1930">
                  <c:v>2.453060071176516E-2</c:v>
                </c:pt>
                <c:pt idx="1931">
                  <c:v>2.4531394371463122E-2</c:v>
                </c:pt>
                <c:pt idx="1932">
                  <c:v>2.4531993137220098E-2</c:v>
                </c:pt>
                <c:pt idx="1933">
                  <c:v>2.4532695511618741E-2</c:v>
                </c:pt>
                <c:pt idx="1934">
                  <c:v>2.4533401993611648E-2</c:v>
                </c:pt>
                <c:pt idx="1935">
                  <c:v>2.4534214431648493E-2</c:v>
                </c:pt>
                <c:pt idx="1936">
                  <c:v>2.4534827280939808E-2</c:v>
                </c:pt>
                <c:pt idx="1937">
                  <c:v>2.4535546086275062E-2</c:v>
                </c:pt>
                <c:pt idx="1938">
                  <c:v>2.4536268999284516E-2</c:v>
                </c:pt>
                <c:pt idx="1939">
                  <c:v>2.4536996019968171E-2</c:v>
                </c:pt>
                <c:pt idx="1940">
                  <c:v>2.4537727148485899E-2</c:v>
                </c:pt>
                <c:pt idx="1941">
                  <c:v>2.4538462384757764E-2</c:v>
                </c:pt>
                <c:pt idx="1942">
                  <c:v>2.4539201728783766E-2</c:v>
                </c:pt>
                <c:pt idx="1943">
                  <c:v>2.4539945180324096E-2</c:v>
                </c:pt>
                <c:pt idx="1944">
                  <c:v>2.4540692739858372E-2</c:v>
                </c:pt>
                <c:pt idx="1945">
                  <c:v>2.4541444406986912E-2</c:v>
                </c:pt>
                <c:pt idx="1946">
                  <c:v>2.4542200181789653E-2</c:v>
                </c:pt>
                <c:pt idx="1947">
                  <c:v>2.4542960064506403E-2</c:v>
                </c:pt>
                <c:pt idx="1948">
                  <c:v>2.4543833531645021E-2</c:v>
                </c:pt>
                <c:pt idx="1949">
                  <c:v>2.4544492152962505E-2</c:v>
                </c:pt>
                <c:pt idx="1950">
                  <c:v>2.4545264358781793E-2</c:v>
                </c:pt>
                <c:pt idx="1951">
                  <c:v>2.4546040672435154E-2</c:v>
                </c:pt>
                <c:pt idx="1952">
                  <c:v>2.454682109368278E-2</c:v>
                </c:pt>
                <c:pt idx="1953">
                  <c:v>2.4547605622764479E-2</c:v>
                </c:pt>
                <c:pt idx="1954">
                  <c:v>2.4548394259520379E-2</c:v>
                </c:pt>
                <c:pt idx="1955">
                  <c:v>2.4549187004030415E-2</c:v>
                </c:pt>
                <c:pt idx="1956">
                  <c:v>2.4549983856214652E-2</c:v>
                </c:pt>
                <c:pt idx="1957">
                  <c:v>2.4550784816232962E-2</c:v>
                </c:pt>
                <c:pt idx="1958">
                  <c:v>2.4551589883925473E-2</c:v>
                </c:pt>
                <c:pt idx="1959">
                  <c:v>2.4552399059372121E-2</c:v>
                </c:pt>
                <c:pt idx="1960">
                  <c:v>2.4553212342652841E-2</c:v>
                </c:pt>
                <c:pt idx="1961">
                  <c:v>2.4554146839053104E-2</c:v>
                </c:pt>
                <c:pt idx="1962">
                  <c:v>2.4554851232236885E-2</c:v>
                </c:pt>
                <c:pt idx="1963">
                  <c:v>2.4555676838620144E-2</c:v>
                </c:pt>
                <c:pt idx="1964">
                  <c:v>2.4556506552837476E-2</c:v>
                </c:pt>
                <c:pt idx="1965">
                  <c:v>2.4557579363957416E-2</c:v>
                </c:pt>
                <c:pt idx="1966">
                  <c:v>2.4558418467224286E-2</c:v>
                </c:pt>
                <c:pt idx="1967">
                  <c:v>2.455914096800349E-2</c:v>
                </c:pt>
                <c:pt idx="1968">
                  <c:v>2.4559987699888097E-2</c:v>
                </c:pt>
                <c:pt idx="1969">
                  <c:v>2.4560838539526841E-2</c:v>
                </c:pt>
                <c:pt idx="1970">
                  <c:v>2.4561692945432867E-2</c:v>
                </c:pt>
                <c:pt idx="1971">
                  <c:v>2.4562535756773585E-2</c:v>
                </c:pt>
                <c:pt idx="1972">
                  <c:v>2.4563359934619555E-2</c:v>
                </c:pt>
                <c:pt idx="1973">
                  <c:v>2.4564165478890843E-2</c:v>
                </c:pt>
                <c:pt idx="1974">
                  <c:v>2.4564952389747319E-2</c:v>
                </c:pt>
                <c:pt idx="1975">
                  <c:v>2.4565720667109048E-2</c:v>
                </c:pt>
                <c:pt idx="1976">
                  <c:v>2.4566470310896094E-2</c:v>
                </c:pt>
                <c:pt idx="1977">
                  <c:v>2.4567201321108456E-2</c:v>
                </c:pt>
                <c:pt idx="1978">
                  <c:v>2.4567913697906008E-2</c:v>
                </c:pt>
                <c:pt idx="1979">
                  <c:v>2.4568607441128876E-2</c:v>
                </c:pt>
                <c:pt idx="1980">
                  <c:v>2.4569472016819915E-2</c:v>
                </c:pt>
                <c:pt idx="1981">
                  <c:v>2.4569939027010435E-2</c:v>
                </c:pt>
                <c:pt idx="1982">
                  <c:v>2.4570576869749061E-2</c:v>
                </c:pt>
                <c:pt idx="1983">
                  <c:v>2.457128301633027E-2</c:v>
                </c:pt>
                <c:pt idx="1984">
                  <c:v>2.4571796654662137E-2</c:v>
                </c:pt>
                <c:pt idx="1985">
                  <c:v>2.457237859675665E-2</c:v>
                </c:pt>
                <c:pt idx="1986">
                  <c:v>2.4572941905356416E-2</c:v>
                </c:pt>
                <c:pt idx="1987">
                  <c:v>2.4573562870155996E-2</c:v>
                </c:pt>
                <c:pt idx="1988">
                  <c:v>2.4574012622151642E-2</c:v>
                </c:pt>
                <c:pt idx="1989">
                  <c:v>2.4574520030267166E-2</c:v>
                </c:pt>
                <c:pt idx="1990">
                  <c:v>2.4575008804808007E-2</c:v>
                </c:pt>
                <c:pt idx="1991">
                  <c:v>2.4575478945854101E-2</c:v>
                </c:pt>
                <c:pt idx="1992">
                  <c:v>2.4575930453405448E-2</c:v>
                </c:pt>
                <c:pt idx="1993">
                  <c:v>2.4576363327462047E-2</c:v>
                </c:pt>
                <c:pt idx="1994">
                  <c:v>2.4576777567943964E-2</c:v>
                </c:pt>
                <c:pt idx="1995">
                  <c:v>2.4577173174931133E-2</c:v>
                </c:pt>
                <c:pt idx="1996">
                  <c:v>2.4577550148503491E-2</c:v>
                </c:pt>
                <c:pt idx="1997">
                  <c:v>2.4577908488341293E-2</c:v>
                </c:pt>
                <c:pt idx="1998">
                  <c:v>2.4578248194844221E-2</c:v>
                </c:pt>
                <c:pt idx="1999">
                  <c:v>2.4578569267692529E-2</c:v>
                </c:pt>
                <c:pt idx="2000">
                  <c:v>2.4578913391701818E-2</c:v>
                </c:pt>
                <c:pt idx="2001">
                  <c:v>2.4579155513064777E-2</c:v>
                </c:pt>
                <c:pt idx="2002">
                  <c:v>2.4579420685428843E-2</c:v>
                </c:pt>
                <c:pt idx="2003">
                  <c:v>2.4579667224298163E-2</c:v>
                </c:pt>
                <c:pt idx="2004">
                  <c:v>2.4579895129592799E-2</c:v>
                </c:pt>
                <c:pt idx="2005">
                  <c:v>2.4580104401472624E-2</c:v>
                </c:pt>
                <c:pt idx="2006">
                  <c:v>2.4580295039777766E-2</c:v>
                </c:pt>
                <c:pt idx="2007">
                  <c:v>2.4580467044588161E-2</c:v>
                </c:pt>
                <c:pt idx="2008">
                  <c:v>2.4580620415823873E-2</c:v>
                </c:pt>
                <c:pt idx="2009">
                  <c:v>2.4580755153644773E-2</c:v>
                </c:pt>
                <c:pt idx="2010">
                  <c:v>2.458087125789099E-2</c:v>
                </c:pt>
                <c:pt idx="2011">
                  <c:v>2.4580981131840929E-2</c:v>
                </c:pt>
                <c:pt idx="2012">
                  <c:v>2.4581047565739311E-2</c:v>
                </c:pt>
                <c:pt idx="2013">
                  <c:v>2.4581107769501287E-2</c:v>
                </c:pt>
                <c:pt idx="2014">
                  <c:v>2.4581149339688579E-2</c:v>
                </c:pt>
                <c:pt idx="2015">
                  <c:v>2.4581172276301189E-2</c:v>
                </c:pt>
                <c:pt idx="2016">
                  <c:v>2.4581176579498987E-2</c:v>
                </c:pt>
                <c:pt idx="2017">
                  <c:v>2.4581154732254973E-2</c:v>
                </c:pt>
                <c:pt idx="2018">
                  <c:v>2.458112305495419E-2</c:v>
                </c:pt>
                <c:pt idx="2019">
                  <c:v>2.4581077687804154E-2</c:v>
                </c:pt>
                <c:pt idx="2020">
                  <c:v>2.4581007456863091E-2</c:v>
                </c:pt>
                <c:pt idx="2021">
                  <c:v>2.4580918592427281E-2</c:v>
                </c:pt>
                <c:pt idx="2022">
                  <c:v>2.4580811094496724E-2</c:v>
                </c:pt>
                <c:pt idx="2023">
                  <c:v>2.4580684962991484E-2</c:v>
                </c:pt>
                <c:pt idx="2024">
                  <c:v>2.4580540198071432E-2</c:v>
                </c:pt>
                <c:pt idx="2025">
                  <c:v>2.4580376799496761E-2</c:v>
                </c:pt>
                <c:pt idx="2026">
                  <c:v>2.458019476750728E-2</c:v>
                </c:pt>
                <c:pt idx="2027">
                  <c:v>2.4579994101943115E-2</c:v>
                </c:pt>
                <c:pt idx="2028">
                  <c:v>2.4579774802884202E-2</c:v>
                </c:pt>
                <c:pt idx="2029">
                  <c:v>2.4579536870330543E-2</c:v>
                </c:pt>
                <c:pt idx="2030">
                  <c:v>2.457920357709753E-2</c:v>
                </c:pt>
                <c:pt idx="2031">
                  <c:v>2.4579005104659046E-2</c:v>
                </c:pt>
                <c:pt idx="2032">
                  <c:v>2.4578711271541209E-2</c:v>
                </c:pt>
                <c:pt idx="2033">
                  <c:v>2.4578398804848689E-2</c:v>
                </c:pt>
                <c:pt idx="2034">
                  <c:v>2.4578067704741358E-2</c:v>
                </c:pt>
                <c:pt idx="2035">
                  <c:v>2.4577717971059343E-2</c:v>
                </c:pt>
                <c:pt idx="2036">
                  <c:v>2.4577295458794168E-2</c:v>
                </c:pt>
                <c:pt idx="2037">
                  <c:v>2.4576962603131136E-2</c:v>
                </c:pt>
                <c:pt idx="2038">
                  <c:v>2.4576556968884944E-2</c:v>
                </c:pt>
                <c:pt idx="2039">
                  <c:v>2.457607057044342E-2</c:v>
                </c:pt>
                <c:pt idx="2040">
                  <c:v>2.4575689799908318E-2</c:v>
                </c:pt>
                <c:pt idx="2041">
                  <c:v>2.4575228265177884E-2</c:v>
                </c:pt>
                <c:pt idx="2042">
                  <c:v>2.4574748096872767E-2</c:v>
                </c:pt>
                <c:pt idx="2043">
                  <c:v>2.4574249295072903E-2</c:v>
                </c:pt>
                <c:pt idx="2044">
                  <c:v>2.4573731859698356E-2</c:v>
                </c:pt>
                <c:pt idx="2045">
                  <c:v>2.4573195790908997E-2</c:v>
                </c:pt>
                <c:pt idx="2046">
                  <c:v>2.4572641088624891E-2</c:v>
                </c:pt>
                <c:pt idx="2047">
                  <c:v>2.4572067752686166E-2</c:v>
                </c:pt>
                <c:pt idx="2048">
                  <c:v>2.457147578333263E-2</c:v>
                </c:pt>
                <c:pt idx="2049">
                  <c:v>2.4570865180404411E-2</c:v>
                </c:pt>
                <c:pt idx="2050">
                  <c:v>2.4570235943981444E-2</c:v>
                </c:pt>
                <c:pt idx="2051">
                  <c:v>2.4569588074063731E-2</c:v>
                </c:pt>
                <c:pt idx="2052">
                  <c:v>2.4568824834751979E-2</c:v>
                </c:pt>
                <c:pt idx="2053">
                  <c:v>2.4568236433664126E-2</c:v>
                </c:pt>
                <c:pt idx="2054">
                  <c:v>2.4567532663182234E-2</c:v>
                </c:pt>
                <c:pt idx="2055">
                  <c:v>2.4566810259205596E-2</c:v>
                </c:pt>
                <c:pt idx="2056">
                  <c:v>2.456606922173421E-2</c:v>
                </c:pt>
                <c:pt idx="2057">
                  <c:v>2.4565309550768077E-2</c:v>
                </c:pt>
                <c:pt idx="2058">
                  <c:v>2.4564531246227261E-2</c:v>
                </c:pt>
                <c:pt idx="2059">
                  <c:v>2.4563734308111762E-2</c:v>
                </c:pt>
                <c:pt idx="2060">
                  <c:v>2.4562918736581452E-2</c:v>
                </c:pt>
                <c:pt idx="2061">
                  <c:v>2.4562084531556394E-2</c:v>
                </c:pt>
                <c:pt idx="2062">
                  <c:v>2.4561231692956653E-2</c:v>
                </c:pt>
                <c:pt idx="2063">
                  <c:v>2.4560360220862165E-2</c:v>
                </c:pt>
                <c:pt idx="2064">
                  <c:v>2.4559470115192994E-2</c:v>
                </c:pt>
                <c:pt idx="2065">
                  <c:v>2.4558561376029076E-2</c:v>
                </c:pt>
                <c:pt idx="2066">
                  <c:v>2.4557634003450346E-2</c:v>
                </c:pt>
                <c:pt idx="2067">
                  <c:v>2.4556687997296933E-2</c:v>
                </c:pt>
                <c:pt idx="2068">
                  <c:v>2.4555723357648773E-2</c:v>
                </c:pt>
                <c:pt idx="2069">
                  <c:v>2.4554455726768509E-2</c:v>
                </c:pt>
                <c:pt idx="2070">
                  <c:v>2.4553448496309471E-2</c:v>
                </c:pt>
                <c:pt idx="2071">
                  <c:v>2.4552570325013789E-2</c:v>
                </c:pt>
                <c:pt idx="2072">
                  <c:v>2.4551528489435981E-2</c:v>
                </c:pt>
                <c:pt idx="2073">
                  <c:v>2.4550315003564194E-2</c:v>
                </c:pt>
                <c:pt idx="2074">
                  <c:v>2.4549388917476378E-2</c:v>
                </c:pt>
                <c:pt idx="2075">
                  <c:v>2.4548291181414328E-2</c:v>
                </c:pt>
                <c:pt idx="2076">
                  <c:v>2.4547174811697658E-2</c:v>
                </c:pt>
                <c:pt idx="2077">
                  <c:v>2.4545876144044243E-2</c:v>
                </c:pt>
                <c:pt idx="2078">
                  <c:v>2.4544886171780078E-2</c:v>
                </c:pt>
                <c:pt idx="2079">
                  <c:v>2.4543713901579167E-2</c:v>
                </c:pt>
                <c:pt idx="2080">
                  <c:v>2.4542522997803573E-2</c:v>
                </c:pt>
                <c:pt idx="2081">
                  <c:v>2.4541313460533232E-2</c:v>
                </c:pt>
                <c:pt idx="2082">
                  <c:v>2.4540085289768143E-2</c:v>
                </c:pt>
                <c:pt idx="2083">
                  <c:v>2.4538838485588244E-2</c:v>
                </c:pt>
                <c:pt idx="2084">
                  <c:v>2.4537573047753725E-2</c:v>
                </c:pt>
                <c:pt idx="2085">
                  <c:v>2.4537405095568232E-2</c:v>
                </c:pt>
                <c:pt idx="2086">
                  <c:v>2.4534986271680381E-2</c:v>
                </c:pt>
                <c:pt idx="2087">
                  <c:v>2.4533664933361621E-2</c:v>
                </c:pt>
                <c:pt idx="2088">
                  <c:v>2.4532132015888664E-2</c:v>
                </c:pt>
                <c:pt idx="2089">
                  <c:v>2.4530966356159922E-2</c:v>
                </c:pt>
                <c:pt idx="2090">
                  <c:v>2.452958911735692E-2</c:v>
                </c:pt>
                <c:pt idx="2091">
                  <c:v>2.4527992313627678E-2</c:v>
                </c:pt>
                <c:pt idx="2092">
                  <c:v>2.4526778739106803E-2</c:v>
                </c:pt>
                <c:pt idx="2093">
                  <c:v>2.4525345599819559E-2</c:v>
                </c:pt>
                <c:pt idx="2094">
                  <c:v>2.4523893826877696E-2</c:v>
                </c:pt>
                <c:pt idx="2095">
                  <c:v>2.4522423420441086E-2</c:v>
                </c:pt>
                <c:pt idx="2096">
                  <c:v>2.4520934380669601E-2</c:v>
                </c:pt>
                <c:pt idx="2097">
                  <c:v>2.4519426707243497E-2</c:v>
                </c:pt>
                <c:pt idx="2098">
                  <c:v>2.4517900400322645E-2</c:v>
                </c:pt>
                <c:pt idx="2099">
                  <c:v>2.4516355459907047E-2</c:v>
                </c:pt>
                <c:pt idx="2100">
                  <c:v>2.4514791886076637E-2</c:v>
                </c:pt>
                <c:pt idx="2101">
                  <c:v>2.4513209678591608E-2</c:v>
                </c:pt>
                <c:pt idx="2102">
                  <c:v>2.4511608837611831E-2</c:v>
                </c:pt>
                <c:pt idx="2103">
                  <c:v>2.4509989363217244E-2</c:v>
                </c:pt>
                <c:pt idx="2104">
                  <c:v>2.4508115718777645E-2</c:v>
                </c:pt>
                <c:pt idx="2105">
                  <c:v>2.4506456315362968E-2</c:v>
                </c:pt>
                <c:pt idx="2106">
                  <c:v>2.450501913882519E-2</c:v>
                </c:pt>
                <c:pt idx="2107">
                  <c:v>2.4503325130451614E-2</c:v>
                </c:pt>
                <c:pt idx="2108">
                  <c:v>2.4501612488503355E-2</c:v>
                </c:pt>
                <c:pt idx="2109">
                  <c:v>2.4499881212980412E-2</c:v>
                </c:pt>
                <c:pt idx="2110">
                  <c:v>2.4498131303962722E-2</c:v>
                </c:pt>
                <c:pt idx="2111">
                  <c:v>2.4496108591485211E-2</c:v>
                </c:pt>
                <c:pt idx="2112">
                  <c:v>2.4494575585602973E-2</c:v>
                </c:pt>
                <c:pt idx="2113">
                  <c:v>2.4492769776101042E-2</c:v>
                </c:pt>
                <c:pt idx="2114">
                  <c:v>2.4490945333104364E-2</c:v>
                </c:pt>
                <c:pt idx="2115">
                  <c:v>2.4488837438845223E-2</c:v>
                </c:pt>
                <c:pt idx="2116">
                  <c:v>2.4487240546546829E-2</c:v>
                </c:pt>
                <c:pt idx="2117">
                  <c:v>2.4485360203065909E-2</c:v>
                </c:pt>
                <c:pt idx="2118">
                  <c:v>2.4483461226170178E-2</c:v>
                </c:pt>
                <c:pt idx="2119">
                  <c:v>2.4481543615699763E-2</c:v>
                </c:pt>
                <c:pt idx="2120">
                  <c:v>2.447960737157473E-2</c:v>
                </c:pt>
                <c:pt idx="2121">
                  <c:v>2.4478473102362841E-2</c:v>
                </c:pt>
                <c:pt idx="2122">
                  <c:v>2.4476491336145045E-2</c:v>
                </c:pt>
                <c:pt idx="2123">
                  <c:v>2.447340072549764E-2</c:v>
                </c:pt>
                <c:pt idx="2124">
                  <c:v>2.4471387285522894E-2</c:v>
                </c:pt>
                <c:pt idx="2125">
                  <c:v>2.4469355212133337E-2</c:v>
                </c:pt>
                <c:pt idx="2126">
                  <c:v>2.4467304505169096E-2</c:v>
                </c:pt>
                <c:pt idx="2127">
                  <c:v>2.4465235164790045E-2</c:v>
                </c:pt>
                <c:pt idx="2128">
                  <c:v>2.446314719083631E-2</c:v>
                </c:pt>
                <c:pt idx="2129">
                  <c:v>2.4461040583467764E-2</c:v>
                </c:pt>
                <c:pt idx="2130">
                  <c:v>2.4458915342524534E-2</c:v>
                </c:pt>
                <c:pt idx="2131">
                  <c:v>2.4456771468086558E-2</c:v>
                </c:pt>
                <c:pt idx="2132">
                  <c:v>2.4454608960153834E-2</c:v>
                </c:pt>
                <c:pt idx="2133">
                  <c:v>2.4452427818726363E-2</c:v>
                </c:pt>
                <c:pt idx="2134">
                  <c:v>2.4450228043804145E-2</c:v>
                </c:pt>
                <c:pt idx="2135">
                  <c:v>2.4450692638295024E-2</c:v>
                </c:pt>
                <c:pt idx="2136">
                  <c:v>2.4444485917829439E-2</c:v>
                </c:pt>
                <c:pt idx="2137">
                  <c:v>2.4442219594700276E-2</c:v>
                </c:pt>
                <c:pt idx="2138">
                  <c:v>2.443993463799643E-2</c:v>
                </c:pt>
                <c:pt idx="2139">
                  <c:v>2.4437300442494703E-2</c:v>
                </c:pt>
                <c:pt idx="2140">
                  <c:v>2.4435308824344304E-2</c:v>
                </c:pt>
                <c:pt idx="2141">
                  <c:v>2.4432967967316088E-2</c:v>
                </c:pt>
                <c:pt idx="2142">
                  <c:v>2.4430269885558076E-2</c:v>
                </c:pt>
                <c:pt idx="2143">
                  <c:v>2.4428230352695479E-2</c:v>
                </c:pt>
                <c:pt idx="2144">
                  <c:v>2.4425833595103086E-2</c:v>
                </c:pt>
                <c:pt idx="2145">
                  <c:v>2.4423418203936009E-2</c:v>
                </c:pt>
                <c:pt idx="2146">
                  <c:v>2.4420984179354122E-2</c:v>
                </c:pt>
                <c:pt idx="2147">
                  <c:v>2.4418531521357423E-2</c:v>
                </c:pt>
                <c:pt idx="2148">
                  <c:v>2.4416060229865977E-2</c:v>
                </c:pt>
                <c:pt idx="2149">
                  <c:v>2.4413570304799848E-2</c:v>
                </c:pt>
                <c:pt idx="2150">
                  <c:v>2.4411061746318907E-2</c:v>
                </c:pt>
                <c:pt idx="2151">
                  <c:v>2.4408534554263284E-2</c:v>
                </c:pt>
                <c:pt idx="2152">
                  <c:v>2.4405988728712913E-2</c:v>
                </c:pt>
                <c:pt idx="2153">
                  <c:v>2.4403424269747731E-2</c:v>
                </c:pt>
                <c:pt idx="2154">
                  <c:v>2.4400841177367738E-2</c:v>
                </c:pt>
                <c:pt idx="2155">
                  <c:v>2.4398239451333126E-2</c:v>
                </c:pt>
                <c:pt idx="2156">
                  <c:v>2.4395243233739095E-2</c:v>
                </c:pt>
                <c:pt idx="2157">
                  <c:v>2.4392980098939532E-2</c:v>
                </c:pt>
                <c:pt idx="2158">
                  <c:v>2.4390322472500614E-2</c:v>
                </c:pt>
                <c:pt idx="2159">
                  <c:v>2.4387646212646885E-2</c:v>
                </c:pt>
                <c:pt idx="2160">
                  <c:v>2.4384951319138537E-2</c:v>
                </c:pt>
                <c:pt idx="2161">
                  <c:v>2.4382237792295314E-2</c:v>
                </c:pt>
                <c:pt idx="2162">
                  <c:v>2.4379505631957343E-2</c:v>
                </c:pt>
                <c:pt idx="2163">
                  <c:v>2.4376754837964754E-2</c:v>
                </c:pt>
                <c:pt idx="2164">
                  <c:v>2.4373985410637289E-2</c:v>
                </c:pt>
                <c:pt idx="2165">
                  <c:v>2.4371197349895013E-2</c:v>
                </c:pt>
                <c:pt idx="2166">
                  <c:v>2.4368390655498118E-2</c:v>
                </c:pt>
                <c:pt idx="2167">
                  <c:v>2.4365565327606475E-2</c:v>
                </c:pt>
                <c:pt idx="2168">
                  <c:v>2.4362721366379958E-2</c:v>
                </c:pt>
                <c:pt idx="2169">
                  <c:v>2.4359448308395315E-2</c:v>
                </c:pt>
                <c:pt idx="2170">
                  <c:v>2.435697754328281E-2</c:v>
                </c:pt>
                <c:pt idx="2171">
                  <c:v>2.4354077681651987E-2</c:v>
                </c:pt>
                <c:pt idx="2172">
                  <c:v>2.435115918644648E-2</c:v>
                </c:pt>
                <c:pt idx="2173">
                  <c:v>2.4347379455598173E-2</c:v>
                </c:pt>
                <c:pt idx="2174">
                  <c:v>2.4344842522774357E-2</c:v>
                </c:pt>
                <c:pt idx="2175">
                  <c:v>2.4342291900021351E-2</c:v>
                </c:pt>
                <c:pt idx="2176">
                  <c:v>2.433929887075692E-2</c:v>
                </c:pt>
                <c:pt idx="2177">
                  <c:v>2.4336287208157614E-2</c:v>
                </c:pt>
                <c:pt idx="2178">
                  <c:v>2.4333256911983625E-2</c:v>
                </c:pt>
                <c:pt idx="2179">
                  <c:v>2.4330207982474761E-2</c:v>
                </c:pt>
                <c:pt idx="2180">
                  <c:v>2.4327140419471149E-2</c:v>
                </c:pt>
                <c:pt idx="2181">
                  <c:v>2.4324054222812919E-2</c:v>
                </c:pt>
                <c:pt idx="2182">
                  <c:v>2.4320949392819813E-2</c:v>
                </c:pt>
                <c:pt idx="2183">
                  <c:v>2.4317825929411896E-2</c:v>
                </c:pt>
                <c:pt idx="2184">
                  <c:v>2.4314683832509232E-2</c:v>
                </c:pt>
                <c:pt idx="2185">
                  <c:v>2.4311523102031884E-2</c:v>
                </c:pt>
                <c:pt idx="2186">
                  <c:v>2.4308343738139726E-2</c:v>
                </c:pt>
                <c:pt idx="2187">
                  <c:v>2.430514574075282E-2</c:v>
                </c:pt>
                <c:pt idx="2188">
                  <c:v>2.4301929109871168E-2</c:v>
                </c:pt>
                <c:pt idx="2189">
                  <c:v>2.4297766061884829E-2</c:v>
                </c:pt>
                <c:pt idx="2190">
                  <c:v>2.4295439947783493E-2</c:v>
                </c:pt>
                <c:pt idx="2191">
                  <c:v>2.4291698390959127E-2</c:v>
                </c:pt>
                <c:pt idx="2192">
                  <c:v>2.4288876251636893E-2</c:v>
                </c:pt>
                <c:pt idx="2193">
                  <c:v>2.4285566453441376E-2</c:v>
                </c:pt>
                <c:pt idx="2194">
                  <c:v>2.4282238021831049E-2</c:v>
                </c:pt>
                <c:pt idx="2195">
                  <c:v>2.427841128330499E-2</c:v>
                </c:pt>
                <c:pt idx="2196">
                  <c:v>2.4275525257966279E-2</c:v>
                </c:pt>
                <c:pt idx="2197">
                  <c:v>2.4272140925951646E-2</c:v>
                </c:pt>
                <c:pt idx="2198">
                  <c:v>2.426873796036233E-2</c:v>
                </c:pt>
                <c:pt idx="2199">
                  <c:v>2.426531636119833E-2</c:v>
                </c:pt>
                <c:pt idx="2200">
                  <c:v>2.4261876128779392E-2</c:v>
                </c:pt>
                <c:pt idx="2201">
                  <c:v>2.4258417262865706E-2</c:v>
                </c:pt>
                <c:pt idx="2202">
                  <c:v>2.4254939763377337E-2</c:v>
                </c:pt>
                <c:pt idx="2203">
                  <c:v>2.4251443630474157E-2</c:v>
                </c:pt>
                <c:pt idx="2204">
                  <c:v>2.4247928864076229E-2</c:v>
                </c:pt>
                <c:pt idx="2205">
                  <c:v>2.4244395464343427E-2</c:v>
                </c:pt>
                <c:pt idx="2206">
                  <c:v>2.4240843430956005E-2</c:v>
                </c:pt>
                <c:pt idx="2207">
                  <c:v>2.4237272764153772E-2</c:v>
                </c:pt>
                <c:pt idx="2208">
                  <c:v>2.4233169185636783E-2</c:v>
                </c:pt>
                <c:pt idx="2209">
                  <c:v>2.4230075530384809E-2</c:v>
                </c:pt>
                <c:pt idx="2210">
                  <c:v>2.4226448963018399E-2</c:v>
                </c:pt>
                <c:pt idx="2211">
                  <c:v>2.4222803762476985E-2</c:v>
                </c:pt>
                <c:pt idx="2212">
                  <c:v>2.4219139928440825E-2</c:v>
                </c:pt>
                <c:pt idx="2213">
                  <c:v>2.4215457460909917E-2</c:v>
                </c:pt>
                <c:pt idx="2214">
                  <c:v>2.4211756359804326E-2</c:v>
                </c:pt>
                <c:pt idx="2215">
                  <c:v>2.4208036625443796E-2</c:v>
                </c:pt>
                <c:pt idx="2216">
                  <c:v>2.4204298257508583E-2</c:v>
                </c:pt>
                <c:pt idx="2217">
                  <c:v>2.4200541256078623E-2</c:v>
                </c:pt>
                <c:pt idx="2218">
                  <c:v>2.4196765621233851E-2</c:v>
                </c:pt>
                <c:pt idx="2219">
                  <c:v>2.4192427793536808E-2</c:v>
                </c:pt>
                <c:pt idx="2220">
                  <c:v>2.4189158451299875E-2</c:v>
                </c:pt>
                <c:pt idx="2221">
                  <c:v>2.4184778032791954E-2</c:v>
                </c:pt>
                <c:pt idx="2222">
                  <c:v>2.4181476747466846E-2</c:v>
                </c:pt>
                <c:pt idx="2223">
                  <c:v>2.417760794530821E-2</c:v>
                </c:pt>
                <c:pt idx="2224">
                  <c:v>2.4173720509734764E-2</c:v>
                </c:pt>
                <c:pt idx="2225">
                  <c:v>2.4168694998527585E-2</c:v>
                </c:pt>
                <c:pt idx="2226">
                  <c:v>2.4164202018699399E-2</c:v>
                </c:pt>
                <c:pt idx="2227">
                  <c:v>2.4161381547482819E-2</c:v>
                </c:pt>
                <c:pt idx="2228">
                  <c:v>2.4157416916299468E-2</c:v>
                </c:pt>
                <c:pt idx="2229">
                  <c:v>2.4153433651461498E-2</c:v>
                </c:pt>
                <c:pt idx="2230">
                  <c:v>2.4149431753208717E-2</c:v>
                </c:pt>
                <c:pt idx="2231">
                  <c:v>2.4145411221700996E-2</c:v>
                </c:pt>
                <c:pt idx="2232">
                  <c:v>2.4141372056458721E-2</c:v>
                </c:pt>
                <c:pt idx="2233">
                  <c:v>2.4137314257961506E-2</c:v>
                </c:pt>
                <c:pt idx="2234">
                  <c:v>2.4133237825969545E-2</c:v>
                </c:pt>
                <c:pt idx="2235">
                  <c:v>2.4129142760562772E-2</c:v>
                </c:pt>
                <c:pt idx="2236">
                  <c:v>2.4125029061741188E-2</c:v>
                </c:pt>
                <c:pt idx="2237">
                  <c:v>2.4120896729264985E-2</c:v>
                </c:pt>
                <c:pt idx="2238">
                  <c:v>2.4116745763533842E-2</c:v>
                </c:pt>
                <c:pt idx="2239">
                  <c:v>2.4112576164307953E-2</c:v>
                </c:pt>
                <c:pt idx="2240">
                  <c:v>2.4107187871136304E-2</c:v>
                </c:pt>
                <c:pt idx="2241">
                  <c:v>2.4104181065451868E-2</c:v>
                </c:pt>
                <c:pt idx="2242">
                  <c:v>2.4099955565981546E-2</c:v>
                </c:pt>
                <c:pt idx="2243">
                  <c:v>2.4095103607146839E-2</c:v>
                </c:pt>
                <c:pt idx="2244">
                  <c:v>2.4091448666476722E-2</c:v>
                </c:pt>
                <c:pt idx="2245">
                  <c:v>2.4087167266602094E-2</c:v>
                </c:pt>
                <c:pt idx="2246">
                  <c:v>2.4082867233312655E-2</c:v>
                </c:pt>
                <c:pt idx="2247">
                  <c:v>2.4077930093016064E-2</c:v>
                </c:pt>
                <c:pt idx="2248">
                  <c:v>2.4074211266249534E-2</c:v>
                </c:pt>
                <c:pt idx="2249">
                  <c:v>2.4069855332715662E-2</c:v>
                </c:pt>
                <c:pt idx="2250">
                  <c:v>2.4065480765607106E-2</c:v>
                </c:pt>
                <c:pt idx="2251">
                  <c:v>2.4061087565083739E-2</c:v>
                </c:pt>
                <c:pt idx="2252">
                  <c:v>2.405667573114556E-2</c:v>
                </c:pt>
                <c:pt idx="2253">
                  <c:v>2.4052245263872507E-2</c:v>
                </c:pt>
                <c:pt idx="2254">
                  <c:v>2.4047796163024771E-2</c:v>
                </c:pt>
                <c:pt idx="2255">
                  <c:v>2.4043328428682287E-2</c:v>
                </c:pt>
                <c:pt idx="2256">
                  <c:v>2.4038842061084864E-2</c:v>
                </c:pt>
                <c:pt idx="2257">
                  <c:v>2.4034337059912758E-2</c:v>
                </c:pt>
                <c:pt idx="2258">
                  <c:v>2.4029813425405777E-2</c:v>
                </c:pt>
                <c:pt idx="2259">
                  <c:v>2.4025271157324113E-2</c:v>
                </c:pt>
                <c:pt idx="2260">
                  <c:v>2.4020057177436271E-2</c:v>
                </c:pt>
                <c:pt idx="2261">
                  <c:v>2.4016130721156159E-2</c:v>
                </c:pt>
                <c:pt idx="2262">
                  <c:v>2.4011532552830062E-2</c:v>
                </c:pt>
                <c:pt idx="2263">
                  <c:v>2.4006915751169089E-2</c:v>
                </c:pt>
                <c:pt idx="2264">
                  <c:v>2.4002280316013369E-2</c:v>
                </c:pt>
                <c:pt idx="2265">
                  <c:v>2.399762624760271E-2</c:v>
                </c:pt>
                <c:pt idx="2266">
                  <c:v>2.3992953545537432E-2</c:v>
                </c:pt>
                <c:pt idx="2267">
                  <c:v>2.3988262210137279E-2</c:v>
                </c:pt>
                <c:pt idx="2268">
                  <c:v>2.3983552241322315E-2</c:v>
                </c:pt>
                <c:pt idx="2269">
                  <c:v>2.3978823639012603E-2</c:v>
                </c:pt>
                <c:pt idx="2270">
                  <c:v>2.397407640328808E-2</c:v>
                </c:pt>
                <c:pt idx="2271">
                  <c:v>2.3968628174699802E-2</c:v>
                </c:pt>
                <c:pt idx="2272">
                  <c:v>2.3964526031754474E-2</c:v>
                </c:pt>
                <c:pt idx="2273">
                  <c:v>2.3959722895785518E-2</c:v>
                </c:pt>
                <c:pt idx="2274">
                  <c:v>2.3954901126481687E-2</c:v>
                </c:pt>
                <c:pt idx="2275">
                  <c:v>2.3950060723683109E-2</c:v>
                </c:pt>
                <c:pt idx="2276">
                  <c:v>2.3945201687389783E-2</c:v>
                </c:pt>
                <c:pt idx="2277">
                  <c:v>2.3938926975519692E-2</c:v>
                </c:pt>
                <c:pt idx="2278">
                  <c:v>2.3934726721774879E-2</c:v>
                </c:pt>
                <c:pt idx="2279">
                  <c:v>2.3930512778260749E-2</c:v>
                </c:pt>
                <c:pt idx="2280">
                  <c:v>2.3925579208468051E-2</c:v>
                </c:pt>
                <c:pt idx="2281">
                  <c:v>2.3920627005180606E-2</c:v>
                </c:pt>
                <c:pt idx="2282">
                  <c:v>2.391565616847835E-2</c:v>
                </c:pt>
                <c:pt idx="2283">
                  <c:v>2.3910666698361283E-2</c:v>
                </c:pt>
                <c:pt idx="2284">
                  <c:v>2.3905658594829404E-2</c:v>
                </c:pt>
                <c:pt idx="2285">
                  <c:v>2.3900631857882715E-2</c:v>
                </c:pt>
                <c:pt idx="2286">
                  <c:v>2.389558648760115E-2</c:v>
                </c:pt>
                <c:pt idx="2287">
                  <c:v>2.3890522483824839E-2</c:v>
                </c:pt>
                <c:pt idx="2288">
                  <c:v>2.388543984655378E-2</c:v>
                </c:pt>
                <c:pt idx="2289">
                  <c:v>2.3880338576107718E-2</c:v>
                </c:pt>
                <c:pt idx="2290">
                  <c:v>2.3875218672086973E-2</c:v>
                </c:pt>
                <c:pt idx="2291">
                  <c:v>2.3868608558670346E-2</c:v>
                </c:pt>
                <c:pt idx="2292">
                  <c:v>2.386492296380105E-2</c:v>
                </c:pt>
                <c:pt idx="2293">
                  <c:v>2.3859747159695743E-2</c:v>
                </c:pt>
                <c:pt idx="2294">
                  <c:v>2.385455272209569E-2</c:v>
                </c:pt>
                <c:pt idx="2295">
                  <c:v>2.3848593405535468E-2</c:v>
                </c:pt>
                <c:pt idx="2296">
                  <c:v>2.384410794665115E-2</c:v>
                </c:pt>
                <c:pt idx="2297">
                  <c:v>2.3838857608886599E-2</c:v>
                </c:pt>
                <c:pt idx="2298">
                  <c:v>2.3833588637547365E-2</c:v>
                </c:pt>
                <c:pt idx="2299">
                  <c:v>2.3827544139845003E-2</c:v>
                </c:pt>
                <c:pt idx="2300">
                  <c:v>2.3822994794944208E-2</c:v>
                </c:pt>
                <c:pt idx="2301">
                  <c:v>2.3817669923520413E-2</c:v>
                </c:pt>
                <c:pt idx="2302">
                  <c:v>2.3812326418681806E-2</c:v>
                </c:pt>
                <c:pt idx="2303">
                  <c:v>2.3806964280588261E-2</c:v>
                </c:pt>
                <c:pt idx="2304">
                  <c:v>2.3801583508920032E-2</c:v>
                </c:pt>
                <c:pt idx="2305">
                  <c:v>2.3796184103916929E-2</c:v>
                </c:pt>
                <c:pt idx="2306">
                  <c:v>2.3790766065419078E-2</c:v>
                </c:pt>
                <c:pt idx="2307">
                  <c:v>2.3785329393746224E-2</c:v>
                </c:pt>
                <c:pt idx="2308">
                  <c:v>2.3779874088498687E-2</c:v>
                </c:pt>
                <c:pt idx="2309">
                  <c:v>2.3774400149916275E-2</c:v>
                </c:pt>
                <c:pt idx="2310">
                  <c:v>2.3768907577919052E-2</c:v>
                </c:pt>
                <c:pt idx="2311">
                  <c:v>2.3763396372586953E-2</c:v>
                </c:pt>
                <c:pt idx="2312">
                  <c:v>2.3757075035852893E-2</c:v>
                </c:pt>
                <c:pt idx="2313">
                  <c:v>2.3752318061598388E-2</c:v>
                </c:pt>
                <c:pt idx="2314">
                  <c:v>2.3746750956181728E-2</c:v>
                </c:pt>
                <c:pt idx="2315">
                  <c:v>2.3741165217270321E-2</c:v>
                </c:pt>
                <c:pt idx="2316">
                  <c:v>2.3735560844864168E-2</c:v>
                </c:pt>
                <c:pt idx="2317">
                  <c:v>2.3729937839203075E-2</c:v>
                </c:pt>
                <c:pt idx="2318">
                  <c:v>2.3724296200127171E-2</c:v>
                </c:pt>
                <c:pt idx="2319">
                  <c:v>2.3718635927716392E-2</c:v>
                </c:pt>
                <c:pt idx="2320">
                  <c:v>2.3712957021810865E-2</c:v>
                </c:pt>
                <c:pt idx="2321">
                  <c:v>2.37072594826504E-2</c:v>
                </c:pt>
                <c:pt idx="2322">
                  <c:v>2.3701543310075124E-2</c:v>
                </c:pt>
                <c:pt idx="2323">
                  <c:v>2.369498772496037E-2</c:v>
                </c:pt>
                <c:pt idx="2324">
                  <c:v>2.3690055064520266E-2</c:v>
                </c:pt>
                <c:pt idx="2325">
                  <c:v>2.3684282991940364E-2</c:v>
                </c:pt>
                <c:pt idx="2326">
                  <c:v>2.3678492285785779E-2</c:v>
                </c:pt>
                <c:pt idx="2327">
                  <c:v>2.3672682946216383E-2</c:v>
                </c:pt>
                <c:pt idx="2328">
                  <c:v>2.3666854973392049E-2</c:v>
                </c:pt>
                <c:pt idx="2329">
                  <c:v>2.3659334485799377E-2</c:v>
                </c:pt>
                <c:pt idx="2330">
                  <c:v>2.365430371511934E-2</c:v>
                </c:pt>
                <c:pt idx="2331">
                  <c:v>2.3649259254510113E-2</c:v>
                </c:pt>
                <c:pt idx="2332">
                  <c:v>2.3643356748186406E-2</c:v>
                </c:pt>
                <c:pt idx="2333">
                  <c:v>2.3637435608447888E-2</c:v>
                </c:pt>
                <c:pt idx="2334">
                  <c:v>2.3631495835294558E-2</c:v>
                </c:pt>
                <c:pt idx="2335">
                  <c:v>2.362553742888629E-2</c:v>
                </c:pt>
                <c:pt idx="2336">
                  <c:v>2.361956038906321E-2</c:v>
                </c:pt>
                <c:pt idx="2337">
                  <c:v>2.3613564715825319E-2</c:v>
                </c:pt>
                <c:pt idx="2338">
                  <c:v>2.3607550409172617E-2</c:v>
                </c:pt>
                <c:pt idx="2339">
                  <c:v>2.360151746918504E-2</c:v>
                </c:pt>
                <c:pt idx="2340">
                  <c:v>2.3595465896022461E-2</c:v>
                </c:pt>
                <c:pt idx="2341">
                  <c:v>2.3589395689285197E-2</c:v>
                </c:pt>
                <c:pt idx="2342">
                  <c:v>2.3583306849213059E-2</c:v>
                </c:pt>
                <c:pt idx="2343">
                  <c:v>2.3577199375806046E-2</c:v>
                </c:pt>
                <c:pt idx="2344">
                  <c:v>2.3571073269064158E-2</c:v>
                </c:pt>
                <c:pt idx="2345">
                  <c:v>2.3564928528907458E-2</c:v>
                </c:pt>
                <c:pt idx="2346">
                  <c:v>2.3557000769178771E-2</c:v>
                </c:pt>
                <c:pt idx="2347">
                  <c:v>2.355258314866937E-2</c:v>
                </c:pt>
                <c:pt idx="2348">
                  <c:v>2.3545495181576115E-2</c:v>
                </c:pt>
                <c:pt idx="2349">
                  <c:v>2.3540163234851974E-2</c:v>
                </c:pt>
                <c:pt idx="2350">
                  <c:v>2.3533925328020899E-2</c:v>
                </c:pt>
                <c:pt idx="2351">
                  <c:v>2.3526773475071039E-2</c:v>
                </c:pt>
                <c:pt idx="2352">
                  <c:v>2.3521393614194253E-2</c:v>
                </c:pt>
                <c:pt idx="2353">
                  <c:v>2.3515099807118744E-2</c:v>
                </c:pt>
                <c:pt idx="2354">
                  <c:v>2.3508787366788297E-2</c:v>
                </c:pt>
                <c:pt idx="2355">
                  <c:v>2.3502456293122975E-2</c:v>
                </c:pt>
                <c:pt idx="2356">
                  <c:v>2.3496106586042842E-2</c:v>
                </c:pt>
                <c:pt idx="2357">
                  <c:v>2.348973824570777E-2</c:v>
                </c:pt>
                <c:pt idx="2358">
                  <c:v>2.3483351272037822E-2</c:v>
                </c:pt>
                <c:pt idx="2359">
                  <c:v>2.3476945665033E-2</c:v>
                </c:pt>
                <c:pt idx="2360">
                  <c:v>2.347052142453343E-2</c:v>
                </c:pt>
                <c:pt idx="2361">
                  <c:v>2.3464078550858858E-2</c:v>
                </c:pt>
                <c:pt idx="2362">
                  <c:v>2.3457617043769474E-2</c:v>
                </c:pt>
                <c:pt idx="2363">
                  <c:v>2.3451136903265279E-2</c:v>
                </c:pt>
                <c:pt idx="2364">
                  <c:v>2.3443708212242953E-2</c:v>
                </c:pt>
                <c:pt idx="2365">
                  <c:v>2.3438120722412137E-2</c:v>
                </c:pt>
                <c:pt idx="2366">
                  <c:v>2.3431584681983253E-2</c:v>
                </c:pt>
                <c:pt idx="2367">
                  <c:v>2.3425030008059622E-2</c:v>
                </c:pt>
                <c:pt idx="2368">
                  <c:v>2.3418456701040924E-2</c:v>
                </c:pt>
                <c:pt idx="2369">
                  <c:v>2.3411864760527479E-2</c:v>
                </c:pt>
                <c:pt idx="2370">
                  <c:v>2.3405254186759095E-2</c:v>
                </c:pt>
                <c:pt idx="2371">
                  <c:v>2.3398624979575899E-2</c:v>
                </c:pt>
                <c:pt idx="2372">
                  <c:v>2.3391977139137765E-2</c:v>
                </c:pt>
                <c:pt idx="2373">
                  <c:v>2.3385310665364756E-2</c:v>
                </c:pt>
                <c:pt idx="2374">
                  <c:v>2.3378625558176935E-2</c:v>
                </c:pt>
                <c:pt idx="2375">
                  <c:v>2.3371921817734176E-2</c:v>
                </c:pt>
                <c:pt idx="2376">
                  <c:v>2.3365199443956541E-2</c:v>
                </c:pt>
                <c:pt idx="2377">
                  <c:v>2.3358458436844032E-2</c:v>
                </c:pt>
                <c:pt idx="2378">
                  <c:v>2.3351698796316711E-2</c:v>
                </c:pt>
                <c:pt idx="2379">
                  <c:v>2.3344920522614387E-2</c:v>
                </c:pt>
                <c:pt idx="2380">
                  <c:v>2.3338123615577189E-2</c:v>
                </c:pt>
                <c:pt idx="2381">
                  <c:v>2.333184476797534E-2</c:v>
                </c:pt>
                <c:pt idx="2382">
                  <c:v>2.3322070889415514E-2</c:v>
                </c:pt>
                <c:pt idx="2383">
                  <c:v>2.3315659726987903E-2</c:v>
                </c:pt>
                <c:pt idx="2384">
                  <c:v>2.3308782962709884E-2</c:v>
                </c:pt>
                <c:pt idx="2385">
                  <c:v>2.3301887565176926E-2</c:v>
                </c:pt>
                <c:pt idx="2386">
                  <c:v>2.329497353438903E-2</c:v>
                </c:pt>
                <c:pt idx="2387">
                  <c:v>2.3288040870186322E-2</c:v>
                </c:pt>
                <c:pt idx="2388">
                  <c:v>2.3281089572808611E-2</c:v>
                </c:pt>
                <c:pt idx="2389">
                  <c:v>2.3274119642016089E-2</c:v>
                </c:pt>
                <c:pt idx="2390">
                  <c:v>2.3267131077968628E-2</c:v>
                </c:pt>
                <c:pt idx="2391">
                  <c:v>2.3260123880506356E-2</c:v>
                </c:pt>
                <c:pt idx="2392">
                  <c:v>2.3253098049709209E-2</c:v>
                </c:pt>
                <c:pt idx="2393">
                  <c:v>2.3246053585816995E-2</c:v>
                </c:pt>
                <c:pt idx="2394">
                  <c:v>2.3238990488430034E-2</c:v>
                </c:pt>
                <c:pt idx="2395">
                  <c:v>2.3232879726869271E-2</c:v>
                </c:pt>
                <c:pt idx="2396">
                  <c:v>2.3220742677008133E-2</c:v>
                </c:pt>
                <c:pt idx="2397">
                  <c:v>2.3213613032053715E-2</c:v>
                </c:pt>
                <c:pt idx="2398">
                  <c:v>2.3206464753924294E-2</c:v>
                </c:pt>
                <c:pt idx="2399">
                  <c:v>2.3198272476907533E-2</c:v>
                </c:pt>
                <c:pt idx="2400">
                  <c:v>2.3192112297740763E-2</c:v>
                </c:pt>
                <c:pt idx="2401">
                  <c:v>2.3184908119606717E-2</c:v>
                </c:pt>
                <c:pt idx="2402">
                  <c:v>2.3176651956893224E-2</c:v>
                </c:pt>
                <c:pt idx="2403">
                  <c:v>2.3170443863653745E-2</c:v>
                </c:pt>
                <c:pt idx="2404">
                  <c:v>2.316318378559501E-2</c:v>
                </c:pt>
                <c:pt idx="2405">
                  <c:v>2.3155905074281335E-2</c:v>
                </c:pt>
                <c:pt idx="2406">
                  <c:v>2.3148607729792658E-2</c:v>
                </c:pt>
                <c:pt idx="2407">
                  <c:v>2.314129175188917E-2</c:v>
                </c:pt>
                <c:pt idx="2408">
                  <c:v>2.3133957140730743E-2</c:v>
                </c:pt>
                <c:pt idx="2409">
                  <c:v>2.3126603896317377E-2</c:v>
                </c:pt>
                <c:pt idx="2410">
                  <c:v>2.3119232018569136E-2</c:v>
                </c:pt>
                <c:pt idx="2411">
                  <c:v>2.3111841507565956E-2</c:v>
                </c:pt>
                <c:pt idx="2412">
                  <c:v>2.3104432363147964E-2</c:v>
                </c:pt>
                <c:pt idx="2413">
                  <c:v>2.3097004585634906E-2</c:v>
                </c:pt>
                <c:pt idx="2414">
                  <c:v>2.3089558174786973E-2</c:v>
                </c:pt>
                <c:pt idx="2415">
                  <c:v>2.3081025174640502E-2</c:v>
                </c:pt>
                <c:pt idx="2416">
                  <c:v>2.3074609453086481E-2</c:v>
                </c:pt>
                <c:pt idx="2417">
                  <c:v>2.3067107142393795E-2</c:v>
                </c:pt>
                <c:pt idx="2418">
                  <c:v>2.3059586198446169E-2</c:v>
                </c:pt>
                <c:pt idx="2419">
                  <c:v>2.3052046621003797E-2</c:v>
                </c:pt>
                <c:pt idx="2420">
                  <c:v>2.3044488410466357E-2</c:v>
                </c:pt>
                <c:pt idx="2421">
                  <c:v>2.3036911566673979E-2</c:v>
                </c:pt>
                <c:pt idx="2422">
                  <c:v>2.3029316089466789E-2</c:v>
                </c:pt>
                <c:pt idx="2423">
                  <c:v>2.3021701979084597E-2</c:v>
                </c:pt>
                <c:pt idx="2424">
                  <c:v>2.3014069235367529E-2</c:v>
                </c:pt>
                <c:pt idx="2425">
                  <c:v>2.3006417858395523E-2</c:v>
                </c:pt>
                <c:pt idx="2426">
                  <c:v>2.2998747848088641E-2</c:v>
                </c:pt>
                <c:pt idx="2427">
                  <c:v>2.2991059204686692E-2</c:v>
                </c:pt>
                <c:pt idx="2428">
                  <c:v>2.2983351927869933E-2</c:v>
                </c:pt>
                <c:pt idx="2429">
                  <c:v>2.2974520795324693E-2</c:v>
                </c:pt>
                <c:pt idx="2430">
                  <c:v>2.2967881474471596E-2</c:v>
                </c:pt>
                <c:pt idx="2431">
                  <c:v>2.2960118297969956E-2</c:v>
                </c:pt>
                <c:pt idx="2432">
                  <c:v>2.295233648813344E-2</c:v>
                </c:pt>
                <c:pt idx="2433">
                  <c:v>2.2942476614336016E-2</c:v>
                </c:pt>
                <c:pt idx="2434">
                  <c:v>2.293559843670856E-2</c:v>
                </c:pt>
                <c:pt idx="2435">
                  <c:v>2.2928879259014323E-2</c:v>
                </c:pt>
                <c:pt idx="2436">
                  <c:v>2.2921022916158051E-2</c:v>
                </c:pt>
                <c:pt idx="2437">
                  <c:v>2.2913147939966905E-2</c:v>
                </c:pt>
                <c:pt idx="2438">
                  <c:v>2.2905254330600755E-2</c:v>
                </c:pt>
                <c:pt idx="2439">
                  <c:v>2.289734208789973E-2</c:v>
                </c:pt>
                <c:pt idx="2440">
                  <c:v>2.2889411211943766E-2</c:v>
                </c:pt>
                <c:pt idx="2441">
                  <c:v>2.28814617028128E-2</c:v>
                </c:pt>
                <c:pt idx="2442">
                  <c:v>2.2873493560426894E-2</c:v>
                </c:pt>
                <c:pt idx="2443">
                  <c:v>2.2865506784706113E-2</c:v>
                </c:pt>
                <c:pt idx="2444">
                  <c:v>2.2857501375730394E-2</c:v>
                </c:pt>
                <c:pt idx="2445">
                  <c:v>2.2849477333579671E-2</c:v>
                </c:pt>
                <c:pt idx="2446">
                  <c:v>2.2839133328487193E-2</c:v>
                </c:pt>
                <c:pt idx="2447">
                  <c:v>2.2833373349593344E-2</c:v>
                </c:pt>
                <c:pt idx="2448">
                  <c:v>2.2825293407597869E-2</c:v>
                </c:pt>
                <c:pt idx="2449">
                  <c:v>2.2817194832507326E-2</c:v>
                </c:pt>
                <c:pt idx="2450">
                  <c:v>2.2809077624081908E-2</c:v>
                </c:pt>
                <c:pt idx="2451">
                  <c:v>2.2799777998212534E-2</c:v>
                </c:pt>
                <c:pt idx="2452">
                  <c:v>2.2792787307466256E-2</c:v>
                </c:pt>
                <c:pt idx="2453">
                  <c:v>2.2784614199355957E-2</c:v>
                </c:pt>
                <c:pt idx="2454">
                  <c:v>2.277525068818953E-2</c:v>
                </c:pt>
                <c:pt idx="2455">
                  <c:v>2.2768212083370543E-2</c:v>
                </c:pt>
                <c:pt idx="2456">
                  <c:v>2.2759983075655299E-2</c:v>
                </c:pt>
                <c:pt idx="2457">
                  <c:v>2.2751735434525244E-2</c:v>
                </c:pt>
                <c:pt idx="2458">
                  <c:v>2.2743469160220187E-2</c:v>
                </c:pt>
                <c:pt idx="2459">
                  <c:v>2.2735184252580254E-2</c:v>
                </c:pt>
                <c:pt idx="2460">
                  <c:v>2.272688071192519E-2</c:v>
                </c:pt>
                <c:pt idx="2461">
                  <c:v>2.2718558537935252E-2</c:v>
                </c:pt>
                <c:pt idx="2462">
                  <c:v>2.2710217730610438E-2</c:v>
                </c:pt>
                <c:pt idx="2463">
                  <c:v>2.2701858290190557E-2</c:v>
                </c:pt>
                <c:pt idx="2464">
                  <c:v>2.2693480216595674E-2</c:v>
                </c:pt>
                <c:pt idx="2465">
                  <c:v>2.2685083509665915E-2</c:v>
                </c:pt>
                <c:pt idx="2466">
                  <c:v>2.2676668169481218E-2</c:v>
                </c:pt>
                <c:pt idx="2467">
                  <c:v>2.2668234196201453E-2</c:v>
                </c:pt>
                <c:pt idx="2468">
                  <c:v>2.2658572553275746E-2</c:v>
                </c:pt>
                <c:pt idx="2469">
                  <c:v>2.2651310349797171E-2</c:v>
                </c:pt>
                <c:pt idx="2470">
                  <c:v>2.264282047675259E-2</c:v>
                </c:pt>
                <c:pt idx="2471">
                  <c:v>2.2634311970612941E-2</c:v>
                </c:pt>
                <c:pt idx="2472">
                  <c:v>2.2625784831218354E-2</c:v>
                </c:pt>
                <c:pt idx="2473">
                  <c:v>2.2617239058488892E-2</c:v>
                </c:pt>
                <c:pt idx="2474">
                  <c:v>2.2608674652744298E-2</c:v>
                </c:pt>
                <c:pt idx="2475">
                  <c:v>2.260009161366483E-2</c:v>
                </c:pt>
                <c:pt idx="2476">
                  <c:v>2.2591489941410359E-2</c:v>
                </c:pt>
                <c:pt idx="2477">
                  <c:v>2.2582869635900948E-2</c:v>
                </c:pt>
                <c:pt idx="2478">
                  <c:v>2.2574230697216535E-2</c:v>
                </c:pt>
                <c:pt idx="2479">
                  <c:v>2.2565573125357119E-2</c:v>
                </c:pt>
                <c:pt idx="2480">
                  <c:v>2.2556896920242764E-2</c:v>
                </c:pt>
                <c:pt idx="2481">
                  <c:v>2.254695844108312E-2</c:v>
                </c:pt>
                <c:pt idx="2482">
                  <c:v>2.2539488610409109E-2</c:v>
                </c:pt>
                <c:pt idx="2483">
                  <c:v>2.2530756505689808E-2</c:v>
                </c:pt>
                <c:pt idx="2484">
                  <c:v>2.2522005767875442E-2</c:v>
                </c:pt>
                <c:pt idx="2485">
                  <c:v>2.2510727439764011E-2</c:v>
                </c:pt>
                <c:pt idx="2486">
                  <c:v>2.250319144217805E-2</c:v>
                </c:pt>
                <c:pt idx="2487">
                  <c:v>2.2495641754902707E-2</c:v>
                </c:pt>
                <c:pt idx="2488">
                  <c:v>2.2486816484228456E-2</c:v>
                </c:pt>
                <c:pt idx="2489">
                  <c:v>2.2477972580459138E-2</c:v>
                </c:pt>
                <c:pt idx="2490">
                  <c:v>2.246911452504996E-2</c:v>
                </c:pt>
                <c:pt idx="2491">
                  <c:v>2.2460268966284502E-2</c:v>
                </c:pt>
                <c:pt idx="2492">
                  <c:v>2.2451440385697907E-2</c:v>
                </c:pt>
                <c:pt idx="2493">
                  <c:v>2.2442628783529983E-2</c:v>
                </c:pt>
                <c:pt idx="2494">
                  <c:v>2.243383415938105E-2</c:v>
                </c:pt>
                <c:pt idx="2495">
                  <c:v>2.2425056513570851E-2</c:v>
                </c:pt>
                <c:pt idx="2496">
                  <c:v>2.2416295846099388E-2</c:v>
                </c:pt>
                <c:pt idx="2497">
                  <c:v>2.2407552156806787E-2</c:v>
                </c:pt>
                <c:pt idx="2498">
                  <c:v>2.2398825445772985E-2</c:v>
                </c:pt>
                <c:pt idx="2499">
                  <c:v>2.2390115712997982E-2</c:v>
                </c:pt>
                <c:pt idx="2500">
                  <c:v>2.2381422958481778E-2</c:v>
                </c:pt>
                <c:pt idx="2501">
                  <c:v>2.2370271507359263E-2</c:v>
                </c:pt>
                <c:pt idx="2502">
                  <c:v>2.2364088384065894E-2</c:v>
                </c:pt>
                <c:pt idx="2503">
                  <c:v>2.2354213404511825E-2</c:v>
                </c:pt>
                <c:pt idx="2504">
                  <c:v>2.2346821722765142E-2</c:v>
                </c:pt>
                <c:pt idx="2505">
                  <c:v>2.2338213859462996E-2</c:v>
                </c:pt>
                <c:pt idx="2506">
                  <c:v>2.2329622974339713E-2</c:v>
                </c:pt>
                <c:pt idx="2507">
                  <c:v>2.2319825609580235E-2</c:v>
                </c:pt>
                <c:pt idx="2508">
                  <c:v>2.231249213894948E-2</c:v>
                </c:pt>
                <c:pt idx="2509">
                  <c:v>2.2303952188522658E-2</c:v>
                </c:pt>
                <c:pt idx="2510">
                  <c:v>2.2295429216354634E-2</c:v>
                </c:pt>
                <c:pt idx="2511">
                  <c:v>2.2286923222525346E-2</c:v>
                </c:pt>
                <c:pt idx="2512">
                  <c:v>2.2278434206794984E-2</c:v>
                </c:pt>
                <c:pt idx="2513">
                  <c:v>2.2269962169403357E-2</c:v>
                </c:pt>
                <c:pt idx="2514">
                  <c:v>2.2261507110270529E-2</c:v>
                </c:pt>
                <c:pt idx="2515">
                  <c:v>2.2253069029236627E-2</c:v>
                </c:pt>
                <c:pt idx="2516">
                  <c:v>2.2244647926381589E-2</c:v>
                </c:pt>
                <c:pt idx="2517">
                  <c:v>2.2236243801865285E-2</c:v>
                </c:pt>
                <c:pt idx="2518">
                  <c:v>2.2227856655607781E-2</c:v>
                </c:pt>
                <c:pt idx="2519">
                  <c:v>2.2219486487529139E-2</c:v>
                </c:pt>
                <c:pt idx="2520">
                  <c:v>2.2209941370832098E-2</c:v>
                </c:pt>
                <c:pt idx="2521">
                  <c:v>2.2202797085988379E-2</c:v>
                </c:pt>
                <c:pt idx="2522">
                  <c:v>2.2194477852686134E-2</c:v>
                </c:pt>
                <c:pt idx="2523">
                  <c:v>2.2186175597482816E-2</c:v>
                </c:pt>
                <c:pt idx="2524">
                  <c:v>2.2177890320378424E-2</c:v>
                </c:pt>
                <c:pt idx="2525">
                  <c:v>2.2169622021692703E-2</c:v>
                </c:pt>
                <c:pt idx="2526">
                  <c:v>2.2161370701105909E-2</c:v>
                </c:pt>
                <c:pt idx="2527">
                  <c:v>2.2153136358777914E-2</c:v>
                </c:pt>
                <c:pt idx="2528">
                  <c:v>2.2144918994628782E-2</c:v>
                </c:pt>
                <c:pt idx="2529">
                  <c:v>2.2136718608738448E-2</c:v>
                </c:pt>
                <c:pt idx="2530">
                  <c:v>2.2128535201026978E-2</c:v>
                </c:pt>
                <c:pt idx="2531">
                  <c:v>2.2119203524795239E-2</c:v>
                </c:pt>
                <c:pt idx="2532">
                  <c:v>2.2112219320220561E-2</c:v>
                </c:pt>
                <c:pt idx="2533">
                  <c:v>2.210292645134615E-2</c:v>
                </c:pt>
                <c:pt idx="2534">
                  <c:v>2.2095971352289467E-2</c:v>
                </c:pt>
                <c:pt idx="2535">
                  <c:v>2.2087872835712119E-2</c:v>
                </c:pt>
                <c:pt idx="2536">
                  <c:v>2.2079791297233697E-2</c:v>
                </c:pt>
                <c:pt idx="2537">
                  <c:v>2.2069425695336875E-2</c:v>
                </c:pt>
                <c:pt idx="2538">
                  <c:v>2.2060235388661198E-2</c:v>
                </c:pt>
                <c:pt idx="2539">
                  <c:v>2.2054502707851142E-2</c:v>
                </c:pt>
                <c:pt idx="2540">
                  <c:v>2.2046491507747845E-2</c:v>
                </c:pt>
                <c:pt idx="2541">
                  <c:v>2.2038497285823411E-2</c:v>
                </c:pt>
                <c:pt idx="2542">
                  <c:v>2.2030520041997903E-2</c:v>
                </c:pt>
                <c:pt idx="2543">
                  <c:v>2.2022559776351258E-2</c:v>
                </c:pt>
                <c:pt idx="2544">
                  <c:v>2.2014616488883476E-2</c:v>
                </c:pt>
                <c:pt idx="2545">
                  <c:v>2.2006690179754429E-2</c:v>
                </c:pt>
                <c:pt idx="2546">
                  <c:v>2.1998780848724309E-2</c:v>
                </c:pt>
                <c:pt idx="2547">
                  <c:v>2.1990888495793115E-2</c:v>
                </c:pt>
                <c:pt idx="2548">
                  <c:v>2.1983013121280592E-2</c:v>
                </c:pt>
                <c:pt idx="2549">
                  <c:v>2.197515472478706E-2</c:v>
                </c:pt>
                <c:pt idx="2550">
                  <c:v>2.1967313306552327E-2</c:v>
                </c:pt>
                <c:pt idx="2551">
                  <c:v>2.195725643058033E-2</c:v>
                </c:pt>
                <c:pt idx="2552">
                  <c:v>2.195168140461945E-2</c:v>
                </c:pt>
                <c:pt idx="2553">
                  <c:v>2.1943890920841369E-2</c:v>
                </c:pt>
                <c:pt idx="2554">
                  <c:v>2.1936117415242151E-2</c:v>
                </c:pt>
                <c:pt idx="2555">
                  <c:v>2.1927254198601531E-2</c:v>
                </c:pt>
                <c:pt idx="2556">
                  <c:v>2.1920621338740176E-2</c:v>
                </c:pt>
                <c:pt idx="2557">
                  <c:v>2.1912898767837419E-2</c:v>
                </c:pt>
                <c:pt idx="2558">
                  <c:v>2.1905193175033588E-2</c:v>
                </c:pt>
                <c:pt idx="2559">
                  <c:v>2.1896407572787879E-2</c:v>
                </c:pt>
                <c:pt idx="2560">
                  <c:v>2.1889832924042452E-2</c:v>
                </c:pt>
                <c:pt idx="2561">
                  <c:v>2.1882178265695273E-2</c:v>
                </c:pt>
                <c:pt idx="2562">
                  <c:v>2.1874540585606894E-2</c:v>
                </c:pt>
                <c:pt idx="2563">
                  <c:v>2.1866919883697378E-2</c:v>
                </c:pt>
                <c:pt idx="2564">
                  <c:v>2.1859316159966724E-2</c:v>
                </c:pt>
                <c:pt idx="2565">
                  <c:v>2.1851729414255061E-2</c:v>
                </c:pt>
                <c:pt idx="2566">
                  <c:v>2.1844159646962069E-2</c:v>
                </c:pt>
                <c:pt idx="2567">
                  <c:v>2.1836606857768004E-2</c:v>
                </c:pt>
                <c:pt idx="2568">
                  <c:v>2.1829071046672865E-2</c:v>
                </c:pt>
                <c:pt idx="2569">
                  <c:v>2.1821552213676654E-2</c:v>
                </c:pt>
                <c:pt idx="2570">
                  <c:v>2.1814050359019177E-2</c:v>
                </c:pt>
                <c:pt idx="2571">
                  <c:v>2.1806565482380691E-2</c:v>
                </c:pt>
                <c:pt idx="2572">
                  <c:v>2.1798032127477995E-2</c:v>
                </c:pt>
                <c:pt idx="2573">
                  <c:v>2.1791646663800179E-2</c:v>
                </c:pt>
                <c:pt idx="2574">
                  <c:v>2.1784212721698282E-2</c:v>
                </c:pt>
                <c:pt idx="2575">
                  <c:v>2.1776795757855183E-2</c:v>
                </c:pt>
                <c:pt idx="2576">
                  <c:v>2.1769395772031075E-2</c:v>
                </c:pt>
                <c:pt idx="2577">
                  <c:v>2.176201276438583E-2</c:v>
                </c:pt>
                <c:pt idx="2578">
                  <c:v>2.1754646734999383E-2</c:v>
                </c:pt>
                <c:pt idx="2579">
                  <c:v>2.1747297683711864E-2</c:v>
                </c:pt>
                <c:pt idx="2580">
                  <c:v>2.1739965610523271E-2</c:v>
                </c:pt>
                <c:pt idx="2581">
                  <c:v>2.1732650515673413E-2</c:v>
                </c:pt>
                <c:pt idx="2582">
                  <c:v>2.1725352398842546E-2</c:v>
                </c:pt>
                <c:pt idx="2583">
                  <c:v>2.1717032483525855E-2</c:v>
                </c:pt>
                <c:pt idx="2584">
                  <c:v>2.1710807099637464E-2</c:v>
                </c:pt>
                <c:pt idx="2585">
                  <c:v>2.1703559917263249E-2</c:v>
                </c:pt>
                <c:pt idx="2586">
                  <c:v>2.1696329712987961E-2</c:v>
                </c:pt>
                <c:pt idx="2587">
                  <c:v>2.1689116486971471E-2</c:v>
                </c:pt>
                <c:pt idx="2588">
                  <c:v>2.1681920239053909E-2</c:v>
                </c:pt>
                <c:pt idx="2589">
                  <c:v>2.16726928677069E-2</c:v>
                </c:pt>
                <c:pt idx="2590">
                  <c:v>2.1666556879109677E-2</c:v>
                </c:pt>
                <c:pt idx="2591">
                  <c:v>2.1660433364214526E-2</c:v>
                </c:pt>
                <c:pt idx="2592">
                  <c:v>2.1653305028852543E-2</c:v>
                </c:pt>
                <c:pt idx="2593">
                  <c:v>2.1646193671669423E-2</c:v>
                </c:pt>
                <c:pt idx="2594">
                  <c:v>2.1639099292585229E-2</c:v>
                </c:pt>
                <c:pt idx="2595">
                  <c:v>2.1632021891679898E-2</c:v>
                </c:pt>
                <c:pt idx="2596">
                  <c:v>2.1624961468873494E-2</c:v>
                </c:pt>
                <c:pt idx="2597">
                  <c:v>2.1617918024166016E-2</c:v>
                </c:pt>
                <c:pt idx="2598">
                  <c:v>2.1610891557717338E-2</c:v>
                </c:pt>
                <c:pt idx="2599">
                  <c:v>2.1603882069367586E-2</c:v>
                </c:pt>
                <c:pt idx="2600">
                  <c:v>2.1596889559116761E-2</c:v>
                </c:pt>
                <c:pt idx="2601">
                  <c:v>2.1589914027044799E-2</c:v>
                </c:pt>
                <c:pt idx="2602">
                  <c:v>2.1582955473071763E-2</c:v>
                </c:pt>
                <c:pt idx="2603">
                  <c:v>2.1576013897357527E-2</c:v>
                </c:pt>
                <c:pt idx="2604">
                  <c:v>2.1569089299582345E-2</c:v>
                </c:pt>
                <c:pt idx="2605">
                  <c:v>2.1562181679906089E-2</c:v>
                </c:pt>
                <c:pt idx="2606">
                  <c:v>2.1553325402354773E-2</c:v>
                </c:pt>
                <c:pt idx="2607">
                  <c:v>2.154841737525004E-2</c:v>
                </c:pt>
                <c:pt idx="2608">
                  <c:v>2.1540582549501863E-2</c:v>
                </c:pt>
                <c:pt idx="2609">
                  <c:v>2.1534720982989697E-2</c:v>
                </c:pt>
                <c:pt idx="2610">
                  <c:v>2.152789825412782E-2</c:v>
                </c:pt>
                <c:pt idx="2611">
                  <c:v>2.1520121639175827E-2</c:v>
                </c:pt>
                <c:pt idx="2612">
                  <c:v>2.1514303730540973E-2</c:v>
                </c:pt>
                <c:pt idx="2613">
                  <c:v>2.1507531935975877E-2</c:v>
                </c:pt>
                <c:pt idx="2614">
                  <c:v>2.1500777119669578E-2</c:v>
                </c:pt>
                <c:pt idx="2615">
                  <c:v>2.1494039281302335E-2</c:v>
                </c:pt>
                <c:pt idx="2616">
                  <c:v>2.1487318421034018E-2</c:v>
                </c:pt>
                <c:pt idx="2617">
                  <c:v>2.1480614539024501E-2</c:v>
                </c:pt>
                <c:pt idx="2618">
                  <c:v>2.1473927635033974E-2</c:v>
                </c:pt>
                <c:pt idx="2619">
                  <c:v>2.1467257709222309E-2</c:v>
                </c:pt>
                <c:pt idx="2620">
                  <c:v>2.1460604761509572E-2</c:v>
                </c:pt>
                <c:pt idx="2621">
                  <c:v>2.1453968791895761E-2</c:v>
                </c:pt>
                <c:pt idx="2622">
                  <c:v>2.1447349800460813E-2</c:v>
                </c:pt>
                <c:pt idx="2623">
                  <c:v>2.1440747787044856E-2</c:v>
                </c:pt>
                <c:pt idx="2624">
                  <c:v>2.1433223418316771E-2</c:v>
                </c:pt>
                <c:pt idx="2625">
                  <c:v>2.1427594694509722E-2</c:v>
                </c:pt>
                <c:pt idx="2626">
                  <c:v>2.1421043615550417E-2</c:v>
                </c:pt>
                <c:pt idx="2627">
                  <c:v>2.1414509514530167E-2</c:v>
                </c:pt>
                <c:pt idx="2628">
                  <c:v>2.1407992391768715E-2</c:v>
                </c:pt>
                <c:pt idx="2629">
                  <c:v>2.1401492247106191E-2</c:v>
                </c:pt>
                <c:pt idx="2630">
                  <c:v>2.1395009080382721E-2</c:v>
                </c:pt>
                <c:pt idx="2631">
                  <c:v>2.138854289191805E-2</c:v>
                </c:pt>
                <c:pt idx="2632">
                  <c:v>2.1382093681472369E-2</c:v>
                </c:pt>
                <c:pt idx="2633">
                  <c:v>2.1375661449205552E-2</c:v>
                </c:pt>
                <c:pt idx="2634">
                  <c:v>2.1369246194957725E-2</c:v>
                </c:pt>
                <c:pt idx="2635">
                  <c:v>2.1362847918968697E-2</c:v>
                </c:pt>
                <c:pt idx="2636">
                  <c:v>2.1356466620918724E-2</c:v>
                </c:pt>
                <c:pt idx="2637">
                  <c:v>2.1350102301127549E-2</c:v>
                </c:pt>
                <c:pt idx="2638">
                  <c:v>2.1343754959275429E-2</c:v>
                </c:pt>
                <c:pt idx="2639">
                  <c:v>2.1337424595602172E-2</c:v>
                </c:pt>
                <c:pt idx="2640">
                  <c:v>2.1331111210027842E-2</c:v>
                </c:pt>
                <c:pt idx="2641">
                  <c:v>2.132301894732791E-2</c:v>
                </c:pt>
                <c:pt idx="2642">
                  <c:v>2.1316744368871099E-2</c:v>
                </c:pt>
                <c:pt idx="2643">
                  <c:v>2.1311379671864472E-2</c:v>
                </c:pt>
                <c:pt idx="2644">
                  <c:v>2.1305136624105714E-2</c:v>
                </c:pt>
                <c:pt idx="2645">
                  <c:v>2.1298022501934355E-2</c:v>
                </c:pt>
                <c:pt idx="2646">
                  <c:v>2.1292701462725105E-2</c:v>
                </c:pt>
                <c:pt idx="2647">
                  <c:v>2.1286509349343063E-2</c:v>
                </c:pt>
                <c:pt idx="2648">
                  <c:v>2.1280334213900076E-2</c:v>
                </c:pt>
                <c:pt idx="2649">
                  <c:v>2.1273297705803884E-2</c:v>
                </c:pt>
                <c:pt idx="2650">
                  <c:v>2.1268034877390818E-2</c:v>
                </c:pt>
                <c:pt idx="2651">
                  <c:v>2.1261910676324547E-2</c:v>
                </c:pt>
                <c:pt idx="2652">
                  <c:v>2.1255803453277267E-2</c:v>
                </c:pt>
                <c:pt idx="2653">
                  <c:v>2.1249713208248977E-2</c:v>
                </c:pt>
                <c:pt idx="2654">
                  <c:v>2.124363994139955E-2</c:v>
                </c:pt>
                <c:pt idx="2655">
                  <c:v>2.1237583652569114E-2</c:v>
                </c:pt>
                <c:pt idx="2656">
                  <c:v>2.1231544341837605E-2</c:v>
                </c:pt>
                <c:pt idx="2657">
                  <c:v>2.1224197495426367E-2</c:v>
                </c:pt>
                <c:pt idx="2658">
                  <c:v>2.1219516654671366E-2</c:v>
                </c:pt>
                <c:pt idx="2659">
                  <c:v>2.1213528278236637E-2</c:v>
                </c:pt>
                <c:pt idx="2660">
                  <c:v>2.120670520892709E-2</c:v>
                </c:pt>
                <c:pt idx="2661">
                  <c:v>2.1201602459584024E-2</c:v>
                </c:pt>
                <c:pt idx="2662">
                  <c:v>2.1195665017286203E-2</c:v>
                </c:pt>
                <c:pt idx="2663">
                  <c:v>2.1188900158533031E-2</c:v>
                </c:pt>
                <c:pt idx="2664">
                  <c:v>2.1183841066987341E-2</c:v>
                </c:pt>
                <c:pt idx="2665">
                  <c:v>2.1177954559066237E-2</c:v>
                </c:pt>
                <c:pt idx="2666">
                  <c:v>2.1172085029164123E-2</c:v>
                </c:pt>
                <c:pt idx="2667">
                  <c:v>2.1166232477360936E-2</c:v>
                </c:pt>
                <c:pt idx="2668">
                  <c:v>2.1160396903496803E-2</c:v>
                </c:pt>
                <c:pt idx="2669">
                  <c:v>2.1154578307811533E-2</c:v>
                </c:pt>
                <c:pt idx="2670">
                  <c:v>2.1148776690145255E-2</c:v>
                </c:pt>
                <c:pt idx="2671">
                  <c:v>2.1142992050657838E-2</c:v>
                </c:pt>
                <c:pt idx="2672">
                  <c:v>2.1137224389109477E-2</c:v>
                </c:pt>
                <c:pt idx="2673">
                  <c:v>2.1131473705739978E-2</c:v>
                </c:pt>
                <c:pt idx="2674">
                  <c:v>2.1125740000469406E-2</c:v>
                </c:pt>
                <c:pt idx="2675">
                  <c:v>2.1120023273137889E-2</c:v>
                </c:pt>
                <c:pt idx="2676">
                  <c:v>2.1113510659969137E-2</c:v>
                </c:pt>
                <c:pt idx="2677">
                  <c:v>2.1107830314335274E-2</c:v>
                </c:pt>
                <c:pt idx="2678">
                  <c:v>2.1102974959656962E-2</c:v>
                </c:pt>
                <c:pt idx="2679">
                  <c:v>2.1097326144561279E-2</c:v>
                </c:pt>
                <c:pt idx="2680">
                  <c:v>2.109169430764446E-2</c:v>
                </c:pt>
                <c:pt idx="2681">
                  <c:v>2.1086079448826567E-2</c:v>
                </c:pt>
                <c:pt idx="2682">
                  <c:v>2.1080481568027665E-2</c:v>
                </c:pt>
                <c:pt idx="2683">
                  <c:v>2.1074104779410519E-2</c:v>
                </c:pt>
                <c:pt idx="2684">
                  <c:v>2.1069336740566769E-2</c:v>
                </c:pt>
                <c:pt idx="2685">
                  <c:v>2.1063789793904775E-2</c:v>
                </c:pt>
                <c:pt idx="2686">
                  <c:v>2.1058259825261771E-2</c:v>
                </c:pt>
                <c:pt idx="2687">
                  <c:v>2.1051960650639856E-2</c:v>
                </c:pt>
                <c:pt idx="2688">
                  <c:v>2.1047250822352481E-2</c:v>
                </c:pt>
                <c:pt idx="2689">
                  <c:v>2.1041771787846386E-2</c:v>
                </c:pt>
                <c:pt idx="2690">
                  <c:v>2.1036309731519154E-2</c:v>
                </c:pt>
                <c:pt idx="2691">
                  <c:v>2.1030864653210912E-2</c:v>
                </c:pt>
                <c:pt idx="2692">
                  <c:v>2.1025436552921661E-2</c:v>
                </c:pt>
                <c:pt idx="2693">
                  <c:v>2.1018938782360053E-2</c:v>
                </c:pt>
                <c:pt idx="2694">
                  <c:v>2.1013551285617993E-2</c:v>
                </c:pt>
                <c:pt idx="2695">
                  <c:v>2.1008487339848614E-2</c:v>
                </c:pt>
                <c:pt idx="2696">
                  <c:v>2.1003129577294999E-2</c:v>
                </c:pt>
                <c:pt idx="2697">
                  <c:v>2.0997788792760375E-2</c:v>
                </c:pt>
                <c:pt idx="2698">
                  <c:v>2.0992464986244741E-2</c:v>
                </c:pt>
                <c:pt idx="2699">
                  <c:v>2.0987158157828034E-2</c:v>
                </c:pt>
                <c:pt idx="2700">
                  <c:v>2.0981868307350382E-2</c:v>
                </c:pt>
                <c:pt idx="2701">
                  <c:v>2.0976595435051593E-2</c:v>
                </c:pt>
                <c:pt idx="2702">
                  <c:v>2.0971339540691858E-2</c:v>
                </c:pt>
                <c:pt idx="2703">
                  <c:v>2.0966100624510986E-2</c:v>
                </c:pt>
                <c:pt idx="2704">
                  <c:v>2.0960878686269169E-2</c:v>
                </c:pt>
                <c:pt idx="2705">
                  <c:v>2.0955673726046342E-2</c:v>
                </c:pt>
                <c:pt idx="2706">
                  <c:v>2.09514451861601E-2</c:v>
                </c:pt>
                <c:pt idx="2707">
                  <c:v>2.0942367503122838E-2</c:v>
                </c:pt>
                <c:pt idx="2708">
                  <c:v>2.0937223178876252E-2</c:v>
                </c:pt>
                <c:pt idx="2709">
                  <c:v>2.0932095832648656E-2</c:v>
                </c:pt>
                <c:pt idx="2710">
                  <c:v>2.0926985464440051E-2</c:v>
                </c:pt>
                <c:pt idx="2711">
                  <c:v>2.0921165833023281E-2</c:v>
                </c:pt>
                <c:pt idx="2712">
                  <c:v>2.0916815662079813E-2</c:v>
                </c:pt>
                <c:pt idx="2713">
                  <c:v>2.0911756228008116E-2</c:v>
                </c:pt>
                <c:pt idx="2714">
                  <c:v>2.0905994806987849E-2</c:v>
                </c:pt>
                <c:pt idx="2715">
                  <c:v>2.0901688293761822E-2</c:v>
                </c:pt>
                <c:pt idx="2716">
                  <c:v>2.0896679793747097E-2</c:v>
                </c:pt>
                <c:pt idx="2717">
                  <c:v>2.0891688271831299E-2</c:v>
                </c:pt>
                <c:pt idx="2718">
                  <c:v>2.0886713727934492E-2</c:v>
                </c:pt>
                <c:pt idx="2719">
                  <c:v>2.0881756162056675E-2</c:v>
                </c:pt>
                <c:pt idx="2720">
                  <c:v>2.0876815574117913E-2</c:v>
                </c:pt>
                <c:pt idx="2721">
                  <c:v>2.0871891964278078E-2</c:v>
                </c:pt>
                <c:pt idx="2722">
                  <c:v>2.0866985332537169E-2</c:v>
                </c:pt>
                <c:pt idx="2723">
                  <c:v>2.0862095678815251E-2</c:v>
                </c:pt>
                <c:pt idx="2724">
                  <c:v>2.0857223003032388E-2</c:v>
                </c:pt>
                <c:pt idx="2725">
                  <c:v>2.0852367305268515E-2</c:v>
                </c:pt>
                <c:pt idx="2726">
                  <c:v>2.0847528585683506E-2</c:v>
                </c:pt>
                <c:pt idx="2727">
                  <c:v>2.0842019409768042E-2</c:v>
                </c:pt>
                <c:pt idx="2728">
                  <c:v>2.0837902080410586E-2</c:v>
                </c:pt>
                <c:pt idx="2729">
                  <c:v>2.0833114294722677E-2</c:v>
                </c:pt>
                <c:pt idx="2730">
                  <c:v>2.082834348721363E-2</c:v>
                </c:pt>
                <c:pt idx="2731">
                  <c:v>2.0823589657723574E-2</c:v>
                </c:pt>
                <c:pt idx="2732">
                  <c:v>2.0818852806172572E-2</c:v>
                </c:pt>
                <c:pt idx="2733">
                  <c:v>2.0814132932640561E-2</c:v>
                </c:pt>
                <c:pt idx="2734">
                  <c:v>2.0809430037207477E-2</c:v>
                </c:pt>
                <c:pt idx="2735">
                  <c:v>2.0804744119793384E-2</c:v>
                </c:pt>
                <c:pt idx="2736">
                  <c:v>2.0800075180318345E-2</c:v>
                </c:pt>
                <c:pt idx="2737">
                  <c:v>2.0795423218942233E-2</c:v>
                </c:pt>
                <c:pt idx="2738">
                  <c:v>2.0790788235585111E-2</c:v>
                </c:pt>
                <c:pt idx="2739">
                  <c:v>2.0786170230167045E-2</c:v>
                </c:pt>
                <c:pt idx="2740">
                  <c:v>2.0781569202847905E-2</c:v>
                </c:pt>
                <c:pt idx="2741">
                  <c:v>2.0776331675236293E-2</c:v>
                </c:pt>
                <c:pt idx="2742">
                  <c:v>2.0772418082186661E-2</c:v>
                </c:pt>
                <c:pt idx="2743">
                  <c:v>2.0767867988924493E-2</c:v>
                </c:pt>
                <c:pt idx="2744">
                  <c:v>2.0763334873681316E-2</c:v>
                </c:pt>
                <c:pt idx="2745">
                  <c:v>2.0757808407236844E-2</c:v>
                </c:pt>
                <c:pt idx="2746">
                  <c:v>2.0753678226119732E-2</c:v>
                </c:pt>
                <c:pt idx="2747">
                  <c:v>2.0749837395905857E-2</c:v>
                </c:pt>
                <c:pt idx="2748">
                  <c:v>2.0745372192738643E-2</c:v>
                </c:pt>
                <c:pt idx="2749">
                  <c:v>2.0740923967590419E-2</c:v>
                </c:pt>
                <c:pt idx="2750">
                  <c:v>2.0736492720301314E-2</c:v>
                </c:pt>
                <c:pt idx="2751">
                  <c:v>2.0732078451271008E-2</c:v>
                </c:pt>
                <c:pt idx="2752">
                  <c:v>2.0727681160179756E-2</c:v>
                </c:pt>
                <c:pt idx="2753">
                  <c:v>2.0723300846947623E-2</c:v>
                </c:pt>
                <c:pt idx="2754">
                  <c:v>2.0718937511814417E-2</c:v>
                </c:pt>
                <c:pt idx="2755">
                  <c:v>2.0714591154780138E-2</c:v>
                </c:pt>
                <c:pt idx="2756">
                  <c:v>2.0710261775604977E-2</c:v>
                </c:pt>
                <c:pt idx="2757">
                  <c:v>2.0705949374528743E-2</c:v>
                </c:pt>
                <c:pt idx="2758">
                  <c:v>2.0701653951391563E-2</c:v>
                </c:pt>
                <c:pt idx="2759">
                  <c:v>2.069737550635331E-2</c:v>
                </c:pt>
                <c:pt idx="2760">
                  <c:v>2.0693114039254112E-2</c:v>
                </c:pt>
                <c:pt idx="2761">
                  <c:v>2.068765995742794E-2</c:v>
                </c:pt>
                <c:pt idx="2762">
                  <c:v>2.0684642039032752E-2</c:v>
                </c:pt>
                <c:pt idx="2763">
                  <c:v>2.0679831387235836E-2</c:v>
                </c:pt>
                <c:pt idx="2764">
                  <c:v>2.0676237951047227E-2</c:v>
                </c:pt>
                <c:pt idx="2765">
                  <c:v>2.067206137388311E-2</c:v>
                </c:pt>
                <c:pt idx="2766">
                  <c:v>2.0667901774897857E-2</c:v>
                </c:pt>
                <c:pt idx="2767">
                  <c:v>2.0663168736696491E-2</c:v>
                </c:pt>
                <c:pt idx="2768">
                  <c:v>2.0659633510744513E-2</c:v>
                </c:pt>
                <c:pt idx="2769">
                  <c:v>2.0655524845736295E-2</c:v>
                </c:pt>
                <c:pt idx="2770">
                  <c:v>2.0651433158747068E-2</c:v>
                </c:pt>
                <c:pt idx="2771">
                  <c:v>2.0647358449696895E-2</c:v>
                </c:pt>
                <c:pt idx="2772">
                  <c:v>2.0643300718585778E-2</c:v>
                </c:pt>
                <c:pt idx="2773">
                  <c:v>2.0639259965653522E-2</c:v>
                </c:pt>
                <c:pt idx="2774">
                  <c:v>2.0635236190660322E-2</c:v>
                </c:pt>
                <c:pt idx="2775">
                  <c:v>2.0631229393606176E-2</c:v>
                </c:pt>
                <c:pt idx="2776">
                  <c:v>2.0627239574491085E-2</c:v>
                </c:pt>
                <c:pt idx="2777">
                  <c:v>2.0623266733474921E-2</c:v>
                </c:pt>
                <c:pt idx="2778">
                  <c:v>2.0619310870397811E-2</c:v>
                </c:pt>
                <c:pt idx="2779">
                  <c:v>2.0615371985259756E-2</c:v>
                </c:pt>
                <c:pt idx="2780">
                  <c:v>2.0610891191763514E-2</c:v>
                </c:pt>
                <c:pt idx="2781">
                  <c:v>2.0607545149280426E-2</c:v>
                </c:pt>
                <c:pt idx="2782">
                  <c:v>2.0603657198119407E-2</c:v>
                </c:pt>
                <c:pt idx="2783">
                  <c:v>2.0599786225137251E-2</c:v>
                </c:pt>
                <c:pt idx="2784">
                  <c:v>2.0595932230014213E-2</c:v>
                </c:pt>
                <c:pt idx="2785">
                  <c:v>2.0592095212910166E-2</c:v>
                </c:pt>
                <c:pt idx="2786">
                  <c:v>2.0588275173745174E-2</c:v>
                </c:pt>
                <c:pt idx="2787">
                  <c:v>2.0584472112679109E-2</c:v>
                </c:pt>
                <c:pt idx="2788">
                  <c:v>2.0580686029632034E-2</c:v>
                </c:pt>
                <c:pt idx="2789">
                  <c:v>2.0576916924524014E-2</c:v>
                </c:pt>
                <c:pt idx="2790">
                  <c:v>2.0573164797355048E-2</c:v>
                </c:pt>
                <c:pt idx="2791">
                  <c:v>2.056889744144641E-2</c:v>
                </c:pt>
                <c:pt idx="2792">
                  <c:v>2.0565711477154025E-2</c:v>
                </c:pt>
                <c:pt idx="2793">
                  <c:v>2.0561482928043162E-2</c:v>
                </c:pt>
                <c:pt idx="2794">
                  <c:v>2.0558326068709221E-2</c:v>
                </c:pt>
                <c:pt idx="2795">
                  <c:v>2.0554658831555273E-2</c:v>
                </c:pt>
                <c:pt idx="2796">
                  <c:v>2.0551008572340379E-2</c:v>
                </c:pt>
                <c:pt idx="2797">
                  <c:v>2.054634032918834E-2</c:v>
                </c:pt>
                <c:pt idx="2798">
                  <c:v>2.0542214340997234E-2</c:v>
                </c:pt>
                <c:pt idx="2799">
                  <c:v>2.0539646859250027E-2</c:v>
                </c:pt>
                <c:pt idx="2800">
                  <c:v>2.0536066937530961E-2</c:v>
                </c:pt>
                <c:pt idx="2801">
                  <c:v>2.0532503993671014E-2</c:v>
                </c:pt>
                <c:pt idx="2802">
                  <c:v>2.0528958027750122E-2</c:v>
                </c:pt>
                <c:pt idx="2803">
                  <c:v>2.052542903984822E-2</c:v>
                </c:pt>
                <c:pt idx="2804">
                  <c:v>2.0521917030045245E-2</c:v>
                </c:pt>
                <c:pt idx="2805">
                  <c:v>2.0518421998181324E-2</c:v>
                </c:pt>
                <c:pt idx="2806">
                  <c:v>2.0514943944176522E-2</c:v>
                </c:pt>
                <c:pt idx="2807">
                  <c:v>2.0511482868270647E-2</c:v>
                </c:pt>
                <c:pt idx="2808">
                  <c:v>2.0508038770303827E-2</c:v>
                </c:pt>
                <c:pt idx="2809">
                  <c:v>2.0504611650276061E-2</c:v>
                </c:pt>
                <c:pt idx="2810">
                  <c:v>2.0501201508267286E-2</c:v>
                </c:pt>
                <c:pt idx="2811">
                  <c:v>2.0497808344277502E-2</c:v>
                </c:pt>
                <c:pt idx="2812">
                  <c:v>2.0493470651912205E-2</c:v>
                </c:pt>
                <c:pt idx="2813">
                  <c:v>2.0491072950035161E-2</c:v>
                </c:pt>
                <c:pt idx="2814">
                  <c:v>2.0487730719942476E-2</c:v>
                </c:pt>
                <c:pt idx="2815">
                  <c:v>2.0483931817709689E-2</c:v>
                </c:pt>
                <c:pt idx="2816">
                  <c:v>2.048109719381408E-2</c:v>
                </c:pt>
                <c:pt idx="2817">
                  <c:v>2.0477805897538559E-2</c:v>
                </c:pt>
                <c:pt idx="2818">
                  <c:v>2.0474531579361965E-2</c:v>
                </c:pt>
                <c:pt idx="2819">
                  <c:v>2.0470810290804664E-2</c:v>
                </c:pt>
                <c:pt idx="2820">
                  <c:v>2.0468033876905878E-2</c:v>
                </c:pt>
                <c:pt idx="2821">
                  <c:v>2.0464810492626384E-2</c:v>
                </c:pt>
                <c:pt idx="2822">
                  <c:v>2.0461604086445817E-2</c:v>
                </c:pt>
                <c:pt idx="2823">
                  <c:v>2.0458414658044433E-2</c:v>
                </c:pt>
                <c:pt idx="2824">
                  <c:v>2.0455242207662039E-2</c:v>
                </c:pt>
                <c:pt idx="2825">
                  <c:v>2.0452086735458508E-2</c:v>
                </c:pt>
                <c:pt idx="2826">
                  <c:v>2.0448948241114095E-2</c:v>
                </c:pt>
                <c:pt idx="2827">
                  <c:v>2.0445826724628802E-2</c:v>
                </c:pt>
                <c:pt idx="2828">
                  <c:v>2.0442722186082563E-2</c:v>
                </c:pt>
                <c:pt idx="2829">
                  <c:v>2.043963462563525E-2</c:v>
                </c:pt>
                <c:pt idx="2830">
                  <c:v>2.0436564043126992E-2</c:v>
                </c:pt>
                <c:pt idx="2831">
                  <c:v>2.0433510438557789E-2</c:v>
                </c:pt>
                <c:pt idx="2832">
                  <c:v>2.0430041394225995E-2</c:v>
                </c:pt>
                <c:pt idx="2833">
                  <c:v>2.0427454163476355E-2</c:v>
                </c:pt>
                <c:pt idx="2834">
                  <c:v>2.0424451492884188E-2</c:v>
                </c:pt>
                <c:pt idx="2835">
                  <c:v>2.0421465800071203E-2</c:v>
                </c:pt>
                <c:pt idx="2836">
                  <c:v>2.0418497085437082E-2</c:v>
                </c:pt>
                <c:pt idx="2837">
                  <c:v>2.0415545348742015E-2</c:v>
                </c:pt>
                <c:pt idx="2838">
                  <c:v>2.0412610589906066E-2</c:v>
                </c:pt>
                <c:pt idx="2839">
                  <c:v>2.0409692809169044E-2</c:v>
                </c:pt>
                <c:pt idx="2840">
                  <c:v>2.0406792006371077E-2</c:v>
                </c:pt>
                <c:pt idx="2841">
                  <c:v>2.0403908181512165E-2</c:v>
                </c:pt>
                <c:pt idx="2842">
                  <c:v>2.0401041334512371E-2</c:v>
                </c:pt>
                <c:pt idx="2843">
                  <c:v>2.0397785727448436E-2</c:v>
                </c:pt>
                <c:pt idx="2844">
                  <c:v>2.0395358574649691E-2</c:v>
                </c:pt>
                <c:pt idx="2845">
                  <c:v>2.0392542661706869E-2</c:v>
                </c:pt>
                <c:pt idx="2846">
                  <c:v>2.038974372654323E-2</c:v>
                </c:pt>
                <c:pt idx="2847">
                  <c:v>2.038696176963839E-2</c:v>
                </c:pt>
                <c:pt idx="2848">
                  <c:v>2.0384196790512732E-2</c:v>
                </c:pt>
                <c:pt idx="2849">
                  <c:v>2.0380666764561184E-2</c:v>
                </c:pt>
                <c:pt idx="2850">
                  <c:v>2.0378329005934503E-2</c:v>
                </c:pt>
                <c:pt idx="2851">
                  <c:v>2.0376003720929958E-2</c:v>
                </c:pt>
                <c:pt idx="2852">
                  <c:v>2.0373306653720391E-2</c:v>
                </c:pt>
                <c:pt idx="2853">
                  <c:v>2.0370626564369942E-2</c:v>
                </c:pt>
                <c:pt idx="2854">
                  <c:v>2.0367963453198357E-2</c:v>
                </c:pt>
                <c:pt idx="2855">
                  <c:v>2.0365317319726017E-2</c:v>
                </c:pt>
                <c:pt idx="2856">
                  <c:v>2.0362688164352605E-2</c:v>
                </c:pt>
                <c:pt idx="2857">
                  <c:v>2.0360075986838311E-2</c:v>
                </c:pt>
                <c:pt idx="2858">
                  <c:v>2.0357480787422944E-2</c:v>
                </c:pt>
                <c:pt idx="2859">
                  <c:v>2.0354902565786759E-2</c:v>
                </c:pt>
                <c:pt idx="2860">
                  <c:v>2.0352341322169565E-2</c:v>
                </c:pt>
                <c:pt idx="2861">
                  <c:v>2.0349797056651298E-2</c:v>
                </c:pt>
                <c:pt idx="2862">
                  <c:v>2.0346550805223629E-2</c:v>
                </c:pt>
                <c:pt idx="2863">
                  <c:v>2.0344759459351991E-2</c:v>
                </c:pt>
                <c:pt idx="2864">
                  <c:v>2.0342266127491015E-2</c:v>
                </c:pt>
                <c:pt idx="2865">
                  <c:v>2.0339789773728967E-2</c:v>
                </c:pt>
                <c:pt idx="2866">
                  <c:v>2.0337330397905973E-2</c:v>
                </c:pt>
                <c:pt idx="2867">
                  <c:v>2.0334540472015661E-2</c:v>
                </c:pt>
                <c:pt idx="2868">
                  <c:v>2.0332462580077149E-2</c:v>
                </c:pt>
                <c:pt idx="2869">
                  <c:v>2.0330054138231191E-2</c:v>
                </c:pt>
                <c:pt idx="2870">
                  <c:v>2.0327662674164415E-2</c:v>
                </c:pt>
                <c:pt idx="2871">
                  <c:v>2.0324950361709782E-2</c:v>
                </c:pt>
                <c:pt idx="2872">
                  <c:v>2.03229306800079E-2</c:v>
                </c:pt>
                <c:pt idx="2873">
                  <c:v>2.0320590149838225E-2</c:v>
                </c:pt>
                <c:pt idx="2874">
                  <c:v>2.031826659768754E-2</c:v>
                </c:pt>
                <c:pt idx="2875">
                  <c:v>2.0315960023395974E-2</c:v>
                </c:pt>
                <c:pt idx="2876">
                  <c:v>2.0313670427123398E-2</c:v>
                </c:pt>
                <c:pt idx="2877">
                  <c:v>2.0311397808789877E-2</c:v>
                </c:pt>
                <c:pt idx="2878">
                  <c:v>2.0309142168395411E-2</c:v>
                </c:pt>
                <c:pt idx="2879">
                  <c:v>2.0306903505860063E-2</c:v>
                </c:pt>
                <c:pt idx="2880">
                  <c:v>2.0304681821583515E-2</c:v>
                </c:pt>
                <c:pt idx="2881">
                  <c:v>2.0302477115086148E-2</c:v>
                </c:pt>
                <c:pt idx="2882">
                  <c:v>2.0300289386367965E-2</c:v>
                </c:pt>
                <c:pt idx="2883">
                  <c:v>2.0298118635748708E-2</c:v>
                </c:pt>
                <c:pt idx="2884">
                  <c:v>2.0295658567199837E-2</c:v>
                </c:pt>
                <c:pt idx="2885">
                  <c:v>2.0293828068407294E-2</c:v>
                </c:pt>
                <c:pt idx="2886">
                  <c:v>2.0291708251685137E-2</c:v>
                </c:pt>
                <c:pt idx="2887">
                  <c:v>2.0289605412822098E-2</c:v>
                </c:pt>
                <c:pt idx="2888">
                  <c:v>2.028751955197805E-2</c:v>
                </c:pt>
                <c:pt idx="2889">
                  <c:v>2.0285450668993121E-2</c:v>
                </c:pt>
                <c:pt idx="2890">
                  <c:v>2.0283398764107119E-2</c:v>
                </c:pt>
                <c:pt idx="2891">
                  <c:v>2.0281363837080235E-2</c:v>
                </c:pt>
                <c:pt idx="2892">
                  <c:v>2.0279345887992406E-2</c:v>
                </c:pt>
                <c:pt idx="2893">
                  <c:v>2.0277344916843631E-2</c:v>
                </c:pt>
                <c:pt idx="2894">
                  <c:v>2.0275360923713848E-2</c:v>
                </c:pt>
                <c:pt idx="2895">
                  <c:v>2.0273114292272965E-2</c:v>
                </c:pt>
                <c:pt idx="2896">
                  <c:v>2.0271443871111572E-2</c:v>
                </c:pt>
                <c:pt idx="2897">
                  <c:v>2.0269510811798952E-2</c:v>
                </c:pt>
                <c:pt idx="2898">
                  <c:v>2.0267594730425387E-2</c:v>
                </c:pt>
                <c:pt idx="2899">
                  <c:v>2.0265695627070812E-2</c:v>
                </c:pt>
                <c:pt idx="2900">
                  <c:v>2.026381350149542E-2</c:v>
                </c:pt>
                <c:pt idx="2901">
                  <c:v>2.0261418572999901E-2</c:v>
                </c:pt>
                <c:pt idx="2902">
                  <c:v>2.0259837546010573E-2</c:v>
                </c:pt>
                <c:pt idx="2903">
                  <c:v>2.025826899264338E-2</c:v>
                </c:pt>
                <c:pt idx="2904">
                  <c:v>2.0256454778984079E-2</c:v>
                </c:pt>
                <c:pt idx="2905">
                  <c:v>2.0254657543263832E-2</c:v>
                </c:pt>
                <c:pt idx="2906">
                  <c:v>2.0252877285402704E-2</c:v>
                </c:pt>
                <c:pt idx="2907">
                  <c:v>2.0251114005400694E-2</c:v>
                </c:pt>
                <c:pt idx="2908">
                  <c:v>2.0249367703497612E-2</c:v>
                </c:pt>
                <c:pt idx="2909">
                  <c:v>2.0247638379533583E-2</c:v>
                </c:pt>
                <c:pt idx="2910">
                  <c:v>2.0245926033588546E-2</c:v>
                </c:pt>
                <c:pt idx="2911">
                  <c:v>2.0244230665342755E-2</c:v>
                </c:pt>
                <c:pt idx="2912">
                  <c:v>2.0242552275355763E-2</c:v>
                </c:pt>
                <c:pt idx="2913">
                  <c:v>2.0240890862988081E-2</c:v>
                </c:pt>
                <c:pt idx="2914">
                  <c:v>2.0239246428719326E-2</c:v>
                </c:pt>
                <c:pt idx="2915">
                  <c:v>2.0237618972389626E-2</c:v>
                </c:pt>
                <c:pt idx="2916">
                  <c:v>2.023600849399898E-2</c:v>
                </c:pt>
                <c:pt idx="2917">
                  <c:v>2.023396282604395E-2</c:v>
                </c:pt>
                <c:pt idx="2918">
                  <c:v>2.0232838471034853E-2</c:v>
                </c:pt>
                <c:pt idx="2919">
                  <c:v>2.0231278926541307E-2</c:v>
                </c:pt>
                <c:pt idx="2920">
                  <c:v>2.022951737915335E-2</c:v>
                </c:pt>
                <c:pt idx="2921">
                  <c:v>2.0228210771131572E-2</c:v>
                </c:pt>
                <c:pt idx="2922">
                  <c:v>2.0226702160375254E-2</c:v>
                </c:pt>
                <c:pt idx="2923">
                  <c:v>2.0224998823143991E-2</c:v>
                </c:pt>
                <c:pt idx="2924">
                  <c:v>2.0223735872839654E-2</c:v>
                </c:pt>
                <c:pt idx="2925">
                  <c:v>2.0222278195820564E-2</c:v>
                </c:pt>
                <c:pt idx="2926">
                  <c:v>2.0220837496820465E-2</c:v>
                </c:pt>
                <c:pt idx="2927">
                  <c:v>2.0219413775839357E-2</c:v>
                </c:pt>
                <c:pt idx="2928">
                  <c:v>2.0218007032637431E-2</c:v>
                </c:pt>
                <c:pt idx="2929">
                  <c:v>2.0216617267534431E-2</c:v>
                </c:pt>
                <c:pt idx="2930">
                  <c:v>2.0215244480290551E-2</c:v>
                </c:pt>
                <c:pt idx="2931">
                  <c:v>2.0213888671145597E-2</c:v>
                </c:pt>
                <c:pt idx="2932">
                  <c:v>2.0212549839699889E-2</c:v>
                </c:pt>
                <c:pt idx="2933">
                  <c:v>2.0211227986193236E-2</c:v>
                </c:pt>
                <c:pt idx="2934">
                  <c:v>2.0209923110865446E-2</c:v>
                </c:pt>
                <c:pt idx="2935">
                  <c:v>2.0208635213156967E-2</c:v>
                </c:pt>
                <c:pt idx="2936">
                  <c:v>2.0207184119751531E-2</c:v>
                </c:pt>
                <c:pt idx="2937">
                  <c:v>2.0206110352036788E-2</c:v>
                </c:pt>
                <c:pt idx="2938">
                  <c:v>2.0204873388225408E-2</c:v>
                </c:pt>
                <c:pt idx="2939">
                  <c:v>2.0203653402512955E-2</c:v>
                </c:pt>
                <c:pt idx="2940">
                  <c:v>2.0202450394659621E-2</c:v>
                </c:pt>
                <c:pt idx="2941">
                  <c:v>2.0201264364825278E-2</c:v>
                </c:pt>
                <c:pt idx="2942">
                  <c:v>2.0200095312929989E-2</c:v>
                </c:pt>
                <c:pt idx="2943">
                  <c:v>2.0198943238733946E-2</c:v>
                </c:pt>
                <c:pt idx="2944">
                  <c:v>2.0197808142636831E-2</c:v>
                </c:pt>
                <c:pt idx="2945">
                  <c:v>2.0196690024558706E-2</c:v>
                </c:pt>
                <c:pt idx="2946">
                  <c:v>2.0195588884259763E-2</c:v>
                </c:pt>
                <c:pt idx="2947">
                  <c:v>2.0194504721979811E-2</c:v>
                </c:pt>
                <c:pt idx="2948">
                  <c:v>2.019343753771885E-2</c:v>
                </c:pt>
                <c:pt idx="2949">
                  <c:v>2.0192387331237072E-2</c:v>
                </c:pt>
                <c:pt idx="2950">
                  <c:v>2.0191354102774284E-2</c:v>
                </c:pt>
                <c:pt idx="2951">
                  <c:v>2.0190337852250551E-2</c:v>
                </c:pt>
                <c:pt idx="2952">
                  <c:v>2.0189338579506E-2</c:v>
                </c:pt>
                <c:pt idx="2953">
                  <c:v>2.0188078747827021E-2</c:v>
                </c:pt>
                <c:pt idx="2954">
                  <c:v>2.0187118281800309E-2</c:v>
                </c:pt>
                <c:pt idx="2955">
                  <c:v>2.0186308538328035E-2</c:v>
                </c:pt>
                <c:pt idx="2956">
                  <c:v>2.0185379602839504E-2</c:v>
                </c:pt>
                <c:pt idx="2957">
                  <c:v>2.0184338751754183E-2</c:v>
                </c:pt>
                <c:pt idx="2958">
                  <c:v>2.0183572665919414E-2</c:v>
                </c:pt>
                <c:pt idx="2959">
                  <c:v>2.0182694664248046E-2</c:v>
                </c:pt>
                <c:pt idx="2960">
                  <c:v>2.0181833640515734E-2</c:v>
                </c:pt>
                <c:pt idx="2961">
                  <c:v>2.0180870402786155E-2</c:v>
                </c:pt>
                <c:pt idx="2962">
                  <c:v>2.0180162526868273E-2</c:v>
                </c:pt>
                <c:pt idx="2963">
                  <c:v>2.0179352436953124E-2</c:v>
                </c:pt>
                <c:pt idx="2964">
                  <c:v>2.0178559324897094E-2</c:v>
                </c:pt>
                <c:pt idx="2965">
                  <c:v>2.0177783191019927E-2</c:v>
                </c:pt>
                <c:pt idx="2966">
                  <c:v>2.0177024034842006E-2</c:v>
                </c:pt>
                <c:pt idx="2967">
                  <c:v>2.0176281856683076E-2</c:v>
                </c:pt>
                <c:pt idx="2968">
                  <c:v>2.0176381859062786E-2</c:v>
                </c:pt>
                <c:pt idx="2969">
                  <c:v>2.017484843418238E-2</c:v>
                </c:pt>
                <c:pt idx="2970">
                  <c:v>2.0174157189680741E-2</c:v>
                </c:pt>
                <c:pt idx="2971">
                  <c:v>2.0173482923357966E-2</c:v>
                </c:pt>
                <c:pt idx="2972">
                  <c:v>2.0172733122416631E-2</c:v>
                </c:pt>
                <c:pt idx="2973">
                  <c:v>2.0172185324289771E-2</c:v>
                </c:pt>
                <c:pt idx="2974">
                  <c:v>2.0171561991624287E-2</c:v>
                </c:pt>
                <c:pt idx="2975">
                  <c:v>2.0170870400759711E-2</c:v>
                </c:pt>
                <c:pt idx="2976">
                  <c:v>2.0170366260270356E-2</c:v>
                </c:pt>
                <c:pt idx="2977">
                  <c:v>2.0169793861262164E-2</c:v>
                </c:pt>
                <c:pt idx="2978">
                  <c:v>2.0169238440352899E-2</c:v>
                </c:pt>
                <c:pt idx="2979">
                  <c:v>2.0168699997382689E-2</c:v>
                </c:pt>
                <c:pt idx="2980">
                  <c:v>2.0168178532431469E-2</c:v>
                </c:pt>
                <c:pt idx="2981">
                  <c:v>2.0167674045259432E-2</c:v>
                </c:pt>
                <c:pt idx="2982">
                  <c:v>2.0167186536106385E-2</c:v>
                </c:pt>
                <c:pt idx="2983">
                  <c:v>2.0166716004892393E-2</c:v>
                </c:pt>
                <c:pt idx="2984">
                  <c:v>2.0166262451457584E-2</c:v>
                </c:pt>
                <c:pt idx="2985">
                  <c:v>2.0165825876041765E-2</c:v>
                </c:pt>
                <c:pt idx="2986">
                  <c:v>2.0165406278724873E-2</c:v>
                </c:pt>
                <c:pt idx="2987">
                  <c:v>2.0165003659187164E-2</c:v>
                </c:pt>
                <c:pt idx="2988">
                  <c:v>2.0164564311908606E-2</c:v>
                </c:pt>
                <c:pt idx="2989">
                  <c:v>2.0164198073588935E-2</c:v>
                </c:pt>
                <c:pt idx="2990">
                  <c:v>2.0163897668208364E-2</c:v>
                </c:pt>
                <c:pt idx="2991">
                  <c:v>2.0163562960426873E-2</c:v>
                </c:pt>
                <c:pt idx="2992">
                  <c:v>2.0163245230504501E-2</c:v>
                </c:pt>
                <c:pt idx="2993">
                  <c:v>2.0162944478601119E-2</c:v>
                </c:pt>
                <c:pt idx="2994">
                  <c:v>2.0162660704636792E-2</c:v>
                </c:pt>
                <c:pt idx="2995">
                  <c:v>2.0162357180790735E-2</c:v>
                </c:pt>
                <c:pt idx="2996">
                  <c:v>2.016214409036543E-2</c:v>
                </c:pt>
                <c:pt idx="2997">
                  <c:v>2.0161911250298203E-2</c:v>
                </c:pt>
                <c:pt idx="2998">
                  <c:v>2.0161695387930223E-2</c:v>
                </c:pt>
                <c:pt idx="2999">
                  <c:v>2.0161496503661169E-2</c:v>
                </c:pt>
                <c:pt idx="3000">
                  <c:v>2.0161314597171298E-2</c:v>
                </c:pt>
                <c:pt idx="3001">
                  <c:v>2.0161149668780354E-2</c:v>
                </c:pt>
                <c:pt idx="3002">
                  <c:v>2.0161001718088656E-2</c:v>
                </c:pt>
                <c:pt idx="3003">
                  <c:v>2.0160870745575821E-2</c:v>
                </c:pt>
                <c:pt idx="3004">
                  <c:v>2.0160756750842168E-2</c:v>
                </c:pt>
                <c:pt idx="3005">
                  <c:v>2.0162893668764781E-2</c:v>
                </c:pt>
                <c:pt idx="3006">
                  <c:v>2.016053291940878E-2</c:v>
                </c:pt>
                <c:pt idx="3007">
                  <c:v>2.016162395768184E-2</c:v>
                </c:pt>
                <c:pt idx="3008">
                  <c:v>2.0161585146647454E-2</c:v>
                </c:pt>
                <c:pt idx="3009">
                  <c:v>2.0161563315390651E-2</c:v>
                </c:pt>
                <c:pt idx="3010">
                  <c:v>2.0161557944247122E-2</c:v>
                </c:pt>
                <c:pt idx="3011">
                  <c:v>2.0161557944273767E-2</c:v>
                </c:pt>
                <c:pt idx="3012">
                  <c:v>2.0161557944247122E-2</c:v>
                </c:pt>
                <c:pt idx="3013">
                  <c:v>2.0161557944247122E-2</c:v>
                </c:pt>
                <c:pt idx="3014">
                  <c:v>2.0161557944247122E-2</c:v>
                </c:pt>
                <c:pt idx="3015">
                  <c:v>2.0161557944247122E-2</c:v>
                </c:pt>
                <c:pt idx="3016">
                  <c:v>2.0161557944220476E-2</c:v>
                </c:pt>
                <c:pt idx="3017">
                  <c:v>2.0161557944247122E-2</c:v>
                </c:pt>
                <c:pt idx="3018">
                  <c:v>2.0160428915163564E-2</c:v>
                </c:pt>
                <c:pt idx="3019">
                  <c:v>2.01604289152435E-2</c:v>
                </c:pt>
                <c:pt idx="3020">
                  <c:v>2.0160428915083628E-2</c:v>
                </c:pt>
                <c:pt idx="3021">
                  <c:v>2.0160428915163564E-2</c:v>
                </c:pt>
                <c:pt idx="3022">
                  <c:v>2.0160428915163564E-2</c:v>
                </c:pt>
                <c:pt idx="3023">
                  <c:v>2.0160428915163564E-2</c:v>
                </c:pt>
                <c:pt idx="3024">
                  <c:v>2.0160428915083628E-2</c:v>
                </c:pt>
                <c:pt idx="3025">
                  <c:v>2.0160428915163564E-2</c:v>
                </c:pt>
                <c:pt idx="3026">
                  <c:v>2.0160428915083628E-2</c:v>
                </c:pt>
                <c:pt idx="3027">
                  <c:v>2.0160428915083628E-2</c:v>
                </c:pt>
                <c:pt idx="3028">
                  <c:v>2.0160428915083628E-2</c:v>
                </c:pt>
                <c:pt idx="3029">
                  <c:v>2.0160428915163564E-2</c:v>
                </c:pt>
                <c:pt idx="3030">
                  <c:v>2.0160428915083628E-2</c:v>
                </c:pt>
                <c:pt idx="3031">
                  <c:v>2.0160428915083628E-2</c:v>
                </c:pt>
                <c:pt idx="3032">
                  <c:v>2.0160428915163564E-2</c:v>
                </c:pt>
                <c:pt idx="3033">
                  <c:v>2.0160428915163564E-2</c:v>
                </c:pt>
                <c:pt idx="3034">
                  <c:v>2.0160428915163564E-2</c:v>
                </c:pt>
                <c:pt idx="3035">
                  <c:v>2.0160428915163564E-2</c:v>
                </c:pt>
                <c:pt idx="3036">
                  <c:v>2.0160428915163564E-2</c:v>
                </c:pt>
                <c:pt idx="3037">
                  <c:v>2.0160428915163564E-2</c:v>
                </c:pt>
                <c:pt idx="3038">
                  <c:v>2.0160428915163564E-2</c:v>
                </c:pt>
                <c:pt idx="3039">
                  <c:v>2.0160428915083628E-2</c:v>
                </c:pt>
                <c:pt idx="3040">
                  <c:v>2.0160428915083628E-2</c:v>
                </c:pt>
                <c:pt idx="3041">
                  <c:v>2.0160428915163564E-2</c:v>
                </c:pt>
                <c:pt idx="3042">
                  <c:v>2.0160428915083628E-2</c:v>
                </c:pt>
                <c:pt idx="3043">
                  <c:v>2.0160428915163564E-2</c:v>
                </c:pt>
                <c:pt idx="3044">
                  <c:v>2.0160428915163564E-2</c:v>
                </c:pt>
                <c:pt idx="3045">
                  <c:v>2.0160428915163564E-2</c:v>
                </c:pt>
                <c:pt idx="3046">
                  <c:v>2.0160428915083628E-2</c:v>
                </c:pt>
                <c:pt idx="3047">
                  <c:v>2.0160428915163564E-2</c:v>
                </c:pt>
                <c:pt idx="3048">
                  <c:v>2.0160428915163564E-2</c:v>
                </c:pt>
                <c:pt idx="3049">
                  <c:v>2.0160428915163564E-2</c:v>
                </c:pt>
                <c:pt idx="3050">
                  <c:v>2.0160428915083628E-2</c:v>
                </c:pt>
                <c:pt idx="3051">
                  <c:v>2.0160428915163564E-2</c:v>
                </c:pt>
                <c:pt idx="3052">
                  <c:v>2.0160428915163564E-2</c:v>
                </c:pt>
                <c:pt idx="3053">
                  <c:v>2.0160428915163564E-2</c:v>
                </c:pt>
                <c:pt idx="3054">
                  <c:v>2.0160428915163564E-2</c:v>
                </c:pt>
                <c:pt idx="3055">
                  <c:v>2.0160428915083628E-2</c:v>
                </c:pt>
                <c:pt idx="3056">
                  <c:v>2.0160428915083628E-2</c:v>
                </c:pt>
                <c:pt idx="3057">
                  <c:v>2.0160428915163564E-2</c:v>
                </c:pt>
                <c:pt idx="3058">
                  <c:v>2.0160428915083628E-2</c:v>
                </c:pt>
                <c:pt idx="3059">
                  <c:v>2.01604289152435E-2</c:v>
                </c:pt>
                <c:pt idx="3060">
                  <c:v>2.0160428915083628E-2</c:v>
                </c:pt>
                <c:pt idx="3061">
                  <c:v>2.0160428915163564E-2</c:v>
                </c:pt>
                <c:pt idx="3062">
                  <c:v>2.0160428915163564E-2</c:v>
                </c:pt>
                <c:pt idx="3063">
                  <c:v>2.0160428915163564E-2</c:v>
                </c:pt>
                <c:pt idx="3064">
                  <c:v>2.0160428915083628E-2</c:v>
                </c:pt>
                <c:pt idx="3065">
                  <c:v>2.0160428915163564E-2</c:v>
                </c:pt>
                <c:pt idx="3066">
                  <c:v>2.0160428915163564E-2</c:v>
                </c:pt>
                <c:pt idx="3067">
                  <c:v>2.0160428915083628E-2</c:v>
                </c:pt>
                <c:pt idx="3068">
                  <c:v>2.0160428915083628E-2</c:v>
                </c:pt>
                <c:pt idx="3069">
                  <c:v>2.01604289152435E-2</c:v>
                </c:pt>
                <c:pt idx="3070">
                  <c:v>2.0160428915083628E-2</c:v>
                </c:pt>
                <c:pt idx="3071">
                  <c:v>2.0160428915163564E-2</c:v>
                </c:pt>
                <c:pt idx="3072">
                  <c:v>2.0160428915163564E-2</c:v>
                </c:pt>
                <c:pt idx="3073">
                  <c:v>2.0160428915163564E-2</c:v>
                </c:pt>
                <c:pt idx="3074">
                  <c:v>2.0160428915163564E-2</c:v>
                </c:pt>
                <c:pt idx="3075">
                  <c:v>2.01604289152435E-2</c:v>
                </c:pt>
                <c:pt idx="3076">
                  <c:v>2.0160428915163564E-2</c:v>
                </c:pt>
                <c:pt idx="3077">
                  <c:v>2.0160428915083628E-2</c:v>
                </c:pt>
                <c:pt idx="3078">
                  <c:v>2.0160428915083628E-2</c:v>
                </c:pt>
                <c:pt idx="3079">
                  <c:v>2.0160428915163564E-2</c:v>
                </c:pt>
                <c:pt idx="3080">
                  <c:v>2.0160428915163564E-2</c:v>
                </c:pt>
                <c:pt idx="3081">
                  <c:v>2.0160428915083628E-2</c:v>
                </c:pt>
                <c:pt idx="3082">
                  <c:v>2.0160428915083628E-2</c:v>
                </c:pt>
                <c:pt idx="3083">
                  <c:v>2.0160428915163564E-2</c:v>
                </c:pt>
                <c:pt idx="3084">
                  <c:v>2.01604289152435E-2</c:v>
                </c:pt>
                <c:pt idx="3085">
                  <c:v>2.0160428915083628E-2</c:v>
                </c:pt>
                <c:pt idx="3086">
                  <c:v>2.0160428915083628E-2</c:v>
                </c:pt>
                <c:pt idx="3087">
                  <c:v>2.0160428915163564E-2</c:v>
                </c:pt>
                <c:pt idx="3088">
                  <c:v>2.0160428915163564E-2</c:v>
                </c:pt>
                <c:pt idx="3089">
                  <c:v>2.0160428915083628E-2</c:v>
                </c:pt>
                <c:pt idx="3090">
                  <c:v>2.0160428915083628E-2</c:v>
                </c:pt>
                <c:pt idx="3091">
                  <c:v>2.01604289152435E-2</c:v>
                </c:pt>
                <c:pt idx="3092">
                  <c:v>2.0160428915163564E-2</c:v>
                </c:pt>
                <c:pt idx="3093">
                  <c:v>2.0160428915083628E-2</c:v>
                </c:pt>
                <c:pt idx="3094">
                  <c:v>2.0160428915083628E-2</c:v>
                </c:pt>
                <c:pt idx="3095">
                  <c:v>2.0160428915163564E-2</c:v>
                </c:pt>
                <c:pt idx="3096">
                  <c:v>2.0160428915083628E-2</c:v>
                </c:pt>
                <c:pt idx="3097">
                  <c:v>2.0160428915083628E-2</c:v>
                </c:pt>
                <c:pt idx="3098">
                  <c:v>2.0160428915163564E-2</c:v>
                </c:pt>
                <c:pt idx="3099">
                  <c:v>2.0160428915163564E-2</c:v>
                </c:pt>
                <c:pt idx="3100">
                  <c:v>2.0160428915083628E-2</c:v>
                </c:pt>
                <c:pt idx="3101">
                  <c:v>2.0160428915163564E-2</c:v>
                </c:pt>
                <c:pt idx="3102">
                  <c:v>2.0160428915163564E-2</c:v>
                </c:pt>
                <c:pt idx="3103">
                  <c:v>2.0160428915163564E-2</c:v>
                </c:pt>
                <c:pt idx="3104">
                  <c:v>2.0160428915163564E-2</c:v>
                </c:pt>
                <c:pt idx="3105">
                  <c:v>2.0160428915083628E-2</c:v>
                </c:pt>
                <c:pt idx="3106">
                  <c:v>2.0160428915163564E-2</c:v>
                </c:pt>
                <c:pt idx="3107">
                  <c:v>2.0160428915083628E-2</c:v>
                </c:pt>
                <c:pt idx="3108">
                  <c:v>2.0160428915163564E-2</c:v>
                </c:pt>
                <c:pt idx="3109">
                  <c:v>2.0160428915163564E-2</c:v>
                </c:pt>
                <c:pt idx="3110">
                  <c:v>2.0160428915163564E-2</c:v>
                </c:pt>
                <c:pt idx="3111">
                  <c:v>2.0160428915163564E-2</c:v>
                </c:pt>
                <c:pt idx="3112">
                  <c:v>2.0160428915083628E-2</c:v>
                </c:pt>
                <c:pt idx="3113">
                  <c:v>2.0160428915163564E-2</c:v>
                </c:pt>
                <c:pt idx="3114">
                  <c:v>2.0160428915163564E-2</c:v>
                </c:pt>
                <c:pt idx="3115">
                  <c:v>2.0160428915163564E-2</c:v>
                </c:pt>
                <c:pt idx="3116">
                  <c:v>2.0160428915083628E-2</c:v>
                </c:pt>
                <c:pt idx="3117">
                  <c:v>2.0160428915163564E-2</c:v>
                </c:pt>
                <c:pt idx="3118">
                  <c:v>2.0160428915163564E-2</c:v>
                </c:pt>
                <c:pt idx="3119">
                  <c:v>2.0160428915163564E-2</c:v>
                </c:pt>
                <c:pt idx="3120">
                  <c:v>2.0160428915163564E-2</c:v>
                </c:pt>
                <c:pt idx="3121">
                  <c:v>2.0160428915163564E-2</c:v>
                </c:pt>
                <c:pt idx="3122">
                  <c:v>2.0160428915163564E-2</c:v>
                </c:pt>
                <c:pt idx="3123">
                  <c:v>2.0160428915163564E-2</c:v>
                </c:pt>
                <c:pt idx="3124">
                  <c:v>2.01604289152435E-2</c:v>
                </c:pt>
                <c:pt idx="3125">
                  <c:v>2.0160428915083628E-2</c:v>
                </c:pt>
                <c:pt idx="3126">
                  <c:v>2.0160428915163564E-2</c:v>
                </c:pt>
                <c:pt idx="3127">
                  <c:v>2.01604289152435E-2</c:v>
                </c:pt>
                <c:pt idx="3128">
                  <c:v>2.0160428915163564E-2</c:v>
                </c:pt>
                <c:pt idx="3129">
                  <c:v>2.0160428915163564E-2</c:v>
                </c:pt>
                <c:pt idx="3130">
                  <c:v>2.0160428915083628E-2</c:v>
                </c:pt>
                <c:pt idx="3131">
                  <c:v>2.0160428915083628E-2</c:v>
                </c:pt>
                <c:pt idx="3132">
                  <c:v>2.0160428915083628E-2</c:v>
                </c:pt>
                <c:pt idx="3133">
                  <c:v>2.0160428915163564E-2</c:v>
                </c:pt>
                <c:pt idx="3134">
                  <c:v>2.0160428915083628E-2</c:v>
                </c:pt>
                <c:pt idx="3135">
                  <c:v>2.0160428915163564E-2</c:v>
                </c:pt>
                <c:pt idx="3136">
                  <c:v>2.0160428915083628E-2</c:v>
                </c:pt>
                <c:pt idx="3137">
                  <c:v>2.0160428915083628E-2</c:v>
                </c:pt>
                <c:pt idx="3138">
                  <c:v>2.0160428915083628E-2</c:v>
                </c:pt>
                <c:pt idx="3139">
                  <c:v>2.0160428915163564E-2</c:v>
                </c:pt>
                <c:pt idx="3140">
                  <c:v>2.0160428915163564E-2</c:v>
                </c:pt>
                <c:pt idx="3141">
                  <c:v>2.0160428915163564E-2</c:v>
                </c:pt>
                <c:pt idx="3142">
                  <c:v>2.0160428915163564E-2</c:v>
                </c:pt>
                <c:pt idx="3143">
                  <c:v>2.0160428915083628E-2</c:v>
                </c:pt>
                <c:pt idx="3144">
                  <c:v>2.0160428915163564E-2</c:v>
                </c:pt>
                <c:pt idx="3145">
                  <c:v>2.0160428915083628E-2</c:v>
                </c:pt>
                <c:pt idx="3146">
                  <c:v>2.0160428915083628E-2</c:v>
                </c:pt>
                <c:pt idx="3147">
                  <c:v>2.01604289152435E-2</c:v>
                </c:pt>
                <c:pt idx="3148">
                  <c:v>2.0160428915003692E-2</c:v>
                </c:pt>
                <c:pt idx="3149">
                  <c:v>2.0160428915083628E-2</c:v>
                </c:pt>
                <c:pt idx="3150">
                  <c:v>2.0160428915163564E-2</c:v>
                </c:pt>
                <c:pt idx="3151">
                  <c:v>2.0160428915163564E-2</c:v>
                </c:pt>
                <c:pt idx="3152">
                  <c:v>2.0160428915083628E-2</c:v>
                </c:pt>
                <c:pt idx="3153">
                  <c:v>2.0160428915163564E-2</c:v>
                </c:pt>
                <c:pt idx="3154">
                  <c:v>2.0160428915163564E-2</c:v>
                </c:pt>
                <c:pt idx="3155">
                  <c:v>2.0160428915083628E-2</c:v>
                </c:pt>
                <c:pt idx="3156">
                  <c:v>2.0160428915083628E-2</c:v>
                </c:pt>
                <c:pt idx="3157">
                  <c:v>2.0160428915163564E-2</c:v>
                </c:pt>
                <c:pt idx="3158">
                  <c:v>2.0160428915163564E-2</c:v>
                </c:pt>
                <c:pt idx="3159">
                  <c:v>2.0160428915083628E-2</c:v>
                </c:pt>
                <c:pt idx="3160">
                  <c:v>2.0160428915163564E-2</c:v>
                </c:pt>
                <c:pt idx="3161">
                  <c:v>2.0160428915083628E-2</c:v>
                </c:pt>
                <c:pt idx="3162">
                  <c:v>2.0160428915163564E-2</c:v>
                </c:pt>
                <c:pt idx="3163">
                  <c:v>2.0160428915083628E-2</c:v>
                </c:pt>
                <c:pt idx="3164">
                  <c:v>2.0160428915163564E-2</c:v>
                </c:pt>
                <c:pt idx="3165">
                  <c:v>2.0160428915163564E-2</c:v>
                </c:pt>
                <c:pt idx="3166">
                  <c:v>2.0160428915083628E-2</c:v>
                </c:pt>
                <c:pt idx="3167">
                  <c:v>2.0160428915083628E-2</c:v>
                </c:pt>
                <c:pt idx="3168">
                  <c:v>2.01604289152435E-2</c:v>
                </c:pt>
                <c:pt idx="3169">
                  <c:v>2.0160428915163564E-2</c:v>
                </c:pt>
                <c:pt idx="3170">
                  <c:v>2.0160428915163564E-2</c:v>
                </c:pt>
                <c:pt idx="3171">
                  <c:v>2.0160428915163564E-2</c:v>
                </c:pt>
                <c:pt idx="3172">
                  <c:v>2.0160428915163564E-2</c:v>
                </c:pt>
                <c:pt idx="3173">
                  <c:v>2.0160428915163564E-2</c:v>
                </c:pt>
                <c:pt idx="3174">
                  <c:v>2.0160428915163564E-2</c:v>
                </c:pt>
                <c:pt idx="3175">
                  <c:v>2.0160428915163564E-2</c:v>
                </c:pt>
                <c:pt idx="3176">
                  <c:v>2.0160428915163564E-2</c:v>
                </c:pt>
                <c:pt idx="3177">
                  <c:v>2.0160428915083628E-2</c:v>
                </c:pt>
                <c:pt idx="3178">
                  <c:v>2.0160428915163564E-2</c:v>
                </c:pt>
                <c:pt idx="3179">
                  <c:v>2.01604289152435E-2</c:v>
                </c:pt>
                <c:pt idx="3180">
                  <c:v>2.0160428915163564E-2</c:v>
                </c:pt>
                <c:pt idx="3181">
                  <c:v>2.0160428915083628E-2</c:v>
                </c:pt>
                <c:pt idx="3182">
                  <c:v>2.0160428915083628E-2</c:v>
                </c:pt>
                <c:pt idx="3183">
                  <c:v>2.0160428915083628E-2</c:v>
                </c:pt>
                <c:pt idx="3184">
                  <c:v>2.0160428915083628E-2</c:v>
                </c:pt>
                <c:pt idx="3185">
                  <c:v>2.0160428915083628E-2</c:v>
                </c:pt>
                <c:pt idx="3186">
                  <c:v>2.0160428915083628E-2</c:v>
                </c:pt>
                <c:pt idx="3187">
                  <c:v>2.0160428915163564E-2</c:v>
                </c:pt>
                <c:pt idx="3188">
                  <c:v>2.0160428915083628E-2</c:v>
                </c:pt>
                <c:pt idx="3189">
                  <c:v>2.0160428915083628E-2</c:v>
                </c:pt>
                <c:pt idx="3190">
                  <c:v>2.0160428915163564E-2</c:v>
                </c:pt>
                <c:pt idx="3191">
                  <c:v>2.0160428915163564E-2</c:v>
                </c:pt>
                <c:pt idx="3192">
                  <c:v>2.0160428915083628E-2</c:v>
                </c:pt>
                <c:pt idx="3193">
                  <c:v>2.01604289152435E-2</c:v>
                </c:pt>
                <c:pt idx="3194">
                  <c:v>2.0160428915163564E-2</c:v>
                </c:pt>
                <c:pt idx="3195">
                  <c:v>2.0160428915083628E-2</c:v>
                </c:pt>
                <c:pt idx="3196">
                  <c:v>2.0160428915163564E-2</c:v>
                </c:pt>
                <c:pt idx="3197">
                  <c:v>2.0160428915163564E-2</c:v>
                </c:pt>
                <c:pt idx="3198">
                  <c:v>2.0160428915083628E-2</c:v>
                </c:pt>
                <c:pt idx="3199">
                  <c:v>2.0160428915083628E-2</c:v>
                </c:pt>
                <c:pt idx="3200">
                  <c:v>2.0160428915163564E-2</c:v>
                </c:pt>
                <c:pt idx="3201">
                  <c:v>2.0160428915163564E-2</c:v>
                </c:pt>
                <c:pt idx="3202">
                  <c:v>2.0160428915083628E-2</c:v>
                </c:pt>
                <c:pt idx="3203">
                  <c:v>2.0160428915083628E-2</c:v>
                </c:pt>
                <c:pt idx="3204">
                  <c:v>2.0160428915163564E-2</c:v>
                </c:pt>
                <c:pt idx="3205">
                  <c:v>2.0160428915163564E-2</c:v>
                </c:pt>
                <c:pt idx="3206">
                  <c:v>2.0160428915083628E-2</c:v>
                </c:pt>
                <c:pt idx="3207">
                  <c:v>2.0160428915163564E-2</c:v>
                </c:pt>
                <c:pt idx="3208">
                  <c:v>2.01604289152435E-2</c:v>
                </c:pt>
                <c:pt idx="3209">
                  <c:v>2.0160428915163564E-2</c:v>
                </c:pt>
                <c:pt idx="3210">
                  <c:v>2.0160428915083628E-2</c:v>
                </c:pt>
                <c:pt idx="3211">
                  <c:v>2.0160428915163564E-2</c:v>
                </c:pt>
                <c:pt idx="3212">
                  <c:v>2.0160428915083628E-2</c:v>
                </c:pt>
                <c:pt idx="3213">
                  <c:v>2.0160428915083628E-2</c:v>
                </c:pt>
                <c:pt idx="3214">
                  <c:v>2.0160428915163564E-2</c:v>
                </c:pt>
                <c:pt idx="3215">
                  <c:v>2.0160428915083628E-2</c:v>
                </c:pt>
                <c:pt idx="3216">
                  <c:v>2.0160428915083628E-2</c:v>
                </c:pt>
                <c:pt idx="3217">
                  <c:v>2.0160428915083628E-2</c:v>
                </c:pt>
                <c:pt idx="3218">
                  <c:v>2.0160428915163564E-2</c:v>
                </c:pt>
                <c:pt idx="3219">
                  <c:v>2.0160428915163564E-2</c:v>
                </c:pt>
                <c:pt idx="3220">
                  <c:v>2.0160428915163564E-2</c:v>
                </c:pt>
                <c:pt idx="3221">
                  <c:v>2.0160428915163564E-2</c:v>
                </c:pt>
                <c:pt idx="3222">
                  <c:v>2.0160428915083628E-2</c:v>
                </c:pt>
                <c:pt idx="3223">
                  <c:v>2.0160428915083628E-2</c:v>
                </c:pt>
                <c:pt idx="3224">
                  <c:v>2.0160428915163564E-2</c:v>
                </c:pt>
                <c:pt idx="3225">
                  <c:v>2.0160428915083628E-2</c:v>
                </c:pt>
                <c:pt idx="3226">
                  <c:v>2.0160428915163564E-2</c:v>
                </c:pt>
                <c:pt idx="3227">
                  <c:v>2.0160428915083628E-2</c:v>
                </c:pt>
                <c:pt idx="3228">
                  <c:v>2.0160428915163564E-2</c:v>
                </c:pt>
                <c:pt idx="3229">
                  <c:v>2.0161557944247122E-2</c:v>
                </c:pt>
                <c:pt idx="3230">
                  <c:v>2.0160428915163564E-2</c:v>
                </c:pt>
                <c:pt idx="3231">
                  <c:v>2.0160428915083628E-2</c:v>
                </c:pt>
                <c:pt idx="3232">
                  <c:v>2.0160428915163564E-2</c:v>
                </c:pt>
                <c:pt idx="3233">
                  <c:v>2.0160428915083628E-2</c:v>
                </c:pt>
                <c:pt idx="3234">
                  <c:v>2.0160428915163564E-2</c:v>
                </c:pt>
                <c:pt idx="3235">
                  <c:v>2.0160428915163564E-2</c:v>
                </c:pt>
                <c:pt idx="3236">
                  <c:v>2.0160428915083628E-2</c:v>
                </c:pt>
                <c:pt idx="3237">
                  <c:v>2.0160428915083628E-2</c:v>
                </c:pt>
                <c:pt idx="3238">
                  <c:v>2.01604289152435E-2</c:v>
                </c:pt>
                <c:pt idx="3239">
                  <c:v>2.0160428915163564E-2</c:v>
                </c:pt>
                <c:pt idx="3240">
                  <c:v>2.0160428915083628E-2</c:v>
                </c:pt>
                <c:pt idx="3241">
                  <c:v>2.0160428915163564E-2</c:v>
                </c:pt>
                <c:pt idx="3242">
                  <c:v>2.0160428915083628E-2</c:v>
                </c:pt>
                <c:pt idx="3243">
                  <c:v>2.0160428915163564E-2</c:v>
                </c:pt>
                <c:pt idx="3244">
                  <c:v>2.0160428915083628E-2</c:v>
                </c:pt>
                <c:pt idx="3245">
                  <c:v>2.0160428915083628E-2</c:v>
                </c:pt>
                <c:pt idx="3246">
                  <c:v>2.0160428915163564E-2</c:v>
                </c:pt>
                <c:pt idx="3247">
                  <c:v>2.0160428915163564E-2</c:v>
                </c:pt>
                <c:pt idx="3248">
                  <c:v>2.0160428915163564E-2</c:v>
                </c:pt>
                <c:pt idx="3249">
                  <c:v>2.0160428915163564E-2</c:v>
                </c:pt>
                <c:pt idx="3250">
                  <c:v>2.0160428915083628E-2</c:v>
                </c:pt>
                <c:pt idx="3251">
                  <c:v>2.0160428915083628E-2</c:v>
                </c:pt>
                <c:pt idx="3252">
                  <c:v>2.0160428915083628E-2</c:v>
                </c:pt>
                <c:pt idx="3253">
                  <c:v>2.0160428915163564E-2</c:v>
                </c:pt>
                <c:pt idx="3254">
                  <c:v>2.0160428915083628E-2</c:v>
                </c:pt>
                <c:pt idx="3255">
                  <c:v>2.0160428915163564E-2</c:v>
                </c:pt>
                <c:pt idx="3256">
                  <c:v>2.0160428915163564E-2</c:v>
                </c:pt>
                <c:pt idx="3257">
                  <c:v>2.0160428915163564E-2</c:v>
                </c:pt>
                <c:pt idx="3258">
                  <c:v>2.0160428915163564E-2</c:v>
                </c:pt>
                <c:pt idx="3259">
                  <c:v>2.0160428915083628E-2</c:v>
                </c:pt>
                <c:pt idx="3260">
                  <c:v>2.01604289152435E-2</c:v>
                </c:pt>
                <c:pt idx="3261">
                  <c:v>2.0160428915163564E-2</c:v>
                </c:pt>
                <c:pt idx="3262">
                  <c:v>2.0160428915163564E-2</c:v>
                </c:pt>
                <c:pt idx="3263">
                  <c:v>2.0160428915083628E-2</c:v>
                </c:pt>
                <c:pt idx="3264">
                  <c:v>2.0160428915083628E-2</c:v>
                </c:pt>
                <c:pt idx="3265">
                  <c:v>2.0161557944247122E-2</c:v>
                </c:pt>
                <c:pt idx="3266">
                  <c:v>2.0161557944273767E-2</c:v>
                </c:pt>
                <c:pt idx="3267">
                  <c:v>2.0160428915083628E-2</c:v>
                </c:pt>
                <c:pt idx="3268">
                  <c:v>2.0160428915163564E-2</c:v>
                </c:pt>
                <c:pt idx="3269">
                  <c:v>2.0160428915163564E-2</c:v>
                </c:pt>
                <c:pt idx="3270">
                  <c:v>2.0160428915083628E-2</c:v>
                </c:pt>
                <c:pt idx="3271">
                  <c:v>2.0160428915083628E-2</c:v>
                </c:pt>
                <c:pt idx="3272">
                  <c:v>2.0160428915083628E-2</c:v>
                </c:pt>
                <c:pt idx="3273">
                  <c:v>2.0160428915163564E-2</c:v>
                </c:pt>
                <c:pt idx="3274">
                  <c:v>2.0160428915163564E-2</c:v>
                </c:pt>
                <c:pt idx="3275">
                  <c:v>2.0160428915163564E-2</c:v>
                </c:pt>
                <c:pt idx="3276">
                  <c:v>2.0160428915163564E-2</c:v>
                </c:pt>
                <c:pt idx="3277">
                  <c:v>2.0160428915163564E-2</c:v>
                </c:pt>
                <c:pt idx="3278">
                  <c:v>2.0162687057668549E-2</c:v>
                </c:pt>
                <c:pt idx="3279">
                  <c:v>2.0160428915163564E-2</c:v>
                </c:pt>
                <c:pt idx="3280">
                  <c:v>2.0160428915083628E-2</c:v>
                </c:pt>
                <c:pt idx="3281">
                  <c:v>2.0160428915163564E-2</c:v>
                </c:pt>
                <c:pt idx="3282">
                  <c:v>2.0160428915163564E-2</c:v>
                </c:pt>
                <c:pt idx="3283">
                  <c:v>2.0160428915163564E-2</c:v>
                </c:pt>
                <c:pt idx="3284">
                  <c:v>2.0160428915083628E-2</c:v>
                </c:pt>
                <c:pt idx="3285">
                  <c:v>2.0160428915163564E-2</c:v>
                </c:pt>
                <c:pt idx="3286">
                  <c:v>2.0160428915163564E-2</c:v>
                </c:pt>
                <c:pt idx="3287">
                  <c:v>2.0160428915083628E-2</c:v>
                </c:pt>
                <c:pt idx="3288">
                  <c:v>2.0160428915163564E-2</c:v>
                </c:pt>
                <c:pt idx="3289">
                  <c:v>2.0160428915163564E-2</c:v>
                </c:pt>
                <c:pt idx="3290">
                  <c:v>2.0160428915003692E-2</c:v>
                </c:pt>
                <c:pt idx="3291">
                  <c:v>2.0160428915163564E-2</c:v>
                </c:pt>
                <c:pt idx="3292">
                  <c:v>2.0160428915163564E-2</c:v>
                </c:pt>
                <c:pt idx="3293">
                  <c:v>2.0160428915083628E-2</c:v>
                </c:pt>
                <c:pt idx="3294">
                  <c:v>2.0160428915083628E-2</c:v>
                </c:pt>
                <c:pt idx="3295">
                  <c:v>2.01604289152435E-2</c:v>
                </c:pt>
                <c:pt idx="3296">
                  <c:v>2.01604289152435E-2</c:v>
                </c:pt>
                <c:pt idx="3297">
                  <c:v>2.0160428915163564E-2</c:v>
                </c:pt>
                <c:pt idx="3298">
                  <c:v>2.0160428915083628E-2</c:v>
                </c:pt>
                <c:pt idx="3299">
                  <c:v>2.0160428915163564E-2</c:v>
                </c:pt>
                <c:pt idx="3300">
                  <c:v>2.0160428915163564E-2</c:v>
                </c:pt>
                <c:pt idx="3301">
                  <c:v>2.0160428915163564E-2</c:v>
                </c:pt>
                <c:pt idx="3302">
                  <c:v>2.0160428915163564E-2</c:v>
                </c:pt>
                <c:pt idx="3303">
                  <c:v>2.0160428915163564E-2</c:v>
                </c:pt>
                <c:pt idx="3304">
                  <c:v>2.0160428915083628E-2</c:v>
                </c:pt>
                <c:pt idx="3305">
                  <c:v>2.0160428915083628E-2</c:v>
                </c:pt>
                <c:pt idx="3306">
                  <c:v>2.0160428915163564E-2</c:v>
                </c:pt>
                <c:pt idx="3307">
                  <c:v>2.0160428915163564E-2</c:v>
                </c:pt>
                <c:pt idx="3308">
                  <c:v>2.0160428915083628E-2</c:v>
                </c:pt>
                <c:pt idx="3309">
                  <c:v>2.0160428915083628E-2</c:v>
                </c:pt>
                <c:pt idx="3310">
                  <c:v>2.0160428915163564E-2</c:v>
                </c:pt>
                <c:pt idx="3311">
                  <c:v>2.0160428915163564E-2</c:v>
                </c:pt>
                <c:pt idx="3312">
                  <c:v>2.0160428915163564E-2</c:v>
                </c:pt>
                <c:pt idx="3313">
                  <c:v>2.0160428915163564E-2</c:v>
                </c:pt>
                <c:pt idx="3314">
                  <c:v>2.0160428915083628E-2</c:v>
                </c:pt>
                <c:pt idx="3315">
                  <c:v>2.0160428915163564E-2</c:v>
                </c:pt>
                <c:pt idx="3316">
                  <c:v>2.0160428915163564E-2</c:v>
                </c:pt>
                <c:pt idx="3317">
                  <c:v>2.0160993419167106E-2</c:v>
                </c:pt>
                <c:pt idx="3318">
                  <c:v>2.0160428915163564E-2</c:v>
                </c:pt>
                <c:pt idx="3319">
                  <c:v>2.0160428915083628E-2</c:v>
                </c:pt>
                <c:pt idx="3320">
                  <c:v>2.0160428915083628E-2</c:v>
                </c:pt>
                <c:pt idx="3321">
                  <c:v>2.0160428915163564E-2</c:v>
                </c:pt>
                <c:pt idx="3322">
                  <c:v>2.0160428915163564E-2</c:v>
                </c:pt>
                <c:pt idx="3323">
                  <c:v>2.0160428915083628E-2</c:v>
                </c:pt>
                <c:pt idx="3324">
                  <c:v>2.0160428915163564E-2</c:v>
                </c:pt>
                <c:pt idx="3325">
                  <c:v>2.01604289152435E-2</c:v>
                </c:pt>
                <c:pt idx="3326">
                  <c:v>2.0160428915083628E-2</c:v>
                </c:pt>
                <c:pt idx="3327">
                  <c:v>2.0160428915163564E-2</c:v>
                </c:pt>
                <c:pt idx="3328">
                  <c:v>2.0160428915163564E-2</c:v>
                </c:pt>
                <c:pt idx="3329">
                  <c:v>2.0160428915163564E-2</c:v>
                </c:pt>
                <c:pt idx="3330">
                  <c:v>2.0160428915163564E-2</c:v>
                </c:pt>
                <c:pt idx="3331">
                  <c:v>2.0160428915083628E-2</c:v>
                </c:pt>
                <c:pt idx="3332">
                  <c:v>2.0160428915163564E-2</c:v>
                </c:pt>
                <c:pt idx="3333">
                  <c:v>2.0160428915083628E-2</c:v>
                </c:pt>
                <c:pt idx="3334">
                  <c:v>2.0160428915083628E-2</c:v>
                </c:pt>
                <c:pt idx="3335">
                  <c:v>2.0160428915163564E-2</c:v>
                </c:pt>
                <c:pt idx="3336">
                  <c:v>2.0160428915163564E-2</c:v>
                </c:pt>
                <c:pt idx="3337">
                  <c:v>2.0160428915083628E-2</c:v>
                </c:pt>
                <c:pt idx="3338">
                  <c:v>2.0160428915163564E-2</c:v>
                </c:pt>
                <c:pt idx="3339">
                  <c:v>2.0160428915083628E-2</c:v>
                </c:pt>
                <c:pt idx="3340">
                  <c:v>2.0160428915083628E-2</c:v>
                </c:pt>
                <c:pt idx="3341">
                  <c:v>2.0160428915083628E-2</c:v>
                </c:pt>
                <c:pt idx="3342">
                  <c:v>2.0160428915163564E-2</c:v>
                </c:pt>
                <c:pt idx="3343">
                  <c:v>2.0160428915083628E-2</c:v>
                </c:pt>
                <c:pt idx="3344">
                  <c:v>2.0160428915163564E-2</c:v>
                </c:pt>
                <c:pt idx="3345">
                  <c:v>2.0160428915083628E-2</c:v>
                </c:pt>
                <c:pt idx="3346">
                  <c:v>2.01604289152435E-2</c:v>
                </c:pt>
                <c:pt idx="3347">
                  <c:v>2.0160428915163564E-2</c:v>
                </c:pt>
                <c:pt idx="3348">
                  <c:v>2.0160428915163564E-2</c:v>
                </c:pt>
                <c:pt idx="3349">
                  <c:v>2.0160428915083628E-2</c:v>
                </c:pt>
                <c:pt idx="3350">
                  <c:v>2.0160428915163564E-2</c:v>
                </c:pt>
                <c:pt idx="3351">
                  <c:v>2.0160428915163564E-2</c:v>
                </c:pt>
                <c:pt idx="3352">
                  <c:v>2.0160428915163564E-2</c:v>
                </c:pt>
                <c:pt idx="3353">
                  <c:v>2.0160428915083628E-2</c:v>
                </c:pt>
                <c:pt idx="3354">
                  <c:v>2.0160428915163564E-2</c:v>
                </c:pt>
                <c:pt idx="3355">
                  <c:v>2.0160428915083628E-2</c:v>
                </c:pt>
                <c:pt idx="3356">
                  <c:v>2.0160428915003692E-2</c:v>
                </c:pt>
                <c:pt idx="3357">
                  <c:v>2.0160428915163564E-2</c:v>
                </c:pt>
                <c:pt idx="3358">
                  <c:v>2.0160428915163564E-2</c:v>
                </c:pt>
                <c:pt idx="3359">
                  <c:v>2.0160428915163564E-2</c:v>
                </c:pt>
                <c:pt idx="3360">
                  <c:v>2.0160428915163564E-2</c:v>
                </c:pt>
                <c:pt idx="3361">
                  <c:v>2.0160428915163564E-2</c:v>
                </c:pt>
                <c:pt idx="3362">
                  <c:v>2.0160428915163564E-2</c:v>
                </c:pt>
                <c:pt idx="3363">
                  <c:v>2.0160428915163564E-2</c:v>
                </c:pt>
                <c:pt idx="3364">
                  <c:v>2.0160428915163564E-2</c:v>
                </c:pt>
                <c:pt idx="3365">
                  <c:v>2.0160428915163564E-2</c:v>
                </c:pt>
                <c:pt idx="3366">
                  <c:v>2.0160428915083628E-2</c:v>
                </c:pt>
                <c:pt idx="3367">
                  <c:v>2.0160428915083628E-2</c:v>
                </c:pt>
                <c:pt idx="3368">
                  <c:v>2.0160428915163564E-2</c:v>
                </c:pt>
                <c:pt idx="3369">
                  <c:v>2.0160428915083628E-2</c:v>
                </c:pt>
                <c:pt idx="3370">
                  <c:v>2.0160428915163564E-2</c:v>
                </c:pt>
                <c:pt idx="3371">
                  <c:v>2.0160428915163564E-2</c:v>
                </c:pt>
                <c:pt idx="3372">
                  <c:v>2.01604289152435E-2</c:v>
                </c:pt>
                <c:pt idx="3373">
                  <c:v>2.0160428915163564E-2</c:v>
                </c:pt>
                <c:pt idx="3374">
                  <c:v>2.0160428915083628E-2</c:v>
                </c:pt>
                <c:pt idx="3375">
                  <c:v>2.0160428915083628E-2</c:v>
                </c:pt>
                <c:pt idx="3376">
                  <c:v>2.0160428915163564E-2</c:v>
                </c:pt>
                <c:pt idx="3377">
                  <c:v>2.0160428915163564E-2</c:v>
                </c:pt>
                <c:pt idx="3378">
                  <c:v>2.0160428915083628E-2</c:v>
                </c:pt>
                <c:pt idx="3379">
                  <c:v>2.0160428915083628E-2</c:v>
                </c:pt>
                <c:pt idx="3380">
                  <c:v>2.0160428915163564E-2</c:v>
                </c:pt>
                <c:pt idx="3381">
                  <c:v>2.0160428915163564E-2</c:v>
                </c:pt>
                <c:pt idx="3382">
                  <c:v>2.01604289152435E-2</c:v>
                </c:pt>
                <c:pt idx="3383">
                  <c:v>2.0160428915083628E-2</c:v>
                </c:pt>
                <c:pt idx="3384">
                  <c:v>2.0160428915083628E-2</c:v>
                </c:pt>
                <c:pt idx="3385">
                  <c:v>2.0160428915163564E-2</c:v>
                </c:pt>
                <c:pt idx="3386">
                  <c:v>2.0160428915163564E-2</c:v>
                </c:pt>
                <c:pt idx="3387">
                  <c:v>2.0160428915163564E-2</c:v>
                </c:pt>
                <c:pt idx="3388">
                  <c:v>2.0160428915083628E-2</c:v>
                </c:pt>
                <c:pt idx="3389">
                  <c:v>2.0160428915163564E-2</c:v>
                </c:pt>
                <c:pt idx="3390">
                  <c:v>2.0160428915163564E-2</c:v>
                </c:pt>
                <c:pt idx="3391">
                  <c:v>2.0160428915163564E-2</c:v>
                </c:pt>
                <c:pt idx="3392">
                  <c:v>2.0160428915083628E-2</c:v>
                </c:pt>
                <c:pt idx="3393">
                  <c:v>2.0160428915163564E-2</c:v>
                </c:pt>
                <c:pt idx="3394">
                  <c:v>2.0160428915163564E-2</c:v>
                </c:pt>
                <c:pt idx="3395">
                  <c:v>2.0160428915083628E-2</c:v>
                </c:pt>
                <c:pt idx="3396">
                  <c:v>2.0160428915163564E-2</c:v>
                </c:pt>
                <c:pt idx="3397">
                  <c:v>2.0160428915163564E-2</c:v>
                </c:pt>
                <c:pt idx="3398">
                  <c:v>2.0160428915163564E-2</c:v>
                </c:pt>
                <c:pt idx="3399">
                  <c:v>2.0160428915083628E-2</c:v>
                </c:pt>
                <c:pt idx="3400">
                  <c:v>2.0160428915083628E-2</c:v>
                </c:pt>
                <c:pt idx="3401">
                  <c:v>2.0160428915163564E-2</c:v>
                </c:pt>
                <c:pt idx="3402">
                  <c:v>2.0160428915083628E-2</c:v>
                </c:pt>
                <c:pt idx="3403">
                  <c:v>2.0160428915163564E-2</c:v>
                </c:pt>
                <c:pt idx="3404">
                  <c:v>2.0160428915083628E-2</c:v>
                </c:pt>
                <c:pt idx="3405">
                  <c:v>2.0160428915163564E-2</c:v>
                </c:pt>
                <c:pt idx="3406">
                  <c:v>2.0160428915083628E-2</c:v>
                </c:pt>
                <c:pt idx="3407">
                  <c:v>2.0160428915163564E-2</c:v>
                </c:pt>
                <c:pt idx="3408">
                  <c:v>2.0160428915163564E-2</c:v>
                </c:pt>
                <c:pt idx="3409">
                  <c:v>2.01604289152435E-2</c:v>
                </c:pt>
                <c:pt idx="3410">
                  <c:v>2.0160428915083628E-2</c:v>
                </c:pt>
                <c:pt idx="3411">
                  <c:v>2.0160428915083628E-2</c:v>
                </c:pt>
                <c:pt idx="3412">
                  <c:v>2.0160428915083628E-2</c:v>
                </c:pt>
                <c:pt idx="3413">
                  <c:v>2.0160428915083628E-2</c:v>
                </c:pt>
                <c:pt idx="3414">
                  <c:v>2.0160428915083628E-2</c:v>
                </c:pt>
                <c:pt idx="3415">
                  <c:v>2.0160428915163564E-2</c:v>
                </c:pt>
                <c:pt idx="3416">
                  <c:v>2.01604289152435E-2</c:v>
                </c:pt>
                <c:pt idx="3417">
                  <c:v>2.0160428915163564E-2</c:v>
                </c:pt>
                <c:pt idx="3418">
                  <c:v>2.0160428915083628E-2</c:v>
                </c:pt>
                <c:pt idx="3419">
                  <c:v>2.0160428915083628E-2</c:v>
                </c:pt>
                <c:pt idx="3420">
                  <c:v>2.0160428915163564E-2</c:v>
                </c:pt>
                <c:pt idx="3421">
                  <c:v>2.0160428915163564E-2</c:v>
                </c:pt>
                <c:pt idx="3422">
                  <c:v>2.0160428915163564E-2</c:v>
                </c:pt>
                <c:pt idx="3423">
                  <c:v>2.0160428915083628E-2</c:v>
                </c:pt>
                <c:pt idx="3424">
                  <c:v>2.0160428915163564E-2</c:v>
                </c:pt>
                <c:pt idx="3425">
                  <c:v>2.0160428915163564E-2</c:v>
                </c:pt>
                <c:pt idx="3426">
                  <c:v>2.0160428915083628E-2</c:v>
                </c:pt>
                <c:pt idx="3427">
                  <c:v>2.0160428915163564E-2</c:v>
                </c:pt>
                <c:pt idx="3428">
                  <c:v>2.0160428915163564E-2</c:v>
                </c:pt>
                <c:pt idx="3429">
                  <c:v>2.0160428915163564E-2</c:v>
                </c:pt>
                <c:pt idx="3430">
                  <c:v>2.0160428915083628E-2</c:v>
                </c:pt>
                <c:pt idx="3431">
                  <c:v>2.0160428915083628E-2</c:v>
                </c:pt>
                <c:pt idx="3432">
                  <c:v>2.01604289152435E-2</c:v>
                </c:pt>
                <c:pt idx="3433">
                  <c:v>2.0160428915163564E-2</c:v>
                </c:pt>
                <c:pt idx="3434">
                  <c:v>2.0160428915163564E-2</c:v>
                </c:pt>
                <c:pt idx="3435">
                  <c:v>2.0160428915163564E-2</c:v>
                </c:pt>
                <c:pt idx="3436">
                  <c:v>2.0160428915163564E-2</c:v>
                </c:pt>
                <c:pt idx="3437">
                  <c:v>2.0160428915163564E-2</c:v>
                </c:pt>
                <c:pt idx="3438">
                  <c:v>2.0160428915163564E-2</c:v>
                </c:pt>
                <c:pt idx="3439">
                  <c:v>2.0160428915163564E-2</c:v>
                </c:pt>
                <c:pt idx="3440">
                  <c:v>2.0160428915003692E-2</c:v>
                </c:pt>
                <c:pt idx="3441">
                  <c:v>2.01604289152435E-2</c:v>
                </c:pt>
                <c:pt idx="3442">
                  <c:v>2.0160428915163564E-2</c:v>
                </c:pt>
                <c:pt idx="3443">
                  <c:v>2.0160428915163564E-2</c:v>
                </c:pt>
                <c:pt idx="3444">
                  <c:v>2.0160428915083628E-2</c:v>
                </c:pt>
                <c:pt idx="3445">
                  <c:v>2.0160428915163564E-2</c:v>
                </c:pt>
                <c:pt idx="3446">
                  <c:v>2.0160428915163564E-2</c:v>
                </c:pt>
                <c:pt idx="3447">
                  <c:v>2.0160428915163564E-2</c:v>
                </c:pt>
                <c:pt idx="3448">
                  <c:v>2.0160428915083628E-2</c:v>
                </c:pt>
                <c:pt idx="3449">
                  <c:v>2.0160428915163564E-2</c:v>
                </c:pt>
                <c:pt idx="3450">
                  <c:v>2.0160428915163564E-2</c:v>
                </c:pt>
                <c:pt idx="3451">
                  <c:v>2.0160428915083628E-2</c:v>
                </c:pt>
                <c:pt idx="3452">
                  <c:v>2.0160428915163564E-2</c:v>
                </c:pt>
                <c:pt idx="3453">
                  <c:v>2.0160428915163564E-2</c:v>
                </c:pt>
                <c:pt idx="3454">
                  <c:v>2.0160428915083628E-2</c:v>
                </c:pt>
                <c:pt idx="3455">
                  <c:v>2.0160428915163564E-2</c:v>
                </c:pt>
                <c:pt idx="3456">
                  <c:v>2.0160428915083628E-2</c:v>
                </c:pt>
                <c:pt idx="3457">
                  <c:v>2.0160428915163564E-2</c:v>
                </c:pt>
                <c:pt idx="3458">
                  <c:v>2.0160428915083628E-2</c:v>
                </c:pt>
                <c:pt idx="3459">
                  <c:v>2.0160428915163564E-2</c:v>
                </c:pt>
                <c:pt idx="3460">
                  <c:v>2.0160428915083628E-2</c:v>
                </c:pt>
                <c:pt idx="3461">
                  <c:v>2.0160428915163564E-2</c:v>
                </c:pt>
                <c:pt idx="3462">
                  <c:v>2.0160428915083628E-2</c:v>
                </c:pt>
                <c:pt idx="3463">
                  <c:v>2.0160428915083628E-2</c:v>
                </c:pt>
                <c:pt idx="3464">
                  <c:v>2.0160428915163564E-2</c:v>
                </c:pt>
                <c:pt idx="3465">
                  <c:v>2.0160428915083628E-2</c:v>
                </c:pt>
                <c:pt idx="3466">
                  <c:v>2.0160428915163564E-2</c:v>
                </c:pt>
                <c:pt idx="3467">
                  <c:v>2.0160428915163564E-2</c:v>
                </c:pt>
                <c:pt idx="3468">
                  <c:v>2.0160428915163564E-2</c:v>
                </c:pt>
                <c:pt idx="3469">
                  <c:v>2.0160428915003692E-2</c:v>
                </c:pt>
                <c:pt idx="3470">
                  <c:v>2.0160428915083628E-2</c:v>
                </c:pt>
                <c:pt idx="3471">
                  <c:v>2.0160428915163564E-2</c:v>
                </c:pt>
                <c:pt idx="3472">
                  <c:v>2.0160428915083628E-2</c:v>
                </c:pt>
                <c:pt idx="3473">
                  <c:v>2.0160428915163564E-2</c:v>
                </c:pt>
                <c:pt idx="3474">
                  <c:v>2.0160428915083628E-2</c:v>
                </c:pt>
                <c:pt idx="3475">
                  <c:v>2.0160428915163564E-2</c:v>
                </c:pt>
                <c:pt idx="3476">
                  <c:v>2.0160428915083628E-2</c:v>
                </c:pt>
                <c:pt idx="3477">
                  <c:v>2.0160428915083628E-2</c:v>
                </c:pt>
                <c:pt idx="3478">
                  <c:v>2.0160428915163564E-2</c:v>
                </c:pt>
                <c:pt idx="3479">
                  <c:v>2.0160428915083628E-2</c:v>
                </c:pt>
                <c:pt idx="3480">
                  <c:v>2.0160428915083628E-2</c:v>
                </c:pt>
                <c:pt idx="3481">
                  <c:v>2.0160428915083628E-2</c:v>
                </c:pt>
                <c:pt idx="3482">
                  <c:v>2.0160428915163564E-2</c:v>
                </c:pt>
                <c:pt idx="3483">
                  <c:v>2.0160428915083628E-2</c:v>
                </c:pt>
                <c:pt idx="3484">
                  <c:v>2.0160428915163564E-2</c:v>
                </c:pt>
                <c:pt idx="3485">
                  <c:v>2.0160428915163564E-2</c:v>
                </c:pt>
                <c:pt idx="3486">
                  <c:v>2.0160428915163564E-2</c:v>
                </c:pt>
                <c:pt idx="3487">
                  <c:v>2.0160428915083628E-2</c:v>
                </c:pt>
                <c:pt idx="3488">
                  <c:v>2.0160428915163564E-2</c:v>
                </c:pt>
                <c:pt idx="3489">
                  <c:v>2.0160428915163564E-2</c:v>
                </c:pt>
                <c:pt idx="3490">
                  <c:v>2.0160428915163564E-2</c:v>
                </c:pt>
                <c:pt idx="3491">
                  <c:v>2.0160428915083628E-2</c:v>
                </c:pt>
                <c:pt idx="3492">
                  <c:v>2.0160428915163564E-2</c:v>
                </c:pt>
                <c:pt idx="3493">
                  <c:v>2.0160428915163564E-2</c:v>
                </c:pt>
                <c:pt idx="3494">
                  <c:v>2.0160428915083628E-2</c:v>
                </c:pt>
                <c:pt idx="3495">
                  <c:v>2.0160428915163564E-2</c:v>
                </c:pt>
                <c:pt idx="3496">
                  <c:v>2.0160428915083628E-2</c:v>
                </c:pt>
                <c:pt idx="3497">
                  <c:v>2.0160428915163564E-2</c:v>
                </c:pt>
                <c:pt idx="3498">
                  <c:v>2.0160428915083628E-2</c:v>
                </c:pt>
                <c:pt idx="3499">
                  <c:v>2.0160428915083628E-2</c:v>
                </c:pt>
                <c:pt idx="3500">
                  <c:v>2.0160428915163564E-2</c:v>
                </c:pt>
                <c:pt idx="3501">
                  <c:v>2.0160428915083628E-2</c:v>
                </c:pt>
                <c:pt idx="3502">
                  <c:v>2.0160428915083628E-2</c:v>
                </c:pt>
                <c:pt idx="3503">
                  <c:v>2.0160428915083628E-2</c:v>
                </c:pt>
                <c:pt idx="3504">
                  <c:v>2.0160428915163564E-2</c:v>
                </c:pt>
                <c:pt idx="3505">
                  <c:v>2.0160428915083628E-2</c:v>
                </c:pt>
                <c:pt idx="3506">
                  <c:v>2.01604289152435E-2</c:v>
                </c:pt>
                <c:pt idx="3507">
                  <c:v>2.0160428915163564E-2</c:v>
                </c:pt>
                <c:pt idx="3508">
                  <c:v>2.0160428915163564E-2</c:v>
                </c:pt>
                <c:pt idx="3509">
                  <c:v>2.0160428915163564E-2</c:v>
                </c:pt>
                <c:pt idx="3510">
                  <c:v>2.0160428915163564E-2</c:v>
                </c:pt>
                <c:pt idx="3511">
                  <c:v>2.0160428915083628E-2</c:v>
                </c:pt>
                <c:pt idx="3512">
                  <c:v>2.0160428915003692E-2</c:v>
                </c:pt>
                <c:pt idx="3513">
                  <c:v>2.0160428915083628E-2</c:v>
                </c:pt>
                <c:pt idx="3514">
                  <c:v>2.0160428915163564E-2</c:v>
                </c:pt>
                <c:pt idx="3515">
                  <c:v>2.0160428915163564E-2</c:v>
                </c:pt>
                <c:pt idx="3516">
                  <c:v>2.0160428915163564E-2</c:v>
                </c:pt>
                <c:pt idx="3517">
                  <c:v>2.0160428915083628E-2</c:v>
                </c:pt>
                <c:pt idx="3518">
                  <c:v>2.0160428915163564E-2</c:v>
                </c:pt>
                <c:pt idx="3519">
                  <c:v>2.0160428915083628E-2</c:v>
                </c:pt>
                <c:pt idx="3520">
                  <c:v>2.0160428915083628E-2</c:v>
                </c:pt>
                <c:pt idx="3521">
                  <c:v>2.0160428915163564E-2</c:v>
                </c:pt>
                <c:pt idx="3522">
                  <c:v>2.01604289152435E-2</c:v>
                </c:pt>
                <c:pt idx="3523">
                  <c:v>2.0160428915083628E-2</c:v>
                </c:pt>
                <c:pt idx="3524">
                  <c:v>2.0160428915083628E-2</c:v>
                </c:pt>
                <c:pt idx="3525">
                  <c:v>2.0160428915163564E-2</c:v>
                </c:pt>
                <c:pt idx="3526">
                  <c:v>2.0160428915163564E-2</c:v>
                </c:pt>
                <c:pt idx="3527">
                  <c:v>2.0160428915163564E-2</c:v>
                </c:pt>
                <c:pt idx="3528">
                  <c:v>2.0160428915163564E-2</c:v>
                </c:pt>
                <c:pt idx="3529">
                  <c:v>2.01604289152435E-2</c:v>
                </c:pt>
                <c:pt idx="3530">
                  <c:v>2.0160428915163564E-2</c:v>
                </c:pt>
                <c:pt idx="3531">
                  <c:v>2.0160428915083628E-2</c:v>
                </c:pt>
                <c:pt idx="3532">
                  <c:v>2.0160428915083628E-2</c:v>
                </c:pt>
                <c:pt idx="3533">
                  <c:v>2.0160428915083628E-2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303232"/>
        <c:axId val="570305152"/>
      </c:lineChart>
      <c:dateAx>
        <c:axId val="570303232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05152"/>
        <c:crosses val="autoZero"/>
        <c:auto val="1"/>
        <c:lblOffset val="100"/>
        <c:baseTimeUnit val="days"/>
        <c:majorUnit val="3"/>
        <c:majorTimeUnit val="months"/>
      </c:dateAx>
      <c:valAx>
        <c:axId val="57030515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030323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0">
          <cell r="D10" t="str">
            <v>USD3M#0000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1.5.0 - MS VC++ 9.0 - Multithreaded Dynamic Runtime library - Release Configuration - Dec 24 2014 09:17:06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_USDYC3M#0004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167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168</v>
      </c>
      <c r="M21" s="39" t="s">
        <v>169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172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170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  <c r="K24" s="46"/>
      <c r="L24" s="45" t="s">
        <v>173</v>
      </c>
      <c r="M24" s="39" t="s">
        <v>175</v>
      </c>
      <c r="N24" s="44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  <c r="K25" s="46"/>
      <c r="L25" s="45" t="s">
        <v>174</v>
      </c>
      <c r="M25" s="36" t="str">
        <f>M24&amp;"("&amp;LocalCalendar&amp;","&amp;LiborCalendar&amp;")"</f>
        <v>JoinHolidays(UnitedStates::Settlement,UnitedKingdom::Exchange)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42034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60297</v>
      </c>
      <c r="D28" s="3">
        <f>MIN(_xll.ohPack(Selected!J1:J126))</f>
        <v>0.31360634610412597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[1]Libor!$D$10</f>
        <v>USD3M#0000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58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str">
        <f>Deposits!E3</f>
        <v>obj_00519#0004</v>
      </c>
      <c r="C2" s="170" t="str">
        <f>_xll.qlRateHelperQuoteName(B2)</f>
        <v>USDSWD_SYNTH3M_Quote</v>
      </c>
      <c r="D2" s="169">
        <f>_xll.qlRateHelperQuoteValue($B2,Trigger)</f>
        <v>2.3530000000000001E-3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42034</v>
      </c>
      <c r="J2" s="166">
        <f>_xll.qlRateHelperLatestDate($B2,Trigger)</f>
        <v>42041</v>
      </c>
      <c r="K2" s="59">
        <v>40</v>
      </c>
      <c r="L2" s="59" t="s">
        <v>42</v>
      </c>
    </row>
    <row r="3" spans="1:14" x14ac:dyDescent="0.2">
      <c r="B3" s="263" t="str">
        <f>Deposits!E4</f>
        <v>obj_0051a#0004</v>
      </c>
      <c r="C3" s="170" t="str">
        <f>_xll.qlRateHelperQuoteName(B3)</f>
        <v>USD1MD_SYNTH3M_Quote</v>
      </c>
      <c r="D3" s="169">
        <f>_xll.qlRateHelperQuoteValue($B3,Trigger)</f>
        <v>2.398E-3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42034</v>
      </c>
      <c r="J3" s="166">
        <f>_xll.qlRateHelperLatestDate($B3,Trigger)</f>
        <v>42062</v>
      </c>
      <c r="K3" s="59">
        <v>70</v>
      </c>
      <c r="L3" s="59" t="s">
        <v>41</v>
      </c>
    </row>
    <row r="4" spans="1:14" x14ac:dyDescent="0.2">
      <c r="B4" s="263" t="str">
        <f>Deposits!E5</f>
        <v>obj_00514#0004</v>
      </c>
      <c r="C4" s="170" t="str">
        <f>_xll.qlRateHelperQuoteName(B4)</f>
        <v>USD2MD_SYNTH3M_Quote</v>
      </c>
      <c r="D4" s="169">
        <f>_xll.qlRateHelperQuoteValue($B4,Trigger)</f>
        <v>2.4399999999999999E-3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42034</v>
      </c>
      <c r="J4" s="166">
        <f>_xll.qlRateHelperLatestDate($B4,Trigger)</f>
        <v>42094</v>
      </c>
    </row>
    <row r="5" spans="1:14" x14ac:dyDescent="0.2">
      <c r="B5" s="263" t="str">
        <f>Deposits!E6</f>
        <v>obj_00516#0004</v>
      </c>
      <c r="C5" s="170" t="str">
        <f>_xll.qlRateHelperQuoteName(B5)</f>
        <v>USD3MD_SYNTH3M_Quote</v>
      </c>
      <c r="D5" s="169">
        <f>_xll.qlRateHelperQuoteValue($B5,Trigger)</f>
        <v>2.4719999999999998E-3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42034</v>
      </c>
      <c r="J5" s="166">
        <f>_xll.qlRateHelperLatestDate($B5,Trigger)</f>
        <v>42124</v>
      </c>
    </row>
    <row r="6" spans="1:14" x14ac:dyDescent="0.2">
      <c r="B6" s="264" t="str">
        <f>FRAs!G3</f>
        <v>obj_00517#0002</v>
      </c>
      <c r="C6" s="175" t="str">
        <f>_xll.qlRateHelperQuoteName(B6)</f>
        <v>USD1x4F_Quote</v>
      </c>
      <c r="D6" s="174">
        <f>_xll.qlRateHelperQuoteValue($B6,Trigger)</f>
        <v>2.5700000000000002E-3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42062</v>
      </c>
      <c r="J6" s="171">
        <f>_xll.qlRateHelperLatestDate($B6,Trigger)</f>
        <v>42153</v>
      </c>
    </row>
    <row r="7" spans="1:14" x14ac:dyDescent="0.2">
      <c r="B7" s="263" t="str">
        <f>FRAs!G4</f>
        <v>obj_00520#0002</v>
      </c>
      <c r="C7" s="170" t="str">
        <f>_xll.qlRateHelperQuoteName(B7)</f>
        <v>USD2x5F_Quote</v>
      </c>
      <c r="D7" s="169">
        <f>_xll.qlRateHelperQuoteValue($B7,Trigger)</f>
        <v>2.7400000000000002E-3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42094</v>
      </c>
      <c r="J7" s="166">
        <f>_xll.qlRateHelperLatestDate($B7,Trigger)</f>
        <v>42185</v>
      </c>
    </row>
    <row r="8" spans="1:14" x14ac:dyDescent="0.2">
      <c r="B8" s="263" t="str">
        <f>FRAs!G5</f>
        <v>obj_0051b#0002</v>
      </c>
      <c r="C8" s="170" t="str">
        <f>_xll.qlRateHelperQuoteName(B8)</f>
        <v>USD3x6F_Quote</v>
      </c>
      <c r="D8" s="169">
        <f>_xll.qlRateHelperQuoteValue($B8,Trigger)</f>
        <v>3.0100000000000005E-3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42124</v>
      </c>
      <c r="J8" s="166">
        <f>_xll.qlRateHelperLatestDate($B8,Trigger)</f>
        <v>42216</v>
      </c>
    </row>
    <row r="9" spans="1:14" x14ac:dyDescent="0.2">
      <c r="B9" s="263" t="str">
        <f>FRAs!G6</f>
        <v>obj_00515#0002</v>
      </c>
      <c r="C9" s="170" t="str">
        <f>_xll.qlRateHelperQuoteName(B9)</f>
        <v>USD4x7F_Quote</v>
      </c>
      <c r="D9" s="169">
        <f>_xll.qlRateHelperQuoteValue($B9,Trigger)</f>
        <v>3.3499999999999997E-3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42153</v>
      </c>
      <c r="J9" s="166">
        <f>_xll.qlRateHelperLatestDate($B9,Trigger)</f>
        <v>42244</v>
      </c>
    </row>
    <row r="10" spans="1:14" x14ac:dyDescent="0.2">
      <c r="B10" s="263" t="str">
        <f>FRAs!G7</f>
        <v>obj_00518#0002</v>
      </c>
      <c r="C10" s="170" t="str">
        <f>_xll.qlRateHelperQuoteName(B10)</f>
        <v>USD5x8F_Quote</v>
      </c>
      <c r="D10" s="169">
        <f>_xll.qlRateHelperQuoteValue($B10,Trigger)</f>
        <v>3.79E-3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42185</v>
      </c>
      <c r="J10" s="166">
        <f>_xll.qlRateHelperLatestDate($B10,Trigger)</f>
        <v>42277</v>
      </c>
    </row>
    <row r="11" spans="1:14" x14ac:dyDescent="0.2">
      <c r="B11" s="263" t="str">
        <f>FRAs!G8</f>
        <v>obj_0051e#0002</v>
      </c>
      <c r="C11" s="170" t="str">
        <f>_xll.qlRateHelperQuoteName(B11)</f>
        <v>USD6x9F_Quote</v>
      </c>
      <c r="D11" s="169">
        <f>_xll.qlRateHelperQuoteValue($B11,Trigger)</f>
        <v>4.2599999999999999E-3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42216</v>
      </c>
      <c r="J11" s="166">
        <f>_xll.qlRateHelperLatestDate($B11,Trigger)</f>
        <v>42307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4" t="str">
        <f>Futures!H3</f>
        <v>obj_00569#0002</v>
      </c>
      <c r="C12" s="175" t="str">
        <f>_xll.qlRateHelperQuoteName(B12)</f>
        <v>USDFUT3MG5_Quote</v>
      </c>
      <c r="D12" s="257">
        <f>_xll.qlRateHelperQuoteValue($B12,Trigger)</f>
        <v>99.746250000000003</v>
      </c>
      <c r="E12" s="174">
        <f>_xll.qlFuturesRateHelperConvexityAdjustment($B12,Trigger)</f>
        <v>1.3503326533580239E-6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42053</v>
      </c>
      <c r="J12" s="171">
        <f>_xll.qlRateHelperLatestDate($B12,Trigger)</f>
        <v>42142</v>
      </c>
      <c r="M12" s="59" t="b">
        <f>AND(_xll.qlIMMIsIMMdate(I12),IF(ISERROR(D12),FALSE,TRUE))</f>
        <v>0</v>
      </c>
      <c r="N12" s="159" t="b">
        <f>AND(NOT(_xll.qlIMMIsIMMdate(I12)),IF(ISERROR(D12),FALSE,TRUE))</f>
        <v>1</v>
      </c>
    </row>
    <row r="13" spans="1:14" x14ac:dyDescent="0.2">
      <c r="A13" s="81" t="b">
        <v>0</v>
      </c>
      <c r="B13" s="263" t="str">
        <f>Futures!H4</f>
        <v>obj_0056f#0002</v>
      </c>
      <c r="C13" s="170" t="str">
        <f>_xll.qlRateHelperQuoteName(B13)</f>
        <v>USDFUT3MH5_Quote</v>
      </c>
      <c r="D13" s="176">
        <f>_xll.qlRateHelperQuoteValue($B13,Trigger)</f>
        <v>99.732500000000002</v>
      </c>
      <c r="E13" s="169">
        <f>_xll.qlFuturesRateHelperConvexityAdjustment($B13,Trigger)</f>
        <v>3.6813241347160371E-6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42081</v>
      </c>
      <c r="J13" s="166">
        <f>_xll.qlRateHelperLatestDate($B13,Trigger)</f>
        <v>42173</v>
      </c>
      <c r="M13" s="159" t="b">
        <f>AND(_xll.qlIMMIsIMMdate(I13),IF(ISERROR(D13),FALSE,TRUE))</f>
        <v>1</v>
      </c>
      <c r="N13" s="159" t="b">
        <f>AND(NOT(_xll.qlIMMIsIMMdate(I13)),IF(ISERROR(D13),FALSE,TRUE))</f>
        <v>0</v>
      </c>
    </row>
    <row r="14" spans="1:14" x14ac:dyDescent="0.2">
      <c r="A14" s="81" t="b">
        <v>0</v>
      </c>
      <c r="B14" s="263" t="str">
        <f>Futures!H5</f>
        <v>obj_0054b#0002</v>
      </c>
      <c r="C14" s="170" t="str">
        <f>_xll.qlRateHelperQuoteName(B14)</f>
        <v>USDFUT3MJ5_Quote</v>
      </c>
      <c r="D14" s="176">
        <f>_xll.qlRateHelperQuoteValue($B14,Trigger)</f>
        <v>99.717500000000001</v>
      </c>
      <c r="E14" s="169">
        <f>_xll.qlFuturesRateHelperConvexityAdjustment($B14,Trigger)</f>
        <v>6.4182904353363358E-6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42109</v>
      </c>
      <c r="J14" s="166">
        <f>_xll.qlRateHelperLatestDate($B14,Trigger)</f>
        <v>42200</v>
      </c>
      <c r="M14" s="159" t="b">
        <f>AND(_xll.qlIMMIsIMMdate(I14),IF(ISERROR(D14),FALSE,TRUE))</f>
        <v>0</v>
      </c>
      <c r="N14" s="159" t="b">
        <f>AND(NOT(_xll.qlIMMIsIMMdate(I14)),IF(ISERROR(D14),FALSE,TRUE))</f>
        <v>1</v>
      </c>
    </row>
    <row r="15" spans="1:14" x14ac:dyDescent="0.2">
      <c r="A15" s="81" t="b">
        <v>0</v>
      </c>
      <c r="B15" s="263" t="str">
        <f>Futures!H6</f>
        <v>obj_0055d#0002</v>
      </c>
      <c r="C15" s="170" t="str">
        <f>_xll.qlRateHelperQuoteName(B15)</f>
        <v>USDFUT3MK5_Quote</v>
      </c>
      <c r="D15" s="176">
        <f>_xll.qlRateHelperQuoteValue($B15,Trigger)</f>
        <v>99.672499999999999</v>
      </c>
      <c r="E15" s="169">
        <f>_xll.qlFuturesRateHelperConvexityAdjustment($B15,Trigger)</f>
        <v>1.0642209075701285E-5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42144</v>
      </c>
      <c r="J15" s="166">
        <f>_xll.qlRateHelperLatestDate($B15,Trigger)</f>
        <v>42236</v>
      </c>
      <c r="M15" s="159" t="b">
        <f>AND(_xll.qlIMMIsIMMdate(I15),IF(ISERROR(D15),FALSE,TRUE))</f>
        <v>0</v>
      </c>
      <c r="N15" s="159" t="b">
        <f>AND(NOT(_xll.qlIMMIsIMMdate(I15)),IF(ISERROR(D15),FALSE,TRUE))</f>
        <v>1</v>
      </c>
    </row>
    <row r="16" spans="1:14" x14ac:dyDescent="0.2">
      <c r="A16" s="81" t="b">
        <v>0</v>
      </c>
      <c r="B16" s="263" t="str">
        <f>Futures!H7</f>
        <v>obj_00553#0002</v>
      </c>
      <c r="C16" s="170" t="str">
        <f>_xll.qlRateHelperQuoteName(B16)</f>
        <v>USDFUT3MM5_Quote</v>
      </c>
      <c r="D16" s="176">
        <f>_xll.qlRateHelperQuoteValue($B16,Trigger)</f>
        <v>99.637500000000003</v>
      </c>
      <c r="E16" s="169">
        <f>_xll.qlFuturesRateHelperConvexityAdjustment($B16,Trigger)</f>
        <v>1.4531563985781191E-5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42172</v>
      </c>
      <c r="J16" s="166">
        <f>_xll.qlRateHelperLatestDate($B16,Trigger)</f>
        <v>42264</v>
      </c>
      <c r="M16" s="159" t="b">
        <f>AND(_xll.qlIMMIsIMMdate(I16),IF(ISERROR(D16),FALSE,TRUE))</f>
        <v>1</v>
      </c>
      <c r="N16" s="159" t="b">
        <f>AND(NOT(_xll.qlIMMIsIMMdate(I16)),IF(ISERROR(D16),FALSE,TRUE))</f>
        <v>0</v>
      </c>
    </row>
    <row r="17" spans="1:14" x14ac:dyDescent="0.2">
      <c r="A17" s="81" t="b">
        <v>0</v>
      </c>
      <c r="B17" s="263" t="str">
        <f>Futures!H8</f>
        <v>obj_00554#0002</v>
      </c>
      <c r="C17" s="170" t="str">
        <f>_xll.qlRateHelperQuoteName(B17)</f>
        <v>USDFUT3MN5_Quote</v>
      </c>
      <c r="D17" s="176">
        <f>_xll.qlRateHelperQuoteValue($B17,Trigger)</f>
        <v>99.597499999999997</v>
      </c>
      <c r="E17" s="169">
        <f>_xll.qlFuturesRateHelperConvexityAdjustment($B17,Trigger)</f>
        <v>1.8906026352579053E-5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42200</v>
      </c>
      <c r="J17" s="166">
        <f>_xll.qlRateHelperLatestDate($B17,Trigger)</f>
        <v>42292</v>
      </c>
      <c r="M17" s="159" t="b">
        <f>AND(_xll.qlIMMIsIMMdate(I17),IF(ISERROR(D17),FALSE,TRUE))</f>
        <v>0</v>
      </c>
      <c r="N17" s="159" t="b">
        <f>AND(NOT(_xll.qlIMMIsIMMdate(I17)),IF(ISERROR(D17),FALSE,TRUE))</f>
        <v>1</v>
      </c>
    </row>
    <row r="18" spans="1:14" x14ac:dyDescent="0.2">
      <c r="A18" s="81" t="b">
        <v>0</v>
      </c>
      <c r="B18" s="263" t="str">
        <f>Futures!H9</f>
        <v>obj_0056d#0002</v>
      </c>
      <c r="C18" s="170" t="str">
        <f>_xll.qlRateHelperQuoteName(B18)</f>
        <v>USDFUT3MQ5_Quote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42235</v>
      </c>
      <c r="J18" s="166">
        <f>_xll.qlRateHelperLatestDate($B18,Trigger)</f>
        <v>42327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3" t="str">
        <f>Futures!H10</f>
        <v>obj_0055e#0002</v>
      </c>
      <c r="C19" s="170" t="str">
        <f>_xll.qlRateHelperQuoteName(B19)</f>
        <v>USDFUT3MU5_Quote</v>
      </c>
      <c r="D19" s="176">
        <f>_xll.qlRateHelperQuoteValue($B19,Trigger)</f>
        <v>99.487499999999997</v>
      </c>
      <c r="E19" s="169">
        <f>_xll.qlFuturesRateHelperConvexityAdjustment($B19,Trigger)</f>
        <v>3.0361028726931918E-5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42263</v>
      </c>
      <c r="J19" s="166">
        <f>_xll.qlRateHelperLatestDate($B19,Trigger)</f>
        <v>42354</v>
      </c>
      <c r="M19" s="159" t="b">
        <f>AND(_xll.qlIMMIsIMMdate(I19),IF(ISERROR(D19),FALSE,TRUE))</f>
        <v>1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3" t="str">
        <f>Futures!H11</f>
        <v>obj_00559#0002</v>
      </c>
      <c r="C20" s="170" t="str">
        <f>_xll.qlRateHelperQuoteName(B20)</f>
        <v>USDFUT3MV5_Quote</v>
      </c>
      <c r="D20" s="176" t="e">
        <f>_xll.qlRateHelperQuoteValue($B20,Trigger)</f>
        <v>#NUM!</v>
      </c>
      <c r="E20" s="169" t="e">
        <f>_xll.qlFuturesRateHelperConvexityAdjustment($B20,Trigger)</f>
        <v>#NUM!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42298</v>
      </c>
      <c r="J20" s="166">
        <f>_xll.qlRateHelperLatestDate($B20,Trigger)</f>
        <v>42390</v>
      </c>
      <c r="M20" s="159" t="b">
        <f>AND(_xll.qlIMMIsIMMdate(I20),IF(ISERROR(D20),FALSE,TRUE))</f>
        <v>0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3" t="str">
        <f>Futures!H12</f>
        <v>obj_00558#0002</v>
      </c>
      <c r="C21" s="170" t="str">
        <f>_xll.qlRateHelperQuoteName(B21)</f>
        <v>USDFUT3MX5_Quote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42326</v>
      </c>
      <c r="J21" s="166">
        <f>_xll.qlRateHelperLatestDate($B21,Trigger)</f>
        <v>42418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3" t="str">
        <f>Futures!H13</f>
        <v>obj_00574#0002</v>
      </c>
      <c r="C22" s="170" t="str">
        <f>_xll.qlRateHelperQuoteName(B22)</f>
        <v>USDFUT3MZ5_Quote</v>
      </c>
      <c r="D22" s="176">
        <f>_xll.qlRateHelperQuoteValue($B22,Trigger)</f>
        <v>99.292500000000004</v>
      </c>
      <c r="E22" s="169">
        <f>_xll.qlFuturesRateHelperConvexityAdjustment($B22,Trigger)</f>
        <v>5.12987853816972E-5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42354</v>
      </c>
      <c r="J22" s="166">
        <f>_xll.qlRateHelperLatestDate($B22,Trigger)</f>
        <v>42445</v>
      </c>
      <c r="M22" s="159" t="b">
        <f>AND(_xll.qlIMMIsIMMdate(I22),IF(ISERROR(D22),FALSE,TRUE))</f>
        <v>1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3" t="str">
        <f>Futures!H14</f>
        <v>obj_0056e#0002</v>
      </c>
      <c r="C23" s="170" t="str">
        <f>_xll.qlRateHelperQuoteName(B23)</f>
        <v>USDFUT3MF6_Quote</v>
      </c>
      <c r="D23" s="176" t="e">
        <f>_xll.qlRateHelperQuoteValue($B23,Trigger)</f>
        <v>#NUM!</v>
      </c>
      <c r="E23" s="169" t="e">
        <f>_xll.qlFuturesRateHelperConvexityAdjustment($B23,Trigger)</f>
        <v>#NUM!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42389</v>
      </c>
      <c r="J23" s="166">
        <f>_xll.qlRateHelperLatestDate($B23,Trigger)</f>
        <v>42480</v>
      </c>
      <c r="M23" s="159" t="b">
        <f>AND(_xll.qlIMMIsIMMdate(I23),IF(ISERROR(D23),FALSE,TRUE))</f>
        <v>0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3" t="str">
        <f>Futures!H15</f>
        <v>obj_00550#0002</v>
      </c>
      <c r="C24" s="170" t="str">
        <f>_xll.qlRateHelperQuoteName(B24)</f>
        <v>USDFUT3MH6_Quote</v>
      </c>
      <c r="D24" s="176">
        <f>_xll.qlRateHelperQuoteValue($B24,Trigger)</f>
        <v>99.087500000000006</v>
      </c>
      <c r="E24" s="169">
        <f>_xll.qlFuturesRateHelperConvexityAdjustment($B24,Trigger)</f>
        <v>7.7405127845631347E-5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42445</v>
      </c>
      <c r="J24" s="166">
        <f>_xll.qlRateHelperLatestDate($B24,Trigger)</f>
        <v>42537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3" t="str">
        <f>Futures!H16</f>
        <v>obj_00572#0002</v>
      </c>
      <c r="C25" s="170" t="str">
        <f>_xll.qlRateHelperQuoteName(B25)</f>
        <v>USDFUT3MM6_Quote</v>
      </c>
      <c r="D25" s="176">
        <f>_xll.qlRateHelperQuoteValue($B25,Trigger)</f>
        <v>98.882499999999993</v>
      </c>
      <c r="E25" s="169">
        <f>_xll.qlFuturesRateHelperConvexityAdjustment($B25,Trigger)</f>
        <v>1.0811569613857706E-4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42536</v>
      </c>
      <c r="J25" s="166">
        <f>_xll.qlRateHelperLatestDate($B25,Trigger)</f>
        <v>42628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3" t="str">
        <f>Futures!H17</f>
        <v>obj_0055f#0002</v>
      </c>
      <c r="C26" s="170" t="str">
        <f>_xll.qlRateHelperQuoteName(B26)</f>
        <v>USDFUT3MU6_Quote</v>
      </c>
      <c r="D26" s="176">
        <f>_xll.qlRateHelperQuoteValue($B26,Trigger)</f>
        <v>98.692499999999995</v>
      </c>
      <c r="E26" s="169">
        <f>_xll.qlFuturesRateHelperConvexityAdjustment($B26,Trigger)</f>
        <v>1.460630303891116E-4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42634</v>
      </c>
      <c r="J26" s="166">
        <f>_xll.qlRateHelperLatestDate($B26,Trigger)</f>
        <v>42725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3" t="str">
        <f>Futures!H18</f>
        <v>obj_0056c#0002</v>
      </c>
      <c r="C27" s="170" t="str">
        <f>_xll.qlRateHelperQuoteName(B27)</f>
        <v>USDFUT3MZ6_Quote</v>
      </c>
      <c r="D27" s="176">
        <f>_xll.qlRateHelperQuoteValue($B27,Trigger)</f>
        <v>98.522500000000008</v>
      </c>
      <c r="E27" s="169">
        <f>_xll.qlFuturesRateHelperConvexityAdjustment($B27,Trigger)</f>
        <v>1.8592842233385403E-4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42725</v>
      </c>
      <c r="J27" s="166">
        <f>_xll.qlRateHelperLatestDate($B27,Trigger)</f>
        <v>42815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3" t="str">
        <f>Futures!H19</f>
        <v>obj_00551#0002</v>
      </c>
      <c r="C28" s="170" t="str">
        <f>_xll.qlRateHelperQuoteName(B28)</f>
        <v>USDFUT3MH7_Quote</v>
      </c>
      <c r="D28" s="176">
        <f>_xll.qlRateHelperQuoteValue($B28,Trigger)</f>
        <v>98.387500000000003</v>
      </c>
      <c r="E28" s="169">
        <f>_xll.qlFuturesRateHelperConvexityAdjustment($B28,Trigger)</f>
        <v>2.2798219447659517E-4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42809</v>
      </c>
      <c r="J28" s="166">
        <f>_xll.qlRateHelperLatestDate($B28,Trigger)</f>
        <v>42901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3" t="str">
        <f>Futures!H20</f>
        <v>obj_0055c#0002</v>
      </c>
      <c r="C29" s="170" t="str">
        <f>_xll.qlRateHelperQuoteName(B29)</f>
        <v>USDFUT3MM7_Quote</v>
      </c>
      <c r="D29" s="176">
        <f>_xll.qlRateHelperQuoteValue($B29,Trigger)</f>
        <v>98.257499999999993</v>
      </c>
      <c r="E29" s="169">
        <f>_xll.qlFuturesRateHelperConvexityAdjustment($B29,Trigger)</f>
        <v>2.8075599955791782E-4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42907</v>
      </c>
      <c r="J29" s="166">
        <f>_xll.qlRateHelperLatestDate($B29,Trigger)</f>
        <v>42999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3" t="str">
        <f>Futures!H21</f>
        <v>obj_00556#0002</v>
      </c>
      <c r="C30" s="170" t="str">
        <f>_xll.qlRateHelperQuoteName(B30)</f>
        <v>USDFUT3MU7_Quote</v>
      </c>
      <c r="D30" s="176">
        <f>_xll.qlRateHelperQuoteValue($B30,Trigger)</f>
        <v>98.147500000000008</v>
      </c>
      <c r="E30" s="169">
        <f>_xll.qlFuturesRateHelperConvexityAdjustment($B30,Trigger)</f>
        <v>3.3361014979361032E-4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42998</v>
      </c>
      <c r="J30" s="166">
        <f>_xll.qlRateHelperLatestDate($B30,Trigger)</f>
        <v>43089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3" t="str">
        <f>Futures!H22</f>
        <v>obj_00562#0002</v>
      </c>
      <c r="C31" s="170" t="str">
        <f>_xll.qlRateHelperQuoteName(B31)</f>
        <v>USDFUT3MZ7_Quote</v>
      </c>
      <c r="D31" s="176">
        <f>_xll.qlRateHelperQuoteValue($B31,Trigger)</f>
        <v>98.047499999999999</v>
      </c>
      <c r="E31" s="169">
        <f>_xll.qlFuturesRateHelperConvexityAdjustment($B31,Trigger)</f>
        <v>3.9052289169527304E-4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43089</v>
      </c>
      <c r="J31" s="166">
        <f>_xll.qlRateHelperLatestDate($B31,Trigger)</f>
        <v>43179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3" t="str">
        <f>Futures!H23</f>
        <v>obj_00570#0002</v>
      </c>
      <c r="C32" s="170" t="str">
        <f>_xll.qlRateHelperQuoteName(B32)</f>
        <v>USDFUT3MH8_Quote</v>
      </c>
      <c r="D32" s="176">
        <f>_xll.qlRateHelperQuoteValue($B32,Trigger)</f>
        <v>97.972499999999997</v>
      </c>
      <c r="E32" s="169">
        <f>_xll.qlFuturesRateHelperConvexityAdjustment($B32,Trigger)</f>
        <v>4.5342602646658694E-4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43180</v>
      </c>
      <c r="J32" s="166">
        <f>_xll.qlRateHelperLatestDate($B32,Trigger)</f>
        <v>43272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3" t="str">
        <f>Futures!H24</f>
        <v>obj_00568#0002</v>
      </c>
      <c r="C33" s="170" t="str">
        <f>_xll.qlRateHelperQuoteName(B33)</f>
        <v>USDFUT3MM8_Quote</v>
      </c>
      <c r="D33" s="176">
        <f>_xll.qlRateHelperQuoteValue($B33,Trigger)</f>
        <v>97.902500000000003</v>
      </c>
      <c r="E33" s="169">
        <f>_xll.qlFuturesRateHelperConvexityAdjustment($B33,Trigger)</f>
        <v>5.1902727461238766E-4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43271</v>
      </c>
      <c r="J33" s="166">
        <f>_xll.qlRateHelperLatestDate($B33,Trigger)</f>
        <v>43363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3" t="str">
        <f>Futures!H25</f>
        <v>obj_00557#0002</v>
      </c>
      <c r="C34" s="170" t="str">
        <f>_xll.qlRateHelperQuoteName(B34)</f>
        <v>USDFUT3MU8_Quote</v>
      </c>
      <c r="D34" s="176">
        <f>_xll.qlRateHelperQuoteValue($B34,Trigger)</f>
        <v>97.837500000000006</v>
      </c>
      <c r="E34" s="169">
        <f>_xll.qlFuturesRateHelperConvexityAdjustment($B34,Trigger)</f>
        <v>5.8771099283801771E-4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43362</v>
      </c>
      <c r="J34" s="166">
        <f>_xll.qlRateHelperLatestDate($B34,Trigger)</f>
        <v>43453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3" t="str">
        <f>Futures!H26</f>
        <v>obj_00573#0002</v>
      </c>
      <c r="C35" s="170" t="str">
        <f>_xll.qlRateHelperQuoteName(B35)</f>
        <v>USDFUT3MZ8_Quote</v>
      </c>
      <c r="D35" s="176">
        <f>_xll.qlRateHelperQuoteValue($B35,Trigger)</f>
        <v>97.777500000000003</v>
      </c>
      <c r="E35" s="169">
        <f>_xll.qlFuturesRateHelperConvexityAdjustment($B35,Trigger)</f>
        <v>6.6006584802201864E-4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43453</v>
      </c>
      <c r="J35" s="166">
        <f>_xll.qlRateHelperLatestDate($B35,Trigger)</f>
        <v>43543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3" t="str">
        <f>Futures!H27</f>
        <v>obj_00552#0002</v>
      </c>
      <c r="C36" s="170" t="str">
        <f>_xll.qlRateHelperQuoteName(B36)</f>
        <v>USDFUT3MH9_Quote</v>
      </c>
      <c r="D36" s="176">
        <f>_xll.qlRateHelperQuoteValue($B36,Trigger)</f>
        <v>97.72999999999999</v>
      </c>
      <c r="E36" s="169">
        <f>_xll.qlFuturesRateHelperConvexityAdjustment($B36,Trigger)</f>
        <v>7.3862733963718941E-4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43544</v>
      </c>
      <c r="J36" s="166">
        <f>_xll.qlRateHelperLatestDate($B36,Trigger)</f>
        <v>43636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3" t="str">
        <f>Futures!H28</f>
        <v>obj_00564#0002</v>
      </c>
      <c r="C37" s="170" t="str">
        <f>_xll.qlRateHelperQuoteName(B37)</f>
        <v>USDFUT3MM9_Quote</v>
      </c>
      <c r="D37" s="176">
        <f>_xll.qlRateHelperQuoteValue($B37,Trigger)</f>
        <v>97.682500000000005</v>
      </c>
      <c r="E37" s="169">
        <f>_xll.qlFuturesRateHelperConvexityAdjustment($B37,Trigger)</f>
        <v>8.191150999307988E-4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43635</v>
      </c>
      <c r="J37" s="166">
        <f>_xll.qlRateHelperLatestDate($B37,Trigger)</f>
        <v>43727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3" t="str">
        <f>Futures!H29</f>
        <v>obj_00566#0002</v>
      </c>
      <c r="C38" s="170" t="str">
        <f>_xll.qlRateHelperQuoteName(B38)</f>
        <v>USDFUT3MU9_Quote</v>
      </c>
      <c r="D38" s="176">
        <f>_xll.qlRateHelperQuoteValue($B38,Trigger)</f>
        <v>97.632499999999993</v>
      </c>
      <c r="E38" s="169">
        <f>_xll.qlFuturesRateHelperConvexityAdjustment($B38,Trigger)</f>
        <v>9.0213384816916495E-4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43726</v>
      </c>
      <c r="J38" s="166">
        <f>_xll.qlRateHelperLatestDate($B38,Trigger)</f>
        <v>43817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3" t="str">
        <f>Futures!H30</f>
        <v>obj_0054c#0002</v>
      </c>
      <c r="C39" s="170" t="str">
        <f>_xll.qlRateHelperQuoteName(B39)</f>
        <v>USDFUT3MZ9_Quote</v>
      </c>
      <c r="D39" s="176">
        <f>_xll.qlRateHelperQuoteValue($B39,Trigger)</f>
        <v>97.587500000000006</v>
      </c>
      <c r="E39" s="169">
        <f>_xll.qlFuturesRateHelperConvexityAdjustment($B39,Trigger)</f>
        <v>9.8948515114405801E-4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43817</v>
      </c>
      <c r="J39" s="166">
        <f>_xll.qlRateHelperLatestDate($B39,Trigger)</f>
        <v>43908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3" t="str">
        <f>Futures!H31</f>
        <v>obj_00563#0002</v>
      </c>
      <c r="C40" s="170" t="str">
        <f>_xll.qlRateHelperQuoteName(B40)</f>
        <v>USDFUT3MH0_Quote</v>
      </c>
      <c r="D40" s="176">
        <f>_xll.qlRateHelperQuoteValue($B40,Trigger)</f>
        <v>97.547499999999999</v>
      </c>
      <c r="E40" s="169">
        <f>_xll.qlFuturesRateHelperConvexityAdjustment($B40,Trigger)</f>
        <v>1.0812221329595999E-3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43908</v>
      </c>
      <c r="J40" s="166">
        <f>_xll.qlRateHelperLatestDate($B40,Trigger)</f>
        <v>44000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3" t="str">
        <f>Futures!H32</f>
        <v>obj_0056a#0002</v>
      </c>
      <c r="C41" s="170" t="str">
        <f>_xll.qlRateHelperQuoteName(B41)</f>
        <v>USDFUT3MM0_Quote</v>
      </c>
      <c r="D41" s="176">
        <f>_xll.qlRateHelperQuoteValue($B41,Trigger)</f>
        <v>97.507499999999993</v>
      </c>
      <c r="E41" s="169">
        <f>_xll.qlFuturesRateHelperConvexityAdjustment($B41,Trigger)</f>
        <v>1.1751775047297202E-3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43999</v>
      </c>
      <c r="J41" s="166">
        <f>_xll.qlRateHelperLatestDate($B41,Trigger)</f>
        <v>44091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3" t="str">
        <f>Futures!H33</f>
        <v>obj_00565#0002</v>
      </c>
      <c r="C42" s="170" t="str">
        <f>_xll.qlRateHelperQuoteName(B42)</f>
        <v>USDFUT3MU0_Quote</v>
      </c>
      <c r="D42" s="176">
        <f>_xll.qlRateHelperQuoteValue($B42,Trigger)</f>
        <v>97.465000000000003</v>
      </c>
      <c r="E42" s="169">
        <f>_xll.qlFuturesRateHelperConvexityAdjustment($B42,Trigger)</f>
        <v>1.2711377304453564E-3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44090</v>
      </c>
      <c r="J42" s="166">
        <f>_xll.qlRateHelperLatestDate($B42,Trigger)</f>
        <v>44181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3" t="str">
        <f>Futures!H34</f>
        <v>obj_0054e#0002</v>
      </c>
      <c r="C43" s="170" t="str">
        <f>_xll.qlRateHelperQuoteName(B43)</f>
        <v>USDFUT3MZ0_Quote</v>
      </c>
      <c r="D43" s="176">
        <f>_xll.qlRateHelperQuoteValue($B43,Trigger)</f>
        <v>97.425000000000011</v>
      </c>
      <c r="E43" s="169">
        <f>_xll.qlFuturesRateHelperConvexityAdjustment($B43,Trigger)</f>
        <v>1.3700779106428681E-3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44181</v>
      </c>
      <c r="J43" s="166">
        <f>_xll.qlRateHelperLatestDate($B43,Trigger)</f>
        <v>44271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3" t="str">
        <f>Futures!H35</f>
        <v>obj_0055b#0002</v>
      </c>
      <c r="C44" s="170" t="str">
        <f>_xll.qlRateHelperQuoteName(B44)</f>
        <v>USDFUT3MH1_Quote</v>
      </c>
      <c r="D44" s="176">
        <f>_xll.qlRateHelperQuoteValue($B44,Trigger)</f>
        <v>97.39500000000001</v>
      </c>
      <c r="E44" s="169">
        <f>_xll.qlFuturesRateHelperConvexityAdjustment($B44,Trigger)</f>
        <v>1.4756508654617797E-3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44272</v>
      </c>
      <c r="J44" s="166">
        <f>_xll.qlRateHelperLatestDate($B44,Trigger)</f>
        <v>44364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3" t="str">
        <f>Futures!H36</f>
        <v>obj_0054f#0002</v>
      </c>
      <c r="C45" s="170" t="str">
        <f>_xll.qlRateHelperQuoteName(B45)</f>
        <v>USDFUT3MM1_Quote</v>
      </c>
      <c r="D45" s="176">
        <f>_xll.qlRateHelperQuoteValue($B45,Trigger)</f>
        <v>97.365000000000009</v>
      </c>
      <c r="E45" s="169">
        <f>_xll.qlFuturesRateHelperConvexityAdjustment($B45,Trigger)</f>
        <v>1.5817224559408671E-3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44363</v>
      </c>
      <c r="J45" s="166">
        <f>_xll.qlRateHelperLatestDate($B45,Trigger)</f>
        <v>44455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3" t="str">
        <f>Futures!H37</f>
        <v>obj_0055a#0002</v>
      </c>
      <c r="C46" s="170" t="str">
        <f>_xll.qlRateHelperQuoteName(B46)</f>
        <v>USDFUT3MU1_Quote</v>
      </c>
      <c r="D46" s="176">
        <f>_xll.qlRateHelperQuoteValue($B46,Trigger)</f>
        <v>97.337500000000006</v>
      </c>
      <c r="E46" s="169">
        <f>_xll.qlFuturesRateHelperConvexityAdjustment($B46,Trigger)</f>
        <v>1.6892803962799969E-3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44454</v>
      </c>
      <c r="J46" s="166">
        <f>_xll.qlRateHelperLatestDate($B46,Trigger)</f>
        <v>44545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3" t="str">
        <f>Futures!H38</f>
        <v>obj_0056b#0002</v>
      </c>
      <c r="C47" s="170" t="str">
        <f>_xll.qlRateHelperQuoteName(B47)</f>
        <v>USDFUT3MZ1_Quote</v>
      </c>
      <c r="D47" s="176">
        <f>_xll.qlRateHelperQuoteValue($B47,Trigger)</f>
        <v>97.3125</v>
      </c>
      <c r="E47" s="169">
        <f>_xll.qlFuturesRateHelperConvexityAdjustment($B47,Trigger)</f>
        <v>1.7995018430288208E-3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44545</v>
      </c>
      <c r="J47" s="166">
        <f>_xll.qlRateHelperLatestDate($B47,Trigger)</f>
        <v>44635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3" t="str">
        <f>Futures!H39</f>
        <v>obj_00555#0002</v>
      </c>
      <c r="C48" s="170" t="str">
        <f>_xll.qlRateHelperQuoteName(B48)</f>
        <v>USDFUT3MH2_Quote</v>
      </c>
      <c r="D48" s="176">
        <f>_xll.qlRateHelperQuoteValue($B48,Trigger)</f>
        <v>97.3</v>
      </c>
      <c r="E48" s="169">
        <f>_xll.qlFuturesRateHelperConvexityAdjustment($B48,Trigger)</f>
        <v>1.9165472247656833E-3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44636</v>
      </c>
      <c r="J48" s="166">
        <f>_xll.qlRateHelperLatestDate($B48,Trigger)</f>
        <v>44728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3" t="str">
        <f>Futures!H40</f>
        <v>obj_00567#0002</v>
      </c>
      <c r="C49" s="170" t="str">
        <f>_xll.qlRateHelperQuoteName(B49)</f>
        <v>USDFUT3MM2_Quote</v>
      </c>
      <c r="D49" s="176">
        <f>_xll.qlRateHelperQuoteValue($B49,Trigger)</f>
        <v>97.27</v>
      </c>
      <c r="E49" s="169">
        <f>_xll.qlFuturesRateHelperConvexityAdjustment($B49,Trigger)</f>
        <v>2.0335186447401551E-3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44727</v>
      </c>
      <c r="J49" s="166">
        <f>_xll.qlRateHelperLatestDate($B49,Trigger)</f>
        <v>44819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3" t="str">
        <f>Futures!H41</f>
        <v>obj_00561#0002</v>
      </c>
      <c r="C50" s="170" t="str">
        <f>_xll.qlRateHelperQuoteName(B50)</f>
        <v>USDFUT3MU2_Quote</v>
      </c>
      <c r="D50" s="176">
        <f>_xll.qlRateHelperQuoteValue($B50,Trigger)</f>
        <v>97.252499999999998</v>
      </c>
      <c r="E50" s="169">
        <f>_xll.qlFuturesRateHelperConvexityAdjustment($B50,Trigger)</f>
        <v>2.1607353063225624E-3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44825</v>
      </c>
      <c r="J50" s="166">
        <f>_xll.qlRateHelperLatestDate($B50,Trigger)</f>
        <v>44916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3" t="str">
        <f>Futures!H42</f>
        <v>obj_00571#0002</v>
      </c>
      <c r="C51" s="170" t="str">
        <f>_xll.qlRateHelperQuoteName(B51)</f>
        <v>USDFUT3MZ2_Quote</v>
      </c>
      <c r="D51" s="176">
        <f>_xll.qlRateHelperQuoteValue($B51,Trigger)</f>
        <v>97.23</v>
      </c>
      <c r="E51" s="169">
        <f>_xll.qlFuturesRateHelperConvexityAdjustment($B51,Trigger)</f>
        <v>2.2812669109820642E-3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44916</v>
      </c>
      <c r="J51" s="166">
        <f>_xll.qlRateHelperLatestDate($B51,Trigger)</f>
        <v>45006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3" t="str">
        <f>Futures!H43</f>
        <v>obj_0054d#0002</v>
      </c>
      <c r="C52" s="170" t="str">
        <f>_xll.qlRateHelperQuoteName(B52)</f>
        <v>USDFUT3MH3_Quote</v>
      </c>
      <c r="D52" s="176">
        <f>_xll.qlRateHelperQuoteValue($B52,Trigger)</f>
        <v>97.194999999999993</v>
      </c>
      <c r="E52" s="169">
        <f>_xll.qlFuturesRateHelperConvexityAdjustment($B52,Trigger)</f>
        <v>2.3993301989919972E-3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45000</v>
      </c>
      <c r="J52" s="166">
        <f>_xll.qlRateHelperLatestDate($B52,Trigger)</f>
        <v>45092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3" t="str">
        <f>Futures!H44</f>
        <v>obj_00560#0002</v>
      </c>
      <c r="C53" s="170" t="str">
        <f>_xll.qlRateHelperQuoteName(B53)</f>
        <v>USDFUT3MM3_Quote</v>
      </c>
      <c r="D53" s="176">
        <f>_xll.qlRateHelperQuoteValue($B53,Trigger)</f>
        <v>97.18</v>
      </c>
      <c r="E53" s="169">
        <f>_xll.qlFuturesRateHelperConvexityAdjustment($B53,Trigger)</f>
        <v>2.5357916651743591E-3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45098</v>
      </c>
      <c r="J53" s="166">
        <f>_xll.qlRateHelperLatestDate($B53,Trigger)</f>
        <v>45190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4" t="str">
        <f>Swaps!K43</f>
        <v>obj_00522#0004</v>
      </c>
      <c r="C54" s="175" t="str">
        <f>_xll.qlRateHelperQuoteName(B54)</f>
        <v>USD1S12_Quote</v>
      </c>
      <c r="D54" s="174">
        <f>_xll.qlRateHelperQuoteValue($B54,Trigger)</f>
        <v>4.6100000000000004E-3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42034</v>
      </c>
      <c r="J54" s="171">
        <f>_xll.qlRateHelperLatestDate($B54,Trigger)</f>
        <v>42398</v>
      </c>
    </row>
    <row r="55" spans="1:14" x14ac:dyDescent="0.2">
      <c r="B55" s="263" t="str">
        <f>Swaps!K44</f>
        <v>obj_00526#0004</v>
      </c>
      <c r="C55" s="170" t="str">
        <f>_xll.qlRateHelperQuoteName(B55)</f>
        <v>USD2S12_Quote</v>
      </c>
      <c r="D55" s="169">
        <f>_xll.qlRateHelperQuoteValue($B55,Trigger)</f>
        <v>6.2100000000000002E-3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42034</v>
      </c>
      <c r="J55" s="166">
        <f>_xll.qlRateHelperLatestDate($B55,Trigger)</f>
        <v>42398</v>
      </c>
    </row>
    <row r="56" spans="1:14" x14ac:dyDescent="0.2">
      <c r="B56" s="263" t="str">
        <f>Swaps!K45</f>
        <v>obj_00525#0004</v>
      </c>
      <c r="C56" s="170" t="str">
        <f>_xll.qlRateHelperQuoteName(B56)</f>
        <v>USD3S12_Quote</v>
      </c>
      <c r="D56" s="169">
        <f>_xll.qlRateHelperQuoteValue($B56,Trigger)</f>
        <v>8.1200000000000005E-3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42034</v>
      </c>
      <c r="J56" s="166">
        <f>_xll.qlRateHelperLatestDate($B56,Trigger)</f>
        <v>42398</v>
      </c>
    </row>
    <row r="57" spans="1:14" x14ac:dyDescent="0.2">
      <c r="B57" s="263" t="str">
        <f>Swaps!K46</f>
        <v>obj_0051d#0004</v>
      </c>
      <c r="C57" s="170" t="str">
        <f>_xll.qlRateHelperQuoteName(B57)</f>
        <v>USD4S12_Quote</v>
      </c>
      <c r="D57" s="169">
        <f>_xll.qlRateHelperQuoteValue($B57,Trigger)</f>
        <v>1.0009999999999998E-2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42034</v>
      </c>
      <c r="J57" s="166">
        <f>_xll.qlRateHelperLatestDate($B57,Trigger)</f>
        <v>42398</v>
      </c>
    </row>
    <row r="58" spans="1:14" x14ac:dyDescent="0.2">
      <c r="B58" s="263" t="str">
        <f>Swaps!K47</f>
        <v>obj_00524#0004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42034</v>
      </c>
      <c r="J58" s="166">
        <f>_xll.qlRateHelperLatestDate($B58,Trigger)</f>
        <v>42765</v>
      </c>
    </row>
    <row r="59" spans="1:14" x14ac:dyDescent="0.2">
      <c r="B59" s="263" t="str">
        <f>Swaps!K48</f>
        <v>obj_0051f#0004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42034</v>
      </c>
      <c r="J59" s="166">
        <f>_xll.qlRateHelperLatestDate($B59,Trigger)</f>
        <v>42765</v>
      </c>
    </row>
    <row r="60" spans="1:14" x14ac:dyDescent="0.2">
      <c r="B60" s="106" t="str">
        <f>Swaps!K49</f>
        <v>obj_00521#0004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42034</v>
      </c>
      <c r="J60" s="161">
        <f>_xll.qlRateHelperLatestDate($B60,Trigger)</f>
        <v>43130</v>
      </c>
    </row>
    <row r="61" spans="1:14" x14ac:dyDescent="0.2">
      <c r="B61" s="263" t="str">
        <f>Swaps!K5</f>
        <v>obj_00548#0004</v>
      </c>
      <c r="C61" s="170" t="str">
        <f>_xll.qlRateHelperQuoteName(B61)</f>
        <v>USDAM3L1Y_Quote</v>
      </c>
      <c r="D61" s="169">
        <f>_xll.qlRateHelperQuoteValue($B61,Trigger)</f>
        <v>3.96E-3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42034</v>
      </c>
      <c r="J61" s="166">
        <f>_xll.qlRateHelperLatestDate($B61,Trigger)</f>
        <v>42398</v>
      </c>
      <c r="L61" s="85"/>
    </row>
    <row r="62" spans="1:14" x14ac:dyDescent="0.2">
      <c r="B62" s="263" t="str">
        <f>Swaps!K6</f>
        <v>obj_00547#0004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42034</v>
      </c>
      <c r="J62" s="166">
        <f>_xll.qlRateHelperLatestDate($B62,Trigger)</f>
        <v>42489</v>
      </c>
      <c r="L62" s="85"/>
    </row>
    <row r="63" spans="1:14" x14ac:dyDescent="0.2">
      <c r="B63" s="263" t="str">
        <f>Swaps!K7</f>
        <v>obj_00540#0004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42034</v>
      </c>
      <c r="J63" s="166">
        <f>_xll.qlRateHelperLatestDate($B63,Trigger)</f>
        <v>42580</v>
      </c>
      <c r="L63" s="85"/>
    </row>
    <row r="64" spans="1:14" x14ac:dyDescent="0.2">
      <c r="B64" s="263" t="str">
        <f>Swaps!K8</f>
        <v>obj_0054a#0004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42034</v>
      </c>
      <c r="J64" s="166">
        <f>_xll.qlRateHelperLatestDate($B64,Trigger)</f>
        <v>42674</v>
      </c>
      <c r="L64" s="85"/>
    </row>
    <row r="65" spans="2:12" x14ac:dyDescent="0.2">
      <c r="B65" s="263" t="str">
        <f>Swaps!K9</f>
        <v>obj_00538#0004</v>
      </c>
      <c r="C65" s="170" t="str">
        <f>_xll.qlRateHelperQuoteName(B65)</f>
        <v>USDAM3L2Y_Quote</v>
      </c>
      <c r="D65" s="169">
        <f>_xll.qlRateHelperQuoteValue($B65,Trigger)</f>
        <v>7.4399999999999996E-3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42034</v>
      </c>
      <c r="J65" s="166">
        <f>_xll.qlRateHelperLatestDate($B65,Trigger)</f>
        <v>42765</v>
      </c>
      <c r="L65" s="85"/>
    </row>
    <row r="66" spans="2:12" x14ac:dyDescent="0.2">
      <c r="B66" s="263" t="str">
        <f>Swaps!K10</f>
        <v>obj_0052e#0004</v>
      </c>
      <c r="C66" s="170" t="str">
        <f>_xll.qlRateHelperQuoteName(B66)</f>
        <v>USDAM3L3Y_Quote</v>
      </c>
      <c r="D66" s="169">
        <f>_xll.qlRateHelperQuoteValue($B66,Trigger)</f>
        <v>1.0529999999999999E-2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42034</v>
      </c>
      <c r="J66" s="166">
        <f>_xll.qlRateHelperLatestDate($B66,Trigger)</f>
        <v>43130</v>
      </c>
      <c r="L66" s="85"/>
    </row>
    <row r="67" spans="2:12" x14ac:dyDescent="0.2">
      <c r="B67" s="263" t="str">
        <f>Swaps!K11</f>
        <v>obj_00530#0004</v>
      </c>
      <c r="C67" s="170" t="str">
        <f>_xll.qlRateHelperQuoteName(B67)</f>
        <v>USDAM3L4Y_Quote</v>
      </c>
      <c r="D67" s="169">
        <f>_xll.qlRateHelperQuoteValue($B67,Trigger)</f>
        <v>1.2850000000000002E-2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42034</v>
      </c>
      <c r="J67" s="166">
        <f>_xll.qlRateHelperLatestDate($B67,Trigger)</f>
        <v>43495</v>
      </c>
      <c r="L67" s="85"/>
    </row>
    <row r="68" spans="2:12" x14ac:dyDescent="0.2">
      <c r="B68" s="263" t="str">
        <f>Swaps!K12</f>
        <v>obj_0052d#0004</v>
      </c>
      <c r="C68" s="170" t="str">
        <f>_xll.qlRateHelperQuoteName(B68)</f>
        <v>USDAM3L5Y_Quote</v>
      </c>
      <c r="D68" s="169">
        <f>_xll.qlRateHelperQuoteValue($B68,Trigger)</f>
        <v>1.4590000000000001E-2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42034</v>
      </c>
      <c r="J68" s="166">
        <f>_xll.qlRateHelperLatestDate($B68,Trigger)</f>
        <v>43860</v>
      </c>
      <c r="L68" s="85"/>
    </row>
    <row r="69" spans="2:12" x14ac:dyDescent="0.2">
      <c r="B69" s="263" t="str">
        <f>Swaps!K13</f>
        <v>obj_0052a#0004</v>
      </c>
      <c r="C69" s="170" t="str">
        <f>_xll.qlRateHelperQuoteName(B69)</f>
        <v>USDAM3L6Y_Quote</v>
      </c>
      <c r="D69" s="169">
        <f>_xll.qlRateHelperQuoteValue($B69,Trigger)</f>
        <v>1.592E-2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42034</v>
      </c>
      <c r="J69" s="166">
        <f>_xll.qlRateHelperLatestDate($B69,Trigger)</f>
        <v>44225</v>
      </c>
      <c r="L69" s="85"/>
    </row>
    <row r="70" spans="2:12" x14ac:dyDescent="0.2">
      <c r="B70" s="263" t="str">
        <f>Swaps!K14</f>
        <v>obj_00541#0004</v>
      </c>
      <c r="C70" s="170" t="str">
        <f>_xll.qlRateHelperQuoteName(B70)</f>
        <v>USDAM3L7Y_Quote</v>
      </c>
      <c r="D70" s="169">
        <f>_xll.qlRateHelperQuoteValue($B70,Trigger)</f>
        <v>1.7000000000000001E-2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42034</v>
      </c>
      <c r="J70" s="166">
        <f>_xll.qlRateHelperLatestDate($B70,Trigger)</f>
        <v>44592</v>
      </c>
      <c r="L70" s="85"/>
    </row>
    <row r="71" spans="2:12" x14ac:dyDescent="0.2">
      <c r="B71" s="263" t="str">
        <f>Swaps!K15</f>
        <v>obj_00523#0004</v>
      </c>
      <c r="C71" s="170" t="str">
        <f>_xll.qlRateHelperQuoteName(B71)</f>
        <v>USDAM3L8Y_Quote</v>
      </c>
      <c r="D71" s="169">
        <f>_xll.qlRateHelperQuoteValue($B71,Trigger)</f>
        <v>1.788E-2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42034</v>
      </c>
      <c r="J71" s="166">
        <f>_xll.qlRateHelperLatestDate($B71,Trigger)</f>
        <v>44956</v>
      </c>
      <c r="L71" s="85"/>
    </row>
    <row r="72" spans="2:12" x14ac:dyDescent="0.2">
      <c r="B72" s="263" t="str">
        <f>Swaps!K16</f>
        <v>obj_00542#0004</v>
      </c>
      <c r="C72" s="170" t="str">
        <f>_xll.qlRateHelperQuoteName(B72)</f>
        <v>USDAM3L9Y_Quote</v>
      </c>
      <c r="D72" s="169">
        <f>_xll.qlRateHelperQuoteValue($B72,Trigger)</f>
        <v>1.8610000000000002E-2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42034</v>
      </c>
      <c r="J72" s="166">
        <f>_xll.qlRateHelperLatestDate($B72,Trigger)</f>
        <v>45321</v>
      </c>
      <c r="L72" s="85"/>
    </row>
    <row r="73" spans="2:12" x14ac:dyDescent="0.2">
      <c r="B73" s="263" t="str">
        <f>Swaps!K17</f>
        <v>obj_00528#0004</v>
      </c>
      <c r="C73" s="170" t="str">
        <f>_xll.qlRateHelperQuoteName(B73)</f>
        <v>USDAM3L10Y_Quote</v>
      </c>
      <c r="D73" s="169">
        <f>_xll.qlRateHelperQuoteValue($B73,Trigger)</f>
        <v>1.9220000000000001E-2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42034</v>
      </c>
      <c r="J73" s="166">
        <f>_xll.qlRateHelperLatestDate($B73,Trigger)</f>
        <v>45687</v>
      </c>
      <c r="L73" s="85"/>
    </row>
    <row r="74" spans="2:12" x14ac:dyDescent="0.2">
      <c r="B74" s="263" t="str">
        <f>Swaps!K18</f>
        <v>obj_00529#0004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42034</v>
      </c>
      <c r="J74" s="166">
        <f>_xll.qlRateHelperLatestDate($B74,Trigger)</f>
        <v>46052</v>
      </c>
      <c r="L74" s="85"/>
    </row>
    <row r="75" spans="2:12" x14ac:dyDescent="0.2">
      <c r="B75" s="263" t="str">
        <f>Swaps!K19</f>
        <v>obj_00545#0004</v>
      </c>
      <c r="C75" s="170" t="str">
        <f>_xll.qlRateHelperQuoteName(B75)</f>
        <v>USDAM3L12Y_Quote</v>
      </c>
      <c r="D75" s="169">
        <f>_xll.qlRateHelperQuoteValue($B75,Trigger)</f>
        <v>2.0160000000000001E-2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42034</v>
      </c>
      <c r="J75" s="166">
        <f>_xll.qlRateHelperLatestDate($B75,Trigger)</f>
        <v>46416</v>
      </c>
      <c r="L75" s="85"/>
    </row>
    <row r="76" spans="2:12" x14ac:dyDescent="0.2">
      <c r="B76" s="263" t="str">
        <f>Swaps!K20</f>
        <v>obj_00537#0004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42034</v>
      </c>
      <c r="J76" s="166">
        <f>_xll.qlRateHelperLatestDate($B76,Trigger)</f>
        <v>46783</v>
      </c>
      <c r="L76" s="85"/>
    </row>
    <row r="77" spans="2:12" x14ac:dyDescent="0.2">
      <c r="B77" s="263" t="str">
        <f>Swaps!K21</f>
        <v>obj_00549#0004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42034</v>
      </c>
      <c r="J77" s="166">
        <f>_xll.qlRateHelperLatestDate($B77,Trigger)</f>
        <v>47148</v>
      </c>
      <c r="L77" s="85"/>
    </row>
    <row r="78" spans="2:12" x14ac:dyDescent="0.2">
      <c r="B78" s="263" t="str">
        <f>Swaps!K22</f>
        <v>obj_0053e#0004</v>
      </c>
      <c r="C78" s="170" t="str">
        <f>_xll.qlRateHelperQuoteName(B78)</f>
        <v>USDAM3L15Y_Quote</v>
      </c>
      <c r="D78" s="169">
        <f>_xll.qlRateHelperQuoteValue($B78,Trigger)</f>
        <v>2.1160000000000002E-2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42034</v>
      </c>
      <c r="J78" s="166">
        <f>_xll.qlRateHelperLatestDate($B78,Trigger)</f>
        <v>47513</v>
      </c>
      <c r="L78" s="85"/>
    </row>
    <row r="79" spans="2:12" x14ac:dyDescent="0.2">
      <c r="B79" s="263" t="str">
        <f>Swaps!K23</f>
        <v>obj_00532#0004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42034</v>
      </c>
      <c r="J79" s="166">
        <f>_xll.qlRateHelperLatestDate($B79,Trigger)</f>
        <v>47878</v>
      </c>
      <c r="L79" s="85"/>
    </row>
    <row r="80" spans="2:12" x14ac:dyDescent="0.2">
      <c r="B80" s="263" t="str">
        <f>Swaps!K24</f>
        <v>obj_0053a#0004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42034</v>
      </c>
      <c r="J80" s="166">
        <f>_xll.qlRateHelperLatestDate($B80,Trigger)</f>
        <v>48243</v>
      </c>
      <c r="L80" s="85"/>
    </row>
    <row r="81" spans="2:12" x14ac:dyDescent="0.2">
      <c r="B81" s="263" t="str">
        <f>Swaps!K25</f>
        <v>obj_00543#0004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42034</v>
      </c>
      <c r="J81" s="166">
        <f>_xll.qlRateHelperLatestDate($B81,Trigger)</f>
        <v>48610</v>
      </c>
      <c r="L81" s="85"/>
    </row>
    <row r="82" spans="2:12" x14ac:dyDescent="0.2">
      <c r="B82" s="263" t="str">
        <f>Swaps!K26</f>
        <v>obj_00539#0004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42034</v>
      </c>
      <c r="J82" s="166">
        <f>_xll.qlRateHelperLatestDate($B82,Trigger)</f>
        <v>48974</v>
      </c>
      <c r="L82" s="85"/>
    </row>
    <row r="83" spans="2:12" x14ac:dyDescent="0.2">
      <c r="B83" s="263" t="str">
        <f>Swaps!K27</f>
        <v>obj_0053d#0004</v>
      </c>
      <c r="C83" s="170" t="str">
        <f>_xll.qlRateHelperQuoteName(B83)</f>
        <v>USDAM3L20Y_Quote</v>
      </c>
      <c r="D83" s="169">
        <f>_xll.qlRateHelperQuoteValue($B83,Trigger)</f>
        <v>2.214E-2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42034</v>
      </c>
      <c r="J83" s="166">
        <f>_xll.qlRateHelperLatestDate($B83,Trigger)</f>
        <v>49339</v>
      </c>
      <c r="L83" s="85"/>
    </row>
    <row r="84" spans="2:12" x14ac:dyDescent="0.2">
      <c r="B84" s="263" t="str">
        <f>Swaps!K28</f>
        <v>obj_0053b#0004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42034</v>
      </c>
      <c r="J84" s="166">
        <f>_xll.qlRateHelperLatestDate($B84,Trigger)</f>
        <v>49704</v>
      </c>
      <c r="L84" s="85"/>
    </row>
    <row r="85" spans="2:12" x14ac:dyDescent="0.2">
      <c r="B85" s="263" t="str">
        <f>Swaps!K29</f>
        <v>obj_00535#0004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42034</v>
      </c>
      <c r="J85" s="166">
        <f>_xll.qlRateHelperLatestDate($B85,Trigger)</f>
        <v>50070</v>
      </c>
      <c r="L85" s="85"/>
    </row>
    <row r="86" spans="2:12" x14ac:dyDescent="0.2">
      <c r="B86" s="263" t="str">
        <f>Swaps!K30</f>
        <v>obj_0052f#0004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42034</v>
      </c>
      <c r="J86" s="166">
        <f>_xll.qlRateHelperLatestDate($B86,Trigger)</f>
        <v>50434</v>
      </c>
      <c r="L86" s="85"/>
    </row>
    <row r="87" spans="2:12" x14ac:dyDescent="0.2">
      <c r="B87" s="263" t="str">
        <f>Swaps!K31</f>
        <v>obj_00544#0004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42034</v>
      </c>
      <c r="J87" s="166">
        <f>_xll.qlRateHelperLatestDate($B87,Trigger)</f>
        <v>50801</v>
      </c>
      <c r="L87" s="85"/>
    </row>
    <row r="88" spans="2:12" x14ac:dyDescent="0.2">
      <c r="B88" s="263" t="str">
        <f>Swaps!K32</f>
        <v>obj_0052b#0004</v>
      </c>
      <c r="C88" s="170" t="str">
        <f>_xll.qlRateHelperQuoteName(B88)</f>
        <v>USDAM3L25Y_Quote</v>
      </c>
      <c r="D88" s="169">
        <f>_xll.qlRateHelperQuoteValue($B88,Trigger)</f>
        <v>2.2589999999999999E-2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42034</v>
      </c>
      <c r="J88" s="166">
        <f>_xll.qlRateHelperLatestDate($B88,Trigger)</f>
        <v>51165</v>
      </c>
      <c r="L88" s="85"/>
    </row>
    <row r="89" spans="2:12" x14ac:dyDescent="0.2">
      <c r="B89" s="263" t="str">
        <f>Swaps!K33</f>
        <v>obj_00546#0004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42034</v>
      </c>
      <c r="J89" s="166">
        <f>_xll.qlRateHelperLatestDate($B89,Trigger)</f>
        <v>51531</v>
      </c>
      <c r="L89" s="85"/>
    </row>
    <row r="90" spans="2:12" x14ac:dyDescent="0.2">
      <c r="B90" s="263" t="str">
        <f>Swaps!K34</f>
        <v>obj_00527#0004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42034</v>
      </c>
      <c r="J90" s="166">
        <f>_xll.qlRateHelperLatestDate($B90,Trigger)</f>
        <v>51896</v>
      </c>
      <c r="L90" s="85"/>
    </row>
    <row r="91" spans="2:12" x14ac:dyDescent="0.2">
      <c r="B91" s="263" t="str">
        <f>Swaps!K35</f>
        <v>obj_00534#0004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42034</v>
      </c>
      <c r="J91" s="166">
        <f>_xll.qlRateHelperLatestDate($B91,Trigger)</f>
        <v>52261</v>
      </c>
      <c r="L91" s="85"/>
    </row>
    <row r="92" spans="2:12" x14ac:dyDescent="0.2">
      <c r="B92" s="263" t="str">
        <f>Swaps!K36</f>
        <v>obj_00536#0004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42034</v>
      </c>
      <c r="J92" s="166">
        <f>_xll.qlRateHelperLatestDate($B92,Trigger)</f>
        <v>52625</v>
      </c>
      <c r="L92" s="85"/>
    </row>
    <row r="93" spans="2:12" x14ac:dyDescent="0.2">
      <c r="B93" s="263" t="str">
        <f>Swaps!K37</f>
        <v>obj_0053f#0004</v>
      </c>
      <c r="C93" s="170" t="str">
        <f>_xll.qlRateHelperQuoteName(B93)</f>
        <v>USDAM3L30Y_Quote</v>
      </c>
      <c r="D93" s="169">
        <f>_xll.qlRateHelperQuoteValue($B93,Trigger)</f>
        <v>2.2860000000000002E-2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42034</v>
      </c>
      <c r="J93" s="166">
        <f>_xll.qlRateHelperLatestDate($B93,Trigger)</f>
        <v>52992</v>
      </c>
      <c r="L93" s="85"/>
    </row>
    <row r="94" spans="2:12" x14ac:dyDescent="0.2">
      <c r="B94" s="263" t="str">
        <f>Swaps!K38</f>
        <v>obj_00533#0004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42034</v>
      </c>
      <c r="J94" s="166">
        <f>_xll.qlRateHelperLatestDate($B94,Trigger)</f>
        <v>54819</v>
      </c>
      <c r="L94" s="85"/>
    </row>
    <row r="95" spans="2:12" x14ac:dyDescent="0.2">
      <c r="B95" s="263" t="str">
        <f>Swaps!K39</f>
        <v>obj_0052c#0004</v>
      </c>
      <c r="C95" s="170" t="str">
        <f>_xll.qlRateHelperQuoteName(B95)</f>
        <v>USDAM3L40Y_Quote</v>
      </c>
      <c r="D95" s="169">
        <f>_xll.qlRateHelperQuoteValue($B95,Trigger)</f>
        <v>2.3099999999999999E-2</v>
      </c>
      <c r="E95" s="169">
        <f>_xll.qlSwapRateHelperSpread($B95,Trigger)</f>
        <v>0</v>
      </c>
      <c r="F95" s="267" t="b">
        <f>NOT(ISERROR(D95))</f>
        <v>1</v>
      </c>
      <c r="G95" s="168">
        <v>50</v>
      </c>
      <c r="H95" s="168">
        <v>1</v>
      </c>
      <c r="I95" s="167">
        <f>_xll.qlRateHelperEarliestDate($B95,Trigger)</f>
        <v>42034</v>
      </c>
      <c r="J95" s="166">
        <f>_xll.qlRateHelperLatestDate($B95,Trigger)</f>
        <v>56643</v>
      </c>
      <c r="L95" s="85"/>
    </row>
    <row r="96" spans="2:12" x14ac:dyDescent="0.2">
      <c r="B96" s="263" t="str">
        <f>Swaps!K40</f>
        <v>obj_00531#0004</v>
      </c>
      <c r="C96" s="170" t="str">
        <f>_xll.qlRateHelperQuoteName(B96)</f>
        <v>USDAM3L50Y_Quote</v>
      </c>
      <c r="D96" s="169">
        <f>_xll.qlRateHelperQuoteValue($B96,Trigger)</f>
        <v>2.2860000000000002E-2</v>
      </c>
      <c r="E96" s="169">
        <f>_xll.qlSwapRateHelperSpread($B96,Trigger)</f>
        <v>0</v>
      </c>
      <c r="F96" s="267" t="b">
        <f>NOT(ISERROR(D96))</f>
        <v>1</v>
      </c>
      <c r="G96" s="168">
        <v>50</v>
      </c>
      <c r="H96" s="168">
        <v>1</v>
      </c>
      <c r="I96" s="167">
        <f>_xll.qlRateHelperEarliestDate($B96,Trigger)</f>
        <v>42034</v>
      </c>
      <c r="J96" s="166">
        <f>_xll.qlRateHelperLatestDate($B96,Trigger)</f>
        <v>60297</v>
      </c>
      <c r="L96" s="85"/>
    </row>
    <row r="97" spans="2:12" x14ac:dyDescent="0.2">
      <c r="B97" s="106" t="str">
        <f>Swaps!K41</f>
        <v>obj_0053c#0004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42034</v>
      </c>
      <c r="J97" s="161">
        <f>_xll.qlRateHelperLatestDate($B97,Trigger)</f>
        <v>63949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8" t="s">
        <v>59</v>
      </c>
      <c r="B1" s="269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obj_00519</v>
      </c>
      <c r="E2" s="66" t="str">
        <f>_xll.qlRateHelperQuoteName(D2)</f>
        <v>USDSWD_SYNTH3M_Quote</v>
      </c>
      <c r="F2" s="67">
        <f>_xll.qlRateHelperRate($D2)</f>
        <v>2.3530000000000001E-3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42034</v>
      </c>
      <c r="I2" s="77">
        <f>_xll.qlRateHelperLatestDate($D2)</f>
        <v>42041</v>
      </c>
      <c r="J2" s="63">
        <v>0.99995424931544297</v>
      </c>
      <c r="M2" s="68"/>
    </row>
    <row r="3" spans="1:13" x14ac:dyDescent="0.2">
      <c r="A3" s="69" t="s">
        <v>55</v>
      </c>
      <c r="B3" s="70">
        <v>1</v>
      </c>
      <c r="D3" s="66" t="str">
        <v>obj_0051a</v>
      </c>
      <c r="E3" s="66" t="str">
        <f>_xll.qlRateHelperQuoteName(D3)</f>
        <v>USD1MD_SYNTH3M_Quote</v>
      </c>
      <c r="F3" s="67">
        <f>_xll.qlRateHelperRate($D3)</f>
        <v>2.398E-3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42034</v>
      </c>
      <c r="I3" s="77">
        <f>_xll.qlRateHelperLatestDate($D3)</f>
        <v>42062</v>
      </c>
      <c r="J3" s="63">
        <v>0.99981352366875886</v>
      </c>
      <c r="M3" s="68"/>
    </row>
    <row r="4" spans="1:13" x14ac:dyDescent="0.2">
      <c r="A4" s="69" t="s">
        <v>54</v>
      </c>
      <c r="B4" s="70">
        <v>2</v>
      </c>
      <c r="D4" s="66" t="str">
        <v>obj_00514</v>
      </c>
      <c r="E4" s="66" t="str">
        <f>_xll.qlRateHelperQuoteName(D4)</f>
        <v>USD2MD_SYNTH3M_Quote</v>
      </c>
      <c r="F4" s="67">
        <f>_xll.qlRateHelperRate($D4)</f>
        <v>2.4399999999999999E-3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42034</v>
      </c>
      <c r="I4" s="77">
        <f>_xll.qlRateHelperLatestDate($D4)</f>
        <v>42094</v>
      </c>
      <c r="J4" s="63">
        <v>0.99959349864404645</v>
      </c>
      <c r="M4" s="68"/>
    </row>
    <row r="5" spans="1:13" x14ac:dyDescent="0.2">
      <c r="A5" s="69" t="s">
        <v>53</v>
      </c>
      <c r="B5" s="71" t="s">
        <v>52</v>
      </c>
      <c r="D5" s="66" t="str">
        <v>obj_00516</v>
      </c>
      <c r="E5" s="66" t="str">
        <f>_xll.qlRateHelperQuoteName(D5)</f>
        <v>USD3MD_SYNTH3M_Quote</v>
      </c>
      <c r="F5" s="67">
        <f>_xll.qlRateHelperRate($D5)</f>
        <v>2.4719999999999998E-3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42034</v>
      </c>
      <c r="I5" s="77">
        <f>_xll.qlRateHelperLatestDate($D5)</f>
        <v>42124</v>
      </c>
      <c r="J5" s="63">
        <v>0.99938238168822768</v>
      </c>
      <c r="M5" s="68"/>
    </row>
    <row r="6" spans="1:13" x14ac:dyDescent="0.2">
      <c r="A6" s="159"/>
      <c r="B6" s="159"/>
      <c r="D6" s="66" t="str">
        <v>obj_00569</v>
      </c>
      <c r="E6" s="66" t="str">
        <f>_xll.qlRateHelperQuoteName(D6)</f>
        <v>USDFUT3MG5_Quote</v>
      </c>
      <c r="F6" s="67">
        <f>_xll.qlRateHelperRate($D6)</f>
        <v>2.5361496673466121E-3</v>
      </c>
      <c r="G6" s="67">
        <f>IF(ISERROR(_xll.qlSwapRateHelperSpread($D6)),IF(ISERROR(_xll.qlFuturesRateHelperConvexityAdjustment($D6)),"--",_xll.qlFuturesRateHelperConvexityAdjustment($D6)),_xll.qlSwapRateHelperSpread($D6))</f>
        <v>1.3503326533580239E-6</v>
      </c>
      <c r="H6" s="76">
        <f>_xll.qlRateHelperEarliestDate($D6)</f>
        <v>42053</v>
      </c>
      <c r="I6" s="77">
        <f>_xll.qlRateHelperLatestDate($D6)</f>
        <v>42142</v>
      </c>
      <c r="J6" s="63">
        <v>0.99924789672905789</v>
      </c>
      <c r="M6" s="68"/>
    </row>
    <row r="7" spans="1:13" x14ac:dyDescent="0.2">
      <c r="A7" s="159"/>
      <c r="B7" s="159"/>
      <c r="D7" s="66" t="str">
        <v>obj_0056f</v>
      </c>
      <c r="E7" s="66" t="str">
        <f>_xll.qlRateHelperQuoteName(D7)</f>
        <v>USDFUT3MH5_Quote</v>
      </c>
      <c r="F7" s="67">
        <f>_xll.qlRateHelperRate($D7)</f>
        <v>2.6713186758652667E-3</v>
      </c>
      <c r="G7" s="67">
        <f>IF(ISERROR(_xll.qlSwapRateHelperSpread($D7)),IF(ISERROR(_xll.qlFuturesRateHelperConvexityAdjustment($D7)),"--",_xll.qlFuturesRateHelperConvexityAdjustment($D7)),_xll.qlSwapRateHelperSpread($D7))</f>
        <v>3.6813241347160371E-6</v>
      </c>
      <c r="H7" s="76">
        <f>_xll.qlRateHelperEarliestDate($D7)</f>
        <v>42081</v>
      </c>
      <c r="I7" s="77">
        <f>_xll.qlRateHelperLatestDate($D7)</f>
        <v>42173</v>
      </c>
      <c r="J7" s="63">
        <v>0.99900130156049061</v>
      </c>
      <c r="M7" s="68"/>
    </row>
    <row r="8" spans="1:13" x14ac:dyDescent="0.2">
      <c r="A8" s="159"/>
      <c r="D8" s="66" t="str">
        <v>obj_00553</v>
      </c>
      <c r="E8" s="66" t="str">
        <f>_xll.qlRateHelperQuoteName(D8)</f>
        <v>USDFUT3MM5_Quote</v>
      </c>
      <c r="F8" s="67">
        <f>_xll.qlRateHelperRate($D8)</f>
        <v>3.6104684360142082E-3</v>
      </c>
      <c r="G8" s="67">
        <f>IF(ISERROR(_xll.qlSwapRateHelperSpread($D8)),IF(ISERROR(_xll.qlFuturesRateHelperConvexityAdjustment($D8)),"--",_xll.qlFuturesRateHelperConvexityAdjustment($D8)),_xll.qlSwapRateHelperSpread($D8))</f>
        <v>1.4531563985781191E-5</v>
      </c>
      <c r="H8" s="76">
        <f>_xll.qlRateHelperEarliestDate($D8)</f>
        <v>42172</v>
      </c>
      <c r="I8" s="77">
        <f>_xll.qlRateHelperLatestDate($D8)</f>
        <v>42264</v>
      </c>
      <c r="J8" s="63">
        <v>0.99808874066839615</v>
      </c>
      <c r="M8" s="68"/>
    </row>
    <row r="9" spans="1:13" x14ac:dyDescent="0.2">
      <c r="A9" s="159"/>
      <c r="D9" s="66" t="str">
        <v>obj_0055e</v>
      </c>
      <c r="E9" s="66" t="str">
        <f>_xll.qlRateHelperQuoteName(D9)</f>
        <v>USDFUT3MU5_Quote</v>
      </c>
      <c r="F9" s="67">
        <f>_xll.qlRateHelperRate($D9)</f>
        <v>5.0946389712731143E-3</v>
      </c>
      <c r="G9" s="67">
        <f>IF(ISERROR(_xll.qlSwapRateHelperSpread($D9)),IF(ISERROR(_xll.qlFuturesRateHelperConvexityAdjustment($D9)),"--",_xll.qlFuturesRateHelperConvexityAdjustment($D9)),_xll.qlSwapRateHelperSpread($D9))</f>
        <v>3.0361028726931918E-5</v>
      </c>
      <c r="H9" s="76">
        <f>_xll.qlRateHelperEarliestDate($D9)</f>
        <v>42263</v>
      </c>
      <c r="I9" s="77">
        <f>_xll.qlRateHelperLatestDate($D9)</f>
        <v>42354</v>
      </c>
      <c r="J9" s="63">
        <v>0.99681687846220557</v>
      </c>
      <c r="M9" s="68"/>
    </row>
    <row r="10" spans="1:13" x14ac:dyDescent="0.2">
      <c r="A10" s="159"/>
      <c r="D10" s="66" t="str">
        <v>obj_00574</v>
      </c>
      <c r="E10" s="66" t="str">
        <f>_xll.qlRateHelperQuoteName(D10)</f>
        <v>USDFUT3MZ5_Quote</v>
      </c>
      <c r="F10" s="67">
        <f>_xll.qlRateHelperRate($D10)</f>
        <v>7.0237012146182453E-3</v>
      </c>
      <c r="G10" s="67">
        <f>IF(ISERROR(_xll.qlSwapRateHelperSpread($D10)),IF(ISERROR(_xll.qlFuturesRateHelperConvexityAdjustment($D10)),"--",_xll.qlFuturesRateHelperConvexityAdjustment($D10)),_xll.qlSwapRateHelperSpread($D10))</f>
        <v>5.12987853816972E-5</v>
      </c>
      <c r="H10" s="76">
        <f>_xll.qlRateHelperEarliestDate($D10)</f>
        <v>42354</v>
      </c>
      <c r="I10" s="77">
        <f>_xll.qlRateHelperLatestDate($D10)</f>
        <v>42445</v>
      </c>
      <c r="J10" s="63">
        <v>0.99505023087364275</v>
      </c>
      <c r="M10" s="68"/>
    </row>
    <row r="11" spans="1:13" x14ac:dyDescent="0.2">
      <c r="D11" s="66" t="str">
        <v>obj_00550</v>
      </c>
      <c r="E11" s="66" t="str">
        <f>_xll.qlRateHelperQuoteName(D11)</f>
        <v>USDFUT3MH6_Quote</v>
      </c>
      <c r="F11" s="67">
        <f>_xll.qlRateHelperRate($D11)</f>
        <v>9.0475948721543079E-3</v>
      </c>
      <c r="G11" s="67">
        <f>IF(ISERROR(_xll.qlSwapRateHelperSpread($D11)),IF(ISERROR(_xll.qlFuturesRateHelperConvexityAdjustment($D11)),"--",_xll.qlFuturesRateHelperConvexityAdjustment($D11)),_xll.qlSwapRateHelperSpread($D11))</f>
        <v>7.7405127845631347E-5</v>
      </c>
      <c r="H11" s="76">
        <f>_xll.qlRateHelperEarliestDate($D11)</f>
        <v>42445</v>
      </c>
      <c r="I11" s="77">
        <f>_xll.qlRateHelperLatestDate($D11)</f>
        <v>42537</v>
      </c>
      <c r="J11" s="63">
        <v>0.99275481977825564</v>
      </c>
      <c r="M11" s="68"/>
    </row>
    <row r="12" spans="1:13" x14ac:dyDescent="0.2">
      <c r="A12" s="72"/>
      <c r="D12" s="66" t="str">
        <v>obj_00572</v>
      </c>
      <c r="E12" s="66" t="str">
        <f>_xll.qlRateHelperQuoteName(D12)</f>
        <v>USDFUT3MM6_Quote</v>
      </c>
      <c r="F12" s="67">
        <f>_xll.qlRateHelperRate($D12)</f>
        <v>1.106688430386147E-2</v>
      </c>
      <c r="G12" s="67">
        <f>IF(ISERROR(_xll.qlSwapRateHelperSpread($D12)),IF(ISERROR(_xll.qlFuturesRateHelperConvexityAdjustment($D12)),"--",_xll.qlFuturesRateHelperConvexityAdjustment($D12)),_xll.qlSwapRateHelperSpread($D12))</f>
        <v>1.0811569613857706E-4</v>
      </c>
      <c r="H12" s="76">
        <f>_xll.qlRateHelperEarliestDate($D12)</f>
        <v>42536</v>
      </c>
      <c r="I12" s="77">
        <f>_xll.qlRateHelperLatestDate($D12)</f>
        <v>42628</v>
      </c>
      <c r="J12" s="63">
        <v>0.9899827257019802</v>
      </c>
      <c r="M12" s="68"/>
    </row>
    <row r="13" spans="1:13" x14ac:dyDescent="0.2">
      <c r="A13" s="72"/>
      <c r="D13" s="66" t="str">
        <v>obj_0055f</v>
      </c>
      <c r="E13" s="66" t="str">
        <f>_xll.qlRateHelperQuoteName(D13)</f>
        <v>USDFUT3MU6_Quote</v>
      </c>
      <c r="F13" s="67">
        <f>_xll.qlRateHelperRate($D13)</f>
        <v>1.2928936969610947E-2</v>
      </c>
      <c r="G13" s="67">
        <f>IF(ISERROR(_xll.qlSwapRateHelperSpread($D13)),IF(ISERROR(_xll.qlFuturesRateHelperConvexityAdjustment($D13)),"--",_xll.qlFuturesRateHelperConvexityAdjustment($D13)),_xll.qlSwapRateHelperSpread($D13))</f>
        <v>1.460630303891116E-4</v>
      </c>
      <c r="H13" s="76">
        <f>_xll.qlRateHelperEarliestDate($D13)</f>
        <v>42634</v>
      </c>
      <c r="I13" s="77">
        <f>_xll.qlRateHelperLatestDate($D13)</f>
        <v>42725</v>
      </c>
      <c r="J13" s="63">
        <v>0.98656037405553931</v>
      </c>
      <c r="M13" s="68"/>
    </row>
    <row r="14" spans="1:13" x14ac:dyDescent="0.2">
      <c r="D14" s="66" t="str">
        <v>obj_0056c</v>
      </c>
      <c r="E14" s="66" t="str">
        <f>_xll.qlRateHelperQuoteName(D14)</f>
        <v>USDFUT3MZ6_Quote</v>
      </c>
      <c r="F14" s="67">
        <f>_xll.qlRateHelperRate($D14)</f>
        <v>1.4589071577666018E-2</v>
      </c>
      <c r="G14" s="67">
        <f>IF(ISERROR(_xll.qlSwapRateHelperSpread($D14)),IF(ISERROR(_xll.qlFuturesRateHelperConvexityAdjustment($D14)),"--",_xll.qlFuturesRateHelperConvexityAdjustment($D14)),_xll.qlSwapRateHelperSpread($D14))</f>
        <v>1.8592842233385403E-4</v>
      </c>
      <c r="H14" s="76">
        <f>_xll.qlRateHelperEarliestDate($D14)</f>
        <v>42725</v>
      </c>
      <c r="I14" s="77">
        <f>_xll.qlRateHelperLatestDate($D14)</f>
        <v>42815</v>
      </c>
      <c r="J14" s="63">
        <v>0.98297520016719409</v>
      </c>
      <c r="M14" s="68"/>
    </row>
    <row r="15" spans="1:13" x14ac:dyDescent="0.2">
      <c r="D15" s="66" t="str">
        <v>obj_0052e</v>
      </c>
      <c r="E15" s="66" t="str">
        <f>_xll.qlRateHelperQuoteName(D15)</f>
        <v>USDAM3L3Y_Quote</v>
      </c>
      <c r="F15" s="67">
        <f>_xll.qlRateHelperRate($D15)</f>
        <v>1.0529999999999999E-2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42034</v>
      </c>
      <c r="I15" s="77">
        <f>_xll.qlRateHelperLatestDate($D15)</f>
        <v>43130</v>
      </c>
      <c r="J15" s="63">
        <v>0.96848613177136256</v>
      </c>
      <c r="M15" s="68"/>
    </row>
    <row r="16" spans="1:13" x14ac:dyDescent="0.2">
      <c r="D16" s="66" t="str">
        <v>obj_00530</v>
      </c>
      <c r="E16" s="66" t="str">
        <f>_xll.qlRateHelperQuoteName(D16)</f>
        <v>USDAM3L4Y_Quote</v>
      </c>
      <c r="F16" s="67">
        <f>_xll.qlRateHelperRate($D16)</f>
        <v>1.2850000000000002E-2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42034</v>
      </c>
      <c r="I16" s="77">
        <f>_xll.qlRateHelperLatestDate($D16)</f>
        <v>43495</v>
      </c>
      <c r="J16" s="63">
        <v>0.94918976501492736</v>
      </c>
      <c r="M16" s="68"/>
    </row>
    <row r="17" spans="4:13" x14ac:dyDescent="0.2">
      <c r="D17" s="66" t="str">
        <v>obj_0052d</v>
      </c>
      <c r="E17" s="66" t="str">
        <f>_xll.qlRateHelperQuoteName(D17)</f>
        <v>USDAM3L5Y_Quote</v>
      </c>
      <c r="F17" s="67">
        <f>_xll.qlRateHelperRate($D17)</f>
        <v>1.4590000000000001E-2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42034</v>
      </c>
      <c r="I17" s="77">
        <f>_xll.qlRateHelperLatestDate($D17)</f>
        <v>43860</v>
      </c>
      <c r="J17" s="63">
        <v>0.92859077114392641</v>
      </c>
      <c r="M17" s="68"/>
    </row>
    <row r="18" spans="4:13" x14ac:dyDescent="0.2">
      <c r="D18" s="66" t="str">
        <v>obj_0052a</v>
      </c>
      <c r="E18" s="66" t="str">
        <f>_xll.qlRateHelperQuoteName(D18)</f>
        <v>USDAM3L6Y_Quote</v>
      </c>
      <c r="F18" s="67">
        <f>_xll.qlRateHelperRate($D18)</f>
        <v>1.592E-2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42034</v>
      </c>
      <c r="I18" s="77">
        <f>_xll.qlRateHelperLatestDate($D18)</f>
        <v>44225</v>
      </c>
      <c r="J18" s="63">
        <v>0.90745495348849281</v>
      </c>
      <c r="M18" s="68"/>
    </row>
    <row r="19" spans="4:13" x14ac:dyDescent="0.2">
      <c r="D19" s="66" t="str">
        <v>obj_00541</v>
      </c>
      <c r="E19" s="66" t="str">
        <f>_xll.qlRateHelperQuoteName(D19)</f>
        <v>USDAM3L7Y_Quote</v>
      </c>
      <c r="F19" s="67">
        <f>_xll.qlRateHelperRate($D19)</f>
        <v>1.7000000000000001E-2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42034</v>
      </c>
      <c r="I19" s="77">
        <f>_xll.qlRateHelperLatestDate($D19)</f>
        <v>44592</v>
      </c>
      <c r="J19" s="63">
        <v>0.88585385777470305</v>
      </c>
      <c r="M19" s="68"/>
    </row>
    <row r="20" spans="4:13" x14ac:dyDescent="0.2">
      <c r="D20" s="66" t="str">
        <v>obj_00523</v>
      </c>
      <c r="E20" s="66" t="str">
        <f>_xll.qlRateHelperQuoteName(D20)</f>
        <v>USDAM3L8Y_Quote</v>
      </c>
      <c r="F20" s="67">
        <f>_xll.qlRateHelperRate($D20)</f>
        <v>1.788E-2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42034</v>
      </c>
      <c r="I20" s="77">
        <f>_xll.qlRateHelperLatestDate($D20)</f>
        <v>44956</v>
      </c>
      <c r="J20" s="63">
        <v>0.86435256837169783</v>
      </c>
      <c r="M20" s="68"/>
    </row>
    <row r="21" spans="4:13" x14ac:dyDescent="0.2">
      <c r="D21" s="66" t="str">
        <v>obj_00542</v>
      </c>
      <c r="E21" s="66" t="str">
        <f>_xll.qlRateHelperQuoteName(D21)</f>
        <v>USDAM3L9Y_Quote</v>
      </c>
      <c r="F21" s="67">
        <f>_xll.qlRateHelperRate($D21)</f>
        <v>1.8610000000000002E-2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42034</v>
      </c>
      <c r="I21" s="77">
        <f>_xll.qlRateHelperLatestDate($D21)</f>
        <v>45321</v>
      </c>
      <c r="J21" s="63">
        <v>0.84294905338701032</v>
      </c>
      <c r="M21" s="68"/>
    </row>
    <row r="22" spans="4:13" x14ac:dyDescent="0.2">
      <c r="D22" s="66" t="str">
        <v>obj_00528</v>
      </c>
      <c r="E22" s="66" t="str">
        <f>_xll.qlRateHelperQuoteName(D22)</f>
        <v>USDAM3L10Y_Quote</v>
      </c>
      <c r="F22" s="67">
        <f>_xll.qlRateHelperRate($D22)</f>
        <v>1.9220000000000001E-2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42034</v>
      </c>
      <c r="I22" s="77">
        <f>_xll.qlRateHelperLatestDate($D22)</f>
        <v>45687</v>
      </c>
      <c r="J22" s="63">
        <v>0.82178060008227893</v>
      </c>
      <c r="M22" s="68"/>
    </row>
    <row r="23" spans="4:13" x14ac:dyDescent="0.2">
      <c r="D23" s="66" t="str">
        <v>obj_00545</v>
      </c>
      <c r="E23" s="66" t="str">
        <f>_xll.qlRateHelperQuoteName(D23)</f>
        <v>USDAM3L12Y_Quote</v>
      </c>
      <c r="F23" s="67">
        <f>_xll.qlRateHelperRate($D23)</f>
        <v>2.0160000000000001E-2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42034</v>
      </c>
      <c r="I23" s="77">
        <f>_xll.qlRateHelperLatestDate($D23)</f>
        <v>46416</v>
      </c>
      <c r="J23" s="63">
        <v>0.78085517060432663</v>
      </c>
      <c r="M23" s="68"/>
    </row>
    <row r="24" spans="4:13" x14ac:dyDescent="0.2">
      <c r="D24" s="66" t="str">
        <v>obj_0053e</v>
      </c>
      <c r="E24" s="66" t="str">
        <f>_xll.qlRateHelperQuoteName(D24)</f>
        <v>USDAM3L15Y_Quote</v>
      </c>
      <c r="F24" s="67">
        <f>_xll.qlRateHelperRate($D24)</f>
        <v>2.1160000000000002E-2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42034</v>
      </c>
      <c r="I24" s="77">
        <f>_xll.qlRateHelperLatestDate($D24)</f>
        <v>47513</v>
      </c>
      <c r="J24" s="63">
        <v>0.72230781759587559</v>
      </c>
      <c r="M24" s="68"/>
    </row>
    <row r="25" spans="4:13" x14ac:dyDescent="0.2">
      <c r="D25" s="66" t="str">
        <v>obj_0053d</v>
      </c>
      <c r="E25" s="66" t="str">
        <f>_xll.qlRateHelperQuoteName(D25)</f>
        <v>USDAM3L20Y_Quote</v>
      </c>
      <c r="F25" s="67">
        <f>_xll.qlRateHelperRate($D25)</f>
        <v>2.214E-2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42034</v>
      </c>
      <c r="I25" s="77">
        <f>_xll.qlRateHelperLatestDate($D25)</f>
        <v>49339</v>
      </c>
      <c r="J25" s="63">
        <v>0.6345950520749235</v>
      </c>
      <c r="M25" s="68"/>
    </row>
    <row r="26" spans="4:13" x14ac:dyDescent="0.2">
      <c r="D26" s="66" t="str">
        <v>obj_0052b</v>
      </c>
      <c r="E26" s="66" t="str">
        <f>_xll.qlRateHelperQuoteName(D26)</f>
        <v>USDAM3L25Y_Quote</v>
      </c>
      <c r="F26" s="67">
        <f>_xll.qlRateHelperRate($D26)</f>
        <v>2.2589999999999999E-2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42034</v>
      </c>
      <c r="I26" s="77">
        <f>_xll.qlRateHelperLatestDate($D26)</f>
        <v>51165</v>
      </c>
      <c r="J26" s="63">
        <v>0.55985883528062808</v>
      </c>
      <c r="M26" s="68"/>
    </row>
    <row r="27" spans="4:13" x14ac:dyDescent="0.2">
      <c r="D27" s="66" t="str">
        <v>obj_0053f</v>
      </c>
      <c r="E27" s="66" t="str">
        <f>_xll.qlRateHelperQuoteName(D27)</f>
        <v>USDAM3L30Y_Quote</v>
      </c>
      <c r="F27" s="67">
        <f>_xll.qlRateHelperRate($D27)</f>
        <v>2.2860000000000002E-2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42034</v>
      </c>
      <c r="I27" s="77">
        <f>_xll.qlRateHelperLatestDate($D27)</f>
        <v>52992</v>
      </c>
      <c r="J27" s="63">
        <v>0.49441218571412643</v>
      </c>
      <c r="M27" s="68"/>
    </row>
    <row r="28" spans="4:13" x14ac:dyDescent="0.2">
      <c r="D28" s="66" t="str">
        <v>obj_0052c</v>
      </c>
      <c r="E28" s="66" t="str">
        <f>_xll.qlRateHelperQuoteName(D28)</f>
        <v>USDAM3L40Y_Quote</v>
      </c>
      <c r="F28" s="67">
        <f>_xll.qlRateHelperRate($D28)</f>
        <v>2.3099999999999999E-2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42034</v>
      </c>
      <c r="I28" s="77">
        <f>_xll.qlRateHelperLatestDate($D28)</f>
        <v>56643</v>
      </c>
      <c r="J28" s="63">
        <v>0.3878376108920068</v>
      </c>
      <c r="M28" s="68"/>
    </row>
    <row r="29" spans="4:13" x14ac:dyDescent="0.2">
      <c r="D29" s="66" t="str">
        <v>obj_00531</v>
      </c>
      <c r="E29" s="66" t="str">
        <f>_xll.qlRateHelperQuoteName(D29)</f>
        <v>USDAM3L50Y_Quote</v>
      </c>
      <c r="F29" s="67">
        <f>_xll.qlRateHelperRate($D29)</f>
        <v>2.2860000000000002E-2</v>
      </c>
      <c r="G29" s="67">
        <f>IF(ISERROR(_xll.qlSwapRateHelperSpread($D29)),IF(ISERROR(_xll.qlFuturesRateHelperConvexityAdjustment($D29)),"--",_xll.qlFuturesRateHelperConvexityAdjustment($D29)),_xll.qlSwapRateHelperSpread($D29))</f>
        <v>0</v>
      </c>
      <c r="H29" s="76">
        <f>_xll.qlRateHelperEarliestDate($D29)</f>
        <v>42034</v>
      </c>
      <c r="I29" s="77">
        <f>_xll.qlRateHelperLatestDate($D29)</f>
        <v>60297</v>
      </c>
      <c r="J29" s="63">
        <v>0.31360634610412597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obj_00511#0004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obj_00519#0004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obj_00510#0004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obj_0051a#0004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obj_00513#0004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obj_00514#0004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obj_00512#0004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obj_00516#0004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132</v>
      </c>
      <c r="H2" s="260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obj_00517#0002</v>
      </c>
      <c r="H3" s="261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obj_00520#0002</v>
      </c>
      <c r="H4" s="261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obj_0051b#0002</v>
      </c>
      <c r="H5" s="261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obj_00515#0002</v>
      </c>
      <c r="H6" s="261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obj_00518#0002</v>
      </c>
      <c r="H7" s="261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obj_0051e#0002</v>
      </c>
      <c r="H8" s="261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G5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USDFUT3MG5_Quote</v>
      </c>
      <c r="G3" s="122" t="str">
        <f t="shared" ref="G3:G44" si="2">Currency&amp;"FUT"&amp;$F$1&amp;$D3&amp;"ConvAdj"&amp;QuoteSuffix</f>
        <v>USDFUT3MG5ConvAdj_Quote</v>
      </c>
      <c r="H3" s="123" t="str">
        <f>_xll.qlFuturesRateHelper(,$F3,$D3,$E3,$G3,Permanent,Trigger,ObjectOverwrite)</f>
        <v>obj_00569#0002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H5</v>
      </c>
      <c r="E4" s="121" t="str">
        <f t="shared" si="0"/>
        <v>UsdLibor3M</v>
      </c>
      <c r="F4" s="122" t="str">
        <f t="shared" si="1"/>
        <v>USDFUT3MH5_Quote</v>
      </c>
      <c r="G4" s="122" t="str">
        <f t="shared" si="2"/>
        <v>USDFUT3MH5ConvAdj_Quote</v>
      </c>
      <c r="H4" s="127" t="str">
        <f>_xll.qlFuturesRateHelper(,$F4,$D4,$E4,$G4,Permanent,Trigger,ObjectOverwrite)</f>
        <v>obj_0056f#0002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J5</v>
      </c>
      <c r="E5" s="121" t="str">
        <f t="shared" si="0"/>
        <v>UsdLibor3M</v>
      </c>
      <c r="F5" s="122" t="str">
        <f t="shared" si="1"/>
        <v>USDFUT3MJ5_Quote</v>
      </c>
      <c r="G5" s="122" t="str">
        <f t="shared" si="2"/>
        <v>USDFUT3MJ5ConvAdj_Quote</v>
      </c>
      <c r="H5" s="127" t="str">
        <f>_xll.qlFuturesRateHelper(,$F5,$D5,$E5,$G5,Permanent,Trigger,ObjectOverwrite)</f>
        <v>obj_0054b#0002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K5</v>
      </c>
      <c r="E6" s="121" t="str">
        <f t="shared" si="0"/>
        <v>UsdLibor3M</v>
      </c>
      <c r="F6" s="122" t="str">
        <f t="shared" si="1"/>
        <v>USDFUT3MK5_Quote</v>
      </c>
      <c r="G6" s="122" t="str">
        <f t="shared" si="2"/>
        <v>USDFUT3MK5ConvAdj_Quote</v>
      </c>
      <c r="H6" s="127" t="str">
        <f>_xll.qlFuturesRateHelper(,$F6,$D6,$E6,$G6,Permanent,Trigger,ObjectOverwrite)</f>
        <v>obj_0055d#0002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M5</v>
      </c>
      <c r="E7" s="121" t="str">
        <f t="shared" si="0"/>
        <v>UsdLibor3M</v>
      </c>
      <c r="F7" s="122" t="str">
        <f t="shared" si="1"/>
        <v>USDFUT3MM5_Quote</v>
      </c>
      <c r="G7" s="122" t="str">
        <f t="shared" si="2"/>
        <v>USDFUT3MM5ConvAdj_Quote</v>
      </c>
      <c r="H7" s="127" t="str">
        <f>_xll.qlFuturesRateHelper(,$F7,$D7,$E7,$G7,Permanent,Trigger,ObjectOverwrite)</f>
        <v>obj_00553#0002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N5</v>
      </c>
      <c r="E8" s="121" t="str">
        <f t="shared" si="0"/>
        <v>UsdLibor3M</v>
      </c>
      <c r="F8" s="122" t="str">
        <f t="shared" si="1"/>
        <v>USDFUT3MN5_Quote</v>
      </c>
      <c r="G8" s="122" t="str">
        <f t="shared" si="2"/>
        <v>USDFUT3MN5ConvAdj_Quote</v>
      </c>
      <c r="H8" s="127" t="str">
        <f>_xll.qlFuturesRateHelper(,$F8,$D8,$E8,$G8,Permanent,Trigger,ObjectOverwrite)</f>
        <v>obj_00554#0002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Q5</v>
      </c>
      <c r="E9" s="121" t="str">
        <f t="shared" si="0"/>
        <v>UsdLibor3M</v>
      </c>
      <c r="F9" s="122" t="str">
        <f t="shared" si="1"/>
        <v>USDFUT3MQ5_Quote</v>
      </c>
      <c r="G9" s="122" t="str">
        <f t="shared" si="2"/>
        <v>USDFUT3MQ5ConvAdj_Quote</v>
      </c>
      <c r="H9" s="127" t="str">
        <f>_xll.qlFuturesRateHelper(,$F9,$D9,$E9,$G9,Permanent,Trigger,ObjectOverwrite)</f>
        <v>obj_0056d#0002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U5</v>
      </c>
      <c r="E10" s="121" t="str">
        <f t="shared" si="0"/>
        <v>UsdLibor3M</v>
      </c>
      <c r="F10" s="122" t="str">
        <f t="shared" si="1"/>
        <v>USDFUT3MU5_Quote</v>
      </c>
      <c r="G10" s="122" t="str">
        <f t="shared" si="2"/>
        <v>USDFUT3MU5ConvAdj_Quote</v>
      </c>
      <c r="H10" s="127" t="str">
        <f>_xll.qlFuturesRateHelper(,$F10,$D10,$E10,$G10,Permanent,Trigger,ObjectOverwrite)</f>
        <v>obj_0055e#0002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V5</v>
      </c>
      <c r="E11" s="121" t="str">
        <f t="shared" si="0"/>
        <v>UsdLibor3M</v>
      </c>
      <c r="F11" s="122" t="str">
        <f t="shared" si="1"/>
        <v>USDFUT3MV5_Quote</v>
      </c>
      <c r="G11" s="122" t="str">
        <f t="shared" si="2"/>
        <v>USDFUT3MV5ConvAdj_Quote</v>
      </c>
      <c r="H11" s="127" t="str">
        <f>_xll.qlFuturesRateHelper(,$F11,$D11,$E11,$G11,Permanent,Trigger,ObjectOverwrite)</f>
        <v>obj_00559#0002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X5</v>
      </c>
      <c r="E12" s="121" t="str">
        <f t="shared" si="0"/>
        <v>UsdLibor3M</v>
      </c>
      <c r="F12" s="122" t="str">
        <f t="shared" si="1"/>
        <v>USDFUT3MX5_Quote</v>
      </c>
      <c r="G12" s="122" t="str">
        <f t="shared" si="2"/>
        <v>USDFUT3MX5ConvAdj_Quote</v>
      </c>
      <c r="H12" s="127" t="str">
        <f>_xll.qlFuturesRateHelper(,$F12,$D12,$E12,$G12,Permanent,Trigger,ObjectOverwrite)</f>
        <v>obj_00558#0002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Z5</v>
      </c>
      <c r="E13" s="121" t="str">
        <f t="shared" si="0"/>
        <v>UsdLibor3M</v>
      </c>
      <c r="F13" s="122" t="str">
        <f t="shared" si="1"/>
        <v>USDFUT3MZ5_Quote</v>
      </c>
      <c r="G13" s="122" t="str">
        <f t="shared" si="2"/>
        <v>USDFUT3MZ5ConvAdj_Quote</v>
      </c>
      <c r="H13" s="127" t="str">
        <f>_xll.qlFuturesRateHelper(,$F13,$D13,$E13,$G13,Permanent,Trigger,ObjectOverwrite)</f>
        <v>obj_00574#0002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F6</v>
      </c>
      <c r="E14" s="121" t="str">
        <f t="shared" si="0"/>
        <v>UsdLibor3M</v>
      </c>
      <c r="F14" s="122" t="str">
        <f t="shared" si="1"/>
        <v>USDFUT3MF6_Quote</v>
      </c>
      <c r="G14" s="122" t="str">
        <f t="shared" si="2"/>
        <v>USDFUT3MF6ConvAdj_Quote</v>
      </c>
      <c r="H14" s="127" t="str">
        <f>_xll.qlFuturesRateHelper(,$F14,$D14,$E14,$G14,Permanent,Trigger,ObjectOverwrite)</f>
        <v>obj_0056e#0002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H6</v>
      </c>
      <c r="E15" s="121" t="str">
        <f t="shared" si="0"/>
        <v>UsdLibor3M</v>
      </c>
      <c r="F15" s="122" t="str">
        <f t="shared" si="1"/>
        <v>USDFUT3MH6_Quote</v>
      </c>
      <c r="G15" s="122" t="str">
        <f t="shared" si="2"/>
        <v>USDFUT3MH6ConvAdj_Quote</v>
      </c>
      <c r="H15" s="127" t="str">
        <f>_xll.qlFuturesRateHelper(,$F15,$D15,$E15,$G15,Permanent,Trigger,ObjectOverwrite)</f>
        <v>obj_00550#0002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M6</v>
      </c>
      <c r="E16" s="121" t="str">
        <f t="shared" si="0"/>
        <v>UsdLibor3M</v>
      </c>
      <c r="F16" s="122" t="str">
        <f t="shared" si="1"/>
        <v>USDFUT3MM6_Quote</v>
      </c>
      <c r="G16" s="122" t="str">
        <f t="shared" si="2"/>
        <v>USDFUT3MM6ConvAdj_Quote</v>
      </c>
      <c r="H16" s="127" t="str">
        <f>_xll.qlFuturesRateHelper(,$F16,$D16,$E16,$G16,Permanent,Trigger,ObjectOverwrite)</f>
        <v>obj_00572#0002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U6</v>
      </c>
      <c r="E17" s="121" t="str">
        <f t="shared" si="0"/>
        <v>UsdLibor3M</v>
      </c>
      <c r="F17" s="122" t="str">
        <f t="shared" si="1"/>
        <v>USDFUT3MU6_Quote</v>
      </c>
      <c r="G17" s="122" t="str">
        <f t="shared" si="2"/>
        <v>USDFUT3MU6ConvAdj_Quote</v>
      </c>
      <c r="H17" s="127" t="str">
        <f>_xll.qlFuturesRateHelper(,$F17,$D17,$E17,$G17,Permanent,Trigger,ObjectOverwrite)</f>
        <v>obj_0055f#0002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Z6</v>
      </c>
      <c r="E18" s="121" t="str">
        <f t="shared" si="0"/>
        <v>UsdLibor3M</v>
      </c>
      <c r="F18" s="122" t="str">
        <f t="shared" si="1"/>
        <v>USDFUT3MZ6_Quote</v>
      </c>
      <c r="G18" s="122" t="str">
        <f t="shared" si="2"/>
        <v>USDFUT3MZ6ConvAdj_Quote</v>
      </c>
      <c r="H18" s="127" t="str">
        <f>_xll.qlFuturesRateHelper(,$F18,$D18,$E18,$G18,Permanent,Trigger,ObjectOverwrite)</f>
        <v>obj_0056c#0002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H7</v>
      </c>
      <c r="E19" s="121" t="str">
        <f t="shared" si="0"/>
        <v>UsdLibor3M</v>
      </c>
      <c r="F19" s="122" t="str">
        <f t="shared" si="1"/>
        <v>USDFUT3MH7_Quote</v>
      </c>
      <c r="G19" s="122" t="str">
        <f t="shared" si="2"/>
        <v>USDFUT3MH7ConvAdj_Quote</v>
      </c>
      <c r="H19" s="127" t="str">
        <f>_xll.qlFuturesRateHelper(,$F19,$D19,$E19,$G19,Permanent,Trigger,ObjectOverwrite)</f>
        <v>obj_00551#0002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M7</v>
      </c>
      <c r="E20" s="121" t="str">
        <f t="shared" si="0"/>
        <v>UsdLibor3M</v>
      </c>
      <c r="F20" s="122" t="str">
        <f t="shared" si="1"/>
        <v>USDFUT3MM7_Quote</v>
      </c>
      <c r="G20" s="122" t="str">
        <f t="shared" si="2"/>
        <v>USDFUT3MM7ConvAdj_Quote</v>
      </c>
      <c r="H20" s="127" t="str">
        <f>_xll.qlFuturesRateHelper(,$F20,$D20,$E20,$G20,Permanent,Trigger,ObjectOverwrite)</f>
        <v>obj_0055c#0002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U7</v>
      </c>
      <c r="E21" s="121" t="str">
        <f t="shared" si="0"/>
        <v>UsdLibor3M</v>
      </c>
      <c r="F21" s="122" t="str">
        <f t="shared" si="1"/>
        <v>USDFUT3MU7_Quote</v>
      </c>
      <c r="G21" s="122" t="str">
        <f t="shared" si="2"/>
        <v>USDFUT3MU7ConvAdj_Quote</v>
      </c>
      <c r="H21" s="127" t="str">
        <f>_xll.qlFuturesRateHelper(,$F21,$D21,$E21,$G21,Permanent,Trigger,ObjectOverwrite)</f>
        <v>obj_00556#0002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Z7</v>
      </c>
      <c r="E22" s="121" t="str">
        <f t="shared" si="0"/>
        <v>UsdLibor3M</v>
      </c>
      <c r="F22" s="122" t="str">
        <f t="shared" si="1"/>
        <v>USDFUT3MZ7_Quote</v>
      </c>
      <c r="G22" s="122" t="str">
        <f t="shared" si="2"/>
        <v>USDFUT3MZ7ConvAdj_Quote</v>
      </c>
      <c r="H22" s="127" t="str">
        <f>_xll.qlFuturesRateHelper(,$F22,$D22,$E22,$G22,Permanent,Trigger,ObjectOverwrite)</f>
        <v>obj_00562#0002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H8</v>
      </c>
      <c r="E23" s="121" t="str">
        <f t="shared" si="0"/>
        <v>UsdLibor3M</v>
      </c>
      <c r="F23" s="122" t="str">
        <f t="shared" si="1"/>
        <v>USDFUT3MH8_Quote</v>
      </c>
      <c r="G23" s="122" t="str">
        <f t="shared" si="2"/>
        <v>USDFUT3MH8ConvAdj_Quote</v>
      </c>
      <c r="H23" s="127" t="str">
        <f>_xll.qlFuturesRateHelper(,$F23,$D23,$E23,$G23,Permanent,Trigger,ObjectOverwrite)</f>
        <v>obj_00570#0002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M8</v>
      </c>
      <c r="E24" s="121" t="str">
        <f t="shared" si="0"/>
        <v>UsdLibor3M</v>
      </c>
      <c r="F24" s="122" t="str">
        <f t="shared" si="1"/>
        <v>USDFUT3MM8_Quote</v>
      </c>
      <c r="G24" s="122" t="str">
        <f t="shared" si="2"/>
        <v>USDFUT3MM8ConvAdj_Quote</v>
      </c>
      <c r="H24" s="127" t="str">
        <f>_xll.qlFuturesRateHelper(,$F24,$D24,$E24,$G24,Permanent,Trigger,ObjectOverwrite)</f>
        <v>obj_00568#0002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U8</v>
      </c>
      <c r="E25" s="121" t="str">
        <f t="shared" si="0"/>
        <v>UsdLibor3M</v>
      </c>
      <c r="F25" s="122" t="str">
        <f t="shared" si="1"/>
        <v>USDFUT3MU8_Quote</v>
      </c>
      <c r="G25" s="122" t="str">
        <f t="shared" si="2"/>
        <v>USDFUT3MU8ConvAdj_Quote</v>
      </c>
      <c r="H25" s="127" t="str">
        <f>_xll.qlFuturesRateHelper(,$F25,$D25,$E25,$G25,Permanent,Trigger,ObjectOverwrite)</f>
        <v>obj_00557#0002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Z8</v>
      </c>
      <c r="E26" s="121" t="str">
        <f t="shared" si="0"/>
        <v>UsdLibor3M</v>
      </c>
      <c r="F26" s="122" t="str">
        <f t="shared" si="1"/>
        <v>USDFUT3MZ8_Quote</v>
      </c>
      <c r="G26" s="122" t="str">
        <f t="shared" si="2"/>
        <v>USDFUT3MZ8ConvAdj_Quote</v>
      </c>
      <c r="H26" s="127" t="str">
        <f>_xll.qlFuturesRateHelper(,$F26,$D26,$E26,$G26,Permanent,Trigger,ObjectOverwrite)</f>
        <v>obj_00573#0002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H9</v>
      </c>
      <c r="E27" s="121" t="str">
        <f t="shared" si="0"/>
        <v>UsdLibor3M</v>
      </c>
      <c r="F27" s="122" t="str">
        <f t="shared" si="1"/>
        <v>USDFUT3MH9_Quote</v>
      </c>
      <c r="G27" s="122" t="str">
        <f t="shared" si="2"/>
        <v>USDFUT3MH9ConvAdj_Quote</v>
      </c>
      <c r="H27" s="127" t="str">
        <f>_xll.qlFuturesRateHelper(,$F27,$D27,$E27,$G27,Permanent,Trigger,ObjectOverwrite)</f>
        <v>obj_00552#0002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M9</v>
      </c>
      <c r="E28" s="121" t="str">
        <f t="shared" si="0"/>
        <v>UsdLibor3M</v>
      </c>
      <c r="F28" s="122" t="str">
        <f t="shared" si="1"/>
        <v>USDFUT3MM9_Quote</v>
      </c>
      <c r="G28" s="122" t="str">
        <f t="shared" si="2"/>
        <v>USDFUT3MM9ConvAdj_Quote</v>
      </c>
      <c r="H28" s="127" t="str">
        <f>_xll.qlFuturesRateHelper(,$F28,$D28,$E28,$G28,Permanent,Trigger,ObjectOverwrite)</f>
        <v>obj_00564#0002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U9</v>
      </c>
      <c r="E29" s="121" t="str">
        <f t="shared" si="0"/>
        <v>UsdLibor3M</v>
      </c>
      <c r="F29" s="122" t="str">
        <f t="shared" si="1"/>
        <v>USDFUT3MU9_Quote</v>
      </c>
      <c r="G29" s="122" t="str">
        <f t="shared" si="2"/>
        <v>USDFUT3MU9ConvAdj_Quote</v>
      </c>
      <c r="H29" s="127" t="str">
        <f>_xll.qlFuturesRateHelper(,$F29,$D29,$E29,$G29,Permanent,Trigger,ObjectOverwrite)</f>
        <v>obj_00566#0002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Z9</v>
      </c>
      <c r="E30" s="121" t="str">
        <f t="shared" si="0"/>
        <v>UsdLibor3M</v>
      </c>
      <c r="F30" s="122" t="str">
        <f t="shared" si="1"/>
        <v>USDFUT3MZ9_Quote</v>
      </c>
      <c r="G30" s="122" t="str">
        <f t="shared" si="2"/>
        <v>USDFUT3MZ9ConvAdj_Quote</v>
      </c>
      <c r="H30" s="127" t="str">
        <f>_xll.qlFuturesRateHelper(,$F30,$D30,$E30,$G30,Permanent,Trigger,ObjectOverwrite)</f>
        <v>obj_0054c#0002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H0</v>
      </c>
      <c r="E31" s="121" t="str">
        <f t="shared" si="0"/>
        <v>UsdLibor3M</v>
      </c>
      <c r="F31" s="122" t="str">
        <f t="shared" si="1"/>
        <v>USDFUT3MH0_Quote</v>
      </c>
      <c r="G31" s="122" t="str">
        <f t="shared" si="2"/>
        <v>USDFUT3MH0ConvAdj_Quote</v>
      </c>
      <c r="H31" s="127" t="str">
        <f>_xll.qlFuturesRateHelper(,$F31,$D31,$E31,$G31,Permanent,Trigger,ObjectOverwrite)</f>
        <v>obj_00563#0002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M0</v>
      </c>
      <c r="E32" s="121" t="str">
        <f t="shared" si="0"/>
        <v>UsdLibor3M</v>
      </c>
      <c r="F32" s="122" t="str">
        <f t="shared" si="1"/>
        <v>USDFUT3MM0_Quote</v>
      </c>
      <c r="G32" s="122" t="str">
        <f t="shared" si="2"/>
        <v>USDFUT3MM0ConvAdj_Quote</v>
      </c>
      <c r="H32" s="127" t="str">
        <f>_xll.qlFuturesRateHelper(,$F32,$D32,$E32,$G32,Permanent,Trigger,ObjectOverwrite)</f>
        <v>obj_0056a#0002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U0</v>
      </c>
      <c r="E33" s="121" t="str">
        <f t="shared" si="0"/>
        <v>UsdLibor3M</v>
      </c>
      <c r="F33" s="122" t="str">
        <f t="shared" si="1"/>
        <v>USDFUT3MU0_Quote</v>
      </c>
      <c r="G33" s="122" t="str">
        <f t="shared" si="2"/>
        <v>USDFUT3MU0ConvAdj_Quote</v>
      </c>
      <c r="H33" s="127" t="str">
        <f>_xll.qlFuturesRateHelper(,$F33,$D33,$E33,$G33,Permanent,Trigger,ObjectOverwrite)</f>
        <v>obj_00565#0002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Z0</v>
      </c>
      <c r="E34" s="121" t="str">
        <f t="shared" si="0"/>
        <v>UsdLibor3M</v>
      </c>
      <c r="F34" s="122" t="str">
        <f t="shared" si="1"/>
        <v>USDFUT3MZ0_Quote</v>
      </c>
      <c r="G34" s="122" t="str">
        <f t="shared" si="2"/>
        <v>USDFUT3MZ0ConvAdj_Quote</v>
      </c>
      <c r="H34" s="127" t="str">
        <f>_xll.qlFuturesRateHelper(,$F34,$D34,$E34,$G34,Permanent,Trigger,ObjectOverwrite)</f>
        <v>obj_0054e#0002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H1</v>
      </c>
      <c r="E35" s="121" t="str">
        <f t="shared" si="0"/>
        <v>UsdLibor3M</v>
      </c>
      <c r="F35" s="122" t="str">
        <f t="shared" si="1"/>
        <v>USDFUT3MH1_Quote</v>
      </c>
      <c r="G35" s="122" t="str">
        <f t="shared" si="2"/>
        <v>USDFUT3MH1ConvAdj_Quote</v>
      </c>
      <c r="H35" s="127" t="str">
        <f>_xll.qlFuturesRateHelper(,$F35,$D35,$E35,$G35,Permanent,Trigger,ObjectOverwrite)</f>
        <v>obj_0055b#0002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M1</v>
      </c>
      <c r="E36" s="121" t="str">
        <f t="shared" si="0"/>
        <v>UsdLibor3M</v>
      </c>
      <c r="F36" s="122" t="str">
        <f t="shared" si="1"/>
        <v>USDFUT3MM1_Quote</v>
      </c>
      <c r="G36" s="122" t="str">
        <f t="shared" si="2"/>
        <v>USDFUT3MM1ConvAdj_Quote</v>
      </c>
      <c r="H36" s="127" t="str">
        <f>_xll.qlFuturesRateHelper(,$F36,$D36,$E36,$G36,Permanent,Trigger,ObjectOverwrite)</f>
        <v>obj_0054f#0002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U1</v>
      </c>
      <c r="E37" s="121" t="str">
        <f t="shared" si="0"/>
        <v>UsdLibor3M</v>
      </c>
      <c r="F37" s="122" t="str">
        <f t="shared" si="1"/>
        <v>USDFUT3MU1_Quote</v>
      </c>
      <c r="G37" s="122" t="str">
        <f t="shared" si="2"/>
        <v>USDFUT3MU1ConvAdj_Quote</v>
      </c>
      <c r="H37" s="127" t="str">
        <f>_xll.qlFuturesRateHelper(,$F37,$D37,$E37,$G37,Permanent,Trigger,ObjectOverwrite)</f>
        <v>obj_0055a#0002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Z1</v>
      </c>
      <c r="E38" s="121" t="str">
        <f t="shared" si="0"/>
        <v>UsdLibor3M</v>
      </c>
      <c r="F38" s="122" t="str">
        <f t="shared" si="1"/>
        <v>USDFUT3MZ1_Quote</v>
      </c>
      <c r="G38" s="122" t="str">
        <f t="shared" si="2"/>
        <v>USDFUT3MZ1ConvAdj_Quote</v>
      </c>
      <c r="H38" s="127" t="str">
        <f>_xll.qlFuturesRateHelper(,$F38,$D38,$E38,$G38,Permanent,Trigger,ObjectOverwrite)</f>
        <v>obj_0056b#0002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H2</v>
      </c>
      <c r="E39" s="121" t="str">
        <f t="shared" si="0"/>
        <v>UsdLibor3M</v>
      </c>
      <c r="F39" s="122" t="str">
        <f t="shared" si="1"/>
        <v>USDFUT3MH2_Quote</v>
      </c>
      <c r="G39" s="122" t="str">
        <f t="shared" si="2"/>
        <v>USDFUT3MH2ConvAdj_Quote</v>
      </c>
      <c r="H39" s="127" t="str">
        <f>_xll.qlFuturesRateHelper(,$F39,$D39,$E39,$G39,Permanent,Trigger,ObjectOverwrite)</f>
        <v>obj_00555#0002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M2</v>
      </c>
      <c r="E40" s="121" t="str">
        <f t="shared" si="0"/>
        <v>UsdLibor3M</v>
      </c>
      <c r="F40" s="122" t="str">
        <f t="shared" si="1"/>
        <v>USDFUT3MM2_Quote</v>
      </c>
      <c r="G40" s="122" t="str">
        <f t="shared" si="2"/>
        <v>USDFUT3MM2ConvAdj_Quote</v>
      </c>
      <c r="H40" s="127" t="str">
        <f>_xll.qlFuturesRateHelper(,$F40,$D40,$E40,$G40,Permanent,Trigger,ObjectOverwrite)</f>
        <v>obj_00567#0002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U2</v>
      </c>
      <c r="E41" s="121" t="str">
        <f t="shared" si="0"/>
        <v>UsdLibor3M</v>
      </c>
      <c r="F41" s="122" t="str">
        <f t="shared" si="1"/>
        <v>USDFUT3MU2_Quote</v>
      </c>
      <c r="G41" s="122" t="str">
        <f t="shared" si="2"/>
        <v>USDFUT3MU2ConvAdj_Quote</v>
      </c>
      <c r="H41" s="127" t="str">
        <f>_xll.qlFuturesRateHelper(,$F41,$D41,$E41,$G41,Permanent,Trigger,ObjectOverwrite)</f>
        <v>obj_00561#0002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Z2</v>
      </c>
      <c r="E42" s="121" t="str">
        <f t="shared" si="0"/>
        <v>UsdLibor3M</v>
      </c>
      <c r="F42" s="122" t="str">
        <f t="shared" si="1"/>
        <v>USDFUT3MZ2_Quote</v>
      </c>
      <c r="G42" s="122" t="str">
        <f t="shared" si="2"/>
        <v>USDFUT3MZ2ConvAdj_Quote</v>
      </c>
      <c r="H42" s="127" t="str">
        <f>_xll.qlFuturesRateHelper(,$F42,$D42,$E42,$G42,Permanent,Trigger,ObjectOverwrite)</f>
        <v>obj_00571#0002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H3</v>
      </c>
      <c r="E43" s="121" t="str">
        <f t="shared" si="0"/>
        <v>UsdLibor3M</v>
      </c>
      <c r="F43" s="122" t="str">
        <f t="shared" si="1"/>
        <v>USDFUT3MH3_Quote</v>
      </c>
      <c r="G43" s="122" t="str">
        <f t="shared" si="2"/>
        <v>USDFUT3MH3ConvAdj_Quote</v>
      </c>
      <c r="H43" s="127" t="str">
        <f>_xll.qlFuturesRateHelper(,$F43,$D43,$E43,$G43,Permanent,Trigger,ObjectOverwrite)</f>
        <v>obj_0054d#0002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M3</v>
      </c>
      <c r="E44" s="121" t="str">
        <f t="shared" si="0"/>
        <v>UsdLibor3M</v>
      </c>
      <c r="F44" s="122" t="str">
        <f t="shared" si="1"/>
        <v>USDFUT3MM3_Quote</v>
      </c>
      <c r="G44" s="122" t="str">
        <f t="shared" si="2"/>
        <v>USDFUT3MM3ConvAdj_Quote</v>
      </c>
      <c r="H44" s="127" t="str">
        <f>_xll.qlFuturesRateHelper(,$F44,$D44,$E44,$G44,Permanent,Trigger,ObjectOverwrite)</f>
        <v>obj_00560#0002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C2" sqref="C2"/>
    </sheetView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obj_0051c#0002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obj_00548#0004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obj_00547#0004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obj_00540#0004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obj_0054a#0004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obj_00538#0004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obj_0052e#0004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obj_00530#0004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obj_0052d#0004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obj_0052a#0004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obj_00541#0004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obj_00523#0004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obj_00542#0004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obj_00528#0004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obj_00529#0004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obj_00545#0004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obj_00537#0004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obj_00549#0004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obj_0053e#0004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obj_00532#0004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obj_0053a#0004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obj_00543#0004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obj_00539#0004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obj_0053d#0004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obj_0053b#0004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obj_00535#0004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obj_0052f#0004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obj_00544#0004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obj_0052b#0004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obj_00546#0004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obj_00527#0004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obj_00534#0004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obj_00536#0004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obj_0053f#0004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obj_00533#0004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obj_0052c#0004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obj_00531#0004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obj_0053c#0004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obj_00522#0004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obj_00526#0004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obj_00525#0004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obj_0051d#0004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obj_00524#0004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obj_0051f#0004</v>
      </c>
      <c r="L48" s="136" t="str">
        <f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obj_00521#0004</v>
      </c>
      <c r="L49" s="136" t="str">
        <f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8" width="7" style="178" customWidth="1"/>
    <col min="9" max="9" width="11" style="178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136</v>
      </c>
      <c r="C2" s="222" t="s">
        <v>137</v>
      </c>
      <c r="D2" s="222" t="s">
        <v>88</v>
      </c>
      <c r="E2" s="222" t="s">
        <v>138</v>
      </c>
      <c r="F2" s="223" t="s">
        <v>139</v>
      </c>
      <c r="G2" s="221" t="s">
        <v>137</v>
      </c>
      <c r="H2" s="222" t="s">
        <v>138</v>
      </c>
      <c r="I2" s="223" t="s">
        <v>140</v>
      </c>
      <c r="J2" s="222" t="s">
        <v>141</v>
      </c>
      <c r="K2" s="223" t="s">
        <v>142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42004</v>
      </c>
      <c r="D3" s="188">
        <v>12</v>
      </c>
      <c r="E3" s="226">
        <f t="shared" ref="E3:E16" si="0">EDATE($Y$19,$D3)</f>
        <v>42399</v>
      </c>
      <c r="F3" s="248">
        <f>IF(D3&lt;=12,1,IF(D3&lt;=24,3,IF(D3&lt;=120,6,IF(D3&lt;=240,12,IF(D3&lt;=360,36,60)))))</f>
        <v>1</v>
      </c>
      <c r="G3" s="249">
        <f>ROUNDDOWN(J3*10,2)/10</f>
        <v>2E-3</v>
      </c>
      <c r="H3" s="250">
        <f>IF(K3-J3&gt;1%,(QUOTIENT(K3*10000,50)+1)*0.5%,(QUOTIENT(K3*10000,10)+1)*0.1%)</f>
        <v>8.0000000000000002E-3</v>
      </c>
      <c r="I3" s="251">
        <f>IF(H3-G3&lt;0.5%,0.05%,IF(H3-G3&lt;1%,0.1%,IF(H3-G3&lt;2%,0.25%,0.5%)))</f>
        <v>1E-3</v>
      </c>
      <c r="J3" s="250">
        <f>MIN(_xll.ohPack($Z$19:INDEX($Z$19:$Z$3552,MATCH(E3+1,$Y$19:$Y$3552,1),1)))</f>
        <v>2.4719999995559405E-3</v>
      </c>
      <c r="K3" s="251">
        <f>MAX(_xll.ohPack($Z$19:INDEX($Z$19:$Z$3552,MATCH(E3+1,$Y$19:$Y$3552,1),1)))</f>
        <v>7.9911181463532995E-3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42004</v>
      </c>
      <c r="D4" s="188">
        <v>24</v>
      </c>
      <c r="E4" s="226">
        <f t="shared" si="0"/>
        <v>42765</v>
      </c>
      <c r="F4" s="248">
        <f t="shared" ref="F4:F16" si="1">IF(D4&lt;=12,1,IF(D4&lt;=24,3,IF(D4&lt;=120,6,IF(D4&lt;=240,12,IF(D4&lt;=360,36,60)))))</f>
        <v>3</v>
      </c>
      <c r="G4" s="249">
        <f t="shared" ref="G4:G16" si="2">ROUNDDOWN(J4*10,2)/10</f>
        <v>2E-3</v>
      </c>
      <c r="H4" s="250">
        <f t="shared" ref="H4:H16" si="3">IF(K4-J4&gt;1%,(QUOTIENT(K4*10000,50)+1)*0.5%,(QUOTIENT(K4*10000,10)+1)*0.1%)</f>
        <v>0.02</v>
      </c>
      <c r="I4" s="251">
        <f t="shared" ref="I4:I16" si="4">IF(H4-G4&lt;0.5%,0.05%,IF(H4-G4&lt;1%,0.1%,IF(H4-G4&lt;2%,0.25%,0.5%)))</f>
        <v>2.5000000000000001E-3</v>
      </c>
      <c r="J4" s="250">
        <f>MIN(_xll.ohPack($Z$19:INDEX($Z$19:$Z$3552,MATCH(E4+1,$Y$19:$Y$3552,1),1)))</f>
        <v>2.4719999995559405E-3</v>
      </c>
      <c r="K4" s="251">
        <f>MAX(_xll.ohPack($Z$19:INDEX($Z$19:$Z$3552,MATCH(E4+1,$Y$19:$Y$3552,1),1)))</f>
        <v>1.5168809884672162E-2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88">
        <v>60</v>
      </c>
      <c r="E5" s="226">
        <f t="shared" si="0"/>
        <v>43860</v>
      </c>
      <c r="F5" s="248">
        <f t="shared" si="1"/>
        <v>6</v>
      </c>
      <c r="G5" s="249">
        <f t="shared" si="2"/>
        <v>2E-3</v>
      </c>
      <c r="H5" s="250">
        <f t="shared" si="3"/>
        <v>2.5000000000000001E-2</v>
      </c>
      <c r="I5" s="251">
        <f t="shared" si="4"/>
        <v>5.0000000000000001E-3</v>
      </c>
      <c r="J5" s="250">
        <f>MIN(_xll.ohPack($Z$19:INDEX($Z$19:$Z$3552,MATCH(E5+1,$Y$19:$Y$3552,1),1)))</f>
        <v>2.4719999995559405E-3</v>
      </c>
      <c r="K5" s="251">
        <f>MAX(_xll.ohPack($Z$19:INDEX($Z$19:$Z$3552,MATCH(E5+1,$Y$19:$Y$3552,1),1)))</f>
        <v>2.2406901425925739E-2</v>
      </c>
      <c r="L5" s="178"/>
      <c r="M5" s="178"/>
    </row>
    <row r="6" spans="1:28" ht="12" hidden="1" outlineLevel="1" thickBot="1" x14ac:dyDescent="0.25">
      <c r="A6" s="224" t="s">
        <v>143</v>
      </c>
      <c r="B6" s="225" t="str">
        <f>_xll.qlPeriodEquivalent(D6&amp;"M")</f>
        <v>10Y</v>
      </c>
      <c r="C6" s="226">
        <f>C5</f>
        <v>42004</v>
      </c>
      <c r="D6" s="188">
        <v>120</v>
      </c>
      <c r="E6" s="226">
        <f t="shared" si="0"/>
        <v>45687</v>
      </c>
      <c r="F6" s="248">
        <f t="shared" si="1"/>
        <v>6</v>
      </c>
      <c r="G6" s="249">
        <f t="shared" si="2"/>
        <v>2E-3</v>
      </c>
      <c r="H6" s="250">
        <f t="shared" si="3"/>
        <v>0.03</v>
      </c>
      <c r="I6" s="251">
        <f t="shared" si="4"/>
        <v>5.0000000000000001E-3</v>
      </c>
      <c r="J6" s="250">
        <f>MIN(_xll.ohPack($Z$19:INDEX($Z$19:$Z$3552,MATCH(E6+1,$Y$19:$Y$3552,1),1)))</f>
        <v>2.4719999995559405E-3</v>
      </c>
      <c r="K6" s="251">
        <f>MAX(_xll.ohPack($Z$19:INDEX($Z$19:$Z$3552,MATCH(E6+1,$Y$19:$Y$3552,1),1)))</f>
        <v>2.5190663956620618E-2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42004</v>
      </c>
      <c r="D7" s="188">
        <v>240</v>
      </c>
      <c r="E7" s="226">
        <f t="shared" si="0"/>
        <v>49339</v>
      </c>
      <c r="F7" s="248">
        <f t="shared" si="1"/>
        <v>12</v>
      </c>
      <c r="G7" s="249">
        <f t="shared" si="2"/>
        <v>2E-3</v>
      </c>
      <c r="H7" s="250">
        <f t="shared" si="3"/>
        <v>0.03</v>
      </c>
      <c r="I7" s="251">
        <f t="shared" si="4"/>
        <v>5.0000000000000001E-3</v>
      </c>
      <c r="J7" s="250">
        <f>MIN(_xll.ohPack($Z$19:INDEX($Z$19:$Z$3552,MATCH(E7+1,$Y$19:$Y$3552,1),1)))</f>
        <v>2.4719999995559405E-3</v>
      </c>
      <c r="K7" s="251">
        <f>MAX(_xll.ohPack($Z$19:INDEX($Z$19:$Z$3552,MATCH(E7+1,$Y$19:$Y$3552,1),1)))</f>
        <v>2.5781922945119641E-2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42004</v>
      </c>
      <c r="D8" s="188">
        <v>360</v>
      </c>
      <c r="E8" s="226">
        <f t="shared" si="0"/>
        <v>52992</v>
      </c>
      <c r="F8" s="248">
        <f t="shared" si="1"/>
        <v>36</v>
      </c>
      <c r="G8" s="249">
        <f t="shared" si="2"/>
        <v>2E-3</v>
      </c>
      <c r="H8" s="250">
        <f t="shared" si="3"/>
        <v>0.03</v>
      </c>
      <c r="I8" s="251">
        <f t="shared" si="4"/>
        <v>5.0000000000000001E-3</v>
      </c>
      <c r="J8" s="250">
        <f>MIN(_xll.ohPack($Z$19:INDEX($Z$19:$Z$3552,MATCH(E8+1,$Y$19:$Y$3552,1),1)))</f>
        <v>2.4719999995559405E-3</v>
      </c>
      <c r="K8" s="251">
        <f>MAX(_xll.ohPack($Z$19:INDEX($Z$19:$Z$3552,MATCH(E8+1,$Y$19:$Y$3552,1),1)))</f>
        <v>2.5781922945119641E-2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42004</v>
      </c>
      <c r="D9" s="188">
        <f>60*12</f>
        <v>720</v>
      </c>
      <c r="E9" s="226">
        <f t="shared" si="0"/>
        <v>63949</v>
      </c>
      <c r="F9" s="248">
        <f t="shared" si="1"/>
        <v>60</v>
      </c>
      <c r="G9" s="249">
        <f t="shared" si="2"/>
        <v>2E-3</v>
      </c>
      <c r="H9" s="250">
        <f t="shared" si="3"/>
        <v>0.03</v>
      </c>
      <c r="I9" s="251">
        <f t="shared" si="4"/>
        <v>5.0000000000000001E-3</v>
      </c>
      <c r="J9" s="250">
        <f>MIN(_xll.ohPack($Z$19:INDEX($Z$19:$Z$3552,MATCH(E9+1,$Y$19:$Y$3552,1),1)))</f>
        <v>2.4719999995559405E-3</v>
      </c>
      <c r="K9" s="251">
        <f>MAX(_xll.ohPack($Z$19:INDEX($Z$19:$Z$3552,MATCH(E9+1,$Y$19:$Y$3552,1),1)))</f>
        <v>2.5781922945119641E-2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42004</v>
      </c>
      <c r="D10" s="237">
        <v>12</v>
      </c>
      <c r="E10" s="236">
        <f t="shared" si="0"/>
        <v>42399</v>
      </c>
      <c r="F10" s="252">
        <f t="shared" si="1"/>
        <v>1</v>
      </c>
      <c r="G10" s="253">
        <f t="shared" si="2"/>
        <v>2E-3</v>
      </c>
      <c r="H10" s="254">
        <f t="shared" si="3"/>
        <v>8.0000000000000002E-3</v>
      </c>
      <c r="I10" s="255">
        <f t="shared" si="4"/>
        <v>1E-3</v>
      </c>
      <c r="J10" s="254">
        <f>MIN(_xll.ohPack($AA$19:INDEX($AA$19:$AA$3552,MATCH(E10+1,$Y$19:$Y$3552,1),1)))</f>
        <v>2.3545186232709625E-3</v>
      </c>
      <c r="K10" s="255">
        <f>MAX(_xll.ohPack($AA$19:INDEX($AA$19:$AA$3552,MATCH(E10+1,$Y$19:$Y$3552,1),1)))</f>
        <v>7.0858424443187573E-3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42004</v>
      </c>
      <c r="D11" s="188">
        <v>24</v>
      </c>
      <c r="E11" s="226">
        <f t="shared" si="0"/>
        <v>42765</v>
      </c>
      <c r="F11" s="248">
        <f t="shared" si="1"/>
        <v>3</v>
      </c>
      <c r="G11" s="249">
        <f t="shared" si="2"/>
        <v>2E-3</v>
      </c>
      <c r="H11" s="250">
        <f t="shared" si="3"/>
        <v>1.4999999999999999E-2</v>
      </c>
      <c r="I11" s="251">
        <f t="shared" si="4"/>
        <v>2.5000000000000001E-3</v>
      </c>
      <c r="J11" s="250">
        <f>MIN(_xll.ohPack($AA$19:INDEX($AA$19:$AA$3552,MATCH(E11+1,$Y$19:$Y$3552,1),1)))</f>
        <v>2.3545186232709625E-3</v>
      </c>
      <c r="K11" s="251">
        <f>MAX(_xll.ohPack($AA$19:INDEX($AA$19:$AA$3552,MATCH(E11+1,$Y$19:$Y$3552,1),1)))</f>
        <v>1.4567084316876588E-2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42004</v>
      </c>
      <c r="D12" s="188">
        <v>60</v>
      </c>
      <c r="E12" s="226">
        <f t="shared" si="0"/>
        <v>43860</v>
      </c>
      <c r="F12" s="248">
        <f t="shared" si="1"/>
        <v>6</v>
      </c>
      <c r="G12" s="249">
        <f t="shared" si="2"/>
        <v>2E-3</v>
      </c>
      <c r="H12" s="250">
        <f t="shared" si="3"/>
        <v>2.5000000000000001E-2</v>
      </c>
      <c r="I12" s="251">
        <f t="shared" si="4"/>
        <v>5.0000000000000001E-3</v>
      </c>
      <c r="J12" s="250">
        <f>MIN(_xll.ohPack($AA$19:INDEX($AA$19:$AA$3552,MATCH(E12+1,$Y$19:$Y$3552,1),1)))</f>
        <v>2.3545186232709625E-3</v>
      </c>
      <c r="K12" s="251">
        <f>MAX(_xll.ohPack($AA$19:INDEX($AA$19:$AA$3552,MATCH(E12+1,$Y$19:$Y$3552,1),1)))</f>
        <v>2.2233010935091002E-2</v>
      </c>
      <c r="L12" s="178"/>
      <c r="M12" s="178"/>
    </row>
    <row r="13" spans="1:28" ht="12" hidden="1" outlineLevel="1" thickBot="1" x14ac:dyDescent="0.25">
      <c r="A13" s="224" t="s">
        <v>144</v>
      </c>
      <c r="B13" s="225" t="str">
        <f>_xll.qlPeriodEquivalent(D13&amp;"M")</f>
        <v>10Y</v>
      </c>
      <c r="C13" s="226">
        <f t="shared" si="5"/>
        <v>42004</v>
      </c>
      <c r="D13" s="188">
        <v>120</v>
      </c>
      <c r="E13" s="226">
        <f t="shared" si="0"/>
        <v>45687</v>
      </c>
      <c r="F13" s="248">
        <f t="shared" si="1"/>
        <v>6</v>
      </c>
      <c r="G13" s="249">
        <f t="shared" si="2"/>
        <v>2E-3</v>
      </c>
      <c r="H13" s="250">
        <f t="shared" si="3"/>
        <v>0.03</v>
      </c>
      <c r="I13" s="251">
        <f t="shared" si="4"/>
        <v>5.0000000000000001E-3</v>
      </c>
      <c r="J13" s="250">
        <f>MIN(_xll.ohPack($AA$19:INDEX($AA$19:$AA$3552,MATCH(E13+1,$Y$19:$Y$3552,1),1)))</f>
        <v>2.3545186232709625E-3</v>
      </c>
      <c r="K13" s="251">
        <f>MAX(_xll.ohPack($AA$19:INDEX($AA$19:$AA$3552,MATCH(E13+1,$Y$19:$Y$3552,1),1)))</f>
        <v>2.5100610778432397E-2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42004</v>
      </c>
      <c r="D14" s="188">
        <v>240</v>
      </c>
      <c r="E14" s="226">
        <f t="shared" si="0"/>
        <v>49339</v>
      </c>
      <c r="F14" s="248">
        <f t="shared" si="1"/>
        <v>12</v>
      </c>
      <c r="G14" s="249">
        <f t="shared" si="2"/>
        <v>2E-3</v>
      </c>
      <c r="H14" s="250">
        <f t="shared" si="3"/>
        <v>0.03</v>
      </c>
      <c r="I14" s="251">
        <f t="shared" si="4"/>
        <v>5.0000000000000001E-3</v>
      </c>
      <c r="J14" s="250">
        <f>MIN(_xll.ohPack($AA$19:INDEX($AA$19:$AA$3552,MATCH(E14+1,$Y$19:$Y$3552,1),1)))</f>
        <v>2.3545186232709625E-3</v>
      </c>
      <c r="K14" s="251">
        <f>MAX(_xll.ohPack($AA$19:INDEX($AA$19:$AA$3552,MATCH(E14+1,$Y$19:$Y$3552,1),1)))</f>
        <v>2.5699216990391349E-2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42004</v>
      </c>
      <c r="D15" s="188">
        <v>360</v>
      </c>
      <c r="E15" s="226">
        <f t="shared" si="0"/>
        <v>52992</v>
      </c>
      <c r="F15" s="248">
        <f t="shared" si="1"/>
        <v>36</v>
      </c>
      <c r="G15" s="249">
        <f t="shared" si="2"/>
        <v>2E-3</v>
      </c>
      <c r="H15" s="250">
        <f t="shared" si="3"/>
        <v>0.03</v>
      </c>
      <c r="I15" s="251">
        <f t="shared" si="4"/>
        <v>5.0000000000000001E-3</v>
      </c>
      <c r="J15" s="250">
        <f>MIN(_xll.ohPack($AA$19:INDEX($AA$19:$AA$3552,MATCH(E15+1,$Y$19:$Y$3552,1),1)))</f>
        <v>2.3545186232709625E-3</v>
      </c>
      <c r="K15" s="251">
        <f>MAX(_xll.ohPack($AA$19:INDEX($AA$19:$AA$3552,MATCH(E15+1,$Y$19:$Y$3552,1),1)))</f>
        <v>2.5699216990391349E-2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42004</v>
      </c>
      <c r="D16" s="188">
        <v>720</v>
      </c>
      <c r="E16" s="226">
        <f t="shared" si="0"/>
        <v>63949</v>
      </c>
      <c r="F16" s="248">
        <f t="shared" si="1"/>
        <v>60</v>
      </c>
      <c r="G16" s="249">
        <f t="shared" si="2"/>
        <v>2E-3</v>
      </c>
      <c r="H16" s="250">
        <f t="shared" si="3"/>
        <v>0.03</v>
      </c>
      <c r="I16" s="251">
        <f t="shared" si="4"/>
        <v>5.0000000000000001E-3</v>
      </c>
      <c r="J16" s="250">
        <f>MIN(_xll.ohPack($AA$19:INDEX($AA$19:$AA$3552,MATCH(E16+1,$Y$19:$Y$3552,1),1)))</f>
        <v>2.3545186232709625E-3</v>
      </c>
      <c r="K16" s="251">
        <f>MAX(_xll.ohPack($AA$19:INDEX($AA$19:$AA$3552,MATCH(E16+1,$Y$19:$Y$3552,1),1)))</f>
        <v>2.5699216990391349E-2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str">
        <f>_xll.qlLibor(,Currency,IndexTenor,YieldCurve,,YieldCurve)</f>
        <v>obj_00577#0004</v>
      </c>
      <c r="AA17" s="194" t="str">
        <f>_xll.qlOvernightIndex(,FamilyName,NDays,Currency,Calendar,MoneyMarketDayCounter,YieldCurve,,YieldCurve)</f>
        <v>obj_00576#0004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0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obj_00517#0002</v>
      </c>
      <c r="N19" s="201" t="str">
        <f>_xll.qlRateHelperQuoteName(M19)</f>
        <v>USD1x4F_Quote</v>
      </c>
      <c r="O19" s="199">
        <f>_xll.qlRateHelperEarliestDate(M19)</f>
        <v>42062</v>
      </c>
      <c r="P19" s="214">
        <f>_xll.qlRateHelperQuoteValue(M19,"ohTrigger(Trigger,RecalcTrigger))")</f>
        <v>2.5700000000000002E-3</v>
      </c>
      <c r="Q19" s="211" t="e">
        <f>NA()</f>
        <v>#N/A</v>
      </c>
      <c r="R19" s="199">
        <f>_xll.qlInterestRateIndexFixingDate(IborIndex,O19)</f>
        <v>42060</v>
      </c>
      <c r="S19" s="214">
        <f>_xll.qlIndexFixing(IborIndex,R19,TRUE,RecalcTrigger)</f>
        <v>2.5760333191634914E-3</v>
      </c>
      <c r="T19" s="231">
        <f t="shared" ref="T19:T24" si="6">S19-P19</f>
        <v>6.0333191634911153E-6</v>
      </c>
      <c r="U19" s="215">
        <f t="array" ref="U19">MAX(ABS(T19:T24))</f>
        <v>1.7624795698450643E-5</v>
      </c>
      <c r="V19" s="193"/>
      <c r="W19" s="201" t="s">
        <v>158</v>
      </c>
      <c r="X19" s="202">
        <f>_xll.qlSettingsEvaluationDate(Trigger)</f>
        <v>42032</v>
      </c>
      <c r="Y19" s="202">
        <f>_xll.qlInterestRateIndexValueDate(IborIndex,X19,Trigger)</f>
        <v>42034</v>
      </c>
      <c r="Z19" s="203">
        <f t="array" ref="Z19:Z3552">IFERROR(_xll.qlIndexFixing(IborIndex,X19:X3552,TRUE,RecalcTrigger),NA())</f>
        <v>2.4719999995559405E-3</v>
      </c>
      <c r="AA19" s="200">
        <f t="array" ref="AA19:AA3552">IFERROR(_xll.qlIndexFixing(OverNightIndex,Y19:Y3552,TRUE,RecalcTrigger),NA())</f>
        <v>2.3545186232709625E-3</v>
      </c>
    </row>
    <row r="20" spans="1:27" ht="12" thickBot="1" x14ac:dyDescent="0.25">
      <c r="J20" s="181"/>
      <c r="M20" s="201" t="str">
        <v>obj_00520#0002</v>
      </c>
      <c r="N20" s="201" t="str">
        <f>_xll.qlRateHelperQuoteName(M20)</f>
        <v>USD2x5F_Quote</v>
      </c>
      <c r="O20" s="199">
        <f>_xll.qlRateHelperEarliestDate(M20)</f>
        <v>42094</v>
      </c>
      <c r="P20" s="214">
        <f>_xll.qlRateHelperQuoteValue(M20,"ohTrigger(Trigger,RecalcTrigger))")</f>
        <v>2.7400000000000002E-3</v>
      </c>
      <c r="Q20" s="211" t="e">
        <f>NA()</f>
        <v>#N/A</v>
      </c>
      <c r="R20" s="199">
        <f>_xll.qlInterestRateIndexFixingDate(IborIndex,O20)</f>
        <v>42090</v>
      </c>
      <c r="S20" s="214">
        <f>_xll.qlIndexFixing(IborIndex,R20,TRUE,RecalcTrigger)</f>
        <v>2.7523966392503621E-3</v>
      </c>
      <c r="T20" s="231">
        <f t="shared" si="6"/>
        <v>1.2396639250361868E-5</v>
      </c>
      <c r="W20" s="201" t="str">
        <f>W19</f>
        <v>1D</v>
      </c>
      <c r="X20" s="199">
        <f>_xll.qlCalendarAdvance(LiborCalendar,X19,W20,"f",FALSE)</f>
        <v>42033</v>
      </c>
      <c r="Y20" s="202">
        <f>_xll.qlInterestRateIndexValueDate(IborIndex,X20,Trigger)</f>
        <v>42037</v>
      </c>
      <c r="Z20" s="203">
        <v>2.4854390712823206E-3</v>
      </c>
      <c r="AA20" s="200">
        <v>2.358430524154187E-3</v>
      </c>
    </row>
    <row r="21" spans="1:27" ht="12" thickBot="1" x14ac:dyDescent="0.25">
      <c r="M21" s="201" t="str">
        <v>obj_0051b#0002</v>
      </c>
      <c r="N21" s="201" t="str">
        <f>_xll.qlRateHelperQuoteName(M21)</f>
        <v>USD3x6F_Quote</v>
      </c>
      <c r="O21" s="199">
        <f>_xll.qlRateHelperEarliestDate(M21)</f>
        <v>42124</v>
      </c>
      <c r="P21" s="214">
        <f>_xll.qlRateHelperQuoteValue(M21,"ohTrigger(Trigger,RecalcTrigger))")</f>
        <v>3.0100000000000005E-3</v>
      </c>
      <c r="Q21" s="211" t="e">
        <f>NA()</f>
        <v>#N/A</v>
      </c>
      <c r="R21" s="199">
        <f>_xll.qlInterestRateIndexFixingDate(IborIndex,O21)</f>
        <v>42122</v>
      </c>
      <c r="S21" s="214">
        <f>_xll.qlIndexFixing(IborIndex,R21,TRUE,RecalcTrigger)</f>
        <v>3.0276247956984512E-3</v>
      </c>
      <c r="T21" s="231">
        <f t="shared" si="6"/>
        <v>1.7624795698450643E-5</v>
      </c>
      <c r="W21" s="201" t="str">
        <f t="shared" ref="W21:W84" si="7">W20</f>
        <v>1D</v>
      </c>
      <c r="X21" s="199">
        <f>_xll.qlCalendarAdvance(LiborCalendar,X20,W21,"f",FALSE)</f>
        <v>42034</v>
      </c>
      <c r="Y21" s="202">
        <f>_xll.qlInterestRateIndexValueDate(IborIndex,X21,Trigger)</f>
        <v>42038</v>
      </c>
      <c r="Z21" s="203">
        <v>2.4868959043612038E-3</v>
      </c>
      <c r="AA21" s="200">
        <v>2.3631248052780052E-3</v>
      </c>
    </row>
    <row r="22" spans="1:27" ht="23.25" thickBot="1" x14ac:dyDescent="0.25">
      <c r="J22" s="266" t="s">
        <v>171</v>
      </c>
      <c r="M22" s="201" t="str">
        <v>obj_00515#0002</v>
      </c>
      <c r="N22" s="201" t="str">
        <f>_xll.qlRateHelperQuoteName(M22)</f>
        <v>USD4x7F_Quote</v>
      </c>
      <c r="O22" s="199">
        <f>_xll.qlRateHelperEarliestDate(M22)</f>
        <v>42153</v>
      </c>
      <c r="P22" s="214">
        <f>_xll.qlRateHelperQuoteValue(M22,"ohTrigger(Trigger,RecalcTrigger))")</f>
        <v>3.3499999999999997E-3</v>
      </c>
      <c r="Q22" s="211" t="e">
        <f>NA()</f>
        <v>#N/A</v>
      </c>
      <c r="R22" s="199">
        <f>_xll.qlInterestRateIndexFixingDate(IborIndex,O22)</f>
        <v>42151</v>
      </c>
      <c r="S22" s="214">
        <f>_xll.qlIndexFixing(IborIndex,R22,TRUE,RecalcTrigger)</f>
        <v>3.3502792896417293E-3</v>
      </c>
      <c r="T22" s="231">
        <f t="shared" si="6"/>
        <v>2.7928964172960202E-7</v>
      </c>
      <c r="W22" s="201" t="str">
        <f t="shared" si="7"/>
        <v>1D</v>
      </c>
      <c r="X22" s="199">
        <f>_xll.qlCalendarAdvance(LiborCalendar,X21,W22,"f",FALSE)</f>
        <v>42037</v>
      </c>
      <c r="Y22" s="202">
        <f>_xll.qlInterestRateIndexValueDate(IborIndex,X22,Trigger)</f>
        <v>42039</v>
      </c>
      <c r="Z22" s="203">
        <v>2.4883504884085639E-3</v>
      </c>
      <c r="AA22" s="200">
        <v>2.3737488976571797E-3</v>
      </c>
    </row>
    <row r="23" spans="1:27" ht="12" thickBot="1" x14ac:dyDescent="0.25">
      <c r="J23" s="265" t="str">
        <f>ROUNDDOWN((_xll.qlTermStructureMaxDate(YieldCurve,Trigger)-_xll.qlTermStructureReferenceDate(YieldCurve,Trigger))/365,)&amp;"Y"</f>
        <v>50Y</v>
      </c>
      <c r="M23" s="201" t="str">
        <v>obj_00518#0002</v>
      </c>
      <c r="N23" s="201" t="str">
        <f>_xll.qlRateHelperQuoteName(M23)</f>
        <v>USD5x8F_Quote</v>
      </c>
      <c r="O23" s="199">
        <f>_xll.qlRateHelperEarliestDate(M23)</f>
        <v>42185</v>
      </c>
      <c r="P23" s="214">
        <f>_xll.qlRateHelperQuoteValue(M23,"ohTrigger(Trigger,RecalcTrigger))")</f>
        <v>3.79E-3</v>
      </c>
      <c r="Q23" s="211" t="e">
        <f>NA()</f>
        <v>#N/A</v>
      </c>
      <c r="R23" s="199">
        <f>_xll.qlInterestRateIndexFixingDate(IborIndex,O23)</f>
        <v>42181</v>
      </c>
      <c r="S23" s="214">
        <f>_xll.qlIndexFixing(IborIndex,R23,TRUE,RecalcTrigger)</f>
        <v>3.7954968992309048E-3</v>
      </c>
      <c r="T23" s="231">
        <f t="shared" si="6"/>
        <v>5.4968992309048156E-6</v>
      </c>
      <c r="W23" s="201" t="str">
        <f t="shared" si="7"/>
        <v>1D</v>
      </c>
      <c r="X23" s="199">
        <f>_xll.qlCalendarAdvance(LiborCalendar,X22,W23,"f",FALSE)</f>
        <v>42038</v>
      </c>
      <c r="Y23" s="202">
        <f>_xll.qlInterestRateIndexValueDate(IborIndex,X23,Trigger)</f>
        <v>42040</v>
      </c>
      <c r="Z23" s="203">
        <v>2.489793952160097E-3</v>
      </c>
      <c r="AA23" s="200">
        <v>2.3840192807877969E-3</v>
      </c>
    </row>
    <row r="24" spans="1:27" ht="12" thickBot="1" x14ac:dyDescent="0.25">
      <c r="M24" s="201" t="str">
        <v>obj_0051e#0002</v>
      </c>
      <c r="N24" s="201" t="str">
        <f>_xll.qlRateHelperQuoteName(M24)</f>
        <v>USD6x9F_Quote</v>
      </c>
      <c r="O24" s="199">
        <f>_xll.qlRateHelperEarliestDate(M24)</f>
        <v>42216</v>
      </c>
      <c r="P24" s="214">
        <f>_xll.qlRateHelperQuoteValue(M24,"ohTrigger(Trigger,RecalcTrigger))")</f>
        <v>4.2599999999999999E-3</v>
      </c>
      <c r="Q24" s="211" t="e">
        <f>NA()</f>
        <v>#N/A</v>
      </c>
      <c r="R24" s="199">
        <f>_xll.qlInterestRateIndexFixingDate(IborIndex,O24)</f>
        <v>42214</v>
      </c>
      <c r="S24" s="214">
        <f>_xll.qlIndexFixing(IborIndex,R24,TRUE,RecalcTrigger)</f>
        <v>4.2640030502068046E-3</v>
      </c>
      <c r="T24" s="231">
        <f t="shared" si="6"/>
        <v>4.0030502068046786E-6</v>
      </c>
      <c r="W24" s="201" t="str">
        <f t="shared" si="7"/>
        <v>1D</v>
      </c>
      <c r="X24" s="199">
        <f>_xll.qlCalendarAdvance(LiborCalendar,X23,W24,"f",FALSE)</f>
        <v>42039</v>
      </c>
      <c r="Y24" s="202">
        <f>_xll.qlInterestRateIndexValueDate(IborIndex,X24,Trigger)</f>
        <v>42041</v>
      </c>
      <c r="Z24" s="203">
        <v>2.4932237124471101E-3</v>
      </c>
      <c r="AA24" s="200">
        <v>2.3889239810337415E-3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42040</v>
      </c>
      <c r="Y25" s="202">
        <f>_xll.qlInterestRateIndexValueDate(IborIndex,X25,Trigger)</f>
        <v>42044</v>
      </c>
      <c r="Z25" s="203">
        <v>2.5080370303820002E-3</v>
      </c>
      <c r="AA25" s="200">
        <v>2.3936856910200532E-3</v>
      </c>
    </row>
    <row r="26" spans="1:27" x14ac:dyDescent="0.2">
      <c r="M26" s="192"/>
      <c r="N26" s="191" t="s">
        <v>159</v>
      </c>
      <c r="O26" s="192" t="s">
        <v>149</v>
      </c>
      <c r="P26" s="230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_xll.qlCalendarAdvance(LiborCalendar,X25,W26,"f",FALSE)</f>
        <v>42041</v>
      </c>
      <c r="Y26" s="202">
        <f>_xll.qlInterestRateIndexValueDate(IborIndex,X26,Trigger)</f>
        <v>42045</v>
      </c>
      <c r="Z26" s="203">
        <v>2.5093983874491244E-3</v>
      </c>
      <c r="AA26" s="200">
        <v>2.3983044106667961E-3</v>
      </c>
    </row>
    <row r="27" spans="1:27" x14ac:dyDescent="0.2">
      <c r="M27" s="227" t="str">
        <f t="array" ref="M27:M60">_xll.ohFilter(RateHelpers!B12:B53,RateHelpers!M12:M53)</f>
        <v>obj_0056f#0002</v>
      </c>
      <c r="N27" s="201" t="str">
        <f>_xll.qlRateHelperQuoteName(M27)</f>
        <v>USDFUT3MH5_Quote</v>
      </c>
      <c r="O27" s="199">
        <f>_xll.qlRateHelperEarliestDate(M27)</f>
        <v>42081</v>
      </c>
      <c r="P27" s="214">
        <f>1-_xll.qlRateHelperQuoteValue(M27,_xll.ohTrigger(RecalcTrigger,Trigger))/100</f>
        <v>2.6749999999999829E-3</v>
      </c>
      <c r="Q27" s="203" t="e">
        <f>NA()</f>
        <v>#N/A</v>
      </c>
      <c r="R27" s="199">
        <f>_xll.qlInterestRateIndexFixingDate(IborIndex,O27)</f>
        <v>42079</v>
      </c>
      <c r="S27" s="214">
        <f>_xll.qlIndexFixing(IborIndex,R27,TRUE,RecalcTrigger)</f>
        <v>2.6713186756508757E-3</v>
      </c>
      <c r="T27" s="231">
        <f>S27+_xll.qlFuturesRateHelperConvexityAdjustment(M27)-P27</f>
        <v>-2.1439100494902164E-13</v>
      </c>
      <c r="U27" s="215">
        <f t="array" ref="U27">MAX(ABS(T27:T34))</f>
        <v>2.3388357223153022E-12</v>
      </c>
      <c r="W27" s="201" t="str">
        <f t="shared" si="7"/>
        <v>1D</v>
      </c>
      <c r="X27" s="199">
        <f>_xll.qlCalendarAdvance(LiborCalendar,X26,W27,"f",FALSE)</f>
        <v>42044</v>
      </c>
      <c r="Y27" s="202">
        <f>_xll.qlInterestRateIndexValueDate(IborIndex,X27,Trigger)</f>
        <v>42046</v>
      </c>
      <c r="Z27" s="203">
        <v>2.5107353714760344E-3</v>
      </c>
      <c r="AA27" s="200">
        <v>2.4070813099275057E-3</v>
      </c>
    </row>
    <row r="28" spans="1:27" x14ac:dyDescent="0.2">
      <c r="M28" s="227" t="str">
        <v>obj_00553#0002</v>
      </c>
      <c r="N28" s="201" t="str">
        <f>_xll.qlRateHelperQuoteName(M28)</f>
        <v>USDFUT3MM5_Quote</v>
      </c>
      <c r="O28" s="199">
        <f>_xll.qlRateHelperEarliestDate(M28)</f>
        <v>42172</v>
      </c>
      <c r="P28" s="214">
        <f>1-_xll.qlRateHelperQuoteValue(M28,_xll.ohTrigger(RecalcTrigger,Trigger))/100</f>
        <v>3.6249999999999893E-3</v>
      </c>
      <c r="Q28" s="203" t="e">
        <f>NA()</f>
        <v>#N/A</v>
      </c>
      <c r="R28" s="199">
        <f>_xll.qlInterestRateIndexFixingDate(IborIndex,O28)</f>
        <v>42170</v>
      </c>
      <c r="S28" s="214">
        <f>_xll.qlIndexFixing(IborIndex,R28,TRUE,RecalcTrigger)</f>
        <v>3.6104684377941364E-3</v>
      </c>
      <c r="T28" s="231">
        <f>S28+_xll.qlFuturesRateHelperConvexityAdjustment(M28)-P28</f>
        <v>1.7799282013564177E-12</v>
      </c>
      <c r="W28" s="201" t="str">
        <f t="shared" si="7"/>
        <v>1D</v>
      </c>
      <c r="X28" s="199">
        <f>_xll.qlCalendarAdvance(LiborCalendar,X27,W28,"f",FALSE)</f>
        <v>42045</v>
      </c>
      <c r="Y28" s="202">
        <f>_xll.qlInterestRateIndexValueDate(IborIndex,X28,Trigger)</f>
        <v>42047</v>
      </c>
      <c r="Z28" s="203">
        <v>2.5143049349846311E-3</v>
      </c>
      <c r="AA28" s="200">
        <v>2.4153493860179509E-3</v>
      </c>
    </row>
    <row r="29" spans="1:27" x14ac:dyDescent="0.2">
      <c r="M29" s="227" t="str">
        <v>obj_0055e#0002</v>
      </c>
      <c r="N29" s="201" t="str">
        <f>_xll.qlRateHelperQuoteName(M29)</f>
        <v>USDFUT3MU5_Quote</v>
      </c>
      <c r="O29" s="199">
        <f>_xll.qlRateHelperEarliestDate(M29)</f>
        <v>42263</v>
      </c>
      <c r="P29" s="214">
        <f>1-_xll.qlRateHelperQuoteValue(M29,_xll.ohTrigger(RecalcTrigger,Trigger))/100</f>
        <v>5.1250000000000462E-3</v>
      </c>
      <c r="Q29" s="203" t="e">
        <f>NA()</f>
        <v>#N/A</v>
      </c>
      <c r="R29" s="199">
        <f>_xll.qlInterestRateIndexFixingDate(IborIndex,O29)</f>
        <v>42261</v>
      </c>
      <c r="S29" s="214">
        <f>_xll.qlIndexFixing(IborIndex,R29,TRUE,RecalcTrigger)</f>
        <v>5.0946389712015596E-3</v>
      </c>
      <c r="T29" s="231">
        <f>S29+_xll.qlFuturesRateHelperConvexityAdjustment(M29)-P29</f>
        <v>-7.1554741298829327E-14</v>
      </c>
      <c r="W29" s="201" t="str">
        <f t="shared" si="7"/>
        <v>1D</v>
      </c>
      <c r="X29" s="199">
        <f>_xll.qlCalendarAdvance(LiborCalendar,X28,W29,"f",FALSE)</f>
        <v>42046</v>
      </c>
      <c r="Y29" s="202">
        <f>_xll.qlInterestRateIndexValueDate(IborIndex,X29,Trigger)</f>
        <v>42048</v>
      </c>
      <c r="Z29" s="203">
        <v>2.5178957071038256E-3</v>
      </c>
      <c r="AA29" s="200">
        <v>2.4192531541267215E-3</v>
      </c>
    </row>
    <row r="30" spans="1:27" x14ac:dyDescent="0.2">
      <c r="M30" s="227" t="str">
        <v>obj_00574#0002</v>
      </c>
      <c r="N30" s="201" t="str">
        <f>_xll.qlRateHelperQuoteName(M30)</f>
        <v>USDFUT3MZ5_Quote</v>
      </c>
      <c r="O30" s="199">
        <f>_xll.qlRateHelperEarliestDate(M30)</f>
        <v>42354</v>
      </c>
      <c r="P30" s="214">
        <f>1-_xll.qlRateHelperQuoteValue(M30,_xll.ohTrigger(RecalcTrigger,Trigger))/100</f>
        <v>7.0749999999999424E-3</v>
      </c>
      <c r="Q30" s="203" t="e">
        <f>NA()</f>
        <v>#N/A</v>
      </c>
      <c r="R30" s="199">
        <f>_xll.qlInterestRateIndexFixingDate(IborIndex,O30)</f>
        <v>42352</v>
      </c>
      <c r="S30" s="214">
        <f>_xll.qlIndexFixing(IborIndex,R30,TRUE,RecalcTrigger)</f>
        <v>7.0237012146183555E-3</v>
      </c>
      <c r="T30" s="231">
        <f>S30+_xll.qlFuturesRateHelperConvexityAdjustment(M30)-P30</f>
        <v>1.1015494072452725E-16</v>
      </c>
      <c r="W30" s="201" t="str">
        <f t="shared" si="7"/>
        <v>1D</v>
      </c>
      <c r="X30" s="199">
        <f>_xll.qlCalendarAdvance(LiborCalendar,X29,W30,"f",FALSE)</f>
        <v>42047</v>
      </c>
      <c r="Y30" s="202">
        <f>_xll.qlInterestRateIndexValueDate(IborIndex,X30,Trigger)</f>
        <v>42052</v>
      </c>
      <c r="Z30" s="203">
        <v>2.5348676710832407E-3</v>
      </c>
      <c r="AA30" s="200">
        <v>2.4266317190857478E-3</v>
      </c>
    </row>
    <row r="31" spans="1:27" x14ac:dyDescent="0.2">
      <c r="M31" s="227" t="str">
        <v>obj_00550#0002</v>
      </c>
      <c r="N31" s="201" t="str">
        <f>_xll.qlRateHelperQuoteName(M31)</f>
        <v>USDFUT3MH6_Quote</v>
      </c>
      <c r="O31" s="199">
        <f>_xll.qlRateHelperEarliestDate(M31)</f>
        <v>42445</v>
      </c>
      <c r="P31" s="214">
        <f>1-_xll.qlRateHelperQuoteValue(M31,_xll.ohTrigger(RecalcTrigger,Trigger))/100</f>
        <v>9.1249999999999387E-3</v>
      </c>
      <c r="Q31" s="203" t="e">
        <f>NA()</f>
        <v>#N/A</v>
      </c>
      <c r="R31" s="199">
        <f>_xll.qlInterestRateIndexFixingDate(IborIndex,O31)</f>
        <v>42443</v>
      </c>
      <c r="S31" s="214">
        <f>_xll.qlIndexFixing(IborIndex,R31,TRUE,RecalcTrigger)</f>
        <v>9.0475948721546271E-3</v>
      </c>
      <c r="T31" s="231">
        <f>S31+_xll.qlFuturesRateHelperConvexityAdjustment(M31)-P31</f>
        <v>3.1918911957973251E-16</v>
      </c>
      <c r="W31" s="201" t="str">
        <f t="shared" si="7"/>
        <v>1D</v>
      </c>
      <c r="X31" s="199">
        <f>_xll.qlCalendarAdvance(LiborCalendar,X30,W31,"f",FALSE)</f>
        <v>42048</v>
      </c>
      <c r="Y31" s="202">
        <f>_xll.qlInterestRateIndexValueDate(IborIndex,X31,Trigger)</f>
        <v>42052</v>
      </c>
      <c r="Z31" s="203">
        <v>2.5348676710832407E-3</v>
      </c>
      <c r="AA31" s="200">
        <v>2.4266317190857478E-3</v>
      </c>
    </row>
    <row r="32" spans="1:27" x14ac:dyDescent="0.2">
      <c r="M32" s="227" t="str">
        <v>obj_00572#0002</v>
      </c>
      <c r="N32" s="201" t="str">
        <f>_xll.qlRateHelperQuoteName(M32)</f>
        <v>USDFUT3MM6_Quote</v>
      </c>
      <c r="O32" s="199">
        <f>_xll.qlRateHelperEarliestDate(M32)</f>
        <v>42536</v>
      </c>
      <c r="P32" s="214">
        <f>1-_xll.qlRateHelperQuoteValue(M32,_xll.ohTrigger(RecalcTrigger,Trigger))/100</f>
        <v>1.1175000000000046E-2</v>
      </c>
      <c r="Q32" s="203" t="e">
        <f>NA()</f>
        <v>#N/A</v>
      </c>
      <c r="R32" s="199">
        <f>_xll.qlInterestRateIndexFixingDate(IborIndex,O32)</f>
        <v>42534</v>
      </c>
      <c r="S32" s="214">
        <f>_xll.qlIndexFixing(IborIndex,R32,TRUE,RecalcTrigger)</f>
        <v>1.1066884305126479E-2</v>
      </c>
      <c r="T32" s="231">
        <f>S32+_xll.qlFuturesRateHelperConvexityAdjustment(M32)-P32</f>
        <v>1.2650089309396151E-12</v>
      </c>
      <c r="W32" s="201" t="str">
        <f t="shared" si="7"/>
        <v>1D</v>
      </c>
      <c r="X32" s="199">
        <f>_xll.qlCalendarAdvance(LiborCalendar,X31,W32,"f",FALSE)</f>
        <v>42051</v>
      </c>
      <c r="Y32" s="202">
        <f>_xll.qlInterestRateIndexValueDate(IborIndex,X32,Trigger)</f>
        <v>42053</v>
      </c>
      <c r="Z32" s="203">
        <v>2.536149667299801E-3</v>
      </c>
      <c r="AA32" s="200">
        <v>2.4334071076825836E-3</v>
      </c>
    </row>
    <row r="33" spans="10:27" x14ac:dyDescent="0.2">
      <c r="M33" s="227" t="str">
        <v>obj_0055f#0002</v>
      </c>
      <c r="N33" s="201" t="str">
        <f>_xll.qlRateHelperQuoteName(M33)</f>
        <v>USDFUT3MU6_Quote</v>
      </c>
      <c r="O33" s="199">
        <f>_xll.qlRateHelperEarliestDate(M33)</f>
        <v>42634</v>
      </c>
      <c r="P33" s="214">
        <f>1-_xll.qlRateHelperQuoteValue(M33,_xll.ohTrigger(RecalcTrigger,Trigger))/100</f>
        <v>1.3075000000000059E-2</v>
      </c>
      <c r="Q33" s="203" t="e">
        <f>NA()</f>
        <v>#N/A</v>
      </c>
      <c r="R33" s="199">
        <f>_xll.qlInterestRateIndexFixingDate(IborIndex,O33)</f>
        <v>42632</v>
      </c>
      <c r="S33" s="214">
        <f>_xll.qlIndexFixing(IborIndex,R33,TRUE,RecalcTrigger)</f>
        <v>1.2928936971949783E-2</v>
      </c>
      <c r="T33" s="231">
        <f>S33+_xll.qlFuturesRateHelperConvexityAdjustment(M33)-P33</f>
        <v>2.3388357223153022E-12</v>
      </c>
      <c r="W33" s="201" t="str">
        <f t="shared" si="7"/>
        <v>1D</v>
      </c>
      <c r="X33" s="199">
        <f>_xll.qlCalendarAdvance(LiborCalendar,X32,W33,"f",FALSE)</f>
        <v>42052</v>
      </c>
      <c r="Y33" s="202">
        <f>_xll.qlInterestRateIndexValueDate(IborIndex,X33,Trigger)</f>
        <v>42054</v>
      </c>
      <c r="Z33" s="203">
        <v>2.5398576113890995E-3</v>
      </c>
      <c r="AA33" s="200">
        <v>2.439672965088846E-3</v>
      </c>
    </row>
    <row r="34" spans="10:27" x14ac:dyDescent="0.2">
      <c r="M34" s="227" t="str">
        <v>obj_0056c#0002</v>
      </c>
      <c r="N34" s="201" t="str">
        <f>_xll.qlRateHelperQuoteName(M34)</f>
        <v>USDFUT3MZ6_Quote</v>
      </c>
      <c r="O34" s="199">
        <f>_xll.qlRateHelperEarliestDate(M34)</f>
        <v>42725</v>
      </c>
      <c r="P34" s="214">
        <f>1-_xll.qlRateHelperQuoteValue(M34,_xll.ohTrigger(RecalcTrigger,Trigger))/100</f>
        <v>1.4774999999999872E-2</v>
      </c>
      <c r="Q34" s="203" t="e">
        <f>NA()</f>
        <v>#N/A</v>
      </c>
      <c r="R34" s="199">
        <f>_xll.qlInterestRateIndexFixingDate(IborIndex,O34)</f>
        <v>42723</v>
      </c>
      <c r="S34" s="214">
        <f>_xll.qlIndexFixing(IborIndex,R34,TRUE,RecalcTrigger)</f>
        <v>1.4589071576721402E-2</v>
      </c>
      <c r="T34" s="231">
        <f>S34+_xll.qlFuturesRateHelperConvexityAdjustment(M34)-P34</f>
        <v>-9.4461591326755467E-13</v>
      </c>
      <c r="W34" s="201" t="str">
        <f t="shared" si="7"/>
        <v>1D</v>
      </c>
      <c r="X34" s="199">
        <f>_xll.qlCalendarAdvance(LiborCalendar,X33,W34,"f",FALSE)</f>
        <v>42053</v>
      </c>
      <c r="Y34" s="202">
        <f>_xll.qlInterestRateIndexValueDate(IborIndex,X34,Trigger)</f>
        <v>42055</v>
      </c>
      <c r="Z34" s="203">
        <v>2.5435875865124739E-3</v>
      </c>
      <c r="AA34" s="200">
        <v>2.4425758006607623E-3</v>
      </c>
    </row>
    <row r="35" spans="10:27" x14ac:dyDescent="0.2">
      <c r="M35" s="227" t="str">
        <v>obj_00551#0002</v>
      </c>
      <c r="N35" s="201" t="str">
        <f>_xll.qlRateHelperQuoteName(M35)</f>
        <v>USDFUT3MH7_Quote</v>
      </c>
      <c r="O35" s="199">
        <f>_xll.qlRateHelperEarliestDate(M35)</f>
        <v>42809</v>
      </c>
      <c r="P35" s="214">
        <f>1-_xll.qlRateHelperQuoteValue(M35,_xll.ohTrigger(RecalcTrigger,Trigger))/100</f>
        <v>1.6124999999999945E-2</v>
      </c>
      <c r="Q35" s="203" t="e">
        <f>NA()</f>
        <v>#N/A</v>
      </c>
      <c r="R35" s="199">
        <f>_xll.qlInterestRateIndexFixingDate(IborIndex,O35)</f>
        <v>42807</v>
      </c>
      <c r="S35" s="214">
        <f>_xll.qlIndexFixing(IborIndex,R35,TRUE,RecalcTrigger)</f>
        <v>1.5738075195000683E-2</v>
      </c>
      <c r="T35" s="231">
        <f>S35+_xll.qlFuturesRateHelperConvexityAdjustment(M35)-P35</f>
        <v>-1.5894261052266587E-4</v>
      </c>
      <c r="W35" s="201" t="str">
        <f t="shared" si="7"/>
        <v>1D</v>
      </c>
      <c r="X35" s="199">
        <f>_xll.qlCalendarAdvance(LiborCalendar,X34,W35,"f",FALSE)</f>
        <v>42054</v>
      </c>
      <c r="Y35" s="202">
        <f>_xll.qlInterestRateIndexValueDate(IborIndex,X35,Trigger)</f>
        <v>42058</v>
      </c>
      <c r="Z35" s="203">
        <v>2.562652883650584E-3</v>
      </c>
      <c r="AA35" s="200">
        <v>2.4453356458131736E-3</v>
      </c>
    </row>
    <row r="36" spans="10:27" x14ac:dyDescent="0.2">
      <c r="M36" s="227" t="str">
        <v>obj_0055c#0002</v>
      </c>
      <c r="N36" s="201" t="str">
        <f>_xll.qlRateHelperQuoteName(M36)</f>
        <v>USDFUT3MM7_Quote</v>
      </c>
      <c r="O36" s="199">
        <f>_xll.qlRateHelperEarliestDate(M36)</f>
        <v>42907</v>
      </c>
      <c r="P36" s="214">
        <f>1-_xll.qlRateHelperQuoteValue(M36,_xll.ohTrigger(RecalcTrigger,Trigger))/100</f>
        <v>1.7425000000000024E-2</v>
      </c>
      <c r="Q36" s="203" t="e">
        <f>NA()</f>
        <v>#N/A</v>
      </c>
      <c r="R36" s="199">
        <f>_xll.qlInterestRateIndexFixingDate(IborIndex,O36)</f>
        <v>42905</v>
      </c>
      <c r="S36" s="214">
        <f>_xll.qlIndexFixing(IborIndex,R36,TRUE,RecalcTrigger)</f>
        <v>1.6844919406203071E-2</v>
      </c>
      <c r="T36" s="231">
        <f>S36+_xll.qlFuturesRateHelperConvexityAdjustment(M36)-P36</f>
        <v>-2.9932459423903657E-4</v>
      </c>
      <c r="W36" s="201" t="str">
        <f t="shared" si="7"/>
        <v>1D</v>
      </c>
      <c r="X36" s="199">
        <f>_xll.qlCalendarAdvance(LiborCalendar,X35,W36,"f",FALSE)</f>
        <v>42055</v>
      </c>
      <c r="Y36" s="202">
        <f>_xll.qlInterestRateIndexValueDate(IborIndex,X36,Trigger)</f>
        <v>42059</v>
      </c>
      <c r="Z36" s="203">
        <v>2.5639869355225551E-3</v>
      </c>
      <c r="AA36" s="200">
        <v>2.4479525007059522E-3</v>
      </c>
    </row>
    <row r="37" spans="10:27" x14ac:dyDescent="0.2">
      <c r="M37" s="227" t="str">
        <v>obj_00556#0002</v>
      </c>
      <c r="N37" s="201" t="str">
        <f>_xll.qlRateHelperQuoteName(M37)</f>
        <v>USDFUT3MU7_Quote</v>
      </c>
      <c r="O37" s="199">
        <f>_xll.qlRateHelperEarliestDate(M37)</f>
        <v>42998</v>
      </c>
      <c r="P37" s="214">
        <f>1-_xll.qlRateHelperQuoteValue(M37,_xll.ohTrigger(RecalcTrigger,Trigger))/100</f>
        <v>1.8524999999999903E-2</v>
      </c>
      <c r="Q37" s="203" t="e">
        <f>NA()</f>
        <v>#N/A</v>
      </c>
      <c r="R37" s="199">
        <f>_xll.qlInterestRateIndexFixingDate(IborIndex,O37)</f>
        <v>42996</v>
      </c>
      <c r="S37" s="214">
        <f>_xll.qlIndexFixing(IborIndex,R37,TRUE,RecalcTrigger)</f>
        <v>1.7767889743694459E-2</v>
      </c>
      <c r="T37" s="231">
        <f>S37+_xll.qlFuturesRateHelperConvexityAdjustment(M37)-P37</f>
        <v>-4.2350010651183434E-4</v>
      </c>
      <c r="W37" s="201" t="str">
        <f t="shared" si="7"/>
        <v>1D</v>
      </c>
      <c r="X37" s="199">
        <f>_xll.qlCalendarAdvance(LiborCalendar,X36,W37,"f",FALSE)</f>
        <v>42058</v>
      </c>
      <c r="Y37" s="202">
        <f>_xll.qlInterestRateIndexValueDate(IborIndex,X37,Trigger)</f>
        <v>42060</v>
      </c>
      <c r="Z37" s="203">
        <v>2.5653185426186553E-3</v>
      </c>
      <c r="AA37" s="200">
        <v>2.4528285287939156E-3</v>
      </c>
    </row>
    <row r="38" spans="10:27" x14ac:dyDescent="0.2">
      <c r="M38" s="227" t="str">
        <v>obj_00562#0002</v>
      </c>
      <c r="N38" s="201" t="str">
        <f>_xll.qlRateHelperQuoteName(M38)</f>
        <v>USDFUT3MZ7_Quote</v>
      </c>
      <c r="O38" s="199">
        <f>_xll.qlRateHelperEarliestDate(M38)</f>
        <v>43089</v>
      </c>
      <c r="P38" s="214">
        <f>1-_xll.qlRateHelperQuoteValue(M38,_xll.ohTrigger(RecalcTrigger,Trigger))/100</f>
        <v>1.9525000000000015E-2</v>
      </c>
      <c r="Q38" s="203" t="e">
        <f>NA()</f>
        <v>#N/A</v>
      </c>
      <c r="R38" s="199">
        <f>_xll.qlInterestRateIndexFixingDate(IborIndex,O38)</f>
        <v>43087</v>
      </c>
      <c r="S38" s="214">
        <f>_xll.qlIndexFixing(IborIndex,R38,TRUE,RecalcTrigger)</f>
        <v>1.8595930366091196E-2</v>
      </c>
      <c r="T38" s="231">
        <f>S38+_xll.qlFuturesRateHelperConvexityAdjustment(M38)-P38</f>
        <v>-5.3854674221354495E-4</v>
      </c>
      <c r="W38" s="201" t="str">
        <f t="shared" si="7"/>
        <v>1D</v>
      </c>
      <c r="X38" s="199">
        <f>_xll.qlCalendarAdvance(LiborCalendar,X37,W38,"f",FALSE)</f>
        <v>42059</v>
      </c>
      <c r="Y38" s="202">
        <f>_xll.qlInterestRateIndexValueDate(IborIndex,X38,Trigger)</f>
        <v>42061</v>
      </c>
      <c r="Z38" s="203">
        <v>2.5666492308352106E-3</v>
      </c>
      <c r="AA38" s="200">
        <v>2.4574103406571624E-3</v>
      </c>
    </row>
    <row r="39" spans="10:27" x14ac:dyDescent="0.2">
      <c r="M39" s="227" t="str">
        <v>obj_00570#0002</v>
      </c>
      <c r="N39" s="201" t="str">
        <f>_xll.qlRateHelperQuoteName(M39)</f>
        <v>USDFUT3MH8_Quote</v>
      </c>
      <c r="O39" s="199">
        <f>_xll.qlRateHelperEarliestDate(M39)</f>
        <v>43180</v>
      </c>
      <c r="P39" s="214">
        <f>1-_xll.qlRateHelperQuoteValue(M39,_xll.ohTrigger(RecalcTrigger,Trigger))/100</f>
        <v>2.0275000000000043E-2</v>
      </c>
      <c r="Q39" s="203" t="e">
        <f>NA()</f>
        <v>#N/A</v>
      </c>
      <c r="R39" s="199">
        <f>_xll.qlInterestRateIndexFixingDate(IborIndex,O39)</f>
        <v>43178</v>
      </c>
      <c r="S39" s="214">
        <f>_xll.qlIndexFixing(IborIndex,R39,TRUE,RecalcTrigger)</f>
        <v>1.934329355837092E-2</v>
      </c>
      <c r="T39" s="231">
        <f>S39+_xll.qlFuturesRateHelperConvexityAdjustment(M39)-P39</f>
        <v>-4.7828041516253736E-4</v>
      </c>
      <c r="W39" s="201" t="str">
        <f t="shared" si="7"/>
        <v>1D</v>
      </c>
      <c r="X39" s="199">
        <f>_xll.qlCalendarAdvance(LiborCalendar,X38,W39,"f",FALSE)</f>
        <v>42060</v>
      </c>
      <c r="Y39" s="202">
        <f>_xll.qlInterestRateIndexValueDate(IborIndex,X39,Trigger)</f>
        <v>42062</v>
      </c>
      <c r="Z39" s="203">
        <v>2.5760333191634914E-3</v>
      </c>
      <c r="AA39" s="200">
        <v>2.4595848864805703E-3</v>
      </c>
    </row>
    <row r="40" spans="10:27" x14ac:dyDescent="0.2">
      <c r="M40" s="227" t="str">
        <v>obj_00568#0002</v>
      </c>
      <c r="N40" s="201" t="str">
        <f>_xll.qlRateHelperQuoteName(M40)</f>
        <v>USDFUT3MM8_Quote</v>
      </c>
      <c r="O40" s="199">
        <f>_xll.qlRateHelperEarliestDate(M40)</f>
        <v>43271</v>
      </c>
      <c r="P40" s="214">
        <f>1-_xll.qlRateHelperQuoteValue(M40,_xll.ohTrigger(RecalcTrigger,Trigger))/100</f>
        <v>2.0974999999999966E-2</v>
      </c>
      <c r="Q40" s="203" t="e">
        <f>NA()</f>
        <v>#N/A</v>
      </c>
      <c r="R40" s="199">
        <f>_xll.qlInterestRateIndexFixingDate(IborIndex,O40)</f>
        <v>43269</v>
      </c>
      <c r="S40" s="214">
        <f>_xll.qlIndexFixing(IborIndex,R40,TRUE,RecalcTrigger)</f>
        <v>1.9988283006765039E-2</v>
      </c>
      <c r="T40" s="231">
        <f>S40+_xll.qlFuturesRateHelperConvexityAdjustment(M40)-P40</f>
        <v>-4.6768971862254025E-4</v>
      </c>
      <c r="W40" s="201" t="str">
        <f t="shared" si="7"/>
        <v>1D</v>
      </c>
      <c r="X40" s="199">
        <f>_xll.qlCalendarAdvance(LiborCalendar,X39,W40,"f",FALSE)</f>
        <v>42061</v>
      </c>
      <c r="Y40" s="202">
        <f>_xll.qlInterestRateIndexValueDate(IborIndex,X40,Trigger)</f>
        <v>42065</v>
      </c>
      <c r="Z40" s="203">
        <v>2.5914433049349832E-3</v>
      </c>
      <c r="AA40" s="200">
        <v>2.4616846025615757E-3</v>
      </c>
    </row>
    <row r="41" spans="10:27" x14ac:dyDescent="0.2">
      <c r="M41" s="227" t="str">
        <v>obj_00557#0002</v>
      </c>
      <c r="N41" s="201" t="str">
        <f>_xll.qlRateHelperQuoteName(M41)</f>
        <v>USDFUT3MU8_Quote</v>
      </c>
      <c r="O41" s="199">
        <f>_xll.qlRateHelperEarliestDate(M41)</f>
        <v>43362</v>
      </c>
      <c r="P41" s="214">
        <f>1-_xll.qlRateHelperQuoteValue(M41,_xll.ohTrigger(RecalcTrigger,Trigger))/100</f>
        <v>2.1624999999999894E-2</v>
      </c>
      <c r="Q41" s="203" t="e">
        <f>NA()</f>
        <v>#N/A</v>
      </c>
      <c r="R41" s="199">
        <f>_xll.qlInterestRateIndexFixingDate(IborIndex,O41)</f>
        <v>43360</v>
      </c>
      <c r="S41" s="214">
        <f>_xll.qlIndexFixing(IborIndex,R41,TRUE,RecalcTrigger)</f>
        <v>2.0537037304568673E-2</v>
      </c>
      <c r="T41" s="231">
        <f>S41+_xll.qlFuturesRateHelperConvexityAdjustment(M41)-P41</f>
        <v>-5.0025170259320254E-4</v>
      </c>
      <c r="U41" s="213"/>
      <c r="W41" s="201" t="str">
        <f t="shared" si="7"/>
        <v>1D</v>
      </c>
      <c r="X41" s="199">
        <f>_xll.qlCalendarAdvance(LiborCalendar,X40,W41,"f",FALSE)</f>
        <v>42062</v>
      </c>
      <c r="Y41" s="202">
        <f>_xll.qlInterestRateIndexValueDate(IborIndex,X41,Trigger)</f>
        <v>42066</v>
      </c>
      <c r="Z41" s="203">
        <v>2.5958004347449775E-3</v>
      </c>
      <c r="AA41" s="200">
        <v>2.4637094889801148E-3</v>
      </c>
    </row>
    <row r="42" spans="10:27" x14ac:dyDescent="0.2">
      <c r="M42" s="227" t="str">
        <v>obj_00573#0002</v>
      </c>
      <c r="N42" s="201" t="str">
        <f>_xll.qlRateHelperQuoteName(M42)</f>
        <v>USDFUT3MZ8_Quote</v>
      </c>
      <c r="O42" s="199">
        <f>_xll.qlRateHelperEarliestDate(M42)</f>
        <v>43453</v>
      </c>
      <c r="P42" s="214">
        <f>1-_xll.qlRateHelperQuoteValue(M42,_xll.ohTrigger(RecalcTrigger,Trigger))/100</f>
        <v>2.2224999999999939E-2</v>
      </c>
      <c r="Q42" s="203" t="e">
        <f>NA()</f>
        <v>#N/A</v>
      </c>
      <c r="R42" s="199">
        <f>_xll.qlInterestRateIndexFixingDate(IborIndex,O42)</f>
        <v>43451</v>
      </c>
      <c r="S42" s="214">
        <f>_xll.qlIndexFixing(IborIndex,R42,TRUE,RecalcTrigger)</f>
        <v>2.0994949820999587E-2</v>
      </c>
      <c r="T42" s="231">
        <f>S42+_xll.qlFuturesRateHelperConvexityAdjustment(M42)-P42</f>
        <v>-5.6998433097833409E-4</v>
      </c>
      <c r="U42" s="213"/>
      <c r="W42" s="201" t="str">
        <f t="shared" si="7"/>
        <v>1D</v>
      </c>
      <c r="X42" s="199">
        <f>_xll.qlCalendarAdvance(LiborCalendar,X41,W42,"f",FALSE)</f>
        <v>42065</v>
      </c>
      <c r="Y42" s="202">
        <f>_xll.qlInterestRateIndexValueDate(IborIndex,X42,Trigger)</f>
        <v>42067</v>
      </c>
      <c r="Z42" s="203">
        <v>2.6002280336933229E-3</v>
      </c>
      <c r="AA42" s="200">
        <v>2.467526742400139E-3</v>
      </c>
    </row>
    <row r="43" spans="10:27" x14ac:dyDescent="0.2">
      <c r="M43" s="227" t="str">
        <v>obj_00552#0002</v>
      </c>
      <c r="N43" s="201" t="str">
        <f>_xll.qlRateHelperQuoteName(M43)</f>
        <v>USDFUT3MH9_Quote</v>
      </c>
      <c r="O43" s="199">
        <f>_xll.qlRateHelperEarliestDate(M43)</f>
        <v>43544</v>
      </c>
      <c r="P43" s="214">
        <f>1-_xll.qlRateHelperQuoteValue(M43,_xll.ohTrigger(RecalcTrigger,Trigger))/100</f>
        <v>2.2700000000000053E-2</v>
      </c>
      <c r="Q43" s="203" t="e">
        <f>NA()</f>
        <v>#N/A</v>
      </c>
      <c r="R43" s="199">
        <f>_xll.qlInterestRateIndexFixingDate(IborIndex,O43)</f>
        <v>43542</v>
      </c>
      <c r="S43" s="214">
        <f>_xll.qlIndexFixing(IborIndex,R43,TRUE,RecalcTrigger)</f>
        <v>2.1393600154074058E-2</v>
      </c>
      <c r="T43" s="231">
        <f>S43+_xll.qlFuturesRateHelperConvexityAdjustment(M43)-P43</f>
        <v>-5.6777250628880713E-4</v>
      </c>
      <c r="U43" s="213"/>
      <c r="W43" s="201" t="str">
        <f t="shared" si="7"/>
        <v>1D</v>
      </c>
      <c r="X43" s="199">
        <f>_xll.qlCalendarAdvance(LiborCalendar,X42,W43,"f",FALSE)</f>
        <v>42066</v>
      </c>
      <c r="Y43" s="202">
        <f>_xll.qlInterestRateIndexValueDate(IborIndex,X43,Trigger)</f>
        <v>42068</v>
      </c>
      <c r="Z43" s="203">
        <v>2.6047291463541767E-3</v>
      </c>
      <c r="AA43" s="200">
        <v>2.4710607378697347E-3</v>
      </c>
    </row>
    <row r="44" spans="10:27" x14ac:dyDescent="0.2">
      <c r="M44" s="227" t="str">
        <v>obj_00564#0002</v>
      </c>
      <c r="N44" s="201" t="str">
        <f>_xll.qlRateHelperQuoteName(M44)</f>
        <v>USDFUT3MM9_Quote</v>
      </c>
      <c r="O44" s="199">
        <f>_xll.qlRateHelperEarliestDate(M44)</f>
        <v>43635</v>
      </c>
      <c r="P44" s="214">
        <f>1-_xll.qlRateHelperQuoteValue(M44,_xll.ohTrigger(RecalcTrigger,Trigger))/100</f>
        <v>2.3174999999999946E-2</v>
      </c>
      <c r="Q44" s="203" t="e">
        <f>NA()</f>
        <v>#N/A</v>
      </c>
      <c r="R44" s="199">
        <f>_xll.qlInterestRateIndexFixingDate(IborIndex,O44)</f>
        <v>43633</v>
      </c>
      <c r="S44" s="214">
        <f>_xll.qlIndexFixing(IborIndex,R44,TRUE,RecalcTrigger)</f>
        <v>2.1740776584375694E-2</v>
      </c>
      <c r="T44" s="231">
        <f>S44+_xll.qlFuturesRateHelperConvexityAdjustment(M44)-P44</f>
        <v>-6.1510831569345364E-4</v>
      </c>
      <c r="W44" s="201" t="str">
        <f t="shared" si="7"/>
        <v>1D</v>
      </c>
      <c r="X44" s="199">
        <f>_xll.qlCalendarAdvance(LiborCalendar,X43,W44,"f",FALSE)</f>
        <v>42067</v>
      </c>
      <c r="Y44" s="202">
        <f>_xll.qlInterestRateIndexValueDate(IborIndex,X44,Trigger)</f>
        <v>42069</v>
      </c>
      <c r="Z44" s="203">
        <v>2.6155029979381904E-3</v>
      </c>
      <c r="AA44" s="200">
        <v>2.4727114758960056E-3</v>
      </c>
    </row>
    <row r="45" spans="10:27" x14ac:dyDescent="0.2">
      <c r="M45" s="227" t="str">
        <v>obj_00566#0002</v>
      </c>
      <c r="N45" s="201" t="str">
        <f>_xll.qlRateHelperQuoteName(M45)</f>
        <v>USDFUT3MU9_Quote</v>
      </c>
      <c r="O45" s="199">
        <f>_xll.qlRateHelperEarliestDate(M45)</f>
        <v>43726</v>
      </c>
      <c r="P45" s="214">
        <f>1-_xll.qlRateHelperQuoteValue(M45,_xll.ohTrigger(RecalcTrigger,Trigger))/100</f>
        <v>2.3675000000000113E-2</v>
      </c>
      <c r="Q45" s="203" t="e">
        <f>NA()</f>
        <v>#N/A</v>
      </c>
      <c r="R45" s="199">
        <f>_xll.qlInterestRateIndexFixingDate(IborIndex,O45)</f>
        <v>43724</v>
      </c>
      <c r="S45" s="214">
        <f>_xll.qlIndexFixing(IborIndex,R45,TRUE,RecalcTrigger)</f>
        <v>2.2040793153892256E-2</v>
      </c>
      <c r="T45" s="231">
        <f>S45+_xll.qlFuturesRateHelperConvexityAdjustment(M45)-P45</f>
        <v>-7.320729979386903E-4</v>
      </c>
      <c r="W45" s="201" t="str">
        <f t="shared" si="7"/>
        <v>1D</v>
      </c>
      <c r="X45" s="199">
        <f>_xll.qlCalendarAdvance(LiborCalendar,X44,W45,"f",FALSE)</f>
        <v>42068</v>
      </c>
      <c r="Y45" s="202">
        <f>_xll.qlInterestRateIndexValueDate(IborIndex,X45,Trigger)</f>
        <v>42072</v>
      </c>
      <c r="Z45" s="203">
        <v>2.6235296262583606E-3</v>
      </c>
      <c r="AA45" s="200">
        <v>2.474287384179874E-3</v>
      </c>
    </row>
    <row r="46" spans="10:27" x14ac:dyDescent="0.2">
      <c r="M46" s="227" t="str">
        <v>obj_0054c#0002</v>
      </c>
      <c r="N46" s="201" t="str">
        <f>_xll.qlRateHelperQuoteName(M46)</f>
        <v>USDFUT3MZ9_Quote</v>
      </c>
      <c r="O46" s="199">
        <f>_xll.qlRateHelperEarliestDate(M46)</f>
        <v>43817</v>
      </c>
      <c r="P46" s="214">
        <f>1-_xll.qlRateHelperQuoteValue(M46,_xll.ohTrigger(RecalcTrigger,Trigger))/100</f>
        <v>2.4124999999999952E-2</v>
      </c>
      <c r="Q46" s="203" t="e">
        <f>NA()</f>
        <v>#N/A</v>
      </c>
      <c r="R46" s="199">
        <f>_xll.qlInterestRateIndexFixingDate(IborIndex,O46)</f>
        <v>43815</v>
      </c>
      <c r="S46" s="214">
        <f>_xll.qlIndexFixing(IborIndex,R46,TRUE,RecalcTrigger)</f>
        <v>2.2299373716088072E-2</v>
      </c>
      <c r="T46" s="231">
        <f>S46+_xll.qlFuturesRateHelperConvexityAdjustment(M46)-P46</f>
        <v>-8.3614113276782309E-4</v>
      </c>
      <c r="U46" s="213"/>
      <c r="W46" s="201" t="str">
        <f t="shared" si="7"/>
        <v>1D</v>
      </c>
      <c r="X46" s="199">
        <f>_xll.qlCalendarAdvance(LiborCalendar,X45,W46,"f",FALSE)</f>
        <v>42069</v>
      </c>
      <c r="Y46" s="202">
        <f>_xll.qlInterestRateIndexValueDate(IborIndex,X46,Trigger)</f>
        <v>42073</v>
      </c>
      <c r="Z46" s="203">
        <v>2.6284439767501251E-3</v>
      </c>
      <c r="AA46" s="200">
        <v>2.4757884628012761E-3</v>
      </c>
    </row>
    <row r="47" spans="10:27" x14ac:dyDescent="0.2">
      <c r="M47" s="227" t="str">
        <v>obj_00563#0002</v>
      </c>
      <c r="N47" s="201" t="str">
        <f>_xll.qlRateHelperQuoteName(M47)</f>
        <v>USDFUT3MH0_Quote</v>
      </c>
      <c r="O47" s="199">
        <f>_xll.qlRateHelperEarliestDate(M47)</f>
        <v>43908</v>
      </c>
      <c r="P47" s="214">
        <f>1-_xll.qlRateHelperQuoteValue(M47,_xll.ohTrigger(RecalcTrigger,Trigger))/100</f>
        <v>2.4525000000000019E-2</v>
      </c>
      <c r="Q47" s="203" t="e">
        <f>NA()</f>
        <v>#N/A</v>
      </c>
      <c r="R47" s="199">
        <f>_xll.qlInterestRateIndexFixingDate(IborIndex,O47)</f>
        <v>43906</v>
      </c>
      <c r="S47" s="214">
        <f>_xll.qlIndexFixing(IborIndex,R47,TRUE,RecalcTrigger)</f>
        <v>2.2539738955530266E-2</v>
      </c>
      <c r="T47" s="231">
        <f>S47+_xll.qlFuturesRateHelperConvexityAdjustment(M47)-P47</f>
        <v>-9.0403891151015145E-4</v>
      </c>
      <c r="U47" s="213"/>
      <c r="W47" s="201" t="str">
        <f t="shared" si="7"/>
        <v>1D</v>
      </c>
      <c r="X47" s="199">
        <f>_xll.qlCalendarAdvance(LiborCalendar,X46,W47,"f",FALSE)</f>
        <v>42072</v>
      </c>
      <c r="Y47" s="202">
        <f>_xll.qlInterestRateIndexValueDate(IborIndex,X47,Trigger)</f>
        <v>42074</v>
      </c>
      <c r="Z47" s="203">
        <v>2.6334501087998952E-3</v>
      </c>
      <c r="AA47" s="200">
        <v>2.4785582522124372E-3</v>
      </c>
    </row>
    <row r="48" spans="10:27" x14ac:dyDescent="0.2">
      <c r="J48" s="233" t="b">
        <v>1</v>
      </c>
      <c r="M48" s="227" t="str">
        <v>obj_0056a#0002</v>
      </c>
      <c r="N48" s="201" t="str">
        <f>_xll.qlRateHelperQuoteName(M48)</f>
        <v>USDFUT3MM0_Quote</v>
      </c>
      <c r="O48" s="199">
        <f>_xll.qlRateHelperEarliestDate(M48)</f>
        <v>43999</v>
      </c>
      <c r="P48" s="214">
        <f>1-_xll.qlRateHelperQuoteValue(M48,_xll.ohTrigger(RecalcTrigger,Trigger))/100</f>
        <v>2.4925000000000086E-2</v>
      </c>
      <c r="Q48" s="203" t="e">
        <f>NA()</f>
        <v>#N/A</v>
      </c>
      <c r="R48" s="199">
        <f>_xll.qlInterestRateIndexFixingDate(IborIndex,O48)</f>
        <v>43997</v>
      </c>
      <c r="S48" s="214">
        <f>_xll.qlIndexFixing(IborIndex,R48,TRUE,RecalcTrigger)</f>
        <v>2.2779854090151763E-2</v>
      </c>
      <c r="T48" s="231">
        <f>S48+_xll.qlFuturesRateHelperConvexityAdjustment(M48)-P48</f>
        <v>-9.6996840511860347E-4</v>
      </c>
      <c r="U48" s="213"/>
      <c r="W48" s="201" t="str">
        <f t="shared" si="7"/>
        <v>1D</v>
      </c>
      <c r="X48" s="199">
        <f>_xll.qlCalendarAdvance(LiborCalendar,X47,W48,"f",FALSE)</f>
        <v>42073</v>
      </c>
      <c r="Y48" s="202">
        <f>_xll.qlInterestRateIndexValueDate(IborIndex,X48,Trigger)</f>
        <v>42075</v>
      </c>
      <c r="Z48" s="203">
        <v>2.6385510671217177E-3</v>
      </c>
      <c r="AA48" s="200">
        <v>2.4810444805023479E-3</v>
      </c>
    </row>
    <row r="49" spans="10:27" x14ac:dyDescent="0.2">
      <c r="M49" s="227" t="str">
        <v>obj_00565#0002</v>
      </c>
      <c r="N49" s="201" t="str">
        <f>_xll.qlRateHelperQuoteName(M49)</f>
        <v>USDFUT3MU0_Quote</v>
      </c>
      <c r="O49" s="199">
        <f>_xll.qlRateHelperEarliestDate(M49)</f>
        <v>44090</v>
      </c>
      <c r="P49" s="214">
        <f>1-_xll.qlRateHelperQuoteValue(M49,_xll.ohTrigger(RecalcTrigger,Trigger))/100</f>
        <v>2.5349999999999984E-2</v>
      </c>
      <c r="Q49" s="203" t="e">
        <f>NA()</f>
        <v>#N/A</v>
      </c>
      <c r="R49" s="199">
        <f>_xll.qlInterestRateIndexFixingDate(IborIndex,O49)</f>
        <v>44088</v>
      </c>
      <c r="S49" s="214">
        <f>_xll.qlIndexFixing(IborIndex,R49,TRUE,RecalcTrigger)</f>
        <v>2.3020468623506929E-2</v>
      </c>
      <c r="T49" s="231">
        <f>S49+_xll.qlFuturesRateHelperConvexityAdjustment(M49)-P49</f>
        <v>-1.0583936460476992E-3</v>
      </c>
      <c r="U49" s="213"/>
      <c r="W49" s="201" t="str">
        <f t="shared" si="7"/>
        <v>1D</v>
      </c>
      <c r="X49" s="199">
        <f>_xll.qlCalendarAdvance(LiborCalendar,X48,W49,"f",FALSE)</f>
        <v>42074</v>
      </c>
      <c r="Y49" s="202">
        <f>_xll.qlInterestRateIndexValueDate(IborIndex,X49,Trigger)</f>
        <v>42076</v>
      </c>
      <c r="Z49" s="203">
        <v>2.6507326346439431E-3</v>
      </c>
      <c r="AA49" s="200">
        <v>2.4821714107314818E-3</v>
      </c>
    </row>
    <row r="50" spans="10:27" x14ac:dyDescent="0.2">
      <c r="M50" s="227" t="str">
        <v>obj_0054e#0002</v>
      </c>
      <c r="N50" s="201" t="str">
        <f>_xll.qlRateHelperQuoteName(M50)</f>
        <v>USDFUT3MZ0_Quote</v>
      </c>
      <c r="O50" s="199">
        <f>_xll.qlRateHelperEarliestDate(M50)</f>
        <v>44181</v>
      </c>
      <c r="P50" s="214">
        <f>1-_xll.qlRateHelperQuoteValue(M50,_xll.ohTrigger(RecalcTrigger,Trigger))/100</f>
        <v>2.574999999999994E-2</v>
      </c>
      <c r="Q50" s="203" t="e">
        <f>NA()</f>
        <v>#N/A</v>
      </c>
      <c r="R50" s="199">
        <f>_xll.qlInterestRateIndexFixingDate(IborIndex,O50)</f>
        <v>44179</v>
      </c>
      <c r="S50" s="214">
        <f>_xll.qlIndexFixing(IborIndex,R50,TRUE,RecalcTrigger)</f>
        <v>2.3263100065907594E-2</v>
      </c>
      <c r="T50" s="231">
        <f>S50+_xll.qlFuturesRateHelperConvexityAdjustment(M50)-P50</f>
        <v>-1.1168220234494784E-3</v>
      </c>
      <c r="U50" s="213"/>
      <c r="W50" s="201" t="str">
        <f t="shared" si="7"/>
        <v>1D</v>
      </c>
      <c r="X50" s="199">
        <f>_xll.qlCalendarAdvance(LiborCalendar,X49,W50,"f",FALSE)</f>
        <v>42075</v>
      </c>
      <c r="Y50" s="202">
        <f>_xll.qlInterestRateIndexValueDate(IborIndex,X50,Trigger)</f>
        <v>42079</v>
      </c>
      <c r="Z50" s="203">
        <v>2.6599640581985141E-3</v>
      </c>
      <c r="AA50" s="200">
        <v>2.4832235111382772E-3</v>
      </c>
    </row>
    <row r="51" spans="10:27" x14ac:dyDescent="0.2">
      <c r="M51" s="227" t="str">
        <v>obj_0055b#0002</v>
      </c>
      <c r="N51" s="201" t="str">
        <f>_xll.qlRateHelperQuoteName(M51)</f>
        <v>USDFUT3MH1_Quote</v>
      </c>
      <c r="O51" s="199">
        <f>_xll.qlRateHelperEarliestDate(M51)</f>
        <v>44272</v>
      </c>
      <c r="P51" s="214">
        <f>1-_xll.qlRateHelperQuoteValue(M51,_xll.ohTrigger(RecalcTrigger,Trigger))/100</f>
        <v>2.6049999999999907E-2</v>
      </c>
      <c r="Q51" s="203" t="e">
        <f>NA()</f>
        <v>#N/A</v>
      </c>
      <c r="R51" s="199">
        <f>_xll.qlInterestRateIndexFixingDate(IborIndex,O51)</f>
        <v>44270</v>
      </c>
      <c r="S51" s="214">
        <f>_xll.qlIndexFixing(IborIndex,R51,TRUE,RecalcTrigger)</f>
        <v>2.3502660221906401E-2</v>
      </c>
      <c r="T51" s="231">
        <f>S51+_xll.qlFuturesRateHelperConvexityAdjustment(M51)-P51</f>
        <v>-1.0716889126317249E-3</v>
      </c>
      <c r="U51" s="213"/>
      <c r="W51" s="201" t="str">
        <f t="shared" si="7"/>
        <v>1D</v>
      </c>
      <c r="X51" s="199">
        <f>_xll.qlCalendarAdvance(LiborCalendar,X50,W51,"f",FALSE)</f>
        <v>42076</v>
      </c>
      <c r="Y51" s="202">
        <f>_xll.qlInterestRateIndexValueDate(IborIndex,X51,Trigger)</f>
        <v>42080</v>
      </c>
      <c r="Z51" s="203">
        <v>2.6655848193975992E-3</v>
      </c>
      <c r="AA51" s="200">
        <v>2.4842007819625422E-3</v>
      </c>
    </row>
    <row r="52" spans="10:27" x14ac:dyDescent="0.2">
      <c r="J52" s="233" t="b">
        <v>1</v>
      </c>
      <c r="M52" s="227" t="str">
        <v>obj_0054f#0002</v>
      </c>
      <c r="N52" s="201" t="str">
        <f>_xll.qlRateHelperQuoteName(M52)</f>
        <v>USDFUT3MM1_Quote</v>
      </c>
      <c r="O52" s="199">
        <f>_xll.qlRateHelperEarliestDate(M52)</f>
        <v>44363</v>
      </c>
      <c r="P52" s="214">
        <f>1-_xll.qlRateHelperQuoteValue(M52,_xll.ohTrigger(RecalcTrigger,Trigger))/100</f>
        <v>2.6349999999999874E-2</v>
      </c>
      <c r="Q52" s="203" t="e">
        <f>NA()</f>
        <v>#N/A</v>
      </c>
      <c r="R52" s="199">
        <f>_xll.qlInterestRateIndexFixingDate(IborIndex,O52)</f>
        <v>44361</v>
      </c>
      <c r="S52" s="214">
        <f>_xll.qlIndexFixing(IborIndex,R52,TRUE,RecalcTrigger)</f>
        <v>2.371804517513389E-2</v>
      </c>
      <c r="T52" s="231">
        <f>S52+_xll.qlFuturesRateHelperConvexityAdjustment(M52)-P52</f>
        <v>-1.0502323689251178E-3</v>
      </c>
      <c r="U52" s="213"/>
      <c r="W52" s="201" t="str">
        <f t="shared" si="7"/>
        <v>1D</v>
      </c>
      <c r="X52" s="199">
        <f>_xll.qlCalendarAdvance(LiborCalendar,X51,W52,"f",FALSE)</f>
        <v>42079</v>
      </c>
      <c r="Y52" s="202">
        <f>_xll.qlInterestRateIndexValueDate(IborIndex,X52,Trigger)</f>
        <v>42081</v>
      </c>
      <c r="Z52" s="203">
        <v>2.6713186756508757E-3</v>
      </c>
      <c r="AA52" s="200">
        <v>2.4859230572715774E-3</v>
      </c>
    </row>
    <row r="53" spans="10:27" x14ac:dyDescent="0.2">
      <c r="M53" s="201" t="str">
        <v>obj_0055a#0002</v>
      </c>
      <c r="N53" s="201" t="str">
        <f>_xll.qlRateHelperQuoteName(M53)</f>
        <v>USDFUT3MU1_Quote</v>
      </c>
      <c r="O53" s="199">
        <f>_xll.qlRateHelperEarliestDate(M53)</f>
        <v>44454</v>
      </c>
      <c r="P53" s="214">
        <f>1-_xll.qlRateHelperQuoteValue(M53,_xll.ohTrigger(RecalcTrigger,Trigger))/100</f>
        <v>2.6624999999999899E-2</v>
      </c>
      <c r="Q53" s="203" t="e">
        <f>NA()</f>
        <v>#N/A</v>
      </c>
      <c r="R53" s="199">
        <f>_xll.qlInterestRateIndexFixingDate(IborIndex,O53)</f>
        <v>44452</v>
      </c>
      <c r="S53" s="214">
        <f>_xll.qlIndexFixing(IborIndex,R53,TRUE,RecalcTrigger)</f>
        <v>2.3911192232155348E-2</v>
      </c>
      <c r="T53" s="231">
        <f>S53+_xll.qlFuturesRateHelperConvexityAdjustment(M53)-P53</f>
        <v>-1.0245273715645542E-3</v>
      </c>
      <c r="U53" s="213"/>
      <c r="W53" s="201" t="str">
        <f t="shared" si="7"/>
        <v>1D</v>
      </c>
      <c r="X53" s="199">
        <f>_xll.qlCalendarAdvance(LiborCalendar,X52,W53,"f",FALSE)</f>
        <v>42080</v>
      </c>
      <c r="Y53" s="202">
        <f>_xll.qlInterestRateIndexValueDate(IborIndex,X53,Trigger)</f>
        <v>42082</v>
      </c>
      <c r="Z53" s="203">
        <v>2.6771683875509676E-3</v>
      </c>
      <c r="AA53" s="200">
        <v>2.4873615683151939E-3</v>
      </c>
    </row>
    <row r="54" spans="10:27" x14ac:dyDescent="0.2">
      <c r="M54" s="201" t="str">
        <v>obj_0056b#0002</v>
      </c>
      <c r="N54" s="201" t="str">
        <f>_xll.qlRateHelperQuoteName(M54)</f>
        <v>USDFUT3MZ1_Quote</v>
      </c>
      <c r="O54" s="199">
        <f>_xll.qlRateHelperEarliestDate(M54)</f>
        <v>44545</v>
      </c>
      <c r="P54" s="214">
        <f>1-_xll.qlRateHelperQuoteValue(M54,_xll.ohTrigger(RecalcTrigger,Trigger))/100</f>
        <v>2.6874999999999982E-2</v>
      </c>
      <c r="Q54" s="203" t="e">
        <f>NA()</f>
        <v>#N/A</v>
      </c>
      <c r="R54" s="199">
        <f>_xll.qlInterestRateIndexFixingDate(IborIndex,O54)</f>
        <v>44543</v>
      </c>
      <c r="S54" s="214">
        <f>_xll.qlIndexFixing(IborIndex,R54,TRUE,RecalcTrigger)</f>
        <v>2.4084176058916107E-2</v>
      </c>
      <c r="T54" s="231">
        <f>S54+_xll.qlFuturesRateHelperConvexityAdjustment(M54)-P54</f>
        <v>-9.91322098055053E-4</v>
      </c>
      <c r="U54" s="213"/>
      <c r="W54" s="201" t="str">
        <f t="shared" si="7"/>
        <v>1D</v>
      </c>
      <c r="X54" s="199">
        <f>_xll.qlCalendarAdvance(LiborCalendar,X53,W54,"f",FALSE)</f>
        <v>42081</v>
      </c>
      <c r="Y54" s="202">
        <f>_xll.qlInterestRateIndexValueDate(IborIndex,X54,Trigger)</f>
        <v>42083</v>
      </c>
      <c r="Z54" s="203">
        <v>2.6909981791553511E-3</v>
      </c>
      <c r="AA54" s="200">
        <v>2.4879646905873187E-3</v>
      </c>
    </row>
    <row r="55" spans="10:27" x14ac:dyDescent="0.2">
      <c r="J55" s="233" t="b">
        <v>1</v>
      </c>
      <c r="M55" s="201" t="str">
        <v>obj_00555#0002</v>
      </c>
      <c r="N55" s="201" t="str">
        <f>_xll.qlRateHelperQuoteName(M55)</f>
        <v>USDFUT3MH2_Quote</v>
      </c>
      <c r="O55" s="199">
        <f>_xll.qlRateHelperEarliestDate(M55)</f>
        <v>44636</v>
      </c>
      <c r="P55" s="214">
        <f>1-_xll.qlRateHelperQuoteValue(M55,_xll.ohTrigger(RecalcTrigger,Trigger))/100</f>
        <v>2.7000000000000024E-2</v>
      </c>
      <c r="Q55" s="203" t="e">
        <f>NA()</f>
        <v>#N/A</v>
      </c>
      <c r="R55" s="199">
        <f>_xll.qlInterestRateIndexFixingDate(IborIndex,O55)</f>
        <v>44634</v>
      </c>
      <c r="S55" s="214">
        <f>_xll.qlIndexFixing(IborIndex,R55,TRUE,RecalcTrigger)</f>
        <v>2.4244124197938439E-2</v>
      </c>
      <c r="T55" s="231">
        <f>S55+_xll.qlFuturesRateHelperConvexityAdjustment(M55)-P55</f>
        <v>-8.3932857729590235E-4</v>
      </c>
      <c r="U55" s="213"/>
      <c r="W55" s="201" t="str">
        <f t="shared" si="7"/>
        <v>1D</v>
      </c>
      <c r="X55" s="199">
        <f>_xll.qlCalendarAdvance(LiborCalendar,X54,W55,"f",FALSE)</f>
        <v>42082</v>
      </c>
      <c r="Y55" s="202">
        <f>_xll.qlInterestRateIndexValueDate(IborIndex,X55,Trigger)</f>
        <v>42086</v>
      </c>
      <c r="Z55" s="203">
        <v>2.7017554176767475E-3</v>
      </c>
      <c r="AA55" s="200">
        <v>2.4884929832769132E-3</v>
      </c>
    </row>
    <row r="56" spans="10:27" x14ac:dyDescent="0.2">
      <c r="M56" s="201" t="str">
        <v>obj_00567#0002</v>
      </c>
      <c r="N56" s="201" t="str">
        <f>_xll.qlRateHelperQuoteName(M56)</f>
        <v>USDFUT3MM2_Quote</v>
      </c>
      <c r="O56" s="199">
        <f>_xll.qlRateHelperEarliestDate(M56)</f>
        <v>44727</v>
      </c>
      <c r="P56" s="214">
        <f>1-_xll.qlRateHelperQuoteValue(M56,_xll.ohTrigger(RecalcTrigger,Trigger))/100</f>
        <v>2.7299999999999991E-2</v>
      </c>
      <c r="Q56" s="203" t="e">
        <f>NA()</f>
        <v>#N/A</v>
      </c>
      <c r="R56" s="199">
        <f>_xll.qlInterestRateIndexFixingDate(IborIndex,O56)</f>
        <v>44725</v>
      </c>
      <c r="S56" s="214">
        <f>_xll.qlIndexFixing(IborIndex,R56,TRUE,RecalcTrigger)</f>
        <v>2.4385062638530505E-2</v>
      </c>
      <c r="T56" s="231">
        <f>S56+_xll.qlFuturesRateHelperConvexityAdjustment(M56)-P56</f>
        <v>-8.8141871672933053E-4</v>
      </c>
      <c r="U56" s="213"/>
      <c r="W56" s="201" t="str">
        <f t="shared" si="7"/>
        <v>1D</v>
      </c>
      <c r="X56" s="199">
        <f>_xll.qlCalendarAdvance(LiborCalendar,X55,W56,"f",FALSE)</f>
        <v>42083</v>
      </c>
      <c r="Y56" s="202">
        <f>_xll.qlInterestRateIndexValueDate(IborIndex,X56,Trigger)</f>
        <v>42087</v>
      </c>
      <c r="Z56" s="203">
        <v>2.7082059167837791E-3</v>
      </c>
      <c r="AA56" s="200">
        <v>2.4889464462241051E-3</v>
      </c>
    </row>
    <row r="57" spans="10:27" x14ac:dyDescent="0.2">
      <c r="M57" s="201" t="str">
        <v>obj_00561#0002</v>
      </c>
      <c r="N57" s="201" t="str">
        <f>_xll.qlRateHelperQuoteName(M57)</f>
        <v>USDFUT3MU2_Quote</v>
      </c>
      <c r="O57" s="199">
        <f>_xll.qlRateHelperEarliestDate(M57)</f>
        <v>44825</v>
      </c>
      <c r="P57" s="214">
        <f>1-_xll.qlRateHelperQuoteValue(M57,_xll.ohTrigger(RecalcTrigger,Trigger))/100</f>
        <v>2.7475000000000027E-2</v>
      </c>
      <c r="Q57" s="203" t="e">
        <f>NA()</f>
        <v>#N/A</v>
      </c>
      <c r="R57" s="199">
        <f>_xll.qlInterestRateIndexFixingDate(IborIndex,O57)</f>
        <v>44823</v>
      </c>
      <c r="S57" s="214">
        <f>_xll.qlIndexFixing(IborIndex,R57,TRUE,RecalcTrigger)</f>
        <v>2.4518036160264836E-2</v>
      </c>
      <c r="T57" s="231">
        <f>S57+_xll.qlFuturesRateHelperConvexityAdjustment(M57)-P57</f>
        <v>-7.9622853341262956E-4</v>
      </c>
      <c r="U57" s="213"/>
      <c r="W57" s="201" t="str">
        <f t="shared" si="7"/>
        <v>1D</v>
      </c>
      <c r="X57" s="199">
        <f>_xll.qlCalendarAdvance(LiborCalendar,X56,W57,"f",FALSE)</f>
        <v>42086</v>
      </c>
      <c r="Y57" s="202">
        <f>_xll.qlInterestRateIndexValueDate(IborIndex,X57,Trigger)</f>
        <v>42088</v>
      </c>
      <c r="Z57" s="203">
        <v>2.7147805909688572E-3</v>
      </c>
      <c r="AA57" s="200">
        <v>2.489621156858135E-3</v>
      </c>
    </row>
    <row r="58" spans="10:27" x14ac:dyDescent="0.2">
      <c r="M58" s="201" t="str">
        <v>obj_00571#0002</v>
      </c>
      <c r="N58" s="201" t="str">
        <f>_xll.qlRateHelperQuoteName(M58)</f>
        <v>USDFUT3MZ2_Quote</v>
      </c>
      <c r="O58" s="199">
        <f>_xll.qlRateHelperEarliestDate(M58)</f>
        <v>44916</v>
      </c>
      <c r="P58" s="214">
        <f>1-_xll.qlRateHelperQuoteValue(M58,_xll.ohTrigger(RecalcTrigger,Trigger))/100</f>
        <v>2.7699999999999947E-2</v>
      </c>
      <c r="Q58" s="203" t="e">
        <f>NA()</f>
        <v>#N/A</v>
      </c>
      <c r="R58" s="199">
        <f>_xll.qlInterestRateIndexFixingDate(IborIndex,O58)</f>
        <v>44914</v>
      </c>
      <c r="S58" s="214">
        <f>_xll.qlIndexFixing(IborIndex,R58,TRUE,RecalcTrigger)</f>
        <v>2.4625702413545447E-2</v>
      </c>
      <c r="T58" s="231">
        <f>S58+_xll.qlFuturesRateHelperConvexityAdjustment(M58)-P58</f>
        <v>-7.9303067547243505E-4</v>
      </c>
      <c r="U58" s="213"/>
      <c r="W58" s="201" t="str">
        <f t="shared" si="7"/>
        <v>1D</v>
      </c>
      <c r="X58" s="199">
        <f>_xll.qlCalendarAdvance(LiborCalendar,X57,W58,"f",FALSE)</f>
        <v>42087</v>
      </c>
      <c r="Y58" s="202">
        <f>_xll.qlInterestRateIndexValueDate(IborIndex,X58,Trigger)</f>
        <v>42089</v>
      </c>
      <c r="Z58" s="203">
        <v>2.7214807794911202E-3</v>
      </c>
      <c r="AA58" s="200">
        <v>2.4900120010684645E-3</v>
      </c>
    </row>
    <row r="59" spans="10:27" x14ac:dyDescent="0.2">
      <c r="M59" s="201" t="str">
        <v>obj_0054d#0002</v>
      </c>
      <c r="N59" s="201" t="str">
        <f>_xll.qlRateHelperQuoteName(M59)</f>
        <v>USDFUT3MH3_Quote</v>
      </c>
      <c r="O59" s="199">
        <f>_xll.qlRateHelperEarliestDate(M59)</f>
        <v>45000</v>
      </c>
      <c r="P59" s="214">
        <f>1-_xll.qlRateHelperQuoteValue(M59,_xll.ohTrigger(RecalcTrigger,Trigger))/100</f>
        <v>2.8050000000000019E-2</v>
      </c>
      <c r="Q59" s="203" t="e">
        <f>NA()</f>
        <v>#N/A</v>
      </c>
      <c r="R59" s="199">
        <f>_xll.qlInterestRateIndexFixingDate(IborIndex,O59)</f>
        <v>44998</v>
      </c>
      <c r="S59" s="214">
        <f>_xll.qlIndexFixing(IborIndex,R59,TRUE,RecalcTrigger)</f>
        <v>2.4719551116571998E-2</v>
      </c>
      <c r="T59" s="231">
        <f>S59+_xll.qlFuturesRateHelperConvexityAdjustment(M59)-P59</f>
        <v>-9.3111868443602336E-4</v>
      </c>
      <c r="U59" s="213"/>
      <c r="W59" s="201" t="str">
        <f t="shared" si="7"/>
        <v>1D</v>
      </c>
      <c r="X59" s="199">
        <f>_xll.qlCalendarAdvance(LiborCalendar,X58,W59,"f",FALSE)</f>
        <v>42088</v>
      </c>
      <c r="Y59" s="202">
        <f>_xll.qlInterestRateIndexValueDate(IborIndex,X59,Trigger)</f>
        <v>42090</v>
      </c>
      <c r="Z59" s="203">
        <v>2.7370048974329404E-3</v>
      </c>
      <c r="AA59" s="200">
        <v>2.4901520721432036E-3</v>
      </c>
    </row>
    <row r="60" spans="10:27" ht="12" thickBot="1" x14ac:dyDescent="0.25">
      <c r="M60" s="216" t="str">
        <v>obj_00560#0002</v>
      </c>
      <c r="N60" s="201" t="str">
        <f>_xll.qlRateHelperQuoteName(M60)</f>
        <v>USDFUT3MM3_Quote</v>
      </c>
      <c r="O60" s="199">
        <f>_xll.qlRateHelperEarliestDate(M60)</f>
        <v>45098</v>
      </c>
      <c r="P60" s="214">
        <f>1-_xll.qlRateHelperQuoteValue(M60,_xll.ohTrigger(RecalcTrigger,Trigger))/100</f>
        <v>2.8199999999999892E-2</v>
      </c>
      <c r="Q60" s="203" t="e">
        <f>NA()</f>
        <v>#N/A</v>
      </c>
      <c r="R60" s="199">
        <f>_xll.qlInterestRateIndexFixingDate(IborIndex,O60)</f>
        <v>45096</v>
      </c>
      <c r="S60" s="214">
        <f>_xll.qlIndexFixing(IborIndex,R60,TRUE,RecalcTrigger)</f>
        <v>2.4818551018932298E-2</v>
      </c>
      <c r="T60" s="231">
        <f>S60+_xll.qlFuturesRateHelperConvexityAdjustment(M60)-P60</f>
        <v>-8.4565731589323484E-4</v>
      </c>
      <c r="U60" s="213"/>
      <c r="W60" s="201" t="str">
        <f t="shared" si="7"/>
        <v>1D</v>
      </c>
      <c r="X60" s="199">
        <f>_xll.qlCalendarAdvance(LiborCalendar,X59,W60,"f",FALSE)</f>
        <v>42089</v>
      </c>
      <c r="Y60" s="202">
        <f>_xll.qlInterestRateIndexValueDate(IborIndex,X60,Trigger)</f>
        <v>42093</v>
      </c>
      <c r="Z60" s="203">
        <v>2.7495634628854869E-3</v>
      </c>
      <c r="AA60" s="200">
        <v>2.4905210963943603E-3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42090</v>
      </c>
      <c r="Y61" s="202">
        <f>_xll.qlInterestRateIndexValueDate(IborIndex,X61,Trigger)</f>
        <v>42094</v>
      </c>
      <c r="Z61" s="203">
        <v>2.7523966392503621E-3</v>
      </c>
      <c r="AA61" s="200">
        <v>2.4936906843624485E-3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_xll.qlCalendarAdvance(LiborCalendar,X61,W62,"f",FALSE)</f>
        <v>42093</v>
      </c>
      <c r="Y62" s="202">
        <f>_xll.qlInterestRateIndexValueDate(IborIndex,X62,Trigger)</f>
        <v>42095</v>
      </c>
      <c r="Z62" s="203">
        <v>2.759823643020153E-3</v>
      </c>
      <c r="AA62" s="200">
        <v>2.4988191481600808E-3</v>
      </c>
    </row>
    <row r="63" spans="10:27" x14ac:dyDescent="0.2">
      <c r="M63" s="201" t="str">
        <f t="array" ref="M63:M70">_xll.ohFilter(RateHelpers!B12:B53,RateHelpers!N12:N53)</f>
        <v>obj_00569#0002</v>
      </c>
      <c r="N63" s="201" t="str">
        <f>_xll.qlRateHelperQuoteName(M63)</f>
        <v>USDFUT3MG5_Quote</v>
      </c>
      <c r="O63" s="199">
        <f>_xll.qlRateHelperEarliestDate(M63)</f>
        <v>42053</v>
      </c>
      <c r="P63" s="228">
        <f>1-_xll.qlRateHelperQuoteValue(M63,_xll.ohTrigger(RecalcTrigger,Trigger))/100</f>
        <v>2.5374999999999703E-3</v>
      </c>
      <c r="Q63" s="203" t="e">
        <f>NA()</f>
        <v>#N/A</v>
      </c>
      <c r="R63" s="199">
        <f>_xll.qlInterestRateIndexFixingDate(IborIndex,O63)</f>
        <v>42051</v>
      </c>
      <c r="S63" s="214">
        <f>_xll.qlIndexFixing(IborIndex,R63,TRUE,RecalcTrigger)</f>
        <v>2.536149667299801E-3</v>
      </c>
      <c r="T63" s="231">
        <f t="shared" ref="T63:T70" si="8">S63-P63</f>
        <v>-1.3503327001692864E-6</v>
      </c>
      <c r="U63" s="215">
        <f t="array" ref="U63">MAX(ABS(_xll.ohFilter(T63:T70,IF(ISERROR(T63:T70),FALSE,TRUE))))</f>
        <v>5.1436110876244574E-5</v>
      </c>
      <c r="W63" s="201" t="str">
        <f t="shared" si="7"/>
        <v>1D</v>
      </c>
      <c r="X63" s="199">
        <f>_xll.qlCalendarAdvance(LiborCalendar,X62,W63,"f",FALSE)</f>
        <v>42094</v>
      </c>
      <c r="Y63" s="202">
        <f>_xll.qlInterestRateIndexValueDate(IborIndex,X63,Trigger)</f>
        <v>42096</v>
      </c>
      <c r="Z63" s="203">
        <v>2.7673824779592218E-3</v>
      </c>
      <c r="AA63" s="200">
        <v>2.5012161411641642E-3</v>
      </c>
    </row>
    <row r="64" spans="10:27" x14ac:dyDescent="0.2">
      <c r="M64" s="201" t="str">
        <v>obj_0054b#0002</v>
      </c>
      <c r="N64" s="201" t="str">
        <f>_xll.qlRateHelperQuoteName(M64)</f>
        <v>USDFUT3MJ5_Quote</v>
      </c>
      <c r="O64" s="199">
        <f>_xll.qlRateHelperEarliestDate(M64)</f>
        <v>42109</v>
      </c>
      <c r="P64" s="228">
        <f>1-_xll.qlRateHelperQuoteValue(M64,_xll.ohTrigger(RecalcTrigger,Trigger))/100</f>
        <v>2.8249999999999664E-3</v>
      </c>
      <c r="Q64" s="203" t="e">
        <f>NA()</f>
        <v>#N/A</v>
      </c>
      <c r="R64" s="199">
        <f>_xll.qlInterestRateIndexFixingDate(IborIndex,O64)</f>
        <v>42107</v>
      </c>
      <c r="S64" s="214">
        <f>_xll.qlIndexFixing(IborIndex,R64,TRUE,RecalcTrigger)</f>
        <v>2.876436110876211E-3</v>
      </c>
      <c r="T64" s="231">
        <f t="shared" si="8"/>
        <v>5.1436110876244574E-5</v>
      </c>
      <c r="W64" s="201" t="str">
        <f t="shared" si="7"/>
        <v>1D</v>
      </c>
      <c r="X64" s="199">
        <f>_xll.qlCalendarAdvance(LiborCalendar,X63,W64,"f",FALSE)</f>
        <v>42095</v>
      </c>
      <c r="Y64" s="202">
        <f>_xll.qlInterestRateIndexValueDate(IborIndex,X64,Trigger)</f>
        <v>42101</v>
      </c>
      <c r="Z64" s="203">
        <v>2.8070612087912044E-3</v>
      </c>
      <c r="AA64" s="200">
        <v>2.5039028440243527E-3</v>
      </c>
    </row>
    <row r="65" spans="10:27" x14ac:dyDescent="0.2">
      <c r="M65" s="201" t="str">
        <v>obj_0055d#0002</v>
      </c>
      <c r="N65" s="201" t="str">
        <f>_xll.qlRateHelperQuoteName(M65)</f>
        <v>USDFUT3MK5_Quote</v>
      </c>
      <c r="O65" s="199">
        <f>_xll.qlRateHelperEarliestDate(M65)</f>
        <v>42144</v>
      </c>
      <c r="P65" s="228">
        <f>1-_xll.qlRateHelperQuoteValue(M65,_xll.ohTrigger(RecalcTrigger,Trigger))/100</f>
        <v>3.2750000000000279E-3</v>
      </c>
      <c r="Q65" s="203" t="e">
        <f>NA()</f>
        <v>#N/A</v>
      </c>
      <c r="R65" s="199">
        <f>_xll.qlInterestRateIndexFixingDate(IborIndex,O65)</f>
        <v>42142</v>
      </c>
      <c r="S65" s="214">
        <f>_xll.qlIndexFixing(IborIndex,R65,TRUE,RecalcTrigger)</f>
        <v>3.2467978449193442E-3</v>
      </c>
      <c r="T65" s="231">
        <f t="shared" si="8"/>
        <v>-2.8202155080683713E-5</v>
      </c>
      <c r="W65" s="201" t="str">
        <f t="shared" si="7"/>
        <v>1D</v>
      </c>
      <c r="X65" s="199">
        <f>_xll.qlCalendarAdvance(LiborCalendar,X64,W65,"f",FALSE)</f>
        <v>42096</v>
      </c>
      <c r="Y65" s="202">
        <f>_xll.qlInterestRateIndexValueDate(IborIndex,X65,Trigger)</f>
        <v>42102</v>
      </c>
      <c r="Z65" s="203">
        <v>2.8153552837731875E-3</v>
      </c>
      <c r="AA65" s="200">
        <v>2.5102594529169409E-3</v>
      </c>
    </row>
    <row r="66" spans="10:27" x14ac:dyDescent="0.2">
      <c r="M66" s="201" t="str">
        <v>obj_00554#0002</v>
      </c>
      <c r="N66" s="201" t="str">
        <f>_xll.qlRateHelperQuoteName(M66)</f>
        <v>USDFUT3MN5_Quote</v>
      </c>
      <c r="O66" s="199">
        <f>_xll.qlRateHelperEarliestDate(M66)</f>
        <v>42200</v>
      </c>
      <c r="P66" s="228">
        <f>1-_xll.qlRateHelperQuoteValue(M66,_xll.ohTrigger(RecalcTrigger,Trigger))/100</f>
        <v>4.0250000000000563E-3</v>
      </c>
      <c r="Q66" s="203" t="e">
        <f>NA()</f>
        <v>#N/A</v>
      </c>
      <c r="R66" s="199">
        <f>_xll.qlInterestRateIndexFixingDate(IborIndex,O66)</f>
        <v>42198</v>
      </c>
      <c r="S66" s="214">
        <f>_xll.qlIndexFixing(IborIndex,R66,TRUE,RecalcTrigger)</f>
        <v>4.0197853803585594E-3</v>
      </c>
      <c r="T66" s="231">
        <f t="shared" si="8"/>
        <v>-5.2146196414968801E-6</v>
      </c>
      <c r="W66" s="201" t="str">
        <f t="shared" si="7"/>
        <v>1D</v>
      </c>
      <c r="X66" s="199">
        <f>_xll.qlCalendarAdvance(LiborCalendar,X65,W66,"f",FALSE)</f>
        <v>42101</v>
      </c>
      <c r="Y66" s="202">
        <f>_xll.qlInterestRateIndexValueDate(IborIndex,X66,Trigger)</f>
        <v>42103</v>
      </c>
      <c r="Z66" s="203">
        <v>2.8237626075062069E-3</v>
      </c>
      <c r="AA66" s="200">
        <v>2.5175467540261565E-3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8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1" t="e">
        <f t="shared" si="8"/>
        <v>#NUM!</v>
      </c>
      <c r="U67" s="213"/>
      <c r="W67" s="201" t="str">
        <f t="shared" si="7"/>
        <v>1D</v>
      </c>
      <c r="X67" s="199">
        <f>_xll.qlCalendarAdvance(LiborCalendar,X66,W67,"f",FALSE)</f>
        <v>42102</v>
      </c>
      <c r="Y67" s="202">
        <f>_xll.qlInterestRateIndexValueDate(IborIndex,X67,Trigger)</f>
        <v>42104</v>
      </c>
      <c r="Z67" s="203">
        <v>2.8322805253155406E-3</v>
      </c>
      <c r="AA67" s="200">
        <v>2.5216820060869338E-3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8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1" t="e">
        <f t="shared" si="8"/>
        <v>#NUM!</v>
      </c>
      <c r="W68" s="201" t="str">
        <f t="shared" si="7"/>
        <v>1D</v>
      </c>
      <c r="X68" s="199">
        <f>_xll.qlCalendarAdvance(LiborCalendar,X67,W68,"f",FALSE)</f>
        <v>42103</v>
      </c>
      <c r="Y68" s="202">
        <f>_xll.qlInterestRateIndexValueDate(IborIndex,X68,Trigger)</f>
        <v>42107</v>
      </c>
      <c r="Z68" s="203">
        <v>2.8584712962389978E-3</v>
      </c>
      <c r="AA68" s="200">
        <v>2.5261069681636883E-3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8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1" t="e">
        <f t="shared" si="8"/>
        <v>#NUM!</v>
      </c>
      <c r="W69" s="201" t="str">
        <f t="shared" si="7"/>
        <v>1D</v>
      </c>
      <c r="X69" s="199">
        <f>_xll.qlCalendarAdvance(LiborCalendar,X68,W69,"f",FALSE)</f>
        <v>42104</v>
      </c>
      <c r="Y69" s="202">
        <f>_xll.qlInterestRateIndexValueDate(IborIndex,X69,Trigger)</f>
        <v>42108</v>
      </c>
      <c r="Z69" s="203">
        <v>2.8674050433164931E-3</v>
      </c>
      <c r="AA69" s="200">
        <v>2.5308216400965478E-3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29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2" t="e">
        <f>_xll.qlIndexFixing(IborIndex,R70,TRUE,RecalcTrigger)</f>
        <v>#NUM!</v>
      </c>
      <c r="T70" s="231" t="e">
        <f t="shared" si="8"/>
        <v>#NUM!</v>
      </c>
      <c r="U70" s="213"/>
      <c r="W70" s="201" t="str">
        <f t="shared" si="7"/>
        <v>1D</v>
      </c>
      <c r="X70" s="199">
        <f>_xll.qlCalendarAdvance(LiborCalendar,X69,W70,"f",FALSE)</f>
        <v>42107</v>
      </c>
      <c r="Y70" s="202">
        <f>_xll.qlInterestRateIndexValueDate(IborIndex,X70,Trigger)</f>
        <v>42109</v>
      </c>
      <c r="Z70" s="203">
        <v>2.876436110876211E-3</v>
      </c>
      <c r="AA70" s="200">
        <v>2.5412346219866322E-3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42108</v>
      </c>
      <c r="Y71" s="202">
        <f>_xll.qlInterestRateIndexValueDate(IborIndex,X71,Trigger)</f>
        <v>42110</v>
      </c>
      <c r="Z71" s="203">
        <v>2.8855618441520742E-3</v>
      </c>
      <c r="AA71" s="200">
        <v>2.55257742710846E-3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_xll.qlCalendarAdvance(LiborCalendar,X71,W72,"f",FALSE)</f>
        <v>42109</v>
      </c>
      <c r="Y72" s="202">
        <f>_xll.qlInterestRateIndexValueDate(IborIndex,X72,Trigger)</f>
        <v>42111</v>
      </c>
      <c r="Z72" s="203">
        <v>2.89477958835868E-3</v>
      </c>
      <c r="AA72" s="200">
        <v>2.5587406487215247E-3</v>
      </c>
    </row>
    <row r="73" spans="10:27" x14ac:dyDescent="0.2">
      <c r="M73" s="201" t="str">
        <f t="array" ref="M73:M109">_xll.ohFilter(RateHelpers!B61:B97,IF(ISERROR(RateHelpers!D61:D97),FALSE,TRUE))</f>
        <v>obj_00548#0004</v>
      </c>
      <c r="N73" s="201" t="str">
        <f>_xll.qlRateHelperQuoteName(M73)</f>
        <v>USDAM3L1Y_Quote</v>
      </c>
      <c r="O73" s="199">
        <f>_xll.qlRateHelperLatestDate(M73,Trigger)</f>
        <v>42398</v>
      </c>
      <c r="P73" s="209">
        <f>_xll.qlRateHelperQuoteValue(M73,_xll.ohTrigger(RecalcTrigger,YieldCurve))</f>
        <v>3.96E-3</v>
      </c>
      <c r="Q73" s="210" t="str">
        <f t="shared" ref="Q73:Q109" si="9"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obj_00582#0004</v>
      </c>
      <c r="S73" s="212">
        <f>_xll.qlIndexFixing(R73,$X$19,TRUE,Trigger)</f>
        <v>3.9451068143057681E-3</v>
      </c>
      <c r="T73" s="231">
        <f t="shared" ref="T73:T109" si="10">S73-P73</f>
        <v>-1.489318569423189E-5</v>
      </c>
      <c r="W73" s="201" t="str">
        <f t="shared" si="7"/>
        <v>1D</v>
      </c>
      <c r="X73" s="199">
        <f>_xll.qlCalendarAdvance(LiborCalendar,X72,W73,"f",FALSE)</f>
        <v>42110</v>
      </c>
      <c r="Y73" s="202">
        <f>_xll.qlInterestRateIndexValueDate(IborIndex,X73,Trigger)</f>
        <v>42114</v>
      </c>
      <c r="Z73" s="203">
        <v>2.9229583384418889E-3</v>
      </c>
      <c r="AA73" s="200">
        <v>2.5651935802706305E-3</v>
      </c>
    </row>
    <row r="74" spans="10:27" x14ac:dyDescent="0.2">
      <c r="M74" s="201" t="str">
        <v>obj_00538#0004</v>
      </c>
      <c r="N74" s="201" t="str">
        <f>_xll.qlRateHelperQuoteName(M74)</f>
        <v>USDAM3L2Y_Quote</v>
      </c>
      <c r="O74" s="199">
        <f>_xll.qlRateHelperLatestDate(M74,Trigger)</f>
        <v>42765</v>
      </c>
      <c r="P74" s="209">
        <f>_xll.qlRateHelperQuoteValue(M74,_xll.ohTrigger(RecalcTrigger,YieldCurve))</f>
        <v>7.4399999999999996E-3</v>
      </c>
      <c r="Q74" s="210" t="str">
        <f t="shared" si="9"/>
        <v>2Y</v>
      </c>
      <c r="R74" s="211" t="str">
        <f>_xll.qlSwapIndex(,FamilyName,Q74,NDays,Currency,Calendar,"1Y","mf","act/360",IborIndex,Discounting,,_xll.ohTrigger(Trigger,RecalcTrigger))</f>
        <v>obj_0057f#0004</v>
      </c>
      <c r="S74" s="212">
        <f>_xll.qlIndexFixing(R74,$X$19,TRUE,Trigger)</f>
        <v>7.4520896454508623E-3</v>
      </c>
      <c r="T74" s="231">
        <f t="shared" si="10"/>
        <v>1.2089645450862746E-5</v>
      </c>
      <c r="U74" s="190" t="s">
        <v>154</v>
      </c>
      <c r="W74" s="201" t="str">
        <f t="shared" si="7"/>
        <v>1D</v>
      </c>
      <c r="X74" s="199">
        <f>_xll.qlCalendarAdvance(LiborCalendar,X73,W74,"f",FALSE)</f>
        <v>42111</v>
      </c>
      <c r="Y74" s="202">
        <f>_xll.qlInterestRateIndexValueDate(IborIndex,X74,Trigger)</f>
        <v>42115</v>
      </c>
      <c r="Z74" s="203">
        <v>2.9325175781546534E-3</v>
      </c>
      <c r="AA74" s="200">
        <v>2.5719362218357134E-3</v>
      </c>
    </row>
    <row r="75" spans="10:27" x14ac:dyDescent="0.2">
      <c r="M75" s="201" t="str">
        <v>obj_0052e#0004</v>
      </c>
      <c r="N75" s="201" t="str">
        <f>_xll.qlRateHelperQuoteName(M75)</f>
        <v>USDAM3L3Y_Quote</v>
      </c>
      <c r="O75" s="199">
        <f>_xll.qlRateHelperLatestDate(M75,Trigger)</f>
        <v>43130</v>
      </c>
      <c r="P75" s="209">
        <f>_xll.qlRateHelperQuoteValue(M75,_xll.ohTrigger(RecalcTrigger,YieldCurve))</f>
        <v>1.0529999999999999E-2</v>
      </c>
      <c r="Q75" s="210" t="str">
        <f t="shared" si="9"/>
        <v>3Y</v>
      </c>
      <c r="R75" s="211" t="str">
        <f>_xll.qlSwapIndex(,FamilyName,Q75,NDays,Currency,Calendar,"1Y","mf","act/360",IborIndex,Discounting,,_xll.ohTrigger(Trigger,RecalcTrigger))</f>
        <v>obj_0057d#0004</v>
      </c>
      <c r="S75" s="212">
        <f>_xll.qlIndexFixing(R75,$X$19,TRUE,Trigger)</f>
        <v>1.0529999999394413E-2</v>
      </c>
      <c r="T75" s="231">
        <f t="shared" si="10"/>
        <v>-6.0558676129307543E-13</v>
      </c>
      <c r="U75" s="215">
        <f t="array" ref="U75">MAX(ABS(_xll.ohFilter(T75:T109,IF(ISERROR(T75:T109),FALSE,TRUE))))</f>
        <v>6.0558676129307543E-13</v>
      </c>
      <c r="W75" s="201" t="str">
        <f t="shared" si="7"/>
        <v>1D</v>
      </c>
      <c r="X75" s="199">
        <f>_xll.qlCalendarAdvance(LiborCalendar,X74,W75,"f",FALSE)</f>
        <v>42114</v>
      </c>
      <c r="Y75" s="202">
        <f>_xll.qlInterestRateIndexValueDate(IborIndex,X75,Trigger)</f>
        <v>42116</v>
      </c>
      <c r="Z75" s="203">
        <v>2.942155554591811E-3</v>
      </c>
      <c r="AA75" s="200">
        <v>2.5864057867419632E-3</v>
      </c>
    </row>
    <row r="76" spans="10:27" x14ac:dyDescent="0.2">
      <c r="M76" s="201" t="str">
        <v>obj_00530#0004</v>
      </c>
      <c r="N76" s="201" t="str">
        <f>_xll.qlRateHelperQuoteName(M76)</f>
        <v>USDAM3L4Y_Quote</v>
      </c>
      <c r="O76" s="199">
        <f>_xll.qlRateHelperLatestDate(M76,Trigger)</f>
        <v>43495</v>
      </c>
      <c r="P76" s="209">
        <f>_xll.qlRateHelperQuoteValue(M76,_xll.ohTrigger(RecalcTrigger,YieldCurve))</f>
        <v>1.2850000000000002E-2</v>
      </c>
      <c r="Q76" s="210" t="str">
        <f t="shared" si="9"/>
        <v>4Y</v>
      </c>
      <c r="R76" s="211" t="str">
        <f>_xll.qlSwapIndex(,FamilyName,Q76,NDays,Currency,Calendar,"1Y","mf","act/360",IborIndex,Discounting,,_xll.ohTrigger(Trigger,RecalcTrigger))</f>
        <v>obj_0057c#0004</v>
      </c>
      <c r="S76" s="212">
        <f>_xll.qlIndexFixing(R76,$X$19,TRUE,Trigger)</f>
        <v>1.2849999999549245E-2</v>
      </c>
      <c r="T76" s="231">
        <f t="shared" si="10"/>
        <v>-4.5075748689171746E-13</v>
      </c>
      <c r="U76" s="213"/>
      <c r="W76" s="201" t="str">
        <f t="shared" si="7"/>
        <v>1D</v>
      </c>
      <c r="X76" s="199">
        <f>_xll.qlCalendarAdvance(LiborCalendar,X75,W76,"f",FALSE)</f>
        <v>42115</v>
      </c>
      <c r="Y76" s="202">
        <f>_xll.qlInterestRateIndexValueDate(IborIndex,X76,Trigger)</f>
        <v>42117</v>
      </c>
      <c r="Z76" s="203">
        <v>2.9518696128502512E-3</v>
      </c>
      <c r="AA76" s="200">
        <v>2.6018038884956241E-3</v>
      </c>
    </row>
    <row r="77" spans="10:27" x14ac:dyDescent="0.2">
      <c r="M77" s="201" t="str">
        <v>obj_0052d#0004</v>
      </c>
      <c r="N77" s="201" t="str">
        <f>_xll.qlRateHelperQuoteName(M77)</f>
        <v>USDAM3L5Y_Quote</v>
      </c>
      <c r="O77" s="199">
        <f>_xll.qlRateHelperLatestDate(M77,Trigger)</f>
        <v>43860</v>
      </c>
      <c r="P77" s="209">
        <f>_xll.qlRateHelperQuoteValue(M77,_xll.ohTrigger(RecalcTrigger,YieldCurve))</f>
        <v>1.4590000000000001E-2</v>
      </c>
      <c r="Q77" s="210" t="str">
        <f t="shared" si="9"/>
        <v>5Y</v>
      </c>
      <c r="R77" s="211" t="str">
        <f>_xll.qlSwapIndex(,FamilyName,Q77,NDays,Currency,Calendar,"1Y","mf","act/360",IborIndex,Discounting,,_xll.ohTrigger(Trigger,RecalcTrigger))</f>
        <v>obj_00580#0004</v>
      </c>
      <c r="S77" s="212">
        <f>_xll.qlIndexFixing(R77,$X$19,TRUE,Trigger)</f>
        <v>1.4589999999643425E-2</v>
      </c>
      <c r="T77" s="231">
        <f t="shared" si="10"/>
        <v>-3.5657587993398465E-13</v>
      </c>
      <c r="W77" s="201" t="str">
        <f t="shared" si="7"/>
        <v>1D</v>
      </c>
      <c r="X77" s="199">
        <f>_xll.qlCalendarAdvance(LiborCalendar,X76,W77,"f",FALSE)</f>
        <v>42116</v>
      </c>
      <c r="Y77" s="202">
        <f>_xll.qlInterestRateIndexValueDate(IborIndex,X77,Trigger)</f>
        <v>42118</v>
      </c>
      <c r="Z77" s="203">
        <v>2.96165709800666E-3</v>
      </c>
      <c r="AA77" s="200">
        <v>2.6099950802205285E-3</v>
      </c>
    </row>
    <row r="78" spans="10:27" x14ac:dyDescent="0.2">
      <c r="M78" s="201" t="str">
        <v>obj_0052a#0004</v>
      </c>
      <c r="N78" s="201" t="str">
        <f>_xll.qlRateHelperQuoteName(M78)</f>
        <v>USDAM3L6Y_Quote</v>
      </c>
      <c r="O78" s="199">
        <f>_xll.qlRateHelperLatestDate(M78,Trigger)</f>
        <v>44225</v>
      </c>
      <c r="P78" s="209">
        <f>_xll.qlRateHelperQuoteValue(M78,_xll.ohTrigger(RecalcTrigger,YieldCurve))</f>
        <v>1.592E-2</v>
      </c>
      <c r="Q78" s="210" t="str">
        <f t="shared" si="9"/>
        <v>6Y</v>
      </c>
      <c r="R78" s="211" t="str">
        <f>_xll.qlSwapIndex(,FamilyName,Q78,NDays,Currency,Calendar,"1Y","mf","act/360",IborIndex,Discounting,,_xll.ohTrigger(Trigger,RecalcTrigger))</f>
        <v>obj_0057b#0004</v>
      </c>
      <c r="S78" s="212">
        <f>_xll.qlIndexFixing(R78,$X$19,TRUE,Trigger)</f>
        <v>1.5919999999734355E-2</v>
      </c>
      <c r="T78" s="231">
        <f t="shared" si="10"/>
        <v>-2.6564514477023238E-13</v>
      </c>
      <c r="W78" s="201" t="str">
        <f t="shared" si="7"/>
        <v>1D</v>
      </c>
      <c r="X78" s="199">
        <f>_xll.qlCalendarAdvance(LiborCalendar,X77,W78,"f",FALSE)</f>
        <v>42117</v>
      </c>
      <c r="Y78" s="202">
        <f>_xll.qlInterestRateIndexValueDate(IborIndex,X78,Trigger)</f>
        <v>42121</v>
      </c>
      <c r="Z78" s="203">
        <v>2.9914335652914859E-3</v>
      </c>
      <c r="AA78" s="200">
        <v>2.6184759821212822E-3</v>
      </c>
    </row>
    <row r="79" spans="10:27" x14ac:dyDescent="0.2">
      <c r="M79" s="201" t="str">
        <v>obj_00541#0004</v>
      </c>
      <c r="N79" s="201" t="str">
        <f>_xll.qlRateHelperQuoteName(M79)</f>
        <v>USDAM3L7Y_Quote</v>
      </c>
      <c r="O79" s="199">
        <f>_xll.qlRateHelperLatestDate(M79,Trigger)</f>
        <v>44592</v>
      </c>
      <c r="P79" s="209">
        <f>_xll.qlRateHelperQuoteValue(M79,_xll.ohTrigger(RecalcTrigger,YieldCurve))</f>
        <v>1.7000000000000001E-2</v>
      </c>
      <c r="Q79" s="210" t="str">
        <f t="shared" si="9"/>
        <v>7Y</v>
      </c>
      <c r="R79" s="211" t="str">
        <f>_xll.qlSwapIndex(,FamilyName,Q79,NDays,Currency,Calendar,"1Y","mf","act/360",IborIndex,Discounting,,_xll.ohTrigger(Trigger,RecalcTrigger))</f>
        <v>obj_00581#0004</v>
      </c>
      <c r="S79" s="212">
        <f>_xll.qlIndexFixing(R79,$X$19,TRUE,Trigger)</f>
        <v>1.6999999999768624E-2</v>
      </c>
      <c r="T79" s="231">
        <f t="shared" si="10"/>
        <v>-2.3137741722578653E-13</v>
      </c>
      <c r="W79" s="201" t="str">
        <f t="shared" si="7"/>
        <v>1D</v>
      </c>
      <c r="X79" s="199">
        <f>_xll.qlCalendarAdvance(LiborCalendar,X78,W79,"f",FALSE)</f>
        <v>42118</v>
      </c>
      <c r="Y79" s="202">
        <f>_xll.qlInterestRateIndexValueDate(IborIndex,X79,Trigger)</f>
        <v>42122</v>
      </c>
      <c r="Z79" s="203">
        <v>3.001488208351606E-3</v>
      </c>
      <c r="AA79" s="200">
        <v>2.6271668402344517E-3</v>
      </c>
    </row>
    <row r="80" spans="10:27" x14ac:dyDescent="0.2">
      <c r="M80" s="201" t="str">
        <v>obj_00523#0004</v>
      </c>
      <c r="N80" s="201" t="str">
        <f>_xll.qlRateHelperQuoteName(M80)</f>
        <v>USDAM3L8Y_Quote</v>
      </c>
      <c r="O80" s="199">
        <f>_xll.qlRateHelperLatestDate(M80,Trigger)</f>
        <v>44956</v>
      </c>
      <c r="P80" s="209">
        <f>_xll.qlRateHelperQuoteValue(M80,_xll.ohTrigger(RecalcTrigger,YieldCurve))</f>
        <v>1.788E-2</v>
      </c>
      <c r="Q80" s="210" t="str">
        <f t="shared" si="9"/>
        <v>8Y</v>
      </c>
      <c r="R80" s="211" t="str">
        <f>_xll.qlSwapIndex(,FamilyName,Q80,NDays,Currency,Calendar,"1Y","mf","act/360",IborIndex,Discounting,,_xll.ohTrigger(Trigger,RecalcTrigger))</f>
        <v>obj_00587#0004</v>
      </c>
      <c r="S80" s="212">
        <f>_xll.qlIndexFixing(R80,$X$19,TRUE,Trigger)</f>
        <v>1.7879999999808469E-2</v>
      </c>
      <c r="T80" s="231">
        <f t="shared" si="10"/>
        <v>-1.9153081898259927E-13</v>
      </c>
      <c r="W80" s="201" t="str">
        <f t="shared" si="7"/>
        <v>1D</v>
      </c>
      <c r="X80" s="199">
        <f>_xll.qlCalendarAdvance(LiborCalendar,X79,W80,"f",FALSE)</f>
        <v>42121</v>
      </c>
      <c r="Y80" s="202">
        <f>_xll.qlInterestRateIndexValueDate(IborIndex,X80,Trigger)</f>
        <v>42123</v>
      </c>
      <c r="Z80" s="203">
        <v>3.0116030033496624E-3</v>
      </c>
      <c r="AA80" s="200">
        <v>2.6481785226484256E-3</v>
      </c>
    </row>
    <row r="81" spans="13:27" x14ac:dyDescent="0.2">
      <c r="M81" s="201" t="str">
        <v>obj_00542#0004</v>
      </c>
      <c r="N81" s="201" t="str">
        <f>_xll.qlRateHelperQuoteName(M81)</f>
        <v>USDAM3L9Y_Quote</v>
      </c>
      <c r="O81" s="199">
        <f>_xll.qlRateHelperLatestDate(M81,Trigger)</f>
        <v>45321</v>
      </c>
      <c r="P81" s="209">
        <f>_xll.qlRateHelperQuoteValue(M81,_xll.ohTrigger(RecalcTrigger,YieldCurve))</f>
        <v>1.8610000000000002E-2</v>
      </c>
      <c r="Q81" s="210" t="str">
        <f t="shared" si="9"/>
        <v>9Y</v>
      </c>
      <c r="R81" s="211" t="str">
        <f>_xll.qlSwapIndex(,FamilyName,Q81,NDays,Currency,Calendar,"1Y","mf","act/360",IborIndex,Discounting,,_xll.ohTrigger(Trigger,RecalcTrigger))</f>
        <v>obj_0057e#0004</v>
      </c>
      <c r="S81" s="212">
        <f>_xll.qlIndexFixing(R81,$X$19,TRUE,Trigger)</f>
        <v>1.8609999999896053E-2</v>
      </c>
      <c r="T81" s="231">
        <f t="shared" si="10"/>
        <v>-1.0394810012748223E-13</v>
      </c>
      <c r="W81" s="201" t="str">
        <f t="shared" si="7"/>
        <v>1D</v>
      </c>
      <c r="X81" s="199">
        <f>_xll.qlCalendarAdvance(LiborCalendar,X80,W81,"f",FALSE)</f>
        <v>42122</v>
      </c>
      <c r="Y81" s="202">
        <f>_xll.qlInterestRateIndexValueDate(IborIndex,X81,Trigger)</f>
        <v>42124</v>
      </c>
      <c r="Z81" s="203">
        <v>3.0276247956984512E-3</v>
      </c>
      <c r="AA81" s="200">
        <v>2.6681876985445996E-3</v>
      </c>
    </row>
    <row r="82" spans="13:27" x14ac:dyDescent="0.2">
      <c r="M82" s="201" t="str">
        <v>obj_00528#0004</v>
      </c>
      <c r="N82" s="201" t="str">
        <f>_xll.qlRateHelperQuoteName(M82)</f>
        <v>USDAM3L10Y_Quote</v>
      </c>
      <c r="O82" s="199">
        <f>_xll.qlRateHelperLatestDate(M82,Trigger)</f>
        <v>45687</v>
      </c>
      <c r="P82" s="209">
        <f>_xll.qlRateHelperQuoteValue(M82,_xll.ohTrigger(RecalcTrigger,YieldCurve))</f>
        <v>1.9220000000000001E-2</v>
      </c>
      <c r="Q82" s="210" t="str">
        <f t="shared" si="9"/>
        <v>10Y</v>
      </c>
      <c r="R82" s="211" t="str">
        <f>_xll.qlSwapIndex(,FamilyName,Q82,NDays,Currency,Calendar,"1Y","mf","act/360",IborIndex,Discounting,,_xll.ohTrigger(Trigger,RecalcTrigger))</f>
        <v>obj_00584#0004</v>
      </c>
      <c r="S82" s="212">
        <f>_xll.qlIndexFixing(R82,$X$19,TRUE,Trigger)</f>
        <v>1.9220000000008463E-2</v>
      </c>
      <c r="T82" s="231">
        <f t="shared" si="10"/>
        <v>8.461981115814865E-15</v>
      </c>
      <c r="W82" s="201" t="str">
        <f t="shared" si="7"/>
        <v>1D</v>
      </c>
      <c r="X82" s="199">
        <f>_xll.qlCalendarAdvance(LiborCalendar,X81,W82,"f",FALSE)</f>
        <v>42123</v>
      </c>
      <c r="Y82" s="202">
        <f>_xll.qlInterestRateIndexValueDate(IborIndex,X82,Trigger)</f>
        <v>42125</v>
      </c>
      <c r="Z82" s="203">
        <v>3.0497372359860452E-3</v>
      </c>
      <c r="AA82" s="200">
        <v>2.6758254297121198E-3</v>
      </c>
    </row>
    <row r="83" spans="13:27" x14ac:dyDescent="0.2">
      <c r="M83" s="201" t="str">
        <v>obj_00545#0004</v>
      </c>
      <c r="N83" s="201" t="str">
        <f>_xll.qlRateHelperQuoteName(M83)</f>
        <v>USDAM3L12Y_Quote</v>
      </c>
      <c r="O83" s="199">
        <f>_xll.qlRateHelperLatestDate(M83,Trigger)</f>
        <v>46416</v>
      </c>
      <c r="P83" s="209">
        <f>_xll.qlRateHelperQuoteValue(M83,_xll.ohTrigger(RecalcTrigger,YieldCurve))</f>
        <v>2.0160000000000001E-2</v>
      </c>
      <c r="Q83" s="210" t="str">
        <f t="shared" si="9"/>
        <v>12Y</v>
      </c>
      <c r="R83" s="211" t="str">
        <f>_xll.qlSwapIndex(,FamilyName,Q83,NDays,Currency,Calendar,"1Y","mf","act/360",IborIndex,Discounting,,_xll.ohTrigger(Trigger,RecalcTrigger))</f>
        <v>obj_00588#0004</v>
      </c>
      <c r="S83" s="212">
        <f>_xll.qlIndexFixing(R83,$X$19,TRUE,Trigger)</f>
        <v>2.0160000000097759E-2</v>
      </c>
      <c r="T83" s="231">
        <f t="shared" si="10"/>
        <v>9.7758606765196987E-14</v>
      </c>
      <c r="W83" s="201" t="str">
        <f t="shared" si="7"/>
        <v>1D</v>
      </c>
      <c r="X83" s="199">
        <f>_xll.qlCalendarAdvance(LiborCalendar,X82,W83,"f",FALSE)</f>
        <v>42124</v>
      </c>
      <c r="Y83" s="202">
        <f>_xll.qlInterestRateIndexValueDate(IborIndex,X83,Trigger)</f>
        <v>42129</v>
      </c>
      <c r="Z83" s="203">
        <v>3.0795595346182871E-3</v>
      </c>
      <c r="AA83" s="200">
        <v>2.6832743474347609E-3</v>
      </c>
    </row>
    <row r="84" spans="13:27" x14ac:dyDescent="0.2">
      <c r="M84" s="201" t="str">
        <v>obj_0053e#0004</v>
      </c>
      <c r="N84" s="201" t="str">
        <f>_xll.qlRateHelperQuoteName(M84)</f>
        <v>USDAM3L15Y_Quote</v>
      </c>
      <c r="O84" s="199">
        <f>_xll.qlRateHelperLatestDate(M84,Trigger)</f>
        <v>47513</v>
      </c>
      <c r="P84" s="209">
        <f>_xll.qlRateHelperQuoteValue(M84,_xll.ohTrigger(RecalcTrigger,YieldCurve))</f>
        <v>2.1160000000000002E-2</v>
      </c>
      <c r="Q84" s="210" t="str">
        <f t="shared" si="9"/>
        <v>15Y</v>
      </c>
      <c r="R84" s="211" t="str">
        <f>_xll.qlSwapIndex(,FamilyName,Q84,NDays,Currency,Calendar,"1Y","mf","act/360",IborIndex,Discounting,,_xll.ohTrigger(Trigger,RecalcTrigger))</f>
        <v>obj_00586#0004</v>
      </c>
      <c r="S84" s="212">
        <f>_xll.qlIndexFixing(R84,$X$19,TRUE,Trigger)</f>
        <v>2.1160000000059773E-2</v>
      </c>
      <c r="T84" s="231">
        <f t="shared" si="10"/>
        <v>5.9771632088256865E-14</v>
      </c>
      <c r="W84" s="201" t="str">
        <f t="shared" si="7"/>
        <v>1D</v>
      </c>
      <c r="X84" s="199">
        <f>_xll.qlCalendarAdvance(LiborCalendar,X83,W84,"f",FALSE)</f>
        <v>42125</v>
      </c>
      <c r="Y84" s="202">
        <f>_xll.qlInterestRateIndexValueDate(IborIndex,X84,Trigger)</f>
        <v>42130</v>
      </c>
      <c r="Z84" s="203">
        <v>3.0901391681231981E-3</v>
      </c>
      <c r="AA84" s="200">
        <v>2.6975630174685961E-3</v>
      </c>
    </row>
    <row r="85" spans="13:27" x14ac:dyDescent="0.2">
      <c r="M85" s="201" t="str">
        <v>obj_0053d#0004</v>
      </c>
      <c r="N85" s="201" t="str">
        <f>_xll.qlRateHelperQuoteName(M85)</f>
        <v>USDAM3L20Y_Quote</v>
      </c>
      <c r="O85" s="199">
        <f>_xll.qlRateHelperLatestDate(M85,Trigger)</f>
        <v>49339</v>
      </c>
      <c r="P85" s="209">
        <f>_xll.qlRateHelperQuoteValue(M85,_xll.ohTrigger(RecalcTrigger,YieldCurve))</f>
        <v>2.214E-2</v>
      </c>
      <c r="Q85" s="210" t="str">
        <f t="shared" si="9"/>
        <v>20Y</v>
      </c>
      <c r="R85" s="211" t="str">
        <f>_xll.qlSwapIndex(,FamilyName,Q85,NDays,Currency,Calendar,"1Y","mf","act/360",IborIndex,Discounting,,_xll.ohTrigger(Trigger,RecalcTrigger))</f>
        <v>obj_00579#0004</v>
      </c>
      <c r="S85" s="212">
        <f>_xll.qlIndexFixing(R85,$X$19,TRUE,Trigger)</f>
        <v>2.2139999999972629E-2</v>
      </c>
      <c r="T85" s="231">
        <f t="shared" si="10"/>
        <v>-2.7370467003962062E-14</v>
      </c>
      <c r="W85" s="201" t="str">
        <f t="shared" ref="W85:W148" si="11">W84</f>
        <v>1D</v>
      </c>
      <c r="X85" s="199">
        <f>_xll.qlCalendarAdvance(LiborCalendar,X84,W85,"f",FALSE)</f>
        <v>42129</v>
      </c>
      <c r="Y85" s="202">
        <f>_xll.qlInterestRateIndexValueDate(IborIndex,X85,Trigger)</f>
        <v>42131</v>
      </c>
      <c r="Z85" s="203">
        <v>3.1007890483565437E-3</v>
      </c>
      <c r="AA85" s="200">
        <v>2.7111818827574297E-3</v>
      </c>
    </row>
    <row r="86" spans="13:27" x14ac:dyDescent="0.2">
      <c r="M86" s="201" t="str">
        <v>obj_0052b#0004</v>
      </c>
      <c r="N86" s="201" t="str">
        <f>_xll.qlRateHelperQuoteName(M86)</f>
        <v>USDAM3L25Y_Quote</v>
      </c>
      <c r="O86" s="199">
        <f>_xll.qlRateHelperLatestDate(M86,Trigger)</f>
        <v>51165</v>
      </c>
      <c r="P86" s="209">
        <f>_xll.qlRateHelperQuoteValue(M86,_xll.ohTrigger(RecalcTrigger,YieldCurve))</f>
        <v>2.2589999999999999E-2</v>
      </c>
      <c r="Q86" s="210" t="str">
        <f t="shared" si="9"/>
        <v>25Y</v>
      </c>
      <c r="R86" s="211" t="str">
        <f>_xll.qlSwapIndex(,FamilyName,Q86,NDays,Currency,Calendar,"1Y","mf","act/360",IborIndex,Discounting,,_xll.ohTrigger(Trigger,RecalcTrigger))</f>
        <v>obj_00583#0004</v>
      </c>
      <c r="S86" s="212">
        <f>_xll.qlIndexFixing(R86,$X$19,TRUE,Trigger)</f>
        <v>2.2589999999999479E-2</v>
      </c>
      <c r="T86" s="231">
        <f t="shared" si="10"/>
        <v>-5.2041704279304213E-16</v>
      </c>
      <c r="W86" s="201" t="str">
        <f t="shared" si="11"/>
        <v>1D</v>
      </c>
      <c r="X86" s="199">
        <f>_xll.qlCalendarAdvance(LiborCalendar,X85,W86,"f",FALSE)</f>
        <v>42130</v>
      </c>
      <c r="Y86" s="202">
        <f>_xll.qlInterestRateIndexValueDate(IborIndex,X86,Trigger)</f>
        <v>42132</v>
      </c>
      <c r="Z86" s="203">
        <v>3.1238891830214503E-3</v>
      </c>
      <c r="AA86" s="200">
        <v>2.7176867326961229E-3</v>
      </c>
    </row>
    <row r="87" spans="13:27" x14ac:dyDescent="0.2">
      <c r="M87" s="201" t="str">
        <v>obj_0053f#0004</v>
      </c>
      <c r="N87" s="201" t="str">
        <f>_xll.qlRateHelperQuoteName(M87)</f>
        <v>USDAM3L30Y_Quote</v>
      </c>
      <c r="O87" s="199">
        <f>_xll.qlRateHelperLatestDate(M87,Trigger)</f>
        <v>52992</v>
      </c>
      <c r="P87" s="209">
        <f>_xll.qlRateHelperQuoteValue(M87,_xll.ohTrigger(RecalcTrigger,YieldCurve))</f>
        <v>2.2860000000000002E-2</v>
      </c>
      <c r="Q87" s="210" t="str">
        <f t="shared" si="9"/>
        <v>30Y</v>
      </c>
      <c r="R87" s="211" t="str">
        <f>_xll.qlSwapIndex(,FamilyName,Q87,NDays,Currency,Calendar,"1Y","mf","act/360",IborIndex,Discounting,,_xll.ohTrigger(Trigger,RecalcTrigger))</f>
        <v>obj_0057a#0004</v>
      </c>
      <c r="S87" s="212">
        <f>_xll.qlIndexFixing(R87,$X$19,TRUE,Trigger)</f>
        <v>2.2859999999997077E-2</v>
      </c>
      <c r="T87" s="231">
        <f t="shared" si="10"/>
        <v>-2.9247437804968968E-15</v>
      </c>
      <c r="W87" s="201" t="str">
        <f t="shared" si="11"/>
        <v>1D</v>
      </c>
      <c r="X87" s="199">
        <f>_xll.qlCalendarAdvance(LiborCalendar,X86,W87,"f",FALSE)</f>
        <v>42131</v>
      </c>
      <c r="Y87" s="202">
        <f>_xll.qlInterestRateIndexValueDate(IborIndex,X87,Trigger)</f>
        <v>42135</v>
      </c>
      <c r="Z87" s="203">
        <v>3.1441426225037078E-3</v>
      </c>
      <c r="AA87" s="200">
        <v>2.724002769030065E-3</v>
      </c>
    </row>
    <row r="88" spans="13:27" x14ac:dyDescent="0.2">
      <c r="M88" s="201" t="str">
        <v>obj_0052c#0004</v>
      </c>
      <c r="N88" s="201" t="str">
        <f>_xll.qlRateHelperQuoteName(M88)</f>
        <v>USDAM3L40Y_Quote</v>
      </c>
      <c r="O88" s="199">
        <f>_xll.qlRateHelperLatestDate(M88,Trigger)</f>
        <v>56643</v>
      </c>
      <c r="P88" s="209">
        <f>_xll.qlRateHelperQuoteValue(M88,_xll.ohTrigger(RecalcTrigger,YieldCurve))</f>
        <v>2.3099999999999999E-2</v>
      </c>
      <c r="Q88" s="210" t="str">
        <f t="shared" si="9"/>
        <v>40Y</v>
      </c>
      <c r="R88" s="211" t="str">
        <f>_xll.qlSwapIndex(,FamilyName,Q88,NDays,Currency,Calendar,"1Y","mf","act/360",IborIndex,Discounting,,_xll.ohTrigger(Trigger,RecalcTrigger))</f>
        <v>obj_00578#0004</v>
      </c>
      <c r="S88" s="212">
        <f>_xll.qlIndexFixing(R88,$X$19,TRUE,Trigger)</f>
        <v>2.3099999999960083E-2</v>
      </c>
      <c r="T88" s="231">
        <f t="shared" si="10"/>
        <v>-3.9915987182226331E-14</v>
      </c>
      <c r="W88" s="201" t="str">
        <f t="shared" si="11"/>
        <v>1D</v>
      </c>
      <c r="X88" s="199">
        <f>_xll.qlCalendarAdvance(LiborCalendar,X87,W88,"f",FALSE)</f>
        <v>42132</v>
      </c>
      <c r="Y88" s="202">
        <f>_xll.qlInterestRateIndexValueDate(IborIndex,X88,Trigger)</f>
        <v>42136</v>
      </c>
      <c r="Z88" s="203">
        <v>3.1551824261132492E-3</v>
      </c>
      <c r="AA88" s="200">
        <v>2.7301299918391919E-3</v>
      </c>
    </row>
    <row r="89" spans="13:27" x14ac:dyDescent="0.2">
      <c r="M89" s="201" t="str">
        <v>obj_00531#0004</v>
      </c>
      <c r="N89" s="201" t="str">
        <f>_xll.qlRateHelperQuoteName(M89)</f>
        <v>USDAM3L50Y_Quote</v>
      </c>
      <c r="O89" s="199">
        <f>_xll.qlRateHelperLatestDate(M89,Trigger)</f>
        <v>60297</v>
      </c>
      <c r="P89" s="209">
        <f>_xll.qlRateHelperQuoteValue(M89,_xll.ohTrigger(RecalcTrigger,YieldCurve))</f>
        <v>2.2860000000000002E-2</v>
      </c>
      <c r="Q89" s="210" t="str">
        <f t="shared" si="9"/>
        <v>50Y</v>
      </c>
      <c r="R89" s="211" t="str">
        <f>_xll.qlSwapIndex(,FamilyName,Q89,NDays,Currency,Calendar,"1Y","mf","act/360",IborIndex,Discounting,,_xll.ohTrigger(Trigger,RecalcTrigger))</f>
        <v>obj_00585#0004</v>
      </c>
      <c r="S89" s="212">
        <f>_xll.qlIndexFixing(R89,$X$19,TRUE,Trigger)</f>
        <v>2.2859999999984167E-2</v>
      </c>
      <c r="T89" s="231">
        <f t="shared" si="10"/>
        <v>-1.5834555888716295E-14</v>
      </c>
      <c r="W89" s="201" t="str">
        <f t="shared" si="11"/>
        <v>1D</v>
      </c>
      <c r="X89" s="199">
        <f>_xll.qlCalendarAdvance(LiborCalendar,X88,W89,"f",FALSE)</f>
        <v>42135</v>
      </c>
      <c r="Y89" s="202">
        <f>_xll.qlInterestRateIndexValueDate(IborIndex,X89,Trigger)</f>
        <v>42137</v>
      </c>
      <c r="Z89" s="203">
        <v>3.166307952575954E-3</v>
      </c>
      <c r="AA89" s="200">
        <v>2.7417759398584707E-3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9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42136</v>
      </c>
      <c r="Y90" s="202">
        <f>_xll.qlInterestRateIndexValueDate(IborIndex,X90,Trigger)</f>
        <v>42138</v>
      </c>
      <c r="Z90" s="203">
        <v>3.1775217813658488E-3</v>
      </c>
      <c r="AA90" s="200">
        <v>2.7528163932366567E-3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9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42137</v>
      </c>
      <c r="Y91" s="202">
        <f>_xll.qlInterestRateIndexValueDate(IborIndex,X91,Trigger)</f>
        <v>42139</v>
      </c>
      <c r="Z91" s="203">
        <v>3.2017078726872326E-3</v>
      </c>
      <c r="AA91" s="200">
        <v>2.7583934264718835E-3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9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42138</v>
      </c>
      <c r="Y92" s="202">
        <f>_xll.qlInterestRateIndexValueDate(IborIndex,X92,Trigger)</f>
        <v>42142</v>
      </c>
      <c r="Z92" s="203">
        <v>3.2233117105090231E-3</v>
      </c>
      <c r="AA92" s="200">
        <v>2.7641755248719591E-3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9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42139</v>
      </c>
      <c r="Y93" s="202">
        <f>_xll.qlInterestRateIndexValueDate(IborIndex,X93,Trigger)</f>
        <v>42143</v>
      </c>
      <c r="Z93" s="203">
        <v>3.2350050301555027E-3</v>
      </c>
      <c r="AA93" s="200">
        <v>2.7701626881171393E-3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9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42142</v>
      </c>
      <c r="Y94" s="202">
        <f>_xll.qlInterestRateIndexValueDate(IborIndex,X94,Trigger)</f>
        <v>42144</v>
      </c>
      <c r="Z94" s="203">
        <v>3.2467978449193442E-3</v>
      </c>
      <c r="AA94" s="200">
        <v>2.7861882661817106E-3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9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42143</v>
      </c>
      <c r="Y95" s="202">
        <f>_xll.qlInterestRateIndexValueDate(IborIndex,X95,Trigger)</f>
        <v>42145</v>
      </c>
      <c r="Z95" s="203">
        <v>3.2586884496714668E-3</v>
      </c>
      <c r="AA95" s="200">
        <v>2.8031744803769243E-3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9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42144</v>
      </c>
      <c r="Y96" s="202">
        <f>_xll.qlInterestRateIndexValueDate(IborIndex,X96,Trigger)</f>
        <v>42146</v>
      </c>
      <c r="Z96" s="203">
        <v>3.2840145234298282E-3</v>
      </c>
      <c r="AA96" s="200">
        <v>2.8103920340516453E-3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9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42145</v>
      </c>
      <c r="Y97" s="202">
        <f>_xll.qlInterestRateIndexValueDate(IborIndex,X97,Trigger)</f>
        <v>42150</v>
      </c>
      <c r="Z97" s="203">
        <v>3.3195486428513284E-3</v>
      </c>
      <c r="AA97" s="200">
        <v>2.8178146528112791E-3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9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42146</v>
      </c>
      <c r="Y98" s="202">
        <f>_xll.qlInterestRateIndexValueDate(IborIndex,X98,Trigger)</f>
        <v>42151</v>
      </c>
      <c r="Z98" s="203">
        <v>3.3319901790873634E-3</v>
      </c>
      <c r="AA98" s="200">
        <v>2.8333657402157542E-3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9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42150</v>
      </c>
      <c r="Y99" s="202">
        <f>_xll.qlInterestRateIndexValueDate(IborIndex,X99,Trigger)</f>
        <v>42152</v>
      </c>
      <c r="Z99" s="203">
        <v>3.3445175690240683E-3</v>
      </c>
      <c r="AA99" s="200">
        <v>2.8495557790186865E-3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9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42151</v>
      </c>
      <c r="Y100" s="202">
        <f>_xll.qlInterestRateIndexValueDate(IborIndex,X100,Trigger)</f>
        <v>42153</v>
      </c>
      <c r="Z100" s="203">
        <v>3.3502792896417293E-3</v>
      </c>
      <c r="AA100" s="200">
        <v>2.8580037233627564E-3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9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42152</v>
      </c>
      <c r="Y101" s="202">
        <f>_xll.qlInterestRateIndexValueDate(IborIndex,X101,Trigger)</f>
        <v>42156</v>
      </c>
      <c r="Z101" s="203">
        <v>3.3954515606284532E-3</v>
      </c>
      <c r="AA101" s="200">
        <v>2.8666567330315473E-3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9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42153</v>
      </c>
      <c r="Y102" s="202">
        <f>_xll.qlInterestRateIndexValueDate(IborIndex,X102,Trigger)</f>
        <v>42157</v>
      </c>
      <c r="Z102" s="203">
        <v>3.408382640058296E-3</v>
      </c>
      <c r="AA102" s="200">
        <v>2.875514807705315E-3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9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42156</v>
      </c>
      <c r="Y103" s="202">
        <f>_xll.qlInterestRateIndexValueDate(IborIndex,X103,Trigger)</f>
        <v>42158</v>
      </c>
      <c r="Z103" s="203">
        <v>3.4213893414629082E-3</v>
      </c>
      <c r="AA103" s="200">
        <v>2.8939377711800773E-3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9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42157</v>
      </c>
      <c r="Y104" s="202">
        <f>_xll.qlInterestRateIndexValueDate(IborIndex,X104,Trigger)</f>
        <v>42159</v>
      </c>
      <c r="Z104" s="203">
        <v>3.4344699594933839E-3</v>
      </c>
      <c r="AA104" s="200">
        <v>2.9129977590880429E-3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9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42158</v>
      </c>
      <c r="Y105" s="202">
        <f>_xll.qlInterestRateIndexValueDate(IborIndex,X105,Trigger)</f>
        <v>42160</v>
      </c>
      <c r="Z105" s="203">
        <v>3.4688349481629046E-3</v>
      </c>
      <c r="AA105" s="200">
        <v>2.9228811600656712E-3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9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42159</v>
      </c>
      <c r="Y106" s="202">
        <f>_xll.qlInterestRateIndexValueDate(IborIndex,X106,Trigger)</f>
        <v>42163</v>
      </c>
      <c r="Z106" s="203">
        <v>3.4874974902319943E-3</v>
      </c>
      <c r="AA106" s="200">
        <v>2.9329696262880844E-3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9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42160</v>
      </c>
      <c r="Y107" s="202">
        <f>_xll.qlInterestRateIndexValueDate(IborIndex,X107,Trigger)</f>
        <v>42164</v>
      </c>
      <c r="Z107" s="203">
        <v>3.5009221104917807E-3</v>
      </c>
      <c r="AA107" s="200">
        <v>2.9432631578352186E-3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9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42163</v>
      </c>
      <c r="Y108" s="202">
        <f>_xll.qlInterestRateIndexValueDate(IborIndex,X108,Trigger)</f>
        <v>42165</v>
      </c>
      <c r="Z108" s="203">
        <v>3.5144104148799728E-3</v>
      </c>
      <c r="AA108" s="200">
        <v>2.9645581844306435E-3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9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42164</v>
      </c>
      <c r="Y109" s="202">
        <f>_xll.qlInterestRateIndexValueDate(IborIndex,X109,Trigger)</f>
        <v>42166</v>
      </c>
      <c r="Z109" s="203">
        <v>3.527960697912121E-3</v>
      </c>
      <c r="AA109" s="200">
        <v>2.9864879375107733E-3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42165</v>
      </c>
      <c r="Y110" s="202">
        <f>_xll.qlInterestRateIndexValueDate(IborIndex,X110,Trigger)</f>
        <v>42167</v>
      </c>
      <c r="Z110" s="203">
        <v>3.5560484554291454E-3</v>
      </c>
      <c r="AA110" s="200">
        <v>2.9978067958413845E-3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42166</v>
      </c>
      <c r="Y111" s="202">
        <f>_xll.qlInterestRateIndexValueDate(IborIndex,X111,Trigger)</f>
        <v>42170</v>
      </c>
      <c r="Z111" s="203">
        <v>3.5827475060371105E-3</v>
      </c>
      <c r="AA111" s="200">
        <v>3.0093307195766528E-3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42167</v>
      </c>
      <c r="Y112" s="202">
        <f>_xll.qlInterestRateIndexValueDate(IborIndex,X112,Trigger)</f>
        <v>42171</v>
      </c>
      <c r="Z112" s="203">
        <v>3.5965820992715962E-3</v>
      </c>
      <c r="AA112" s="200">
        <v>3.0210335713043435E-3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42170</v>
      </c>
      <c r="Y113" s="202">
        <f>_xll.qlInterestRateIndexValueDate(IborIndex,X113,Trigger)</f>
        <v>42172</v>
      </c>
      <c r="Z113" s="203">
        <v>3.6104684377941364E-3</v>
      </c>
      <c r="AA113" s="200">
        <v>3.0446781004922485E-3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42171</v>
      </c>
      <c r="Y114" s="202">
        <f>_xll.qlInterestRateIndexValueDate(IborIndex,X114,Trigger)</f>
        <v>42173</v>
      </c>
      <c r="Z114" s="203">
        <v>3.6244048532601382E-3</v>
      </c>
      <c r="AA114" s="200">
        <v>3.0684319315010811E-3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42172</v>
      </c>
      <c r="Y115" s="202">
        <f>_xll.qlInterestRateIndexValueDate(IborIndex,X115,Trigger)</f>
        <v>42174</v>
      </c>
      <c r="Z115" s="203">
        <v>3.6532109505153635E-3</v>
      </c>
      <c r="AA115" s="200">
        <v>3.0804021224195566E-3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42173</v>
      </c>
      <c r="Y116" s="202">
        <f>_xll.qlInterestRateIndexValueDate(IborIndex,X116,Trigger)</f>
        <v>42177</v>
      </c>
      <c r="Z116" s="203">
        <v>3.680639472709869E-3</v>
      </c>
      <c r="AA116" s="200">
        <v>3.0924205537896654E-3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42174</v>
      </c>
      <c r="Y117" s="202">
        <f>_xll.qlInterestRateIndexValueDate(IborIndex,X117,Trigger)</f>
        <v>42178</v>
      </c>
      <c r="Z117" s="203">
        <v>3.6948212039791938E-3</v>
      </c>
      <c r="AA117" s="200">
        <v>3.1044872254515354E-3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42177</v>
      </c>
      <c r="Y118" s="202">
        <f>_xll.qlInterestRateIndexValueDate(IborIndex,X118,Trigger)</f>
        <v>42179</v>
      </c>
      <c r="Z118" s="203">
        <v>3.7090526143780246E-3</v>
      </c>
      <c r="AA118" s="200">
        <v>3.1288085624758821E-3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42178</v>
      </c>
      <c r="Y119" s="202">
        <f>_xll.qlInterestRateIndexValueDate(IborIndex,X119,Trigger)</f>
        <v>42180</v>
      </c>
      <c r="Z119" s="203">
        <v>3.7233339281982506E-3</v>
      </c>
      <c r="AA119" s="200">
        <v>3.1532363159758603E-3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42179</v>
      </c>
      <c r="Y120" s="202">
        <f>_xll.qlInterestRateIndexValueDate(IborIndex,X120,Trigger)</f>
        <v>42181</v>
      </c>
      <c r="Z120" s="203">
        <v>3.7528459897828948E-3</v>
      </c>
      <c r="AA120" s="200">
        <v>3.1655441896560887E-3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42180</v>
      </c>
      <c r="Y121" s="202">
        <f>_xll.qlInterestRateIndexValueDate(IborIndex,X121,Trigger)</f>
        <v>42184</v>
      </c>
      <c r="Z121" s="203">
        <v>3.7809627037316035E-3</v>
      </c>
      <c r="AA121" s="200">
        <v>3.1779003036280784E-3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42181</v>
      </c>
      <c r="Y122" s="202">
        <f>_xll.qlInterestRateIndexValueDate(IborIndex,X122,Trigger)</f>
        <v>42185</v>
      </c>
      <c r="Z122" s="203">
        <v>3.7954968992309048E-3</v>
      </c>
      <c r="AA122" s="200">
        <v>3.1903046580517014E-3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42184</v>
      </c>
      <c r="Y123" s="202">
        <f>_xll.qlInterestRateIndexValueDate(IborIndex,X123,Trigger)</f>
        <v>42186</v>
      </c>
      <c r="Z123" s="203">
        <v>3.8100823440167593E-3</v>
      </c>
      <c r="AA123" s="200">
        <v>3.2153028847936582E-3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42185</v>
      </c>
      <c r="Y124" s="202">
        <f>_xll.qlInterestRateIndexValueDate(IborIndex,X124,Trigger)</f>
        <v>42187</v>
      </c>
      <c r="Z124" s="203">
        <v>3.8247192624175498E-3</v>
      </c>
      <c r="AA124" s="200">
        <v>3.2404044797829101E-3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42186</v>
      </c>
      <c r="Y125" s="202">
        <f>_xll.qlInterestRateIndexValueDate(IborIndex,X125,Trigger)</f>
        <v>42191</v>
      </c>
      <c r="Z125" s="203">
        <v>3.8837861589531867E-3</v>
      </c>
      <c r="AA125" s="200">
        <v>3.2657438332783784E-3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42187</v>
      </c>
      <c r="Y126" s="202">
        <f>_xll.qlInterestRateIndexValueDate(IborIndex,X126,Trigger)</f>
        <v>42191</v>
      </c>
      <c r="Z126" s="203">
        <v>3.8837861589531867E-3</v>
      </c>
      <c r="AA126" s="200">
        <v>3.2657438332783784E-3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42188</v>
      </c>
      <c r="Y127" s="202">
        <f>_xll.qlInterestRateIndexValueDate(IborIndex,X127,Trigger)</f>
        <v>42192</v>
      </c>
      <c r="Z127" s="203">
        <v>3.8986838105603068E-3</v>
      </c>
      <c r="AA127" s="200">
        <v>3.2784858706236264E-3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42191</v>
      </c>
      <c r="Y128" s="202">
        <f>_xll.qlInterestRateIndexValueDate(IborIndex,X128,Trigger)</f>
        <v>42193</v>
      </c>
      <c r="Z128" s="203">
        <v>3.9136342818716901E-3</v>
      </c>
      <c r="AA128" s="200">
        <v>3.3041610726147752E-3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42192</v>
      </c>
      <c r="Y129" s="202">
        <f>_xll.qlInterestRateIndexValueDate(IborIndex,X129,Trigger)</f>
        <v>42194</v>
      </c>
      <c r="Z129" s="203">
        <v>3.9286377972556847E-3</v>
      </c>
      <c r="AA129" s="200">
        <v>3.3299364246008878E-3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42193</v>
      </c>
      <c r="Y130" s="202">
        <f>_xll.qlInterestRateIndexValueDate(IborIndex,X130,Trigger)</f>
        <v>42195</v>
      </c>
      <c r="Z130" s="203">
        <v>3.9676607683774125E-3</v>
      </c>
      <c r="AA130" s="200">
        <v>3.3429196642842385E-3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42194</v>
      </c>
      <c r="Y131" s="202">
        <f>_xll.qlInterestRateIndexValueDate(IborIndex,X131,Trigger)</f>
        <v>42198</v>
      </c>
      <c r="Z131" s="203">
        <v>3.9891867870576964E-3</v>
      </c>
      <c r="AA131" s="200">
        <v>3.3559511444192225E-3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42195</v>
      </c>
      <c r="Y132" s="202">
        <f>_xll.qlInterestRateIndexValueDate(IborIndex,X132,Trigger)</f>
        <v>42199</v>
      </c>
      <c r="Z132" s="203">
        <v>4.0044588885107301E-3</v>
      </c>
      <c r="AA132" s="200">
        <v>3.3690308650857759E-3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42198</v>
      </c>
      <c r="Y133" s="202">
        <f>_xll.qlInterestRateIndexValueDate(IborIndex,X133,Trigger)</f>
        <v>42200</v>
      </c>
      <c r="Z133" s="203">
        <v>4.0197853803585594E-3</v>
      </c>
      <c r="AA133" s="200">
        <v>3.3953831311350768E-3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42199</v>
      </c>
      <c r="Y134" s="202">
        <f>_xll.qlInterestRateIndexValueDate(IborIndex,X134,Trigger)</f>
        <v>42201</v>
      </c>
      <c r="Z134" s="203">
        <v>4.0351664870077663E-3</v>
      </c>
      <c r="AA134" s="200">
        <v>3.4218321523482587E-3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42200</v>
      </c>
      <c r="Y135" s="202">
        <f>_xll.qlInterestRateIndexValueDate(IborIndex,X135,Trigger)</f>
        <v>42202</v>
      </c>
      <c r="Z135" s="203">
        <v>4.0669728868752853E-3</v>
      </c>
      <c r="AA135" s="200">
        <v>3.4351530753529147E-3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42201</v>
      </c>
      <c r="Y136" s="202">
        <f>_xll.qlInterestRateIndexValueDate(IborIndex,X136,Trigger)</f>
        <v>42205</v>
      </c>
      <c r="Z136" s="203">
        <v>4.0972415499741371E-3</v>
      </c>
      <c r="AA136" s="200">
        <v>3.4485222389690762E-3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42202</v>
      </c>
      <c r="Y137" s="202">
        <f>_xll.qlInterestRateIndexValueDate(IborIndex,X137,Trigger)</f>
        <v>42206</v>
      </c>
      <c r="Z137" s="203">
        <v>4.1128990969452814E-3</v>
      </c>
      <c r="AA137" s="200">
        <v>3.461939643036871E-3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42205</v>
      </c>
      <c r="Y138" s="202">
        <f>_xll.qlInterestRateIndexValueDate(IborIndex,X138,Trigger)</f>
        <v>42207</v>
      </c>
      <c r="Z138" s="203">
        <v>4.1286126052841399E-3</v>
      </c>
      <c r="AA138" s="200">
        <v>3.4889690658435057E-3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42206</v>
      </c>
      <c r="Y139" s="202">
        <f>_xll.qlInterestRateIndexValueDate(IborIndex,X139,Trigger)</f>
        <v>42208</v>
      </c>
      <c r="Z139" s="203">
        <v>4.1443822994389973E-3</v>
      </c>
      <c r="AA139" s="200">
        <v>3.5160916645438078E-3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42207</v>
      </c>
      <c r="Y140" s="202">
        <f>_xll.qlInterestRateIndexValueDate(IborIndex,X140,Trigger)</f>
        <v>42209</v>
      </c>
      <c r="Z140" s="203">
        <v>4.1770068855580883E-3</v>
      </c>
      <c r="AA140" s="200">
        <v>3.5297502712694495E-3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42208</v>
      </c>
      <c r="Y141" s="202">
        <f>_xll.qlInterestRateIndexValueDate(IborIndex,X141,Trigger)</f>
        <v>42212</v>
      </c>
      <c r="Z141" s="203">
        <v>4.2080274233935455E-3</v>
      </c>
      <c r="AA141" s="200">
        <v>3.5434571186065966E-3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42209</v>
      </c>
      <c r="Y142" s="202">
        <f>_xll.qlInterestRateIndexValueDate(IborIndex,X142,Trigger)</f>
        <v>42213</v>
      </c>
      <c r="Z142" s="203">
        <v>4.2240814135646974E-3</v>
      </c>
      <c r="AA142" s="200">
        <v>3.5572122063953771E-3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42212</v>
      </c>
      <c r="Y143" s="202">
        <f>_xll.qlInterestRateIndexValueDate(IborIndex,X143,Trigger)</f>
        <v>42214</v>
      </c>
      <c r="Z143" s="203">
        <v>4.2401929363692897E-3</v>
      </c>
      <c r="AA143" s="200">
        <v>3.5849188821490685E-3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42213</v>
      </c>
      <c r="Y144" s="202">
        <f>_xll.qlInterestRateIndexValueDate(IborIndex,X144,Trigger)</f>
        <v>42215</v>
      </c>
      <c r="Z144" s="203">
        <v>4.256362216297313E-3</v>
      </c>
      <c r="AA144" s="200">
        <v>3.6127149633458089E-3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42214</v>
      </c>
      <c r="Y145" s="202">
        <f>_xll.qlInterestRateIndexValueDate(IborIndex,X145,Trigger)</f>
        <v>42216</v>
      </c>
      <c r="Z145" s="203">
        <v>4.2640030502068046E-3</v>
      </c>
      <c r="AA145" s="200">
        <v>3.6267112539523083E-3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42215</v>
      </c>
      <c r="Y146" s="202">
        <f>_xll.qlInterestRateIndexValueDate(IborIndex,X146,Trigger)</f>
        <v>42219</v>
      </c>
      <c r="Z146" s="203">
        <v>4.3216213972981391E-3</v>
      </c>
      <c r="AA146" s="200">
        <v>3.6407557852502492E-3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42216</v>
      </c>
      <c r="Y147" s="202">
        <f>_xll.qlInterestRateIndexValueDate(IborIndex,X147,Trigger)</f>
        <v>42220</v>
      </c>
      <c r="Z147" s="203">
        <v>4.3380828304356136E-3</v>
      </c>
      <c r="AA147" s="200">
        <v>3.6548485570797595E-3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42219</v>
      </c>
      <c r="Y148" s="202">
        <f>_xll.qlInterestRateIndexValueDate(IborIndex,X148,Trigger)</f>
        <v>42221</v>
      </c>
      <c r="Z148" s="203">
        <v>4.3546033677763583E-3</v>
      </c>
      <c r="AA148" s="200">
        <v>3.6832325858071613E-3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42220</v>
      </c>
      <c r="Y149" s="202">
        <f>_xll.qlInterestRateIndexValueDate(IborIndex,X149,Trigger)</f>
        <v>42222</v>
      </c>
      <c r="Z149" s="203">
        <v>4.3711832338564158E-3</v>
      </c>
      <c r="AA149" s="200">
        <v>3.711702050432919E-3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42221</v>
      </c>
      <c r="Y150" s="202">
        <f>_xll.qlInterestRateIndexValueDate(IborIndex,X150,Trigger)</f>
        <v>42223</v>
      </c>
      <c r="Z150" s="203">
        <v>4.4055145708517878E-3</v>
      </c>
      <c r="AA150" s="200">
        <v>3.7260360253199565E-3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42222</v>
      </c>
      <c r="Y151" s="202">
        <f>_xll.qlInterestRateIndexValueDate(IborIndex,X151,Trigger)</f>
        <v>42226</v>
      </c>
      <c r="Z151" s="203">
        <v>4.4381004765026155E-3</v>
      </c>
      <c r="AA151" s="200">
        <v>3.7404182408184994E-3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42223</v>
      </c>
      <c r="Y152" s="202">
        <f>_xll.qlInterestRateIndexValueDate(IborIndex,X152,Trigger)</f>
        <v>42227</v>
      </c>
      <c r="Z152" s="203">
        <v>4.463946428241653E-3</v>
      </c>
      <c r="AA152" s="200">
        <v>3.7548486969285477E-3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42226</v>
      </c>
      <c r="Y153" s="202">
        <f>_xll.qlInterestRateIndexValueDate(IborIndex,X153,Trigger)</f>
        <v>42228</v>
      </c>
      <c r="Z153" s="203">
        <v>4.4719209086617898E-3</v>
      </c>
      <c r="AA153" s="200">
        <v>3.7839101825998256E-3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42227</v>
      </c>
      <c r="Y154" s="202">
        <f>_xll.qlInterestRateIndexValueDate(IborIndex,X154,Trigger)</f>
        <v>42229</v>
      </c>
      <c r="Z154" s="203">
        <v>4.4889223634579584E-3</v>
      </c>
      <c r="AA154" s="200">
        <v>3.8130529278834757E-3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42228</v>
      </c>
      <c r="Y155" s="202">
        <f>_xll.qlInterestRateIndexValueDate(IborIndex,X155,Trigger)</f>
        <v>42230</v>
      </c>
      <c r="Z155" s="203">
        <v>4.5241390221578805E-3</v>
      </c>
      <c r="AA155" s="200">
        <v>3.8277245872109233E-3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42229</v>
      </c>
      <c r="Y156" s="202">
        <f>_xll.qlInterestRateIndexValueDate(IborIndex,X156,Trigger)</f>
        <v>42233</v>
      </c>
      <c r="Z156" s="203">
        <v>4.5575416812145787E-3</v>
      </c>
      <c r="AA156" s="200">
        <v>3.8424444873097485E-3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42230</v>
      </c>
      <c r="Y157" s="202">
        <f>_xll.qlInterestRateIndexValueDate(IborIndex,X157,Trigger)</f>
        <v>42234</v>
      </c>
      <c r="Z157" s="203">
        <v>4.574851008324477E-3</v>
      </c>
      <c r="AA157" s="200">
        <v>3.8572126280200791E-3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42233</v>
      </c>
      <c r="Y158" s="202">
        <f>_xll.qlInterestRateIndexValueDate(IborIndex,X158,Trigger)</f>
        <v>42235</v>
      </c>
      <c r="Z158" s="203">
        <v>4.5922225837365408E-3</v>
      </c>
      <c r="AA158" s="200">
        <v>3.8869516784956204E-3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42234</v>
      </c>
      <c r="Y159" s="202">
        <f>_xll.qlInterestRateIndexValueDate(IborIndex,X159,Trigger)</f>
        <v>42236</v>
      </c>
      <c r="Z159" s="203">
        <v>4.6096566320806493E-3</v>
      </c>
      <c r="AA159" s="200">
        <v>3.9167675976159444E-3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42235</v>
      </c>
      <c r="Y160" s="202">
        <f>_xll.qlInterestRateIndexValueDate(IborIndex,X160,Trigger)</f>
        <v>42237</v>
      </c>
      <c r="Z160" s="203">
        <v>4.645777748558181E-3</v>
      </c>
      <c r="AA160" s="200">
        <v>3.9317769418634185E-3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42236</v>
      </c>
      <c r="Y161" s="202">
        <f>_xll.qlInterestRateIndexValueDate(IborIndex,X161,Trigger)</f>
        <v>42240</v>
      </c>
      <c r="Z161" s="203">
        <v>4.6800220476079894E-3</v>
      </c>
      <c r="AA161" s="200">
        <v>3.946834526642462E-3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42237</v>
      </c>
      <c r="Y162" s="202">
        <f>_xll.qlInterestRateIndexValueDate(IborIndex,X162,Trigger)</f>
        <v>42241</v>
      </c>
      <c r="Z162" s="203">
        <v>4.6977718302968537E-3</v>
      </c>
      <c r="AA162" s="200">
        <v>3.9619403522728192E-3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42240</v>
      </c>
      <c r="Y163" s="202">
        <f>_xll.qlInterestRateIndexValueDate(IborIndex,X163,Trigger)</f>
        <v>42242</v>
      </c>
      <c r="Z163" s="203">
        <v>4.7250560483254539E-3</v>
      </c>
      <c r="AA163" s="200">
        <v>4.0000127847594769E-3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42241</v>
      </c>
      <c r="Y164" s="202">
        <f>_xll.qlInterestRateIndexValueDate(IborIndex,X164,Trigger)</f>
        <v>42243</v>
      </c>
      <c r="Z164" s="203">
        <v>4.7334630829206593E-3</v>
      </c>
      <c r="AA164" s="200">
        <v>4.0381930910360353E-3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42242</v>
      </c>
      <c r="Y165" s="202">
        <f>_xll.qlInterestRateIndexValueDate(IborIndex,X165,Trigger)</f>
        <v>42244</v>
      </c>
      <c r="Z165" s="203">
        <v>4.7705061725541236E-3</v>
      </c>
      <c r="AA165" s="200">
        <v>4.0535883610548495E-3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42243</v>
      </c>
      <c r="Y166" s="202">
        <f>_xll.qlInterestRateIndexValueDate(IborIndex,X166,Trigger)</f>
        <v>42248</v>
      </c>
      <c r="Z166" s="203">
        <v>4.8141667284934226E-3</v>
      </c>
      <c r="AA166" s="200">
        <v>4.0690318717651053E-3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42244</v>
      </c>
      <c r="Y167" s="202">
        <f>_xll.qlInterestRateIndexValueDate(IborIndex,X167,Trigger)</f>
        <v>42249</v>
      </c>
      <c r="Z167" s="203">
        <v>4.8323989309682217E-3</v>
      </c>
      <c r="AA167" s="200">
        <v>4.1001263919770992E-3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42248</v>
      </c>
      <c r="Y168" s="202">
        <f>_xll.qlInterestRateIndexValueDate(IborIndex,X168,Trigger)</f>
        <v>42250</v>
      </c>
      <c r="Z168" s="203">
        <v>4.8506967127555506E-3</v>
      </c>
      <c r="AA168" s="200">
        <v>4.1312883223998398E-3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42249</v>
      </c>
      <c r="Y169" s="202">
        <f>_xll.qlInterestRateIndexValueDate(IborIndex,X169,Trigger)</f>
        <v>42251</v>
      </c>
      <c r="Z169" s="203">
        <v>4.8690603010354419E-3</v>
      </c>
      <c r="AA169" s="200">
        <v>4.1469730370469193E-3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42250</v>
      </c>
      <c r="Y170" s="202">
        <f>_xll.qlInterestRateIndexValueDate(IborIndex,X170,Trigger)</f>
        <v>42255</v>
      </c>
      <c r="Z170" s="203">
        <v>4.9431772629817171E-3</v>
      </c>
      <c r="AA170" s="200">
        <v>4.1784871886552111E-3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42251</v>
      </c>
      <c r="Y171" s="202">
        <f>_xll.qlInterestRateIndexValueDate(IborIndex,X171,Trigger)</f>
        <v>42255</v>
      </c>
      <c r="Z171" s="203">
        <v>4.9431772629817171E-3</v>
      </c>
      <c r="AA171" s="200">
        <v>4.1784871886552111E-3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42254</v>
      </c>
      <c r="Y172" s="202">
        <f>_xll.qlInterestRateIndexValueDate(IborIndex,X172,Trigger)</f>
        <v>42256</v>
      </c>
      <c r="Z172" s="203">
        <v>4.9618732917112831E-3</v>
      </c>
      <c r="AA172" s="200">
        <v>4.2102596222193256E-3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42255</v>
      </c>
      <c r="Y173" s="202">
        <f>_xll.qlInterestRateIndexValueDate(IborIndex,X173,Trigger)</f>
        <v>42257</v>
      </c>
      <c r="Z173" s="203">
        <v>4.9806364901822664E-3</v>
      </c>
      <c r="AA173" s="200">
        <v>4.2420943815280054E-3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42256</v>
      </c>
      <c r="Y174" s="202">
        <f>_xll.qlInterestRateIndexValueDate(IborIndex,X174,Trigger)</f>
        <v>42258</v>
      </c>
      <c r="Z174" s="203">
        <v>4.9994670856256477E-3</v>
      </c>
      <c r="AA174" s="200">
        <v>4.2581167818944721E-3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42257</v>
      </c>
      <c r="Y175" s="202">
        <f>_xll.qlInterestRateIndexValueDate(IborIndex,X175,Trigger)</f>
        <v>42261</v>
      </c>
      <c r="Z175" s="203">
        <v>5.0563655262607478E-3</v>
      </c>
      <c r="AA175" s="200">
        <v>4.2741874230323162E-3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42258</v>
      </c>
      <c r="Y176" s="202">
        <f>_xll.qlInterestRateIndexValueDate(IborIndex,X176,Trigger)</f>
        <v>42262</v>
      </c>
      <c r="Z176" s="203">
        <v>5.0754679821003023E-3</v>
      </c>
      <c r="AA176" s="200">
        <v>4.2903097326796313E-3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42261</v>
      </c>
      <c r="Y177" s="202">
        <f>_xll.qlInterestRateIndexValueDate(IborIndex,X177,Trigger)</f>
        <v>42263</v>
      </c>
      <c r="Z177" s="203">
        <v>5.0946389712015596E-3</v>
      </c>
      <c r="AA177" s="200">
        <v>4.322828758764885E-3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42262</v>
      </c>
      <c r="Y178" s="202">
        <f>_xll.qlInterestRateIndexValueDate(IborIndex,X178,Trigger)</f>
        <v>42264</v>
      </c>
      <c r="Z178" s="203">
        <v>5.1138785823901705E-3</v>
      </c>
      <c r="AA178" s="200">
        <v>4.3554733271999879E-3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42263</v>
      </c>
      <c r="Y179" s="202">
        <f>_xll.qlInterestRateIndexValueDate(IborIndex,X179,Trigger)</f>
        <v>42265</v>
      </c>
      <c r="Z179" s="203">
        <v>5.1331863129509018E-3</v>
      </c>
      <c r="AA179" s="200">
        <v>4.3719362424710084E-3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42264</v>
      </c>
      <c r="Y180" s="202">
        <f>_xll.qlInterestRateIndexValueDate(IborIndex,X180,Trigger)</f>
        <v>42268</v>
      </c>
      <c r="Z180" s="203">
        <v>5.1915101495402377E-3</v>
      </c>
      <c r="AA180" s="200">
        <v>4.3884679645422864E-3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42265</v>
      </c>
      <c r="Y181" s="202">
        <f>_xll.qlInterestRateIndexValueDate(IborIndex,X181,Trigger)</f>
        <v>42269</v>
      </c>
      <c r="Z181" s="203">
        <v>5.2110822107726057E-3</v>
      </c>
      <c r="AA181" s="200">
        <v>4.4050684932539497E-3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42268</v>
      </c>
      <c r="Y182" s="202">
        <f>_xll.qlInterestRateIndexValueDate(IborIndex,X182,Trigger)</f>
        <v>42270</v>
      </c>
      <c r="Z182" s="203">
        <v>5.2307182801909786E-3</v>
      </c>
      <c r="AA182" s="200">
        <v>4.4385536294377914E-3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42269</v>
      </c>
      <c r="Y183" s="202">
        <f>_xll.qlInterestRateIndexValueDate(IborIndex,X183,Trigger)</f>
        <v>42271</v>
      </c>
      <c r="Z183" s="203">
        <v>5.2504175279747475E-3</v>
      </c>
      <c r="AA183" s="200">
        <v>4.4721586754636888E-3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42270</v>
      </c>
      <c r="Y184" s="202">
        <f>_xll.qlInterestRateIndexValueDate(IborIndex,X184,Trigger)</f>
        <v>42272</v>
      </c>
      <c r="Z184" s="203">
        <v>5.3120714547341364E-3</v>
      </c>
      <c r="AA184" s="200">
        <v>4.4891032378568951E-3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42271</v>
      </c>
      <c r="Y185" s="202">
        <f>_xll.qlInterestRateIndexValueDate(IborIndex,X185,Trigger)</f>
        <v>42275</v>
      </c>
      <c r="Z185" s="203">
        <v>5.3403582027605522E-3</v>
      </c>
      <c r="AA185" s="200">
        <v>4.5061166070503589E-3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42272</v>
      </c>
      <c r="Y186" s="202">
        <f>_xll.qlInterestRateIndexValueDate(IborIndex,X186,Trigger)</f>
        <v>42276</v>
      </c>
      <c r="Z186" s="203">
        <v>5.349832397741467E-3</v>
      </c>
      <c r="AA186" s="200">
        <v>4.5231987830440801E-3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42275</v>
      </c>
      <c r="Y187" s="202">
        <f>_xll.qlInterestRateIndexValueDate(IborIndex,X187,Trigger)</f>
        <v>42277</v>
      </c>
      <c r="Z187" s="203">
        <v>5.3804707286640181E-3</v>
      </c>
      <c r="AA187" s="200">
        <v>4.5576501898914046E-3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42276</v>
      </c>
      <c r="Y188" s="202">
        <f>_xll.qlInterestRateIndexValueDate(IborIndex,X188,Trigger)</f>
        <v>42278</v>
      </c>
      <c r="Z188" s="203">
        <v>5.4324871483668602E-3</v>
      </c>
      <c r="AA188" s="200">
        <v>4.5922155547817312E-3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42277</v>
      </c>
      <c r="Y189" s="202">
        <f>_xll.qlInterestRateIndexValueDate(IborIndex,X189,Trigger)</f>
        <v>42279</v>
      </c>
      <c r="Z189" s="203">
        <v>5.4420920520044051E-3</v>
      </c>
      <c r="AA189" s="200">
        <v>4.6096417647767396E-3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42278</v>
      </c>
      <c r="Y190" s="202">
        <f>_xll.qlInterestRateIndexValueDate(IborIndex,X190,Trigger)</f>
        <v>42282</v>
      </c>
      <c r="Z190" s="203">
        <v>5.4817295117241998E-3</v>
      </c>
      <c r="AA190" s="200">
        <v>4.6271367815720055E-3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42279</v>
      </c>
      <c r="Y191" s="202">
        <f>_xll.qlInterestRateIndexValueDate(IborIndex,X191,Trigger)</f>
        <v>42283</v>
      </c>
      <c r="Z191" s="203">
        <v>5.5021422668052279E-3</v>
      </c>
      <c r="AA191" s="200">
        <v>4.6447006051675288E-3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42282</v>
      </c>
      <c r="Y192" s="202">
        <f>_xll.qlInterestRateIndexValueDate(IborIndex,X192,Trigger)</f>
        <v>42284</v>
      </c>
      <c r="Z192" s="203">
        <v>5.522606772435319E-3</v>
      </c>
      <c r="AA192" s="200">
        <v>4.6801184501976678E-3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42283</v>
      </c>
      <c r="Y193" s="202">
        <f>_xll.qlInterestRateIndexValueDate(IborIndex,X193,Trigger)</f>
        <v>42285</v>
      </c>
      <c r="Z193" s="203">
        <v>5.5431222076112079E-3</v>
      </c>
      <c r="AA193" s="200">
        <v>4.7156439684314932E-3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42284</v>
      </c>
      <c r="Y194" s="202">
        <f>_xll.qlInterestRateIndexValueDate(IborIndex,X194,Trigger)</f>
        <v>42286</v>
      </c>
      <c r="Z194" s="203">
        <v>5.585241185132866E-3</v>
      </c>
      <c r="AA194" s="200">
        <v>4.7335518264279841E-3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42285</v>
      </c>
      <c r="Y195" s="202">
        <f>_xll.qlInterestRateIndexValueDate(IborIndex,X195,Trigger)</f>
        <v>42290</v>
      </c>
      <c r="Z195" s="203">
        <v>5.6464345904702982E-3</v>
      </c>
      <c r="AA195" s="200">
        <v>4.7695739632214185E-3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42286</v>
      </c>
      <c r="Y196" s="202">
        <f>_xll.qlInterestRateIndexValueDate(IborIndex,X196,Trigger)</f>
        <v>42290</v>
      </c>
      <c r="Z196" s="203">
        <v>5.6464345904702982E-3</v>
      </c>
      <c r="AA196" s="200">
        <v>4.7695739632214185E-3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42289</v>
      </c>
      <c r="Y197" s="202">
        <f>_xll.qlInterestRateIndexValueDate(IborIndex,X197,Trigger)</f>
        <v>42291</v>
      </c>
      <c r="Z197" s="203">
        <v>5.6672383609791882E-3</v>
      </c>
      <c r="AA197" s="200">
        <v>4.8059584206150419E-3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42290</v>
      </c>
      <c r="Y198" s="202">
        <f>_xll.qlInterestRateIndexValueDate(IborIndex,X198,Trigger)</f>
        <v>42292</v>
      </c>
      <c r="Z198" s="203">
        <v>5.6880873135722399E-3</v>
      </c>
      <c r="AA198" s="200">
        <v>4.8424439199301617E-3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42291</v>
      </c>
      <c r="Y199" s="202">
        <f>_xll.qlInterestRateIndexValueDate(IborIndex,X199,Trigger)</f>
        <v>42293</v>
      </c>
      <c r="Z199" s="203">
        <v>5.7416383822376177E-3</v>
      </c>
      <c r="AA199" s="200">
        <v>4.8608334264876873E-3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42292</v>
      </c>
      <c r="Y200" s="202">
        <f>_xll.qlInterestRateIndexValueDate(IborIndex,X200,Trigger)</f>
        <v>42296</v>
      </c>
      <c r="Z200" s="203">
        <v>5.7719185219977081E-3</v>
      </c>
      <c r="AA200" s="200">
        <v>4.8792917400852787E-3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42293</v>
      </c>
      <c r="Y201" s="202">
        <f>_xll.qlInterestRateIndexValueDate(IborIndex,X201,Trigger)</f>
        <v>42297</v>
      </c>
      <c r="Z201" s="203">
        <v>5.792981067772162E-3</v>
      </c>
      <c r="AA201" s="200">
        <v>4.8978188606429995E-3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42296</v>
      </c>
      <c r="Y202" s="202">
        <f>_xll.qlInterestRateIndexValueDate(IborIndex,X202,Trigger)</f>
        <v>42298</v>
      </c>
      <c r="Z202" s="203">
        <v>5.8140838686198031E-3</v>
      </c>
      <c r="AA202" s="200">
        <v>4.9351701117750224E-3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42297</v>
      </c>
      <c r="Y203" s="202">
        <f>_xll.qlInterestRateIndexValueDate(IborIndex,X203,Trigger)</f>
        <v>42299</v>
      </c>
      <c r="Z203" s="203">
        <v>5.835226103314068E-3</v>
      </c>
      <c r="AA203" s="200">
        <v>4.9726154127949229E-3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42298</v>
      </c>
      <c r="Y204" s="202">
        <f>_xll.qlInterestRateIndexValueDate(IborIndex,X204,Trigger)</f>
        <v>42300</v>
      </c>
      <c r="Z204" s="203">
        <v>5.8783349262781183E-3</v>
      </c>
      <c r="AA204" s="200">
        <v>4.9914865684730358E-3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42299</v>
      </c>
      <c r="Y205" s="202">
        <f>_xll.qlInterestRateIndexValueDate(IborIndex,X205,Trigger)</f>
        <v>42303</v>
      </c>
      <c r="Z205" s="203">
        <v>5.9201729554612895E-3</v>
      </c>
      <c r="AA205" s="200">
        <v>5.0104265311912144E-3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42300</v>
      </c>
      <c r="Y206" s="202">
        <f>_xll.qlInterestRateIndexValueDate(IborIndex,X206,Trigger)</f>
        <v>42304</v>
      </c>
      <c r="Z206" s="203">
        <v>5.9415000404202138E-3</v>
      </c>
      <c r="AA206" s="200">
        <v>5.0294353009494586E-3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42303</v>
      </c>
      <c r="Y207" s="202">
        <f>_xll.qlInterestRateIndexValueDate(IborIndex,X207,Trigger)</f>
        <v>42305</v>
      </c>
      <c r="Z207" s="203">
        <v>5.9628616315205614E-3</v>
      </c>
      <c r="AA207" s="200">
        <v>5.0677535345755587E-3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42304</v>
      </c>
      <c r="Y208" s="202">
        <f>_xll.qlInterestRateIndexValueDate(IborIndex,X208,Trigger)</f>
        <v>42306</v>
      </c>
      <c r="Z208" s="203">
        <v>5.9842569074193379E-3</v>
      </c>
      <c r="AA208" s="200">
        <v>5.1061584507827718E-3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42305</v>
      </c>
      <c r="Y209" s="202">
        <f>_xll.qlInterestRateIndexValueDate(IborIndex,X209,Trigger)</f>
        <v>42307</v>
      </c>
      <c r="Z209" s="203">
        <v>5.9946657031476336E-3</v>
      </c>
      <c r="AA209" s="200">
        <v>5.1255112560610883E-3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42306</v>
      </c>
      <c r="Y210" s="202">
        <f>_xll.qlInterestRateIndexValueDate(IborIndex,X210,Trigger)</f>
        <v>42310</v>
      </c>
      <c r="Z210" s="203">
        <v>6.0701584315323871E-3</v>
      </c>
      <c r="AA210" s="200">
        <v>5.1449328683794704E-3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42307</v>
      </c>
      <c r="Y211" s="202">
        <f>_xll.qlInterestRateIndexValueDate(IborIndex,X211,Trigger)</f>
        <v>42311</v>
      </c>
      <c r="Z211" s="203">
        <v>6.0917098106736695E-3</v>
      </c>
      <c r="AA211" s="200">
        <v>5.1644232878977903E-3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42310</v>
      </c>
      <c r="Y212" s="202">
        <f>_xll.qlInterestRateIndexValueDate(IborIndex,X212,Trigger)</f>
        <v>42312</v>
      </c>
      <c r="Z212" s="203">
        <v>6.1132899461931005E-3</v>
      </c>
      <c r="AA212" s="200">
        <v>5.2037087002076987E-3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42311</v>
      </c>
      <c r="Y213" s="202">
        <f>_xll.qlInterestRateIndexValueDate(IborIndex,X213,Trigger)</f>
        <v>42313</v>
      </c>
      <c r="Z213" s="203">
        <v>6.1348980166251749E-3</v>
      </c>
      <c r="AA213" s="200">
        <v>5.2430730374908308E-3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42312</v>
      </c>
      <c r="Y214" s="202">
        <f>_xll.qlInterestRateIndexValueDate(IborIndex,X214,Trigger)</f>
        <v>42314</v>
      </c>
      <c r="Z214" s="203">
        <v>6.1786514429091602E-3</v>
      </c>
      <c r="AA214" s="200">
        <v>5.2629074929289033E-3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42313</v>
      </c>
      <c r="Y215" s="202">
        <f>_xll.qlInterestRateIndexValueDate(IborIndex,X215,Trigger)</f>
        <v>42317</v>
      </c>
      <c r="Z215" s="203">
        <v>6.2215932175972415E-3</v>
      </c>
      <c r="AA215" s="200">
        <v>5.2828107554869774E-3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42314</v>
      </c>
      <c r="Y216" s="202">
        <f>_xll.qlInterestRateIndexValueDate(IborIndex,X216,Trigger)</f>
        <v>42318</v>
      </c>
      <c r="Z216" s="203">
        <v>6.2433286400217459E-3</v>
      </c>
      <c r="AA216" s="200">
        <v>5.3027828253249254E-3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42317</v>
      </c>
      <c r="Y217" s="202">
        <f>_xll.qlInterestRateIndexValueDate(IborIndex,X217,Trigger)</f>
        <v>42320</v>
      </c>
      <c r="Z217" s="203">
        <v>6.2868676805598505E-3</v>
      </c>
      <c r="AA217" s="200">
        <v>5.3833591769159028E-3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42318</v>
      </c>
      <c r="Y218" s="202">
        <f>_xll.qlInterestRateIndexValueDate(IborIndex,X218,Trigger)</f>
        <v>42320</v>
      </c>
      <c r="Z218" s="203">
        <v>6.2868676805598505E-3</v>
      </c>
      <c r="AA218" s="200">
        <v>5.3833591769159028E-3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42319</v>
      </c>
      <c r="Y219" s="202">
        <f>_xll.qlInterestRateIndexValueDate(IborIndex,X219,Trigger)</f>
        <v>42321</v>
      </c>
      <c r="Z219" s="203">
        <v>6.3419074449227366E-3</v>
      </c>
      <c r="AA219" s="200">
        <v>5.4036752830732837E-3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42320</v>
      </c>
      <c r="Y220" s="202">
        <f>_xll.qlInterestRateIndexValueDate(IborIndex,X220,Trigger)</f>
        <v>42324</v>
      </c>
      <c r="Z220" s="203">
        <v>6.3741955393050434E-3</v>
      </c>
      <c r="AA220" s="200">
        <v>5.4240601963506663E-3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42321</v>
      </c>
      <c r="Y221" s="202">
        <f>_xll.qlInterestRateIndexValueDate(IborIndex,X221,Trigger)</f>
        <v>42325</v>
      </c>
      <c r="Z221" s="203">
        <v>6.3960747480697735E-3</v>
      </c>
      <c r="AA221" s="200">
        <v>5.4445139170677948E-3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42324</v>
      </c>
      <c r="Y222" s="202">
        <f>_xll.qlInterestRateIndexValueDate(IborIndex,X222,Trigger)</f>
        <v>42326</v>
      </c>
      <c r="Z222" s="203">
        <v>6.4179712111003462E-3</v>
      </c>
      <c r="AA222" s="200">
        <v>5.4857343060366048E-3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42325</v>
      </c>
      <c r="Y223" s="202">
        <f>_xll.qlInterestRateIndexValueDate(IborIndex,X223,Trigger)</f>
        <v>42327</v>
      </c>
      <c r="Z223" s="203">
        <v>6.4398841066844971E-3</v>
      </c>
      <c r="AA223" s="200">
        <v>5.5270168729748548E-3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42326</v>
      </c>
      <c r="Y224" s="202">
        <f>_xll.qlInterestRateIndexValueDate(IborIndex,X224,Trigger)</f>
        <v>42328</v>
      </c>
      <c r="Z224" s="203">
        <v>6.4839847410716762E-3</v>
      </c>
      <c r="AA224" s="200">
        <v>5.5478146303311604E-3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42327</v>
      </c>
      <c r="Y225" s="202">
        <f>_xll.qlInterestRateIndexValueDate(IborIndex,X225,Trigger)</f>
        <v>42331</v>
      </c>
      <c r="Z225" s="203">
        <v>6.5276835796286873E-3</v>
      </c>
      <c r="AA225" s="200">
        <v>5.5686811949673398E-3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42328</v>
      </c>
      <c r="Y226" s="202">
        <f>_xll.qlInterestRateIndexValueDate(IborIndex,X226,Trigger)</f>
        <v>42332</v>
      </c>
      <c r="Z226" s="203">
        <v>6.5496663116277505E-3</v>
      </c>
      <c r="AA226" s="200">
        <v>5.5896165671232012E-3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42331</v>
      </c>
      <c r="Y227" s="202">
        <f>_xll.qlInterestRateIndexValueDate(IborIndex,X227,Trigger)</f>
        <v>42333</v>
      </c>
      <c r="Z227" s="203">
        <v>6.5716605455132136E-3</v>
      </c>
      <c r="AA227" s="200">
        <v>5.6318047700010254E-3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42332</v>
      </c>
      <c r="Y228" s="202">
        <f>_xll.qlInterestRateIndexValueDate(IborIndex,X228,Trigger)</f>
        <v>42335</v>
      </c>
      <c r="Z228" s="203">
        <v>6.6378431259417094E-3</v>
      </c>
      <c r="AA228" s="200">
        <v>5.6953255387792723E-3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42333</v>
      </c>
      <c r="Y229" s="202">
        <f>_xll.qlInterestRateIndexValueDate(IborIndex,X229,Trigger)</f>
        <v>42335</v>
      </c>
      <c r="Z229" s="203">
        <v>6.6378431259417094E-3</v>
      </c>
      <c r="AA229" s="200">
        <v>5.6953255387792723E-3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42334</v>
      </c>
      <c r="Y230" s="202">
        <f>_xll.qlInterestRateIndexValueDate(IborIndex,X230,Trigger)</f>
        <v>42338</v>
      </c>
      <c r="Z230" s="203">
        <v>6.6706961584343666E-3</v>
      </c>
      <c r="AA230" s="200">
        <v>5.716673755413737E-3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42335</v>
      </c>
      <c r="Y231" s="202">
        <f>_xll.qlInterestRateIndexValueDate(IborIndex,X231,Trigger)</f>
        <v>42339</v>
      </c>
      <c r="Z231" s="203">
        <v>6.6927439410686858E-3</v>
      </c>
      <c r="AA231" s="200">
        <v>5.7380907795678837E-3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42338</v>
      </c>
      <c r="Y232" s="202">
        <f>_xll.qlInterestRateIndexValueDate(IborIndex,X232,Trigger)</f>
        <v>42340</v>
      </c>
      <c r="Z232" s="203">
        <v>6.7147976063661524E-3</v>
      </c>
      <c r="AA232" s="200">
        <v>5.7812470243323588E-3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42339</v>
      </c>
      <c r="Y233" s="202">
        <f>_xll.qlInterestRateIndexValueDate(IborIndex,X233,Trigger)</f>
        <v>42341</v>
      </c>
      <c r="Z233" s="203">
        <v>6.7368563233404979E-3</v>
      </c>
      <c r="AA233" s="200">
        <v>5.8244469509816099E-3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42340</v>
      </c>
      <c r="Y234" s="202">
        <f>_xll.qlInterestRateIndexValueDate(IborIndex,X234,Trigger)</f>
        <v>42342</v>
      </c>
      <c r="Z234" s="203">
        <v>6.758919260988764E-3</v>
      </c>
      <c r="AA234" s="200">
        <v>5.8462080126542304E-3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42341</v>
      </c>
      <c r="Y235" s="202">
        <f>_xll.qlInterestRateIndexValueDate(IborIndex,X235,Trigger)</f>
        <v>42345</v>
      </c>
      <c r="Z235" s="203">
        <v>6.8251250876567391E-3</v>
      </c>
      <c r="AA235" s="200">
        <v>5.8680378818465329E-3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42342</v>
      </c>
      <c r="Y236" s="202">
        <f>_xll.qlInterestRateIndexValueDate(IborIndex,X236,Trigger)</f>
        <v>42346</v>
      </c>
      <c r="Z236" s="203">
        <v>6.8471965975889859E-3</v>
      </c>
      <c r="AA236" s="200">
        <v>5.8899365585585173E-3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42345</v>
      </c>
      <c r="Y237" s="202">
        <f>_xll.qlInterestRateIndexValueDate(IborIndex,X237,Trigger)</f>
        <v>42347</v>
      </c>
      <c r="Z237" s="203">
        <v>6.8692681728983879E-3</v>
      </c>
      <c r="AA237" s="200">
        <v>5.9340610816072115E-3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42346</v>
      </c>
      <c r="Y238" s="202">
        <f>_xll.qlInterestRateIndexValueDate(IborIndex,X238,Trigger)</f>
        <v>42348</v>
      </c>
      <c r="Z238" s="203">
        <v>6.8913389824686692E-3</v>
      </c>
      <c r="AA238" s="200">
        <v>5.9782193413226992E-3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42347</v>
      </c>
      <c r="Y239" s="202">
        <f>_xll.qlInterestRateIndexValueDate(IborIndex,X239,Trigger)</f>
        <v>42349</v>
      </c>
      <c r="Z239" s="203">
        <v>6.9134081951677433E-3</v>
      </c>
      <c r="AA239" s="200">
        <v>6.0004620560327737E-3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42348</v>
      </c>
      <c r="Y240" s="202">
        <f>_xll.qlInterestRateIndexValueDate(IborIndex,X240,Trigger)</f>
        <v>42352</v>
      </c>
      <c r="Z240" s="203">
        <v>6.9795979404217159E-3</v>
      </c>
      <c r="AA240" s="200">
        <v>6.0227609948881877E-3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42349</v>
      </c>
      <c r="Y241" s="202">
        <f>_xll.qlInterestRateIndexValueDate(IborIndex,X241,Trigger)</f>
        <v>42353</v>
      </c>
      <c r="Z241" s="203">
        <v>7.0016524539285975E-3</v>
      </c>
      <c r="AA241" s="200">
        <v>6.0450658236721466E-3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42352</v>
      </c>
      <c r="Y242" s="202">
        <f>_xll.qlInterestRateIndexValueDate(IborIndex,X242,Trigger)</f>
        <v>42354</v>
      </c>
      <c r="Z242" s="203">
        <v>7.0237012146183555E-3</v>
      </c>
      <c r="AA242" s="200">
        <v>6.0897561803674449E-3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42353</v>
      </c>
      <c r="Y243" s="202">
        <f>_xll.qlInterestRateIndexValueDate(IborIndex,X243,Trigger)</f>
        <v>42355</v>
      </c>
      <c r="Z243" s="203">
        <v>7.0457435741963842E-3</v>
      </c>
      <c r="AA243" s="200">
        <v>6.1342182034707093E-3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42354</v>
      </c>
      <c r="Y244" s="202">
        <f>_xll.qlInterestRateIndexValueDate(IborIndex,X244,Trigger)</f>
        <v>42356</v>
      </c>
      <c r="Z244" s="203">
        <v>7.0677796161528221E-3</v>
      </c>
      <c r="AA244" s="200">
        <v>6.1564895646259998E-3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42355</v>
      </c>
      <c r="Y245" s="202">
        <f>_xll.qlInterestRateIndexValueDate(IborIndex,X245,Trigger)</f>
        <v>42359</v>
      </c>
      <c r="Z245" s="203">
        <v>7.1338525007555295E-3</v>
      </c>
      <c r="AA245" s="200">
        <v>6.1787542321756206E-3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42356</v>
      </c>
      <c r="Y246" s="202">
        <f>_xll.qlInterestRateIndexValueDate(IborIndex,X246,Trigger)</f>
        <v>42360</v>
      </c>
      <c r="Z246" s="203">
        <v>7.1558659367175282E-3</v>
      </c>
      <c r="AA246" s="200">
        <v>6.2457180839512461E-3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42359</v>
      </c>
      <c r="Y247" s="202">
        <f>_xll.qlInterestRateIndexValueDate(IborIndex,X247,Trigger)</f>
        <v>42361</v>
      </c>
      <c r="Z247" s="203">
        <v>7.1778743873337656E-3</v>
      </c>
      <c r="AA247" s="200">
        <v>6.3122016729533215E-3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42360</v>
      </c>
      <c r="Y248" s="202">
        <f>_xll.qlInterestRateIndexValueDate(IborIndex,X248,Trigger)</f>
        <v>42362</v>
      </c>
      <c r="Z248" s="203">
        <v>7.1998781190776764E-3</v>
      </c>
      <c r="AA248" s="200">
        <v>6.3344194856629343E-3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42361</v>
      </c>
      <c r="Y249" s="202">
        <f>_xll.qlInterestRateIndexValueDate(IborIndex,X249,Trigger)</f>
        <v>42367</v>
      </c>
      <c r="Z249" s="203">
        <v>7.3098353216796731E-3</v>
      </c>
      <c r="AA249" s="200">
        <v>6.3901006808575467E-3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42362</v>
      </c>
      <c r="Y250" s="202">
        <f>_xll.qlInterestRateIndexValueDate(IborIndex,X250,Trigger)</f>
        <v>42368</v>
      </c>
      <c r="Z250" s="203">
        <v>7.3318163364541793E-3</v>
      </c>
      <c r="AA250" s="200">
        <v>6.4454081458453771E-3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42367</v>
      </c>
      <c r="Y251" s="202">
        <f>_xll.qlInterestRateIndexValueDate(IborIndex,X251,Trigger)</f>
        <v>42369</v>
      </c>
      <c r="Z251" s="203">
        <v>7.3537944978329245E-3</v>
      </c>
      <c r="AA251" s="200">
        <v>6.4675857972407158E-3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42368</v>
      </c>
      <c r="Y252" s="202">
        <f>_xll.qlInterestRateIndexValueDate(IborIndex,X252,Trigger)</f>
        <v>42373</v>
      </c>
      <c r="Z252" s="203">
        <v>7.4416839398929223E-3</v>
      </c>
      <c r="AA252" s="200">
        <v>6.4897567549504487E-3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42369</v>
      </c>
      <c r="Y253" s="202">
        <f>_xll.qlInterestRateIndexValueDate(IborIndex,X253,Trigger)</f>
        <v>42374</v>
      </c>
      <c r="Z253" s="203">
        <v>7.4636518322201244E-3</v>
      </c>
      <c r="AA253" s="200">
        <v>6.5119210192143839E-3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42373</v>
      </c>
      <c r="Y254" s="202">
        <f>_xll.qlInterestRateIndexValueDate(IborIndex,X254,Trigger)</f>
        <v>42375</v>
      </c>
      <c r="Z254" s="203">
        <v>7.4856184703637561E-3</v>
      </c>
      <c r="AA254" s="200">
        <v>6.556346636372723E-3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42374</v>
      </c>
      <c r="Y255" s="202">
        <f>_xll.qlInterestRateIndexValueDate(IborIndex,X255,Trigger)</f>
        <v>42376</v>
      </c>
      <c r="Z255" s="203">
        <v>7.5075841208789469E-3</v>
      </c>
      <c r="AA255" s="200">
        <v>6.6005111404532357E-3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42375</v>
      </c>
      <c r="Y256" s="202">
        <f>_xll.qlInterestRateIndexValueDate(IborIndex,X256,Trigger)</f>
        <v>42377</v>
      </c>
      <c r="Z256" s="203">
        <v>7.5295490503287325E-3</v>
      </c>
      <c r="AA256" s="200">
        <v>6.6226419368486944E-3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42376</v>
      </c>
      <c r="Y257" s="202">
        <f>_xll.qlInterestRateIndexValueDate(IborIndex,X257,Trigger)</f>
        <v>42380</v>
      </c>
      <c r="Z257" s="203">
        <v>7.5954421779880436E-3</v>
      </c>
      <c r="AA257" s="200">
        <v>6.6447660397184194E-3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42377</v>
      </c>
      <c r="Y258" s="202">
        <f>_xll.qlInterestRateIndexValueDate(IborIndex,X258,Trigger)</f>
        <v>42381</v>
      </c>
      <c r="Z258" s="203">
        <v>7.6174068889102156E-3</v>
      </c>
      <c r="AA258" s="200">
        <v>6.6668834489025386E-3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42380</v>
      </c>
      <c r="Y259" s="202">
        <f>_xll.qlInterestRateIndexValueDate(IborIndex,X259,Trigger)</f>
        <v>42382</v>
      </c>
      <c r="Z259" s="203">
        <v>7.6393722116647311E-3</v>
      </c>
      <c r="AA259" s="200">
        <v>6.7112210636555147E-3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42381</v>
      </c>
      <c r="Y260" s="202">
        <f>_xll.qlInterestRateIndexValueDate(IborIndex,X260,Trigger)</f>
        <v>42383</v>
      </c>
      <c r="Z260" s="203">
        <v>7.6613384128471256E-3</v>
      </c>
      <c r="AA260" s="200">
        <v>6.7552861502218065E-3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42382</v>
      </c>
      <c r="Y261" s="202">
        <f>_xll.qlInterestRateIndexValueDate(IborIndex,X261,Trigger)</f>
        <v>42384</v>
      </c>
      <c r="Z261" s="203">
        <v>7.6833057590626006E-3</v>
      </c>
      <c r="AA261" s="200">
        <v>6.7773700915374491E-3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42383</v>
      </c>
      <c r="Y262" s="202">
        <f>_xll.qlInterestRateIndexValueDate(IborIndex,X262,Trigger)</f>
        <v>42388</v>
      </c>
      <c r="Z262" s="203">
        <v>7.7711919265191533E-3</v>
      </c>
      <c r="AA262" s="200">
        <v>6.8215178935915333E-3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42384</v>
      </c>
      <c r="Y263" s="202">
        <f>_xll.qlInterestRateIndexValueDate(IborIndex,X263,Trigger)</f>
        <v>42388</v>
      </c>
      <c r="Z263" s="203">
        <v>7.7711919265191533E-3</v>
      </c>
      <c r="AA263" s="200">
        <v>6.8215178935915333E-3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42387</v>
      </c>
      <c r="Y264" s="202">
        <f>_xll.qlInterestRateIndexValueDate(IborIndex,X264,Trigger)</f>
        <v>42389</v>
      </c>
      <c r="Z264" s="203">
        <v>7.7931689971519431E-3</v>
      </c>
      <c r="AA264" s="200">
        <v>6.8657676264827217E-3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42388</v>
      </c>
      <c r="Y265" s="202">
        <f>_xll.qlInterestRateIndexValueDate(IborIndex,X265,Trigger)</f>
        <v>42390</v>
      </c>
      <c r="Z265" s="203">
        <v>7.8151488125596889E-3</v>
      </c>
      <c r="AA265" s="200">
        <v>6.9097331745915369E-3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42389</v>
      </c>
      <c r="Y266" s="202">
        <f>_xll.qlInterestRateIndexValueDate(IborIndex,X266,Trigger)</f>
        <v>42391</v>
      </c>
      <c r="Z266" s="203">
        <v>7.8371316393888776E-3</v>
      </c>
      <c r="AA266" s="200">
        <v>6.9317702609072995E-3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42390</v>
      </c>
      <c r="Y267" s="202">
        <f>_xll.qlInterestRateIndexValueDate(IborIndex,X267,Trigger)</f>
        <v>42394</v>
      </c>
      <c r="Z267" s="203">
        <v>7.9031008549323139E-3</v>
      </c>
      <c r="AA267" s="200">
        <v>6.9538006535374564E-3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42391</v>
      </c>
      <c r="Y268" s="202">
        <f>_xll.qlInterestRateIndexValueDate(IborIndex,X268,Trigger)</f>
        <v>42395</v>
      </c>
      <c r="Z268" s="203">
        <v>7.9250983940069904E-3</v>
      </c>
      <c r="AA268" s="200">
        <v>6.9758243527218156E-3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42394</v>
      </c>
      <c r="Y269" s="202">
        <f>_xll.qlInterestRateIndexValueDate(IborIndex,X269,Trigger)</f>
        <v>42396</v>
      </c>
      <c r="Z269" s="203">
        <v>7.9471002778145911E-3</v>
      </c>
      <c r="AA269" s="200">
        <v>7.0199863235220761E-3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42395</v>
      </c>
      <c r="Y270" s="202">
        <f>_xll.qlInterestRateIndexValueDate(IborIndex,X270,Trigger)</f>
        <v>42397</v>
      </c>
      <c r="Z270" s="203">
        <v>7.9691067730341038E-3</v>
      </c>
      <c r="AA270" s="200">
        <v>7.0638522132426829E-3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42396</v>
      </c>
      <c r="Y271" s="202">
        <f>_xll.qlInterestRateIndexValueDate(IborIndex,X271,Trigger)</f>
        <v>42398</v>
      </c>
      <c r="Z271" s="203">
        <v>7.9911181463532995E-3</v>
      </c>
      <c r="AA271" s="200">
        <v>7.0858424443187573E-3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42397</v>
      </c>
      <c r="Y272" s="202">
        <f>_xll.qlInterestRateIndexValueDate(IborIndex,X272,Trigger)</f>
        <v>42401</v>
      </c>
      <c r="Z272" s="203">
        <v>8.0683379783225394E-3</v>
      </c>
      <c r="AA272" s="200">
        <v>7.1078259819490341E-3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42398</v>
      </c>
      <c r="Y273" s="202">
        <f>_xll.qlInterestRateIndexValueDate(IborIndex,X273,Trigger)</f>
        <v>42402</v>
      </c>
      <c r="Z273" s="203">
        <v>8.0792177545439513E-3</v>
      </c>
      <c r="AA273" s="200">
        <v>7.1298028258137691E-3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42401</v>
      </c>
      <c r="Y274" s="202">
        <f>_xll.qlInterestRateIndexValueDate(IborIndex,X274,Trigger)</f>
        <v>42403</v>
      </c>
      <c r="Z274" s="203">
        <v>8.0900960214744799E-3</v>
      </c>
      <c r="AA274" s="200">
        <v>7.1738771535745371E-3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42402</v>
      </c>
      <c r="Y275" s="202">
        <f>_xll.qlInterestRateIndexValueDate(IborIndex,X275,Trigger)</f>
        <v>42404</v>
      </c>
      <c r="Z275" s="203">
        <v>8.112135481356475E-3</v>
      </c>
      <c r="AA275" s="200">
        <v>7.217643265695628E-3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42403</v>
      </c>
      <c r="Y276" s="202">
        <f>_xll.qlInterestRateIndexValueDate(IborIndex,X276,Trigger)</f>
        <v>42405</v>
      </c>
      <c r="Z276" s="203">
        <v>8.1341815632622883E-3</v>
      </c>
      <c r="AA276" s="200">
        <v>7.2395866416119503E-3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42404</v>
      </c>
      <c r="Y277" s="202">
        <f>_xll.qlInterestRateIndexValueDate(IborIndex,X277,Trigger)</f>
        <v>42408</v>
      </c>
      <c r="Z277" s="203">
        <v>8.2115588501602346E-3</v>
      </c>
      <c r="AA277" s="200">
        <v>7.2615233239226029E-3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42405</v>
      </c>
      <c r="Y278" s="202">
        <f>_xll.qlInterestRateIndexValueDate(IborIndex,X278,Trigger)</f>
        <v>42409</v>
      </c>
      <c r="Z278" s="203">
        <v>8.2224375049300136E-3</v>
      </c>
      <c r="AA278" s="200">
        <v>7.2834533127075218E-3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42408</v>
      </c>
      <c r="Y279" s="202">
        <f>_xll.qlInterestRateIndexValueDate(IborIndex,X279,Trigger)</f>
        <v>42410</v>
      </c>
      <c r="Z279" s="203">
        <v>8.2445207423633704E-3</v>
      </c>
      <c r="AA279" s="200">
        <v>7.3274401153344826E-3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42409</v>
      </c>
      <c r="Y280" s="202">
        <f>_xll.qlInterestRateIndexValueDate(IborIndex,X280,Trigger)</f>
        <v>42411</v>
      </c>
      <c r="Z280" s="203">
        <v>8.266612220026559E-3</v>
      </c>
      <c r="AA280" s="200">
        <v>7.3711063315506919E-3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42410</v>
      </c>
      <c r="Y281" s="202">
        <f>_xll.qlInterestRateIndexValueDate(IborIndex,X281,Trigger)</f>
        <v>42412</v>
      </c>
      <c r="Z281" s="203">
        <v>8.2887122076407138E-3</v>
      </c>
      <c r="AA281" s="200">
        <v>7.3930028522273261E-3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42411</v>
      </c>
      <c r="Y282" s="202">
        <f>_xll.qlInterestRateIndexValueDate(IborIndex,X282,Trigger)</f>
        <v>42416</v>
      </c>
      <c r="Z282" s="203">
        <v>8.3772026522614951E-3</v>
      </c>
      <c r="AA282" s="200">
        <v>7.4367758126836492E-3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42412</v>
      </c>
      <c r="Y283" s="202">
        <f>_xll.qlInterestRateIndexValueDate(IborIndex,X283,Trigger)</f>
        <v>42416</v>
      </c>
      <c r="Z283" s="203">
        <v>8.3772026522614951E-3</v>
      </c>
      <c r="AA283" s="200">
        <v>7.4367758126836492E-3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42415</v>
      </c>
      <c r="Y284" s="202">
        <f>_xll.qlInterestRateIndexValueDate(IborIndex,X284,Trigger)</f>
        <v>42417</v>
      </c>
      <c r="Z284" s="203">
        <v>8.3993492356722044E-3</v>
      </c>
      <c r="AA284" s="200">
        <v>7.4806752076028715E-3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42416</v>
      </c>
      <c r="Y285" s="202">
        <f>_xll.qlInterestRateIndexValueDate(IborIndex,X285,Trigger)</f>
        <v>42418</v>
      </c>
      <c r="Z285" s="203">
        <v>8.4215059474921361E-3</v>
      </c>
      <c r="AA285" s="200">
        <v>7.5242414103282584E-3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42417</v>
      </c>
      <c r="Y286" s="202">
        <f>_xll.qlInterestRateIndexValueDate(IborIndex,X286,Trigger)</f>
        <v>42419</v>
      </c>
      <c r="Z286" s="203">
        <v>8.4436730574868335E-3</v>
      </c>
      <c r="AA286" s="200">
        <v>7.5460910756852684E-3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42418</v>
      </c>
      <c r="Y287" s="202">
        <f>_xll.qlInterestRateIndexValueDate(IborIndex,X287,Trigger)</f>
        <v>42422</v>
      </c>
      <c r="Z287" s="203">
        <v>8.5215480240375206E-3</v>
      </c>
      <c r="AA287" s="200">
        <v>7.5679340474366086E-3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42419</v>
      </c>
      <c r="Y288" s="202">
        <f>_xll.qlInterestRateIndexValueDate(IborIndex,X288,Trigger)</f>
        <v>42423</v>
      </c>
      <c r="Z288" s="203">
        <v>8.5324508746884575E-3</v>
      </c>
      <c r="AA288" s="200">
        <v>7.589770325582279E-3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42422</v>
      </c>
      <c r="Y289" s="202">
        <f>_xll.qlInterestRateIndexValueDate(IborIndex,X289,Trigger)</f>
        <v>42424</v>
      </c>
      <c r="Z289" s="203">
        <v>8.5546740222222084E-3</v>
      </c>
      <c r="AA289" s="200">
        <v>7.6335824290474363E-3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42423</v>
      </c>
      <c r="Y290" s="202">
        <f>_xll.qlInterestRateIndexValueDate(IborIndex,X290,Trigger)</f>
        <v>42425</v>
      </c>
      <c r="Z290" s="203">
        <v>8.5769091866412239E-3</v>
      </c>
      <c r="AA290" s="200">
        <v>7.6770485017085832E-3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42424</v>
      </c>
      <c r="Y291" s="202">
        <f>_xll.qlInterestRateIndexValueDate(IborIndex,X291,Trigger)</f>
        <v>42426</v>
      </c>
      <c r="Z291" s="203">
        <v>8.5991566377510154E-3</v>
      </c>
      <c r="AA291" s="200">
        <v>7.6988513117459689E-3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42425</v>
      </c>
      <c r="Y292" s="202">
        <f>_xll.qlInterestRateIndexValueDate(IborIndex,X292,Trigger)</f>
        <v>42429</v>
      </c>
      <c r="Z292" s="203">
        <v>8.6887221194641099E-3</v>
      </c>
      <c r="AA292" s="200">
        <v>7.7206474280977488E-3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42426</v>
      </c>
      <c r="Y293" s="202">
        <f>_xll.qlInterestRateIndexValueDate(IborIndex,X293,Trigger)</f>
        <v>42430</v>
      </c>
      <c r="Z293" s="203">
        <v>8.7110394700116948E-3</v>
      </c>
      <c r="AA293" s="200">
        <v>7.742436850763923E-3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42429</v>
      </c>
      <c r="Y294" s="202">
        <f>_xll.qlInterestRateIndexValueDate(IborIndex,X294,Trigger)</f>
        <v>42431</v>
      </c>
      <c r="Z294" s="203">
        <v>8.733370547984563E-3</v>
      </c>
      <c r="AA294" s="200">
        <v>7.7861617784424908E-3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42430</v>
      </c>
      <c r="Y295" s="202">
        <f>_xll.qlInterestRateIndexValueDate(IborIndex,X295,Trigger)</f>
        <v>42432</v>
      </c>
      <c r="Z295" s="203">
        <v>8.7557156173845782E-3</v>
      </c>
      <c r="AA295" s="200">
        <v>7.829527605291986E-3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42431</v>
      </c>
      <c r="Y296" s="202">
        <f>_xll.qlInterestRateIndexValueDate(IborIndex,X296,Trigger)</f>
        <v>42433</v>
      </c>
      <c r="Z296" s="203">
        <v>8.8009200752183908E-3</v>
      </c>
      <c r="AA296" s="200">
        <v>7.8512835598498754E-3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42432</v>
      </c>
      <c r="Y297" s="202">
        <f>_xll.qlInterestRateIndexValueDate(IborIndex,X297,Trigger)</f>
        <v>42436</v>
      </c>
      <c r="Z297" s="203">
        <v>8.8452410895401498E-3</v>
      </c>
      <c r="AA297" s="200">
        <v>7.8730328206422229E-3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42433</v>
      </c>
      <c r="Y298" s="202">
        <f>_xll.qlInterestRateIndexValueDate(IborIndex,X298,Trigger)</f>
        <v>42437</v>
      </c>
      <c r="Z298" s="203">
        <v>8.8676600763410614E-3</v>
      </c>
      <c r="AA298" s="200">
        <v>7.8947753879887728E-3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42436</v>
      </c>
      <c r="Y299" s="202">
        <f>_xll.qlInterestRateIndexValueDate(IborIndex,X299,Trigger)</f>
        <v>42438</v>
      </c>
      <c r="Z299" s="203">
        <v>8.8900946387175852E-3</v>
      </c>
      <c r="AA299" s="200">
        <v>7.9384132545889941E-3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42437</v>
      </c>
      <c r="Y300" s="202">
        <f>_xll.qlInterestRateIndexValueDate(IborIndex,X300,Trigger)</f>
        <v>42439</v>
      </c>
      <c r="Z300" s="203">
        <v>8.9125450407158968E-3</v>
      </c>
      <c r="AA300" s="200">
        <v>7.9816787205189144E-3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42438</v>
      </c>
      <c r="Y301" s="202">
        <f>_xll.qlInterestRateIndexValueDate(IborIndex,X301,Trigger)</f>
        <v>42440</v>
      </c>
      <c r="Z301" s="203">
        <v>8.9579867301822699E-3</v>
      </c>
      <c r="AA301" s="200">
        <v>8.0033878195173713E-3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42439</v>
      </c>
      <c r="Y302" s="202">
        <f>_xll.qlInterestRateIndexValueDate(IborIndex,X302,Trigger)</f>
        <v>42443</v>
      </c>
      <c r="Z302" s="203">
        <v>9.0025103260764541E-3</v>
      </c>
      <c r="AA302" s="200">
        <v>8.0250942604820352E-3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42440</v>
      </c>
      <c r="Y303" s="202">
        <f>_xll.qlInterestRateIndexValueDate(IborIndex,X303,Trigger)</f>
        <v>42444</v>
      </c>
      <c r="Z303" s="203">
        <v>9.0250438870996489E-3</v>
      </c>
      <c r="AA303" s="200">
        <v>8.0468141853806685E-3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42443</v>
      </c>
      <c r="Y304" s="202">
        <f>_xll.qlInterestRateIndexValueDate(IborIndex,X304,Trigger)</f>
        <v>42445</v>
      </c>
      <c r="Z304" s="203">
        <v>9.0475948721546271E-3</v>
      </c>
      <c r="AA304" s="200">
        <v>8.090494249080038E-3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42444</v>
      </c>
      <c r="Y305" s="202">
        <f>_xll.qlInterestRateIndexValueDate(IborIndex,X305,Trigger)</f>
        <v>42446</v>
      </c>
      <c r="Z305" s="203">
        <v>9.0701633595448375E-3</v>
      </c>
      <c r="AA305" s="200">
        <v>8.1338690807530867E-3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42445</v>
      </c>
      <c r="Y306" s="202">
        <f>_xll.qlInterestRateIndexValueDate(IborIndex,X306,Trigger)</f>
        <v>42447</v>
      </c>
      <c r="Z306" s="203">
        <v>9.1158477439895347E-3</v>
      </c>
      <c r="AA306" s="200">
        <v>8.1556766035006945E-3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42446</v>
      </c>
      <c r="Y307" s="202">
        <f>_xll.qlInterestRateIndexValueDate(IborIndex,X307,Trigger)</f>
        <v>42450</v>
      </c>
      <c r="Z307" s="203">
        <v>9.1605971775580702E-3</v>
      </c>
      <c r="AA307" s="200">
        <v>8.1775016458340843E-3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42447</v>
      </c>
      <c r="Y308" s="202">
        <f>_xll.qlInterestRateIndexValueDate(IborIndex,X308,Trigger)</f>
        <v>42451</v>
      </c>
      <c r="Z308" s="203">
        <v>9.1832413458176783E-3</v>
      </c>
      <c r="AA308" s="200">
        <v>8.2434769098860272E-3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42450</v>
      </c>
      <c r="Y309" s="202">
        <f>_xll.qlInterestRateIndexValueDate(IborIndex,X309,Trigger)</f>
        <v>42452</v>
      </c>
      <c r="Z309" s="203">
        <v>9.2058980981701843E-3</v>
      </c>
      <c r="AA309" s="200">
        <v>8.3088198109759759E-3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42451</v>
      </c>
      <c r="Y310" s="202">
        <f>_xll.qlInterestRateIndexValueDate(IborIndex,X310,Trigger)</f>
        <v>42453</v>
      </c>
      <c r="Z310" s="203">
        <v>9.228566583874373E-3</v>
      </c>
      <c r="AA310" s="200">
        <v>8.3307674904098405E-3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42452</v>
      </c>
      <c r="Y311" s="202">
        <f>_xll.qlInterestRateIndexValueDate(IborIndex,X311,Trigger)</f>
        <v>42458</v>
      </c>
      <c r="Z311" s="203">
        <v>9.3420552354385525E-3</v>
      </c>
      <c r="AA311" s="200">
        <v>8.3527326894294873E-3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42453</v>
      </c>
      <c r="Y312" s="202">
        <f>_xll.qlInterestRateIndexValueDate(IborIndex,X312,Trigger)</f>
        <v>42459</v>
      </c>
      <c r="Z312" s="203">
        <v>9.3647762546342096E-3</v>
      </c>
      <c r="AA312" s="200">
        <v>8.3969173342524073E-3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42458</v>
      </c>
      <c r="Y313" s="202">
        <f>_xll.qlInterestRateIndexValueDate(IborIndex,X313,Trigger)</f>
        <v>42460</v>
      </c>
      <c r="Z313" s="203">
        <v>9.3759220199006871E-3</v>
      </c>
      <c r="AA313" s="200">
        <v>8.4407686815257676E-3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42459</v>
      </c>
      <c r="Y314" s="202">
        <f>_xll.qlInterestRateIndexValueDate(IborIndex,X314,Trigger)</f>
        <v>42461</v>
      </c>
      <c r="Z314" s="203">
        <v>9.3986560863884884E-3</v>
      </c>
      <c r="AA314" s="200">
        <v>8.462821478554261E-3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42460</v>
      </c>
      <c r="Y315" s="202">
        <f>_xll.qlInterestRateIndexValueDate(IborIndex,X315,Trigger)</f>
        <v>42464</v>
      </c>
      <c r="Z315" s="203">
        <v>9.4784509968047926E-3</v>
      </c>
      <c r="AA315" s="200">
        <v>8.4848917952484726E-3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42461</v>
      </c>
      <c r="Y316" s="202">
        <f>_xll.qlInterestRateIndexValueDate(IborIndex,X316,Trigger)</f>
        <v>42465</v>
      </c>
      <c r="Z316" s="203">
        <v>9.4896315997669792E-3</v>
      </c>
      <c r="AA316" s="200">
        <v>8.5069796316084023E-3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42464</v>
      </c>
      <c r="Y317" s="202">
        <f>_xll.qlInterestRateIndexValueDate(IborIndex,X317,Trigger)</f>
        <v>42466</v>
      </c>
      <c r="Z317" s="203">
        <v>9.5123809885652322E-3</v>
      </c>
      <c r="AA317" s="200">
        <v>8.5514168242273314E-3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42465</v>
      </c>
      <c r="Y318" s="202">
        <f>_xll.qlInterestRateIndexValueDate(IborIndex,X318,Trigger)</f>
        <v>42467</v>
      </c>
      <c r="Z318" s="203">
        <v>9.5351308609160253E-3</v>
      </c>
      <c r="AA318" s="200">
        <v>8.5955061730658144E-3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42466</v>
      </c>
      <c r="Y319" s="202">
        <f>_xll.qlInterestRateIndexValueDate(IborIndex,X319,Trigger)</f>
        <v>42468</v>
      </c>
      <c r="Z319" s="203">
        <v>9.5578803564675685E-3</v>
      </c>
      <c r="AA319" s="200">
        <v>8.6176816074345908E-3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42467</v>
      </c>
      <c r="Y320" s="202">
        <f>_xll.qlInterestRateIndexValueDate(IborIndex,X320,Trigger)</f>
        <v>42471</v>
      </c>
      <c r="Z320" s="203">
        <v>9.6261179785364793E-3</v>
      </c>
      <c r="AA320" s="200">
        <v>8.6398745615490213E-3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42468</v>
      </c>
      <c r="Y321" s="202">
        <f>_xll.qlInterestRateIndexValueDate(IborIndex,X321,Trigger)</f>
        <v>42472</v>
      </c>
      <c r="Z321" s="203">
        <v>9.6488573630006697E-3</v>
      </c>
      <c r="AA321" s="200">
        <v>8.662085035249234E-3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42471</v>
      </c>
      <c r="Y322" s="202">
        <f>_xll.qlInterestRateIndexValueDate(IborIndex,X322,Trigger)</f>
        <v>42473</v>
      </c>
      <c r="Z322" s="203">
        <v>9.6715920686220522E-3</v>
      </c>
      <c r="AA322" s="200">
        <v>8.7067749502178771E-3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42472</v>
      </c>
      <c r="Y323" s="202">
        <f>_xll.qlInterestRateIndexValueDate(IborIndex,X323,Trigger)</f>
        <v>42474</v>
      </c>
      <c r="Z323" s="203">
        <v>9.6943212349311289E-3</v>
      </c>
      <c r="AA323" s="200">
        <v>8.7511021267072664E-3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42473</v>
      </c>
      <c r="Y324" s="202">
        <f>_xll.qlInterestRateIndexValueDate(IborIndex,X324,Trigger)</f>
        <v>42475</v>
      </c>
      <c r="Z324" s="203">
        <v>9.7170440014408329E-3</v>
      </c>
      <c r="AA324" s="200">
        <v>8.7734001986561339E-3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42474</v>
      </c>
      <c r="Y325" s="202">
        <f>_xll.qlInterestRateIndexValueDate(IborIndex,X325,Trigger)</f>
        <v>42478</v>
      </c>
      <c r="Z325" s="203">
        <v>9.7851652969982439E-3</v>
      </c>
      <c r="AA325" s="200">
        <v>8.7957157903506555E-3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42475</v>
      </c>
      <c r="Y326" s="202">
        <f>_xll.qlInterestRateIndexValueDate(IborIndex,X326,Trigger)</f>
        <v>42479</v>
      </c>
      <c r="Z326" s="203">
        <v>9.8078538590374853E-3</v>
      </c>
      <c r="AA326" s="200">
        <v>8.8180489017108954E-3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42478</v>
      </c>
      <c r="Y327" s="202">
        <f>_xll.qlInterestRateIndexValueDate(IborIndex,X327,Trigger)</f>
        <v>42480</v>
      </c>
      <c r="Z327" s="203">
        <v>9.8305317185424807E-3</v>
      </c>
      <c r="AA327" s="200">
        <v>8.862991715528068E-3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42479</v>
      </c>
      <c r="Y328" s="202">
        <f>_xll.qlInterestRateIndexValueDate(IborIndex,X328,Trigger)</f>
        <v>42481</v>
      </c>
      <c r="Z328" s="203">
        <v>9.8531980149075826E-3</v>
      </c>
      <c r="AA328" s="200">
        <v>8.9075565437291004E-3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42480</v>
      </c>
      <c r="Y329" s="202">
        <f>_xll.qlInterestRateIndexValueDate(IborIndex,X329,Trigger)</f>
        <v>42482</v>
      </c>
      <c r="Z329" s="203">
        <v>9.8758518875078083E-3</v>
      </c>
      <c r="AA329" s="200">
        <v>8.9299772533379951E-3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42481</v>
      </c>
      <c r="Y330" s="202">
        <f>_xll.qlInterestRateIndexValueDate(IborIndex,X330,Trigger)</f>
        <v>42485</v>
      </c>
      <c r="Z330" s="203">
        <v>9.943730356171682E-3</v>
      </c>
      <c r="AA330" s="200">
        <v>8.95241548277248E-3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42482</v>
      </c>
      <c r="Y331" s="202">
        <f>_xll.qlInterestRateIndexValueDate(IborIndex,X331,Trigger)</f>
        <v>42486</v>
      </c>
      <c r="Z331" s="203">
        <v>9.9663259270673446E-3</v>
      </c>
      <c r="AA331" s="200">
        <v>8.9748712318726831E-3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42485</v>
      </c>
      <c r="Y332" s="202">
        <f>_xll.qlInterestRateIndexValueDate(IborIndex,X332,Trigger)</f>
        <v>42487</v>
      </c>
      <c r="Z332" s="203">
        <v>9.9889047707789752E-3</v>
      </c>
      <c r="AA332" s="200">
        <v>9.0314380442269027E-3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42486</v>
      </c>
      <c r="Y333" s="202">
        <f>_xll.qlInterestRateIndexValueDate(IborIndex,X333,Trigger)</f>
        <v>42488</v>
      </c>
      <c r="Z333" s="203">
        <v>1.0011466026564764E-2</v>
      </c>
      <c r="AA333" s="200">
        <v>9.0874127726792153E-3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42487</v>
      </c>
      <c r="Y334" s="202">
        <f>_xll.qlInterestRateIndexValueDate(IborIndex,X334,Trigger)</f>
        <v>42489</v>
      </c>
      <c r="Z334" s="203">
        <v>1.0034008833660945E-2</v>
      </c>
      <c r="AA334" s="200">
        <v>9.1099736399335995E-3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42488</v>
      </c>
      <c r="Y335" s="202">
        <f>_xll.qlInterestRateIndexValueDate(IborIndex,X335,Trigger)</f>
        <v>42493</v>
      </c>
      <c r="Z335" s="203">
        <v>1.0135158446187576E-2</v>
      </c>
      <c r="AA335" s="200">
        <v>9.132552027013574E-3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42489</v>
      </c>
      <c r="Y336" s="202">
        <f>_xll.qlInterestRateIndexValueDate(IborIndex,X336,Trigger)</f>
        <v>42494</v>
      </c>
      <c r="Z336" s="203">
        <v>1.015757527004562E-2</v>
      </c>
      <c r="AA336" s="200">
        <v>9.1780011776432247E-3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42493</v>
      </c>
      <c r="Y337" s="202">
        <f>_xll.qlInterestRateIndexValueDate(IborIndex,X337,Trigger)</f>
        <v>42495</v>
      </c>
      <c r="Z337" s="203">
        <v>1.0179968078460116E-2</v>
      </c>
      <c r="AA337" s="200">
        <v>9.2230407720705898E-3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42494</v>
      </c>
      <c r="Y338" s="202">
        <f>_xll.qlInterestRateIndexValueDate(IborIndex,X338,Trigger)</f>
        <v>42496</v>
      </c>
      <c r="Z338" s="203">
        <v>1.0224516910769272E-2</v>
      </c>
      <c r="AA338" s="200">
        <v>9.2457067577189633E-3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42495</v>
      </c>
      <c r="Y339" s="202">
        <f>_xll.qlInterestRateIndexValueDate(IborIndex,X339,Trigger)</f>
        <v>42499</v>
      </c>
      <c r="Z339" s="203">
        <v>1.0269282125814544E-2</v>
      </c>
      <c r="AA339" s="200">
        <v>9.268390263033055E-3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42496</v>
      </c>
      <c r="Y340" s="202">
        <f>_xll.qlInterestRateIndexValueDate(IborIndex,X340,Trigger)</f>
        <v>42500</v>
      </c>
      <c r="Z340" s="203">
        <v>1.0291542082940808E-2</v>
      </c>
      <c r="AA340" s="200">
        <v>9.2910912880928009E-3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42499</v>
      </c>
      <c r="Y341" s="202">
        <f>_xll.qlInterestRateIndexValueDate(IborIndex,X341,Trigger)</f>
        <v>42501</v>
      </c>
      <c r="Z341" s="203">
        <v>1.0313772914862218E-2</v>
      </c>
      <c r="AA341" s="200">
        <v>9.3367938811894646E-3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42500</v>
      </c>
      <c r="Y342" s="202">
        <f>_xll.qlInterestRateIndexValueDate(IborIndex,X342,Trigger)</f>
        <v>42502</v>
      </c>
      <c r="Z342" s="203">
        <v>1.033597376988527E-2</v>
      </c>
      <c r="AA342" s="200">
        <v>9.3820705857883269E-3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42501</v>
      </c>
      <c r="Y343" s="202">
        <f>_xll.qlInterestRateIndexValueDate(IborIndex,X343,Trigger)</f>
        <v>42503</v>
      </c>
      <c r="Z343" s="203">
        <v>1.0379998614812857E-2</v>
      </c>
      <c r="AA343" s="200">
        <v>9.4048592094964079E-3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42502</v>
      </c>
      <c r="Y344" s="202">
        <f>_xll.qlInterestRateIndexValueDate(IborIndex,X344,Trigger)</f>
        <v>42506</v>
      </c>
      <c r="Z344" s="203">
        <v>1.0424460386494038E-2</v>
      </c>
      <c r="AA344" s="200">
        <v>9.4276653531100152E-3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42503</v>
      </c>
      <c r="Y345" s="202">
        <f>_xll.qlInterestRateIndexValueDate(IborIndex,X345,Trigger)</f>
        <v>42507</v>
      </c>
      <c r="Z345" s="203">
        <v>1.0446498580987697E-2</v>
      </c>
      <c r="AA345" s="200">
        <v>9.4504890163893407E-3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42506</v>
      </c>
      <c r="Y346" s="202">
        <f>_xll.qlInterestRateIndexValueDate(IborIndex,X346,Trigger)</f>
        <v>42508</v>
      </c>
      <c r="Z346" s="203">
        <v>1.0468501688038841E-2</v>
      </c>
      <c r="AA346" s="200">
        <v>9.496445237591189E-3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42507</v>
      </c>
      <c r="Y347" s="202">
        <f>_xll.qlInterestRateIndexValueDate(IborIndex,X347,Trigger)</f>
        <v>42509</v>
      </c>
      <c r="Z347" s="203">
        <v>1.0490468855825377E-2</v>
      </c>
      <c r="AA347" s="200">
        <v>9.5419588672029931E-3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42508</v>
      </c>
      <c r="Y348" s="202">
        <f>_xll.qlInterestRateIndexValueDate(IborIndex,X348,Trigger)</f>
        <v>42510</v>
      </c>
      <c r="Z348" s="203">
        <v>1.053389781131356E-2</v>
      </c>
      <c r="AA348" s="200">
        <v>9.5648701294503979E-3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42509</v>
      </c>
      <c r="Y349" s="202">
        <f>_xll.qlInterestRateIndexValueDate(IborIndex,X349,Trigger)</f>
        <v>42513</v>
      </c>
      <c r="Z349" s="203">
        <v>1.0577961097270196E-2</v>
      </c>
      <c r="AA349" s="200">
        <v>9.5877989112835849E-3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42510</v>
      </c>
      <c r="Y350" s="202">
        <f>_xll.qlInterestRateIndexValueDate(IborIndex,X350,Trigger)</f>
        <v>42514</v>
      </c>
      <c r="Z350" s="203">
        <v>1.0599735790784558E-2</v>
      </c>
      <c r="AA350" s="200">
        <v>9.6107452130222981E-3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42513</v>
      </c>
      <c r="Y351" s="202">
        <f>_xll.qlInterestRateIndexValueDate(IborIndex,X351,Trigger)</f>
        <v>42515</v>
      </c>
      <c r="Z351" s="203">
        <v>1.0621469433728152E-2</v>
      </c>
      <c r="AA351" s="200">
        <v>9.6685880475444463E-3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42514</v>
      </c>
      <c r="Y352" s="202">
        <f>_xll.qlInterestRateIndexValueDate(IborIndex,X352,Trigger)</f>
        <v>42516</v>
      </c>
      <c r="Z352" s="203">
        <v>1.0643161174155508E-2</v>
      </c>
      <c r="AA352" s="200">
        <v>9.7257395183802942E-3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42515</v>
      </c>
      <c r="Y353" s="202">
        <f>_xll.qlInterestRateIndexValueDate(IborIndex,X353,Trigger)</f>
        <v>42517</v>
      </c>
      <c r="Z353" s="203">
        <v>1.0696458672317371E-2</v>
      </c>
      <c r="AA353" s="200">
        <v>9.7487909388327409E-3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42516</v>
      </c>
      <c r="Y354" s="202">
        <f>_xll.qlInterestRateIndexValueDate(IborIndex,X354,Trigger)</f>
        <v>42521</v>
      </c>
      <c r="Z354" s="203">
        <v>1.0750961519202566E-2</v>
      </c>
      <c r="AA354" s="200">
        <v>9.771859879110778E-3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42517</v>
      </c>
      <c r="Y355" s="202">
        <f>_xll.qlInterestRateIndexValueDate(IborIndex,X355,Trigger)</f>
        <v>42522</v>
      </c>
      <c r="Z355" s="203">
        <v>1.0772383952683613E-2</v>
      </c>
      <c r="AA355" s="200">
        <v>9.8183239227100927E-3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42521</v>
      </c>
      <c r="Y356" s="202">
        <f>_xll.qlInterestRateIndexValueDate(IborIndex,X356,Trigger)</f>
        <v>42523</v>
      </c>
      <c r="Z356" s="203">
        <v>1.0793758519539213E-2</v>
      </c>
      <c r="AA356" s="200">
        <v>9.8643108383189571E-3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42522</v>
      </c>
      <c r="Y357" s="202">
        <f>_xll.qlInterestRateIndexValueDate(IborIndex,X357,Trigger)</f>
        <v>42524</v>
      </c>
      <c r="Z357" s="203">
        <v>1.0846135574761013E-2</v>
      </c>
      <c r="AA357" s="200">
        <v>9.8874673776450095E-3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42523</v>
      </c>
      <c r="Y358" s="202">
        <f>_xll.qlInterestRateIndexValueDate(IborIndex,X358,Trigger)</f>
        <v>42527</v>
      </c>
      <c r="Z358" s="203">
        <v>1.0878761078776679E-2</v>
      </c>
      <c r="AA358" s="200">
        <v>9.9106414367966522E-3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42524</v>
      </c>
      <c r="Y359" s="202">
        <f>_xll.qlInterestRateIndexValueDate(IborIndex,X359,Trigger)</f>
        <v>42528</v>
      </c>
      <c r="Z359" s="203">
        <v>1.0899883530913613E-2</v>
      </c>
      <c r="AA359" s="200">
        <v>9.9338330157738852E-3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42527</v>
      </c>
      <c r="Y360" s="202">
        <f>_xll.qlInterestRateIndexValueDate(IborIndex,X360,Trigger)</f>
        <v>42529</v>
      </c>
      <c r="Z360" s="203">
        <v>1.0920953003674877E-2</v>
      </c>
      <c r="AA360" s="200">
        <v>9.9805512583284184E-3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42528</v>
      </c>
      <c r="Y361" s="202">
        <f>_xll.qlInterestRateIndexValueDate(IborIndex,X361,Trigger)</f>
        <v>42530</v>
      </c>
      <c r="Z361" s="203">
        <v>1.0941968644876062E-2</v>
      </c>
      <c r="AA361" s="200">
        <v>1.0026774530178528E-2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42529</v>
      </c>
      <c r="Y362" s="202">
        <f>_xll.qlInterestRateIndexValueDate(IborIndex,X362,Trigger)</f>
        <v>42531</v>
      </c>
      <c r="Z362" s="203">
        <v>1.0983240327389206E-2</v>
      </c>
      <c r="AA362" s="200">
        <v>1.0050053708363649E-2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42530</v>
      </c>
      <c r="Y363" s="202">
        <f>_xll.qlInterestRateIndexValueDate(IborIndex,X363,Trigger)</f>
        <v>42534</v>
      </c>
      <c r="Z363" s="203">
        <v>1.1025475849886128E-2</v>
      </c>
      <c r="AA363" s="200">
        <v>1.007335040637436E-2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42531</v>
      </c>
      <c r="Y364" s="202">
        <f>_xll.qlInterestRateIndexValueDate(IborIndex,X364,Trigger)</f>
        <v>42535</v>
      </c>
      <c r="Z364" s="203">
        <v>1.1046209549999445E-2</v>
      </c>
      <c r="AA364" s="200">
        <v>1.0096651606623652E-2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42534</v>
      </c>
      <c r="Y365" s="202">
        <f>_xll.qlInterestRateIndexValueDate(IborIndex,X365,Trigger)</f>
        <v>42536</v>
      </c>
      <c r="Z365" s="203">
        <v>1.1066884305126479E-2</v>
      </c>
      <c r="AA365" s="200">
        <v>1.0143363874384193E-2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42535</v>
      </c>
      <c r="Y366" s="202">
        <f>_xll.qlInterestRateIndexValueDate(IborIndex,X366,Trigger)</f>
        <v>42537</v>
      </c>
      <c r="Z366" s="203">
        <v>1.1087499411746511E-2</v>
      </c>
      <c r="AA366" s="200">
        <v>1.0189302617167328E-2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42536</v>
      </c>
      <c r="Y367" s="202">
        <f>_xll.qlInterestRateIndexValueDate(IborIndex,X367,Trigger)</f>
        <v>42538</v>
      </c>
      <c r="Z367" s="203">
        <v>1.1127958716117175E-2</v>
      </c>
      <c r="AA367" s="200">
        <v>1.0212313904522929E-2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42537</v>
      </c>
      <c r="Y368" s="202">
        <f>_xll.qlInterestRateIndexValueDate(IborIndex,X368,Trigger)</f>
        <v>42541</v>
      </c>
      <c r="Z368" s="203">
        <v>1.1169371753267644E-2</v>
      </c>
      <c r="AA368" s="200">
        <v>1.0235264605702454E-2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42538</v>
      </c>
      <c r="Y369" s="202">
        <f>_xll.qlInterestRateIndexValueDate(IborIndex,X369,Trigger)</f>
        <v>42542</v>
      </c>
      <c r="Z369" s="203">
        <v>1.1189697134132981E-2</v>
      </c>
      <c r="AA369" s="200">
        <v>1.0258154720705903E-2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42541</v>
      </c>
      <c r="Y370" s="202">
        <f>_xll.qlInterestRateIndexValueDate(IborIndex,X370,Trigger)</f>
        <v>42543</v>
      </c>
      <c r="Z370" s="203">
        <v>1.1209967216714108E-2</v>
      </c>
      <c r="AA370" s="200">
        <v>1.030402790723528E-2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42542</v>
      </c>
      <c r="Y371" s="202">
        <f>_xll.qlInterestRateIndexValueDate(IborIndex,X371,Trigger)</f>
        <v>42544</v>
      </c>
      <c r="Z371" s="203">
        <v>1.1230182892808093E-2</v>
      </c>
      <c r="AA371" s="200">
        <v>1.0349109318879002E-2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42543</v>
      </c>
      <c r="Y372" s="202">
        <f>_xll.qlInterestRateIndexValueDate(IborIndex,X372,Trigger)</f>
        <v>42545</v>
      </c>
      <c r="Z372" s="203">
        <v>1.1269910293898832E-2</v>
      </c>
      <c r="AA372" s="200">
        <v>1.037169650300207E-2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42544</v>
      </c>
      <c r="Y373" s="202">
        <f>_xll.qlInterestRateIndexValueDate(IborIndex,X373,Trigger)</f>
        <v>42548</v>
      </c>
      <c r="Z373" s="203">
        <v>1.131051936896651E-2</v>
      </c>
      <c r="AA373" s="200">
        <v>1.0394223100789191E-2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42545</v>
      </c>
      <c r="Y374" s="202">
        <f>_xll.qlInterestRateIndexValueDate(IborIndex,X374,Trigger)</f>
        <v>42549</v>
      </c>
      <c r="Z374" s="203">
        <v>1.1330476390296801E-2</v>
      </c>
      <c r="AA374" s="200">
        <v>1.0416689112400235E-2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42548</v>
      </c>
      <c r="Y375" s="202">
        <f>_xll.qlInterestRateIndexValueDate(IborIndex,X375,Trigger)</f>
        <v>42550</v>
      </c>
      <c r="Z375" s="203">
        <v>1.1350384356350728E-2</v>
      </c>
      <c r="AA375" s="200">
        <v>1.0461723187376037E-2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42549</v>
      </c>
      <c r="Y376" s="202">
        <f>_xll.qlInterestRateIndexValueDate(IborIndex,X376,Trigger)</f>
        <v>42551</v>
      </c>
      <c r="Z376" s="203">
        <v>1.1370244159069598E-2</v>
      </c>
      <c r="AA376" s="200">
        <v>1.0505947296044482E-2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42550</v>
      </c>
      <c r="Y377" s="202">
        <f>_xll.qlInterestRateIndexValueDate(IborIndex,X377,Trigger)</f>
        <v>42552</v>
      </c>
      <c r="Z377" s="203">
        <v>1.1409360519273585E-2</v>
      </c>
      <c r="AA377" s="200">
        <v>1.0528110376215594E-2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42551</v>
      </c>
      <c r="Y378" s="202">
        <f>_xll.qlInterestRateIndexValueDate(IborIndex,X378,Trigger)</f>
        <v>42556</v>
      </c>
      <c r="Z378" s="203">
        <v>1.146885194187568E-2</v>
      </c>
      <c r="AA378" s="200">
        <v>1.0572254777629908E-2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42552</v>
      </c>
      <c r="Y379" s="202">
        <f>_xll.qlInterestRateIndexValueDate(IborIndex,X379,Trigger)</f>
        <v>42556</v>
      </c>
      <c r="Z379" s="203">
        <v>1.146885194187568E-2</v>
      </c>
      <c r="AA379" s="200">
        <v>1.0572254777629908E-2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42555</v>
      </c>
      <c r="Y380" s="202">
        <f>_xll.qlInterestRateIndexValueDate(IborIndex,X380,Trigger)</f>
        <v>42557</v>
      </c>
      <c r="Z380" s="203">
        <v>1.1488441496407242E-2</v>
      </c>
      <c r="AA380" s="200">
        <v>1.0616449703082509E-2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42556</v>
      </c>
      <c r="Y381" s="202">
        <f>_xll.qlInterestRateIndexValueDate(IborIndex,X381,Trigger)</f>
        <v>42558</v>
      </c>
      <c r="Z381" s="203">
        <v>1.1507989131726354E-2</v>
      </c>
      <c r="AA381" s="200">
        <v>1.0659816544507095E-2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42557</v>
      </c>
      <c r="Y382" s="202">
        <f>_xll.qlInterestRateIndexValueDate(IborIndex,X382,Trigger)</f>
        <v>42559</v>
      </c>
      <c r="Z382" s="203">
        <v>1.1556160575843714E-2</v>
      </c>
      <c r="AA382" s="200">
        <v>1.0681555520326569E-2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42558</v>
      </c>
      <c r="Y383" s="202">
        <f>_xll.qlInterestRateIndexValueDate(IborIndex,X383,Trigger)</f>
        <v>42562</v>
      </c>
      <c r="Z383" s="203">
        <v>1.1585778323086894E-2</v>
      </c>
      <c r="AA383" s="200">
        <v>1.0703233909730159E-2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42559</v>
      </c>
      <c r="Y384" s="202">
        <f>_xll.qlInterestRateIndexValueDate(IborIndex,X384,Trigger)</f>
        <v>42563</v>
      </c>
      <c r="Z384" s="203">
        <v>1.1605129744162024E-2</v>
      </c>
      <c r="AA384" s="200">
        <v>1.07248517127978E-2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42562</v>
      </c>
      <c r="Y385" s="202">
        <f>_xll.qlInterestRateIndexValueDate(IborIndex,X385,Trigger)</f>
        <v>42564</v>
      </c>
      <c r="Z385" s="203">
        <v>1.1624444598880256E-2</v>
      </c>
      <c r="AA385" s="200">
        <v>1.0768207442897193E-2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42563</v>
      </c>
      <c r="Y386" s="202">
        <f>_xll.qlInterestRateIndexValueDate(IborIndex,X386,Trigger)</f>
        <v>42565</v>
      </c>
      <c r="Z386" s="203">
        <v>1.1643723779452241E-2</v>
      </c>
      <c r="AA386" s="200">
        <v>1.0810717060669717E-2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42564</v>
      </c>
      <c r="Y387" s="202">
        <f>_xll.qlInterestRateIndexValueDate(IborIndex,X387,Trigger)</f>
        <v>42566</v>
      </c>
      <c r="Z387" s="203">
        <v>1.1681954706560171E-2</v>
      </c>
      <c r="AA387" s="200">
        <v>1.0832031931578001E-2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42565</v>
      </c>
      <c r="Y388" s="202">
        <f>_xll.qlInterestRateIndexValueDate(IborIndex,X388,Trigger)</f>
        <v>42569</v>
      </c>
      <c r="Z388" s="203">
        <v>1.1720501605081618E-2</v>
      </c>
      <c r="AA388" s="200">
        <v>1.0853286215990465E-2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42566</v>
      </c>
      <c r="Y389" s="202">
        <f>_xll.qlInterestRateIndexValueDate(IborIndex,X389,Trigger)</f>
        <v>42570</v>
      </c>
      <c r="Z389" s="203">
        <v>1.1739615798688643E-2</v>
      </c>
      <c r="AA389" s="200">
        <v>1.0874479913907109E-2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42569</v>
      </c>
      <c r="Y390" s="202">
        <f>_xll.qlInterestRateIndexValueDate(IborIndex,X390,Trigger)</f>
        <v>42571</v>
      </c>
      <c r="Z390" s="203">
        <v>1.175869967178435E-2</v>
      </c>
      <c r="AA390" s="200">
        <v>1.091699639552246E-2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42570</v>
      </c>
      <c r="Y391" s="202">
        <f>_xll.qlInterestRateIndexValueDate(IborIndex,X391,Trigger)</f>
        <v>42572</v>
      </c>
      <c r="Z391" s="203">
        <v>1.1777754116705376E-2</v>
      </c>
      <c r="AA391" s="200">
        <v>1.0958648840775354E-2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42571</v>
      </c>
      <c r="Y392" s="202">
        <f>_xll.qlInterestRateIndexValueDate(IborIndex,X392,Trigger)</f>
        <v>42573</v>
      </c>
      <c r="Z392" s="203">
        <v>1.1815697681217794E-2</v>
      </c>
      <c r="AA392" s="200">
        <v>1.097953960613296E-2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42572</v>
      </c>
      <c r="Y393" s="202">
        <f>_xll.qlInterestRateIndexValueDate(IborIndex,X393,Trigger)</f>
        <v>42576</v>
      </c>
      <c r="Z393" s="203">
        <v>1.1853695462001058E-2</v>
      </c>
      <c r="AA393" s="200">
        <v>1.1000369785074682E-2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42573</v>
      </c>
      <c r="Y394" s="202">
        <f>_xll.qlInterestRateIndexValueDate(IborIndex,X394,Trigger)</f>
        <v>42577</v>
      </c>
      <c r="Z394" s="203">
        <v>1.1872616151722994E-2</v>
      </c>
      <c r="AA394" s="200">
        <v>1.1021139377440647E-2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42576</v>
      </c>
      <c r="Y395" s="202">
        <f>_xll.qlInterestRateIndexValueDate(IborIndex,X395,Trigger)</f>
        <v>42578</v>
      </c>
      <c r="Z395" s="203">
        <v>1.189151276766544E-2</v>
      </c>
      <c r="AA395" s="200">
        <v>1.106281654995378E-2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42577</v>
      </c>
      <c r="Y396" s="202">
        <f>_xll.qlInterestRateIndexValueDate(IborIndex,X396,Trigger)</f>
        <v>42579</v>
      </c>
      <c r="Z396" s="203">
        <v>1.1910386202287543E-2</v>
      </c>
      <c r="AA396" s="200">
        <v>1.110361188106701E-2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42578</v>
      </c>
      <c r="Y397" s="202">
        <f>_xll.qlInterestRateIndexValueDate(IborIndex,X397,Trigger)</f>
        <v>42580</v>
      </c>
      <c r="Z397" s="203">
        <v>1.194813732599225E-2</v>
      </c>
      <c r="AA397" s="200">
        <v>1.1124078540554194E-2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42579</v>
      </c>
      <c r="Y398" s="202">
        <f>_xll.qlInterestRateIndexValueDate(IborIndex,X398,Trigger)</f>
        <v>42583</v>
      </c>
      <c r="Z398" s="203">
        <v>1.1985665977422833E-2</v>
      </c>
      <c r="AA398" s="200">
        <v>1.1144484613385686E-2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42580</v>
      </c>
      <c r="Y399" s="202">
        <f>_xll.qlInterestRateIndexValueDate(IborIndex,X399,Trigger)</f>
        <v>42584</v>
      </c>
      <c r="Z399" s="203">
        <v>1.2004436892981262E-2</v>
      </c>
      <c r="AA399" s="200">
        <v>1.1164830099641421E-2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42583</v>
      </c>
      <c r="Y400" s="202">
        <f>_xll.qlInterestRateIndexValueDate(IborIndex,X400,Trigger)</f>
        <v>42585</v>
      </c>
      <c r="Z400" s="203">
        <v>1.2023189982353947E-2</v>
      </c>
      <c r="AA400" s="200">
        <v>1.1205667895346494E-2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42584</v>
      </c>
      <c r="Y401" s="202">
        <f>_xll.qlInterestRateIndexValueDate(IborIndex,X401,Trigger)</f>
        <v>42586</v>
      </c>
      <c r="Z401" s="203">
        <v>1.2041926138126024E-2</v>
      </c>
      <c r="AA401" s="200">
        <v>1.1245606178107437E-2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42585</v>
      </c>
      <c r="Y402" s="202">
        <f>_xll.qlInterestRateIndexValueDate(IborIndex,X402,Trigger)</f>
        <v>42587</v>
      </c>
      <c r="Z402" s="203">
        <v>1.2079573256856421E-2</v>
      </c>
      <c r="AA402" s="200">
        <v>1.126564873108471E-2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42586</v>
      </c>
      <c r="Y403" s="202">
        <f>_xll.qlInterestRateIndexValueDate(IborIndex,X403,Trigger)</f>
        <v>42590</v>
      </c>
      <c r="Z403" s="203">
        <v>1.2116719277471388E-2</v>
      </c>
      <c r="AA403" s="200">
        <v>1.128563069740629E-2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42587</v>
      </c>
      <c r="Y404" s="202">
        <f>_xll.qlInterestRateIndexValueDate(IborIndex,X404,Trigger)</f>
        <v>42591</v>
      </c>
      <c r="Z404" s="203">
        <v>1.2135384154589181E-2</v>
      </c>
      <c r="AA404" s="200">
        <v>1.1305552076912306E-2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42590</v>
      </c>
      <c r="Y405" s="202">
        <f>_xll.qlInterestRateIndexValueDate(IborIndex,X405,Trigger)</f>
        <v>42592</v>
      </c>
      <c r="Z405" s="203">
        <v>1.2154037453968206E-2</v>
      </c>
      <c r="AA405" s="200">
        <v>1.1345550421095751E-2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42591</v>
      </c>
      <c r="Y406" s="202">
        <f>_xll.qlInterestRateIndexValueDate(IborIndex,X406,Trigger)</f>
        <v>42593</v>
      </c>
      <c r="Z406" s="203">
        <v>1.2201160835244338E-2</v>
      </c>
      <c r="AA406" s="200">
        <v>1.1384631728219574E-2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42592</v>
      </c>
      <c r="Y407" s="202">
        <f>_xll.qlInterestRateIndexValueDate(IborIndex,X407,Trigger)</f>
        <v>42594</v>
      </c>
      <c r="Z407" s="203">
        <v>1.2210305131768332E-2</v>
      </c>
      <c r="AA407" s="200">
        <v>1.140425017420732E-2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42593</v>
      </c>
      <c r="Y408" s="202">
        <f>_xll.qlInterestRateIndexValueDate(IborIndex,X408,Trigger)</f>
        <v>42597</v>
      </c>
      <c r="Z408" s="203">
        <v>1.2247161529978682E-2</v>
      </c>
      <c r="AA408" s="200">
        <v>1.1423808033459437E-2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42594</v>
      </c>
      <c r="Y409" s="202">
        <f>_xll.qlInterestRateIndexValueDate(IborIndex,X409,Trigger)</f>
        <v>42598</v>
      </c>
      <c r="Z409" s="203">
        <v>1.2265764110286155E-2</v>
      </c>
      <c r="AA409" s="200">
        <v>1.1443305305975926E-2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42597</v>
      </c>
      <c r="Y410" s="202">
        <f>_xll.qlInterestRateIndexValueDate(IborIndex,X410,Trigger)</f>
        <v>42599</v>
      </c>
      <c r="Z410" s="203">
        <v>1.2284361362135955E-2</v>
      </c>
      <c r="AA410" s="200">
        <v>1.148246411683651E-2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42598</v>
      </c>
      <c r="Y411" s="202">
        <f>_xll.qlInterestRateIndexValueDate(IborIndex,X411,Trigger)</f>
        <v>42600</v>
      </c>
      <c r="Z411" s="203">
        <v>1.2302954178350416E-2</v>
      </c>
      <c r="AA411" s="200">
        <v>1.1520688528046108E-2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42599</v>
      </c>
      <c r="Y412" s="202">
        <f>_xll.qlInterestRateIndexValueDate(IborIndex,X412,Trigger)</f>
        <v>42601</v>
      </c>
      <c r="Z412" s="203">
        <v>1.234063265000699E-2</v>
      </c>
      <c r="AA412" s="200">
        <v>1.1539882866644646E-2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42600</v>
      </c>
      <c r="Y413" s="202">
        <f>_xll.qlInterestRateIndexValueDate(IborIndex,X413,Trigger)</f>
        <v>42604</v>
      </c>
      <c r="Z413" s="203">
        <v>1.2377298943892478E-2</v>
      </c>
      <c r="AA413" s="200">
        <v>1.1559016618347684E-2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42601</v>
      </c>
      <c r="Y414" s="202">
        <f>_xll.qlInterestRateIndexValueDate(IborIndex,X414,Trigger)</f>
        <v>42605</v>
      </c>
      <c r="Z414" s="203">
        <v>1.2395882974858758E-2</v>
      </c>
      <c r="AA414" s="200">
        <v>1.1578089783235157E-2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42604</v>
      </c>
      <c r="Y415" s="202">
        <f>_xll.qlInterestRateIndexValueDate(IborIndex,X415,Trigger)</f>
        <v>42606</v>
      </c>
      <c r="Z415" s="203">
        <v>1.2424051348517534E-2</v>
      </c>
      <c r="AA415" s="200">
        <v>1.1626032904188399E-2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42605</v>
      </c>
      <c r="Y416" s="202">
        <f>_xll.qlInterestRateIndexValueDate(IborIndex,X416,Trigger)</f>
        <v>42607</v>
      </c>
      <c r="Z416" s="203">
        <v>1.2433054694693996E-2</v>
      </c>
      <c r="AA416" s="200">
        <v>1.1672546804879502E-2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42606</v>
      </c>
      <c r="Y417" s="202">
        <f>_xll.qlInterestRateIndexValueDate(IborIndex,X417,Trigger)</f>
        <v>42608</v>
      </c>
      <c r="Z417" s="203">
        <v>1.2470855551738701E-2</v>
      </c>
      <c r="AA417" s="200">
        <v>1.169125644863378E-2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42607</v>
      </c>
      <c r="Y418" s="202">
        <f>_xll.qlInterestRateIndexValueDate(IborIndex,X418,Trigger)</f>
        <v>42612</v>
      </c>
      <c r="Z418" s="203">
        <v>1.2526047003817504E-2</v>
      </c>
      <c r="AA418" s="200">
        <v>1.1709905505412621E-2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42608</v>
      </c>
      <c r="Y419" s="202">
        <f>_xll.qlInterestRateIndexValueDate(IborIndex,X419,Trigger)</f>
        <v>42613</v>
      </c>
      <c r="Z419" s="203">
        <v>1.2535019694648954E-2</v>
      </c>
      <c r="AA419" s="200">
        <v>1.1747384977818243E-2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42612</v>
      </c>
      <c r="Y420" s="202">
        <f>_xll.qlInterestRateIndexValueDate(IborIndex,X420,Trigger)</f>
        <v>42614</v>
      </c>
      <c r="Z420" s="203">
        <v>1.2553633821600853E-2</v>
      </c>
      <c r="AA420" s="200">
        <v>1.178389586357298E-2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42613</v>
      </c>
      <c r="Y421" s="202">
        <f>_xll.qlInterestRateIndexValueDate(IborIndex,X421,Trigger)</f>
        <v>42615</v>
      </c>
      <c r="Z421" s="203">
        <v>1.257225676852783E-2</v>
      </c>
      <c r="AA421" s="200">
        <v>1.1802241985794382E-2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42614</v>
      </c>
      <c r="Y422" s="202">
        <f>_xll.qlInterestRateIndexValueDate(IborIndex,X422,Trigger)</f>
        <v>42619</v>
      </c>
      <c r="Z422" s="203">
        <v>1.2646854813606997E-2</v>
      </c>
      <c r="AA422" s="200">
        <v>1.1838752469310876E-2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42615</v>
      </c>
      <c r="Y423" s="202">
        <f>_xll.qlInterestRateIndexValueDate(IborIndex,X423,Trigger)</f>
        <v>42619</v>
      </c>
      <c r="Z423" s="203">
        <v>1.2646854813606997E-2</v>
      </c>
      <c r="AA423" s="200">
        <v>1.1838752469310876E-2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42618</v>
      </c>
      <c r="Y424" s="202">
        <f>_xll.qlInterestRateIndexValueDate(IborIndex,X424,Trigger)</f>
        <v>42620</v>
      </c>
      <c r="Z424" s="203">
        <v>1.2665535403778877E-2</v>
      </c>
      <c r="AA424" s="200">
        <v>1.1875392123421591E-2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42619</v>
      </c>
      <c r="Y425" s="202">
        <f>_xll.qlInterestRateIndexValueDate(IborIndex,X425,Trigger)</f>
        <v>42621</v>
      </c>
      <c r="Z425" s="203">
        <v>1.2684230231395388E-2</v>
      </c>
      <c r="AA425" s="200">
        <v>1.1911046392718561E-2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42620</v>
      </c>
      <c r="Y426" s="202">
        <f>_xll.qlInterestRateIndexValueDate(IborIndex,X426,Trigger)</f>
        <v>42622</v>
      </c>
      <c r="Z426" s="203">
        <v>1.2702940199428291E-2</v>
      </c>
      <c r="AA426" s="200">
        <v>1.192896840603197E-2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42621</v>
      </c>
      <c r="Y427" s="202">
        <f>_xll.qlInterestRateIndexValueDate(IborIndex,X427,Trigger)</f>
        <v>42625</v>
      </c>
      <c r="Z427" s="203">
        <v>1.2759169975999492E-2</v>
      </c>
      <c r="AA427" s="200">
        <v>1.1946829832369943E-2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42622</v>
      </c>
      <c r="Y428" s="202">
        <f>_xll.qlInterestRateIndexValueDate(IborIndex,X428,Trigger)</f>
        <v>42626</v>
      </c>
      <c r="Z428" s="203">
        <v>1.2777949535758185E-2</v>
      </c>
      <c r="AA428" s="200">
        <v>1.1964644320334727E-2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42625</v>
      </c>
      <c r="Y429" s="202">
        <f>_xll.qlInterestRateIndexValueDate(IborIndex,X429,Trigger)</f>
        <v>42627</v>
      </c>
      <c r="Z429" s="203">
        <v>1.2796748751050342E-2</v>
      </c>
      <c r="AA429" s="200">
        <v>1.2000717040692166E-2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42626</v>
      </c>
      <c r="Y430" s="202">
        <f>_xll.qlInterestRateIndexValueDate(IborIndex,X430,Trigger)</f>
        <v>42628</v>
      </c>
      <c r="Z430" s="203">
        <v>1.281556852495138E-2</v>
      </c>
      <c r="AA430" s="200">
        <v>1.2036060726963171E-2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42627</v>
      </c>
      <c r="Y431" s="202">
        <f>_xll.qlInterestRateIndexValueDate(IborIndex,X431,Trigger)</f>
        <v>42629</v>
      </c>
      <c r="Z431" s="203">
        <v>1.2834409610087392E-2</v>
      </c>
      <c r="AA431" s="200">
        <v>1.2053968090954825E-2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42628</v>
      </c>
      <c r="Y432" s="202">
        <f>_xll.qlInterestRateIndexValueDate(IborIndex,X432,Trigger)</f>
        <v>42632</v>
      </c>
      <c r="Z432" s="203">
        <v>1.2891061638745954E-2</v>
      </c>
      <c r="AA432" s="200">
        <v>1.2071896759904277E-2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42629</v>
      </c>
      <c r="Y433" s="202">
        <f>_xll.qlInterestRateIndexValueDate(IborIndex,X433,Trigger)</f>
        <v>42633</v>
      </c>
      <c r="Z433" s="203">
        <v>1.290998857373403E-2</v>
      </c>
      <c r="AA433" s="200">
        <v>1.2089846733891463E-2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42632</v>
      </c>
      <c r="Y434" s="202">
        <f>_xll.qlInterestRateIndexValueDate(IborIndex,X434,Trigger)</f>
        <v>42634</v>
      </c>
      <c r="Z434" s="203">
        <v>1.2928936971949783E-2</v>
      </c>
      <c r="AA434" s="200">
        <v>1.2126226134370199E-2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42633</v>
      </c>
      <c r="Y435" s="202">
        <f>_xll.qlInterestRateIndexValueDate(IborIndex,X435,Trigger)</f>
        <v>42635</v>
      </c>
      <c r="Z435" s="203">
        <v>1.294790663958429E-2</v>
      </c>
      <c r="AA435" s="200">
        <v>1.2161859679178377E-2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42634</v>
      </c>
      <c r="Y436" s="202">
        <f>_xll.qlInterestRateIndexValueDate(IborIndex,X436,Trigger)</f>
        <v>42636</v>
      </c>
      <c r="Z436" s="203">
        <v>1.2966896606353478E-2</v>
      </c>
      <c r="AA436" s="200">
        <v>1.2179916177954553E-2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42635</v>
      </c>
      <c r="Y437" s="202">
        <f>_xll.qlInterestRateIndexValueDate(IborIndex,X437,Trigger)</f>
        <v>42639</v>
      </c>
      <c r="Z437" s="203">
        <v>1.3043812755632581E-2</v>
      </c>
      <c r="AA437" s="200">
        <v>1.2197993981688526E-2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42636</v>
      </c>
      <c r="Y438" s="202">
        <f>_xll.qlInterestRateIndexValueDate(IborIndex,X438,Trigger)</f>
        <v>42640</v>
      </c>
      <c r="Z438" s="203">
        <v>1.3052958234764451E-2</v>
      </c>
      <c r="AA438" s="200">
        <v>1.2216093090460234E-2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42639</v>
      </c>
      <c r="Y439" s="202">
        <f>_xll.qlInterestRateIndexValueDate(IborIndex,X439,Trigger)</f>
        <v>42641</v>
      </c>
      <c r="Z439" s="203">
        <v>1.3062110171833754E-2</v>
      </c>
      <c r="AA439" s="200">
        <v>1.2252779329893215E-2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42640</v>
      </c>
      <c r="Y440" s="202">
        <f>_xll.qlInterestRateIndexValueDate(IborIndex,X440,Trigger)</f>
        <v>42642</v>
      </c>
      <c r="Z440" s="203">
        <v>1.3081197479865025E-2</v>
      </c>
      <c r="AA440" s="200">
        <v>1.2288702575045107E-2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42641</v>
      </c>
      <c r="Y441" s="202">
        <f>_xll.qlInterestRateIndexValueDate(IborIndex,X441,Trigger)</f>
        <v>42643</v>
      </c>
      <c r="Z441" s="203">
        <v>1.3100296935639329E-2</v>
      </c>
      <c r="AA441" s="200">
        <v>1.2306908208685741E-2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42642</v>
      </c>
      <c r="Y442" s="202">
        <f>_xll.qlInterestRateIndexValueDate(IborIndex,X442,Trigger)</f>
        <v>42646</v>
      </c>
      <c r="Z442" s="203">
        <v>1.3167584692707311E-2</v>
      </c>
      <c r="AA442" s="200">
        <v>1.2325135147364108E-2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42643</v>
      </c>
      <c r="Y443" s="202">
        <f>_xll.qlInterestRateIndexValueDate(IborIndex,X443,Trigger)</f>
        <v>42647</v>
      </c>
      <c r="Z443" s="203">
        <v>1.3186718538793111E-2</v>
      </c>
      <c r="AA443" s="200">
        <v>1.2343383391000273E-2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42646</v>
      </c>
      <c r="Y444" s="202">
        <f>_xll.qlInterestRateIndexValueDate(IborIndex,X444,Trigger)</f>
        <v>42648</v>
      </c>
      <c r="Z444" s="203">
        <v>1.3205857723200001E-2</v>
      </c>
      <c r="AA444" s="200">
        <v>1.2380376630591883E-2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42647</v>
      </c>
      <c r="Y445" s="202">
        <f>_xll.qlInterestRateIndexValueDate(IborIndex,X445,Trigger)</f>
        <v>42649</v>
      </c>
      <c r="Z445" s="203">
        <v>1.3225001093844333E-2</v>
      </c>
      <c r="AA445" s="200">
        <v>1.241658941560253E-2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42648</v>
      </c>
      <c r="Y446" s="202">
        <f>_xll.qlInterestRateIndexValueDate(IborIndex,X446,Trigger)</f>
        <v>42650</v>
      </c>
      <c r="Z446" s="203">
        <v>1.3263946042591878E-2</v>
      </c>
      <c r="AA446" s="200">
        <v>1.243494418434743E-2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42649</v>
      </c>
      <c r="Y447" s="202">
        <f>_xll.qlInterestRateIndexValueDate(IborIndex,X447,Trigger)</f>
        <v>42654</v>
      </c>
      <c r="Z447" s="203">
        <v>1.3320740416137821E-2</v>
      </c>
      <c r="AA447" s="200">
        <v>1.2471717636790558E-2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42650</v>
      </c>
      <c r="Y448" s="202">
        <f>_xll.qlInterestRateIndexValueDate(IborIndex,X448,Trigger)</f>
        <v>42654</v>
      </c>
      <c r="Z448" s="203">
        <v>1.3320740416137821E-2</v>
      </c>
      <c r="AA448" s="200">
        <v>1.2471717636790558E-2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42653</v>
      </c>
      <c r="Y449" s="202">
        <f>_xll.qlInterestRateIndexValueDate(IborIndex,X449,Trigger)</f>
        <v>42655</v>
      </c>
      <c r="Z449" s="203">
        <v>1.3339884709199079E-2</v>
      </c>
      <c r="AA449" s="200">
        <v>1.250901803974358E-2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42654</v>
      </c>
      <c r="Y450" s="202">
        <f>_xll.qlInterestRateIndexValueDate(IborIndex,X450,Trigger)</f>
        <v>42656</v>
      </c>
      <c r="Z450" s="203">
        <v>1.3359025123286674E-2</v>
      </c>
      <c r="AA450" s="200">
        <v>1.2545520201969751E-2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42655</v>
      </c>
      <c r="Y451" s="202">
        <f>_xll.qlInterestRateIndexValueDate(IborIndex,X451,Trigger)</f>
        <v>42657</v>
      </c>
      <c r="Z451" s="203">
        <v>1.3407623147354062E-2</v>
      </c>
      <c r="AA451" s="200">
        <v>1.2564024105898852E-2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42656</v>
      </c>
      <c r="Y452" s="202">
        <f>_xll.qlInterestRateIndexValueDate(IborIndex,X452,Trigger)</f>
        <v>42660</v>
      </c>
      <c r="Z452" s="203">
        <v>1.343552494428717E-2</v>
      </c>
      <c r="AA452" s="200">
        <v>1.2582549314785751E-2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42657</v>
      </c>
      <c r="Y453" s="202">
        <f>_xll.qlInterestRateIndexValueDate(IborIndex,X453,Trigger)</f>
        <v>42661</v>
      </c>
      <c r="Z453" s="203">
        <v>1.3454628679105577E-2</v>
      </c>
      <c r="AA453" s="200">
        <v>1.2601095828790321E-2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42660</v>
      </c>
      <c r="Y454" s="202">
        <f>_xll.qlInterestRateIndexValueDate(IborIndex,X454,Trigger)</f>
        <v>42662</v>
      </c>
      <c r="Z454" s="203">
        <v>1.3473721621034794E-2</v>
      </c>
      <c r="AA454" s="200">
        <v>1.2638703560732267E-2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42661</v>
      </c>
      <c r="Y455" s="202">
        <f>_xll.qlInterestRateIndexValueDate(IborIndex,X455,Trigger)</f>
        <v>42663</v>
      </c>
      <c r="Z455" s="203">
        <v>1.3492802617677511E-2</v>
      </c>
      <c r="AA455" s="200">
        <v>1.2675494935265874E-2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42662</v>
      </c>
      <c r="Y456" s="202">
        <f>_xll.qlInterestRateIndexValueDate(IborIndex,X456,Trigger)</f>
        <v>42664</v>
      </c>
      <c r="Z456" s="203">
        <v>1.3531301756990653E-2</v>
      </c>
      <c r="AA456" s="200">
        <v>1.269414797453905E-2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42663</v>
      </c>
      <c r="Y457" s="202">
        <f>_xll.qlInterestRateIndexValueDate(IborIndex,X457,Trigger)</f>
        <v>42667</v>
      </c>
      <c r="Z457" s="203">
        <v>1.3568984102653508E-2</v>
      </c>
      <c r="AA457" s="200">
        <v>1.2712822318849959E-2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42664</v>
      </c>
      <c r="Y458" s="202">
        <f>_xll.qlInterestRateIndexValueDate(IborIndex,X458,Trigger)</f>
        <v>42668</v>
      </c>
      <c r="Z458" s="203">
        <v>1.3587988086122996E-2</v>
      </c>
      <c r="AA458" s="200">
        <v>1.2731517968278538E-2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42667</v>
      </c>
      <c r="Y459" s="202">
        <f>_xll.qlInterestRateIndexValueDate(IborIndex,X459,Trigger)</f>
        <v>42669</v>
      </c>
      <c r="Z459" s="203">
        <v>1.3606973209454684E-2</v>
      </c>
      <c r="AA459" s="200">
        <v>1.2769433196941904E-2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42668</v>
      </c>
      <c r="Y460" s="202">
        <f>_xll.qlInterestRateIndexValueDate(IborIndex,X460,Trigger)</f>
        <v>42670</v>
      </c>
      <c r="Z460" s="203">
        <v>1.3625938320095737E-2</v>
      </c>
      <c r="AA460" s="200">
        <v>1.2806513616689941E-2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42669</v>
      </c>
      <c r="Y461" s="202">
        <f>_xll.qlInterestRateIndexValueDate(IborIndex,X461,Trigger)</f>
        <v>42671</v>
      </c>
      <c r="Z461" s="203">
        <v>1.3664015779834312E-2</v>
      </c>
      <c r="AA461" s="200">
        <v>1.2825315791387126E-2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42670</v>
      </c>
      <c r="Y462" s="202">
        <f>_xll.qlInterestRateIndexValueDate(IborIndex,X462,Trigger)</f>
        <v>42674</v>
      </c>
      <c r="Z462" s="203">
        <v>1.370157558393836E-2</v>
      </c>
      <c r="AA462" s="200">
        <v>1.2844139271281918E-2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42671</v>
      </c>
      <c r="Y463" s="202">
        <f>_xll.qlInterestRateIndexValueDate(IborIndex,X463,Trigger)</f>
        <v>42675</v>
      </c>
      <c r="Z463" s="203">
        <v>1.3720423342072571E-2</v>
      </c>
      <c r="AA463" s="200">
        <v>1.286298405629438E-2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42674</v>
      </c>
      <c r="Y464" s="202">
        <f>_xll.qlInterestRateIndexValueDate(IborIndex,X464,Trigger)</f>
        <v>42676</v>
      </c>
      <c r="Z464" s="203">
        <v>1.3739244171742973E-2</v>
      </c>
      <c r="AA464" s="200">
        <v>1.2901206951783095E-2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42675</v>
      </c>
      <c r="Y465" s="202">
        <f>_xll.qlInterestRateIndexValueDate(IborIndex,X465,Trigger)</f>
        <v>42677</v>
      </c>
      <c r="Z465" s="203">
        <v>1.3758036920242946E-2</v>
      </c>
      <c r="AA465" s="200">
        <v>1.2938576247201183E-2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42676</v>
      </c>
      <c r="Y466" s="202">
        <f>_xll.qlInterestRateIndexValueDate(IborIndex,X466,Trigger)</f>
        <v>42678</v>
      </c>
      <c r="Z466" s="203">
        <v>1.3795571332493504E-2</v>
      </c>
      <c r="AA466" s="200">
        <v>1.2957527557642123E-2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42677</v>
      </c>
      <c r="Y467" s="202">
        <f>_xll.qlInterestRateIndexValueDate(IborIndex,X467,Trigger)</f>
        <v>42681</v>
      </c>
      <c r="Z467" s="203">
        <v>1.3832904047696125E-2</v>
      </c>
      <c r="AA467" s="200">
        <v>1.297650017328067E-2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42678</v>
      </c>
      <c r="Y468" s="202">
        <f>_xll.qlInterestRateIndexValueDate(IborIndex,X468,Trigger)</f>
        <v>42682</v>
      </c>
      <c r="Z468" s="203">
        <v>1.3851539099024254E-2</v>
      </c>
      <c r="AA468" s="200">
        <v>1.299549409395695E-2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42681</v>
      </c>
      <c r="Y469" s="202">
        <f>_xll.qlInterestRateIndexValueDate(IborIndex,X469,Trigger)</f>
        <v>42683</v>
      </c>
      <c r="Z469" s="203">
        <v>1.3870139152506022E-2</v>
      </c>
      <c r="AA469" s="200">
        <v>1.3034024828719737E-2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42682</v>
      </c>
      <c r="Y470" s="202">
        <f>_xll.qlInterestRateIndexValueDate(IborIndex,X470,Trigger)</f>
        <v>42684</v>
      </c>
      <c r="Z470" s="203">
        <v>1.3888703055286227E-2</v>
      </c>
      <c r="AA470" s="200">
        <v>1.3071682828158515E-2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42683</v>
      </c>
      <c r="Y471" s="202">
        <f>_xll.qlInterestRateIndexValueDate(IborIndex,X471,Trigger)</f>
        <v>42688</v>
      </c>
      <c r="Z471" s="203">
        <v>1.3962574101609655E-2</v>
      </c>
      <c r="AA471" s="200">
        <v>1.3109905025965318E-2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42684</v>
      </c>
      <c r="Y472" s="202">
        <f>_xll.qlInterestRateIndexValueDate(IborIndex,X472,Trigger)</f>
        <v>42688</v>
      </c>
      <c r="Z472" s="203">
        <v>1.3962574101609655E-2</v>
      </c>
      <c r="AA472" s="200">
        <v>1.3109905025965318E-2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42685</v>
      </c>
      <c r="Y473" s="202">
        <f>_xll.qlInterestRateIndexValueDate(IborIndex,X473,Trigger)</f>
        <v>42689</v>
      </c>
      <c r="Z473" s="203">
        <v>1.3980939957361519E-2</v>
      </c>
      <c r="AA473" s="200">
        <v>1.3129048082545225E-2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42688</v>
      </c>
      <c r="Y474" s="202">
        <f>_xll.qlInterestRateIndexValueDate(IborIndex,X474,Trigger)</f>
        <v>42690</v>
      </c>
      <c r="Z474" s="203">
        <v>1.3999262744860071E-2</v>
      </c>
      <c r="AA474" s="200">
        <v>1.3167886831162434E-2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42689</v>
      </c>
      <c r="Y475" s="202">
        <f>_xll.qlInterestRateIndexValueDate(IborIndex,X475,Trigger)</f>
        <v>42691</v>
      </c>
      <c r="Z475" s="203">
        <v>1.4017541311108484E-2</v>
      </c>
      <c r="AA475" s="200">
        <v>1.3205833360521169E-2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42690</v>
      </c>
      <c r="Y476" s="202">
        <f>_xll.qlInterestRateIndexValueDate(IborIndex,X476,Trigger)</f>
        <v>42692</v>
      </c>
      <c r="Z476" s="203">
        <v>1.4062562254632439E-2</v>
      </c>
      <c r="AA476" s="200">
        <v>1.3225082942929234E-2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42691</v>
      </c>
      <c r="Y477" s="202">
        <f>_xll.qlInterestRateIndexValueDate(IborIndex,X477,Trigger)</f>
        <v>42695</v>
      </c>
      <c r="Z477" s="203">
        <v>1.4090190302962987E-2</v>
      </c>
      <c r="AA477" s="200">
        <v>1.3244353830375033E-2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42692</v>
      </c>
      <c r="Y478" s="202">
        <f>_xll.qlInterestRateIndexValueDate(IborIndex,X478,Trigger)</f>
        <v>42696</v>
      </c>
      <c r="Z478" s="203">
        <v>1.4108230467312308E-2</v>
      </c>
      <c r="AA478" s="200">
        <v>1.326364602317831E-2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42695</v>
      </c>
      <c r="Y479" s="202">
        <f>_xll.qlInterestRateIndexValueDate(IborIndex,X479,Trigger)</f>
        <v>42697</v>
      </c>
      <c r="Z479" s="203">
        <v>1.4126219492016067E-2</v>
      </c>
      <c r="AA479" s="200">
        <v>1.3302792962655019E-2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42696</v>
      </c>
      <c r="Y480" s="202">
        <f>_xll.qlInterestRateIndexValueDate(IborIndex,X480,Trigger)</f>
        <v>42699</v>
      </c>
      <c r="Z480" s="203">
        <v>1.4179416908920273E-2</v>
      </c>
      <c r="AA480" s="200">
        <v>1.3360426564199557E-2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42697</v>
      </c>
      <c r="Y481" s="202">
        <f>_xll.qlInterestRateIndexValueDate(IborIndex,X481,Trigger)</f>
        <v>42699</v>
      </c>
      <c r="Z481" s="203">
        <v>1.4179416908920273E-2</v>
      </c>
      <c r="AA481" s="200">
        <v>1.3360426564199557E-2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42698</v>
      </c>
      <c r="Y482" s="202">
        <f>_xll.qlInterestRateIndexValueDate(IborIndex,X482,Trigger)</f>
        <v>42702</v>
      </c>
      <c r="Z482" s="203">
        <v>1.4215357160508544E-2</v>
      </c>
      <c r="AA482" s="200">
        <v>1.3379846587948663E-2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42699</v>
      </c>
      <c r="Y483" s="202">
        <f>_xll.qlInterestRateIndexValueDate(IborIndex,X483,Trigger)</f>
        <v>42703</v>
      </c>
      <c r="Z483" s="203">
        <v>1.4224438039891412E-2</v>
      </c>
      <c r="AA483" s="200">
        <v>1.3399287916895375E-2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42702</v>
      </c>
      <c r="Y484" s="202">
        <f>_xll.qlInterestRateIndexValueDate(IborIndex,X484,Trigger)</f>
        <v>42704</v>
      </c>
      <c r="Z484" s="203">
        <v>1.42335099291655E-2</v>
      </c>
      <c r="AA484" s="200">
        <v>1.3438743226688032E-2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42703</v>
      </c>
      <c r="Y485" s="202">
        <f>_xll.qlInterestRateIndexValueDate(IborIndex,X485,Trigger)</f>
        <v>42705</v>
      </c>
      <c r="Z485" s="203">
        <v>1.4251126120119473E-2</v>
      </c>
      <c r="AA485" s="200">
        <v>1.3477266284578349E-2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42704</v>
      </c>
      <c r="Y486" s="202">
        <f>_xll.qlInterestRateIndexValueDate(IborIndex,X486,Trigger)</f>
        <v>42706</v>
      </c>
      <c r="Z486" s="203">
        <v>1.4268681308837294E-2</v>
      </c>
      <c r="AA486" s="200">
        <v>1.3496814139513091E-2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42705</v>
      </c>
      <c r="Y487" s="202">
        <f>_xll.qlInterestRateIndexValueDate(IborIndex,X487,Trigger)</f>
        <v>42709</v>
      </c>
      <c r="Z487" s="203">
        <v>1.4329337783791031E-2</v>
      </c>
      <c r="AA487" s="200">
        <v>1.351638329964544E-2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42706</v>
      </c>
      <c r="Y488" s="202">
        <f>_xll.qlInterestRateIndexValueDate(IborIndex,X488,Trigger)</f>
        <v>42710</v>
      </c>
      <c r="Z488" s="203">
        <v>1.4338268465276194E-2</v>
      </c>
      <c r="AA488" s="200">
        <v>1.3535973764975395E-2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42709</v>
      </c>
      <c r="Y489" s="202">
        <f>_xll.qlInterestRateIndexValueDate(IborIndex,X489,Trigger)</f>
        <v>42711</v>
      </c>
      <c r="Z489" s="203">
        <v>1.4355500960608225E-2</v>
      </c>
      <c r="AA489" s="200">
        <v>1.3575737626805306E-2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42710</v>
      </c>
      <c r="Y490" s="202">
        <f>_xll.qlInterestRateIndexValueDate(IborIndex,X490,Trigger)</f>
        <v>42712</v>
      </c>
      <c r="Z490" s="203">
        <v>1.4372665380700589E-2</v>
      </c>
      <c r="AA490" s="200">
        <v>1.3614548678591021E-2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42711</v>
      </c>
      <c r="Y491" s="202">
        <f>_xll.qlInterestRateIndexValueDate(IborIndex,X491,Trigger)</f>
        <v>42713</v>
      </c>
      <c r="Z491" s="203">
        <v>1.4389760546661634E-2</v>
      </c>
      <c r="AA491" s="200">
        <v>1.3634245669988942E-2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42712</v>
      </c>
      <c r="Y492" s="202">
        <f>_xll.qlInterestRateIndexValueDate(IborIndex,X492,Trigger)</f>
        <v>42716</v>
      </c>
      <c r="Z492" s="203">
        <v>1.4448703457957058E-2</v>
      </c>
      <c r="AA492" s="200">
        <v>1.3653963966744342E-2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42713</v>
      </c>
      <c r="Y493" s="202">
        <f>_xll.qlInterestRateIndexValueDate(IborIndex,X493,Trigger)</f>
        <v>42717</v>
      </c>
      <c r="Z493" s="203">
        <v>1.4457425090734333E-2</v>
      </c>
      <c r="AA493" s="200">
        <v>1.3673703568617412E-2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42716</v>
      </c>
      <c r="Y494" s="202">
        <f>_xll.qlInterestRateIndexValueDate(IborIndex,X494,Trigger)</f>
        <v>42718</v>
      </c>
      <c r="Z494" s="203">
        <v>1.4474156302060059E-2</v>
      </c>
      <c r="AA494" s="200">
        <v>1.3713776166630609E-2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42717</v>
      </c>
      <c r="Y495" s="202">
        <f>_xll.qlInterestRateIndexValueDate(IborIndex,X495,Trigger)</f>
        <v>42719</v>
      </c>
      <c r="Z495" s="203">
        <v>1.4490811185551955E-2</v>
      </c>
      <c r="AA495" s="200">
        <v>1.3752875028805178E-2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42718</v>
      </c>
      <c r="Y496" s="202">
        <f>_xll.qlInterestRateIndexValueDate(IborIndex,X496,Trigger)</f>
        <v>42720</v>
      </c>
      <c r="Z496" s="203">
        <v>1.4507388562208234E-2</v>
      </c>
      <c r="AA496" s="200">
        <v>1.3772721156986023E-2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42719</v>
      </c>
      <c r="Y497" s="202">
        <f>_xll.qlInterestRateIndexValueDate(IborIndex,X497,Trigger)</f>
        <v>42723</v>
      </c>
      <c r="Z497" s="203">
        <v>1.4564438765170972E-2</v>
      </c>
      <c r="AA497" s="200">
        <v>1.3792570982769092E-2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42720</v>
      </c>
      <c r="Y498" s="202">
        <f>_xll.qlInterestRateIndexValueDate(IborIndex,X498,Trigger)</f>
        <v>42724</v>
      </c>
      <c r="Z498" s="203">
        <v>1.4572899419840191E-2</v>
      </c>
      <c r="AA498" s="200">
        <v>1.3812354075692923E-2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42723</v>
      </c>
      <c r="Y499" s="202">
        <f>_xll.qlInterestRateIndexValueDate(IborIndex,X499,Trigger)</f>
        <v>42725</v>
      </c>
      <c r="Z499" s="203">
        <v>1.4589071576721402E-2</v>
      </c>
      <c r="AA499" s="200">
        <v>1.3872181942801376E-2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42724</v>
      </c>
      <c r="Y500" s="202">
        <f>_xll.qlInterestRateIndexValueDate(IborIndex,X500,Trigger)</f>
        <v>42726</v>
      </c>
      <c r="Z500" s="203">
        <v>1.4605159484039731E-2</v>
      </c>
      <c r="AA500" s="200">
        <v>1.3929281481450673E-2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42725</v>
      </c>
      <c r="Y501" s="202">
        <f>_xll.qlInterestRateIndexValueDate(IborIndex,X501,Trigger)</f>
        <v>42727</v>
      </c>
      <c r="Z501" s="203">
        <v>1.4621163620755162E-2</v>
      </c>
      <c r="AA501" s="200">
        <v>1.3948474190472737E-2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42726</v>
      </c>
      <c r="Y502" s="202">
        <f>_xll.qlInterestRateIndexValueDate(IborIndex,X502,Trigger)</f>
        <v>42732</v>
      </c>
      <c r="Z502" s="203">
        <v>1.4699956116347224E-2</v>
      </c>
      <c r="AA502" s="200">
        <v>1.3996850484143675E-2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42727</v>
      </c>
      <c r="Y503" s="202">
        <f>_xll.qlInterestRateIndexValueDate(IborIndex,X503,Trigger)</f>
        <v>42733</v>
      </c>
      <c r="Z503" s="203">
        <v>1.4715474652333249E-2</v>
      </c>
      <c r="AA503" s="200">
        <v>1.4043172625326505E-2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42732</v>
      </c>
      <c r="Y504" s="202">
        <f>_xll.qlInterestRateIndexValueDate(IborIndex,X504,Trigger)</f>
        <v>42734</v>
      </c>
      <c r="Z504" s="203">
        <v>1.473828700237742E-2</v>
      </c>
      <c r="AA504" s="200">
        <v>1.4061859290341872E-2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42733</v>
      </c>
      <c r="Y505" s="202">
        <f>_xll.qlInterestRateIndexValueDate(IborIndex,X505,Trigger)</f>
        <v>42738</v>
      </c>
      <c r="Z505" s="203">
        <v>1.4791912104539229E-2</v>
      </c>
      <c r="AA505" s="200">
        <v>1.4080461614582873E-2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42734</v>
      </c>
      <c r="Y506" s="202">
        <f>_xll.qlInterestRateIndexValueDate(IborIndex,X506,Trigger)</f>
        <v>42739</v>
      </c>
      <c r="Z506" s="203">
        <v>1.4806974224621072E-2</v>
      </c>
      <c r="AA506" s="200">
        <v>1.411793874699363E-2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42738</v>
      </c>
      <c r="Y507" s="202">
        <f>_xll.qlInterestRateIndexValueDate(IborIndex,X507,Trigger)</f>
        <v>42740</v>
      </c>
      <c r="Z507" s="203">
        <v>1.4821963113053727E-2</v>
      </c>
      <c r="AA507" s="200">
        <v>1.4154027504362787E-2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42739</v>
      </c>
      <c r="Y508" s="202">
        <f>_xll.qlInterestRateIndexValueDate(IborIndex,X508,Trigger)</f>
        <v>42741</v>
      </c>
      <c r="Z508" s="203">
        <v>1.4836879580646389E-2</v>
      </c>
      <c r="AA508" s="200">
        <v>1.4172208124971775E-2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42740</v>
      </c>
      <c r="Y509" s="202">
        <f>_xll.qlInterestRateIndexValueDate(IborIndex,X509,Trigger)</f>
        <v>42744</v>
      </c>
      <c r="Z509" s="203">
        <v>1.488826492157155E-2</v>
      </c>
      <c r="AA509" s="200">
        <v>1.4190304404726461E-2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42741</v>
      </c>
      <c r="Y510" s="202">
        <f>_xll.qlInterestRateIndexValueDate(IborIndex,X510,Trigger)</f>
        <v>42745</v>
      </c>
      <c r="Z510" s="203">
        <v>1.489583745928158E-2</v>
      </c>
      <c r="AA510" s="200">
        <v>1.4208316343706784E-2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42744</v>
      </c>
      <c r="Y511" s="202">
        <f>_xll.qlInterestRateIndexValueDate(IborIndex,X511,Trigger)</f>
        <v>42746</v>
      </c>
      <c r="Z511" s="203">
        <v>1.4910403985316734E-2</v>
      </c>
      <c r="AA511" s="200">
        <v>1.4244622685000152E-2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42745</v>
      </c>
      <c r="Y512" s="202">
        <f>_xll.qlInterestRateIndexValueDate(IborIndex,X512,Trigger)</f>
        <v>42747</v>
      </c>
      <c r="Z512" s="203">
        <v>1.4924902955677943E-2</v>
      </c>
      <c r="AA512" s="200">
        <v>1.4279520691404812E-2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42746</v>
      </c>
      <c r="Y513" s="202">
        <f>_xll.qlInterestRateIndexValueDate(IborIndex,X513,Trigger)</f>
        <v>42748</v>
      </c>
      <c r="Z513" s="203">
        <v>1.4939335181282765E-2</v>
      </c>
      <c r="AA513" s="200">
        <v>1.4297110926193568E-2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42747</v>
      </c>
      <c r="Y514" s="202">
        <f>_xll.qlInterestRateIndexValueDate(IborIndex,X514,Trigger)</f>
        <v>42752</v>
      </c>
      <c r="Z514" s="203">
        <v>1.5003273402188315E-2</v>
      </c>
      <c r="AA514" s="200">
        <v>1.4332038373208178E-2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42748</v>
      </c>
      <c r="Y515" s="202">
        <f>_xll.qlInterestRateIndexValueDate(IborIndex,X515,Trigger)</f>
        <v>42752</v>
      </c>
      <c r="Z515" s="203">
        <v>1.5003273402188315E-2</v>
      </c>
      <c r="AA515" s="200">
        <v>1.4332038373208178E-2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42751</v>
      </c>
      <c r="Y516" s="202">
        <f>_xll.qlInterestRateIndexValueDate(IborIndex,X516,Trigger)</f>
        <v>42753</v>
      </c>
      <c r="Z516" s="203">
        <v>1.5010523521032937E-2</v>
      </c>
      <c r="AA516" s="200">
        <v>1.4367173681524292E-2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42752</v>
      </c>
      <c r="Y517" s="202">
        <f>_xll.qlInterestRateIndexValueDate(IborIndex,X517,Trigger)</f>
        <v>42754</v>
      </c>
      <c r="Z517" s="203">
        <v>1.5024572308150574E-2</v>
      </c>
      <c r="AA517" s="200">
        <v>1.4400881176426239E-2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42753</v>
      </c>
      <c r="Y518" s="202">
        <f>_xll.qlInterestRateIndexValueDate(IborIndex,X518,Trigger)</f>
        <v>42755</v>
      </c>
      <c r="Z518" s="203">
        <v>1.5038560027331727E-2</v>
      </c>
      <c r="AA518" s="200">
        <v>1.4417881024915147E-2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42754</v>
      </c>
      <c r="Y519" s="202">
        <f>_xll.qlInterestRateIndexValueDate(IborIndex,X519,Trigger)</f>
        <v>42758</v>
      </c>
      <c r="Z519" s="203">
        <v>1.5086897831868123E-2</v>
      </c>
      <c r="AA519" s="200">
        <v>1.4434796532469818E-2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42755</v>
      </c>
      <c r="Y520" s="202">
        <f>_xll.qlInterestRateIndexValueDate(IborIndex,X520,Trigger)</f>
        <v>42759</v>
      </c>
      <c r="Z520" s="203">
        <v>1.5093916445547251E-2</v>
      </c>
      <c r="AA520" s="200">
        <v>1.4451627699010317E-2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42758</v>
      </c>
      <c r="Y521" s="202">
        <f>_xll.qlInterestRateIndexValueDate(IborIndex,X521,Trigger)</f>
        <v>42760</v>
      </c>
      <c r="Z521" s="203">
        <v>1.5107610990805931E-2</v>
      </c>
      <c r="AA521" s="200">
        <v>1.4485591723856217E-2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42759</v>
      </c>
      <c r="Y522" s="202">
        <f>_xll.qlInterestRateIndexValueDate(IborIndex,X522,Trigger)</f>
        <v>42761</v>
      </c>
      <c r="Z522" s="203">
        <v>1.5121249334527853E-2</v>
      </c>
      <c r="AA522" s="200">
        <v>1.4518108955350328E-2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42760</v>
      </c>
      <c r="Y523" s="202">
        <f>_xll.qlInterestRateIndexValueDate(IborIndex,X523,Trigger)</f>
        <v>42762</v>
      </c>
      <c r="Z523" s="203">
        <v>1.5134832287827749E-2</v>
      </c>
      <c r="AA523" s="200">
        <v>1.45345184168999E-2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42761</v>
      </c>
      <c r="Y524" s="202">
        <f>_xll.qlInterestRateIndexValueDate(IborIndex,X524,Trigger)</f>
        <v>42765</v>
      </c>
      <c r="Z524" s="203">
        <v>1.5162020333448843E-2</v>
      </c>
      <c r="AA524" s="200">
        <v>1.4550843537435298E-2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42762</v>
      </c>
      <c r="Y525" s="202">
        <f>_xll.qlInterestRateIndexValueDate(IborIndex,X525,Trigger)</f>
        <v>42766</v>
      </c>
      <c r="Z525" s="203">
        <v>1.5168809884672162E-2</v>
      </c>
      <c r="AA525" s="200">
        <v>1.4567084316876588E-2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42765</v>
      </c>
      <c r="Y526" s="202">
        <f>_xll.qlInterestRateIndexValueDate(IborIndex,X526,Trigger)</f>
        <v>42767</v>
      </c>
      <c r="Z526" s="203">
        <v>1.5201944587906802E-2</v>
      </c>
      <c r="AA526" s="200">
        <v>1.4599876799792355E-2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42766</v>
      </c>
      <c r="Y527" s="202">
        <f>_xll.qlInterestRateIndexValueDate(IborIndex,X527,Trigger)</f>
        <v>42768</v>
      </c>
      <c r="Z527" s="203">
        <v>1.5208645611651193E-2</v>
      </c>
      <c r="AA527" s="200">
        <v>1.4631204024020406E-2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42767</v>
      </c>
      <c r="Y528" s="202">
        <f>_xll.qlInterestRateIndexValueDate(IborIndex,X528,Trigger)</f>
        <v>42769</v>
      </c>
      <c r="Z528" s="203">
        <v>1.5221878628968627E-2</v>
      </c>
      <c r="AA528" s="200">
        <v>1.4647023098071088E-2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42768</v>
      </c>
      <c r="Y529" s="202">
        <f>_xll.qlInterestRateIndexValueDate(IborIndex,X529,Trigger)</f>
        <v>42772</v>
      </c>
      <c r="Z529" s="203">
        <v>1.5274296571913931E-2</v>
      </c>
      <c r="AA529" s="200">
        <v>1.4662757831027662E-2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42769</v>
      </c>
      <c r="Y530" s="202">
        <f>_xll.qlInterestRateIndexValueDate(IborIndex,X530,Trigger)</f>
        <v>42773</v>
      </c>
      <c r="Z530" s="203">
        <v>1.5280820997974232E-2</v>
      </c>
      <c r="AA530" s="200">
        <v>1.4678408222890127E-2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42772</v>
      </c>
      <c r="Y531" s="202">
        <f>_xll.qlInterestRateIndexValueDate(IborIndex,X531,Trigger)</f>
        <v>42774</v>
      </c>
      <c r="Z531" s="203">
        <v>1.5287320340097377E-2</v>
      </c>
      <c r="AA531" s="200">
        <v>1.4710028897528815E-2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42773</v>
      </c>
      <c r="Y532" s="202">
        <f>_xll.qlInterestRateIndexValueDate(IborIndex,X532,Trigger)</f>
        <v>42775</v>
      </c>
      <c r="Z532" s="203">
        <v>1.5300269749608806E-2</v>
      </c>
      <c r="AA532" s="200">
        <v>1.4740166378679476E-2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42774</v>
      </c>
      <c r="Y533" s="202">
        <f>_xll.qlInterestRateIndexValueDate(IborIndex,X533,Trigger)</f>
        <v>42776</v>
      </c>
      <c r="Z533" s="203">
        <v>1.531317476239843E-2</v>
      </c>
      <c r="AA533" s="200">
        <v>1.4755395064751653E-2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42775</v>
      </c>
      <c r="Y534" s="202">
        <f>_xll.qlInterestRateIndexValueDate(IborIndex,X534,Trigger)</f>
        <v>42779</v>
      </c>
      <c r="Z534" s="203">
        <v>1.5364471068820808E-2</v>
      </c>
      <c r="AA534" s="200">
        <v>1.4770539409489913E-2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42776</v>
      </c>
      <c r="Y535" s="202">
        <f>_xll.qlInterestRateIndexValueDate(IborIndex,X535,Trigger)</f>
        <v>42780</v>
      </c>
      <c r="Z535" s="203">
        <v>1.5370778432512999E-2</v>
      </c>
      <c r="AA535" s="200">
        <v>1.4785599413214001E-2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42779</v>
      </c>
      <c r="Y536" s="202">
        <f>_xll.qlInterestRateIndexValueDate(IborIndex,X536,Trigger)</f>
        <v>42781</v>
      </c>
      <c r="Z536" s="203">
        <v>1.5377062589505277E-2</v>
      </c>
      <c r="AA536" s="200">
        <v>1.4816048005661386E-2</v>
      </c>
    </row>
    <row r="537" spans="19:27" x14ac:dyDescent="0.2">
      <c r="S537" s="159"/>
      <c r="T537" s="180"/>
      <c r="W537" s="201" t="s">
        <v>164</v>
      </c>
      <c r="X537" s="199">
        <f>_xll.qlCalendarAdvance(LiborCalendar,X536,W537,"f",FALSE)</f>
        <v>42786</v>
      </c>
      <c r="Y537" s="202">
        <f>_xll.qlInterestRateIndexValueDate(IborIndex,X537,Trigger)</f>
        <v>42788</v>
      </c>
      <c r="Z537" s="203">
        <v>1.5464870604426442E-2</v>
      </c>
      <c r="AA537" s="200">
        <v>1.4917934113265474E-2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42793</v>
      </c>
      <c r="Y538" s="202">
        <f>_xll.qlInterestRateIndexValueDate(IborIndex,X538,Trigger)</f>
        <v>42795</v>
      </c>
      <c r="Z538" s="203">
        <v>1.556985318562786E-2</v>
      </c>
      <c r="AA538" s="200">
        <v>1.5015687209816164E-2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42800</v>
      </c>
      <c r="Y539" s="202">
        <f>_xll.qlInterestRateIndexValueDate(IborIndex,X539,Trigger)</f>
        <v>42802</v>
      </c>
      <c r="Z539" s="203">
        <v>1.5654500646485929E-2</v>
      </c>
      <c r="AA539" s="200">
        <v>1.5109307285161577E-2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42807</v>
      </c>
      <c r="Y540" s="202">
        <f>_xll.qlInterestRateIndexValueDate(IborIndex,X540,Trigger)</f>
        <v>42809</v>
      </c>
      <c r="Z540" s="203">
        <v>1.5738075195000683E-2</v>
      </c>
      <c r="AA540" s="200">
        <v>1.5198794329709386E-2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42814</v>
      </c>
      <c r="Y541" s="202">
        <f>_xll.qlInterestRateIndexValueDate(IborIndex,X541,Trigger)</f>
        <v>42816</v>
      </c>
      <c r="Z541" s="203">
        <v>1.5820849056962721E-2</v>
      </c>
      <c r="AA541" s="200">
        <v>1.5284912584530019E-2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42821</v>
      </c>
      <c r="Y542" s="202">
        <f>_xll.qlInterestRateIndexValueDate(IborIndex,X542,Trigger)</f>
        <v>42823</v>
      </c>
      <c r="Z542" s="203">
        <v>1.590302723407375E-2</v>
      </c>
      <c r="AA542" s="200">
        <v>1.5370209545491065E-2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42828</v>
      </c>
      <c r="Y543" s="202">
        <f>_xll.qlInterestRateIndexValueDate(IborIndex,X543,Trigger)</f>
        <v>42830</v>
      </c>
      <c r="Z543" s="203">
        <v>1.5978562118173629E-2</v>
      </c>
      <c r="AA543" s="200">
        <v>1.5454939961321301E-2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42835</v>
      </c>
      <c r="Y544" s="202">
        <f>_xll.qlInterestRateIndexValueDate(IborIndex,X544,Trigger)</f>
        <v>42837</v>
      </c>
      <c r="Z544" s="203">
        <v>1.6059642917431543E-2</v>
      </c>
      <c r="AA544" s="200">
        <v>1.5574330695340421E-2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42843</v>
      </c>
      <c r="Y545" s="202">
        <f>_xll.qlInterestRateIndexValueDate(IborIndex,X545,Trigger)</f>
        <v>42845</v>
      </c>
      <c r="Z545" s="203">
        <v>1.6151612168709032E-2</v>
      </c>
      <c r="AA545" s="200">
        <v>1.5645805910846633E-2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42850</v>
      </c>
      <c r="Y546" s="202">
        <f>_xll.qlInterestRateIndexValueDate(IborIndex,X546,Trigger)</f>
        <v>42852</v>
      </c>
      <c r="Z546" s="203">
        <v>1.6231477520417745E-2</v>
      </c>
      <c r="AA546" s="200">
        <v>1.5740458726032358E-2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42857</v>
      </c>
      <c r="Y547" s="202">
        <f>_xll.qlInterestRateIndexValueDate(IborIndex,X547,Trigger)</f>
        <v>42859</v>
      </c>
      <c r="Z547" s="203">
        <v>1.6316698779925698E-2</v>
      </c>
      <c r="AA547" s="200">
        <v>1.5810962732905054E-2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42864</v>
      </c>
      <c r="Y548" s="202">
        <f>_xll.qlInterestRateIndexValueDate(IborIndex,X548,Trigger)</f>
        <v>42866</v>
      </c>
      <c r="Z548" s="203">
        <v>1.6395392615403247E-2</v>
      </c>
      <c r="AA548" s="200">
        <v>1.589269133559057E-2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42871</v>
      </c>
      <c r="Y549" s="202">
        <f>_xll.qlInterestRateIndexValueDate(IborIndex,X549,Trigger)</f>
        <v>42873</v>
      </c>
      <c r="Z549" s="203">
        <v>1.6473519109012531E-2</v>
      </c>
      <c r="AA549" s="200">
        <v>1.5973853398900673E-2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42878</v>
      </c>
      <c r="Y550" s="202">
        <f>_xll.qlInterestRateIndexValueDate(IborIndex,X550,Trigger)</f>
        <v>42880</v>
      </c>
      <c r="Z550" s="203">
        <v>1.6551078226850226E-2</v>
      </c>
      <c r="AA550" s="200">
        <v>1.6065916320586737E-2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42885</v>
      </c>
      <c r="Y551" s="202">
        <f>_xll.qlInterestRateIndexValueDate(IborIndex,X551,Trigger)</f>
        <v>42887</v>
      </c>
      <c r="Z551" s="203">
        <v>1.6628069935259789E-2</v>
      </c>
      <c r="AA551" s="200">
        <v>1.6134477905955791E-2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42892</v>
      </c>
      <c r="Y552" s="202">
        <f>_xll.qlInterestRateIndexValueDate(IborIndex,X552,Trigger)</f>
        <v>42894</v>
      </c>
      <c r="Z552" s="203">
        <v>1.6704494200829676E-2</v>
      </c>
      <c r="AA552" s="200">
        <v>1.6213940348821509E-2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42899</v>
      </c>
      <c r="Y553" s="202">
        <f>_xll.qlInterestRateIndexValueDate(IborIndex,X553,Trigger)</f>
        <v>42901</v>
      </c>
      <c r="Z553" s="203">
        <v>1.6780350990395983E-2</v>
      </c>
      <c r="AA553" s="200">
        <v>1.6292836250872966E-2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42906</v>
      </c>
      <c r="Y554" s="202">
        <f>_xll.qlInterestRateIndexValueDate(IborIndex,X554,Trigger)</f>
        <v>42908</v>
      </c>
      <c r="Z554" s="203">
        <v>1.6855640271037222E-2</v>
      </c>
      <c r="AA554" s="200">
        <v>1.6371165611550609E-2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42913</v>
      </c>
      <c r="Y555" s="202">
        <f>_xll.qlInterestRateIndexValueDate(IborIndex,X555,Trigger)</f>
        <v>42915</v>
      </c>
      <c r="Z555" s="203">
        <v>1.6930362010081263E-2</v>
      </c>
      <c r="AA555" s="200">
        <v>1.6448928430694565E-2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42920</v>
      </c>
      <c r="Y556" s="202">
        <f>_xll.qlInterestRateIndexValueDate(IborIndex,X556,Trigger)</f>
        <v>42922</v>
      </c>
      <c r="Z556" s="203">
        <v>1.7004516175100133E-2</v>
      </c>
      <c r="AA556" s="200">
        <v>1.6526124707825218E-2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42927</v>
      </c>
      <c r="Y557" s="202">
        <f>_xll.qlInterestRateIndexValueDate(IborIndex,X557,Trigger)</f>
        <v>42929</v>
      </c>
      <c r="Z557" s="203">
        <v>1.7078102733911749E-2</v>
      </c>
      <c r="AA557" s="200">
        <v>1.6602754442542889E-2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42934</v>
      </c>
      <c r="Y558" s="202">
        <f>_xll.qlInterestRateIndexValueDate(IborIndex,X558,Trigger)</f>
        <v>42936</v>
      </c>
      <c r="Z558" s="203">
        <v>1.7151121654579052E-2</v>
      </c>
      <c r="AA558" s="200">
        <v>1.6678817634527832E-2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42941</v>
      </c>
      <c r="Y559" s="202">
        <f>_xll.qlInterestRateIndexValueDate(IborIndex,X559,Trigger)</f>
        <v>42943</v>
      </c>
      <c r="Z559" s="203">
        <v>1.7223572905413476E-2</v>
      </c>
      <c r="AA559" s="200">
        <v>1.6754314283460303E-2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42948</v>
      </c>
      <c r="Y560" s="202">
        <f>_xll.qlInterestRateIndexValueDate(IborIndex,X560,Trigger)</f>
        <v>42950</v>
      </c>
      <c r="Z560" s="203">
        <v>1.7295456454970607E-2</v>
      </c>
      <c r="AA560" s="200">
        <v>1.6829244388860687E-2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42955</v>
      </c>
      <c r="Y561" s="202">
        <f>_xll.qlInterestRateIndexValueDate(IborIndex,X561,Trigger)</f>
        <v>42957</v>
      </c>
      <c r="Z561" s="203">
        <v>1.7382965956923277E-2</v>
      </c>
      <c r="AA561" s="200">
        <v>1.6903607950489175E-2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42962</v>
      </c>
      <c r="Y562" s="202">
        <f>_xll.qlInterestRateIndexValueDate(IborIndex,X562,Trigger)</f>
        <v>42964</v>
      </c>
      <c r="Z562" s="203">
        <v>1.7437520325708271E-2</v>
      </c>
      <c r="AA562" s="200">
        <v>1.6977404968105958E-2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42969</v>
      </c>
      <c r="Y563" s="202">
        <f>_xll.qlInterestRateIndexValueDate(IborIndex,X563,Trigger)</f>
        <v>42971</v>
      </c>
      <c r="Z563" s="203">
        <v>1.7507700585230299E-2</v>
      </c>
      <c r="AA563" s="200">
        <v>1.70610506886959E-2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42976</v>
      </c>
      <c r="Y564" s="202">
        <f>_xll.qlInterestRateIndexValueDate(IborIndex,X564,Trigger)</f>
        <v>42978</v>
      </c>
      <c r="Z564" s="203">
        <v>1.7572019861494315E-2</v>
      </c>
      <c r="AA564" s="200">
        <v>1.7123299369226075E-2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42983</v>
      </c>
      <c r="Y565" s="202">
        <f>_xll.qlInterestRateIndexValueDate(IborIndex,X565,Trigger)</f>
        <v>42985</v>
      </c>
      <c r="Z565" s="203">
        <v>1.7641101634050759E-2</v>
      </c>
      <c r="AA565" s="200">
        <v>1.7195396752249792E-2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42990</v>
      </c>
      <c r="Y566" s="202">
        <f>_xll.qlInterestRateIndexValueDate(IborIndex,X566,Trigger)</f>
        <v>42992</v>
      </c>
      <c r="Z566" s="203">
        <v>1.7709615538628629E-2</v>
      </c>
      <c r="AA566" s="200">
        <v>1.726692758974302E-2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42997</v>
      </c>
      <c r="Y567" s="202">
        <f>_xll.qlInterestRateIndexValueDate(IborIndex,X567,Trigger)</f>
        <v>42999</v>
      </c>
      <c r="Z567" s="203">
        <v>1.7777561545813211E-2</v>
      </c>
      <c r="AA567" s="200">
        <v>1.7337891881306078E-2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43004</v>
      </c>
      <c r="Y568" s="202">
        <f>_xll.qlInterestRateIndexValueDate(IborIndex,X568,Trigger)</f>
        <v>43006</v>
      </c>
      <c r="Z568" s="203">
        <v>1.7844939626433996E-2</v>
      </c>
      <c r="AA568" s="200">
        <v>1.7408289626699158E-2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43011</v>
      </c>
      <c r="Y569" s="202">
        <f>_xll.qlInterestRateIndexValueDate(IborIndex,X569,Trigger)</f>
        <v>43013</v>
      </c>
      <c r="Z569" s="203">
        <v>1.7916856777042016E-2</v>
      </c>
      <c r="AA569" s="200">
        <v>1.7478120825522581E-2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43018</v>
      </c>
      <c r="Y570" s="202">
        <f>_xll.qlInterestRateIndexValueDate(IborIndex,X570,Trigger)</f>
        <v>43020</v>
      </c>
      <c r="Z570" s="203">
        <v>1.7983061638539362E-2</v>
      </c>
      <c r="AA570" s="200">
        <v>1.7547385477456601E-2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43025</v>
      </c>
      <c r="Y571" s="202">
        <f>_xll.qlInterestRateIndexValueDate(IborIndex,X571,Trigger)</f>
        <v>43027</v>
      </c>
      <c r="Z571" s="203">
        <v>1.8048698469116147E-2</v>
      </c>
      <c r="AA571" s="200">
        <v>1.761608358226141E-2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43032</v>
      </c>
      <c r="Y572" s="202">
        <f>_xll.qlInterestRateIndexValueDate(IborIndex,X572,Trigger)</f>
        <v>43034</v>
      </c>
      <c r="Z572" s="203">
        <v>1.8113767240282987E-2</v>
      </c>
      <c r="AA572" s="200">
        <v>1.7684215139537329E-2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43039</v>
      </c>
      <c r="Y573" s="202">
        <f>_xll.qlInterestRateIndexValueDate(IborIndex,X573,Trigger)</f>
        <v>43041</v>
      </c>
      <c r="Z573" s="203">
        <v>1.8178267942596131E-2</v>
      </c>
      <c r="AA573" s="200">
        <v>1.7751780149044549E-2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43046</v>
      </c>
      <c r="Y574" s="202">
        <f>_xll.qlInterestRateIndexValueDate(IborIndex,X574,Trigger)</f>
        <v>43048</v>
      </c>
      <c r="Z574" s="203">
        <v>1.8242201188009542E-2</v>
      </c>
      <c r="AA574" s="200">
        <v>1.7818778610303454E-2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43053</v>
      </c>
      <c r="Y575" s="202">
        <f>_xll.qlInterestRateIndexValueDate(IborIndex,X575,Trigger)</f>
        <v>43055</v>
      </c>
      <c r="Z575" s="203">
        <v>1.830556833735815E-2</v>
      </c>
      <c r="AA575" s="200">
        <v>1.7885210523074235E-2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43060</v>
      </c>
      <c r="Y576" s="202">
        <f>_xll.qlInterestRateIndexValueDate(IborIndex,X576,Trigger)</f>
        <v>43063</v>
      </c>
      <c r="Z576" s="203">
        <v>1.8386969540213714E-2</v>
      </c>
      <c r="AA576" s="200">
        <v>1.7960438975981319E-2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43067</v>
      </c>
      <c r="Y577" s="202">
        <f>_xll.qlInterestRateIndexValueDate(IborIndex,X577,Trigger)</f>
        <v>43069</v>
      </c>
      <c r="Z577" s="203">
        <v>1.8420986654665406E-2</v>
      </c>
      <c r="AA577" s="200">
        <v>1.8016374702112259E-2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43074</v>
      </c>
      <c r="Y578" s="202">
        <f>_xll.qlInterestRateIndexValueDate(IborIndex,X578,Trigger)</f>
        <v>43076</v>
      </c>
      <c r="Z578" s="203">
        <v>1.8482737200029575E-2</v>
      </c>
      <c r="AA578" s="200">
        <v>1.8081106967580141E-2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43081</v>
      </c>
      <c r="Y579" s="202">
        <f>_xll.qlInterestRateIndexValueDate(IborIndex,X579,Trigger)</f>
        <v>43083</v>
      </c>
      <c r="Z579" s="203">
        <v>1.8543927068855659E-2</v>
      </c>
      <c r="AA579" s="200">
        <v>1.8145272683440794E-2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43088</v>
      </c>
      <c r="Y580" s="202">
        <f>_xll.qlInterestRateIndexValueDate(IborIndex,X580,Trigger)</f>
        <v>43090</v>
      </c>
      <c r="Z580" s="203">
        <v>1.8604557700431457E-2</v>
      </c>
      <c r="AA580" s="200">
        <v>1.8226938979246654E-2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43096</v>
      </c>
      <c r="Y581" s="202">
        <f>_xll.qlInterestRateIndexValueDate(IborIndex,X581,Trigger)</f>
        <v>43098</v>
      </c>
      <c r="Z581" s="203">
        <v>1.8673166917247741E-2</v>
      </c>
      <c r="AA581" s="200">
        <v>1.8289809723137651E-2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43103</v>
      </c>
      <c r="Y582" s="202">
        <f>_xll.qlInterestRateIndexValueDate(IborIndex,X582,Trigger)</f>
        <v>43105</v>
      </c>
      <c r="Z582" s="203">
        <v>1.8732604031374223E-2</v>
      </c>
      <c r="AA582" s="200">
        <v>1.8343248004137891E-2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43110</v>
      </c>
      <c r="Y583" s="202">
        <f>_xll.qlInterestRateIndexValueDate(IborIndex,X583,Trigger)</f>
        <v>43112</v>
      </c>
      <c r="Z583" s="203">
        <v>1.8791486433823223E-2</v>
      </c>
      <c r="AA583" s="200">
        <v>1.8405066582314333E-2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43117</v>
      </c>
      <c r="Y584" s="202">
        <f>_xll.qlInterestRateIndexValueDate(IborIndex,X584,Trigger)</f>
        <v>43119</v>
      </c>
      <c r="Z584" s="203">
        <v>1.884981556520593E-2</v>
      </c>
      <c r="AA584" s="200">
        <v>1.8466318609124954E-2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43124</v>
      </c>
      <c r="Y585" s="202">
        <f>_xll.qlInterestRateIndexValueDate(IborIndex,X585,Trigger)</f>
        <v>43126</v>
      </c>
      <c r="Z585" s="203">
        <v>1.8907592866447942E-2</v>
      </c>
      <c r="AA585" s="200">
        <v>1.8527004148198856E-2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43131</v>
      </c>
      <c r="Y586" s="202">
        <f>_xll.qlInterestRateIndexValueDate(IborIndex,X586,Trigger)</f>
        <v>43133</v>
      </c>
      <c r="Z586" s="203">
        <v>1.8960335599032332E-2</v>
      </c>
      <c r="AA586" s="200">
        <v>1.858713378522836E-2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43138</v>
      </c>
      <c r="Y587" s="202">
        <f>_xll.qlInterestRateIndexValueDate(IborIndex,X587,Trigger)</f>
        <v>43140</v>
      </c>
      <c r="Z587" s="203">
        <v>1.9017049144160799E-2</v>
      </c>
      <c r="AA587" s="200">
        <v>1.8646715618775289E-2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43145</v>
      </c>
      <c r="Y588" s="202">
        <f>_xll.qlInterestRateIndexValueDate(IborIndex,X588,Trigger)</f>
        <v>43147</v>
      </c>
      <c r="Z588" s="203">
        <v>1.9073213112567156E-2</v>
      </c>
      <c r="AA588" s="200">
        <v>1.8705749648519898E-2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43152</v>
      </c>
      <c r="Y589" s="202">
        <f>_xll.qlInterestRateIndexValueDate(IborIndex,X589,Trigger)</f>
        <v>43154</v>
      </c>
      <c r="Z589" s="203">
        <v>1.9128827481442682E-2</v>
      </c>
      <c r="AA589" s="200">
        <v>1.8764235874222379E-2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43159</v>
      </c>
      <c r="Y590" s="202">
        <f>_xll.qlInterestRateIndexValueDate(IborIndex,X590,Trigger)</f>
        <v>43161</v>
      </c>
      <c r="Z590" s="203">
        <v>1.9205553755151011E-2</v>
      </c>
      <c r="AA590" s="200">
        <v>1.8822174295642924E-2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43166</v>
      </c>
      <c r="Y591" s="202">
        <f>_xll.qlInterestRateIndexValueDate(IborIndex,X591,Trigger)</f>
        <v>43168</v>
      </c>
      <c r="Z591" s="203">
        <v>1.9259887020050156E-2</v>
      </c>
      <c r="AA591" s="200">
        <v>1.8879564912461788E-2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43173</v>
      </c>
      <c r="Y592" s="202">
        <f>_xll.qlInterestRateIndexValueDate(IborIndex,X592,Trigger)</f>
        <v>43175</v>
      </c>
      <c r="Z592" s="203">
        <v>1.9313670504237282E-2</v>
      </c>
      <c r="AA592" s="200">
        <v>1.8936407724439164E-2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43180</v>
      </c>
      <c r="Y593" s="202">
        <f>_xll.qlInterestRateIndexValueDate(IborIndex,X593,Trigger)</f>
        <v>43182</v>
      </c>
      <c r="Z593" s="203">
        <v>1.9366904184645737E-2</v>
      </c>
      <c r="AA593" s="200">
        <v>1.8992702731415179E-2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43187</v>
      </c>
      <c r="Y594" s="202">
        <f>_xll.qlInterestRateIndexValueDate(IborIndex,X594,Trigger)</f>
        <v>43193</v>
      </c>
      <c r="Z594" s="203">
        <v>1.9436958620330909E-2</v>
      </c>
      <c r="AA594" s="200">
        <v>1.9064277087457171E-2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43194</v>
      </c>
      <c r="Y595" s="202">
        <f>_xll.qlInterestRateIndexValueDate(IborIndex,X595,Trigger)</f>
        <v>43196</v>
      </c>
      <c r="Z595" s="203">
        <v>1.9459281325283982E-2</v>
      </c>
      <c r="AA595" s="200">
        <v>1.9103649328924277E-2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43201</v>
      </c>
      <c r="Y596" s="202">
        <f>_xll.qlInterestRateIndexValueDate(IborIndex,X596,Trigger)</f>
        <v>43203</v>
      </c>
      <c r="Z596" s="203">
        <v>1.951097491940925E-2</v>
      </c>
      <c r="AA596" s="200">
        <v>1.915830091905768E-2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43208</v>
      </c>
      <c r="Y597" s="202">
        <f>_xll.qlInterestRateIndexValueDate(IborIndex,X597,Trigger)</f>
        <v>43210</v>
      </c>
      <c r="Z597" s="203">
        <v>1.9562118691780678E-2</v>
      </c>
      <c r="AA597" s="200">
        <v>1.9212404703070618E-2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43215</v>
      </c>
      <c r="Y598" s="202">
        <f>_xll.qlInterestRateIndexValueDate(IborIndex,X598,Trigger)</f>
        <v>43217</v>
      </c>
      <c r="Z598" s="203">
        <v>1.9612712621159871E-2</v>
      </c>
      <c r="AA598" s="200">
        <v>1.9265960680723282E-2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43222</v>
      </c>
      <c r="Y599" s="202">
        <f>_xll.qlInterestRateIndexValueDate(IborIndex,X599,Trigger)</f>
        <v>43224</v>
      </c>
      <c r="Z599" s="203">
        <v>1.9674759125622807E-2</v>
      </c>
      <c r="AA599" s="200">
        <v>1.9326496728817588E-2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43229</v>
      </c>
      <c r="Y600" s="202">
        <f>_xll.qlInterestRateIndexValueDate(IborIndex,X600,Trigger)</f>
        <v>43231</v>
      </c>
      <c r="Z600" s="203">
        <v>1.9724143553468611E-2</v>
      </c>
      <c r="AA600" s="200">
        <v>1.9371429216068492E-2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43236</v>
      </c>
      <c r="Y601" s="202">
        <f>_xll.qlInterestRateIndexValueDate(IborIndex,X601,Trigger)</f>
        <v>43238</v>
      </c>
      <c r="Z601" s="203">
        <v>1.9772978001475719E-2</v>
      </c>
      <c r="AA601" s="200">
        <v>1.9423341773201486E-2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43243</v>
      </c>
      <c r="Y602" s="202">
        <f>_xll.qlInterestRateIndexValueDate(IborIndex,X602,Trigger)</f>
        <v>43245</v>
      </c>
      <c r="Z602" s="203">
        <v>1.9825146723161182E-2</v>
      </c>
      <c r="AA602" s="200">
        <v>1.9481999625456936E-2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43250</v>
      </c>
      <c r="Y603" s="202">
        <f>_xll.qlInterestRateIndexValueDate(IborIndex,X603,Trigger)</f>
        <v>43252</v>
      </c>
      <c r="Z603" s="203">
        <v>1.9872844482685142E-2</v>
      </c>
      <c r="AA603" s="200">
        <v>1.9525523465349082E-2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43257</v>
      </c>
      <c r="Y604" s="202">
        <f>_xll.qlInterestRateIndexValueDate(IborIndex,X604,Trigger)</f>
        <v>43259</v>
      </c>
      <c r="Z604" s="203">
        <v>1.9916181258170233E-2</v>
      </c>
      <c r="AA604" s="200">
        <v>1.9575792599884068E-2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43264</v>
      </c>
      <c r="Y605" s="202">
        <f>_xll.qlInterestRateIndexValueDate(IborIndex,X605,Trigger)</f>
        <v>43266</v>
      </c>
      <c r="Z605" s="203">
        <v>1.9962815579708248E-2</v>
      </c>
      <c r="AA605" s="200">
        <v>1.9625513926380123E-2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43271</v>
      </c>
      <c r="Y606" s="202">
        <f>_xll.qlInterestRateIndexValueDate(IborIndex,X606,Trigger)</f>
        <v>43273</v>
      </c>
      <c r="Z606" s="203">
        <v>2.0008899819029889E-2</v>
      </c>
      <c r="AA606" s="200">
        <v>1.9674687444677375E-2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43278</v>
      </c>
      <c r="Y607" s="202">
        <f>_xll.qlInterestRateIndexValueDate(IborIndex,X607,Trigger)</f>
        <v>43280</v>
      </c>
      <c r="Z607" s="203">
        <v>2.0043311659802523E-2</v>
      </c>
      <c r="AA607" s="200">
        <v>1.9723313154536015E-2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43285</v>
      </c>
      <c r="Y608" s="202">
        <f>_xll.qlInterestRateIndexValueDate(IborIndex,X608,Trigger)</f>
        <v>43287</v>
      </c>
      <c r="Z608" s="203">
        <v>2.0103081862833137E-2</v>
      </c>
      <c r="AA608" s="200">
        <v>1.97713910556363E-2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43292</v>
      </c>
      <c r="Y609" s="202">
        <f>_xll.qlInterestRateIndexValueDate(IborIndex,X609,Trigger)</f>
        <v>43294</v>
      </c>
      <c r="Z609" s="203">
        <v>2.0143851847195034E-2</v>
      </c>
      <c r="AA609" s="200">
        <v>1.9818921147818358E-2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43299</v>
      </c>
      <c r="Y610" s="202">
        <f>_xll.qlInterestRateIndexValueDate(IborIndex,X610,Trigger)</f>
        <v>43301</v>
      </c>
      <c r="Z610" s="203">
        <v>2.0187735562328276E-2</v>
      </c>
      <c r="AA610" s="200">
        <v>1.9865903431002252E-2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43306</v>
      </c>
      <c r="Y611" s="202">
        <f>_xll.qlInterestRateIndexValueDate(IborIndex,X611,Trigger)</f>
        <v>43308</v>
      </c>
      <c r="Z611" s="203">
        <v>2.0231069098764026E-2</v>
      </c>
      <c r="AA611" s="200">
        <v>1.9912337904788302E-2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43313</v>
      </c>
      <c r="Y612" s="202">
        <f>_xll.qlInterestRateIndexValueDate(IborIndex,X612,Trigger)</f>
        <v>43315</v>
      </c>
      <c r="Z612" s="203">
        <v>2.0273852437912042E-2</v>
      </c>
      <c r="AA612" s="200">
        <v>1.9958224569016636E-2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43320</v>
      </c>
      <c r="Y613" s="202">
        <f>_xll.qlInterestRateIndexValueDate(IborIndex,X613,Trigger)</f>
        <v>43322</v>
      </c>
      <c r="Z613" s="203">
        <v>2.0319565072496479E-2</v>
      </c>
      <c r="AA613" s="200">
        <v>2.0003563423527382E-2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43327</v>
      </c>
      <c r="Y614" s="202">
        <f>_xll.qlInterestRateIndexValueDate(IborIndex,X614,Trigger)</f>
        <v>43329</v>
      </c>
      <c r="Z614" s="203">
        <v>2.0357768451170231E-2</v>
      </c>
      <c r="AA614" s="200">
        <v>2.0048354468080731E-2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43334</v>
      </c>
      <c r="Y615" s="202">
        <f>_xll.qlInterestRateIndexValueDate(IborIndex,X615,Trigger)</f>
        <v>43336</v>
      </c>
      <c r="Z615" s="203">
        <v>2.0398901089281964E-2</v>
      </c>
      <c r="AA615" s="200">
        <v>2.0098873445162369E-2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43341</v>
      </c>
      <c r="Y616" s="202">
        <f>_xll.qlInterestRateIndexValueDate(IborIndex,X616,Trigger)</f>
        <v>43343</v>
      </c>
      <c r="Z616" s="203">
        <v>2.0429357354074879E-2</v>
      </c>
      <c r="AA616" s="200">
        <v>2.0136293126356009E-2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43348</v>
      </c>
      <c r="Y617" s="202">
        <f>_xll.qlInterestRateIndexValueDate(IborIndex,X617,Trigger)</f>
        <v>43350</v>
      </c>
      <c r="Z617" s="203">
        <v>2.0469500535114388E-2</v>
      </c>
      <c r="AA617" s="200">
        <v>2.0179440739758192E-2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43355</v>
      </c>
      <c r="Y618" s="202">
        <f>_xll.qlInterestRateIndexValueDate(IborIndex,X618,Trigger)</f>
        <v>43357</v>
      </c>
      <c r="Z618" s="203">
        <v>2.0509093496353624E-2</v>
      </c>
      <c r="AA618" s="200">
        <v>2.0222040542483555E-2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43362</v>
      </c>
      <c r="Y619" s="202">
        <f>_xll.qlInterestRateIndexValueDate(IborIndex,X619,Trigger)</f>
        <v>43364</v>
      </c>
      <c r="Z619" s="203">
        <v>2.0548136221346842E-2</v>
      </c>
      <c r="AA619" s="200">
        <v>2.0264092534132416E-2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43369</v>
      </c>
      <c r="Y620" s="202">
        <f>_xll.qlInterestRateIndexValueDate(IborIndex,X620,Trigger)</f>
        <v>43371</v>
      </c>
      <c r="Z620" s="203">
        <v>2.0596309895938279E-2</v>
      </c>
      <c r="AA620" s="200">
        <v>2.0305596714704777E-2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43376</v>
      </c>
      <c r="Y621" s="202">
        <f>_xll.qlInterestRateIndexValueDate(IborIndex,X621,Trigger)</f>
        <v>43378</v>
      </c>
      <c r="Z621" s="203">
        <v>2.0634140661927057E-2</v>
      </c>
      <c r="AA621" s="200">
        <v>2.0346553083880892E-2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43383</v>
      </c>
      <c r="Y622" s="202">
        <f>_xll.qlInterestRateIndexValueDate(IborIndex,X622,Trigger)</f>
        <v>43385</v>
      </c>
      <c r="Z622" s="203">
        <v>2.0671421057715363E-2</v>
      </c>
      <c r="AA622" s="200">
        <v>2.0386961641580825E-2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43390</v>
      </c>
      <c r="Y623" s="202">
        <f>_xll.qlInterestRateIndexValueDate(IborIndex,X623,Trigger)</f>
        <v>43392</v>
      </c>
      <c r="Z623" s="203">
        <v>2.0711259744120383E-2</v>
      </c>
      <c r="AA623" s="200">
        <v>2.0426822387564769E-2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43397</v>
      </c>
      <c r="Y624" s="202">
        <f>_xll.qlInterestRateIndexValueDate(IborIndex,X624,Trigger)</f>
        <v>43399</v>
      </c>
      <c r="Z624" s="203">
        <v>2.0744330674953432E-2</v>
      </c>
      <c r="AA624" s="200">
        <v>2.0466135321592915E-2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43404</v>
      </c>
      <c r="Y625" s="202">
        <f>_xll.qlInterestRateIndexValueDate(IborIndex,X625,Trigger)</f>
        <v>43406</v>
      </c>
      <c r="Z625" s="203">
        <v>2.0779961151567685E-2</v>
      </c>
      <c r="AA625" s="200">
        <v>2.0504900443665264E-2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43411</v>
      </c>
      <c r="Y626" s="202">
        <f>_xll.qlInterestRateIndexValueDate(IborIndex,X626,Trigger)</f>
        <v>43413</v>
      </c>
      <c r="Z626" s="203">
        <v>2.0815056406487738E-2</v>
      </c>
      <c r="AA626" s="200">
        <v>2.054311775346207E-2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43418</v>
      </c>
      <c r="Y627" s="202">
        <f>_xll.qlInterestRateIndexValueDate(IborIndex,X627,Trigger)</f>
        <v>43420</v>
      </c>
      <c r="Z627" s="203">
        <v>2.0852607943469249E-2</v>
      </c>
      <c r="AA627" s="200">
        <v>2.0580787250743526E-2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43425</v>
      </c>
      <c r="Y628" s="202">
        <f>_xll.qlInterestRateIndexValueDate(IborIndex,X628,Trigger)</f>
        <v>43427</v>
      </c>
      <c r="Z628" s="203">
        <v>2.0883725668171465E-2</v>
      </c>
      <c r="AA628" s="200">
        <v>2.0617908935509632E-2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43432</v>
      </c>
      <c r="Y629" s="202">
        <f>_xll.qlInterestRateIndexValueDate(IborIndex,X629,Trigger)</f>
        <v>43434</v>
      </c>
      <c r="Z629" s="203">
        <v>2.0905660506476131E-2</v>
      </c>
      <c r="AA629" s="200">
        <v>2.0654482807440644E-2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43439</v>
      </c>
      <c r="Y630" s="202">
        <f>_xll.qlInterestRateIndexValueDate(IborIndex,X630,Trigger)</f>
        <v>43441</v>
      </c>
      <c r="Z630" s="203">
        <v>2.0938926317434436E-2</v>
      </c>
      <c r="AA630" s="200">
        <v>2.0690508866536561E-2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43446</v>
      </c>
      <c r="Y631" s="202">
        <f>_xll.qlInterestRateIndexValueDate(IborIndex,X631,Trigger)</f>
        <v>43448</v>
      </c>
      <c r="Z631" s="203">
        <v>2.0971755492555921E-2</v>
      </c>
      <c r="AA631" s="200">
        <v>2.0725987112397704E-2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43453</v>
      </c>
      <c r="Y632" s="202">
        <f>_xll.qlInterestRateIndexValueDate(IborIndex,X632,Trigger)</f>
        <v>43455</v>
      </c>
      <c r="Z632" s="203">
        <v>2.1004170138624545E-2</v>
      </c>
      <c r="AA632" s="200">
        <v>2.0770797049918244E-2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43461</v>
      </c>
      <c r="Y633" s="202">
        <f>_xll.qlInterestRateIndexValueDate(IborIndex,X633,Trigger)</f>
        <v>43465</v>
      </c>
      <c r="Z633" s="203">
        <v>2.1044148501058988E-2</v>
      </c>
      <c r="AA633" s="200">
        <v>2.0805023151071467E-2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43468</v>
      </c>
      <c r="Y634" s="202">
        <f>_xll.qlInterestRateIndexValueDate(IborIndex,X634,Trigger)</f>
        <v>43472</v>
      </c>
      <c r="Z634" s="203">
        <v>2.1084106689125037E-2</v>
      </c>
      <c r="AA634" s="200">
        <v>2.0833923794310039E-2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43475</v>
      </c>
      <c r="Y635" s="202">
        <f>_xll.qlInterestRateIndexValueDate(IborIndex,X635,Trigger)</f>
        <v>43479</v>
      </c>
      <c r="Z635" s="203">
        <v>2.1115249797897313E-2</v>
      </c>
      <c r="AA635" s="200">
        <v>2.0867132527113696E-2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43482</v>
      </c>
      <c r="Y636" s="202">
        <f>_xll.qlInterestRateIndexValueDate(IborIndex,X636,Trigger)</f>
        <v>43487</v>
      </c>
      <c r="Z636" s="203">
        <v>2.1150456162527958E-2</v>
      </c>
      <c r="AA636" s="200">
        <v>2.0904414572084917E-2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43489</v>
      </c>
      <c r="Y637" s="202">
        <f>_xll.qlInterestRateIndexValueDate(IborIndex,X637,Trigger)</f>
        <v>43493</v>
      </c>
      <c r="Z637" s="203">
        <v>2.1176609649360877E-2</v>
      </c>
      <c r="AA637" s="200">
        <v>2.0931907513128678E-2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43496</v>
      </c>
      <c r="Y638" s="202">
        <f>_xll.qlInterestRateIndexValueDate(IborIndex,X638,Trigger)</f>
        <v>43500</v>
      </c>
      <c r="Z638" s="203">
        <v>2.120960218918104E-2</v>
      </c>
      <c r="AA638" s="200">
        <v>2.0963634460278158E-2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43503</v>
      </c>
      <c r="Y639" s="202">
        <f>_xll.qlInterestRateIndexValueDate(IborIndex,X639,Trigger)</f>
        <v>43507</v>
      </c>
      <c r="Z639" s="203">
        <v>2.1236861776047479E-2</v>
      </c>
      <c r="AA639" s="200">
        <v>2.0995096491738252E-2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43510</v>
      </c>
      <c r="Y640" s="202">
        <f>_xll.qlInterestRateIndexValueDate(IborIndex,X640,Trigger)</f>
        <v>43515</v>
      </c>
      <c r="Z640" s="203">
        <v>2.126811566319553E-2</v>
      </c>
      <c r="AA640" s="200">
        <v>2.103072871259215E-2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43517</v>
      </c>
      <c r="Y641" s="202">
        <f>_xll.qlInterestRateIndexValueDate(IborIndex,X641,Trigger)</f>
        <v>43521</v>
      </c>
      <c r="Z641" s="203">
        <v>2.1298731025524591E-2</v>
      </c>
      <c r="AA641" s="200">
        <v>2.1057225807590285E-2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43524</v>
      </c>
      <c r="Y642" s="202">
        <f>_xll.qlInterestRateIndexValueDate(IborIndex,X642,Trigger)</f>
        <v>43528</v>
      </c>
      <c r="Z642" s="203">
        <v>2.1327908392722562E-2</v>
      </c>
      <c r="AA642" s="200">
        <v>2.1087893091902288E-2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43531</v>
      </c>
      <c r="Y643" s="202">
        <f>_xll.qlInterestRateIndexValueDate(IborIndex,X643,Trigger)</f>
        <v>43535</v>
      </c>
      <c r="Z643" s="203">
        <v>2.1356819627542656E-2</v>
      </c>
      <c r="AA643" s="200">
        <v>2.1118295460285097E-2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43538</v>
      </c>
      <c r="Y644" s="202">
        <f>_xll.qlInterestRateIndexValueDate(IborIndex,X644,Trigger)</f>
        <v>43542</v>
      </c>
      <c r="Z644" s="203">
        <v>2.138546472411653E-2</v>
      </c>
      <c r="AA644" s="200">
        <v>2.1148432912738713E-2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43545</v>
      </c>
      <c r="Y645" s="202">
        <f>_xll.qlInterestRateIndexValueDate(IborIndex,X645,Trigger)</f>
        <v>43549</v>
      </c>
      <c r="Z645" s="203">
        <v>2.1413843676627964E-2</v>
      </c>
      <c r="AA645" s="200">
        <v>2.1178305449103263E-2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43552</v>
      </c>
      <c r="Y646" s="202">
        <f>_xll.qlInterestRateIndexValueDate(IborIndex,X646,Trigger)</f>
        <v>43556</v>
      </c>
      <c r="Z646" s="203">
        <v>2.1439361436480838E-2</v>
      </c>
      <c r="AA646" s="200">
        <v>2.1207913069458684E-2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43559</v>
      </c>
      <c r="Y647" s="202">
        <f>_xll.qlInterestRateIndexValueDate(IborIndex,X647,Trigger)</f>
        <v>43563</v>
      </c>
      <c r="Z647" s="203">
        <v>2.1467225439177211E-2</v>
      </c>
      <c r="AA647" s="200">
        <v>2.1237255773725039E-2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43566</v>
      </c>
      <c r="Y648" s="202">
        <f>_xll.qlInterestRateIndexValueDate(IborIndex,X648,Trigger)</f>
        <v>43570</v>
      </c>
      <c r="Z648" s="203">
        <v>2.1494823294788558E-2</v>
      </c>
      <c r="AA648" s="200">
        <v>2.1266333561742456E-2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43573</v>
      </c>
      <c r="Y649" s="202">
        <f>_xll.qlInterestRateIndexValueDate(IborIndex,X649,Trigger)</f>
        <v>43579</v>
      </c>
      <c r="Z649" s="203">
        <v>2.15299151698225E-2</v>
      </c>
      <c r="AA649" s="200">
        <v>2.1308673060209671E-2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43580</v>
      </c>
      <c r="Y650" s="202">
        <f>_xll.qlInterestRateIndexValueDate(IborIndex,X650,Trigger)</f>
        <v>43584</v>
      </c>
      <c r="Z650" s="203">
        <v>2.1549220542641096E-2</v>
      </c>
      <c r="AA650" s="200">
        <v>2.1323694388870607E-2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43587</v>
      </c>
      <c r="Y651" s="202">
        <f>_xll.qlInterestRateIndexValueDate(IborIndex,X651,Trigger)</f>
        <v>43592</v>
      </c>
      <c r="Z651" s="203">
        <v>2.1582332313930953E-2</v>
      </c>
      <c r="AA651" s="200">
        <v>2.1355996236227526E-2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43594</v>
      </c>
      <c r="Y652" s="202">
        <f>_xll.qlInterestRateIndexValueDate(IborIndex,X652,Trigger)</f>
        <v>43598</v>
      </c>
      <c r="Z652" s="203">
        <v>2.1605043833233566E-2</v>
      </c>
      <c r="AA652" s="200">
        <v>2.1379995550443454E-2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43601</v>
      </c>
      <c r="Y653" s="202">
        <f>_xll.qlInterestRateIndexValueDate(IborIndex,X653,Trigger)</f>
        <v>43605</v>
      </c>
      <c r="Z653" s="203">
        <v>2.163129343034343E-2</v>
      </c>
      <c r="AA653" s="200">
        <v>2.1407748756496758E-2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43608</v>
      </c>
      <c r="Y654" s="202">
        <f>_xll.qlInterestRateIndexValueDate(IborIndex,X654,Trigger)</f>
        <v>43613</v>
      </c>
      <c r="Z654" s="203">
        <v>2.1660967017780215E-2</v>
      </c>
      <c r="AA654" s="200">
        <v>2.1439142318646631E-2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43615</v>
      </c>
      <c r="Y655" s="202">
        <f>_xll.qlInterestRateIndexValueDate(IborIndex,X655,Trigger)</f>
        <v>43619</v>
      </c>
      <c r="Z655" s="203">
        <v>2.1682994037356362E-2</v>
      </c>
      <c r="AA655" s="200">
        <v>2.1462460418817386E-2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43622</v>
      </c>
      <c r="Y656" s="202">
        <f>_xll.qlInterestRateIndexValueDate(IborIndex,X656,Trigger)</f>
        <v>43626</v>
      </c>
      <c r="Z656" s="203">
        <v>2.1708445036761736E-2</v>
      </c>
      <c r="AA656" s="200">
        <v>2.1489418874924837E-2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43629</v>
      </c>
      <c r="Y657" s="202">
        <f>_xll.qlInterestRateIndexValueDate(IborIndex,X657,Trigger)</f>
        <v>43633</v>
      </c>
      <c r="Z657" s="203">
        <v>2.1733629826523219E-2</v>
      </c>
      <c r="AA657" s="200">
        <v>2.1516112414303734E-2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43636</v>
      </c>
      <c r="Y658" s="202">
        <f>_xll.qlInterestRateIndexValueDate(IborIndex,X658,Trigger)</f>
        <v>43640</v>
      </c>
      <c r="Z658" s="203">
        <v>2.1758548401529243E-2</v>
      </c>
      <c r="AA658" s="200">
        <v>2.1542541036794205E-2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43643</v>
      </c>
      <c r="Y659" s="202">
        <f>_xll.qlInterestRateIndexValueDate(IborIndex,X659,Trigger)</f>
        <v>43647</v>
      </c>
      <c r="Z659" s="203">
        <v>2.1783200756719513E-2</v>
      </c>
      <c r="AA659" s="200">
        <v>2.156870474239625E-2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43650</v>
      </c>
      <c r="Y660" s="202">
        <f>_xll.qlInterestRateIndexValueDate(IborIndex,X660,Trigger)</f>
        <v>43654</v>
      </c>
      <c r="Z660" s="203">
        <v>2.1807586887086724E-2</v>
      </c>
      <c r="AA660" s="200">
        <v>2.1594603531189804E-2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43657</v>
      </c>
      <c r="Y661" s="202">
        <f>_xll.qlInterestRateIndexValueDate(IborIndex,X661,Trigger)</f>
        <v>43661</v>
      </c>
      <c r="Z661" s="203">
        <v>2.1831706787681794E-2</v>
      </c>
      <c r="AA661" s="200">
        <v>2.1620237402935061E-2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43664</v>
      </c>
      <c r="Y662" s="202">
        <f>_xll.qlInterestRateIndexValueDate(IborIndex,X662,Trigger)</f>
        <v>43668</v>
      </c>
      <c r="Z662" s="203">
        <v>2.1855560453604296E-2</v>
      </c>
      <c r="AA662" s="200">
        <v>2.1645606357632019E-2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43671</v>
      </c>
      <c r="Y663" s="202">
        <f>_xll.qlInterestRateIndexValueDate(IborIndex,X663,Trigger)</f>
        <v>43675</v>
      </c>
      <c r="Z663" s="203">
        <v>2.1879147880012016E-2</v>
      </c>
      <c r="AA663" s="200">
        <v>2.1670710395120807E-2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43678</v>
      </c>
      <c r="Y664" s="202">
        <f>_xll.qlInterestRateIndexValueDate(IborIndex,X664,Trigger)</f>
        <v>43682</v>
      </c>
      <c r="Z664" s="203">
        <v>2.190246906211574E-2</v>
      </c>
      <c r="AA664" s="200">
        <v>2.1695549515561297E-2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43685</v>
      </c>
      <c r="Y665" s="202">
        <f>_xll.qlInterestRateIndexValueDate(IborIndex,X665,Trigger)</f>
        <v>43689</v>
      </c>
      <c r="Z665" s="203">
        <v>2.1925523995179261E-2</v>
      </c>
      <c r="AA665" s="200">
        <v>2.1720123718793616E-2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43692</v>
      </c>
      <c r="Y666" s="202">
        <f>_xll.qlInterestRateIndexValueDate(IborIndex,X666,Trigger)</f>
        <v>43696</v>
      </c>
      <c r="Z666" s="203">
        <v>2.19483126745211E-2</v>
      </c>
      <c r="AA666" s="200">
        <v>2.1744433004657893E-2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43699</v>
      </c>
      <c r="Y667" s="202">
        <f>_xll.qlInterestRateIndexValueDate(IborIndex,X667,Trigger)</f>
        <v>43704</v>
      </c>
      <c r="Z667" s="203">
        <v>2.1974030848584524E-2</v>
      </c>
      <c r="AA667" s="200">
        <v>2.1771890657129589E-2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43706</v>
      </c>
      <c r="Y668" s="202">
        <f>_xll.qlInterestRateIndexValueDate(IborIndex,X668,Trigger)</f>
        <v>43711</v>
      </c>
      <c r="Z668" s="203">
        <v>2.1994041614121312E-2</v>
      </c>
      <c r="AA668" s="200">
        <v>2.1795632263010845E-2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43713</v>
      </c>
      <c r="Y669" s="202">
        <f>_xll.qlInterestRateIndexValueDate(IborIndex,X669,Trigger)</f>
        <v>43717</v>
      </c>
      <c r="Z669" s="203">
        <v>2.2012888943238478E-2</v>
      </c>
      <c r="AA669" s="200">
        <v>2.1815771358282277E-2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43720</v>
      </c>
      <c r="Y670" s="202">
        <f>_xll.qlInterestRateIndexValueDate(IborIndex,X670,Trigger)</f>
        <v>43724</v>
      </c>
      <c r="Z670" s="203">
        <v>2.2034630255335939E-2</v>
      </c>
      <c r="AA670" s="200">
        <v>2.1839020974594447E-2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43727</v>
      </c>
      <c r="Y671" s="202">
        <f>_xll.qlInterestRateIndexValueDate(IborIndex,X671,Trigger)</f>
        <v>43731</v>
      </c>
      <c r="Z671" s="203">
        <v>2.2056105306387658E-2</v>
      </c>
      <c r="AA671" s="200">
        <v>2.1862005673378704E-2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43734</v>
      </c>
      <c r="Y672" s="202">
        <f>_xll.qlInterestRateIndexValueDate(IborIndex,X672,Trigger)</f>
        <v>43738</v>
      </c>
      <c r="Z672" s="203">
        <v>2.2079453167068094E-2</v>
      </c>
      <c r="AA672" s="200">
        <v>2.188472545455511E-2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43741</v>
      </c>
      <c r="Y673" s="202">
        <f>_xll.qlInterestRateIndexValueDate(IborIndex,X673,Trigger)</f>
        <v>43745</v>
      </c>
      <c r="Z673" s="203">
        <v>2.2100377943817664E-2</v>
      </c>
      <c r="AA673" s="200">
        <v>2.1907180318043729E-2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43748</v>
      </c>
      <c r="Y674" s="202">
        <f>_xll.qlInterestRateIndexValueDate(IborIndex,X674,Trigger)</f>
        <v>43753</v>
      </c>
      <c r="Z674" s="203">
        <v>2.2123965905702262E-2</v>
      </c>
      <c r="AA674" s="200">
        <v>2.1932518630292108E-2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43755</v>
      </c>
      <c r="Y675" s="202">
        <f>_xll.qlInterestRateIndexValueDate(IborIndex,X675,Trigger)</f>
        <v>43759</v>
      </c>
      <c r="Z675" s="203">
        <v>2.2141428625440326E-2</v>
      </c>
      <c r="AA675" s="200">
        <v>2.1951295292117479E-2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43762</v>
      </c>
      <c r="Y676" s="202">
        <f>_xll.qlInterestRateIndexValueDate(IborIndex,X676,Trigger)</f>
        <v>43766</v>
      </c>
      <c r="Z676" s="203">
        <v>2.2161554521976611E-2</v>
      </c>
      <c r="AA676" s="200">
        <v>2.1972955402382865E-2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43769</v>
      </c>
      <c r="Y677" s="202">
        <f>_xll.qlInterestRateIndexValueDate(IborIndex,X677,Trigger)</f>
        <v>43773</v>
      </c>
      <c r="Z677" s="203">
        <v>2.2181415418079123E-2</v>
      </c>
      <c r="AA677" s="200">
        <v>2.1994350594960466E-2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43776</v>
      </c>
      <c r="Y678" s="202">
        <f>_xll.qlInterestRateIndexValueDate(IborIndex,X678,Trigger)</f>
        <v>43781</v>
      </c>
      <c r="Z678" s="203">
        <v>2.2203807578227829E-2</v>
      </c>
      <c r="AA678" s="200">
        <v>2.2018477854350849E-2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43783</v>
      </c>
      <c r="Y679" s="202">
        <f>_xll.qlInterestRateIndexValueDate(IborIndex,X679,Trigger)</f>
        <v>43787</v>
      </c>
      <c r="Z679" s="203">
        <v>2.2220405786693757E-2</v>
      </c>
      <c r="AA679" s="200">
        <v>2.2036346226332881E-2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43790</v>
      </c>
      <c r="Y680" s="202">
        <f>_xll.qlInterestRateIndexValueDate(IborIndex,X680,Trigger)</f>
        <v>43794</v>
      </c>
      <c r="Z680" s="203">
        <v>2.2239578015785896E-2</v>
      </c>
      <c r="AA680" s="200">
        <v>2.2056946665047761E-2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43797</v>
      </c>
      <c r="Y681" s="202">
        <f>_xll.qlInterestRateIndexValueDate(IborIndex,X681,Trigger)</f>
        <v>43801</v>
      </c>
      <c r="Z681" s="203">
        <v>2.2256555376975483E-2</v>
      </c>
      <c r="AA681" s="200">
        <v>2.2077282185835045E-2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43804</v>
      </c>
      <c r="Y682" s="202">
        <f>_xll.qlInterestRateIndexValueDate(IborIndex,X682,Trigger)</f>
        <v>43808</v>
      </c>
      <c r="Z682" s="203">
        <v>2.2275380700839644E-2</v>
      </c>
      <c r="AA682" s="200">
        <v>2.2097352788534863E-2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43811</v>
      </c>
      <c r="Y683" s="202">
        <f>_xll.qlInterestRateIndexValueDate(IborIndex,X683,Trigger)</f>
        <v>43815</v>
      </c>
      <c r="Z683" s="203">
        <v>2.2294060383675783E-2</v>
      </c>
      <c r="AA683" s="200">
        <v>2.2117158473147214E-2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43818</v>
      </c>
      <c r="Y684" s="202">
        <f>_xll.qlInterestRateIndexValueDate(IborIndex,X684,Trigger)</f>
        <v>43822</v>
      </c>
      <c r="Z684" s="203">
        <v>2.2312616081478689E-2</v>
      </c>
      <c r="AA684" s="200">
        <v>2.2146353206018432E-2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43826</v>
      </c>
      <c r="Y685" s="202">
        <f>_xll.qlInterestRateIndexValueDate(IborIndex,X685,Trigger)</f>
        <v>43830</v>
      </c>
      <c r="Z685" s="203">
        <v>2.233369855567938E-2</v>
      </c>
      <c r="AA685" s="200">
        <v>2.2165517876482355E-2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43833</v>
      </c>
      <c r="Y686" s="202">
        <f>_xll.qlInterestRateIndexValueDate(IborIndex,X686,Trigger)</f>
        <v>43837</v>
      </c>
      <c r="Z686" s="203">
        <v>2.2352061496437675E-2</v>
      </c>
      <c r="AA686" s="200">
        <v>2.2177680238986142E-2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43840</v>
      </c>
      <c r="Y687" s="202">
        <f>_xll.qlInterestRateIndexValueDate(IborIndex,X687,Trigger)</f>
        <v>43844</v>
      </c>
      <c r="Z687" s="203">
        <v>2.237036851654061E-2</v>
      </c>
      <c r="AA687" s="200">
        <v>2.2196388405202327E-2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43847</v>
      </c>
      <c r="Y688" s="202">
        <f>_xll.qlInterestRateIndexValueDate(IborIndex,X688,Trigger)</f>
        <v>43851</v>
      </c>
      <c r="Z688" s="203">
        <v>2.238864127367482E-2</v>
      </c>
      <c r="AA688" s="200">
        <v>2.2214831653171174E-2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43854</v>
      </c>
      <c r="Y689" s="202">
        <f>_xll.qlInterestRateIndexValueDate(IborIndex,X689,Trigger)</f>
        <v>43858</v>
      </c>
      <c r="Z689" s="203">
        <v>2.2406901425925739E-2</v>
      </c>
      <c r="AA689" s="200">
        <v>2.2233010935091002E-2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43861</v>
      </c>
      <c r="Y690" s="202">
        <f>_xll.qlInterestRateIndexValueDate(IborIndex,X690,Trigger)</f>
        <v>43865</v>
      </c>
      <c r="Z690" s="203">
        <v>2.2425169316260238E-2</v>
      </c>
      <c r="AA690" s="200">
        <v>2.2251084342181926E-2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43868</v>
      </c>
      <c r="Y691" s="202">
        <f>_xll.qlInterestRateIndexValueDate(IborIndex,X691,Trigger)</f>
        <v>43872</v>
      </c>
      <c r="Z691" s="203">
        <v>2.2441445413711847E-2</v>
      </c>
      <c r="AA691" s="200">
        <v>2.2269172823614625E-2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43875</v>
      </c>
      <c r="Y692" s="202">
        <f>_xll.qlInterestRateIndexValueDate(IborIndex,X692,Trigger)</f>
        <v>43879</v>
      </c>
      <c r="Z692" s="203">
        <v>2.245974147733687E-2</v>
      </c>
      <c r="AA692" s="200">
        <v>2.2287276379389098E-2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43882</v>
      </c>
      <c r="Y693" s="202">
        <f>_xll.qlInterestRateIndexValueDate(IborIndex,X693,Trigger)</f>
        <v>43886</v>
      </c>
      <c r="Z693" s="203">
        <v>2.2480064187085938E-2</v>
      </c>
      <c r="AA693" s="200">
        <v>2.2305395009585283E-2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43889</v>
      </c>
      <c r="Y694" s="202">
        <f>_xll.qlInterestRateIndexValueDate(IborIndex,X694,Trigger)</f>
        <v>43893</v>
      </c>
      <c r="Z694" s="203">
        <v>2.2500406894469988E-2</v>
      </c>
      <c r="AA694" s="200">
        <v>2.2323528714203178E-2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43896</v>
      </c>
      <c r="Y695" s="202">
        <f>_xll.qlInterestRateIndexValueDate(IborIndex,X695,Trigger)</f>
        <v>43900</v>
      </c>
      <c r="Z695" s="203">
        <v>2.2518753144936631E-2</v>
      </c>
      <c r="AA695" s="200">
        <v>2.2341677493162848E-2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43903</v>
      </c>
      <c r="Y696" s="202">
        <f>_xll.qlInterestRateIndexValueDate(IborIndex,X696,Trigger)</f>
        <v>43907</v>
      </c>
      <c r="Z696" s="203">
        <v>2.2537114640276461E-2</v>
      </c>
      <c r="AA696" s="200">
        <v>2.2359841346464293E-2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43910</v>
      </c>
      <c r="Y697" s="202">
        <f>_xll.qlInterestRateIndexValueDate(IborIndex,X697,Trigger)</f>
        <v>43914</v>
      </c>
      <c r="Z697" s="203">
        <v>2.255549138069975E-2</v>
      </c>
      <c r="AA697" s="200">
        <v>2.2378020274267385E-2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43917</v>
      </c>
      <c r="Y698" s="202">
        <f>_xll.qlInterestRateIndexValueDate(IborIndex,X698,Trigger)</f>
        <v>43921</v>
      </c>
      <c r="Z698" s="203">
        <v>2.257186049237974E-2</v>
      </c>
      <c r="AA698" s="200">
        <v>2.2396214276412252E-2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43924</v>
      </c>
      <c r="Y699" s="202">
        <f>_xll.qlInterestRateIndexValueDate(IborIndex,X699,Trigger)</f>
        <v>43928</v>
      </c>
      <c r="Z699" s="203">
        <v>2.259026548341778E-2</v>
      </c>
      <c r="AA699" s="200">
        <v>2.2422421639635814E-2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43935</v>
      </c>
      <c r="Y700" s="202">
        <f>_xll.qlInterestRateIndexValueDate(IborIndex,X700,Trigger)</f>
        <v>43937</v>
      </c>
      <c r="Z700" s="203">
        <v>2.2613951442432577E-2</v>
      </c>
      <c r="AA700" s="200">
        <v>2.2443068072455219E-2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43942</v>
      </c>
      <c r="Y701" s="202">
        <f>_xll.qlInterestRateIndexValueDate(IborIndex,X701,Trigger)</f>
        <v>43944</v>
      </c>
      <c r="Z701" s="203">
        <v>2.2632391276792688E-2</v>
      </c>
      <c r="AA701" s="200">
        <v>2.2461315911694868E-2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43949</v>
      </c>
      <c r="Y702" s="202">
        <f>_xll.qlInterestRateIndexValueDate(IborIndex,X702,Trigger)</f>
        <v>43951</v>
      </c>
      <c r="Z702" s="203">
        <v>2.2652878843749284E-2</v>
      </c>
      <c r="AA702" s="200">
        <v>2.2482189043637746E-2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43956</v>
      </c>
      <c r="Y703" s="202">
        <f>_xll.qlInterestRateIndexValueDate(IborIndex,X703,Trigger)</f>
        <v>43958</v>
      </c>
      <c r="Z703" s="203">
        <v>2.2671351415297348E-2</v>
      </c>
      <c r="AA703" s="200">
        <v>2.2497856813439299E-2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43963</v>
      </c>
      <c r="Y704" s="202">
        <f>_xll.qlInterestRateIndexValueDate(IborIndex,X704,Trigger)</f>
        <v>43965</v>
      </c>
      <c r="Z704" s="203">
        <v>2.2689839233484145E-2</v>
      </c>
      <c r="AA704" s="200">
        <v>2.251614987594408E-2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43970</v>
      </c>
      <c r="Y705" s="202">
        <f>_xll.qlInterestRateIndexValueDate(IborIndex,X705,Trigger)</f>
        <v>43972</v>
      </c>
      <c r="Z705" s="203">
        <v>2.270834229852255E-2</v>
      </c>
      <c r="AA705" s="200">
        <v>2.253707469158428E-2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43977</v>
      </c>
      <c r="Y706" s="202">
        <f>_xll.qlInterestRateIndexValueDate(IborIndex,X706,Trigger)</f>
        <v>43979</v>
      </c>
      <c r="Z706" s="203">
        <v>2.2726860610628914E-2</v>
      </c>
      <c r="AA706" s="200">
        <v>2.2552781224218776E-2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43984</v>
      </c>
      <c r="Y707" s="202">
        <f>_xll.qlInterestRateIndexValueDate(IborIndex,X707,Trigger)</f>
        <v>43986</v>
      </c>
      <c r="Z707" s="203">
        <v>2.2745394170016104E-2</v>
      </c>
      <c r="AA707" s="200">
        <v>2.2571119509908755E-2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43991</v>
      </c>
      <c r="Y708" s="202">
        <f>_xll.qlInterestRateIndexValueDate(IborIndex,X708,Trigger)</f>
        <v>43993</v>
      </c>
      <c r="Z708" s="203">
        <v>2.2763942976898734E-2</v>
      </c>
      <c r="AA708" s="200">
        <v>2.258947287010038E-2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43998</v>
      </c>
      <c r="Y709" s="202">
        <f>_xll.qlInterestRateIndexValueDate(IborIndex,X709,Trigger)</f>
        <v>44000</v>
      </c>
      <c r="Z709" s="203">
        <v>2.2782507031493152E-2</v>
      </c>
      <c r="AA709" s="200">
        <v>2.260784130463378E-2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44005</v>
      </c>
      <c r="Y710" s="202">
        <f>_xll.qlInterestRateIndexValueDate(IborIndex,X710,Trigger)</f>
        <v>44007</v>
      </c>
      <c r="Z710" s="203">
        <v>2.2801086334012236E-2</v>
      </c>
      <c r="AA710" s="200">
        <v>2.2626224813588891E-2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44012</v>
      </c>
      <c r="Y711" s="202">
        <f>_xll.qlInterestRateIndexValueDate(IborIndex,X711,Trigger)</f>
        <v>44014</v>
      </c>
      <c r="Z711" s="203">
        <v>2.281968088467146E-2</v>
      </c>
      <c r="AA711" s="200">
        <v>2.2644623397045649E-2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44019</v>
      </c>
      <c r="Y712" s="202">
        <f>_xll.qlInterestRateIndexValueDate(IborIndex,X712,Trigger)</f>
        <v>44021</v>
      </c>
      <c r="Z712" s="203">
        <v>2.2838290683688041E-2</v>
      </c>
      <c r="AA712" s="200">
        <v>2.2663037054844182E-2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44026</v>
      </c>
      <c r="Y713" s="202">
        <f>_xll.qlInterestRateIndexValueDate(IborIndex,X713,Trigger)</f>
        <v>44028</v>
      </c>
      <c r="Z713" s="203">
        <v>2.2856915731274855E-2</v>
      </c>
      <c r="AA713" s="200">
        <v>2.2681465787144361E-2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44033</v>
      </c>
      <c r="Y714" s="202">
        <f>_xll.qlInterestRateIndexValueDate(IborIndex,X714,Trigger)</f>
        <v>44035</v>
      </c>
      <c r="Z714" s="203">
        <v>2.2875556027649992E-2</v>
      </c>
      <c r="AA714" s="200">
        <v>2.2699909593866252E-2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44040</v>
      </c>
      <c r="Y715" s="202">
        <f>_xll.qlInterestRateIndexValueDate(IborIndex,X715,Trigger)</f>
        <v>44042</v>
      </c>
      <c r="Z715" s="203">
        <v>2.2894211573027186E-2</v>
      </c>
      <c r="AA715" s="200">
        <v>2.2718368475009854E-2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44047</v>
      </c>
      <c r="Y716" s="202">
        <f>_xll.qlInterestRateIndexValueDate(IborIndex,X716,Trigger)</f>
        <v>44049</v>
      </c>
      <c r="Z716" s="203">
        <v>2.2912882367622792E-2</v>
      </c>
      <c r="AA716" s="200">
        <v>2.2736842430575166E-2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44054</v>
      </c>
      <c r="Y717" s="202">
        <f>_xll.qlInterestRateIndexValueDate(IborIndex,X717,Trigger)</f>
        <v>44056</v>
      </c>
      <c r="Z717" s="203">
        <v>2.2931568411654023E-2</v>
      </c>
      <c r="AA717" s="200">
        <v>2.2755331460562189E-2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44061</v>
      </c>
      <c r="Y718" s="202">
        <f>_xll.qlInterestRateIndexValueDate(IborIndex,X718,Trigger)</f>
        <v>44063</v>
      </c>
      <c r="Z718" s="203">
        <v>2.2950269705336361E-2</v>
      </c>
      <c r="AA718" s="200">
        <v>2.2773835564970923E-2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44068</v>
      </c>
      <c r="Y719" s="202">
        <f>_xll.qlInterestRateIndexValueDate(IborIndex,X719,Trigger)</f>
        <v>44070</v>
      </c>
      <c r="Z719" s="203">
        <v>2.2968986248887026E-2</v>
      </c>
      <c r="AA719" s="200">
        <v>2.2795001571438434E-2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44075</v>
      </c>
      <c r="Y720" s="202">
        <f>_xll.qlInterestRateIndexValueDate(IborIndex,X720,Trigger)</f>
        <v>44077</v>
      </c>
      <c r="Z720" s="203">
        <v>2.298564478843157E-2</v>
      </c>
      <c r="AA720" s="200">
        <v>2.2810888997213397E-2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44082</v>
      </c>
      <c r="Y721" s="202">
        <f>_xll.qlInterestRateIndexValueDate(IborIndex,X721,Trigger)</f>
        <v>44084</v>
      </c>
      <c r="Z721" s="203">
        <v>2.3004389549148369E-2</v>
      </c>
      <c r="AA721" s="200">
        <v>2.2829438325047136E-2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44089</v>
      </c>
      <c r="Y722" s="202">
        <f>_xll.qlInterestRateIndexValueDate(IborIndex,X722,Trigger)</f>
        <v>44091</v>
      </c>
      <c r="Z722" s="203">
        <v>2.3023149558425389E-2</v>
      </c>
      <c r="AA722" s="200">
        <v>2.2848002727302585E-2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44096</v>
      </c>
      <c r="Y723" s="202">
        <f>_xll.qlInterestRateIndexValueDate(IborIndex,X723,Trigger)</f>
        <v>44098</v>
      </c>
      <c r="Z723" s="203">
        <v>2.3041924816476961E-2</v>
      </c>
      <c r="AA723" s="200">
        <v>2.286658220389981E-2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44103</v>
      </c>
      <c r="Y724" s="202">
        <f>_xll.qlInterestRateIndexValueDate(IborIndex,X724,Trigger)</f>
        <v>44105</v>
      </c>
      <c r="Z724" s="203">
        <v>2.3069046759856646E-2</v>
      </c>
      <c r="AA724" s="200">
        <v>2.2885176755078618E-2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44110</v>
      </c>
      <c r="Y725" s="202">
        <f>_xll.qlInterestRateIndexValueDate(IborIndex,X725,Trigger)</f>
        <v>44112</v>
      </c>
      <c r="Z725" s="203">
        <v>2.3081605769563078E-2</v>
      </c>
      <c r="AA725" s="200">
        <v>2.2903786380679136E-2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44117</v>
      </c>
      <c r="Y726" s="202">
        <f>_xll.qlInterestRateIndexValueDate(IborIndex,X726,Trigger)</f>
        <v>44119</v>
      </c>
      <c r="Z726" s="203">
        <v>2.3100429068267155E-2</v>
      </c>
      <c r="AA726" s="200">
        <v>2.2922411080701366E-2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44124</v>
      </c>
      <c r="Y727" s="202">
        <f>_xll.qlInterestRateIndexValueDate(IborIndex,X727,Trigger)</f>
        <v>44126</v>
      </c>
      <c r="Z727" s="203">
        <v>2.3119267618577296E-2</v>
      </c>
      <c r="AA727" s="200">
        <v>2.2941050855225242E-2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44131</v>
      </c>
      <c r="Y728" s="202">
        <f>_xll.qlInterestRateIndexValueDate(IborIndex,X728,Trigger)</f>
        <v>44133</v>
      </c>
      <c r="Z728" s="203">
        <v>2.3138121420711592E-2</v>
      </c>
      <c r="AA728" s="200">
        <v>2.2959705704250766E-2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44138</v>
      </c>
      <c r="Y729" s="202">
        <f>_xll.qlInterestRateIndexValueDate(IborIndex,X729,Trigger)</f>
        <v>44140</v>
      </c>
      <c r="Z729" s="203">
        <v>2.3156988747613277E-2</v>
      </c>
      <c r="AA729" s="200">
        <v>2.2978375627698E-2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44145</v>
      </c>
      <c r="Y730" s="202">
        <f>_xll.qlInterestRateIndexValueDate(IborIndex,X730,Trigger)</f>
        <v>44147</v>
      </c>
      <c r="Z730" s="203">
        <v>2.3175860963055839E-2</v>
      </c>
      <c r="AA730" s="200">
        <v>2.2997060625566945E-2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44152</v>
      </c>
      <c r="Y731" s="202">
        <f>_xll.qlInterestRateIndexValueDate(IborIndex,X731,Trigger)</f>
        <v>44154</v>
      </c>
      <c r="Z731" s="203">
        <v>2.3194727703353717E-2</v>
      </c>
      <c r="AA731" s="200">
        <v>2.3015760697937537E-2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44159</v>
      </c>
      <c r="Y732" s="202">
        <f>_xll.qlInterestRateIndexValueDate(IborIndex,X732,Trigger)</f>
        <v>44162</v>
      </c>
      <c r="Z732" s="203">
        <v>2.3214179646101705E-2</v>
      </c>
      <c r="AA732" s="200">
        <v>2.3037150667732931E-2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44166</v>
      </c>
      <c r="Y733" s="202">
        <f>_xll.qlInterestRateIndexValueDate(IborIndex,X733,Trigger)</f>
        <v>44168</v>
      </c>
      <c r="Z733" s="203">
        <v>2.3228228375306692E-2</v>
      </c>
      <c r="AA733" s="200">
        <v>2.3053206066183662E-2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44173</v>
      </c>
      <c r="Y734" s="202">
        <f>_xll.qlInterestRateIndexValueDate(IborIndex,X734,Trigger)</f>
        <v>44175</v>
      </c>
      <c r="Z734" s="203">
        <v>2.3247024630187241E-2</v>
      </c>
      <c r="AA734" s="200">
        <v>2.3071951361979259E-2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44180</v>
      </c>
      <c r="Y735" s="202">
        <f>_xll.qlInterestRateIndexValueDate(IborIndex,X735,Trigger)</f>
        <v>44182</v>
      </c>
      <c r="Z735" s="203">
        <v>2.3265775602289374E-2</v>
      </c>
      <c r="AA735" s="200">
        <v>2.3090711732276503E-2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44187</v>
      </c>
      <c r="Y736" s="202">
        <f>_xll.qlInterestRateIndexValueDate(IborIndex,X736,Trigger)</f>
        <v>44189</v>
      </c>
      <c r="Z736" s="203">
        <v>2.3284470698039961E-2</v>
      </c>
      <c r="AA736" s="200">
        <v>2.3114854358574632E-2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44194</v>
      </c>
      <c r="Y737" s="202">
        <f>_xll.qlInterestRateIndexValueDate(IborIndex,X737,Trigger)</f>
        <v>44196</v>
      </c>
      <c r="Z737" s="203">
        <v>2.3303099323670473E-2</v>
      </c>
      <c r="AA737" s="200">
        <v>2.3130963286766004E-2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44201</v>
      </c>
      <c r="Y738" s="202">
        <f>_xll.qlInterestRateIndexValueDate(IborIndex,X738,Trigger)</f>
        <v>44203</v>
      </c>
      <c r="Z738" s="203">
        <v>2.3321650885220535E-2</v>
      </c>
      <c r="AA738" s="200">
        <v>2.314708329009818E-2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44208</v>
      </c>
      <c r="Y739" s="202">
        <f>_xll.qlInterestRateIndexValueDate(IborIndex,X739,Trigger)</f>
        <v>44210</v>
      </c>
      <c r="Z739" s="203">
        <v>2.3340114788537925E-2</v>
      </c>
      <c r="AA739" s="200">
        <v>2.316590395824214E-2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44215</v>
      </c>
      <c r="Y740" s="202">
        <f>_xll.qlInterestRateIndexValueDate(IborIndex,X740,Trigger)</f>
        <v>44217</v>
      </c>
      <c r="Z740" s="203">
        <v>2.3358480439280349E-2</v>
      </c>
      <c r="AA740" s="200">
        <v>2.3184739701047619E-2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44222</v>
      </c>
      <c r="Y741" s="202">
        <f>_xll.qlInterestRateIndexValueDate(IborIndex,X741,Trigger)</f>
        <v>44224</v>
      </c>
      <c r="Z741" s="203">
        <v>2.3376737242919887E-2</v>
      </c>
      <c r="AA741" s="200">
        <v>2.3203573476147099E-2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44229</v>
      </c>
      <c r="Y742" s="202">
        <f>_xll.qlInterestRateIndexValueDate(IborIndex,X742,Trigger)</f>
        <v>44231</v>
      </c>
      <c r="Z742" s="203">
        <v>2.3392843955145501E-2</v>
      </c>
      <c r="AA742" s="200">
        <v>2.3222303952437073E-2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44236</v>
      </c>
      <c r="Y743" s="202">
        <f>_xll.qlInterestRateIndexValueDate(IborIndex,X743,Trigger)</f>
        <v>44238</v>
      </c>
      <c r="Z743" s="203">
        <v>2.3410868948721429E-2</v>
      </c>
      <c r="AA743" s="200">
        <v>2.3240914087709896E-2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44243</v>
      </c>
      <c r="Y744" s="202">
        <f>_xll.qlInterestRateIndexValueDate(IborIndex,X744,Trigger)</f>
        <v>44245</v>
      </c>
      <c r="Z744" s="203">
        <v>2.3428772990990859E-2</v>
      </c>
      <c r="AA744" s="200">
        <v>2.3259403882045504E-2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44250</v>
      </c>
      <c r="Y745" s="202">
        <f>_xll.qlInterestRateIndexValueDate(IborIndex,X745,Trigger)</f>
        <v>44252</v>
      </c>
      <c r="Z745" s="203">
        <v>2.3446556080357766E-2</v>
      </c>
      <c r="AA745" s="200">
        <v>2.327777333536396E-2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44257</v>
      </c>
      <c r="Y746" s="202">
        <f>_xll.qlInterestRateIndexValueDate(IborIndex,X746,Trigger)</f>
        <v>44259</v>
      </c>
      <c r="Z746" s="203">
        <v>2.3470221826719918E-2</v>
      </c>
      <c r="AA746" s="200">
        <v>2.3296022447665266E-2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44264</v>
      </c>
      <c r="Y747" s="202">
        <f>_xll.qlInterestRateIndexValueDate(IborIndex,X747,Trigger)</f>
        <v>44266</v>
      </c>
      <c r="Z747" s="203">
        <v>2.3487740503026926E-2</v>
      </c>
      <c r="AA747" s="200">
        <v>2.3314151218949419E-2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44271</v>
      </c>
      <c r="Y748" s="202">
        <f>_xll.qlInterestRateIndexValueDate(IborIndex,X748,Trigger)</f>
        <v>44273</v>
      </c>
      <c r="Z748" s="203">
        <v>2.3505138200288021E-2</v>
      </c>
      <c r="AA748" s="200">
        <v>2.3332159649136486E-2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44278</v>
      </c>
      <c r="Y749" s="202">
        <f>_xll.qlInterestRateIndexValueDate(IborIndex,X749,Trigger)</f>
        <v>44280</v>
      </c>
      <c r="Z749" s="203">
        <v>2.352241491689927E-2</v>
      </c>
      <c r="AA749" s="200">
        <v>2.3350047738146529E-2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44285</v>
      </c>
      <c r="Y750" s="202">
        <f>_xll.qlInterestRateIndexValueDate(IborIndex,X750,Trigger)</f>
        <v>44287</v>
      </c>
      <c r="Z750" s="203">
        <v>2.3537600126517171E-2</v>
      </c>
      <c r="AA750" s="200">
        <v>2.337286988216114E-2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44292</v>
      </c>
      <c r="Y751" s="202">
        <f>_xll.qlInterestRateIndexValueDate(IborIndex,X751,Trigger)</f>
        <v>44294</v>
      </c>
      <c r="Z751" s="203">
        <v>2.3554642407497006E-2</v>
      </c>
      <c r="AA751" s="200">
        <v>2.3385462893115161E-2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44299</v>
      </c>
      <c r="Y752" s="202">
        <f>_xll.qlInterestRateIndexValueDate(IborIndex,X752,Trigger)</f>
        <v>44301</v>
      </c>
      <c r="Z752" s="203">
        <v>2.3571563710285858E-2</v>
      </c>
      <c r="AA752" s="200">
        <v>2.3402989958833942E-2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44306</v>
      </c>
      <c r="Y753" s="202">
        <f>_xll.qlInterestRateIndexValueDate(IborIndex,X753,Trigger)</f>
        <v>44308</v>
      </c>
      <c r="Z753" s="203">
        <v>2.3588364033342107E-2</v>
      </c>
      <c r="AA753" s="200">
        <v>2.3420396683455635E-2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44313</v>
      </c>
      <c r="Y754" s="202">
        <f>_xll.qlInterestRateIndexValueDate(IborIndex,X754,Trigger)</f>
        <v>44315</v>
      </c>
      <c r="Z754" s="203">
        <v>2.3605043375131154E-2</v>
      </c>
      <c r="AA754" s="200">
        <v>2.3440142726416369E-2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44320</v>
      </c>
      <c r="Y755" s="202">
        <f>_xll.qlInterestRateIndexValueDate(IborIndex,X755,Trigger)</f>
        <v>44322</v>
      </c>
      <c r="Z755" s="203">
        <v>2.362353453445859E-2</v>
      </c>
      <c r="AA755" s="200">
        <v>2.3454849109088016E-2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44327</v>
      </c>
      <c r="Y756" s="202">
        <f>_xll.qlInterestRateIndexValueDate(IborIndex,X756,Trigger)</f>
        <v>44329</v>
      </c>
      <c r="Z756" s="203">
        <v>2.3639964342524807E-2</v>
      </c>
      <c r="AA756" s="200">
        <v>2.3471894810098703E-2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44334</v>
      </c>
      <c r="Y757" s="202">
        <f>_xll.qlInterestRateIndexValueDate(IborIndex,X757,Trigger)</f>
        <v>44336</v>
      </c>
      <c r="Z757" s="203">
        <v>2.3656273157505039E-2</v>
      </c>
      <c r="AA757" s="200">
        <v>2.3488820170012303E-2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44341</v>
      </c>
      <c r="Y758" s="202">
        <f>_xll.qlInterestRateIndexValueDate(IborIndex,X758,Trigger)</f>
        <v>44343</v>
      </c>
      <c r="Z758" s="203">
        <v>2.36724609778944E-2</v>
      </c>
      <c r="AA758" s="200">
        <v>2.3508016081752459E-2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44348</v>
      </c>
      <c r="Y759" s="202">
        <f>_xll.qlInterestRateIndexValueDate(IborIndex,X759,Trigger)</f>
        <v>44350</v>
      </c>
      <c r="Z759" s="203">
        <v>2.3688527802201046E-2</v>
      </c>
      <c r="AA759" s="200">
        <v>2.3522309865908753E-2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44355</v>
      </c>
      <c r="Y760" s="202">
        <f>_xll.qlInterestRateIndexValueDate(IborIndex,X760,Trigger)</f>
        <v>44357</v>
      </c>
      <c r="Z760" s="203">
        <v>2.3704473628940945E-2</v>
      </c>
      <c r="AA760" s="200">
        <v>2.3538874201971538E-2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44362</v>
      </c>
      <c r="Y761" s="202">
        <f>_xll.qlInterestRateIndexValueDate(IborIndex,X761,Trigger)</f>
        <v>44364</v>
      </c>
      <c r="Z761" s="203">
        <v>2.3720298456645701E-2</v>
      </c>
      <c r="AA761" s="200">
        <v>2.3555318196777364E-2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44369</v>
      </c>
      <c r="Y762" s="202">
        <f>_xll.qlInterestRateIndexValueDate(IborIndex,X762,Trigger)</f>
        <v>44371</v>
      </c>
      <c r="Z762" s="203">
        <v>2.373600228385388E-2</v>
      </c>
      <c r="AA762" s="200">
        <v>2.3571641850246294E-2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44376</v>
      </c>
      <c r="Y763" s="202">
        <f>_xll.qlInterestRateIndexValueDate(IborIndex,X763,Trigger)</f>
        <v>44378</v>
      </c>
      <c r="Z763" s="203">
        <v>2.3751585109117072E-2</v>
      </c>
      <c r="AA763" s="200">
        <v>2.3587845162378329E-2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44383</v>
      </c>
      <c r="Y764" s="202">
        <f>_xll.qlInterestRateIndexValueDate(IborIndex,X764,Trigger)</f>
        <v>44385</v>
      </c>
      <c r="Z764" s="203">
        <v>2.3767046930999038E-2</v>
      </c>
      <c r="AA764" s="200">
        <v>2.3603928133253405E-2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44390</v>
      </c>
      <c r="Y765" s="202">
        <f>_xll.qlInterestRateIndexValueDate(IborIndex,X765,Trigger)</f>
        <v>44392</v>
      </c>
      <c r="Z765" s="203">
        <v>2.3782387748072221E-2</v>
      </c>
      <c r="AA765" s="200">
        <v>2.3619890762711648E-2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44397</v>
      </c>
      <c r="Y766" s="202">
        <f>_xll.qlInterestRateIndexValueDate(IborIndex,X766,Trigger)</f>
        <v>44399</v>
      </c>
      <c r="Z766" s="203">
        <v>2.3797607558922101E-2</v>
      </c>
      <c r="AA766" s="200">
        <v>2.3635733050832997E-2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44404</v>
      </c>
      <c r="Y767" s="202">
        <f>_xll.qlInterestRateIndexValueDate(IborIndex,X767,Trigger)</f>
        <v>44406</v>
      </c>
      <c r="Z767" s="203">
        <v>2.3812706362145455E-2</v>
      </c>
      <c r="AA767" s="200">
        <v>2.3651454997457577E-2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44411</v>
      </c>
      <c r="Y768" s="202">
        <f>_xll.qlInterestRateIndexValueDate(IborIndex,X768,Trigger)</f>
        <v>44413</v>
      </c>
      <c r="Z768" s="203">
        <v>2.3827684156348613E-2</v>
      </c>
      <c r="AA768" s="200">
        <v>2.3667056602825198E-2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44418</v>
      </c>
      <c r="Y769" s="202">
        <f>_xll.qlInterestRateIndexValueDate(IborIndex,X769,Trigger)</f>
        <v>44420</v>
      </c>
      <c r="Z769" s="203">
        <v>2.3842540940150071E-2</v>
      </c>
      <c r="AA769" s="200">
        <v>2.3682537866775988E-2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44425</v>
      </c>
      <c r="Y770" s="202">
        <f>_xll.qlInterestRateIndexValueDate(IborIndex,X770,Trigger)</f>
        <v>44427</v>
      </c>
      <c r="Z770" s="203">
        <v>2.3857276712180492E-2</v>
      </c>
      <c r="AA770" s="200">
        <v>2.369789878923001E-2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44432</v>
      </c>
      <c r="Y771" s="202">
        <f>_xll.qlInterestRateIndexValueDate(IborIndex,X771,Trigger)</f>
        <v>44434</v>
      </c>
      <c r="Z771" s="203">
        <v>2.3871891471079223E-2</v>
      </c>
      <c r="AA771" s="200">
        <v>2.3715306772364997E-2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44439</v>
      </c>
      <c r="Y772" s="202">
        <f>_xll.qlInterestRateIndexValueDate(IborIndex,X772,Trigger)</f>
        <v>44441</v>
      </c>
      <c r="Z772" s="203">
        <v>2.3884582049414089E-2</v>
      </c>
      <c r="AA772" s="200">
        <v>2.3728259609807623E-2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44446</v>
      </c>
      <c r="Y773" s="202">
        <f>_xll.qlInterestRateIndexValueDate(IborIndex,X773,Trigger)</f>
        <v>44448</v>
      </c>
      <c r="Z773" s="203">
        <v>2.3898962470584428E-2</v>
      </c>
      <c r="AA773" s="200">
        <v>2.3743259507851278E-2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44453</v>
      </c>
      <c r="Y774" s="202">
        <f>_xll.qlInterestRateIndexValueDate(IborIndex,X774,Trigger)</f>
        <v>44455</v>
      </c>
      <c r="Z774" s="203">
        <v>2.3913221882148915E-2</v>
      </c>
      <c r="AA774" s="200">
        <v>2.3758139064478101E-2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44460</v>
      </c>
      <c r="Y775" s="202">
        <f>_xll.qlInterestRateIndexValueDate(IborIndex,X775,Trigger)</f>
        <v>44462</v>
      </c>
      <c r="Z775" s="203">
        <v>2.3927360282808372E-2</v>
      </c>
      <c r="AA775" s="200">
        <v>2.3772898279528221E-2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44467</v>
      </c>
      <c r="Y776" s="202">
        <f>_xll.qlInterestRateIndexValueDate(IborIndex,X776,Trigger)</f>
        <v>44469</v>
      </c>
      <c r="Z776" s="203">
        <v>2.3941377671272399E-2</v>
      </c>
      <c r="AA776" s="200">
        <v>2.3787537153081573E-2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44474</v>
      </c>
      <c r="Y777" s="202">
        <f>_xll.qlInterestRateIndexValueDate(IborIndex,X777,Trigger)</f>
        <v>44476</v>
      </c>
      <c r="Z777" s="203">
        <v>2.3957038674005022E-2</v>
      </c>
      <c r="AA777" s="200">
        <v>2.3802055685218093E-2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44481</v>
      </c>
      <c r="Y778" s="202">
        <f>_xll.qlInterestRateIndexValueDate(IborIndex,X778,Trigger)</f>
        <v>44483</v>
      </c>
      <c r="Z778" s="203">
        <v>2.3970806303863793E-2</v>
      </c>
      <c r="AA778" s="200">
        <v>2.3816453875618038E-2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44488</v>
      </c>
      <c r="Y779" s="202">
        <f>_xll.qlInterestRateIndexValueDate(IborIndex,X779,Trigger)</f>
        <v>44490</v>
      </c>
      <c r="Z779" s="203">
        <v>2.3984452910119251E-2</v>
      </c>
      <c r="AA779" s="200">
        <v>2.3830731724601151E-2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44495</v>
      </c>
      <c r="Y780" s="202">
        <f>_xll.qlInterestRateIndexValueDate(IborIndex,X780,Trigger)</f>
        <v>44497</v>
      </c>
      <c r="Z780" s="203">
        <v>2.3997978491512403E-2</v>
      </c>
      <c r="AA780" s="200">
        <v>2.3844889231927624E-2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44502</v>
      </c>
      <c r="Y781" s="202">
        <f>_xll.qlInterestRateIndexValueDate(IborIndex,X781,Trigger)</f>
        <v>44504</v>
      </c>
      <c r="Z781" s="203">
        <v>2.4011383116054934E-2</v>
      </c>
      <c r="AA781" s="200">
        <v>2.3858926397597457E-2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44509</v>
      </c>
      <c r="Y782" s="202">
        <f>_xll.qlInterestRateIndexValueDate(IborIndex,X782,Trigger)</f>
        <v>44512</v>
      </c>
      <c r="Z782" s="203">
        <v>2.4030004834246044E-2</v>
      </c>
      <c r="AA782" s="200">
        <v>2.3874821515699196E-2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44516</v>
      </c>
      <c r="Y783" s="202">
        <f>_xll.qlInterestRateIndexValueDate(IborIndex,X783,Trigger)</f>
        <v>44518</v>
      </c>
      <c r="Z783" s="203">
        <v>2.4037835385382938E-2</v>
      </c>
      <c r="AA783" s="200">
        <v>2.3886639704286949E-2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44523</v>
      </c>
      <c r="Y784" s="202">
        <f>_xll.qlInterestRateIndexValueDate(IborIndex,X784,Trigger)</f>
        <v>44526</v>
      </c>
      <c r="Z784" s="203">
        <v>2.4056163470276091E-2</v>
      </c>
      <c r="AA784" s="200">
        <v>2.3902259755779198E-2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44530</v>
      </c>
      <c r="Y785" s="202">
        <f>_xll.qlInterestRateIndexValueDate(IborIndex,X785,Trigger)</f>
        <v>44532</v>
      </c>
      <c r="Z785" s="203">
        <v>2.406041503692169E-2</v>
      </c>
      <c r="AA785" s="200">
        <v>2.3913871644429818E-2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44537</v>
      </c>
      <c r="Y786" s="202">
        <f>_xll.qlInterestRateIndexValueDate(IborIndex,X786,Trigger)</f>
        <v>44539</v>
      </c>
      <c r="Z786" s="203">
        <v>2.4073256187958414E-2</v>
      </c>
      <c r="AA786" s="200">
        <v>2.3927307101976325E-2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44544</v>
      </c>
      <c r="Y787" s="202">
        <f>_xll.qlInterestRateIndexValueDate(IborIndex,X787,Trigger)</f>
        <v>44546</v>
      </c>
      <c r="Z787" s="203">
        <v>2.4085988353326648E-2</v>
      </c>
      <c r="AA787" s="200">
        <v>2.3940622217866192E-2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44551</v>
      </c>
      <c r="Y788" s="202">
        <f>_xll.qlInterestRateIndexValueDate(IborIndex,X788,Trigger)</f>
        <v>44553</v>
      </c>
      <c r="Z788" s="203">
        <v>2.4098613808345881E-2</v>
      </c>
      <c r="AA788" s="200">
        <v>2.3957564823984256E-2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44559</v>
      </c>
      <c r="Y789" s="202">
        <f>_xll.qlInterestRateIndexValueDate(IborIndex,X789,Trigger)</f>
        <v>44565</v>
      </c>
      <c r="Z789" s="203">
        <v>2.4120015734734324E-2</v>
      </c>
      <c r="AA789" s="200">
        <v>2.3972457913465917E-2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44566</v>
      </c>
      <c r="Y790" s="202">
        <f>_xll.qlInterestRateIndexValueDate(IborIndex,X790,Trigger)</f>
        <v>44568</v>
      </c>
      <c r="Z790" s="203">
        <v>2.412531960483566E-2</v>
      </c>
      <c r="AA790" s="200">
        <v>2.398168627586017E-2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44573</v>
      </c>
      <c r="Y791" s="202">
        <f>_xll.qlInterestRateIndexValueDate(IborIndex,X791,Trigger)</f>
        <v>44575</v>
      </c>
      <c r="Z791" s="203">
        <v>2.413762449767809E-2</v>
      </c>
      <c r="AA791" s="200">
        <v>2.3994502833275533E-2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44580</v>
      </c>
      <c r="Y792" s="202">
        <f>_xll.qlInterestRateIndexValueDate(IborIndex,X792,Trigger)</f>
        <v>44582</v>
      </c>
      <c r="Z792" s="203">
        <v>2.414983210688515E-2</v>
      </c>
      <c r="AA792" s="200">
        <v>2.4007199048874384E-2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44587</v>
      </c>
      <c r="Y793" s="202">
        <f>_xll.qlInterestRateIndexValueDate(IborIndex,X793,Trigger)</f>
        <v>44589</v>
      </c>
      <c r="Z793" s="203">
        <v>2.4161944707963734E-2</v>
      </c>
      <c r="AA793" s="200">
        <v>2.4019775615462535E-2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44594</v>
      </c>
      <c r="Y794" s="202">
        <f>_xll.qlInterestRateIndexValueDate(IborIndex,X794,Trigger)</f>
        <v>44596</v>
      </c>
      <c r="Z794" s="203">
        <v>2.4172313030628018E-2</v>
      </c>
      <c r="AA794" s="200">
        <v>2.4032251929124726E-2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44601</v>
      </c>
      <c r="Y795" s="202">
        <f>_xll.qlInterestRateIndexValueDate(IborIndex,X795,Trigger)</f>
        <v>44603</v>
      </c>
      <c r="Z795" s="203">
        <v>2.4184246795699884E-2</v>
      </c>
      <c r="AA795" s="200">
        <v>2.4044636994977608E-2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44608</v>
      </c>
      <c r="Y796" s="202">
        <f>_xll.qlInterestRateIndexValueDate(IborIndex,X796,Trigger)</f>
        <v>44610</v>
      </c>
      <c r="Z796" s="203">
        <v>2.4196088807947984E-2</v>
      </c>
      <c r="AA796" s="200">
        <v>2.4056930813181054E-2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44615</v>
      </c>
      <c r="Y797" s="202">
        <f>_xll.qlInterestRateIndexValueDate(IborIndex,X797,Trigger)</f>
        <v>44617</v>
      </c>
      <c r="Z797" s="203">
        <v>2.4207839066569366E-2</v>
      </c>
      <c r="AA797" s="200">
        <v>2.4069133383735064E-2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44622</v>
      </c>
      <c r="Y798" s="202">
        <f>_xll.qlInterestRateIndexValueDate(IborIndex,X798,Trigger)</f>
        <v>44624</v>
      </c>
      <c r="Z798" s="203">
        <v>2.422763488333184E-2</v>
      </c>
      <c r="AA798" s="200">
        <v>2.4081244706479765E-2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44629</v>
      </c>
      <c r="Y799" s="202">
        <f>_xll.qlInterestRateIndexValueDate(IborIndex,X799,Trigger)</f>
        <v>44631</v>
      </c>
      <c r="Z799" s="203">
        <v>2.4239172732681811E-2</v>
      </c>
      <c r="AA799" s="200">
        <v>2.4093264781495094E-2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44636</v>
      </c>
      <c r="Y800" s="202">
        <f>_xll.qlInterestRateIndexValueDate(IborIndex,X800,Trigger)</f>
        <v>44638</v>
      </c>
      <c r="Z800" s="203">
        <v>2.4250618796788546E-2</v>
      </c>
      <c r="AA800" s="200">
        <v>2.4105193608860986E-2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44643</v>
      </c>
      <c r="Y801" s="202">
        <f>_xll.qlInterestRateIndexValueDate(IborIndex,X801,Trigger)</f>
        <v>44645</v>
      </c>
      <c r="Z801" s="203">
        <v>2.4261973074833128E-2</v>
      </c>
      <c r="AA801" s="200">
        <v>2.411703118841757E-2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44650</v>
      </c>
      <c r="Y802" s="202">
        <f>_xll.qlInterestRateIndexValueDate(IborIndex,X802,Trigger)</f>
        <v>44652</v>
      </c>
      <c r="Z802" s="203">
        <v>2.4268424088538854E-2</v>
      </c>
      <c r="AA802" s="200">
        <v>2.4128777520164846E-2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44657</v>
      </c>
      <c r="Y803" s="202">
        <f>_xll.qlInterestRateIndexValueDate(IborIndex,X803,Trigger)</f>
        <v>44659</v>
      </c>
      <c r="Z803" s="203">
        <v>2.427961220453119E-2</v>
      </c>
      <c r="AA803" s="200">
        <v>2.4140432604262685E-2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44664</v>
      </c>
      <c r="Y804" s="202">
        <f>_xll.qlInterestRateIndexValueDate(IborIndex,X804,Trigger)</f>
        <v>44670</v>
      </c>
      <c r="Z804" s="203">
        <v>2.4297008114846072E-2</v>
      </c>
      <c r="AA804" s="200">
        <v>2.4155283633948699E-2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44671</v>
      </c>
      <c r="Y805" s="202">
        <f>_xll.qlInterestRateIndexValueDate(IborIndex,X805,Trigger)</f>
        <v>44673</v>
      </c>
      <c r="Z805" s="203">
        <v>2.4301713123279042E-2</v>
      </c>
      <c r="AA805" s="200">
        <v>2.4163469029030438E-2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44678</v>
      </c>
      <c r="Y806" s="202">
        <f>_xll.qlInterestRateIndexValueDate(IborIndex,X806,Trigger)</f>
        <v>44680</v>
      </c>
      <c r="Z806" s="203">
        <v>2.4312625924507864E-2</v>
      </c>
      <c r="AA806" s="200">
        <v>2.4176468826748732E-2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44685</v>
      </c>
      <c r="Y807" s="202">
        <f>_xll.qlInterestRateIndexValueDate(IborIndex,X807,Trigger)</f>
        <v>44687</v>
      </c>
      <c r="Z807" s="203">
        <v>2.4328171190826225E-2</v>
      </c>
      <c r="AA807" s="200">
        <v>2.4186140462560957E-2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44692</v>
      </c>
      <c r="Y808" s="202">
        <f>_xll.qlInterestRateIndexValueDate(IborIndex,X808,Trigger)</f>
        <v>44694</v>
      </c>
      <c r="Z808" s="203">
        <v>2.4338882944086791E-2</v>
      </c>
      <c r="AA808" s="200">
        <v>2.4197339307692189E-2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44699</v>
      </c>
      <c r="Y809" s="202">
        <f>_xll.qlInterestRateIndexValueDate(IborIndex,X809,Trigger)</f>
        <v>44701</v>
      </c>
      <c r="Z809" s="203">
        <v>2.4349502904977907E-2</v>
      </c>
      <c r="AA809" s="200">
        <v>2.4208446904934178E-2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44706</v>
      </c>
      <c r="Y810" s="202">
        <f>_xll.qlInterestRateIndexValueDate(IborIndex,X810,Trigger)</f>
        <v>44708</v>
      </c>
      <c r="Z810" s="203">
        <v>2.4361587323222474E-2</v>
      </c>
      <c r="AA810" s="200">
        <v>2.4221029569764241E-2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44713</v>
      </c>
      <c r="Y811" s="202">
        <f>_xll.qlInterestRateIndexValueDate(IborIndex,X811,Trigger)</f>
        <v>44715</v>
      </c>
      <c r="Z811" s="203">
        <v>2.4372017844041742E-2</v>
      </c>
      <c r="AA811" s="200">
        <v>2.4230388355990229E-2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44720</v>
      </c>
      <c r="Y812" s="202">
        <f>_xll.qlInterestRateIndexValueDate(IborIndex,X812,Trigger)</f>
        <v>44722</v>
      </c>
      <c r="Z812" s="203">
        <v>2.4380812025876341E-2</v>
      </c>
      <c r="AA812" s="200">
        <v>2.4241222209724356E-2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44727</v>
      </c>
      <c r="Y813" s="202">
        <f>_xll.qlInterestRateIndexValueDate(IborIndex,X813,Trigger)</f>
        <v>44729</v>
      </c>
      <c r="Z813" s="203">
        <v>2.4391064809765464E-2</v>
      </c>
      <c r="AA813" s="200">
        <v>2.425196481572911E-2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44734</v>
      </c>
      <c r="Y814" s="202">
        <f>_xll.qlInterestRateIndexValueDate(IborIndex,X814,Trigger)</f>
        <v>44736</v>
      </c>
      <c r="Z814" s="203">
        <v>2.440122579755535E-2</v>
      </c>
      <c r="AA814" s="200">
        <v>2.4262616173764684E-2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44741</v>
      </c>
      <c r="Y815" s="202">
        <f>_xll.qlInterestRateIndexValueDate(IborIndex,X815,Trigger)</f>
        <v>44743</v>
      </c>
      <c r="Z815" s="203">
        <v>2.441129498852148E-2</v>
      </c>
      <c r="AA815" s="200">
        <v>2.4273176283911013E-2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44748</v>
      </c>
      <c r="Y816" s="202">
        <f>_xll.qlInterestRateIndexValueDate(IborIndex,X816,Trigger)</f>
        <v>44750</v>
      </c>
      <c r="Z816" s="203">
        <v>2.4422793424654223E-2</v>
      </c>
      <c r="AA816" s="200">
        <v>2.4283645146248034E-2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44755</v>
      </c>
      <c r="Y817" s="202">
        <f>_xll.qlInterestRateIndexValueDate(IborIndex,X817,Trigger)</f>
        <v>44757</v>
      </c>
      <c r="Z817" s="203">
        <v>2.443115797710561E-2</v>
      </c>
      <c r="AA817" s="200">
        <v>2.429402276069581E-2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44762</v>
      </c>
      <c r="Y818" s="202">
        <f>_xll.qlInterestRateIndexValueDate(IborIndex,X818,Trigger)</f>
        <v>44764</v>
      </c>
      <c r="Z818" s="203">
        <v>2.4440951773305172E-2</v>
      </c>
      <c r="AA818" s="200">
        <v>2.4304309127254342E-2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44769</v>
      </c>
      <c r="Y819" s="202">
        <f>_xll.qlInterestRateIndexValueDate(IborIndex,X819,Trigger)</f>
        <v>44771</v>
      </c>
      <c r="Z819" s="203">
        <v>2.4450653769840694E-2</v>
      </c>
      <c r="AA819" s="200">
        <v>2.4314504245843693E-2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44776</v>
      </c>
      <c r="Y820" s="202">
        <f>_xll.qlInterestRateIndexValueDate(IborIndex,X820,Trigger)</f>
        <v>44778</v>
      </c>
      <c r="Z820" s="203">
        <v>2.4460263966018265E-2</v>
      </c>
      <c r="AA820" s="200">
        <v>2.4324608116623736E-2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44783</v>
      </c>
      <c r="Y821" s="202">
        <f>_xll.qlInterestRateIndexValueDate(IborIndex,X821,Trigger)</f>
        <v>44785</v>
      </c>
      <c r="Z821" s="203">
        <v>2.4469782361153321E-2</v>
      </c>
      <c r="AA821" s="200">
        <v>2.4334620739434598E-2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44790</v>
      </c>
      <c r="Y822" s="202">
        <f>_xll.qlInterestRateIndexValueDate(IborIndex,X822,Trigger)</f>
        <v>44792</v>
      </c>
      <c r="Z822" s="203">
        <v>2.4479208954562154E-2</v>
      </c>
      <c r="AA822" s="200">
        <v>2.4344542114356216E-2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44797</v>
      </c>
      <c r="Y823" s="202">
        <f>_xll.qlInterestRateIndexValueDate(IborIndex,X823,Trigger)</f>
        <v>44799</v>
      </c>
      <c r="Z823" s="203">
        <v>2.4488543745574666E-2</v>
      </c>
      <c r="AA823" s="200">
        <v>2.4355769096420232E-2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44804</v>
      </c>
      <c r="Y824" s="202">
        <f>_xll.qlInterestRateIndexValueDate(IborIndex,X824,Trigger)</f>
        <v>44806</v>
      </c>
      <c r="Z824" s="203">
        <v>2.449336244462014E-2</v>
      </c>
      <c r="AA824" s="200">
        <v>2.4364111120371845E-2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44811</v>
      </c>
      <c r="Y825" s="202">
        <f>_xll.qlInterestRateIndexValueDate(IborIndex,X825,Trigger)</f>
        <v>44813</v>
      </c>
      <c r="Z825" s="203">
        <v>2.4502531434962505E-2</v>
      </c>
      <c r="AA825" s="200">
        <v>2.4373758751465857E-2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44818</v>
      </c>
      <c r="Y826" s="202">
        <f>_xll.qlInterestRateIndexValueDate(IborIndex,X826,Trigger)</f>
        <v>44820</v>
      </c>
      <c r="Z826" s="203">
        <v>2.4511608639060326E-2</v>
      </c>
      <c r="AA826" s="200">
        <v>2.4383315134590688E-2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44825</v>
      </c>
      <c r="Y827" s="202">
        <f>_xll.qlInterestRateIndexValueDate(IborIndex,X827,Trigger)</f>
        <v>44827</v>
      </c>
      <c r="Z827" s="203">
        <v>2.4520594056284664E-2</v>
      </c>
      <c r="AA827" s="200">
        <v>2.4392780269826275E-2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44832</v>
      </c>
      <c r="Y828" s="202">
        <f>_xll.qlInterestRateIndexValueDate(IborIndex,X828,Trigger)</f>
        <v>44834</v>
      </c>
      <c r="Z828" s="203">
        <v>2.4529487686016233E-2</v>
      </c>
      <c r="AA828" s="200">
        <v>2.4402154157012745E-2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44839</v>
      </c>
      <c r="Y829" s="202">
        <f>_xll.qlInterestRateIndexValueDate(IborIndex,X829,Trigger)</f>
        <v>44841</v>
      </c>
      <c r="Z829" s="203">
        <v>2.4542624604386293E-2</v>
      </c>
      <c r="AA829" s="200">
        <v>2.4411436796309971E-2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44846</v>
      </c>
      <c r="Y830" s="202">
        <f>_xll.qlInterestRateIndexValueDate(IborIndex,X830,Trigger)</f>
        <v>44848</v>
      </c>
      <c r="Z830" s="203">
        <v>2.4552754810919921E-2</v>
      </c>
      <c r="AA830" s="200">
        <v>2.442062818755808E-2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44853</v>
      </c>
      <c r="Y831" s="202">
        <f>_xll.qlInterestRateIndexValueDate(IborIndex,X831,Trigger)</f>
        <v>44855</v>
      </c>
      <c r="Z831" s="203">
        <v>2.4559917108660765E-2</v>
      </c>
      <c r="AA831" s="200">
        <v>2.4429728330916944E-2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44860</v>
      </c>
      <c r="Y832" s="202">
        <f>_xll.qlInterestRateIndexValueDate(IborIndex,X832,Trigger)</f>
        <v>44862</v>
      </c>
      <c r="Z832" s="203">
        <v>2.4568425648856574E-2</v>
      </c>
      <c r="AA832" s="200">
        <v>2.4438737226146756E-2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44867</v>
      </c>
      <c r="Y833" s="202">
        <f>_xll.qlInterestRateIndexValueDate(IborIndex,X833,Trigger)</f>
        <v>44869</v>
      </c>
      <c r="Z833" s="203">
        <v>2.4576843036168847E-2</v>
      </c>
      <c r="AA833" s="200">
        <v>2.4447654873407387E-2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44874</v>
      </c>
      <c r="Y834" s="202">
        <f>_xll.qlInterestRateIndexValueDate(IborIndex,X834,Trigger)</f>
        <v>44879</v>
      </c>
      <c r="Z834" s="203">
        <v>2.4585888987495853E-2</v>
      </c>
      <c r="AA834" s="200">
        <v>2.4457734738110304E-2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44881</v>
      </c>
      <c r="Y835" s="202">
        <f>_xll.qlInterestRateIndexValueDate(IborIndex,X835,Trigger)</f>
        <v>44883</v>
      </c>
      <c r="Z835" s="203">
        <v>2.459482868555431E-2</v>
      </c>
      <c r="AA835" s="200">
        <v>2.4465216423941172E-2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44888</v>
      </c>
      <c r="Y836" s="202">
        <f>_xll.qlInterestRateIndexValueDate(IborIndex,X836,Trigger)</f>
        <v>44890</v>
      </c>
      <c r="Z836" s="203">
        <v>2.4601583693160026E-2</v>
      </c>
      <c r="AA836" s="200">
        <v>2.4473860327214325E-2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44895</v>
      </c>
      <c r="Y837" s="202">
        <f>_xll.qlInterestRateIndexValueDate(IborIndex,X837,Trigger)</f>
        <v>44897</v>
      </c>
      <c r="Z837" s="203">
        <v>2.4604061149513079E-2</v>
      </c>
      <c r="AA837" s="200">
        <v>2.4482412982438362E-2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44902</v>
      </c>
      <c r="Y838" s="202">
        <f>_xll.qlInterestRateIndexValueDate(IborIndex,X838,Trigger)</f>
        <v>44904</v>
      </c>
      <c r="Z838" s="203">
        <v>2.4612092963107735E-2</v>
      </c>
      <c r="AA838" s="200">
        <v>2.4490874389613282E-2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44909</v>
      </c>
      <c r="Y839" s="202">
        <f>_xll.qlInterestRateIndexValueDate(IborIndex,X839,Trigger)</f>
        <v>44911</v>
      </c>
      <c r="Z839" s="203">
        <v>2.4620055296052712E-2</v>
      </c>
      <c r="AA839" s="200">
        <v>2.4499244548819021E-2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44916</v>
      </c>
      <c r="Y840" s="202">
        <f>_xll.qlInterestRateIndexValueDate(IborIndex,X840,Trigger)</f>
        <v>44918</v>
      </c>
      <c r="Z840" s="203">
        <v>2.462795225711556E-2</v>
      </c>
      <c r="AA840" s="200">
        <v>2.4509872103255503E-2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44923</v>
      </c>
      <c r="Y841" s="202">
        <f>_xll.qlInterestRateIndexValueDate(IborIndex,X841,Trigger)</f>
        <v>44925</v>
      </c>
      <c r="Z841" s="203">
        <v>2.4637178514221064E-2</v>
      </c>
      <c r="AA841" s="200">
        <v>2.4516873340285628E-2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44930</v>
      </c>
      <c r="Y842" s="202">
        <f>_xll.qlInterestRateIndexValueDate(IborIndex,X842,Trigger)</f>
        <v>44932</v>
      </c>
      <c r="Z842" s="203">
        <v>2.4643566498856018E-2</v>
      </c>
      <c r="AA842" s="200">
        <v>2.4523807537981668E-2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44937</v>
      </c>
      <c r="Y843" s="202">
        <f>_xll.qlInterestRateIndexValueDate(IborIndex,X843,Trigger)</f>
        <v>44939</v>
      </c>
      <c r="Z843" s="203">
        <v>2.4651291997249025E-2</v>
      </c>
      <c r="AA843" s="200">
        <v>2.4531812704831069E-2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44944</v>
      </c>
      <c r="Y844" s="202">
        <f>_xll.qlInterestRateIndexValueDate(IborIndex,X844,Trigger)</f>
        <v>44946</v>
      </c>
      <c r="Z844" s="203">
        <v>2.4658968559189809E-2</v>
      </c>
      <c r="AA844" s="200">
        <v>2.4539726623711289E-2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44951</v>
      </c>
      <c r="Y845" s="202">
        <f>_xll.qlInterestRateIndexValueDate(IborIndex,X845,Trigger)</f>
        <v>44953</v>
      </c>
      <c r="Z845" s="203">
        <v>2.4666600293621777E-2</v>
      </c>
      <c r="AA845" s="200">
        <v>2.4547550544822272E-2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44958</v>
      </c>
      <c r="Y846" s="202">
        <f>_xll.qlInterestRateIndexValueDate(IborIndex,X846,Trigger)</f>
        <v>44960</v>
      </c>
      <c r="Z846" s="203">
        <v>2.4672812414918473E-2</v>
      </c>
      <c r="AA846" s="200">
        <v>2.4555319476480264E-2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44965</v>
      </c>
      <c r="Y847" s="202">
        <f>_xll.qlInterestRateIndexValueDate(IborIndex,X847,Trigger)</f>
        <v>44967</v>
      </c>
      <c r="Z847" s="203">
        <v>2.4680366557906917E-2</v>
      </c>
      <c r="AA847" s="200">
        <v>2.456304967272338E-2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44972</v>
      </c>
      <c r="Y848" s="202">
        <f>_xll.qlInterestRateIndexValueDate(IborIndex,X848,Trigger)</f>
        <v>44974</v>
      </c>
      <c r="Z848" s="203">
        <v>2.4687881745531486E-2</v>
      </c>
      <c r="AA848" s="200">
        <v>2.4570741133551621E-2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44979</v>
      </c>
      <c r="Y849" s="202">
        <f>_xll.qlInterestRateIndexValueDate(IborIndex,X849,Trigger)</f>
        <v>44981</v>
      </c>
      <c r="Z849" s="203">
        <v>2.4695357977577513E-2</v>
      </c>
      <c r="AA849" s="200">
        <v>2.457839385888505E-2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44986</v>
      </c>
      <c r="Y850" s="202">
        <f>_xll.qlInterestRateIndexValueDate(IborIndex,X850,Trigger)</f>
        <v>44988</v>
      </c>
      <c r="Z850" s="203">
        <v>2.4709642134676465E-2</v>
      </c>
      <c r="AA850" s="200">
        <v>2.4586007848723668E-2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44993</v>
      </c>
      <c r="Y851" s="202">
        <f>_xll.qlInterestRateIndexValueDate(IborIndex,X851,Trigger)</f>
        <v>44995</v>
      </c>
      <c r="Z851" s="203">
        <v>2.4717029068875258E-2</v>
      </c>
      <c r="AA851" s="200">
        <v>2.4593583103147409E-2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45000</v>
      </c>
      <c r="Y852" s="202">
        <f>_xll.qlInterestRateIndexValueDate(IborIndex,X852,Trigger)</f>
        <v>45002</v>
      </c>
      <c r="Z852" s="203">
        <v>2.4724377034195718E-2</v>
      </c>
      <c r="AA852" s="200">
        <v>2.4601119622156276E-2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45007</v>
      </c>
      <c r="Y853" s="202">
        <f>_xll.qlInterestRateIndexValueDate(IborIndex,X853,Trigger)</f>
        <v>45009</v>
      </c>
      <c r="Z853" s="203">
        <v>2.4731686030415038E-2</v>
      </c>
      <c r="AA853" s="200">
        <v>2.4608617405590394E-2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45014</v>
      </c>
      <c r="Y854" s="202">
        <f>_xll.qlInterestRateIndexValueDate(IborIndex,X854,Trigger)</f>
        <v>45016</v>
      </c>
      <c r="Z854" s="203">
        <v>2.4734875769391297E-2</v>
      </c>
      <c r="AA854" s="200">
        <v>2.4616076453609637E-2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45021</v>
      </c>
      <c r="Y855" s="202">
        <f>_xll.qlInterestRateIndexValueDate(IborIndex,X855,Trigger)</f>
        <v>45027</v>
      </c>
      <c r="Z855" s="203">
        <v>2.4746232151094449E-2</v>
      </c>
      <c r="AA855" s="200">
        <v>2.4625609740729359E-2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45028</v>
      </c>
      <c r="Y856" s="202">
        <f>_xll.qlInterestRateIndexValueDate(IborIndex,X856,Trigger)</f>
        <v>45030</v>
      </c>
      <c r="Z856" s="203">
        <v>2.4749312648028033E-2</v>
      </c>
      <c r="AA856" s="200">
        <v>2.4630878343083751E-2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45035</v>
      </c>
      <c r="Y857" s="202">
        <f>_xll.qlInterestRateIndexValueDate(IborIndex,X857,Trigger)</f>
        <v>45037</v>
      </c>
      <c r="Z857" s="203">
        <v>2.4756472643927066E-2</v>
      </c>
      <c r="AA857" s="200">
        <v>2.4638221184618558E-2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45042</v>
      </c>
      <c r="Y858" s="202">
        <f>_xll.qlInterestRateIndexValueDate(IborIndex,X858,Trigger)</f>
        <v>45044</v>
      </c>
      <c r="Z858" s="203">
        <v>2.4767646467269699E-2</v>
      </c>
      <c r="AA858" s="200">
        <v>2.4646565572359336E-2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45049</v>
      </c>
      <c r="Y859" s="202">
        <f>_xll.qlInterestRateIndexValueDate(IborIndex,X859,Trigger)</f>
        <v>45051</v>
      </c>
      <c r="Z859" s="203">
        <v>2.477472164426546E-2</v>
      </c>
      <c r="AA859" s="200">
        <v>2.4652790661283674E-2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45056</v>
      </c>
      <c r="Y860" s="202">
        <f>_xll.qlInterestRateIndexValueDate(IborIndex,X860,Trigger)</f>
        <v>45058</v>
      </c>
      <c r="Z860" s="203">
        <v>2.4781757850632798E-2</v>
      </c>
      <c r="AA860" s="200">
        <v>2.4660017296413983E-2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45063</v>
      </c>
      <c r="Y861" s="202">
        <f>_xll.qlInterestRateIndexValueDate(IborIndex,X861,Trigger)</f>
        <v>45065</v>
      </c>
      <c r="Z861" s="203">
        <v>2.4788755086157414E-2</v>
      </c>
      <c r="AA861" s="200">
        <v>2.4667205195969544E-2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45070</v>
      </c>
      <c r="Y862" s="202">
        <f>_xll.qlInterestRateIndexValueDate(IborIndex,X862,Trigger)</f>
        <v>45072</v>
      </c>
      <c r="Z862" s="203">
        <v>2.4797054756118028E-2</v>
      </c>
      <c r="AA862" s="200">
        <v>2.4675372507196869E-2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45077</v>
      </c>
      <c r="Y863" s="202">
        <f>_xll.qlInterestRateIndexValueDate(IborIndex,X863,Trigger)</f>
        <v>45079</v>
      </c>
      <c r="Z863" s="203">
        <v>2.4803971740587016E-2</v>
      </c>
      <c r="AA863" s="200">
        <v>2.4681464788676166E-2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45084</v>
      </c>
      <c r="Y864" s="202">
        <f>_xll.qlInterestRateIndexValueDate(IborIndex,X864,Trigger)</f>
        <v>45086</v>
      </c>
      <c r="Z864" s="203">
        <v>2.4809512965561716E-2</v>
      </c>
      <c r="AA864" s="200">
        <v>2.4688536481827228E-2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45091</v>
      </c>
      <c r="Y865" s="202">
        <f>_xll.qlInterestRateIndexValueDate(IborIndex,X865,Trigger)</f>
        <v>45093</v>
      </c>
      <c r="Z865" s="203">
        <v>2.4816354315607334E-2</v>
      </c>
      <c r="AA865" s="200">
        <v>2.4695569439403542E-2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45098</v>
      </c>
      <c r="Y866" s="202">
        <f>_xll.qlInterestRateIndexValueDate(IborIndex,X866,Trigger)</f>
        <v>45100</v>
      </c>
      <c r="Z866" s="203">
        <v>2.482315669376086E-2</v>
      </c>
      <c r="AA866" s="200">
        <v>2.470256366156498E-2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45105</v>
      </c>
      <c r="Y867" s="202">
        <f>_xll.qlInterestRateIndexValueDate(IborIndex,X867,Trigger)</f>
        <v>45107</v>
      </c>
      <c r="Z867" s="203">
        <v>2.4825929627961221E-2</v>
      </c>
      <c r="AA867" s="200">
        <v>2.4709519148151671E-2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45112</v>
      </c>
      <c r="Y868" s="202">
        <f>_xll.qlInterestRateIndexValueDate(IborIndex,X868,Trigger)</f>
        <v>45114</v>
      </c>
      <c r="Z868" s="203">
        <v>2.4837972048195534E-2</v>
      </c>
      <c r="AA868" s="200">
        <v>2.471643589924355E-2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45119</v>
      </c>
      <c r="Y869" s="202">
        <f>_xll.qlInterestRateIndexValueDate(IborIndex,X869,Trigger)</f>
        <v>45121</v>
      </c>
      <c r="Z869" s="203">
        <v>2.4843329994813479E-2</v>
      </c>
      <c r="AA869" s="200">
        <v>2.4723313914840617E-2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45126</v>
      </c>
      <c r="Y870" s="202">
        <f>_xll.qlInterestRateIndexValueDate(IborIndex,X870,Trigger)</f>
        <v>45128</v>
      </c>
      <c r="Z870" s="203">
        <v>2.4849976483348343E-2</v>
      </c>
      <c r="AA870" s="200">
        <v>2.4730153194942872E-2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45133</v>
      </c>
      <c r="Y871" s="202">
        <f>_xll.qlInterestRateIndexValueDate(IborIndex,X871,Trigger)</f>
        <v>45135</v>
      </c>
      <c r="Z871" s="203">
        <v>2.4856583998971501E-2</v>
      </c>
      <c r="AA871" s="200">
        <v>2.473695373947038E-2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45140</v>
      </c>
      <c r="Y872" s="202">
        <f>_xll.qlInterestRateIndexValueDate(IborIndex,X872,Trigger)</f>
        <v>45142</v>
      </c>
      <c r="Z872" s="203">
        <v>2.4863152541482261E-2</v>
      </c>
      <c r="AA872" s="200">
        <v>2.4743715548503076E-2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45147</v>
      </c>
      <c r="Y873" s="202">
        <f>_xll.qlInterestRateIndexValueDate(IborIndex,X873,Trigger)</f>
        <v>45149</v>
      </c>
      <c r="Z873" s="203">
        <v>2.4869682110680785E-2</v>
      </c>
      <c r="AA873" s="200">
        <v>2.475043862204096E-2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45154</v>
      </c>
      <c r="Y874" s="202">
        <f>_xll.qlInterestRateIndexValueDate(IborIndex,X874,Trigger)</f>
        <v>45156</v>
      </c>
      <c r="Z874" s="203">
        <v>2.4876172706370634E-2</v>
      </c>
      <c r="AA874" s="200">
        <v>2.4757122960004097E-2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45161</v>
      </c>
      <c r="Y875" s="202">
        <f>_xll.qlInterestRateIndexValueDate(IborIndex,X875,Trigger)</f>
        <v>45163</v>
      </c>
      <c r="Z875" s="203">
        <v>2.4882624328354516E-2</v>
      </c>
      <c r="AA875" s="200">
        <v>2.4764714772222973E-2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45168</v>
      </c>
      <c r="Y876" s="202">
        <f>_xll.qlInterestRateIndexValueDate(IborIndex,X876,Trigger)</f>
        <v>45170</v>
      </c>
      <c r="Z876" s="203">
        <v>2.4885109446646309E-2</v>
      </c>
      <c r="AA876" s="200">
        <v>2.4770375429445934E-2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45175</v>
      </c>
      <c r="Y877" s="202">
        <f>_xll.qlInterestRateIndexValueDate(IborIndex,X877,Trigger)</f>
        <v>45177</v>
      </c>
      <c r="Z877" s="203">
        <v>2.4891490152904174E-2</v>
      </c>
      <c r="AA877" s="200">
        <v>2.4776943560924636E-2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45182</v>
      </c>
      <c r="Y878" s="202">
        <f>_xll.qlInterestRateIndexValueDate(IborIndex,X878,Trigger)</f>
        <v>45184</v>
      </c>
      <c r="Z878" s="203">
        <v>2.4897831892636207E-2</v>
      </c>
      <c r="AA878" s="200">
        <v>2.4783472956828589E-2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45189</v>
      </c>
      <c r="Y879" s="202">
        <f>_xll.qlInterestRateIndexValueDate(IborIndex,X879,Trigger)</f>
        <v>45191</v>
      </c>
      <c r="Z879" s="203">
        <v>2.4904134665657066E-2</v>
      </c>
      <c r="AA879" s="200">
        <v>2.4789963617157795E-2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45196</v>
      </c>
      <c r="Y880" s="202">
        <f>_xll.qlInterestRateIndexValueDate(IborIndex,X880,Trigger)</f>
        <v>45198</v>
      </c>
      <c r="Z880" s="203">
        <v>2.491039847177964E-2</v>
      </c>
      <c r="AA880" s="200">
        <v>2.4796415542072126E-2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45203</v>
      </c>
      <c r="Y881" s="202">
        <f>_xll.qlInterestRateIndexValueDate(IborIndex,X881,Trigger)</f>
        <v>45205</v>
      </c>
      <c r="Z881" s="203">
        <v>2.4920515601539146E-2</v>
      </c>
      <c r="AA881" s="200">
        <v>2.4802828731331772E-2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45210</v>
      </c>
      <c r="Y882" s="202">
        <f>_xll.qlInterestRateIndexValueDate(IborIndex,X882,Trigger)</f>
        <v>45212</v>
      </c>
      <c r="Z882" s="203">
        <v>2.4927989144117646E-2</v>
      </c>
      <c r="AA882" s="200">
        <v>2.4809203185176543E-2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45217</v>
      </c>
      <c r="Y883" s="202">
        <f>_xll.qlInterestRateIndexValueDate(IborIndex,X883,Trigger)</f>
        <v>45219</v>
      </c>
      <c r="Z883" s="203">
        <v>2.4932834227546913E-2</v>
      </c>
      <c r="AA883" s="200">
        <v>2.481553890336663E-2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45224</v>
      </c>
      <c r="Y884" s="202">
        <f>_xll.qlInterestRateIndexValueDate(IborIndex,X884,Trigger)</f>
        <v>45226</v>
      </c>
      <c r="Z884" s="203">
        <v>2.4938935077505754E-2</v>
      </c>
      <c r="AA884" s="200">
        <v>2.4821835886061905E-2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45231</v>
      </c>
      <c r="Y885" s="202">
        <f>_xll.qlInterestRateIndexValueDate(IborIndex,X885,Trigger)</f>
        <v>45233</v>
      </c>
      <c r="Z885" s="203">
        <v>2.4944996673425427E-2</v>
      </c>
      <c r="AA885" s="200">
        <v>2.4828094133182432E-2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45238</v>
      </c>
      <c r="Y886" s="202">
        <f>_xll.qlInterestRateIndexValueDate(IborIndex,X886,Trigger)</f>
        <v>45243</v>
      </c>
      <c r="Z886" s="203">
        <v>2.4951016507716368E-2</v>
      </c>
      <c r="AA886" s="200">
        <v>2.4835198984449747E-2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45245</v>
      </c>
      <c r="Y887" s="202">
        <f>_xll.qlInterestRateIndexValueDate(IborIndex,X887,Trigger)</f>
        <v>45247</v>
      </c>
      <c r="Z887" s="203">
        <v>2.4958274874435353E-2</v>
      </c>
      <c r="AA887" s="200">
        <v>2.4840494420859116E-2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45252</v>
      </c>
      <c r="Y888" s="202">
        <f>_xll.qlInterestRateIndexValueDate(IborIndex,X888,Trigger)</f>
        <v>45254</v>
      </c>
      <c r="Z888" s="203">
        <v>2.4962923347482967E-2</v>
      </c>
      <c r="AA888" s="200">
        <v>2.4846636461335336E-2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45259</v>
      </c>
      <c r="Y889" s="202">
        <f>_xll.qlInterestRateIndexValueDate(IborIndex,X889,Trigger)</f>
        <v>45261</v>
      </c>
      <c r="Z889" s="203">
        <v>2.4964979527323888E-2</v>
      </c>
      <c r="AA889" s="200">
        <v>2.4852739766316745E-2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45266</v>
      </c>
      <c r="Y890" s="202">
        <f>_xll.qlInterestRateIndexValueDate(IborIndex,X890,Trigger)</f>
        <v>45268</v>
      </c>
      <c r="Z890" s="203">
        <v>2.4970820265407839E-2</v>
      </c>
      <c r="AA890" s="200">
        <v>2.4858804335723406E-2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45273</v>
      </c>
      <c r="Y891" s="202">
        <f>_xll.qlInterestRateIndexValueDate(IborIndex,X891,Trigger)</f>
        <v>45275</v>
      </c>
      <c r="Z891" s="203">
        <v>2.4976607161792341E-2</v>
      </c>
      <c r="AA891" s="200">
        <v>2.4864830169555319E-2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45280</v>
      </c>
      <c r="Y892" s="202">
        <f>_xll.qlInterestRateIndexValueDate(IborIndex,X892,Trigger)</f>
        <v>45282</v>
      </c>
      <c r="Z892" s="203">
        <v>2.4982337476521441E-2</v>
      </c>
      <c r="AA892" s="200">
        <v>2.4872520752685645E-2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45287</v>
      </c>
      <c r="Y893" s="202">
        <f>_xll.qlInterestRateIndexValueDate(IborIndex,X893,Trigger)</f>
        <v>45289</v>
      </c>
      <c r="Z893" s="203">
        <v>2.4986749957389698E-2</v>
      </c>
      <c r="AA893" s="200">
        <v>2.4877612234641688E-2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45294</v>
      </c>
      <c r="Y894" s="202">
        <f>_xll.qlInterestRateIndexValueDate(IborIndex,X894,Trigger)</f>
        <v>45296</v>
      </c>
      <c r="Z894" s="203">
        <v>2.4993617401126357E-2</v>
      </c>
      <c r="AA894" s="200">
        <v>2.4882675257762443E-2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45301</v>
      </c>
      <c r="Y895" s="202">
        <f>_xll.qlInterestRateIndexValueDate(IborIndex,X895,Trigger)</f>
        <v>45303</v>
      </c>
      <c r="Z895" s="203">
        <v>2.4999161531027023E-2</v>
      </c>
      <c r="AA895" s="200">
        <v>2.4888546149295365E-2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45308</v>
      </c>
      <c r="Y896" s="202">
        <f>_xll.qlInterestRateIndexValueDate(IborIndex,X896,Trigger)</f>
        <v>45310</v>
      </c>
      <c r="Z896" s="203">
        <v>2.5004638119322849E-2</v>
      </c>
      <c r="AA896" s="200">
        <v>2.4894378305333476E-2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45315</v>
      </c>
      <c r="Y897" s="202">
        <f>_xll.qlInterestRateIndexValueDate(IborIndex,X897,Trigger)</f>
        <v>45317</v>
      </c>
      <c r="Z897" s="203">
        <v>2.5010044425994641E-2</v>
      </c>
      <c r="AA897" s="200">
        <v>2.4900171605493071E-2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45322</v>
      </c>
      <c r="Y898" s="202">
        <f>_xll.qlInterestRateIndexValueDate(IborIndex,X898,Trigger)</f>
        <v>45324</v>
      </c>
      <c r="Z898" s="203">
        <v>2.5014143491724816E-2</v>
      </c>
      <c r="AA898" s="200">
        <v>2.4905906064480732E-2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45329</v>
      </c>
      <c r="Y899" s="202">
        <f>_xll.qlInterestRateIndexValueDate(IborIndex,X899,Trigger)</f>
        <v>45331</v>
      </c>
      <c r="Z899" s="203">
        <v>2.5019407273418892E-2</v>
      </c>
      <c r="AA899" s="200">
        <v>2.4911566392606943E-2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45336</v>
      </c>
      <c r="Y900" s="202">
        <f>_xll.qlInterestRateIndexValueDate(IborIndex,X900,Trigger)</f>
        <v>45338</v>
      </c>
      <c r="Z900" s="203">
        <v>2.5024596472415617E-2</v>
      </c>
      <c r="AA900" s="200">
        <v>2.4917152589871705E-2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45343</v>
      </c>
      <c r="Y901" s="202">
        <f>_xll.qlInterestRateIndexValueDate(IborIndex,X901,Trigger)</f>
        <v>45345</v>
      </c>
      <c r="Z901" s="203">
        <v>2.5029711088425444E-2</v>
      </c>
      <c r="AA901" s="200">
        <v>2.4922664656275018E-2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45350</v>
      </c>
      <c r="Y902" s="202">
        <f>_xll.qlInterestRateIndexValueDate(IborIndex,X902,Trigger)</f>
        <v>45352</v>
      </c>
      <c r="Z902" s="203">
        <v>2.5039606094114646E-2</v>
      </c>
      <c r="AA902" s="200">
        <v>2.4928102591736945E-2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45357</v>
      </c>
      <c r="Y903" s="202">
        <f>_xll.qlInterestRateIndexValueDate(IborIndex,X903,Trigger)</f>
        <v>45359</v>
      </c>
      <c r="Z903" s="203">
        <v>2.5044551605003965E-2</v>
      </c>
      <c r="AA903" s="200">
        <v>2.4933466396337423E-2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45364</v>
      </c>
      <c r="Y904" s="202">
        <f>_xll.qlInterestRateIndexValueDate(IborIndex,X904,Trigger)</f>
        <v>45366</v>
      </c>
      <c r="Z904" s="203">
        <v>2.5049422511565462E-2</v>
      </c>
      <c r="AA904" s="200">
        <v>2.4938756069996515E-2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45371</v>
      </c>
      <c r="Y905" s="202">
        <f>_xll.qlInterestRateIndexValueDate(IborIndex,X905,Trigger)</f>
        <v>45373</v>
      </c>
      <c r="Z905" s="203">
        <v>2.5054218813515113E-2</v>
      </c>
      <c r="AA905" s="200">
        <v>2.4943971612794158E-2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45378</v>
      </c>
      <c r="Y906" s="202">
        <f>_xll.qlInterestRateIndexValueDate(IborIndex,X906,Trigger)</f>
        <v>45384</v>
      </c>
      <c r="Z906" s="203">
        <v>2.5058033016730985E-2</v>
      </c>
      <c r="AA906" s="200">
        <v>2.4950568383683702E-2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45385</v>
      </c>
      <c r="Y907" s="202">
        <f>_xll.qlInterestRateIndexValueDate(IborIndex,X907,Trigger)</f>
        <v>45387</v>
      </c>
      <c r="Z907" s="203">
        <v>2.5060021929661599E-2</v>
      </c>
      <c r="AA907" s="200">
        <v>2.495418030572516E-2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45392</v>
      </c>
      <c r="Y908" s="202">
        <f>_xll.qlInterestRateIndexValueDate(IborIndex,X908,Trigger)</f>
        <v>45394</v>
      </c>
      <c r="Z908" s="203">
        <v>2.5064609447874819E-2</v>
      </c>
      <c r="AA908" s="200">
        <v>2.4959173455858519E-2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45399</v>
      </c>
      <c r="Y909" s="202">
        <f>_xll.qlInterestRateIndexValueDate(IborIndex,X909,Trigger)</f>
        <v>45401</v>
      </c>
      <c r="Z909" s="203">
        <v>2.5069122375805077E-2</v>
      </c>
      <c r="AA909" s="200">
        <v>2.4964092475050492E-2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45406</v>
      </c>
      <c r="Y910" s="202">
        <f>_xll.qlInterestRateIndexValueDate(IborIndex,X910,Trigger)</f>
        <v>45408</v>
      </c>
      <c r="Z910" s="203">
        <v>2.5073560713199387E-2</v>
      </c>
      <c r="AA910" s="200">
        <v>2.496893736330108E-2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45413</v>
      </c>
      <c r="Y911" s="202">
        <f>_xll.qlInterestRateIndexValueDate(IborIndex,X911,Trigger)</f>
        <v>45415</v>
      </c>
      <c r="Z911" s="203">
        <v>2.5081429913086158E-2</v>
      </c>
      <c r="AA911" s="200">
        <v>2.4974383605878003E-2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45420</v>
      </c>
      <c r="Y912" s="202">
        <f>_xll.qlInterestRateIndexValueDate(IborIndex,X912,Trigger)</f>
        <v>45422</v>
      </c>
      <c r="Z912" s="203">
        <v>2.5085703975203152E-2</v>
      </c>
      <c r="AA912" s="200">
        <v>2.4978404747058036E-2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45427</v>
      </c>
      <c r="Y913" s="202">
        <f>_xll.qlInterestRateIndexValueDate(IborIndex,X913,Trigger)</f>
        <v>45429</v>
      </c>
      <c r="Z913" s="203">
        <v>2.5089903430601045E-2</v>
      </c>
      <c r="AA913" s="200">
        <v>2.4983027242564404E-2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45434</v>
      </c>
      <c r="Y914" s="202">
        <f>_xll.qlInterestRateIndexValueDate(IborIndex,X914,Trigger)</f>
        <v>45436</v>
      </c>
      <c r="Z914" s="203">
        <v>2.509518079831885E-2</v>
      </c>
      <c r="AA914" s="200">
        <v>2.4988219322050753E-2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45441</v>
      </c>
      <c r="Y915" s="202">
        <f>_xll.qlInterestRateIndexValueDate(IborIndex,X915,Trigger)</f>
        <v>45443</v>
      </c>
      <c r="Z915" s="203">
        <v>2.5094633533541709E-2</v>
      </c>
      <c r="AA915" s="200">
        <v>2.4992049840832919E-2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45448</v>
      </c>
      <c r="Y916" s="202">
        <f>_xll.qlInterestRateIndexValueDate(IborIndex,X916,Trigger)</f>
        <v>45450</v>
      </c>
      <c r="Z916" s="203">
        <v>2.510205415407183E-2</v>
      </c>
      <c r="AA916" s="200">
        <v>2.4996449943515131E-2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45455</v>
      </c>
      <c r="Y917" s="202">
        <f>_xll.qlInterestRateIndexValueDate(IborIndex,X917,Trigger)</f>
        <v>45457</v>
      </c>
      <c r="Z917" s="203">
        <v>2.5105955180203744E-2</v>
      </c>
      <c r="AA917" s="200">
        <v>2.5000775915335893E-2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45462</v>
      </c>
      <c r="Y918" s="202">
        <f>_xll.qlInterestRateIndexValueDate(IborIndex,X918,Trigger)</f>
        <v>45464</v>
      </c>
      <c r="Z918" s="203">
        <v>2.5109781598442175E-2</v>
      </c>
      <c r="AA918" s="200">
        <v>2.500502775621527E-2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45469</v>
      </c>
      <c r="Y919" s="202">
        <f>_xll.qlInterestRateIndexValueDate(IborIndex,X919,Trigger)</f>
        <v>45471</v>
      </c>
      <c r="Z919" s="203">
        <v>2.5113533408564325E-2</v>
      </c>
      <c r="AA919" s="200">
        <v>2.5009205466153261E-2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45476</v>
      </c>
      <c r="Y920" s="202">
        <f>_xll.qlInterestRateIndexValueDate(IborIndex,X920,Trigger)</f>
        <v>45478</v>
      </c>
      <c r="Z920" s="203">
        <v>2.5117210610351649E-2</v>
      </c>
      <c r="AA920" s="200">
        <v>2.5013309045149867E-2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45483</v>
      </c>
      <c r="Y921" s="202">
        <f>_xll.qlInterestRateIndexValueDate(IborIndex,X921,Trigger)</f>
        <v>45485</v>
      </c>
      <c r="Z921" s="203">
        <v>2.512193027824005E-2</v>
      </c>
      <c r="AA921" s="200">
        <v>2.5017338493125152E-2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45490</v>
      </c>
      <c r="Y922" s="202">
        <f>_xll.qlInterestRateIndexValueDate(IborIndex,X922,Trigger)</f>
        <v>45492</v>
      </c>
      <c r="Z922" s="203">
        <v>2.5124341188078225E-2</v>
      </c>
      <c r="AA922" s="200">
        <v>2.5021293810318923E-2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45497</v>
      </c>
      <c r="Y923" s="202">
        <f>_xll.qlInterestRateIndexValueDate(IborIndex,X923,Trigger)</f>
        <v>45499</v>
      </c>
      <c r="Z923" s="203">
        <v>2.5127794563601639E-2</v>
      </c>
      <c r="AA923" s="200">
        <v>2.5025174996411437E-2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45504</v>
      </c>
      <c r="Y924" s="202">
        <f>_xll.qlInterestRateIndexValueDate(IborIndex,X924,Trigger)</f>
        <v>45506</v>
      </c>
      <c r="Z924" s="203">
        <v>2.5131173329962803E-2</v>
      </c>
      <c r="AA924" s="200">
        <v>2.5028982051562565E-2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45511</v>
      </c>
      <c r="Y925" s="202">
        <f>_xll.qlInterestRateIndexValueDate(IborIndex,X925,Trigger)</f>
        <v>45513</v>
      </c>
      <c r="Z925" s="203">
        <v>2.5135574193862621E-2</v>
      </c>
      <c r="AA925" s="200">
        <v>2.5032714975852244E-2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45518</v>
      </c>
      <c r="Y926" s="202">
        <f>_xll.qlInterestRateIndexValueDate(IborIndex,X926,Trigger)</f>
        <v>45520</v>
      </c>
      <c r="Z926" s="203">
        <v>2.5137707034420271E-2</v>
      </c>
      <c r="AA926" s="200">
        <v>2.5036373769200537E-2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45525</v>
      </c>
      <c r="Y927" s="202">
        <f>_xll.qlInterestRateIndexValueDate(IborIndex,X927,Trigger)</f>
        <v>45527</v>
      </c>
      <c r="Z927" s="203">
        <v>2.5140861972136452E-2</v>
      </c>
      <c r="AA927" s="200">
        <v>2.5040464474574975E-2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45532</v>
      </c>
      <c r="Y928" s="202">
        <f>_xll.qlInterestRateIndexValueDate(IborIndex,X928,Trigger)</f>
        <v>45534</v>
      </c>
      <c r="Z928" s="203">
        <v>2.5140695540501145E-2</v>
      </c>
      <c r="AA928" s="200">
        <v>2.504346896283316E-2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45539</v>
      </c>
      <c r="Y929" s="202">
        <f>_xll.qlInterestRateIndexValueDate(IborIndex,X929,Trigger)</f>
        <v>45541</v>
      </c>
      <c r="Z929" s="203">
        <v>2.5143716615084612E-2</v>
      </c>
      <c r="AA929" s="200">
        <v>2.5046905363277361E-2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45546</v>
      </c>
      <c r="Y930" s="202">
        <f>_xll.qlInterestRateIndexValueDate(IborIndex,X930,Trigger)</f>
        <v>45548</v>
      </c>
      <c r="Z930" s="203">
        <v>2.514666309493856E-2</v>
      </c>
      <c r="AA930" s="200">
        <v>2.505026763270024E-2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45553</v>
      </c>
      <c r="Y931" s="202">
        <f>_xll.qlInterestRateIndexValueDate(IborIndex,X931,Trigger)</f>
        <v>45555</v>
      </c>
      <c r="Z931" s="203">
        <v>2.5149534979897855E-2</v>
      </c>
      <c r="AA931" s="200">
        <v>2.5053555771181735E-2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45560</v>
      </c>
      <c r="Y932" s="202">
        <f>_xll.qlInterestRateIndexValueDate(IborIndex,X932,Trigger)</f>
        <v>45562</v>
      </c>
      <c r="Z932" s="203">
        <v>2.5152332269800865E-2</v>
      </c>
      <c r="AA932" s="200">
        <v>2.5056769778721844E-2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45567</v>
      </c>
      <c r="Y933" s="202">
        <f>_xll.qlInterestRateIndexValueDate(IborIndex,X933,Trigger)</f>
        <v>45569</v>
      </c>
      <c r="Z933" s="203">
        <v>2.5158224783992808E-2</v>
      </c>
      <c r="AA933" s="200">
        <v>2.5059909655240631E-2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45574</v>
      </c>
      <c r="Y934" s="202">
        <f>_xll.qlInterestRateIndexValueDate(IborIndex,X934,Trigger)</f>
        <v>45576</v>
      </c>
      <c r="Z934" s="203">
        <v>2.5160857448661204E-2</v>
      </c>
      <c r="AA934" s="200">
        <v>2.5062975400818033E-2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45581</v>
      </c>
      <c r="Y935" s="202">
        <f>_xll.qlInterestRateIndexValueDate(IborIndex,X935,Trigger)</f>
        <v>45583</v>
      </c>
      <c r="Z935" s="203">
        <v>2.516446092721069E-2</v>
      </c>
      <c r="AA935" s="200">
        <v>2.5065967015374113E-2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45588</v>
      </c>
      <c r="Y936" s="202">
        <f>_xll.qlInterestRateIndexValueDate(IborIndex,X936,Trigger)</f>
        <v>45590</v>
      </c>
      <c r="Z936" s="203">
        <v>2.516589894460362E-2</v>
      </c>
      <c r="AA936" s="200">
        <v>2.5068884498988808E-2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45595</v>
      </c>
      <c r="Y937" s="202">
        <f>_xll.qlInterestRateIndexValueDate(IborIndex,X937,Trigger)</f>
        <v>45597</v>
      </c>
      <c r="Z937" s="203">
        <v>2.5168307984451226E-2</v>
      </c>
      <c r="AA937" s="200">
        <v>2.5071727851662118E-2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45602</v>
      </c>
      <c r="Y938" s="202">
        <f>_xll.qlInterestRateIndexValueDate(IborIndex,X938,Trigger)</f>
        <v>45604</v>
      </c>
      <c r="Z938" s="203">
        <v>2.5170646338810731E-2</v>
      </c>
      <c r="AA938" s="200">
        <v>2.5074497073314106E-2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45609</v>
      </c>
      <c r="Y939" s="202">
        <f>_xll.qlInterestRateIndexValueDate(IborIndex,X939,Trigger)</f>
        <v>45611</v>
      </c>
      <c r="Z939" s="203">
        <v>2.5173948520274717E-2</v>
      </c>
      <c r="AA939" s="200">
        <v>2.5077192164024709E-2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45616</v>
      </c>
      <c r="Y940" s="202">
        <f>_xll.qlInterestRateIndexValueDate(IborIndex,X940,Trigger)</f>
        <v>45618</v>
      </c>
      <c r="Z940" s="203">
        <v>2.5175137591629742E-2</v>
      </c>
      <c r="AA940" s="200">
        <v>2.507981312371399E-2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45623</v>
      </c>
      <c r="Y941" s="202">
        <f>_xll.qlInterestRateIndexValueDate(IborIndex,X941,Trigger)</f>
        <v>45625</v>
      </c>
      <c r="Z941" s="203">
        <v>2.5174233278002573E-2</v>
      </c>
      <c r="AA941" s="200">
        <v>2.508235995238195E-2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45630</v>
      </c>
      <c r="Y942" s="202">
        <f>_xll.qlInterestRateIndexValueDate(IborIndex,X942,Trigger)</f>
        <v>45632</v>
      </c>
      <c r="Z942" s="203">
        <v>2.5175337498376749E-2</v>
      </c>
      <c r="AA942" s="200">
        <v>2.5084832650108524E-2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45637</v>
      </c>
      <c r="Y943" s="202">
        <f>_xll.qlInterestRateIndexValueDate(IborIndex,X943,Trigger)</f>
        <v>45639</v>
      </c>
      <c r="Z943" s="203">
        <v>2.5177425785946284E-2</v>
      </c>
      <c r="AA943" s="200">
        <v>2.5087231216813777E-2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45644</v>
      </c>
      <c r="Y944" s="202">
        <f>_xll.qlInterestRateIndexValueDate(IborIndex,X944,Trigger)</f>
        <v>45646</v>
      </c>
      <c r="Z944" s="203">
        <v>2.5179481559645112E-2</v>
      </c>
      <c r="AA944" s="200">
        <v>2.5091629816724748E-2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45653</v>
      </c>
      <c r="Y945" s="202">
        <f>_xll.qlInterestRateIndexValueDate(IborIndex,X945,Trigger)</f>
        <v>45657</v>
      </c>
      <c r="Z945" s="203">
        <v>2.5182663237579561E-2</v>
      </c>
      <c r="AA945" s="200">
        <v>2.5094807158740906E-2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45660</v>
      </c>
      <c r="Y946" s="202">
        <f>_xll.qlInterestRateIndexValueDate(IborIndex,X946,Trigger)</f>
        <v>45664</v>
      </c>
      <c r="Z946" s="203">
        <v>2.5184667606173328E-2</v>
      </c>
      <c r="AA946" s="200">
        <v>2.5094590279213236E-2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45667</v>
      </c>
      <c r="Y947" s="202">
        <f>_xll.qlInterestRateIndexValueDate(IborIndex,X947,Trigger)</f>
        <v>45671</v>
      </c>
      <c r="Z947" s="203">
        <v>2.5186664506928302E-2</v>
      </c>
      <c r="AA947" s="200">
        <v>2.5096671141655591E-2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45674</v>
      </c>
      <c r="Y948" s="202">
        <f>_xll.qlInterestRateIndexValueDate(IborIndex,X948,Trigger)</f>
        <v>45678</v>
      </c>
      <c r="Z948" s="203">
        <v>2.518968514983649E-2</v>
      </c>
      <c r="AA948" s="200">
        <v>2.5098677873156561E-2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45681</v>
      </c>
      <c r="Y949" s="202">
        <f>_xll.qlInterestRateIndexValueDate(IborIndex,X949,Trigger)</f>
        <v>45685</v>
      </c>
      <c r="Z949" s="203">
        <v>2.5190663956620618E-2</v>
      </c>
      <c r="AA949" s="200">
        <v>2.5100610778432397E-2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45688</v>
      </c>
      <c r="Y950" s="202">
        <f>_xll.qlInterestRateIndexValueDate(IborIndex,X950,Trigger)</f>
        <v>45692</v>
      </c>
      <c r="Z950" s="203">
        <v>2.5193706780732045E-2</v>
      </c>
      <c r="AA950" s="200">
        <v>2.510252045277106E-2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45695</v>
      </c>
      <c r="Y951" s="202">
        <f>_xll.qlInterestRateIndexValueDate(IborIndex,X951,Trigger)</f>
        <v>45699</v>
      </c>
      <c r="Z951" s="203">
        <v>2.5194711801774794E-2</v>
      </c>
      <c r="AA951" s="200">
        <v>2.5104445604169356E-2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45702</v>
      </c>
      <c r="Y952" s="202">
        <f>_xll.qlInterestRateIndexValueDate(IborIndex,X952,Trigger)</f>
        <v>45706</v>
      </c>
      <c r="Z952" s="203">
        <v>2.519675907277108E-2</v>
      </c>
      <c r="AA952" s="200">
        <v>2.5106386232947031E-2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45709</v>
      </c>
      <c r="Y953" s="202">
        <f>_xll.qlInterestRateIndexValueDate(IborIndex,X953,Trigger)</f>
        <v>45713</v>
      </c>
      <c r="Z953" s="203">
        <v>2.5199852359945919E-2</v>
      </c>
      <c r="AA953" s="200">
        <v>2.5108342339104084E-2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45716</v>
      </c>
      <c r="Y954" s="202">
        <f>_xll.qlInterestRateIndexValueDate(IborIndex,X954,Trigger)</f>
        <v>45720</v>
      </c>
      <c r="Z954" s="203">
        <v>2.5202963905154356E-2</v>
      </c>
      <c r="AA954" s="200">
        <v>2.5110313922480643E-2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45723</v>
      </c>
      <c r="Y955" s="202">
        <f>_xll.qlInterestRateIndexValueDate(IborIndex,X955,Trigger)</f>
        <v>45727</v>
      </c>
      <c r="Z955" s="203">
        <v>2.5205060417988132E-2</v>
      </c>
      <c r="AA955" s="200">
        <v>2.5112300983076707E-2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45730</v>
      </c>
      <c r="Y956" s="202">
        <f>_xll.qlInterestRateIndexValueDate(IborIndex,X956,Trigger)</f>
        <v>45734</v>
      </c>
      <c r="Z956" s="203">
        <v>2.5207172507828543E-2</v>
      </c>
      <c r="AA956" s="200">
        <v>2.511430352105215E-2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45737</v>
      </c>
      <c r="Y957" s="202">
        <f>_xll.qlInterestRateIndexValueDate(IborIndex,X957,Trigger)</f>
        <v>45741</v>
      </c>
      <c r="Z957" s="203">
        <v>2.5209300174699929E-2</v>
      </c>
      <c r="AA957" s="200">
        <v>2.5116321536406971E-2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45744</v>
      </c>
      <c r="Y958" s="202">
        <f>_xll.qlInterestRateIndexValueDate(IborIndex,X958,Trigger)</f>
        <v>45748</v>
      </c>
      <c r="Z958" s="203">
        <v>2.5210406509422929E-2</v>
      </c>
      <c r="AA958" s="200">
        <v>2.5118355028821426E-2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45751</v>
      </c>
      <c r="Y959" s="202">
        <f>_xll.qlInterestRateIndexValueDate(IborIndex,X959,Trigger)</f>
        <v>45755</v>
      </c>
      <c r="Z959" s="203">
        <v>2.5212564067158039E-2</v>
      </c>
      <c r="AA959" s="200">
        <v>2.5120403998615259E-2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45758</v>
      </c>
      <c r="Y960" s="202">
        <f>_xll.qlInterestRateIndexValueDate(IborIndex,X960,Trigger)</f>
        <v>45762</v>
      </c>
      <c r="Z960" s="203">
        <v>2.5214737200899565E-2</v>
      </c>
      <c r="AA960" s="200">
        <v>2.5126568181171649E-2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45769</v>
      </c>
      <c r="Y961" s="202">
        <f>_xll.qlInterestRateIndexValueDate(IborIndex,X961,Trigger)</f>
        <v>45771</v>
      </c>
      <c r="Z961" s="203">
        <v>2.5217554117227016E-2</v>
      </c>
      <c r="AA961" s="200">
        <v>2.5125743847338455E-2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45776</v>
      </c>
      <c r="Y962" s="202">
        <f>_xll.qlInterestRateIndexValueDate(IborIndex,X962,Trigger)</f>
        <v>45778</v>
      </c>
      <c r="Z962" s="203">
        <v>2.5220805184363149E-2</v>
      </c>
      <c r="AA962" s="200">
        <v>2.5128149963125068E-2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45783</v>
      </c>
      <c r="Y963" s="202">
        <f>_xll.qlInterestRateIndexValueDate(IborIndex,X963,Trigger)</f>
        <v>45785</v>
      </c>
      <c r="Z963" s="203">
        <v>2.5223030764587609E-2</v>
      </c>
      <c r="AA963" s="200">
        <v>2.5129967816193144E-2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45790</v>
      </c>
      <c r="Y964" s="202">
        <f>_xll.qlInterestRateIndexValueDate(IborIndex,X964,Trigger)</f>
        <v>45792</v>
      </c>
      <c r="Z964" s="203">
        <v>2.5225271922032454E-2</v>
      </c>
      <c r="AA964" s="200">
        <v>2.5132103016689555E-2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45797</v>
      </c>
      <c r="Y965" s="202">
        <f>_xll.qlInterestRateIndexValueDate(IborIndex,X965,Trigger)</f>
        <v>45799</v>
      </c>
      <c r="Z965" s="203">
        <v>2.5227528656722877E-2</v>
      </c>
      <c r="AA965" s="200">
        <v>2.5134562197468568E-2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45804</v>
      </c>
      <c r="Y966" s="202">
        <f>_xll.qlInterestRateIndexValueDate(IborIndex,X966,Trigger)</f>
        <v>45806</v>
      </c>
      <c r="Z966" s="203">
        <v>2.5229800968685816E-2</v>
      </c>
      <c r="AA966" s="200">
        <v>2.5136419849340896E-2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45811</v>
      </c>
      <c r="Y967" s="202">
        <f>_xll.qlInterestRateIndexValueDate(IborIndex,X967,Trigger)</f>
        <v>45813</v>
      </c>
      <c r="Z967" s="203">
        <v>2.5232088857949947E-2</v>
      </c>
      <c r="AA967" s="200">
        <v>2.5138601481575762E-2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45818</v>
      </c>
      <c r="Y968" s="202">
        <f>_xll.qlInterestRateIndexValueDate(IborIndex,X968,Trigger)</f>
        <v>45820</v>
      </c>
      <c r="Z968" s="203">
        <v>2.5234392324539591E-2</v>
      </c>
      <c r="AA968" s="200">
        <v>2.5140798591190006E-2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45825</v>
      </c>
      <c r="Y969" s="202">
        <f>_xll.qlInterestRateIndexValueDate(IborIndex,X969,Trigger)</f>
        <v>45827</v>
      </c>
      <c r="Z969" s="203">
        <v>2.5236711368483423E-2</v>
      </c>
      <c r="AA969" s="200">
        <v>2.5143011178023755E-2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45832</v>
      </c>
      <c r="Y970" s="202">
        <f>_xll.qlInterestRateIndexValueDate(IborIndex,X970,Trigger)</f>
        <v>45834</v>
      </c>
      <c r="Z970" s="203">
        <v>2.523904598980925E-2</v>
      </c>
      <c r="AA970" s="200">
        <v>2.5145239242156947E-2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45839</v>
      </c>
      <c r="Y971" s="202">
        <f>_xll.qlInterestRateIndexValueDate(IborIndex,X971,Trigger)</f>
        <v>45841</v>
      </c>
      <c r="Z971" s="203">
        <v>2.5241396188544873E-2</v>
      </c>
      <c r="AA971" s="200">
        <v>2.5147482783589581E-2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45846</v>
      </c>
      <c r="Y972" s="202">
        <f>_xll.qlInterestRateIndexValueDate(IborIndex,X972,Trigger)</f>
        <v>45848</v>
      </c>
      <c r="Z972" s="203">
        <v>2.524376196471723E-2</v>
      </c>
      <c r="AA972" s="200">
        <v>2.5149741802321657E-2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45853</v>
      </c>
      <c r="Y973" s="202">
        <f>_xll.qlInterestRateIndexValueDate(IborIndex,X973,Trigger)</f>
        <v>45855</v>
      </c>
      <c r="Z973" s="203">
        <v>2.5246143318355858E-2</v>
      </c>
      <c r="AA973" s="200">
        <v>2.5152016298273239E-2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45860</v>
      </c>
      <c r="Y974" s="202">
        <f>_xll.qlInterestRateIndexValueDate(IborIndex,X974,Trigger)</f>
        <v>45862</v>
      </c>
      <c r="Z974" s="203">
        <v>2.5248540249487694E-2</v>
      </c>
      <c r="AA974" s="200">
        <v>2.5154306271604199E-2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45867</v>
      </c>
      <c r="Y975" s="202">
        <f>_xll.qlInterestRateIndexValueDate(IborIndex,X975,Trigger)</f>
        <v>45869</v>
      </c>
      <c r="Z975" s="203">
        <v>2.5250952758141411E-2</v>
      </c>
      <c r="AA975" s="200">
        <v>2.5156611722154665E-2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45874</v>
      </c>
      <c r="Y976" s="202">
        <f>_xll.qlInterestRateIndexValueDate(IborIndex,X976,Trigger)</f>
        <v>45876</v>
      </c>
      <c r="Z976" s="203">
        <v>2.5253380844346553E-2</v>
      </c>
      <c r="AA976" s="200">
        <v>2.5158932650084509E-2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45881</v>
      </c>
      <c r="Y977" s="202">
        <f>_xll.qlInterestRateIndexValueDate(IborIndex,X977,Trigger)</f>
        <v>45883</v>
      </c>
      <c r="Z977" s="203">
        <v>2.5255824508130919E-2</v>
      </c>
      <c r="AA977" s="200">
        <v>2.5161269055313795E-2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45888</v>
      </c>
      <c r="Y978" s="202">
        <f>_xll.qlInterestRateIndexValueDate(IborIndex,X978,Trigger)</f>
        <v>45890</v>
      </c>
      <c r="Z978" s="203">
        <v>2.5258283749524057E-2</v>
      </c>
      <c r="AA978" s="200">
        <v>2.5163958184393209E-2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45895</v>
      </c>
      <c r="Y979" s="202">
        <f>_xll.qlInterestRateIndexValueDate(IborIndex,X979,Trigger)</f>
        <v>45897</v>
      </c>
      <c r="Z979" s="203">
        <v>2.5260758568553764E-2</v>
      </c>
      <c r="AA979" s="200">
        <v>2.5165988297510822E-2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45902</v>
      </c>
      <c r="Y980" s="202">
        <f>_xll.qlInterestRateIndexValueDate(IborIndex,X980,Trigger)</f>
        <v>45904</v>
      </c>
      <c r="Z980" s="203">
        <v>2.5262183641149648E-2</v>
      </c>
      <c r="AA980" s="200">
        <v>2.5168371134558498E-2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45909</v>
      </c>
      <c r="Y981" s="202">
        <f>_xll.qlInterestRateIndexValueDate(IborIndex,X981,Trigger)</f>
        <v>45911</v>
      </c>
      <c r="Z981" s="203">
        <v>2.5264688327632481E-2</v>
      </c>
      <c r="AA981" s="200">
        <v>2.5170769448905617E-2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45916</v>
      </c>
      <c r="Y982" s="202">
        <f>_xll.qlInterestRateIndexValueDate(IborIndex,X982,Trigger)</f>
        <v>45918</v>
      </c>
      <c r="Z982" s="203">
        <v>2.5267208590732237E-2</v>
      </c>
      <c r="AA982" s="200">
        <v>2.5173183240472241E-2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45923</v>
      </c>
      <c r="Y983" s="202">
        <f>_xll.qlInterestRateIndexValueDate(IborIndex,X983,Trigger)</f>
        <v>45925</v>
      </c>
      <c r="Z983" s="203">
        <v>2.5274022233586615E-2</v>
      </c>
      <c r="AA983" s="200">
        <v>2.5175612509418244E-2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45930</v>
      </c>
      <c r="Y984" s="202">
        <f>_xll.qlInterestRateIndexValueDate(IborIndex,X984,Trigger)</f>
        <v>45932</v>
      </c>
      <c r="Z984" s="203">
        <v>2.5273366329306556E-2</v>
      </c>
      <c r="AA984" s="200">
        <v>2.5178057255743624E-2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45937</v>
      </c>
      <c r="Y985" s="202">
        <f>_xll.qlInterestRateIndexValueDate(IborIndex,X985,Trigger)</f>
        <v>45939</v>
      </c>
      <c r="Z985" s="203">
        <v>2.5275934614786496E-2</v>
      </c>
      <c r="AA985" s="200">
        <v>2.5180517479208575E-2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45944</v>
      </c>
      <c r="Y986" s="202">
        <f>_xll.qlInterestRateIndexValueDate(IborIndex,X986,Trigger)</f>
        <v>45946</v>
      </c>
      <c r="Z986" s="203">
        <v>2.5278518478114142E-2</v>
      </c>
      <c r="AA986" s="200">
        <v>2.5182993180052904E-2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45951</v>
      </c>
      <c r="Y987" s="202">
        <f>_xll.qlInterestRateIndexValueDate(IborIndex,X987,Trigger)</f>
        <v>45953</v>
      </c>
      <c r="Z987" s="203">
        <v>2.528111791931904E-2</v>
      </c>
      <c r="AA987" s="200">
        <v>2.5185484358116739E-2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45958</v>
      </c>
      <c r="Y988" s="202">
        <f>_xll.qlInterestRateIndexValueDate(IborIndex,X988,Trigger)</f>
        <v>45960</v>
      </c>
      <c r="Z988" s="203">
        <v>2.5283732938432463E-2</v>
      </c>
      <c r="AA988" s="200">
        <v>2.5187991013559952E-2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45965</v>
      </c>
      <c r="Y989" s="202">
        <f>_xll.qlInterestRateIndexValueDate(IborIndex,X989,Trigger)</f>
        <v>45967</v>
      </c>
      <c r="Z989" s="203">
        <v>2.5286363535485693E-2</v>
      </c>
      <c r="AA989" s="200">
        <v>2.5190513146222671E-2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45972</v>
      </c>
      <c r="Y990" s="202">
        <f>_xll.qlInterestRateIndexValueDate(IborIndex,X990,Trigger)</f>
        <v>45974</v>
      </c>
      <c r="Z990" s="203">
        <v>2.528900971051088E-2</v>
      </c>
      <c r="AA990" s="200">
        <v>2.5193050756264768E-2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45979</v>
      </c>
      <c r="Y991" s="202">
        <f>_xll.qlInterestRateIndexValueDate(IborIndex,X991,Trigger)</f>
        <v>45981</v>
      </c>
      <c r="Z991" s="203">
        <v>2.5291671463536697E-2</v>
      </c>
      <c r="AA991" s="200">
        <v>2.5195603843526371E-2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45986</v>
      </c>
      <c r="Y992" s="202">
        <f>_xll.qlInterestRateIndexValueDate(IborIndex,X992,Trigger)</f>
        <v>45989</v>
      </c>
      <c r="Z992" s="203">
        <v>2.5293651503984688E-2</v>
      </c>
      <c r="AA992" s="200">
        <v>2.5198540609316922E-2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45993</v>
      </c>
      <c r="Y993" s="202">
        <f>_xll.qlInterestRateIndexValueDate(IborIndex,X993,Trigger)</f>
        <v>45995</v>
      </c>
      <c r="Z993" s="203">
        <v>2.5294877571310437E-2</v>
      </c>
      <c r="AA993" s="200">
        <v>2.5200756450027839E-2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46000</v>
      </c>
      <c r="Y994" s="202">
        <f>_xll.qlInterestRateIndexValueDate(IborIndex,X994,Trigger)</f>
        <v>46002</v>
      </c>
      <c r="Z994" s="203">
        <v>2.5297583453987471E-2</v>
      </c>
      <c r="AA994" s="200">
        <v>2.5203355969187768E-2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46007</v>
      </c>
      <c r="Y995" s="202">
        <f>_xll.qlInterestRateIndexValueDate(IborIndex,X995,Trigger)</f>
        <v>46009</v>
      </c>
      <c r="Z995" s="203">
        <v>2.5300304912565963E-2</v>
      </c>
      <c r="AA995" s="200">
        <v>2.5205970965567204E-2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46014</v>
      </c>
      <c r="Y996" s="202">
        <f>_xll.qlInterestRateIndexValueDate(IborIndex,X996,Trigger)</f>
        <v>46020</v>
      </c>
      <c r="Z996" s="203">
        <v>2.5305699594707572E-2</v>
      </c>
      <c r="AA996" s="200">
        <v>2.5210427352946319E-2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46021</v>
      </c>
      <c r="Y997" s="202">
        <f>_xll.qlInterestRateIndexValueDate(IborIndex,X997,Trigger)</f>
        <v>46024</v>
      </c>
      <c r="Z997" s="203">
        <v>2.5306189059134176E-2</v>
      </c>
      <c r="AA997" s="200">
        <v>2.5211626646930441E-2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46028</v>
      </c>
      <c r="Y998" s="202">
        <f>_xll.qlInterestRateIndexValueDate(IborIndex,X998,Trigger)</f>
        <v>46030</v>
      </c>
      <c r="Z998" s="203">
        <v>2.5308562744032592E-2</v>
      </c>
      <c r="AA998" s="200">
        <v>2.5213908818901842E-2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46035</v>
      </c>
      <c r="Y999" s="202">
        <f>_xll.qlInterestRateIndexValueDate(IborIndex,X999,Trigger)</f>
        <v>46037</v>
      </c>
      <c r="Z999" s="203">
        <v>2.5311346506536658E-2</v>
      </c>
      <c r="AA999" s="200">
        <v>2.5216585724558982E-2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46042</v>
      </c>
      <c r="Y1000" s="202">
        <f>_xll.qlInterestRateIndexValueDate(IborIndex,X1000,Trigger)</f>
        <v>46044</v>
      </c>
      <c r="Z1000" s="203">
        <v>2.531414584510383E-2</v>
      </c>
      <c r="AA1000" s="200">
        <v>2.5219278107515564E-2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46049</v>
      </c>
      <c r="Y1001" s="202">
        <f>_xll.qlInterestRateIndexValueDate(IborIndex,X1001,Trigger)</f>
        <v>46051</v>
      </c>
      <c r="Z1001" s="203">
        <v>2.5316960759764306E-2</v>
      </c>
      <c r="AA1001" s="200">
        <v>2.5221985967771587E-2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46056</v>
      </c>
      <c r="Y1002" s="202">
        <f>_xll.qlInterestRateIndexValueDate(IborIndex,X1002,Trigger)</f>
        <v>46058</v>
      </c>
      <c r="Z1002" s="203">
        <v>2.5318697688178907E-2</v>
      </c>
      <c r="AA1002" s="200">
        <v>2.5224709305327053E-2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46063</v>
      </c>
      <c r="Y1003" s="202">
        <f>_xll.qlInterestRateIndexValueDate(IborIndex,X1003,Trigger)</f>
        <v>46065</v>
      </c>
      <c r="Z1003" s="203">
        <v>2.5321542443075273E-2</v>
      </c>
      <c r="AA1003" s="200">
        <v>2.5227448120181961E-2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46070</v>
      </c>
      <c r="Y1004" s="202">
        <f>_xll.qlInterestRateIndexValueDate(IborIndex,X1004,Trigger)</f>
        <v>46072</v>
      </c>
      <c r="Z1004" s="203">
        <v>2.5324402773048149E-2</v>
      </c>
      <c r="AA1004" s="200">
        <v>2.5230202412416247E-2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46077</v>
      </c>
      <c r="Y1005" s="202">
        <f>_xll.qlInterestRateIndexValueDate(IborIndex,X1005,Trigger)</f>
        <v>46079</v>
      </c>
      <c r="Z1005" s="203">
        <v>2.5327278678130765E-2</v>
      </c>
      <c r="AA1005" s="200">
        <v>2.5232972181870039E-2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46084</v>
      </c>
      <c r="Y1006" s="202">
        <f>_xll.qlInterestRateIndexValueDate(IborIndex,X1006,Trigger)</f>
        <v>46086</v>
      </c>
      <c r="Z1006" s="203">
        <v>2.5333467141128625E-2</v>
      </c>
      <c r="AA1006" s="200">
        <v>2.5235757428703209E-2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46091</v>
      </c>
      <c r="Y1007" s="202">
        <f>_xll.qlInterestRateIndexValueDate(IborIndex,X1007,Trigger)</f>
        <v>46093</v>
      </c>
      <c r="Z1007" s="203">
        <v>2.5336378146613114E-2</v>
      </c>
      <c r="AA1007" s="200">
        <v>2.5238558152755886E-2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46098</v>
      </c>
      <c r="Y1008" s="202">
        <f>_xll.qlInterestRateIndexValueDate(IborIndex,X1008,Trigger)</f>
        <v>46100</v>
      </c>
      <c r="Z1008" s="203">
        <v>2.5339304730662128E-2</v>
      </c>
      <c r="AA1008" s="200">
        <v>2.5241374354108004E-2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46105</v>
      </c>
      <c r="Y1009" s="202">
        <f>_xll.qlInterestRateIndexValueDate(IborIndex,X1009,Trigger)</f>
        <v>46107</v>
      </c>
      <c r="Z1009" s="203">
        <v>2.5342246893309554E-2</v>
      </c>
      <c r="AA1009" s="200">
        <v>2.52442060328395E-2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46112</v>
      </c>
      <c r="Y1010" s="202">
        <f>_xll.qlInterestRateIndexValueDate(IborIndex,X1010,Trigger)</f>
        <v>46114</v>
      </c>
      <c r="Z1010" s="203">
        <v>2.5344100189156889E-2</v>
      </c>
      <c r="AA1010" s="200">
        <v>2.5247869504685383E-2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46119</v>
      </c>
      <c r="Y1011" s="202">
        <f>_xll.qlInterestRateIndexValueDate(IborIndex,X1011,Trigger)</f>
        <v>46121</v>
      </c>
      <c r="Z1011" s="203">
        <v>2.5347072187761027E-2</v>
      </c>
      <c r="AA1011" s="200">
        <v>2.5249915822040947E-2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46126</v>
      </c>
      <c r="Y1012" s="202">
        <f>_xll.qlInterestRateIndexValueDate(IborIndex,X1012,Trigger)</f>
        <v>46128</v>
      </c>
      <c r="Z1012" s="203">
        <v>2.5350059763949228E-2</v>
      </c>
      <c r="AA1012" s="200">
        <v>2.5252793932590833E-2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46133</v>
      </c>
      <c r="Y1013" s="202">
        <f>_xll.qlInterestRateIndexValueDate(IborIndex,X1013,Trigger)</f>
        <v>46135</v>
      </c>
      <c r="Z1013" s="203">
        <v>2.535306291775662E-2</v>
      </c>
      <c r="AA1013" s="200">
        <v>2.5255687520520098E-2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46140</v>
      </c>
      <c r="Y1014" s="202">
        <f>_xll.qlInterestRateIndexValueDate(IborIndex,X1014,Trigger)</f>
        <v>46142</v>
      </c>
      <c r="Z1014" s="203">
        <v>2.5357191386763595E-2</v>
      </c>
      <c r="AA1014" s="200">
        <v>2.5259013429907995E-2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46147</v>
      </c>
      <c r="Y1015" s="202">
        <f>_xll.qlInterestRateIndexValueDate(IborIndex,X1015,Trigger)</f>
        <v>46149</v>
      </c>
      <c r="Z1015" s="203">
        <v>2.536022702174524E-2</v>
      </c>
      <c r="AA1015" s="200">
        <v>2.5261521128276954E-2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46154</v>
      </c>
      <c r="Y1016" s="202">
        <f>_xll.qlInterestRateIndexValueDate(IborIndex,X1016,Trigger)</f>
        <v>46156</v>
      </c>
      <c r="Z1016" s="203">
        <v>2.5363278235575534E-2</v>
      </c>
      <c r="AA1016" s="200">
        <v>2.5264461148024608E-2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46161</v>
      </c>
      <c r="Y1017" s="202">
        <f>_xll.qlInterestRateIndexValueDate(IborIndex,X1017,Trigger)</f>
        <v>46163</v>
      </c>
      <c r="Z1017" s="203">
        <v>2.5366345028287489E-2</v>
      </c>
      <c r="AA1017" s="200">
        <v>2.5267840122484841E-2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46168</v>
      </c>
      <c r="Y1018" s="202">
        <f>_xll.qlInterestRateIndexValueDate(IborIndex,X1018,Trigger)</f>
        <v>46170</v>
      </c>
      <c r="Z1018" s="203">
        <v>2.5369427399920205E-2</v>
      </c>
      <c r="AA1018" s="200">
        <v>2.5270387619578116E-2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46175</v>
      </c>
      <c r="Y1019" s="202">
        <f>_xll.qlInterestRateIndexValueDate(IborIndex,X1019,Trigger)</f>
        <v>46177</v>
      </c>
      <c r="Z1019" s="203">
        <v>2.5372525350510176E-2</v>
      </c>
      <c r="AA1019" s="200">
        <v>2.5273374071304033E-2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46182</v>
      </c>
      <c r="Y1020" s="202">
        <f>_xll.qlInterestRateIndexValueDate(IborIndex,X1020,Trigger)</f>
        <v>46184</v>
      </c>
      <c r="Z1020" s="203">
        <v>2.5375638880093025E-2</v>
      </c>
      <c r="AA1020" s="200">
        <v>2.5276376000329392E-2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46189</v>
      </c>
      <c r="Y1021" s="202">
        <f>_xll.qlInterestRateIndexValueDate(IborIndex,X1021,Trigger)</f>
        <v>46191</v>
      </c>
      <c r="Z1021" s="203">
        <v>2.5378767988705246E-2</v>
      </c>
      <c r="AA1021" s="200">
        <v>2.5279393406654194E-2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46196</v>
      </c>
      <c r="Y1022" s="202">
        <f>_xll.qlInterestRateIndexValueDate(IborIndex,X1022,Trigger)</f>
        <v>46198</v>
      </c>
      <c r="Z1022" s="203">
        <v>2.538191267638594E-2</v>
      </c>
      <c r="AA1022" s="200">
        <v>2.5282426290278437E-2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46203</v>
      </c>
      <c r="Y1023" s="202">
        <f>_xll.qlInterestRateIndexValueDate(IborIndex,X1023,Trigger)</f>
        <v>46205</v>
      </c>
      <c r="Z1023" s="203">
        <v>2.5385072943170724E-2</v>
      </c>
      <c r="AA1023" s="200">
        <v>2.5285474651282058E-2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46210</v>
      </c>
      <c r="Y1024" s="202">
        <f>_xll.qlInterestRateIndexValueDate(IborIndex,X1024,Trigger)</f>
        <v>46212</v>
      </c>
      <c r="Z1024" s="203">
        <v>2.5388248789097831E-2</v>
      </c>
      <c r="AA1024" s="200">
        <v>2.5288538489505186E-2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46217</v>
      </c>
      <c r="Y1025" s="202">
        <f>_xll.qlInterestRateIndexValueDate(IborIndex,X1025,Trigger)</f>
        <v>46219</v>
      </c>
      <c r="Z1025" s="203">
        <v>2.5391440214203757E-2</v>
      </c>
      <c r="AA1025" s="200">
        <v>2.5291617805107691E-2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46224</v>
      </c>
      <c r="Y1026" s="202">
        <f>_xll.qlInterestRateIndexValueDate(IborIndex,X1026,Trigger)</f>
        <v>46226</v>
      </c>
      <c r="Z1026" s="203">
        <v>2.5394647218528469E-2</v>
      </c>
      <c r="AA1026" s="200">
        <v>2.5294712597929703E-2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46231</v>
      </c>
      <c r="Y1027" s="202">
        <f>_xll.qlInterestRateIndexValueDate(IborIndex,X1027,Trigger)</f>
        <v>46233</v>
      </c>
      <c r="Z1027" s="203">
        <v>2.5397869802108456E-2</v>
      </c>
      <c r="AA1027" s="200">
        <v>2.5297822868131092E-2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46238</v>
      </c>
      <c r="Y1028" s="202">
        <f>_xll.qlInterestRateIndexValueDate(IborIndex,X1028,Trigger)</f>
        <v>46240</v>
      </c>
      <c r="Z1028" s="203">
        <v>2.5401107964982819E-2</v>
      </c>
      <c r="AA1028" s="200">
        <v>2.530094861571186E-2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46245</v>
      </c>
      <c r="Y1029" s="202">
        <f>_xll.qlInterestRateIndexValueDate(IborIndex,X1029,Trigger)</f>
        <v>46247</v>
      </c>
      <c r="Z1029" s="203">
        <v>2.5404361707189786E-2</v>
      </c>
      <c r="AA1029" s="200">
        <v>2.5304089840512134E-2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46252</v>
      </c>
      <c r="Y1030" s="202">
        <f>_xll.qlInterestRateIndexValueDate(IborIndex,X1030,Trigger)</f>
        <v>46254</v>
      </c>
      <c r="Z1030" s="203">
        <v>2.5407631028767596E-2</v>
      </c>
      <c r="AA1030" s="200">
        <v>2.530724654261185E-2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46259</v>
      </c>
      <c r="Y1031" s="202">
        <f>_xll.qlInterestRateIndexValueDate(IborIndex,X1031,Trigger)</f>
        <v>46261</v>
      </c>
      <c r="Z1031" s="203">
        <v>2.5410915929755338E-2</v>
      </c>
      <c r="AA1031" s="200">
        <v>2.5310873153943092E-2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46266</v>
      </c>
      <c r="Y1032" s="202">
        <f>_xll.qlInterestRateIndexValueDate(IborIndex,X1032,Trigger)</f>
        <v>46268</v>
      </c>
      <c r="Z1032" s="203">
        <v>2.5413082635689005E-2</v>
      </c>
      <c r="AA1032" s="200">
        <v>2.5313606378709608E-2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46273</v>
      </c>
      <c r="Y1033" s="202">
        <f>_xll.qlInterestRateIndexValueDate(IborIndex,X1033,Trigger)</f>
        <v>46275</v>
      </c>
      <c r="Z1033" s="203">
        <v>2.5416397349521648E-2</v>
      </c>
      <c r="AA1033" s="200">
        <v>2.5316809512787586E-2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46280</v>
      </c>
      <c r="Y1034" s="202">
        <f>_xll.qlInterestRateIndexValueDate(IborIndex,X1034,Trigger)</f>
        <v>46282</v>
      </c>
      <c r="Z1034" s="203">
        <v>2.5419727641752644E-2</v>
      </c>
      <c r="AA1034" s="200">
        <v>2.5320028124165006E-2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46287</v>
      </c>
      <c r="Y1035" s="202">
        <f>_xll.qlInterestRateIndexValueDate(IborIndex,X1035,Trigger)</f>
        <v>46289</v>
      </c>
      <c r="Z1035" s="203">
        <v>2.5423073512420642E-2</v>
      </c>
      <c r="AA1035" s="200">
        <v>2.5323262212841868E-2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46294</v>
      </c>
      <c r="Y1036" s="202">
        <f>_xll.qlInterestRateIndexValueDate(IborIndex,X1036,Trigger)</f>
        <v>46296</v>
      </c>
      <c r="Z1036" s="203">
        <v>2.5430992718080993E-2</v>
      </c>
      <c r="AA1036" s="200">
        <v>2.5326511778818173E-2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46301</v>
      </c>
      <c r="Y1037" s="202">
        <f>_xll.qlInterestRateIndexValueDate(IborIndex,X1037,Trigger)</f>
        <v>46303</v>
      </c>
      <c r="Z1037" s="203">
        <v>2.5430952505481743E-2</v>
      </c>
      <c r="AA1037" s="200">
        <v>2.5329776822093919E-2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46308</v>
      </c>
      <c r="Y1038" s="202">
        <f>_xll.qlInterestRateIndexValueDate(IborIndex,X1038,Trigger)</f>
        <v>46310</v>
      </c>
      <c r="Z1038" s="203">
        <v>2.5434346463439898E-2</v>
      </c>
      <c r="AA1038" s="200">
        <v>2.533305734282898E-2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46315</v>
      </c>
      <c r="Y1039" s="202">
        <f>_xll.qlInterestRateIndexValueDate(IborIndex,X1039,Trigger)</f>
        <v>46317</v>
      </c>
      <c r="Z1039" s="203">
        <v>2.5437756001125123E-2</v>
      </c>
      <c r="AA1039" s="200">
        <v>2.5336353340623674E-2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46322</v>
      </c>
      <c r="Y1040" s="202">
        <f>_xll.qlInterestRateIndexValueDate(IborIndex,X1040,Trigger)</f>
        <v>46324</v>
      </c>
      <c r="Z1040" s="203">
        <v>2.5441181118576524E-2</v>
      </c>
      <c r="AA1040" s="200">
        <v>2.5339664815957619E-2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46329</v>
      </c>
      <c r="Y1041" s="202">
        <f>_xll.qlInterestRateIndexValueDate(IborIndex,X1041,Trigger)</f>
        <v>46331</v>
      </c>
      <c r="Z1041" s="203">
        <v>2.5444621369290394E-2</v>
      </c>
      <c r="AA1041" s="200">
        <v>2.5342991768511069E-2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46336</v>
      </c>
      <c r="Y1042" s="202">
        <f>_xll.qlInterestRateIndexValueDate(IborIndex,X1042,Trigger)</f>
        <v>46338</v>
      </c>
      <c r="Z1042" s="203">
        <v>2.544807452057531E-2</v>
      </c>
      <c r="AA1042" s="200">
        <v>2.5346334198363962E-2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46343</v>
      </c>
      <c r="Y1043" s="202">
        <f>_xll.qlInterestRateIndexValueDate(IborIndex,X1043,Trigger)</f>
        <v>46345</v>
      </c>
      <c r="Z1043" s="203">
        <v>2.5451537893184013E-2</v>
      </c>
      <c r="AA1043" s="200">
        <v>2.5349692105596233E-2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46350</v>
      </c>
      <c r="Y1044" s="202">
        <f>_xll.qlInterestRateIndexValueDate(IborIndex,X1044,Trigger)</f>
        <v>46353</v>
      </c>
      <c r="Z1044" s="203">
        <v>2.5454357776528252E-2</v>
      </c>
      <c r="AA1044" s="200">
        <v>2.5353548665547621E-2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46357</v>
      </c>
      <c r="Y1045" s="202">
        <f>_xll.qlInterestRateIndexValueDate(IborIndex,X1045,Trigger)</f>
        <v>46359</v>
      </c>
      <c r="Z1045" s="203">
        <v>2.5456190044926608E-2</v>
      </c>
      <c r="AA1045" s="200">
        <v>2.5356454351959101E-2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46364</v>
      </c>
      <c r="Y1046" s="202">
        <f>_xll.qlInterestRateIndexValueDate(IborIndex,X1046,Trigger)</f>
        <v>46366</v>
      </c>
      <c r="Z1046" s="203">
        <v>2.5459668578831973E-2</v>
      </c>
      <c r="AA1046" s="200">
        <v>2.5359858691009762E-2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46371</v>
      </c>
      <c r="Y1047" s="202">
        <f>_xll.qlInterestRateIndexValueDate(IborIndex,X1047,Trigger)</f>
        <v>46373</v>
      </c>
      <c r="Z1047" s="203">
        <v>2.5463147042211531E-2</v>
      </c>
      <c r="AA1047" s="200">
        <v>2.5363278507439802E-2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46378</v>
      </c>
      <c r="Y1048" s="202">
        <f>_xll.qlInterestRateIndexValueDate(IborIndex,X1048,Trigger)</f>
        <v>46380</v>
      </c>
      <c r="Z1048" s="203">
        <v>2.5466622696621144E-2</v>
      </c>
      <c r="AA1048" s="200">
        <v>2.5367698156566476E-2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46385</v>
      </c>
      <c r="Y1049" s="202">
        <f>_xll.qlInterestRateIndexValueDate(IborIndex,X1049,Trigger)</f>
        <v>46387</v>
      </c>
      <c r="Z1049" s="203">
        <v>2.5470092803601574E-2</v>
      </c>
      <c r="AA1049" s="200">
        <v>2.5370658803094415E-2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46392</v>
      </c>
      <c r="Y1050" s="202">
        <f>_xll.qlInterestRateIndexValueDate(IborIndex,X1050,Trigger)</f>
        <v>46394</v>
      </c>
      <c r="Z1050" s="203">
        <v>2.5473554624694472E-2</v>
      </c>
      <c r="AA1050" s="200">
        <v>2.537363082076638E-2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46399</v>
      </c>
      <c r="Y1051" s="202">
        <f>_xll.qlInterestRateIndexValueDate(IborIndex,X1051,Trigger)</f>
        <v>46401</v>
      </c>
      <c r="Z1051" s="203">
        <v>2.547700542142195E-2</v>
      </c>
      <c r="AA1051" s="200">
        <v>2.5377112546474123E-2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46406</v>
      </c>
      <c r="Y1052" s="202">
        <f>_xll.qlInterestRateIndexValueDate(IborIndex,X1052,Trigger)</f>
        <v>46408</v>
      </c>
      <c r="Z1052" s="203">
        <v>2.5480442455300789E-2</v>
      </c>
      <c r="AA1052" s="200">
        <v>2.5380609749561245E-2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46413</v>
      </c>
      <c r="Y1053" s="202">
        <f>_xll.qlInterestRateIndexValueDate(IborIndex,X1053,Trigger)</f>
        <v>46415</v>
      </c>
      <c r="Z1053" s="203">
        <v>2.5483862987842443E-2</v>
      </c>
      <c r="AA1053" s="200">
        <v>2.5384118026670066E-2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46420</v>
      </c>
      <c r="Y1054" s="202">
        <f>_xll.qlInterestRateIndexValueDate(IborIndex,X1054,Trigger)</f>
        <v>46422</v>
      </c>
      <c r="Z1054" s="203">
        <v>2.5486124962521037E-2</v>
      </c>
      <c r="AA1054" s="200">
        <v>2.5387611196103776E-2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46427</v>
      </c>
      <c r="Y1055" s="202">
        <f>_xll.qlInterestRateIndexValueDate(IborIndex,X1055,Trigger)</f>
        <v>46429</v>
      </c>
      <c r="Z1055" s="203">
        <v>2.5489508076318234E-2</v>
      </c>
      <c r="AA1055" s="200">
        <v>2.5391084854424761E-2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46434</v>
      </c>
      <c r="Y1056" s="202">
        <f>_xll.qlInterestRateIndexValueDate(IborIndex,X1056,Trigger)</f>
        <v>46436</v>
      </c>
      <c r="Z1056" s="203">
        <v>2.5492871560325502E-2</v>
      </c>
      <c r="AA1056" s="200">
        <v>2.5394539001872829E-2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46441</v>
      </c>
      <c r="Y1057" s="202">
        <f>_xll.qlInterestRateIndexValueDate(IborIndex,X1057,Trigger)</f>
        <v>46443</v>
      </c>
      <c r="Z1057" s="203">
        <v>2.5496215414493442E-2</v>
      </c>
      <c r="AA1057" s="200">
        <v>2.5397973638288107E-2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46448</v>
      </c>
      <c r="Y1058" s="202">
        <f>_xll.qlInterestRateIndexValueDate(IborIndex,X1058,Trigger)</f>
        <v>46450</v>
      </c>
      <c r="Z1058" s="203">
        <v>2.550294429495677E-2</v>
      </c>
      <c r="AA1058" s="200">
        <v>2.5401388763750532E-2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46455</v>
      </c>
      <c r="Y1059" s="202">
        <f>_xll.qlInterestRateIndexValueDate(IborIndex,X1059,Trigger)</f>
        <v>46457</v>
      </c>
      <c r="Z1059" s="203">
        <v>2.5506245382132559E-2</v>
      </c>
      <c r="AA1059" s="200">
        <v>2.5404784378180167E-2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46462</v>
      </c>
      <c r="Y1060" s="202">
        <f>_xll.qlInterestRateIndexValueDate(IborIndex,X1060,Trigger)</f>
        <v>46464</v>
      </c>
      <c r="Z1060" s="203">
        <v>2.550952683524527E-2</v>
      </c>
      <c r="AA1060" s="200">
        <v>2.540816048165695E-2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46469</v>
      </c>
      <c r="Y1061" s="202">
        <f>_xll.qlInterestRateIndexValueDate(IborIndex,X1061,Trigger)</f>
        <v>46471</v>
      </c>
      <c r="Z1061" s="203">
        <v>2.5512788654246256E-2</v>
      </c>
      <c r="AA1061" s="200">
        <v>2.5412472516865847E-2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46476</v>
      </c>
      <c r="Y1062" s="202">
        <f>_xll.qlInterestRateIndexValueDate(IborIndex,X1062,Trigger)</f>
        <v>46478</v>
      </c>
      <c r="Z1062" s="203">
        <v>2.551490069691606E-2</v>
      </c>
      <c r="AA1062" s="200">
        <v>2.5414854155592081E-2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46483</v>
      </c>
      <c r="Y1063" s="202">
        <f>_xll.qlInterestRateIndexValueDate(IborIndex,X1063,Trigger)</f>
        <v>46485</v>
      </c>
      <c r="Z1063" s="203">
        <v>2.5518124422226493E-2</v>
      </c>
      <c r="AA1063" s="200">
        <v>2.5418171726130367E-2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46490</v>
      </c>
      <c r="Y1064" s="202">
        <f>_xll.qlInterestRateIndexValueDate(IborIndex,X1064,Trigger)</f>
        <v>46492</v>
      </c>
      <c r="Z1064" s="203">
        <v>2.552132851464118E-2</v>
      </c>
      <c r="AA1064" s="200">
        <v>2.5421469785635864E-2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46497</v>
      </c>
      <c r="Y1065" s="202">
        <f>_xll.qlInterestRateIndexValueDate(IborIndex,X1065,Trigger)</f>
        <v>46499</v>
      </c>
      <c r="Z1065" s="203">
        <v>2.5524512974114438E-2</v>
      </c>
      <c r="AA1065" s="200">
        <v>2.5424748334028635E-2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46504</v>
      </c>
      <c r="Y1066" s="202">
        <f>_xll.qlInterestRateIndexValueDate(IborIndex,X1066,Trigger)</f>
        <v>46506</v>
      </c>
      <c r="Z1066" s="203">
        <v>2.5527677800597077E-2</v>
      </c>
      <c r="AA1066" s="200">
        <v>2.5428471355679605E-2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46511</v>
      </c>
      <c r="Y1067" s="202">
        <f>_xll.qlInterestRateIndexValueDate(IborIndex,X1067,Trigger)</f>
        <v>46513</v>
      </c>
      <c r="Z1067" s="203">
        <v>2.5531947249198491E-2</v>
      </c>
      <c r="AA1067" s="200">
        <v>2.5431246898115489E-2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46518</v>
      </c>
      <c r="Y1068" s="202">
        <f>_xll.qlInterestRateIndexValueDate(IborIndex,X1068,Trigger)</f>
        <v>46520</v>
      </c>
      <c r="Z1068" s="203">
        <v>2.5535071628068898E-2</v>
      </c>
      <c r="AA1068" s="200">
        <v>2.54344669136497E-2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46525</v>
      </c>
      <c r="Y1069" s="202">
        <f>_xll.qlInterestRateIndexValueDate(IborIndex,X1069,Trigger)</f>
        <v>46527</v>
      </c>
      <c r="Z1069" s="203">
        <v>2.5538176372446139E-2</v>
      </c>
      <c r="AA1069" s="200">
        <v>2.5437667418231058E-2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46532</v>
      </c>
      <c r="Y1070" s="202">
        <f>_xll.qlInterestRateIndexValueDate(IborIndex,X1070,Trigger)</f>
        <v>46534</v>
      </c>
      <c r="Z1070" s="203">
        <v>2.5541261482281565E-2</v>
      </c>
      <c r="AA1070" s="200">
        <v>2.5441301246669212E-2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46539</v>
      </c>
      <c r="Y1071" s="202">
        <f>_xll.qlInterestRateIndexValueDate(IborIndex,X1071,Trigger)</f>
        <v>46541</v>
      </c>
      <c r="Z1071" s="203">
        <v>2.5544326957533465E-2</v>
      </c>
      <c r="AA1071" s="200">
        <v>2.5444009894375341E-2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46546</v>
      </c>
      <c r="Y1072" s="202">
        <f>_xll.qlInterestRateIndexValueDate(IborIndex,X1072,Trigger)</f>
        <v>46548</v>
      </c>
      <c r="Z1072" s="203">
        <v>2.554737279815145E-2</v>
      </c>
      <c r="AA1072" s="200">
        <v>2.5447151865858331E-2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46553</v>
      </c>
      <c r="Y1073" s="202">
        <f>_xll.qlInterestRateIndexValueDate(IborIndex,X1073,Trigger)</f>
        <v>46555</v>
      </c>
      <c r="Z1073" s="203">
        <v>2.5550399004092068E-2</v>
      </c>
      <c r="AA1073" s="200">
        <v>2.5450274326468403E-2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46560</v>
      </c>
      <c r="Y1074" s="202">
        <f>_xll.qlInterestRateIndexValueDate(IborIndex,X1074,Trigger)</f>
        <v>46562</v>
      </c>
      <c r="Z1074" s="203">
        <v>2.5553405575310145E-2</v>
      </c>
      <c r="AA1074" s="200">
        <v>2.545337727596575E-2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46567</v>
      </c>
      <c r="Y1075" s="202">
        <f>_xll.qlInterestRateIndexValueDate(IborIndex,X1075,Trigger)</f>
        <v>46569</v>
      </c>
      <c r="Z1075" s="203">
        <v>2.5556392511759628E-2</v>
      </c>
      <c r="AA1075" s="200">
        <v>2.5456460714590179E-2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46574</v>
      </c>
      <c r="Y1076" s="202">
        <f>_xll.qlInterestRateIndexValueDate(IborIndex,X1076,Trigger)</f>
        <v>46576</v>
      </c>
      <c r="Z1076" s="203">
        <v>2.5559359813397072E-2</v>
      </c>
      <c r="AA1076" s="200">
        <v>2.5459524642101883E-2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46581</v>
      </c>
      <c r="Y1077" s="202">
        <f>_xll.qlInterestRateIndexValueDate(IborIndex,X1077,Trigger)</f>
        <v>46583</v>
      </c>
      <c r="Z1077" s="203">
        <v>2.5562307480178167E-2</v>
      </c>
      <c r="AA1077" s="200">
        <v>2.5462569058660733E-2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46588</v>
      </c>
      <c r="Y1078" s="202">
        <f>_xll.qlInterestRateIndexValueDate(IborIndex,X1078,Trigger)</f>
        <v>46590</v>
      </c>
      <c r="Z1078" s="203">
        <v>2.5565235512056864E-2</v>
      </c>
      <c r="AA1078" s="200">
        <v>2.5465593964266731E-2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46595</v>
      </c>
      <c r="Y1079" s="202">
        <f>_xll.qlInterestRateIndexValueDate(IborIndex,X1079,Trigger)</f>
        <v>46597</v>
      </c>
      <c r="Z1079" s="203">
        <v>2.5568143908992324E-2</v>
      </c>
      <c r="AA1079" s="200">
        <v>2.5468599358839938E-2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46602</v>
      </c>
      <c r="Y1080" s="202">
        <f>_xll.qlInterestRateIndexValueDate(IborIndex,X1080,Trigger)</f>
        <v>46604</v>
      </c>
      <c r="Z1080" s="203">
        <v>2.55710326709385E-2</v>
      </c>
      <c r="AA1080" s="200">
        <v>2.5471585242460293E-2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46609</v>
      </c>
      <c r="Y1081" s="202">
        <f>_xll.qlInterestRateIndexValueDate(IborIndex,X1081,Trigger)</f>
        <v>46611</v>
      </c>
      <c r="Z1081" s="203">
        <v>2.5573901797853679E-2</v>
      </c>
      <c r="AA1081" s="200">
        <v>2.5474551615047858E-2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46616</v>
      </c>
      <c r="Y1082" s="202">
        <f>_xll.qlInterestRateIndexValueDate(IborIndex,X1082,Trigger)</f>
        <v>46618</v>
      </c>
      <c r="Z1082" s="203">
        <v>2.5576751289693556E-2</v>
      </c>
      <c r="AA1082" s="200">
        <v>2.5477498476602634E-2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46623</v>
      </c>
      <c r="Y1083" s="202">
        <f>_xll.qlInterestRateIndexValueDate(IborIndex,X1083,Trigger)</f>
        <v>46625</v>
      </c>
      <c r="Z1083" s="203">
        <v>2.5579581146416421E-2</v>
      </c>
      <c r="AA1083" s="200">
        <v>2.5480842427398898E-2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46630</v>
      </c>
      <c r="Y1084" s="202">
        <f>_xll.qlInterestRateIndexValueDate(IborIndex,X1084,Trigger)</f>
        <v>46632</v>
      </c>
      <c r="Z1084" s="203">
        <v>2.5581287384136064E-2</v>
      </c>
      <c r="AA1084" s="200">
        <v>2.5483333666693753E-2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46637</v>
      </c>
      <c r="Y1085" s="202">
        <f>_xll.qlInterestRateIndexValueDate(IborIndex,X1085,Trigger)</f>
        <v>46639</v>
      </c>
      <c r="Z1085" s="203">
        <v>2.5584079175255226E-2</v>
      </c>
      <c r="AA1085" s="200">
        <v>2.5486221995310032E-2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46644</v>
      </c>
      <c r="Y1086" s="202">
        <f>_xll.qlInterestRateIndexValueDate(IborIndex,X1086,Trigger)</f>
        <v>46646</v>
      </c>
      <c r="Z1086" s="203">
        <v>2.5586851332503598E-2</v>
      </c>
      <c r="AA1086" s="200">
        <v>2.5489090812893522E-2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46651</v>
      </c>
      <c r="Y1087" s="202">
        <f>_xll.qlInterestRateIndexValueDate(IborIndex,X1087,Trigger)</f>
        <v>46653</v>
      </c>
      <c r="Z1087" s="203">
        <v>2.5589603855839888E-2</v>
      </c>
      <c r="AA1087" s="200">
        <v>2.5491940119444223E-2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46658</v>
      </c>
      <c r="Y1088" s="202">
        <f>_xll.qlInterestRateIndexValueDate(IborIndex,X1088,Trigger)</f>
        <v>46660</v>
      </c>
      <c r="Z1088" s="203">
        <v>2.5592336745225451E-2</v>
      </c>
      <c r="AA1088" s="200">
        <v>2.549476991504207E-2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46665</v>
      </c>
      <c r="Y1089" s="202">
        <f>_xll.qlInterestRateIndexValueDate(IborIndex,X1089,Trigger)</f>
        <v>46667</v>
      </c>
      <c r="Z1089" s="203">
        <v>2.5596147946949574E-2</v>
      </c>
      <c r="AA1089" s="200">
        <v>2.5497580199607128E-2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46672</v>
      </c>
      <c r="Y1090" s="202">
        <f>_xll.qlInterestRateIndexValueDate(IborIndex,X1090,Trigger)</f>
        <v>46674</v>
      </c>
      <c r="Z1090" s="203">
        <v>2.5598840356685602E-2</v>
      </c>
      <c r="AA1090" s="200">
        <v>2.5500370973139397E-2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46679</v>
      </c>
      <c r="Y1091" s="202">
        <f>_xll.qlInterestRateIndexValueDate(IborIndex,X1091,Trigger)</f>
        <v>46681</v>
      </c>
      <c r="Z1091" s="203">
        <v>2.5601513130972715E-2</v>
      </c>
      <c r="AA1091" s="200">
        <v>2.5503142235718812E-2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46686</v>
      </c>
      <c r="Y1092" s="202">
        <f>_xll.qlInterestRateIndexValueDate(IborIndex,X1092,Trigger)</f>
        <v>46688</v>
      </c>
      <c r="Z1092" s="203">
        <v>2.5604166269772674E-2</v>
      </c>
      <c r="AA1092" s="200">
        <v>2.5505893987265438E-2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46693</v>
      </c>
      <c r="Y1093" s="202">
        <f>_xll.qlInterestRateIndexValueDate(IborIndex,X1093,Trigger)</f>
        <v>46695</v>
      </c>
      <c r="Z1093" s="203">
        <v>2.5606799773047258E-2</v>
      </c>
      <c r="AA1093" s="200">
        <v>2.5508626227779274E-2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46700</v>
      </c>
      <c r="Y1094" s="202">
        <f>_xll.qlInterestRateIndexValueDate(IborIndex,X1094,Trigger)</f>
        <v>46703</v>
      </c>
      <c r="Z1094" s="203">
        <v>2.5611968654429426E-2</v>
      </c>
      <c r="AA1094" s="200">
        <v>2.5511724897340216E-2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46707</v>
      </c>
      <c r="Y1095" s="202">
        <f>_xll.qlInterestRateIndexValueDate(IborIndex,X1095,Trigger)</f>
        <v>46709</v>
      </c>
      <c r="Z1095" s="203">
        <v>2.561200787285433E-2</v>
      </c>
      <c r="AA1095" s="200">
        <v>2.5514032175868451E-2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46714</v>
      </c>
      <c r="Y1096" s="202">
        <f>_xll.qlInterestRateIndexValueDate(IborIndex,X1096,Trigger)</f>
        <v>46717</v>
      </c>
      <c r="Z1096" s="203">
        <v>2.5617126994160105E-2</v>
      </c>
      <c r="AA1096" s="200">
        <v>2.5517086248862952E-2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46721</v>
      </c>
      <c r="Y1097" s="202">
        <f>_xll.qlInterestRateIndexValueDate(IborIndex,X1097,Trigger)</f>
        <v>46723</v>
      </c>
      <c r="Z1097" s="203">
        <v>2.5616049215250781E-2</v>
      </c>
      <c r="AA1097" s="200">
        <v>2.5519360079906406E-2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46728</v>
      </c>
      <c r="Y1098" s="202">
        <f>_xll.qlInterestRateIndexValueDate(IborIndex,X1098,Trigger)</f>
        <v>46730</v>
      </c>
      <c r="Z1098" s="203">
        <v>2.5618585762935641E-2</v>
      </c>
      <c r="AA1098" s="200">
        <v>2.5521994765416167E-2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46735</v>
      </c>
      <c r="Y1099" s="202">
        <f>_xll.qlInterestRateIndexValueDate(IborIndex,X1099,Trigger)</f>
        <v>46737</v>
      </c>
      <c r="Z1099" s="203">
        <v>2.5621102676238471E-2</v>
      </c>
      <c r="AA1099" s="200">
        <v>2.5524609939973075E-2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46742</v>
      </c>
      <c r="Y1100" s="202">
        <f>_xll.qlInterestRateIndexValueDate(IborIndex,X1100,Trigger)</f>
        <v>46744</v>
      </c>
      <c r="Z1100" s="203">
        <v>2.5623599955124133E-2</v>
      </c>
      <c r="AA1100" s="200">
        <v>2.5527943637850825E-2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46750</v>
      </c>
      <c r="Y1101" s="202">
        <f>_xll.qlInterestRateIndexValueDate(IborIndex,X1101,Trigger)</f>
        <v>46756</v>
      </c>
      <c r="Z1101" s="203">
        <v>2.56278353244585E-2</v>
      </c>
      <c r="AA1101" s="200">
        <v>2.5530879848485455E-2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46757</v>
      </c>
      <c r="Y1102" s="202">
        <f>_xll.qlInterestRateIndexValueDate(IborIndex,X1102,Trigger)</f>
        <v>46759</v>
      </c>
      <c r="Z1102" s="203">
        <v>2.5628885150949736E-2</v>
      </c>
      <c r="AA1102" s="200">
        <v>2.5532702039123834E-2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46764</v>
      </c>
      <c r="Y1103" s="202">
        <f>_xll.qlInterestRateIndexValueDate(IborIndex,X1103,Trigger)</f>
        <v>46766</v>
      </c>
      <c r="Z1103" s="203">
        <v>2.5635643053781139E-2</v>
      </c>
      <c r="AA1103" s="200">
        <v>2.5535236382339122E-2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46771</v>
      </c>
      <c r="Y1104" s="202">
        <f>_xll.qlInterestRateIndexValueDate(IborIndex,X1104,Trigger)</f>
        <v>46773</v>
      </c>
      <c r="Z1104" s="203">
        <v>2.563373665732703E-2</v>
      </c>
      <c r="AA1104" s="200">
        <v>2.553775121452162E-2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46778</v>
      </c>
      <c r="Y1105" s="202">
        <f>_xll.qlInterestRateIndexValueDate(IborIndex,X1105,Trigger)</f>
        <v>46780</v>
      </c>
      <c r="Z1105" s="203">
        <v>2.5636132958625959E-2</v>
      </c>
      <c r="AA1105" s="200">
        <v>2.5540246535671329E-2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46785</v>
      </c>
      <c r="Y1106" s="202">
        <f>_xll.qlInterestRateIndexValueDate(IborIndex,X1106,Trigger)</f>
        <v>46787</v>
      </c>
      <c r="Z1106" s="203">
        <v>2.5637432573253349E-2</v>
      </c>
      <c r="AA1106" s="200">
        <v>2.5542722345788249E-2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46792</v>
      </c>
      <c r="Y1107" s="202">
        <f>_xll.qlInterestRateIndexValueDate(IborIndex,X1107,Trigger)</f>
        <v>46794</v>
      </c>
      <c r="Z1107" s="203">
        <v>2.5639790840292775E-2</v>
      </c>
      <c r="AA1107" s="200">
        <v>2.5545178644952315E-2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46799</v>
      </c>
      <c r="Y1108" s="202">
        <f>_xll.qlInterestRateIndexValueDate(IborIndex,X1108,Trigger)</f>
        <v>46801</v>
      </c>
      <c r="Z1108" s="203">
        <v>2.5642129474003461E-2</v>
      </c>
      <c r="AA1108" s="200">
        <v>2.5547615433003656E-2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46806</v>
      </c>
      <c r="Y1109" s="202">
        <f>_xll.qlInterestRateIndexValueDate(IborIndex,X1109,Trigger)</f>
        <v>46808</v>
      </c>
      <c r="Z1109" s="203">
        <v>2.5644448474348991E-2</v>
      </c>
      <c r="AA1109" s="200">
        <v>2.5550032710102144E-2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46813</v>
      </c>
      <c r="Y1110" s="202">
        <f>_xll.qlInterestRateIndexValueDate(IborIndex,X1110,Trigger)</f>
        <v>46815</v>
      </c>
      <c r="Z1110" s="203">
        <v>2.5651035849608726E-2</v>
      </c>
      <c r="AA1110" s="200">
        <v>2.5552430476247778E-2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46820</v>
      </c>
      <c r="Y1111" s="202">
        <f>_xll.qlInterestRateIndexValueDate(IborIndex,X1111,Trigger)</f>
        <v>46822</v>
      </c>
      <c r="Z1111" s="203">
        <v>2.5653310619671257E-2</v>
      </c>
      <c r="AA1111" s="200">
        <v>2.5554808731280687E-2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46827</v>
      </c>
      <c r="Y1112" s="202">
        <f>_xll.qlInterestRateIndexValueDate(IborIndex,X1112,Trigger)</f>
        <v>46829</v>
      </c>
      <c r="Z1112" s="203">
        <v>2.5655565750737824E-2</v>
      </c>
      <c r="AA1112" s="200">
        <v>2.5557167475440679E-2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46834</v>
      </c>
      <c r="Y1113" s="202">
        <f>_xll.qlInterestRateIndexValueDate(IborIndex,X1113,Trigger)</f>
        <v>46836</v>
      </c>
      <c r="Z1113" s="203">
        <v>2.5657801242773563E-2</v>
      </c>
      <c r="AA1113" s="200">
        <v>2.5559506708487945E-2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46841</v>
      </c>
      <c r="Y1114" s="202">
        <f>_xll.qlInterestRateIndexValueDate(IborIndex,X1114,Trigger)</f>
        <v>46843</v>
      </c>
      <c r="Z1114" s="203">
        <v>2.5656816107319482E-2</v>
      </c>
      <c r="AA1114" s="200">
        <v>2.5561826430582357E-2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46848</v>
      </c>
      <c r="Y1115" s="202">
        <f>_xll.qlInterestRateIndexValueDate(IborIndex,X1115,Trigger)</f>
        <v>46850</v>
      </c>
      <c r="Z1115" s="203">
        <v>2.5659016060662496E-2</v>
      </c>
      <c r="AA1115" s="200">
        <v>2.5564126641564044E-2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46855</v>
      </c>
      <c r="Y1116" s="202">
        <f>_xll.qlInterestRateIndexValueDate(IborIndex,X1116,Trigger)</f>
        <v>46861</v>
      </c>
      <c r="Z1116" s="203">
        <v>2.5662433459517825E-2</v>
      </c>
      <c r="AA1116" s="200">
        <v>2.5567055386490622E-2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46862</v>
      </c>
      <c r="Y1117" s="202">
        <f>_xll.qlInterestRateIndexValueDate(IborIndex,X1117,Trigger)</f>
        <v>46864</v>
      </c>
      <c r="Z1117" s="203">
        <v>2.5663357062379707E-2</v>
      </c>
      <c r="AA1117" s="200">
        <v>2.5568668530588923E-2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46869</v>
      </c>
      <c r="Y1118" s="202">
        <f>_xll.qlInterestRateIndexValueDate(IborIndex,X1118,Trigger)</f>
        <v>46871</v>
      </c>
      <c r="Z1118" s="203">
        <v>2.5668684116314629E-2</v>
      </c>
      <c r="AA1118" s="200">
        <v>2.5571228855501005E-2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46876</v>
      </c>
      <c r="Y1119" s="202">
        <f>_xll.qlInterestRateIndexValueDate(IborIndex,X1119,Trigger)</f>
        <v>46878</v>
      </c>
      <c r="Z1119" s="203">
        <v>2.5670801773461288E-2</v>
      </c>
      <c r="AA1119" s="200">
        <v>2.5573132375562579E-2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46883</v>
      </c>
      <c r="Y1120" s="202">
        <f>_xll.qlInterestRateIndexValueDate(IborIndex,X1120,Trigger)</f>
        <v>46885</v>
      </c>
      <c r="Z1120" s="203">
        <v>2.5672899791344114E-2</v>
      </c>
      <c r="AA1120" s="200">
        <v>2.5575335031460256E-2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46890</v>
      </c>
      <c r="Y1121" s="202">
        <f>_xll.qlInterestRateIndexValueDate(IborIndex,X1121,Trigger)</f>
        <v>46892</v>
      </c>
      <c r="Z1121" s="203">
        <v>2.5674978169931646E-2</v>
      </c>
      <c r="AA1121" s="200">
        <v>2.5577518176405079E-2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46897</v>
      </c>
      <c r="Y1122" s="202">
        <f>_xll.qlInterestRateIndexValueDate(IborIndex,X1122,Trigger)</f>
        <v>46899</v>
      </c>
      <c r="Z1122" s="203">
        <v>2.5678093754832338E-2</v>
      </c>
      <c r="AA1122" s="200">
        <v>2.5579989308184281E-2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46904</v>
      </c>
      <c r="Y1123" s="202">
        <f>_xll.qlInterestRateIndexValueDate(IborIndex,X1123,Trigger)</f>
        <v>46906</v>
      </c>
      <c r="Z1123" s="203">
        <v>2.5680131596787309E-2</v>
      </c>
      <c r="AA1123" s="200">
        <v>2.5581825933276292E-2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46911</v>
      </c>
      <c r="Y1124" s="202">
        <f>_xll.qlInterestRateIndexValueDate(IborIndex,X1124,Trigger)</f>
        <v>46913</v>
      </c>
      <c r="Z1124" s="203">
        <v>2.5681095469607819E-2</v>
      </c>
      <c r="AA1124" s="200">
        <v>2.5583950545122747E-2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46918</v>
      </c>
      <c r="Y1125" s="202">
        <f>_xll.qlInterestRateIndexValueDate(IborIndex,X1125,Trigger)</f>
        <v>46920</v>
      </c>
      <c r="Z1125" s="203">
        <v>2.5683095290699523E-2</v>
      </c>
      <c r="AA1125" s="200">
        <v>2.5586055646016348E-2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46925</v>
      </c>
      <c r="Y1126" s="202">
        <f>_xll.qlInterestRateIndexValueDate(IborIndex,X1126,Trigger)</f>
        <v>46927</v>
      </c>
      <c r="Z1126" s="203">
        <v>2.5685075472340311E-2</v>
      </c>
      <c r="AA1126" s="200">
        <v>2.558814123587716E-2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46932</v>
      </c>
      <c r="Y1127" s="202">
        <f>_xll.qlInterestRateIndexValueDate(IborIndex,X1127,Trigger)</f>
        <v>46934</v>
      </c>
      <c r="Z1127" s="203">
        <v>2.568388396337801E-2</v>
      </c>
      <c r="AA1127" s="200">
        <v>2.5590207314625246E-2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46939</v>
      </c>
      <c r="Y1128" s="202">
        <f>_xll.qlInterestRateIndexValueDate(IborIndex,X1128,Trigger)</f>
        <v>46941</v>
      </c>
      <c r="Z1128" s="203">
        <v>2.5690026194282334E-2</v>
      </c>
      <c r="AA1128" s="200">
        <v>2.5592253882500415E-2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46946</v>
      </c>
      <c r="Y1129" s="202">
        <f>_xll.qlInterestRateIndexValueDate(IborIndex,X1129,Trigger)</f>
        <v>46948</v>
      </c>
      <c r="Z1129" s="203">
        <v>2.5690898180254437E-2</v>
      </c>
      <c r="AA1129" s="200">
        <v>2.5594280939262859E-2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46953</v>
      </c>
      <c r="Y1130" s="202">
        <f>_xll.qlInterestRateIndexValueDate(IborIndex,X1130,Trigger)</f>
        <v>46955</v>
      </c>
      <c r="Z1130" s="203">
        <v>2.5692799803790519E-2</v>
      </c>
      <c r="AA1130" s="200">
        <v>2.5596288484992513E-2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46960</v>
      </c>
      <c r="Y1131" s="202">
        <f>_xll.qlInterestRateIndexValueDate(IborIndex,X1131,Trigger)</f>
        <v>46962</v>
      </c>
      <c r="Z1131" s="203">
        <v>2.569468178772687E-2</v>
      </c>
      <c r="AA1131" s="200">
        <v>2.559827651984925E-2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46967</v>
      </c>
      <c r="Y1132" s="202">
        <f>_xll.qlInterestRateIndexValueDate(IborIndex,X1132,Trigger)</f>
        <v>46969</v>
      </c>
      <c r="Z1132" s="203">
        <v>2.5696544132035426E-2</v>
      </c>
      <c r="AA1132" s="200">
        <v>2.5600245043593262E-2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46974</v>
      </c>
      <c r="Y1133" s="202">
        <f>_xll.qlInterestRateIndexValueDate(IborIndex,X1133,Trigger)</f>
        <v>46976</v>
      </c>
      <c r="Z1133" s="203">
        <v>2.5698386836687272E-2</v>
      </c>
      <c r="AA1133" s="200">
        <v>2.5602194056304484E-2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46981</v>
      </c>
      <c r="Y1134" s="202">
        <f>_xll.qlInterestRateIndexValueDate(IborIndex,X1134,Trigger)</f>
        <v>46983</v>
      </c>
      <c r="Z1134" s="203">
        <v>2.5700209901654343E-2</v>
      </c>
      <c r="AA1134" s="200">
        <v>2.560412355790298E-2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46988</v>
      </c>
      <c r="Y1135" s="202">
        <f>_xll.qlInterestRateIndexValueDate(IborIndex,X1135,Trigger)</f>
        <v>46990</v>
      </c>
      <c r="Z1135" s="203">
        <v>2.5702013326908583E-2</v>
      </c>
      <c r="AA1135" s="200">
        <v>2.5606304811720548E-2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46995</v>
      </c>
      <c r="Y1136" s="202">
        <f>_xll.qlInterestRateIndexValueDate(IborIndex,X1136,Trigger)</f>
        <v>46997</v>
      </c>
      <c r="Z1136" s="203">
        <v>2.570067935309964E-2</v>
      </c>
      <c r="AA1136" s="200">
        <v>2.5607924028241413E-2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47002</v>
      </c>
      <c r="Y1137" s="202">
        <f>_xll.qlInterestRateIndexValueDate(IborIndex,X1137,Trigger)</f>
        <v>47004</v>
      </c>
      <c r="Z1137" s="203">
        <v>2.5702447329893175E-2</v>
      </c>
      <c r="AA1137" s="200">
        <v>2.5609794996901414E-2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47009</v>
      </c>
      <c r="Y1138" s="202">
        <f>_xll.qlInterestRateIndexValueDate(IborIndex,X1138,Trigger)</f>
        <v>47011</v>
      </c>
      <c r="Z1138" s="203">
        <v>2.5704195671066112E-2</v>
      </c>
      <c r="AA1138" s="200">
        <v>2.5611646454448689E-2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47016</v>
      </c>
      <c r="Y1139" s="202">
        <f>_xll.qlInterestRateIndexValueDate(IborIndex,X1139,Trigger)</f>
        <v>47018</v>
      </c>
      <c r="Z1139" s="203">
        <v>2.5705924376590333E-2</v>
      </c>
      <c r="AA1139" s="200">
        <v>2.561347840104311E-2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47023</v>
      </c>
      <c r="Y1140" s="202">
        <f>_xll.qlInterestRateIndexValueDate(IborIndex,X1140,Trigger)</f>
        <v>47025</v>
      </c>
      <c r="Z1140" s="203">
        <v>2.570763344644213E-2</v>
      </c>
      <c r="AA1140" s="200">
        <v>2.5615290836684679E-2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47030</v>
      </c>
      <c r="Y1141" s="202">
        <f>_xll.qlInterestRateIndexValueDate(IborIndex,X1141,Trigger)</f>
        <v>47032</v>
      </c>
      <c r="Z1141" s="203">
        <v>2.5712421442943997E-2</v>
      </c>
      <c r="AA1141" s="200">
        <v>2.5617083761213522E-2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47037</v>
      </c>
      <c r="Y1142" s="202">
        <f>_xll.qlInterestRateIndexValueDate(IborIndex,X1142,Trigger)</f>
        <v>47039</v>
      </c>
      <c r="Z1142" s="203">
        <v>2.5715118812232124E-2</v>
      </c>
      <c r="AA1142" s="200">
        <v>2.5618857174709575E-2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47044</v>
      </c>
      <c r="Y1143" s="202">
        <f>_xll.qlInterestRateIndexValueDate(IborIndex,X1143,Trigger)</f>
        <v>47046</v>
      </c>
      <c r="Z1143" s="203">
        <v>2.5715733696039626E-2</v>
      </c>
      <c r="AA1143" s="200">
        <v>2.5620611077172839E-2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47051</v>
      </c>
      <c r="Y1144" s="202">
        <f>_xll.qlInterestRateIndexValueDate(IborIndex,X1144,Trigger)</f>
        <v>47053</v>
      </c>
      <c r="Z1144" s="203">
        <v>2.5717360362674208E-2</v>
      </c>
      <c r="AA1144" s="200">
        <v>2.562234546868325E-2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47058</v>
      </c>
      <c r="Y1145" s="202">
        <f>_xll.qlInterestRateIndexValueDate(IborIndex,X1145,Trigger)</f>
        <v>47060</v>
      </c>
      <c r="Z1145" s="203">
        <v>2.571896738933574E-2</v>
      </c>
      <c r="AA1145" s="200">
        <v>2.5624060349160871E-2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47065</v>
      </c>
      <c r="Y1146" s="202">
        <f>_xll.qlInterestRateIndexValueDate(IborIndex,X1146,Trigger)</f>
        <v>47070</v>
      </c>
      <c r="Z1146" s="203">
        <v>2.5719177412339689E-2</v>
      </c>
      <c r="AA1146" s="200">
        <v>2.5625996321343436E-2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47072</v>
      </c>
      <c r="Y1147" s="202">
        <f>_xll.qlInterestRateIndexValueDate(IborIndex,X1147,Trigger)</f>
        <v>47074</v>
      </c>
      <c r="Z1147" s="203">
        <v>2.5723147502752116E-2</v>
      </c>
      <c r="AA1147" s="200">
        <v>2.5627431576857873E-2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47079</v>
      </c>
      <c r="Y1148" s="202">
        <f>_xll.qlInterestRateIndexValueDate(IborIndex,X1148,Trigger)</f>
        <v>47081</v>
      </c>
      <c r="Z1148" s="203">
        <v>2.572367062922435E-2</v>
      </c>
      <c r="AA1148" s="200">
        <v>2.5629087924317062E-2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47086</v>
      </c>
      <c r="Y1149" s="202">
        <f>_xll.qlInterestRateIndexValueDate(IborIndex,X1149,Trigger)</f>
        <v>47088</v>
      </c>
      <c r="Z1149" s="203">
        <v>2.572110877243361E-2</v>
      </c>
      <c r="AA1149" s="200">
        <v>2.563072476058359E-2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47093</v>
      </c>
      <c r="Y1150" s="202">
        <f>_xll.qlInterestRateIndexValueDate(IborIndex,X1150,Trigger)</f>
        <v>47095</v>
      </c>
      <c r="Z1150" s="203">
        <v>2.5722622778943993E-2</v>
      </c>
      <c r="AA1150" s="200">
        <v>2.56323420859772E-2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47100</v>
      </c>
      <c r="Y1151" s="202">
        <f>_xll.qlInterestRateIndexValueDate(IborIndex,X1151,Trigger)</f>
        <v>47102</v>
      </c>
      <c r="Z1151" s="203">
        <v>2.5724117150912384E-2</v>
      </c>
      <c r="AA1151" s="200">
        <v>2.5633939900258085E-2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47107</v>
      </c>
      <c r="Y1152" s="202">
        <f>_xll.qlInterestRateIndexValueDate(IborIndex,X1152,Trigger)</f>
        <v>47109</v>
      </c>
      <c r="Z1152" s="203">
        <v>2.5725591888316579E-2</v>
      </c>
      <c r="AA1152" s="200">
        <v>2.5635965563575169E-2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47114</v>
      </c>
      <c r="Y1153" s="202">
        <f>_xll.qlInterestRateIndexValueDate(IborIndex,X1153,Trigger)</f>
        <v>47116</v>
      </c>
      <c r="Z1153" s="203">
        <v>2.5727046991136149E-2</v>
      </c>
      <c r="AA1153" s="200">
        <v>2.5637298087586302E-2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47121</v>
      </c>
      <c r="Y1154" s="202">
        <f>_xll.qlInterestRateIndexValueDate(IborIndex,X1154,Trigger)</f>
        <v>47123</v>
      </c>
      <c r="Z1154" s="203">
        <v>2.5728482459349777E-2</v>
      </c>
      <c r="AA1154" s="200">
        <v>2.5638616276983939E-2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47128</v>
      </c>
      <c r="Y1155" s="202">
        <f>_xll.qlInterestRateIndexValueDate(IborIndex,X1155,Trigger)</f>
        <v>47130</v>
      </c>
      <c r="Z1155" s="203">
        <v>2.572989829293526E-2</v>
      </c>
      <c r="AA1155" s="200">
        <v>2.5640136047133666E-2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47135</v>
      </c>
      <c r="Y1156" s="202">
        <f>_xll.qlInterestRateIndexValueDate(IborIndex,X1156,Trigger)</f>
        <v>47137</v>
      </c>
      <c r="Z1156" s="203">
        <v>2.5731294491873058E-2</v>
      </c>
      <c r="AA1156" s="200">
        <v>2.5641636306250604E-2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47142</v>
      </c>
      <c r="Y1157" s="202">
        <f>_xll.qlInterestRateIndexValueDate(IborIndex,X1157,Trigger)</f>
        <v>47144</v>
      </c>
      <c r="Z1157" s="203">
        <v>2.5732671056141854E-2</v>
      </c>
      <c r="AA1157" s="200">
        <v>2.5643117054414688E-2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47149</v>
      </c>
      <c r="Y1158" s="202">
        <f>_xll.qlInterestRateIndexValueDate(IborIndex,X1158,Trigger)</f>
        <v>47151</v>
      </c>
      <c r="Z1158" s="203">
        <v>2.573301691856901E-2</v>
      </c>
      <c r="AA1158" s="200">
        <v>2.5644578291545983E-2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47156</v>
      </c>
      <c r="Y1159" s="202">
        <f>_xll.qlInterestRateIndexValueDate(IborIndex,X1159,Trigger)</f>
        <v>47158</v>
      </c>
      <c r="Z1159" s="203">
        <v>2.5734355520535362E-2</v>
      </c>
      <c r="AA1159" s="200">
        <v>2.5646020017564553E-2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47163</v>
      </c>
      <c r="Y1160" s="202">
        <f>_xll.qlInterestRateIndexValueDate(IborIndex,X1160,Trigger)</f>
        <v>47165</v>
      </c>
      <c r="Z1160" s="203">
        <v>2.5735674489168549E-2</v>
      </c>
      <c r="AA1160" s="200">
        <v>2.5647442232630269E-2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47170</v>
      </c>
      <c r="Y1161" s="202">
        <f>_xll.qlInterestRateIndexValueDate(IborIndex,X1161,Trigger)</f>
        <v>47172</v>
      </c>
      <c r="Z1161" s="203">
        <v>2.5736973824448818E-2</v>
      </c>
      <c r="AA1161" s="200">
        <v>2.5648844936663195E-2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47177</v>
      </c>
      <c r="Y1162" s="202">
        <f>_xll.qlInterestRateIndexValueDate(IborIndex,X1162,Trigger)</f>
        <v>47179</v>
      </c>
      <c r="Z1162" s="203">
        <v>2.5743281903780137E-2</v>
      </c>
      <c r="AA1162" s="200">
        <v>2.5650228129663333E-2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47184</v>
      </c>
      <c r="Y1163" s="202">
        <f>_xll.qlInterestRateIndexValueDate(IborIndex,X1163,Trigger)</f>
        <v>47186</v>
      </c>
      <c r="Z1163" s="203">
        <v>2.5744535406985201E-2</v>
      </c>
      <c r="AA1163" s="200">
        <v>2.5651591811550745E-2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47191</v>
      </c>
      <c r="Y1164" s="202">
        <f>_xll.qlInterestRateIndexValueDate(IborIndex,X1164,Trigger)</f>
        <v>47193</v>
      </c>
      <c r="Z1164" s="203">
        <v>2.5745769269799677E-2</v>
      </c>
      <c r="AA1164" s="200">
        <v>2.5652935982565239E-2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47198</v>
      </c>
      <c r="Y1165" s="202">
        <f>_xll.qlInterestRateIndexValueDate(IborIndex,X1165,Trigger)</f>
        <v>47200</v>
      </c>
      <c r="Z1165" s="203">
        <v>2.5746983492205701E-2</v>
      </c>
      <c r="AA1165" s="200">
        <v>2.5654260642387072E-2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47205</v>
      </c>
      <c r="Y1166" s="202">
        <f>_xll.qlInterestRateIndexValueDate(IborIndex,X1166,Trigger)</f>
        <v>47211</v>
      </c>
      <c r="Z1166" s="203">
        <v>2.5745853124835683E-2</v>
      </c>
      <c r="AA1166" s="200">
        <v>2.565593510727382E-2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47212</v>
      </c>
      <c r="Y1167" s="202">
        <f>_xll.qlInterestRateIndexValueDate(IborIndex,X1167,Trigger)</f>
        <v>47214</v>
      </c>
      <c r="Z1167" s="203">
        <v>2.5746355962422637E-2</v>
      </c>
      <c r="AA1167" s="200">
        <v>2.5656851429172178E-2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47219</v>
      </c>
      <c r="Y1168" s="202">
        <f>_xll.qlInterestRateIndexValueDate(IborIndex,X1168,Trigger)</f>
        <v>47221</v>
      </c>
      <c r="Z1168" s="203">
        <v>2.5747515224217764E-2</v>
      </c>
      <c r="AA1168" s="200">
        <v>2.5658117556055515E-2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47226</v>
      </c>
      <c r="Y1169" s="202">
        <f>_xll.qlInterestRateIndexValueDate(IborIndex,X1169,Trigger)</f>
        <v>47228</v>
      </c>
      <c r="Z1169" s="203">
        <v>2.5748654849722937E-2</v>
      </c>
      <c r="AA1169" s="200">
        <v>2.5659364171746191E-2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47233</v>
      </c>
      <c r="Y1170" s="202">
        <f>_xll.qlInterestRateIndexValueDate(IborIndex,X1170,Trigger)</f>
        <v>47235</v>
      </c>
      <c r="Z1170" s="203">
        <v>2.5749774838923222E-2</v>
      </c>
      <c r="AA1170" s="200">
        <v>2.5660591276563949E-2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47240</v>
      </c>
      <c r="Y1171" s="202">
        <f>_xll.qlInterestRateIndexValueDate(IborIndex,X1171,Trigger)</f>
        <v>47242</v>
      </c>
      <c r="Z1171" s="203">
        <v>2.5753856377032067E-2</v>
      </c>
      <c r="AA1171" s="200">
        <v>2.5661969790826689E-2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47247</v>
      </c>
      <c r="Y1172" s="202">
        <f>_xll.qlInterestRateIndexValueDate(IborIndex,X1172,Trigger)</f>
        <v>47249</v>
      </c>
      <c r="Z1172" s="203">
        <v>2.5754933116072125E-2</v>
      </c>
      <c r="AA1172" s="200">
        <v>2.5662986952941225E-2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47254</v>
      </c>
      <c r="Y1173" s="202">
        <f>_xll.qlInterestRateIndexValueDate(IborIndex,X1173,Trigger)</f>
        <v>47256</v>
      </c>
      <c r="Z1173" s="203">
        <v>2.5755990214562569E-2</v>
      </c>
      <c r="AA1173" s="200">
        <v>2.5664155524580679E-2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47261</v>
      </c>
      <c r="Y1174" s="202">
        <f>_xll.qlInterestRateIndexValueDate(IborIndex,X1174,Trigger)</f>
        <v>47263</v>
      </c>
      <c r="Z1174" s="203">
        <v>2.5758017259517516E-2</v>
      </c>
      <c r="AA1174" s="200">
        <v>2.5665467143953791E-2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47268</v>
      </c>
      <c r="Y1175" s="202">
        <f>_xll.qlInterestRateIndexValueDate(IborIndex,X1175,Trigger)</f>
        <v>47270</v>
      </c>
      <c r="Z1175" s="203">
        <v>2.5759033746444147E-2</v>
      </c>
      <c r="AA1175" s="200">
        <v>2.5666434134841154E-2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47275</v>
      </c>
      <c r="Y1176" s="202">
        <f>_xll.qlInterestRateIndexValueDate(IborIndex,X1176,Trigger)</f>
        <v>47277</v>
      </c>
      <c r="Z1176" s="203">
        <v>2.5759043666580609E-2</v>
      </c>
      <c r="AA1176" s="200">
        <v>2.566754417338224E-2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47282</v>
      </c>
      <c r="Y1177" s="202">
        <f>_xll.qlInterestRateIndexValueDate(IborIndex,X1177,Trigger)</f>
        <v>47284</v>
      </c>
      <c r="Z1177" s="203">
        <v>2.5760022202716133E-2</v>
      </c>
      <c r="AA1177" s="200">
        <v>2.5668634700970472E-2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47289</v>
      </c>
      <c r="Y1178" s="202">
        <f>_xll.qlInterestRateIndexValueDate(IborIndex,X1178,Trigger)</f>
        <v>47291</v>
      </c>
      <c r="Z1178" s="203">
        <v>2.576098109822636E-2</v>
      </c>
      <c r="AA1178" s="200">
        <v>2.5669705717366043E-2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47296</v>
      </c>
      <c r="Y1179" s="202">
        <f>_xll.qlInterestRateIndexValueDate(IborIndex,X1179,Trigger)</f>
        <v>47298</v>
      </c>
      <c r="Z1179" s="203">
        <v>2.5758971105338854E-2</v>
      </c>
      <c r="AA1179" s="200">
        <v>2.5670757222888696E-2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47303</v>
      </c>
      <c r="Y1180" s="202">
        <f>_xll.qlInterestRateIndexValueDate(IborIndex,X1180,Trigger)</f>
        <v>47305</v>
      </c>
      <c r="Z1180" s="203">
        <v>2.5763821550843825E-2</v>
      </c>
      <c r="AA1180" s="200">
        <v>2.567178921737856E-2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47310</v>
      </c>
      <c r="Y1181" s="202">
        <f>_xll.qlInterestRateIndexValueDate(IborIndex,X1181,Trigger)</f>
        <v>47312</v>
      </c>
      <c r="Z1181" s="203">
        <v>2.5763739940847949E-2</v>
      </c>
      <c r="AA1181" s="200">
        <v>2.5672801700755699E-2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47317</v>
      </c>
      <c r="Y1182" s="202">
        <f>_xll.qlInterestRateIndexValueDate(IborIndex,X1182,Trigger)</f>
        <v>47319</v>
      </c>
      <c r="Z1182" s="203">
        <v>2.5764620273707323E-2</v>
      </c>
      <c r="AA1182" s="200">
        <v>2.5673794673100048E-2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47324</v>
      </c>
      <c r="Y1183" s="202">
        <f>_xll.qlInterestRateIndexValueDate(IborIndex,X1183,Trigger)</f>
        <v>47326</v>
      </c>
      <c r="Z1183" s="203">
        <v>2.5765480965868271E-2</v>
      </c>
      <c r="AA1183" s="200">
        <v>2.5674768134411607E-2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47331</v>
      </c>
      <c r="Y1184" s="202">
        <f>_xll.qlInterestRateIndexValueDate(IborIndex,X1184,Trigger)</f>
        <v>47333</v>
      </c>
      <c r="Z1184" s="203">
        <v>2.5766322017318884E-2</v>
      </c>
      <c r="AA1184" s="200">
        <v>2.5675722084770314E-2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47338</v>
      </c>
      <c r="Y1185" s="202">
        <f>_xll.qlInterestRateIndexValueDate(IborIndex,X1185,Trigger)</f>
        <v>47340</v>
      </c>
      <c r="Z1185" s="203">
        <v>2.5768118303519591E-2</v>
      </c>
      <c r="AA1185" s="200">
        <v>2.5676656524016295E-2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47345</v>
      </c>
      <c r="Y1186" s="202">
        <f>_xll.qlInterestRateIndexValueDate(IborIndex,X1186,Trigger)</f>
        <v>47347</v>
      </c>
      <c r="Z1186" s="203">
        <v>2.5767945198039779E-2</v>
      </c>
      <c r="AA1186" s="200">
        <v>2.5677571452309422E-2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47352</v>
      </c>
      <c r="Y1187" s="202">
        <f>_xll.qlInterestRateIndexValueDate(IborIndex,X1187,Trigger)</f>
        <v>47354</v>
      </c>
      <c r="Z1187" s="203">
        <v>2.5768727327284552E-2</v>
      </c>
      <c r="AA1187" s="200">
        <v>2.5678593193481092E-2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47359</v>
      </c>
      <c r="Y1188" s="202">
        <f>_xll.qlInterestRateIndexValueDate(IborIndex,X1188,Trigger)</f>
        <v>47361</v>
      </c>
      <c r="Z1188" s="203">
        <v>2.5766576818803597E-2</v>
      </c>
      <c r="AA1188" s="200">
        <v>2.5679342775717373E-2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47366</v>
      </c>
      <c r="Y1189" s="202">
        <f>_xll.qlInterestRateIndexValueDate(IborIndex,X1189,Trigger)</f>
        <v>47368</v>
      </c>
      <c r="Z1189" s="203">
        <v>2.576732371538247E-2</v>
      </c>
      <c r="AA1189" s="200">
        <v>2.5680199170832196E-2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47373</v>
      </c>
      <c r="Y1190" s="202">
        <f>_xll.qlInterestRateIndexValueDate(IborIndex,X1190,Trigger)</f>
        <v>47375</v>
      </c>
      <c r="Z1190" s="203">
        <v>2.5768050975378869E-2</v>
      </c>
      <c r="AA1190" s="200">
        <v>2.568103605491423E-2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47380</v>
      </c>
      <c r="Y1191" s="202">
        <f>_xll.qlInterestRateIndexValueDate(IborIndex,X1191,Trigger)</f>
        <v>47382</v>
      </c>
      <c r="Z1191" s="203">
        <v>2.5768758598783137E-2</v>
      </c>
      <c r="AA1191" s="200">
        <v>2.5681853427963475E-2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47387</v>
      </c>
      <c r="Y1192" s="202">
        <f>_xll.qlInterestRateIndexValueDate(IborIndex,X1192,Trigger)</f>
        <v>47389</v>
      </c>
      <c r="Z1192" s="203">
        <v>2.5772343361880563E-2</v>
      </c>
      <c r="AA1192" s="200">
        <v>2.5682651290059866E-2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47394</v>
      </c>
      <c r="Y1193" s="202">
        <f>_xll.qlInterestRateIndexValueDate(IborIndex,X1193,Trigger)</f>
        <v>47396</v>
      </c>
      <c r="Z1193" s="203">
        <v>2.5773007646397318E-2</v>
      </c>
      <c r="AA1193" s="200">
        <v>2.5683429641043531E-2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47401</v>
      </c>
      <c r="Y1194" s="202">
        <f>_xll.qlInterestRateIndexValueDate(IborIndex,X1194,Trigger)</f>
        <v>47403</v>
      </c>
      <c r="Z1194" s="203">
        <v>2.5773652290088087E-2</v>
      </c>
      <c r="AA1194" s="200">
        <v>2.5684188481074344E-2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47408</v>
      </c>
      <c r="Y1195" s="202">
        <f>_xll.qlInterestRateIndexValueDate(IborIndex,X1195,Trigger)</f>
        <v>47410</v>
      </c>
      <c r="Z1195" s="203">
        <v>2.5775238647261577E-2</v>
      </c>
      <c r="AA1195" s="200">
        <v>2.5684927809992431E-2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47415</v>
      </c>
      <c r="Y1196" s="202">
        <f>_xll.qlInterestRateIndexValueDate(IborIndex,X1196,Trigger)</f>
        <v>47417</v>
      </c>
      <c r="Z1196" s="203">
        <v>2.5774882654956796E-2</v>
      </c>
      <c r="AA1196" s="200">
        <v>2.5685647627877728E-2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47422</v>
      </c>
      <c r="Y1197" s="202">
        <f>_xll.qlInterestRateIndexValueDate(IborIndex,X1197,Trigger)</f>
        <v>47424</v>
      </c>
      <c r="Z1197" s="203">
        <v>2.5775468373604848E-2</v>
      </c>
      <c r="AA1197" s="200">
        <v>2.5686347934730236E-2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47429</v>
      </c>
      <c r="Y1198" s="202">
        <f>_xll.qlInterestRateIndexValueDate(IborIndex,X1198,Trigger)</f>
        <v>47431</v>
      </c>
      <c r="Z1198" s="203">
        <v>2.577603442171621E-2</v>
      </c>
      <c r="AA1198" s="200">
        <v>2.5687028730629891E-2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47436</v>
      </c>
      <c r="Y1199" s="202">
        <f>_xll.qlInterestRateIndexValueDate(IborIndex,X1199,Trigger)</f>
        <v>47438</v>
      </c>
      <c r="Z1199" s="203">
        <v>2.5777536643520543E-2</v>
      </c>
      <c r="AA1199" s="200">
        <v>2.568769001541682E-2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47443</v>
      </c>
      <c r="Y1200" s="202">
        <f>_xll.qlInterestRateIndexValueDate(IborIndex,X1200,Trigger)</f>
        <v>47445</v>
      </c>
      <c r="Z1200" s="203">
        <v>2.5777107341496467E-2</v>
      </c>
      <c r="AA1200" s="200">
        <v>2.5688331789250896E-2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47450</v>
      </c>
      <c r="Y1201" s="202">
        <f>_xll.qlInterestRateIndexValueDate(IborIndex,X1201,Trigger)</f>
        <v>47452</v>
      </c>
      <c r="Z1201" s="203">
        <v>2.57738007919599E-2</v>
      </c>
      <c r="AA1201" s="200">
        <v>2.568895405189231E-2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47457</v>
      </c>
      <c r="Y1202" s="202">
        <f>_xll.qlInterestRateIndexValueDate(IborIndex,X1202,Trigger)</f>
        <v>47459</v>
      </c>
      <c r="Z1202" s="203">
        <v>2.577429331285952E-2</v>
      </c>
      <c r="AA1202" s="200">
        <v>2.5689556803660807E-2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47464</v>
      </c>
      <c r="Y1203" s="202">
        <f>_xll.qlInterestRateIndexValueDate(IborIndex,X1203,Trigger)</f>
        <v>47466</v>
      </c>
      <c r="Z1203" s="203">
        <v>2.5774765976581904E-2</v>
      </c>
      <c r="AA1203" s="200">
        <v>2.5690140044236642E-2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47471</v>
      </c>
      <c r="Y1204" s="202">
        <f>_xll.qlInterestRateIndexValueDate(IborIndex,X1204,Trigger)</f>
        <v>47473</v>
      </c>
      <c r="Z1204" s="203">
        <v>2.5775218739975791E-2</v>
      </c>
      <c r="AA1204" s="200">
        <v>2.5690861255807107E-2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47479</v>
      </c>
      <c r="Y1205" s="202">
        <f>_xll.qlInterestRateIndexValueDate(IborIndex,X1205,Trigger)</f>
        <v>47483</v>
      </c>
      <c r="Z1205" s="203">
        <v>2.5773936129261127E-2</v>
      </c>
      <c r="AA1205" s="200">
        <v>2.5691399899896439E-2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47486</v>
      </c>
      <c r="Y1206" s="202">
        <f>_xll.qlInterestRateIndexValueDate(IborIndex,X1206,Trigger)</f>
        <v>47490</v>
      </c>
      <c r="Z1206" s="203">
        <v>2.577718105285973E-2</v>
      </c>
      <c r="AA1206" s="200">
        <v>2.5691846065560853E-2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47493</v>
      </c>
      <c r="Y1207" s="202">
        <f>_xll.qlInterestRateIndexValueDate(IborIndex,X1207,Trigger)</f>
        <v>47497</v>
      </c>
      <c r="Z1207" s="203">
        <v>2.5777563846005481E-2</v>
      </c>
      <c r="AA1207" s="200">
        <v>2.5692348474715132E-2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47500</v>
      </c>
      <c r="Y1208" s="202">
        <f>_xll.qlInterestRateIndexValueDate(IborIndex,X1208,Trigger)</f>
        <v>47505</v>
      </c>
      <c r="Z1208" s="203">
        <v>2.5777976716576619E-2</v>
      </c>
      <c r="AA1208" s="200">
        <v>2.5692898765647953E-2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47507</v>
      </c>
      <c r="Y1209" s="202">
        <f>_xll.qlInterestRateIndexValueDate(IborIndex,X1209,Trigger)</f>
        <v>47511</v>
      </c>
      <c r="Z1209" s="203">
        <v>2.5778269107806968E-2</v>
      </c>
      <c r="AA1209" s="200">
        <v>2.5693294758246665E-2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47514</v>
      </c>
      <c r="Y1210" s="202">
        <f>_xll.qlInterestRateIndexValueDate(IborIndex,X1210,Trigger)</f>
        <v>47518</v>
      </c>
      <c r="Z1210" s="203">
        <v>2.5779531597989763E-2</v>
      </c>
      <c r="AA1210" s="200">
        <v>2.5693738319354509E-2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47521</v>
      </c>
      <c r="Y1211" s="202">
        <f>_xll.qlInterestRateIndexValueDate(IborIndex,X1211,Trigger)</f>
        <v>47525</v>
      </c>
      <c r="Z1211" s="203">
        <v>2.5778893688271676E-2</v>
      </c>
      <c r="AA1211" s="200">
        <v>2.5694161818350381E-2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47528</v>
      </c>
      <c r="Y1212" s="202">
        <f>_xll.qlInterestRateIndexValueDate(IborIndex,X1212,Trigger)</f>
        <v>47533</v>
      </c>
      <c r="Z1212" s="203">
        <v>2.5778277180017461E-2</v>
      </c>
      <c r="AA1212" s="200">
        <v>2.5694621251082239E-2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47535</v>
      </c>
      <c r="Y1213" s="202">
        <f>_xll.qlInterestRateIndexValueDate(IborIndex,X1213,Trigger)</f>
        <v>47539</v>
      </c>
      <c r="Z1213" s="203">
        <v>2.5780373340546288E-2</v>
      </c>
      <c r="AA1213" s="200">
        <v>2.5694948629526593E-2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47542</v>
      </c>
      <c r="Y1214" s="202">
        <f>_xll.qlInterestRateIndexValueDate(IborIndex,X1214,Trigger)</f>
        <v>47546</v>
      </c>
      <c r="Z1214" s="203">
        <v>2.5780613535517156E-2</v>
      </c>
      <c r="AA1214" s="200">
        <v>2.5695311941786869E-2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47549</v>
      </c>
      <c r="Y1215" s="202">
        <f>_xll.qlInterestRateIndexValueDate(IborIndex,X1215,Trigger)</f>
        <v>47553</v>
      </c>
      <c r="Z1215" s="203">
        <v>2.5780833537542451E-2</v>
      </c>
      <c r="AA1215" s="200">
        <v>2.5695655191855238E-2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47556</v>
      </c>
      <c r="Y1216" s="202">
        <f>_xll.qlInterestRateIndexValueDate(IborIndex,X1216,Trigger)</f>
        <v>47560</v>
      </c>
      <c r="Z1216" s="203">
        <v>2.5781033346616085E-2</v>
      </c>
      <c r="AA1216" s="200">
        <v>2.5695978379651763E-2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47563</v>
      </c>
      <c r="Y1217" s="202">
        <f>_xll.qlInterestRateIndexValueDate(IborIndex,X1217,Trigger)</f>
        <v>47567</v>
      </c>
      <c r="Z1217" s="203">
        <v>2.5781212962737193E-2</v>
      </c>
      <c r="AA1217" s="200">
        <v>2.569628150525638E-2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47570</v>
      </c>
      <c r="Y1218" s="202">
        <f>_xll.qlInterestRateIndexValueDate(IborIndex,X1218,Trigger)</f>
        <v>47574</v>
      </c>
      <c r="Z1218" s="203">
        <v>2.5780443688231271E-2</v>
      </c>
      <c r="AA1218" s="200">
        <v>2.5696564568589153E-2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47577</v>
      </c>
      <c r="Y1219" s="202">
        <f>_xll.qlInterestRateIndexValueDate(IborIndex,X1219,Trigger)</f>
        <v>47581</v>
      </c>
      <c r="Z1219" s="203">
        <v>2.5780584350751142E-2</v>
      </c>
      <c r="AA1219" s="200">
        <v>2.5696827569730019E-2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47584</v>
      </c>
      <c r="Y1220" s="202">
        <f>_xll.qlInterestRateIndexValueDate(IborIndex,X1220,Trigger)</f>
        <v>47588</v>
      </c>
      <c r="Z1220" s="203">
        <v>2.578070482175223E-2</v>
      </c>
      <c r="AA1220" s="200">
        <v>2.5697070508678976E-2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47591</v>
      </c>
      <c r="Y1221" s="202">
        <f>_xll.qlInterestRateIndexValueDate(IborIndex,X1221,Trigger)</f>
        <v>47597</v>
      </c>
      <c r="Z1221" s="203">
        <v>2.5780830043864469E-2</v>
      </c>
      <c r="AA1221" s="200">
        <v>2.5699216990391349E-2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47598</v>
      </c>
      <c r="Y1222" s="202">
        <f>_xll.qlInterestRateIndexValueDate(IborIndex,X1222,Trigger)</f>
        <v>47602</v>
      </c>
      <c r="Z1222" s="203">
        <v>2.5780885189189261E-2</v>
      </c>
      <c r="AA1222" s="200">
        <v>2.5697496199841297E-2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47605</v>
      </c>
      <c r="Y1223" s="202">
        <f>_xll.qlInterestRateIndexValueDate(IborIndex,X1223,Trigger)</f>
        <v>47610</v>
      </c>
      <c r="Z1223" s="203">
        <v>2.57818733100992E-2</v>
      </c>
      <c r="AA1223" s="200">
        <v>2.5697703421840856E-2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47612</v>
      </c>
      <c r="Y1224" s="202">
        <f>_xll.qlInterestRateIndexValueDate(IborIndex,X1224,Trigger)</f>
        <v>47616</v>
      </c>
      <c r="Z1224" s="203">
        <v>2.5781904872698692E-2</v>
      </c>
      <c r="AA1224" s="200">
        <v>2.569784164215605E-2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47619</v>
      </c>
      <c r="Y1225" s="202">
        <f>_xll.qlInterestRateIndexValueDate(IborIndex,X1225,Trigger)</f>
        <v>47623</v>
      </c>
      <c r="Z1225" s="203">
        <v>2.5781922945119641E-2</v>
      </c>
      <c r="AA1225" s="200">
        <v>2.569798426990566E-2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47626</v>
      </c>
      <c r="Y1226" s="202">
        <f>_xll.qlInterestRateIndexValueDate(IborIndex,X1226,Trigger)</f>
        <v>47631</v>
      </c>
      <c r="Z1226" s="203">
        <v>2.5781918873234205E-2</v>
      </c>
      <c r="AA1226" s="200">
        <v>2.5698122707167315E-2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47633</v>
      </c>
      <c r="Y1227" s="202">
        <f>_xll.qlInterestRateIndexValueDate(IborIndex,X1227,Trigger)</f>
        <v>47637</v>
      </c>
      <c r="Z1227" s="203">
        <v>2.5781898511062256E-2</v>
      </c>
      <c r="AA1227" s="200">
        <v>2.5698209338909095E-2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47640</v>
      </c>
      <c r="Y1228" s="202">
        <f>_xll.qlInterestRateIndexValueDate(IborIndex,X1228,Trigger)</f>
        <v>47644</v>
      </c>
      <c r="Z1228" s="203">
        <v>2.5781856004582181E-2</v>
      </c>
      <c r="AA1228" s="200">
        <v>2.5698291780003046E-2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47647</v>
      </c>
      <c r="Y1229" s="202">
        <f>_xll.qlInterestRateIndexValueDate(IborIndex,X1229,Trigger)</f>
        <v>47651</v>
      </c>
      <c r="Z1229" s="203">
        <v>2.5781793305137416E-2</v>
      </c>
      <c r="AA1229" s="200">
        <v>2.569835415890509E-2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47654</v>
      </c>
      <c r="Y1230" s="202">
        <f>_xll.qlInterestRateIndexValueDate(IborIndex,X1230,Trigger)</f>
        <v>47658</v>
      </c>
      <c r="Z1230" s="203">
        <v>2.5781710412727088E-2</v>
      </c>
      <c r="AA1230" s="200">
        <v>2.569839647553529E-2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47661</v>
      </c>
      <c r="Y1231" s="202">
        <f>_xll.qlInterestRateIndexValueDate(IborIndex,X1231,Trigger)</f>
        <v>47665</v>
      </c>
      <c r="Z1231" s="203">
        <v>2.5781607327354676E-2</v>
      </c>
      <c r="AA1231" s="200">
        <v>2.5698418730053518E-2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47668</v>
      </c>
      <c r="Y1232" s="202">
        <f>_xll.qlInterestRateIndexValueDate(IborIndex,X1232,Trigger)</f>
        <v>47672</v>
      </c>
      <c r="Z1232" s="203">
        <v>2.5781484049017572E-2</v>
      </c>
      <c r="AA1232" s="200">
        <v>2.5698420922299903E-2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47675</v>
      </c>
      <c r="Y1233" s="202">
        <f>_xll.qlInterestRateIndexValueDate(IborIndex,X1233,Trigger)</f>
        <v>47679</v>
      </c>
      <c r="Z1233" s="203">
        <v>2.578134057772186E-2</v>
      </c>
      <c r="AA1233" s="200">
        <v>2.5698403052354379E-2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47682</v>
      </c>
      <c r="Y1234" s="202">
        <f>_xll.qlInterestRateIndexValueDate(IborIndex,X1234,Trigger)</f>
        <v>47686</v>
      </c>
      <c r="Z1234" s="203">
        <v>2.5781176913467534E-2</v>
      </c>
      <c r="AA1234" s="200">
        <v>2.5698365120057076E-2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47689</v>
      </c>
      <c r="Y1235" s="202">
        <f>_xll.qlInterestRateIndexValueDate(IborIndex,X1235,Trigger)</f>
        <v>47693</v>
      </c>
      <c r="Z1235" s="203">
        <v>2.5780993056258077E-2</v>
      </c>
      <c r="AA1235" s="200">
        <v>2.5698307125567865E-2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47696</v>
      </c>
      <c r="Y1236" s="202">
        <f>_xll.qlInterestRateIndexValueDate(IborIndex,X1236,Trigger)</f>
        <v>47700</v>
      </c>
      <c r="Z1236" s="203">
        <v>2.5780789006096094E-2</v>
      </c>
      <c r="AA1236" s="200">
        <v>2.5698229068966683E-2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47703</v>
      </c>
      <c r="Y1237" s="202">
        <f>_xll.qlInterestRateIndexValueDate(IborIndex,X1237,Trigger)</f>
        <v>47707</v>
      </c>
      <c r="Z1237" s="203">
        <v>2.5780564762984189E-2</v>
      </c>
      <c r="AA1237" s="200">
        <v>2.569813095001372E-2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47710</v>
      </c>
      <c r="Y1238" s="202">
        <f>_xll.qlInterestRateIndexValueDate(IborIndex,X1238,Trigger)</f>
        <v>47714</v>
      </c>
      <c r="Z1238" s="203">
        <v>2.5780320326926707E-2</v>
      </c>
      <c r="AA1238" s="200">
        <v>2.5698012768948786E-2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47717</v>
      </c>
      <c r="Y1239" s="202">
        <f>_xll.qlInterestRateIndexValueDate(IborIndex,X1239,Trigger)</f>
        <v>47722</v>
      </c>
      <c r="Z1239" s="203">
        <v>2.5780016245379806E-2</v>
      </c>
      <c r="AA1239" s="200">
        <v>2.5697853138879623E-2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47724</v>
      </c>
      <c r="Y1240" s="202">
        <f>_xll.qlInterestRateIndexValueDate(IborIndex,X1240,Trigger)</f>
        <v>47729</v>
      </c>
      <c r="Z1240" s="203">
        <v>2.5778831893957837E-2</v>
      </c>
      <c r="AA1240" s="200">
        <v>2.5697691967243586E-2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47731</v>
      </c>
      <c r="Y1241" s="202">
        <f>_xll.qlInterestRateIndexValueDate(IborIndex,X1241,Trigger)</f>
        <v>47735</v>
      </c>
      <c r="Z1241" s="203">
        <v>2.577857047129849E-2</v>
      </c>
      <c r="AA1241" s="200">
        <v>2.5697537852282792E-2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47738</v>
      </c>
      <c r="Y1242" s="202">
        <f>_xll.qlInterestRateIndexValueDate(IborIndex,X1242,Trigger)</f>
        <v>47742</v>
      </c>
      <c r="Z1242" s="203">
        <v>2.5778246728955668E-2</v>
      </c>
      <c r="AA1242" s="200">
        <v>2.5697339422290355E-2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47745</v>
      </c>
      <c r="Y1243" s="202">
        <f>_xll.qlInterestRateIndexValueDate(IborIndex,X1243,Trigger)</f>
        <v>47749</v>
      </c>
      <c r="Z1243" s="203">
        <v>2.5777902795130071E-2</v>
      </c>
      <c r="AA1243" s="200">
        <v>2.569712093010601E-2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47752</v>
      </c>
      <c r="Y1244" s="202">
        <f>_xll.qlInterestRateIndexValueDate(IborIndex,X1244,Trigger)</f>
        <v>47756</v>
      </c>
      <c r="Z1244" s="203">
        <v>2.5778429658944533E-2</v>
      </c>
      <c r="AA1244" s="200">
        <v>2.5696882375569885E-2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47759</v>
      </c>
      <c r="Y1245" s="202">
        <f>_xll.qlInterestRateIndexValueDate(IborIndex,X1245,Trigger)</f>
        <v>47763</v>
      </c>
      <c r="Z1245" s="203">
        <v>2.5778043872386181E-2</v>
      </c>
      <c r="AA1245" s="200">
        <v>2.5696623758841852E-2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47766</v>
      </c>
      <c r="Y1246" s="202">
        <f>_xll.qlInterestRateIndexValueDate(IborIndex,X1246,Trigger)</f>
        <v>47771</v>
      </c>
      <c r="Z1246" s="203">
        <v>2.5777578247454528E-2</v>
      </c>
      <c r="AA1246" s="200">
        <v>2.5696303630997619E-2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47773</v>
      </c>
      <c r="Y1247" s="202">
        <f>_xll.qlInterestRateIndexValueDate(IborIndex,X1247,Trigger)</f>
        <v>47777</v>
      </c>
      <c r="Z1247" s="203">
        <v>2.5777211720555259E-2</v>
      </c>
      <c r="AA1247" s="200">
        <v>2.5696046338810064E-2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47780</v>
      </c>
      <c r="Y1248" s="202">
        <f>_xll.qlInterestRateIndexValueDate(IborIndex,X1248,Trigger)</f>
        <v>47784</v>
      </c>
      <c r="Z1248" s="203">
        <v>2.5776765355293985E-2</v>
      </c>
      <c r="AA1248" s="200">
        <v>2.5695727535506308E-2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47787</v>
      </c>
      <c r="Y1249" s="202">
        <f>_xll.qlInterestRateIndexValueDate(IborIndex,X1249,Trigger)</f>
        <v>47791</v>
      </c>
      <c r="Z1249" s="203">
        <v>2.5776298797146217E-2</v>
      </c>
      <c r="AA1249" s="200">
        <v>2.5695388669930708E-2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47794</v>
      </c>
      <c r="Y1250" s="202">
        <f>_xll.qlInterestRateIndexValueDate(IborIndex,X1250,Trigger)</f>
        <v>47799</v>
      </c>
      <c r="Z1250" s="203">
        <v>2.577574086185868E-2</v>
      </c>
      <c r="AA1250" s="200">
        <v>2.5694976828969374E-2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47801</v>
      </c>
      <c r="Y1251" s="202">
        <f>_xll.qlInterestRateIndexValueDate(IborIndex,X1251,Trigger)</f>
        <v>47805</v>
      </c>
      <c r="Z1251" s="203">
        <v>2.57753051022164E-2</v>
      </c>
      <c r="AA1251" s="200">
        <v>2.5694650752043913E-2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47808</v>
      </c>
      <c r="Y1252" s="202">
        <f>_xll.qlInterestRateIndexValueDate(IborIndex,X1252,Trigger)</f>
        <v>47812</v>
      </c>
      <c r="Z1252" s="203">
        <v>2.5774777965449119E-2</v>
      </c>
      <c r="AA1252" s="200">
        <v>2.569425169989259E-2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47815</v>
      </c>
      <c r="Y1253" s="202">
        <f>_xll.qlInterestRateIndexValueDate(IborIndex,X1253,Trigger)</f>
        <v>47819</v>
      </c>
      <c r="Z1253" s="203">
        <v>2.5773352926575191E-2</v>
      </c>
      <c r="AA1253" s="200">
        <v>2.5693832585469423E-2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47822</v>
      </c>
      <c r="Y1254" s="202">
        <f>_xll.qlInterestRateIndexValueDate(IborIndex,X1254,Trigger)</f>
        <v>47826</v>
      </c>
      <c r="Z1254" s="203">
        <v>2.5772786886842303E-2</v>
      </c>
      <c r="AA1254" s="200">
        <v>2.569339340861454E-2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47829</v>
      </c>
      <c r="Y1255" s="202">
        <f>_xll.qlInterestRateIndexValueDate(IborIndex,X1255,Trigger)</f>
        <v>47833</v>
      </c>
      <c r="Z1255" s="203">
        <v>2.5772200655708337E-2</v>
      </c>
      <c r="AA1255" s="200">
        <v>2.5692934169807558E-2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47836</v>
      </c>
      <c r="Y1256" s="202">
        <f>_xll.qlInterestRateIndexValueDate(IborIndex,X1256,Trigger)</f>
        <v>47840</v>
      </c>
      <c r="Z1256" s="203">
        <v>2.5771594233182954E-2</v>
      </c>
      <c r="AA1256" s="200">
        <v>2.5694076806592747E-2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47844</v>
      </c>
      <c r="Y1257" s="202">
        <f>_xll.qlInterestRateIndexValueDate(IborIndex,X1257,Trigger)</f>
        <v>47848</v>
      </c>
      <c r="Z1257" s="203">
        <v>2.5770004797109003E-2</v>
      </c>
      <c r="AA1257" s="200">
        <v>2.5693568772631181E-2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47851</v>
      </c>
      <c r="Y1258" s="202">
        <f>_xll.qlInterestRateIndexValueDate(IborIndex,X1258,Trigger)</f>
        <v>47855</v>
      </c>
      <c r="Z1258" s="203">
        <v>2.5769356595840343E-2</v>
      </c>
      <c r="AA1258" s="200">
        <v>2.5691360238262462E-2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47858</v>
      </c>
      <c r="Y1259" s="202">
        <f>_xll.qlInterestRateIndexValueDate(IborIndex,X1259,Trigger)</f>
        <v>47862</v>
      </c>
      <c r="Z1259" s="203">
        <v>2.5769556883841416E-2</v>
      </c>
      <c r="AA1259" s="200">
        <v>2.5690817884420625E-2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47865</v>
      </c>
      <c r="Y1260" s="202">
        <f>_xll.qlInterestRateIndexValueDate(IborIndex,X1260,Trigger)</f>
        <v>47869</v>
      </c>
      <c r="Z1260" s="203">
        <v>2.5767999623542259E-2</v>
      </c>
      <c r="AA1260" s="200">
        <v>2.569025546838688E-2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47872</v>
      </c>
      <c r="Y1261" s="202">
        <f>_xll.qlInterestRateIndexValueDate(IborIndex,X1261,Trigger)</f>
        <v>47876</v>
      </c>
      <c r="Z1261" s="203">
        <v>2.5767290852535041E-2</v>
      </c>
      <c r="AA1261" s="200">
        <v>2.5689672990081291E-2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47879</v>
      </c>
      <c r="Y1262" s="202">
        <f>_xll.qlInterestRateIndexValueDate(IborIndex,X1262,Trigger)</f>
        <v>47883</v>
      </c>
      <c r="Z1262" s="203">
        <v>2.5767426092404493E-2</v>
      </c>
      <c r="AA1262" s="200">
        <v>2.5689070449583795E-2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47886</v>
      </c>
      <c r="Y1263" s="202">
        <f>_xll.qlInterestRateIndexValueDate(IborIndex,X1263,Trigger)</f>
        <v>47890</v>
      </c>
      <c r="Z1263" s="203">
        <v>2.5765812740854876E-2</v>
      </c>
      <c r="AA1263" s="200">
        <v>2.5688447846814455E-2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47893</v>
      </c>
      <c r="Y1264" s="202">
        <f>_xll.qlInterestRateIndexValueDate(IborIndex,X1264,Trigger)</f>
        <v>47897</v>
      </c>
      <c r="Z1264" s="203">
        <v>2.5765043400205023E-2</v>
      </c>
      <c r="AA1264" s="200">
        <v>2.5687805181853207E-2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47900</v>
      </c>
      <c r="Y1265" s="202">
        <f>_xll.qlInterestRateIndexValueDate(IborIndex,X1265,Trigger)</f>
        <v>47904</v>
      </c>
      <c r="Z1265" s="203">
        <v>2.5765113579097495E-2</v>
      </c>
      <c r="AA1265" s="200">
        <v>2.5687142454700052E-2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47907</v>
      </c>
      <c r="Y1266" s="202">
        <f>_xll.qlInterestRateIndexValueDate(IborIndex,X1266,Trigger)</f>
        <v>47911</v>
      </c>
      <c r="Z1266" s="203">
        <v>2.576516046574814E-2</v>
      </c>
      <c r="AA1266" s="200">
        <v>2.5686459665354988E-2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47914</v>
      </c>
      <c r="Y1267" s="202">
        <f>_xll.qlInterestRateIndexValueDate(IborIndex,X1267,Trigger)</f>
        <v>47918</v>
      </c>
      <c r="Z1267" s="203">
        <v>2.5764327552479351E-2</v>
      </c>
      <c r="AA1267" s="200">
        <v>2.5685756813658145E-2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47921</v>
      </c>
      <c r="Y1268" s="202">
        <f>_xll.qlInterestRateIndexValueDate(IborIndex,X1268,Trigger)</f>
        <v>47925</v>
      </c>
      <c r="Z1268" s="203">
        <v>2.576347444651261E-2</v>
      </c>
      <c r="AA1268" s="200">
        <v>2.568503389984933E-2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47928</v>
      </c>
      <c r="Y1269" s="202">
        <f>_xll.qlInterestRateIndexValueDate(IborIndex,X1269,Trigger)</f>
        <v>47932</v>
      </c>
      <c r="Z1269" s="203">
        <v>2.5762601147863561E-2</v>
      </c>
      <c r="AA1269" s="200">
        <v>2.5684290923688735E-2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47935</v>
      </c>
      <c r="Y1270" s="202">
        <f>_xll.qlInterestRateIndexValueDate(IborIndex,X1270,Trigger)</f>
        <v>47939</v>
      </c>
      <c r="Z1270" s="203">
        <v>2.5760855564746714E-2</v>
      </c>
      <c r="AA1270" s="200">
        <v>2.5683527885496105E-2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47942</v>
      </c>
      <c r="Y1271" s="202">
        <f>_xll.qlInterestRateIndexValueDate(IborIndex,X1271,Trigger)</f>
        <v>47946</v>
      </c>
      <c r="Z1271" s="203">
        <v>2.5759943388166291E-2</v>
      </c>
      <c r="AA1271" s="200">
        <v>2.5686181607266434E-2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47953</v>
      </c>
      <c r="Y1272" s="202">
        <f>_xll.qlInterestRateIndexValueDate(IborIndex,X1272,Trigger)</f>
        <v>47955</v>
      </c>
      <c r="Z1272" s="203">
        <v>2.5758740920997815E-2</v>
      </c>
      <c r="AA1272" s="200">
        <v>2.5681473664542764E-2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47960</v>
      </c>
      <c r="Y1273" s="202">
        <f>_xll.qlInterestRateIndexValueDate(IborIndex,X1273,Trigger)</f>
        <v>47962</v>
      </c>
      <c r="Z1273" s="203">
        <v>2.5757782593111317E-2</v>
      </c>
      <c r="AA1273" s="200">
        <v>2.5680638975504877E-2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47967</v>
      </c>
      <c r="Y1274" s="202">
        <f>_xll.qlInterestRateIndexValueDate(IborIndex,X1274,Trigger)</f>
        <v>47969</v>
      </c>
      <c r="Z1274" s="203">
        <v>2.5757649695473721E-2</v>
      </c>
      <c r="AA1274" s="200">
        <v>2.5679660479100974E-2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47974</v>
      </c>
      <c r="Y1275" s="202">
        <f>_xll.qlInterestRateIndexValueDate(IborIndex,X1275,Trigger)</f>
        <v>47976</v>
      </c>
      <c r="Z1275" s="203">
        <v>2.5756649471706434E-2</v>
      </c>
      <c r="AA1275" s="200">
        <v>2.5678909410693507E-2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47981</v>
      </c>
      <c r="Y1276" s="202">
        <f>_xll.qlInterestRateIndexValueDate(IborIndex,X1276,Trigger)</f>
        <v>47983</v>
      </c>
      <c r="Z1276" s="203">
        <v>2.5755629055361967E-2</v>
      </c>
      <c r="AA1276" s="200">
        <v>2.5678014534920024E-2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47988</v>
      </c>
      <c r="Y1277" s="202">
        <f>_xll.qlInterestRateIndexValueDate(IborIndex,X1277,Trigger)</f>
        <v>47990</v>
      </c>
      <c r="Z1277" s="203">
        <v>2.575458844645423E-2</v>
      </c>
      <c r="AA1277" s="200">
        <v>2.5676967253778216E-2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47995</v>
      </c>
      <c r="Y1278" s="202">
        <f>_xll.qlInterestRateIndexValueDate(IborIndex,X1278,Trigger)</f>
        <v>47997</v>
      </c>
      <c r="Z1278" s="203">
        <v>2.5753527645000593E-2</v>
      </c>
      <c r="AA1278" s="200">
        <v>2.5676164596717399E-2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48002</v>
      </c>
      <c r="Y1279" s="202">
        <f>_xll.qlInterestRateIndexValueDate(IborIndex,X1279,Trigger)</f>
        <v>48004</v>
      </c>
      <c r="Z1279" s="203">
        <v>2.5752446651015833E-2</v>
      </c>
      <c r="AA1279" s="200">
        <v>2.5675209534368193E-2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48009</v>
      </c>
      <c r="Y1280" s="202">
        <f>_xll.qlInterestRateIndexValueDate(IborIndex,X1280,Trigger)</f>
        <v>48011</v>
      </c>
      <c r="Z1280" s="203">
        <v>2.5751345464518193E-2</v>
      </c>
      <c r="AA1280" s="200">
        <v>2.5674234409747143E-2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48016</v>
      </c>
      <c r="Y1281" s="202">
        <f>_xll.qlInterestRateIndexValueDate(IborIndex,X1281,Trigger)</f>
        <v>48018</v>
      </c>
      <c r="Z1281" s="203">
        <v>2.5750224085523316E-2</v>
      </c>
      <c r="AA1281" s="200">
        <v>2.5673239222854249E-2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48023</v>
      </c>
      <c r="Y1282" s="202">
        <f>_xll.qlInterestRateIndexValueDate(IborIndex,X1282,Trigger)</f>
        <v>48025</v>
      </c>
      <c r="Z1282" s="203">
        <v>2.5749082514049441E-2</v>
      </c>
      <c r="AA1282" s="200">
        <v>2.5672223973849384E-2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48030</v>
      </c>
      <c r="Y1283" s="202">
        <f>_xll.qlInterestRateIndexValueDate(IborIndex,X1283,Trigger)</f>
        <v>48032</v>
      </c>
      <c r="Z1283" s="203">
        <v>2.5747920750113954E-2</v>
      </c>
      <c r="AA1283" s="200">
        <v>2.5671188662492739E-2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48037</v>
      </c>
      <c r="Y1284" s="202">
        <f>_xll.qlInterestRateIndexValueDate(IborIndex,X1284,Trigger)</f>
        <v>48039</v>
      </c>
      <c r="Z1284" s="203">
        <v>2.5746738793733358E-2</v>
      </c>
      <c r="AA1284" s="200">
        <v>2.5670133289024122E-2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48044</v>
      </c>
      <c r="Y1285" s="202">
        <f>_xll.qlInterestRateIndexValueDate(IborIndex,X1285,Trigger)</f>
        <v>48046</v>
      </c>
      <c r="Z1285" s="203">
        <v>2.5745536644927642E-2</v>
      </c>
      <c r="AA1285" s="200">
        <v>2.5669057853283661E-2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48051</v>
      </c>
      <c r="Y1286" s="202">
        <f>_xll.qlInterestRateIndexValueDate(IborIndex,X1286,Trigger)</f>
        <v>48053</v>
      </c>
      <c r="Z1286" s="203">
        <v>2.5744314303714176E-2</v>
      </c>
      <c r="AA1286" s="200">
        <v>2.5667962355351293E-2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48058</v>
      </c>
      <c r="Y1287" s="202">
        <f>_xll.qlInterestRateIndexValueDate(IborIndex,X1287,Trigger)</f>
        <v>48060</v>
      </c>
      <c r="Z1287" s="203">
        <v>2.5743071770112952E-2</v>
      </c>
      <c r="AA1287" s="200">
        <v>2.5666846795227016E-2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48065</v>
      </c>
      <c r="Y1288" s="202">
        <f>_xll.qlInterestRateIndexValueDate(IborIndex,X1288,Trigger)</f>
        <v>48067</v>
      </c>
      <c r="Z1288" s="203">
        <v>2.5741809044142208E-2</v>
      </c>
      <c r="AA1288" s="200">
        <v>2.5665711172830896E-2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48072</v>
      </c>
      <c r="Y1289" s="202">
        <f>_xll.qlInterestRateIndexValueDate(IborIndex,X1289,Trigger)</f>
        <v>48074</v>
      </c>
      <c r="Z1289" s="203">
        <v>2.5740526125821065E-2</v>
      </c>
      <c r="AA1289" s="200">
        <v>2.5664555488162932E-2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48079</v>
      </c>
      <c r="Y1290" s="202">
        <f>_xll.qlInterestRateIndexValueDate(IborIndex,X1290,Trigger)</f>
        <v>48081</v>
      </c>
      <c r="Z1290" s="203">
        <v>2.5739223015169507E-2</v>
      </c>
      <c r="AA1290" s="200">
        <v>2.5663210139850179E-2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48086</v>
      </c>
      <c r="Y1291" s="202">
        <f>_xll.qlInterestRateIndexValueDate(IborIndex,X1291,Trigger)</f>
        <v>48088</v>
      </c>
      <c r="Z1291" s="203">
        <v>2.5737899712207517E-2</v>
      </c>
      <c r="AA1291" s="200">
        <v>2.5662183932331217E-2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48093</v>
      </c>
      <c r="Y1292" s="202">
        <f>_xll.qlInterestRateIndexValueDate(IborIndex,X1292,Trigger)</f>
        <v>48095</v>
      </c>
      <c r="Z1292" s="203">
        <v>2.5735738058987032E-2</v>
      </c>
      <c r="AA1292" s="200">
        <v>2.566096806108753E-2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48100</v>
      </c>
      <c r="Y1293" s="202">
        <f>_xll.qlInterestRateIndexValueDate(IborIndex,X1293,Trigger)</f>
        <v>48102</v>
      </c>
      <c r="Z1293" s="203">
        <v>2.573437591083276E-2</v>
      </c>
      <c r="AA1293" s="200">
        <v>2.5659732127651935E-2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48107</v>
      </c>
      <c r="Y1294" s="202">
        <f>_xll.qlInterestRateIndexValueDate(IborIndex,X1294,Trigger)</f>
        <v>48109</v>
      </c>
      <c r="Z1294" s="203">
        <v>2.5732993571861557E-2</v>
      </c>
      <c r="AA1294" s="200">
        <v>2.565847613186456E-2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48114</v>
      </c>
      <c r="Y1295" s="202">
        <f>_xll.qlInterestRateIndexValueDate(IborIndex,X1295,Trigger)</f>
        <v>48116</v>
      </c>
      <c r="Z1295" s="203">
        <v>2.5734844532699697E-2</v>
      </c>
      <c r="AA1295" s="200">
        <v>2.5657200073965214E-2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48121</v>
      </c>
      <c r="Y1296" s="202">
        <f>_xll.qlInterestRateIndexValueDate(IborIndex,X1296,Trigger)</f>
        <v>48123</v>
      </c>
      <c r="Z1296" s="203">
        <v>2.5730980313470056E-2</v>
      </c>
      <c r="AA1296" s="200">
        <v>2.565590395387396E-2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48128</v>
      </c>
      <c r="Y1297" s="202">
        <f>_xll.qlInterestRateIndexValueDate(IborIndex,X1297,Trigger)</f>
        <v>48130</v>
      </c>
      <c r="Z1297" s="203">
        <v>2.5729535857084249E-2</v>
      </c>
      <c r="AA1297" s="200">
        <v>2.5654587771590798E-2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48135</v>
      </c>
      <c r="Y1298" s="202">
        <f>_xll.qlInterestRateIndexValueDate(IborIndex,X1298,Trigger)</f>
        <v>48137</v>
      </c>
      <c r="Z1298" s="203">
        <v>2.5728071208538327E-2</v>
      </c>
      <c r="AA1298" s="200">
        <v>2.5653251526955856E-2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48142</v>
      </c>
      <c r="Y1299" s="202">
        <f>_xll.qlInterestRateIndexValueDate(IborIndex,X1299,Trigger)</f>
        <v>48144</v>
      </c>
      <c r="Z1299" s="203">
        <v>2.5726586367853136E-2</v>
      </c>
      <c r="AA1299" s="200">
        <v>2.5651895220208942E-2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48149</v>
      </c>
      <c r="Y1300" s="202">
        <f>_xll.qlInterestRateIndexValueDate(IborIndex,X1300,Trigger)</f>
        <v>48151</v>
      </c>
      <c r="Z1300" s="203">
        <v>2.572508133505301E-2</v>
      </c>
      <c r="AA1300" s="200">
        <v>2.5650518851270121E-2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48156</v>
      </c>
      <c r="Y1301" s="202">
        <f>_xll.qlInterestRateIndexValueDate(IborIndex,X1301,Trigger)</f>
        <v>48158</v>
      </c>
      <c r="Z1301" s="203">
        <v>2.57235561101588E-2</v>
      </c>
      <c r="AA1301" s="200">
        <v>2.564912241997952E-2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48163</v>
      </c>
      <c r="Y1302" s="202">
        <f>_xll.qlInterestRateIndexValueDate(IborIndex,X1302,Trigger)</f>
        <v>48165</v>
      </c>
      <c r="Z1302" s="203">
        <v>2.5722010693196577E-2</v>
      </c>
      <c r="AA1302" s="200">
        <v>2.5647705926576947E-2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48170</v>
      </c>
      <c r="Y1303" s="202">
        <f>_xll.qlInterestRateIndexValueDate(IborIndex,X1303,Trigger)</f>
        <v>48172</v>
      </c>
      <c r="Z1303" s="203">
        <v>2.5720445084188054E-2</v>
      </c>
      <c r="AA1303" s="200">
        <v>2.564626937090253E-2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48177</v>
      </c>
      <c r="Y1304" s="202">
        <f>_xll.qlInterestRateIndexValueDate(IborIndex,X1304,Trigger)</f>
        <v>48180</v>
      </c>
      <c r="Z1304" s="203">
        <v>2.5717831722979229E-2</v>
      </c>
      <c r="AA1304" s="200">
        <v>2.5644603027119572E-2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48184</v>
      </c>
      <c r="Y1305" s="202">
        <f>_xll.qlInterestRateIndexValueDate(IborIndex,X1305,Trigger)</f>
        <v>48186</v>
      </c>
      <c r="Z1305" s="203">
        <v>2.5716455255541615E-2</v>
      </c>
      <c r="AA1305" s="200">
        <v>2.5643336072977974E-2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48191</v>
      </c>
      <c r="Y1306" s="202">
        <f>_xll.qlInterestRateIndexValueDate(IborIndex,X1306,Trigger)</f>
        <v>48193</v>
      </c>
      <c r="Z1306" s="203">
        <v>2.5714830628503882E-2</v>
      </c>
      <c r="AA1306" s="200">
        <v>2.5641839330727834E-2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48198</v>
      </c>
      <c r="Y1307" s="202">
        <f>_xll.qlInterestRateIndexValueDate(IborIndex,X1307,Trigger)</f>
        <v>48200</v>
      </c>
      <c r="Z1307" s="203">
        <v>2.5713185810947878E-2</v>
      </c>
      <c r="AA1307" s="200">
        <v>2.564032252620585E-2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48205</v>
      </c>
      <c r="Y1308" s="202">
        <f>_xll.qlInterestRateIndexValueDate(IborIndex,X1308,Trigger)</f>
        <v>48211</v>
      </c>
      <c r="Z1308" s="203">
        <v>2.5711352768499004E-2</v>
      </c>
      <c r="AA1308" s="200">
        <v>2.5639144808322634E-2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48212</v>
      </c>
      <c r="Y1309" s="202">
        <f>_xll.qlInterestRateIndexValueDate(IborIndex,X1309,Trigger)</f>
        <v>48215</v>
      </c>
      <c r="Z1309" s="203">
        <v>2.5709593213530082E-2</v>
      </c>
      <c r="AA1309" s="200">
        <v>2.5637004674372577E-2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48219</v>
      </c>
      <c r="Y1310" s="202">
        <f>_xll.qlInterestRateIndexValueDate(IborIndex,X1310,Trigger)</f>
        <v>48221</v>
      </c>
      <c r="Z1310" s="203">
        <v>2.570813021541446E-2</v>
      </c>
      <c r="AA1310" s="200">
        <v>2.563565173932858E-2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48226</v>
      </c>
      <c r="Y1311" s="202">
        <f>_xll.qlInterestRateIndexValueDate(IborIndex,X1311,Trigger)</f>
        <v>48228</v>
      </c>
      <c r="Z1311" s="203">
        <v>2.5706404636034855E-2</v>
      </c>
      <c r="AA1311" s="200">
        <v>2.5634054686118901E-2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48233</v>
      </c>
      <c r="Y1312" s="202">
        <f>_xll.qlInterestRateIndexValueDate(IborIndex,X1312,Trigger)</f>
        <v>48235</v>
      </c>
      <c r="Z1312" s="203">
        <v>2.570465886626435E-2</v>
      </c>
      <c r="AA1312" s="200">
        <v>2.5632437570477506E-2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48240</v>
      </c>
      <c r="Y1313" s="202">
        <f>_xll.qlInterestRateIndexValueDate(IborIndex,X1313,Trigger)</f>
        <v>48242</v>
      </c>
      <c r="Z1313" s="203">
        <v>2.5702892906130183E-2</v>
      </c>
      <c r="AA1313" s="200">
        <v>2.563080039272414E-2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48247</v>
      </c>
      <c r="Y1314" s="202">
        <f>_xll.qlInterestRateIndexValueDate(IborIndex,X1314,Trigger)</f>
        <v>48249</v>
      </c>
      <c r="Z1314" s="203">
        <v>2.5700322681513121E-2</v>
      </c>
      <c r="AA1314" s="200">
        <v>2.562914315269893E-2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48254</v>
      </c>
      <c r="Y1315" s="202">
        <f>_xll.qlInterestRateIndexValueDate(IborIndex,X1315,Trigger)</f>
        <v>48256</v>
      </c>
      <c r="Z1315" s="203">
        <v>2.5698517911324714E-2</v>
      </c>
      <c r="AA1315" s="200">
        <v>2.5627465850481812E-2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48261</v>
      </c>
      <c r="Y1316" s="202">
        <f>_xll.qlInterestRateIndexValueDate(IborIndex,X1316,Trigger)</f>
        <v>48263</v>
      </c>
      <c r="Z1316" s="203">
        <v>2.5696692952277722E-2</v>
      </c>
      <c r="AA1316" s="200">
        <v>2.562576848599285E-2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48268</v>
      </c>
      <c r="Y1317" s="202">
        <f>_xll.qlInterestRateIndexValueDate(IborIndex,X1317,Trigger)</f>
        <v>48270</v>
      </c>
      <c r="Z1317" s="203">
        <v>2.5694847804402343E-2</v>
      </c>
      <c r="AA1317" s="200">
        <v>2.5624051059471853E-2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48275</v>
      </c>
      <c r="Y1318" s="202">
        <f>_xll.qlInterestRateIndexValueDate(IborIndex,X1318,Trigger)</f>
        <v>48277</v>
      </c>
      <c r="Z1318" s="203">
        <v>2.5694537920714418E-2</v>
      </c>
      <c r="AA1318" s="200">
        <v>2.5622313570599076E-2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48282</v>
      </c>
      <c r="Y1319" s="202">
        <f>_xll.qlInterestRateIndexValueDate(IborIndex,X1319,Trigger)</f>
        <v>48284</v>
      </c>
      <c r="Z1319" s="203">
        <v>2.5692649242463231E-2</v>
      </c>
      <c r="AA1319" s="200">
        <v>2.5620556019534391E-2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48289</v>
      </c>
      <c r="Y1320" s="202">
        <f>_xll.qlInterestRateIndexValueDate(IborIndex,X1320,Trigger)</f>
        <v>48291</v>
      </c>
      <c r="Z1320" s="203">
        <v>2.5690740372617565E-2</v>
      </c>
      <c r="AA1320" s="200">
        <v>2.5618778406277798E-2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48296</v>
      </c>
      <c r="Y1321" s="202">
        <f>_xll.qlInterestRateIndexValueDate(IborIndex,X1321,Trigger)</f>
        <v>48298</v>
      </c>
      <c r="Z1321" s="203">
        <v>2.568881131120869E-2</v>
      </c>
      <c r="AA1321" s="200">
        <v>2.5616463424311675E-2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48303</v>
      </c>
      <c r="Y1322" s="202">
        <f>_xll.qlInterestRateIndexValueDate(IborIndex,X1322,Trigger)</f>
        <v>48305</v>
      </c>
      <c r="Z1322" s="203">
        <v>2.5686090703065698E-2</v>
      </c>
      <c r="AA1322" s="200">
        <v>2.5615162993029017E-2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48310</v>
      </c>
      <c r="Y1323" s="202">
        <f>_xll.qlInterestRateIndexValueDate(IborIndex,X1323,Trigger)</f>
        <v>48312</v>
      </c>
      <c r="Z1323" s="203">
        <v>2.5684122840817159E-2</v>
      </c>
      <c r="AA1323" s="200">
        <v>2.5613325193196701E-2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48317</v>
      </c>
      <c r="Y1324" s="202">
        <f>_xll.qlInterestRateIndexValueDate(IborIndex,X1324,Trigger)</f>
        <v>48319</v>
      </c>
      <c r="Z1324" s="203">
        <v>2.568213478851767E-2</v>
      </c>
      <c r="AA1324" s="200">
        <v>2.5611467331092541E-2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48324</v>
      </c>
      <c r="Y1325" s="202">
        <f>_xll.qlInterestRateIndexValueDate(IborIndex,X1325,Trigger)</f>
        <v>48326</v>
      </c>
      <c r="Z1325" s="203">
        <v>2.5680126546196221E-2</v>
      </c>
      <c r="AA1325" s="200">
        <v>2.5609589406716537E-2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48331</v>
      </c>
      <c r="Y1326" s="202">
        <f>_xll.qlInterestRateIndexValueDate(IborIndex,X1326,Trigger)</f>
        <v>48333</v>
      </c>
      <c r="Z1326" s="203">
        <v>2.5678098113882677E-2</v>
      </c>
      <c r="AA1326" s="200">
        <v>2.5607418641548918E-2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48338</v>
      </c>
      <c r="Y1327" s="202">
        <f>_xll.qlInterestRateIndexValueDate(IborIndex,X1327,Trigger)</f>
        <v>48340</v>
      </c>
      <c r="Z1327" s="203">
        <v>2.5676812921579893E-2</v>
      </c>
      <c r="AA1327" s="200">
        <v>2.5605773371468743E-2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48345</v>
      </c>
      <c r="Y1328" s="202">
        <f>_xll.qlInterestRateIndexValueDate(IborIndex,X1328,Trigger)</f>
        <v>48347</v>
      </c>
      <c r="Z1328" s="203">
        <v>2.5674742520067052E-2</v>
      </c>
      <c r="AA1328" s="200">
        <v>2.5603835260517016E-2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48352</v>
      </c>
      <c r="Y1329" s="202">
        <f>_xll.qlInterestRateIndexValueDate(IborIndex,X1329,Trigger)</f>
        <v>48354</v>
      </c>
      <c r="Z1329" s="203">
        <v>2.5672651927234291E-2</v>
      </c>
      <c r="AA1329" s="200">
        <v>2.5601877087373381E-2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48359</v>
      </c>
      <c r="Y1330" s="202">
        <f>_xll.qlInterestRateIndexValueDate(IborIndex,X1330,Trigger)</f>
        <v>48361</v>
      </c>
      <c r="Z1330" s="203">
        <v>2.5670541143116361E-2</v>
      </c>
      <c r="AA1330" s="200">
        <v>2.5599614609248533E-2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48366</v>
      </c>
      <c r="Y1331" s="202">
        <f>_xll.qlInterestRateIndexValueDate(IborIndex,X1331,Trigger)</f>
        <v>48368</v>
      </c>
      <c r="Z1331" s="203">
        <v>2.5668410167743679E-2</v>
      </c>
      <c r="AA1331" s="200">
        <v>2.5597900554430453E-2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48373</v>
      </c>
      <c r="Y1332" s="202">
        <f>_xll.qlInterestRateIndexValueDate(IborIndex,X1332,Trigger)</f>
        <v>48375</v>
      </c>
      <c r="Z1332" s="203">
        <v>2.5666259001150996E-2</v>
      </c>
      <c r="AA1332" s="200">
        <v>2.5595882194631159E-2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48380</v>
      </c>
      <c r="Y1333" s="202">
        <f>_xll.qlInterestRateIndexValueDate(IborIndex,X1333,Trigger)</f>
        <v>48382</v>
      </c>
      <c r="Z1333" s="203">
        <v>2.5664087643368725E-2</v>
      </c>
      <c r="AA1333" s="200">
        <v>2.5593843772719893E-2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48387</v>
      </c>
      <c r="Y1334" s="202">
        <f>_xll.qlInterestRateIndexValueDate(IborIndex,X1334,Trigger)</f>
        <v>48389</v>
      </c>
      <c r="Z1334" s="203">
        <v>2.5661896094433354E-2</v>
      </c>
      <c r="AA1334" s="200">
        <v>2.5591785288456848E-2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48394</v>
      </c>
      <c r="Y1335" s="202">
        <f>_xll.qlInterestRateIndexValueDate(IborIndex,X1335,Trigger)</f>
        <v>48396</v>
      </c>
      <c r="Z1335" s="203">
        <v>2.5659684354375299E-2</v>
      </c>
      <c r="AA1335" s="200">
        <v>2.5589706742001894E-2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48401</v>
      </c>
      <c r="Y1336" s="202">
        <f>_xll.qlInterestRateIndexValueDate(IborIndex,X1336,Trigger)</f>
        <v>48403</v>
      </c>
      <c r="Z1336" s="203">
        <v>2.5657452423232786E-2</v>
      </c>
      <c r="AA1336" s="200">
        <v>2.5587608133434969E-2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48408</v>
      </c>
      <c r="Y1337" s="202">
        <f>_xll.qlInterestRateIndexValueDate(IborIndex,X1337,Trigger)</f>
        <v>48410</v>
      </c>
      <c r="Z1337" s="203">
        <v>2.5655200301035356E-2</v>
      </c>
      <c r="AA1337" s="200">
        <v>2.5585489462676136E-2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48415</v>
      </c>
      <c r="Y1338" s="202">
        <f>_xll.qlInterestRateIndexValueDate(IborIndex,X1338,Trigger)</f>
        <v>48417</v>
      </c>
      <c r="Z1338" s="203">
        <v>2.5652927987821244E-2</v>
      </c>
      <c r="AA1338" s="200">
        <v>2.558335072964546E-2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48422</v>
      </c>
      <c r="Y1339" s="202">
        <f>_xll.qlInterestRateIndexValueDate(IborIndex,X1339,Trigger)</f>
        <v>48424</v>
      </c>
      <c r="Z1339" s="203">
        <v>2.5650635483622595E-2</v>
      </c>
      <c r="AA1339" s="200">
        <v>2.5581191934422876E-2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48429</v>
      </c>
      <c r="Y1340" s="202">
        <f>_xll.qlInterestRateIndexValueDate(IborIndex,X1340,Trigger)</f>
        <v>48431</v>
      </c>
      <c r="Z1340" s="203">
        <v>2.5648322788476771E-2</v>
      </c>
      <c r="AA1340" s="200">
        <v>2.5579013077008383E-2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48436</v>
      </c>
      <c r="Y1341" s="202">
        <f>_xll.qlInterestRateIndexValueDate(IborIndex,X1341,Trigger)</f>
        <v>48438</v>
      </c>
      <c r="Z1341" s="203">
        <v>2.5645989902419394E-2</v>
      </c>
      <c r="AA1341" s="200">
        <v>2.5576814157322048E-2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48443</v>
      </c>
      <c r="Y1342" s="202">
        <f>_xll.qlInterestRateIndexValueDate(IborIndex,X1342,Trigger)</f>
        <v>48445</v>
      </c>
      <c r="Z1342" s="203">
        <v>2.564363682548609E-2</v>
      </c>
      <c r="AA1342" s="200">
        <v>2.5574595175443804E-2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48450</v>
      </c>
      <c r="Y1343" s="202">
        <f>_xll.qlInterestRateIndexValueDate(IborIndex,X1343,Trigger)</f>
        <v>48452</v>
      </c>
      <c r="Z1343" s="203">
        <v>2.5641263557711614E-2</v>
      </c>
      <c r="AA1343" s="200">
        <v>2.5572034630307883E-2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48457</v>
      </c>
      <c r="Y1344" s="202">
        <f>_xll.qlInterestRateIndexValueDate(IborIndex,X1344,Trigger)</f>
        <v>48459</v>
      </c>
      <c r="Z1344" s="203">
        <v>2.563813388046297E-2</v>
      </c>
      <c r="AA1344" s="200">
        <v>2.5570097025271465E-2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48464</v>
      </c>
      <c r="Y1345" s="202">
        <f>_xll.qlInterestRateIndexValueDate(IborIndex,X1345,Trigger)</f>
        <v>48466</v>
      </c>
      <c r="Z1345" s="203">
        <v>2.5635721844535494E-2</v>
      </c>
      <c r="AA1345" s="200">
        <v>2.5567817856737562E-2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48471</v>
      </c>
      <c r="Y1346" s="202">
        <f>_xll.qlInterestRateIndexValueDate(IborIndex,X1346,Trigger)</f>
        <v>48473</v>
      </c>
      <c r="Z1346" s="203">
        <v>2.5633289619290549E-2</v>
      </c>
      <c r="AA1346" s="200">
        <v>2.5565518626091688E-2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48478</v>
      </c>
      <c r="Y1347" s="202">
        <f>_xll.qlInterestRateIndexValueDate(IborIndex,X1347,Trigger)</f>
        <v>48480</v>
      </c>
      <c r="Z1347" s="203">
        <v>2.5630837204768542E-2</v>
      </c>
      <c r="AA1347" s="200">
        <v>2.5563199333333841E-2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48485</v>
      </c>
      <c r="Y1348" s="202">
        <f>_xll.qlInterestRateIndexValueDate(IborIndex,X1348,Trigger)</f>
        <v>48487</v>
      </c>
      <c r="Z1348" s="203">
        <v>2.5628364601004608E-2</v>
      </c>
      <c r="AA1348" s="200">
        <v>2.5560859978224215E-2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48492</v>
      </c>
      <c r="Y1349" s="202">
        <f>_xll.qlInterestRateIndexValueDate(IborIndex,X1349,Trigger)</f>
        <v>48494</v>
      </c>
      <c r="Z1349" s="203">
        <v>2.562659994548715E-2</v>
      </c>
      <c r="AA1349" s="200">
        <v>2.5558500561002617E-2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48499</v>
      </c>
      <c r="Y1350" s="202">
        <f>_xll.qlInterestRateIndexValueDate(IborIndex,X1350,Trigger)</f>
        <v>48501</v>
      </c>
      <c r="Z1350" s="203">
        <v>2.5624085342872322E-2</v>
      </c>
      <c r="AA1350" s="200">
        <v>2.5556121081509175E-2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48506</v>
      </c>
      <c r="Y1351" s="202">
        <f>_xll.qlInterestRateIndexValueDate(IborIndex,X1351,Trigger)</f>
        <v>48508</v>
      </c>
      <c r="Z1351" s="203">
        <v>2.5621550549716078E-2</v>
      </c>
      <c r="AA1351" s="200">
        <v>2.5553721539903762E-2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48513</v>
      </c>
      <c r="Y1352" s="202">
        <f>_xll.qlInterestRateIndexValueDate(IborIndex,X1352,Trigger)</f>
        <v>48515</v>
      </c>
      <c r="Z1352" s="203">
        <v>2.5618995566060999E-2</v>
      </c>
      <c r="AA1352" s="200">
        <v>2.5551301936026505E-2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48520</v>
      </c>
      <c r="Y1353" s="202">
        <f>_xll.qlInterestRateIndexValueDate(IborIndex,X1353,Trigger)</f>
        <v>48522</v>
      </c>
      <c r="Z1353" s="203">
        <v>2.5616420391943572E-2</v>
      </c>
      <c r="AA1353" s="200">
        <v>2.554886226995734E-2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48527</v>
      </c>
      <c r="Y1354" s="202">
        <f>_xll.qlInterestRateIndexValueDate(IborIndex,X1354,Trigger)</f>
        <v>48530</v>
      </c>
      <c r="Z1354" s="203">
        <v>2.5614891826164735E-2</v>
      </c>
      <c r="AA1354" s="200">
        <v>2.5546049514248992E-2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48534</v>
      </c>
      <c r="Y1355" s="202">
        <f>_xll.qlInterestRateIndexValueDate(IborIndex,X1355,Trigger)</f>
        <v>48536</v>
      </c>
      <c r="Z1355" s="203">
        <v>2.5611209472484166E-2</v>
      </c>
      <c r="AA1355" s="200">
        <v>2.5543922751243286E-2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48541</v>
      </c>
      <c r="Y1356" s="202">
        <f>_xll.qlInterestRateIndexValueDate(IborIndex,X1356,Trigger)</f>
        <v>48544</v>
      </c>
      <c r="Z1356" s="203">
        <v>2.5609628242245372E-2</v>
      </c>
      <c r="AA1356" s="200">
        <v>2.5541064139096292E-2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48548</v>
      </c>
      <c r="Y1357" s="202">
        <f>_xll.qlInterestRateIndexValueDate(IborIndex,X1357,Trigger)</f>
        <v>48550</v>
      </c>
      <c r="Z1357" s="203">
        <v>2.5604487401712284E-2</v>
      </c>
      <c r="AA1357" s="200">
        <v>2.5538902983761602E-2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48555</v>
      </c>
      <c r="Y1358" s="202">
        <f>_xll.qlInterestRateIndexValueDate(IborIndex,X1358,Trigger)</f>
        <v>48557</v>
      </c>
      <c r="Z1358" s="203">
        <v>2.5601814539207624E-2</v>
      </c>
      <c r="AA1358" s="200">
        <v>2.5536363006732898E-2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48562</v>
      </c>
      <c r="Y1359" s="202">
        <f>_xll.qlInterestRateIndexValueDate(IborIndex,X1359,Trigger)</f>
        <v>48564</v>
      </c>
      <c r="Z1359" s="203">
        <v>2.5599121489301879E-2</v>
      </c>
      <c r="AA1359" s="200">
        <v>2.5533802967432351E-2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48569</v>
      </c>
      <c r="Y1360" s="202">
        <f>_xll.qlInterestRateIndexValueDate(IborIndex,X1360,Trigger)</f>
        <v>48571</v>
      </c>
      <c r="Z1360" s="203">
        <v>2.5596408252034131E-2</v>
      </c>
      <c r="AA1360" s="200">
        <v>2.5530482009283872E-2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48577</v>
      </c>
      <c r="Y1361" s="202">
        <f>_xll.qlInterestRateIndexValueDate(IborIndex,X1361,Trigger)</f>
        <v>48583</v>
      </c>
      <c r="Z1361" s="203">
        <v>2.5591710021748426E-2</v>
      </c>
      <c r="AA1361" s="200">
        <v>2.552750220504052E-2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48584</v>
      </c>
      <c r="Y1362" s="202">
        <f>_xll.qlInterestRateIndexValueDate(IborIndex,X1362,Trigger)</f>
        <v>48586</v>
      </c>
      <c r="Z1362" s="203">
        <v>2.5590526194513963E-2</v>
      </c>
      <c r="AA1362" s="200">
        <v>2.5525626520872535E-2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48591</v>
      </c>
      <c r="Y1363" s="202">
        <f>_xll.qlInterestRateIndexValueDate(IborIndex,X1363,Trigger)</f>
        <v>48593</v>
      </c>
      <c r="Z1363" s="203">
        <v>2.5587749511518432E-2</v>
      </c>
      <c r="AA1363" s="200">
        <v>2.5522983366856877E-2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48598</v>
      </c>
      <c r="Y1364" s="202">
        <f>_xll.qlInterestRateIndexValueDate(IborIndex,X1364,Trigger)</f>
        <v>48600</v>
      </c>
      <c r="Z1364" s="203">
        <v>2.5584952641333203E-2</v>
      </c>
      <c r="AA1364" s="200">
        <v>2.5520320150489439E-2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48605</v>
      </c>
      <c r="Y1365" s="202">
        <f>_xll.qlInterestRateIndexValueDate(IborIndex,X1365,Trigger)</f>
        <v>48607</v>
      </c>
      <c r="Z1365" s="203">
        <v>2.5582135583999133E-2</v>
      </c>
      <c r="AA1365" s="200">
        <v>2.5517636872089966E-2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48612</v>
      </c>
      <c r="Y1366" s="202">
        <f>_xll.qlInterestRateIndexValueDate(IborIndex,X1366,Trigger)</f>
        <v>48614</v>
      </c>
      <c r="Z1366" s="203">
        <v>2.5578597929376157E-2</v>
      </c>
      <c r="AA1366" s="200">
        <v>2.5514933531418649E-2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48619</v>
      </c>
      <c r="Y1367" s="202">
        <f>_xll.qlInterestRateIndexValueDate(IborIndex,X1367,Trigger)</f>
        <v>48621</v>
      </c>
      <c r="Z1367" s="203">
        <v>2.5575742142067055E-2</v>
      </c>
      <c r="AA1367" s="200">
        <v>2.551221012863536E-2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48626</v>
      </c>
      <c r="Y1368" s="202">
        <f>_xll.qlInterestRateIndexValueDate(IborIndex,X1368,Trigger)</f>
        <v>48628</v>
      </c>
      <c r="Z1368" s="203">
        <v>2.5572866169142075E-2</v>
      </c>
      <c r="AA1368" s="200">
        <v>2.5509466663660163E-2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48633</v>
      </c>
      <c r="Y1369" s="202">
        <f>_xll.qlInterestRateIndexValueDate(IborIndex,X1369,Trigger)</f>
        <v>48635</v>
      </c>
      <c r="Z1369" s="203">
        <v>2.5569970010643435E-2</v>
      </c>
      <c r="AA1369" s="200">
        <v>2.5506703136413122E-2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48640</v>
      </c>
      <c r="Y1370" s="202">
        <f>_xll.qlInterestRateIndexValueDate(IborIndex,X1370,Trigger)</f>
        <v>48642</v>
      </c>
      <c r="Z1370" s="203">
        <v>2.5570521545258289E-2</v>
      </c>
      <c r="AA1370" s="200">
        <v>2.5503919546974174E-2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48647</v>
      </c>
      <c r="Y1371" s="202">
        <f>_xll.qlInterestRateIndexValueDate(IborIndex,X1371,Trigger)</f>
        <v>48649</v>
      </c>
      <c r="Z1371" s="203">
        <v>2.5567576764553047E-2</v>
      </c>
      <c r="AA1371" s="200">
        <v>2.5501115895343318E-2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48654</v>
      </c>
      <c r="Y1372" s="202">
        <f>_xll.qlInterestRateIndexValueDate(IborIndex,X1372,Trigger)</f>
        <v>48656</v>
      </c>
      <c r="Z1372" s="203">
        <v>2.5564611791394989E-2</v>
      </c>
      <c r="AA1372" s="200">
        <v>2.5498292181680426E-2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48661</v>
      </c>
      <c r="Y1373" s="202">
        <f>_xll.qlInterestRateIndexValueDate(IborIndex,X1373,Trigger)</f>
        <v>48663</v>
      </c>
      <c r="Z1373" s="203">
        <v>2.5561626625830888E-2</v>
      </c>
      <c r="AA1373" s="200">
        <v>2.5495448405585819E-2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48668</v>
      </c>
      <c r="Y1374" s="202">
        <f>_xll.qlInterestRateIndexValueDate(IborIndex,X1374,Trigger)</f>
        <v>48670</v>
      </c>
      <c r="Z1374" s="203">
        <v>2.5556560745289725E-2</v>
      </c>
      <c r="AA1374" s="200">
        <v>2.5492584567459176E-2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48675</v>
      </c>
      <c r="Y1375" s="202">
        <f>_xll.qlInterestRateIndexValueDate(IborIndex,X1375,Trigger)</f>
        <v>48677</v>
      </c>
      <c r="Z1375" s="203">
        <v>2.5553540163226571E-2</v>
      </c>
      <c r="AA1375" s="200">
        <v>2.5489700667140625E-2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48682</v>
      </c>
      <c r="Y1376" s="202">
        <f>_xll.qlInterestRateIndexValueDate(IborIndex,X1376,Trigger)</f>
        <v>48688</v>
      </c>
      <c r="Z1376" s="203">
        <v>2.5548752746153688E-2</v>
      </c>
      <c r="AA1376" s="200">
        <v>2.5485963316072002E-2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48689</v>
      </c>
      <c r="Y1377" s="202">
        <f>_xll.qlInterestRateIndexValueDate(IborIndex,X1377,Trigger)</f>
        <v>48691</v>
      </c>
      <c r="Z1377" s="203">
        <v>2.5547438434947008E-2</v>
      </c>
      <c r="AA1377" s="200">
        <v>2.5483872679767927E-2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48696</v>
      </c>
      <c r="Y1378" s="202">
        <f>_xll.qlInterestRateIndexValueDate(IborIndex,X1378,Trigger)</f>
        <v>48698</v>
      </c>
      <c r="Z1378" s="203">
        <v>2.5544357288825467E-2</v>
      </c>
      <c r="AA1378" s="200">
        <v>2.5480506371255984E-2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48703</v>
      </c>
      <c r="Y1379" s="202">
        <f>_xll.qlInterestRateIndexValueDate(IborIndex,X1379,Trigger)</f>
        <v>48705</v>
      </c>
      <c r="Z1379" s="203">
        <v>2.5543291594562322E-2</v>
      </c>
      <c r="AA1379" s="200">
        <v>2.5477964443787471E-2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48710</v>
      </c>
      <c r="Y1380" s="202">
        <f>_xll.qlInterestRateIndexValueDate(IborIndex,X1380,Trigger)</f>
        <v>48712</v>
      </c>
      <c r="Z1380" s="203">
        <v>2.5540165083485906E-2</v>
      </c>
      <c r="AA1380" s="200">
        <v>2.5474980232429445E-2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48717</v>
      </c>
      <c r="Y1381" s="202">
        <f>_xll.qlInterestRateIndexValueDate(IborIndex,X1381,Trigger)</f>
        <v>48719</v>
      </c>
      <c r="Z1381" s="203">
        <v>2.5537018380385267E-2</v>
      </c>
      <c r="AA1381" s="200">
        <v>2.5471975958959447E-2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48724</v>
      </c>
      <c r="Y1382" s="202">
        <f>_xll.qlInterestRateIndexValueDate(IborIndex,X1382,Trigger)</f>
        <v>48726</v>
      </c>
      <c r="Z1382" s="203">
        <v>2.5534524784006862E-2</v>
      </c>
      <c r="AA1382" s="200">
        <v>2.5468517937570212E-2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48731</v>
      </c>
      <c r="Y1383" s="202">
        <f>_xll.qlInterestRateIndexValueDate(IborIndex,X1383,Trigger)</f>
        <v>48733</v>
      </c>
      <c r="Z1383" s="203">
        <v>2.5531336029341913E-2</v>
      </c>
      <c r="AA1383" s="200">
        <v>2.5465907225363793E-2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48738</v>
      </c>
      <c r="Y1384" s="202">
        <f>_xll.qlInterestRateIndexValueDate(IborIndex,X1384,Trigger)</f>
        <v>48740</v>
      </c>
      <c r="Z1384" s="203">
        <v>2.5527457119451639E-2</v>
      </c>
      <c r="AA1384" s="200">
        <v>2.5462842765398008E-2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48745</v>
      </c>
      <c r="Y1385" s="202">
        <f>_xll.qlInterestRateIndexValueDate(IborIndex,X1385,Trigger)</f>
        <v>48747</v>
      </c>
      <c r="Z1385" s="203">
        <v>2.5524229648762636E-2</v>
      </c>
      <c r="AA1385" s="200">
        <v>2.5459758243080444E-2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48752</v>
      </c>
      <c r="Y1386" s="202">
        <f>_xll.qlInterestRateIndexValueDate(IborIndex,X1386,Trigger)</f>
        <v>48754</v>
      </c>
      <c r="Z1386" s="203">
        <v>2.5520981986301126E-2</v>
      </c>
      <c r="AA1386" s="200">
        <v>2.5456653658730843E-2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48759</v>
      </c>
      <c r="Y1387" s="202">
        <f>_xll.qlInterestRateIndexValueDate(IborIndex,X1387,Trigger)</f>
        <v>48761</v>
      </c>
      <c r="Z1387" s="203">
        <v>2.5517714132118126E-2</v>
      </c>
      <c r="AA1387" s="200">
        <v>2.5453529012109399E-2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48766</v>
      </c>
      <c r="Y1388" s="202">
        <f>_xll.qlInterestRateIndexValueDate(IborIndex,X1388,Trigger)</f>
        <v>48768</v>
      </c>
      <c r="Z1388" s="203">
        <v>2.5515089358013224E-2</v>
      </c>
      <c r="AA1388" s="200">
        <v>2.5450384303296048E-2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48773</v>
      </c>
      <c r="Y1389" s="202">
        <f>_xll.qlInterestRateIndexValueDate(IborIndex,X1389,Trigger)</f>
        <v>48775</v>
      </c>
      <c r="Z1389" s="203">
        <v>2.5511117848796866E-2</v>
      </c>
      <c r="AA1389" s="200">
        <v>2.5447219532290788E-2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48780</v>
      </c>
      <c r="Y1390" s="202">
        <f>_xll.qlInterestRateIndexValueDate(IborIndex,X1390,Trigger)</f>
        <v>48782</v>
      </c>
      <c r="Z1390" s="203">
        <v>2.5507789419761499E-2</v>
      </c>
      <c r="AA1390" s="200">
        <v>2.5444034699173557E-2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48787</v>
      </c>
      <c r="Y1391" s="202">
        <f>_xll.qlInterestRateIndexValueDate(IborIndex,X1391,Trigger)</f>
        <v>48789</v>
      </c>
      <c r="Z1391" s="203">
        <v>2.5504440799213841E-2</v>
      </c>
      <c r="AA1391" s="200">
        <v>2.5440829803864418E-2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48794</v>
      </c>
      <c r="Y1392" s="202">
        <f>_xll.qlInterestRateIndexValueDate(IborIndex,X1392,Trigger)</f>
        <v>48796</v>
      </c>
      <c r="Z1392" s="203">
        <v>2.5501071987204065E-2</v>
      </c>
      <c r="AA1392" s="200">
        <v>2.5437604846363371E-2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48801</v>
      </c>
      <c r="Y1393" s="202">
        <f>_xll.qlInterestRateIndexValueDate(IborIndex,X1393,Trigger)</f>
        <v>48803</v>
      </c>
      <c r="Z1393" s="203">
        <v>2.5497682983787441E-2</v>
      </c>
      <c r="AA1393" s="200">
        <v>2.543435982659048E-2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48808</v>
      </c>
      <c r="Y1394" s="202">
        <f>_xll.qlInterestRateIndexValueDate(IborIndex,X1394,Trigger)</f>
        <v>48810</v>
      </c>
      <c r="Z1394" s="203">
        <v>2.5494273789015851E-2</v>
      </c>
      <c r="AA1394" s="200">
        <v>2.5431094744785554E-2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48815</v>
      </c>
      <c r="Y1395" s="202">
        <f>_xll.qlInterestRateIndexValueDate(IborIndex,X1395,Trigger)</f>
        <v>48817</v>
      </c>
      <c r="Z1395" s="203">
        <v>2.5490844402942862E-2</v>
      </c>
      <c r="AA1395" s="200">
        <v>2.5427338656784926E-2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48822</v>
      </c>
      <c r="Y1396" s="202">
        <f>_xll.qlInterestRateIndexValueDate(IborIndex,X1396,Trigger)</f>
        <v>48824</v>
      </c>
      <c r="Z1396" s="203">
        <v>2.5485444570262618E-2</v>
      </c>
      <c r="AA1396" s="200">
        <v>2.5424504394440106E-2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48829</v>
      </c>
      <c r="Y1397" s="202">
        <f>_xll.qlInterestRateIndexValueDate(IborIndex,X1397,Trigger)</f>
        <v>48831</v>
      </c>
      <c r="Z1397" s="203">
        <v>2.5481979861919097E-2</v>
      </c>
      <c r="AA1397" s="200">
        <v>2.5421179126059457E-2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48836</v>
      </c>
      <c r="Y1398" s="202">
        <f>_xll.qlInterestRateIndexValueDate(IborIndex,X1398,Trigger)</f>
        <v>48838</v>
      </c>
      <c r="Z1398" s="203">
        <v>2.5478494966599086E-2</v>
      </c>
      <c r="AA1398" s="200">
        <v>2.5417833795486899E-2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48843</v>
      </c>
      <c r="Y1399" s="202">
        <f>_xll.qlInterestRateIndexValueDate(IborIndex,X1399,Trigger)</f>
        <v>48845</v>
      </c>
      <c r="Z1399" s="203">
        <v>2.5474989884355297E-2</v>
      </c>
      <c r="AA1399" s="200">
        <v>2.541446840280237E-2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48850</v>
      </c>
      <c r="Y1400" s="202">
        <f>_xll.qlInterestRateIndexValueDate(IborIndex,X1400,Trigger)</f>
        <v>48852</v>
      </c>
      <c r="Z1400" s="203">
        <v>2.5471464615240434E-2</v>
      </c>
      <c r="AA1400" s="200">
        <v>2.5411082947845998E-2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48857</v>
      </c>
      <c r="Y1401" s="202">
        <f>_xll.qlInterestRateIndexValueDate(IborIndex,X1401,Trigger)</f>
        <v>48859</v>
      </c>
      <c r="Z1401" s="203">
        <v>2.5469844072225915E-2</v>
      </c>
      <c r="AA1401" s="200">
        <v>2.5407677430697717E-2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48864</v>
      </c>
      <c r="Y1402" s="202">
        <f>_xll.qlInterestRateIndexValueDate(IborIndex,X1402,Trigger)</f>
        <v>48866</v>
      </c>
      <c r="Z1402" s="203">
        <v>2.5466913029373976E-2</v>
      </c>
      <c r="AA1402" s="200">
        <v>2.5404251851357529E-2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48871</v>
      </c>
      <c r="Y1403" s="202">
        <f>_xll.qlInterestRateIndexValueDate(IborIndex,X1403,Trigger)</f>
        <v>48873</v>
      </c>
      <c r="Z1403" s="203">
        <v>2.5462682434058314E-2</v>
      </c>
      <c r="AA1403" s="200">
        <v>2.5400806209905369E-2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48878</v>
      </c>
      <c r="Y1404" s="202">
        <f>_xll.qlInterestRateIndexValueDate(IborIndex,X1404,Trigger)</f>
        <v>48880</v>
      </c>
      <c r="Z1404" s="203">
        <v>2.5459071328739716E-2</v>
      </c>
      <c r="AA1404" s="200">
        <v>2.5397340506261301E-2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48885</v>
      </c>
      <c r="Y1405" s="202">
        <f>_xll.qlInterestRateIndexValueDate(IborIndex,X1405,Trigger)</f>
        <v>48887</v>
      </c>
      <c r="Z1405" s="203">
        <v>2.5455440032673318E-2</v>
      </c>
      <c r="AA1405" s="200">
        <v>2.5393854740425326E-2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48892</v>
      </c>
      <c r="Y1406" s="202">
        <f>_xll.qlInterestRateIndexValueDate(IborIndex,X1406,Trigger)</f>
        <v>48897</v>
      </c>
      <c r="Z1406" s="203">
        <v>2.544895272094078E-2</v>
      </c>
      <c r="AA1406" s="200">
        <v>2.5389846442251951E-2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48899</v>
      </c>
      <c r="Y1407" s="202">
        <f>_xll.qlInterestRateIndexValueDate(IborIndex,X1407,Trigger)</f>
        <v>48901</v>
      </c>
      <c r="Z1407" s="203">
        <v>2.5448748058154141E-2</v>
      </c>
      <c r="AA1407" s="200">
        <v>2.5386823022257587E-2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48906</v>
      </c>
      <c r="Y1408" s="202">
        <f>_xll.qlInterestRateIndexValueDate(IborIndex,X1408,Trigger)</f>
        <v>48908</v>
      </c>
      <c r="Z1408" s="203">
        <v>2.544442500055881E-2</v>
      </c>
      <c r="AA1408" s="200">
        <v>2.5383277070005761E-2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48913</v>
      </c>
      <c r="Y1409" s="202">
        <f>_xll.qlInterestRateIndexValueDate(IborIndex,X1409,Trigger)</f>
        <v>48915</v>
      </c>
      <c r="Z1409" s="203">
        <v>2.543820047719425E-2</v>
      </c>
      <c r="AA1409" s="200">
        <v>2.537971105548209E-2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48920</v>
      </c>
      <c r="Y1410" s="202">
        <f>_xll.qlInterestRateIndexValueDate(IborIndex,X1410,Trigger)</f>
        <v>48922</v>
      </c>
      <c r="Z1410" s="203">
        <v>2.5434475046653304E-2</v>
      </c>
      <c r="AA1410" s="200">
        <v>2.5376124978766512E-2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48927</v>
      </c>
      <c r="Y1411" s="202">
        <f>_xll.qlInterestRateIndexValueDate(IborIndex,X1411,Trigger)</f>
        <v>48929</v>
      </c>
      <c r="Z1411" s="203">
        <v>2.5430729431227483E-2</v>
      </c>
      <c r="AA1411" s="200">
        <v>2.5372518839938962E-2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48934</v>
      </c>
      <c r="Y1412" s="202">
        <f>_xll.qlInterestRateIndexValueDate(IborIndex,X1412,Trigger)</f>
        <v>48936</v>
      </c>
      <c r="Z1412" s="203">
        <v>2.5426963630972743E-2</v>
      </c>
      <c r="AA1412" s="200">
        <v>2.5367852896627241E-2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48941</v>
      </c>
      <c r="Y1413" s="202">
        <f>_xll.qlInterestRateIndexValueDate(IborIndex,X1413,Trigger)</f>
        <v>48943</v>
      </c>
      <c r="Z1413" s="203">
        <v>2.5423799136365749E-2</v>
      </c>
      <c r="AA1413" s="200">
        <v>2.5364723843290804E-2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48948</v>
      </c>
      <c r="Y1414" s="202">
        <f>_xll.qlInterestRateIndexValueDate(IborIndex,X1414,Trigger)</f>
        <v>48950</v>
      </c>
      <c r="Z1414" s="203">
        <v>2.5419371476206543E-2</v>
      </c>
      <c r="AA1414" s="200">
        <v>2.5361580050384802E-2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48955</v>
      </c>
      <c r="Y1415" s="202">
        <f>_xll.qlInterestRateIndexValueDate(IborIndex,X1415,Trigger)</f>
        <v>48957</v>
      </c>
      <c r="Z1415" s="203">
        <v>2.5415545121808769E-2</v>
      </c>
      <c r="AA1415" s="200">
        <v>2.5357893662789621E-2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48962</v>
      </c>
      <c r="Y1416" s="202">
        <f>_xll.qlInterestRateIndexValueDate(IborIndex,X1416,Trigger)</f>
        <v>48964</v>
      </c>
      <c r="Z1416" s="203">
        <v>2.5411698582811226E-2</v>
      </c>
      <c r="AA1416" s="200">
        <v>2.5354187213162405E-2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48969</v>
      </c>
      <c r="Y1417" s="202">
        <f>_xll.qlInterestRateIndexValueDate(IborIndex,X1417,Trigger)</f>
        <v>48971</v>
      </c>
      <c r="Z1417" s="203">
        <v>2.5407831859271646E-2</v>
      </c>
      <c r="AA1417" s="200">
        <v>2.5350460701263344E-2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48976</v>
      </c>
      <c r="Y1418" s="202">
        <f>_xll.qlInterestRateIndexValueDate(IborIndex,X1418,Trigger)</f>
        <v>48978</v>
      </c>
      <c r="Z1418" s="203">
        <v>2.5403331888589092E-2</v>
      </c>
      <c r="AA1418" s="200">
        <v>2.5346714127252312E-2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48983</v>
      </c>
      <c r="Y1419" s="202">
        <f>_xll.qlInterestRateIndexValueDate(IborIndex,X1419,Trigger)</f>
        <v>48985</v>
      </c>
      <c r="Z1419" s="203">
        <v>2.5399426512588974E-2</v>
      </c>
      <c r="AA1419" s="200">
        <v>2.5342947491129308E-2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48990</v>
      </c>
      <c r="Y1420" s="202">
        <f>_xll.qlInterestRateIndexValueDate(IborIndex,X1420,Trigger)</f>
        <v>48992</v>
      </c>
      <c r="Z1420" s="203">
        <v>2.53955009535956E-2</v>
      </c>
      <c r="AA1420" s="200">
        <v>2.5339160792734461E-2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48997</v>
      </c>
      <c r="Y1421" s="202">
        <f>_xll.qlInterestRateIndexValueDate(IborIndex,X1421,Trigger)</f>
        <v>48999</v>
      </c>
      <c r="Z1421" s="203">
        <v>2.5391555211666455E-2</v>
      </c>
      <c r="AA1421" s="200">
        <v>2.5335354032227642E-2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49004</v>
      </c>
      <c r="Y1422" s="202">
        <f>_xll.qlInterestRateIndexValueDate(IborIndex,X1422,Trigger)</f>
        <v>49006</v>
      </c>
      <c r="Z1422" s="203">
        <v>2.5390618871641336E-2</v>
      </c>
      <c r="AA1422" s="200">
        <v>2.5331527209448979E-2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49011</v>
      </c>
      <c r="Y1423" s="202">
        <f>_xll.qlInterestRateIndexValueDate(IborIndex,X1423,Trigger)</f>
        <v>49013</v>
      </c>
      <c r="Z1423" s="203">
        <v>2.5386624152178034E-2</v>
      </c>
      <c r="AA1423" s="200">
        <v>2.5327680324718216E-2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49018</v>
      </c>
      <c r="Y1424" s="202">
        <f>_xll.qlInterestRateIndexValueDate(IborIndex,X1424,Trigger)</f>
        <v>49020</v>
      </c>
      <c r="Z1424" s="203">
        <v>2.5382609243105595E-2</v>
      </c>
      <c r="AA1424" s="200">
        <v>2.5323813377635673E-2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49025</v>
      </c>
      <c r="Y1425" s="202">
        <f>_xll.qlInterestRateIndexValueDate(IborIndex,X1425,Trigger)</f>
        <v>49027</v>
      </c>
      <c r="Z1425" s="203">
        <v>2.5378574144486105E-2</v>
      </c>
      <c r="AA1425" s="200">
        <v>2.5319926368521095E-2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49032</v>
      </c>
      <c r="Y1426" s="202">
        <f>_xll.qlInterestRateIndexValueDate(IborIndex,X1426,Trigger)</f>
        <v>49034</v>
      </c>
      <c r="Z1426" s="203">
        <v>2.5372722208720999E-2</v>
      </c>
      <c r="AA1426" s="200">
        <v>2.5316019297214609E-2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49039</v>
      </c>
      <c r="Y1427" s="202">
        <f>_xll.qlInterestRateIndexValueDate(IborIndex,X1427,Trigger)</f>
        <v>49045</v>
      </c>
      <c r="Z1427" s="203">
        <v>2.5366316970703653E-2</v>
      </c>
      <c r="AA1427" s="200">
        <v>2.5310966440681426E-2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49046</v>
      </c>
      <c r="Y1428" s="202">
        <f>_xll.qlInterestRateIndexValueDate(IborIndex,X1428,Trigger)</f>
        <v>49048</v>
      </c>
      <c r="Z1428" s="203">
        <v>2.5364561436790251E-2</v>
      </c>
      <c r="AA1428" s="200">
        <v>2.530814496810585E-2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49053</v>
      </c>
      <c r="Y1429" s="202">
        <f>_xll.qlInterestRateIndexValueDate(IborIndex,X1429,Trigger)</f>
        <v>49055</v>
      </c>
      <c r="Z1429" s="203">
        <v>2.5360450773008136E-2</v>
      </c>
      <c r="AA1429" s="200">
        <v>2.5304177710143705E-2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49060</v>
      </c>
      <c r="Y1430" s="202">
        <f>_xll.qlInterestRateIndexValueDate(IborIndex,X1430,Trigger)</f>
        <v>49062</v>
      </c>
      <c r="Z1430" s="203">
        <v>2.5358095810425273E-2</v>
      </c>
      <c r="AA1430" s="200">
        <v>2.5299619135425999E-2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49067</v>
      </c>
      <c r="Y1431" s="202">
        <f>_xll.qlInterestRateIndexValueDate(IborIndex,X1431,Trigger)</f>
        <v>49069</v>
      </c>
      <c r="Z1431" s="203">
        <v>2.5353939575870454E-2</v>
      </c>
      <c r="AA1431" s="200">
        <v>2.5296183008123307E-2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49074</v>
      </c>
      <c r="Y1432" s="202">
        <f>_xll.qlInterestRateIndexValueDate(IborIndex,X1432,Trigger)</f>
        <v>49076</v>
      </c>
      <c r="Z1432" s="203">
        <v>2.5349763152219283E-2</v>
      </c>
      <c r="AA1432" s="200">
        <v>2.5292155563825247E-2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49081</v>
      </c>
      <c r="Y1433" s="202">
        <f>_xll.qlInterestRateIndexValueDate(IborIndex,X1433,Trigger)</f>
        <v>49083</v>
      </c>
      <c r="Z1433" s="203">
        <v>2.5345566539538941E-2</v>
      </c>
      <c r="AA1433" s="200">
        <v>2.5288108057335279E-2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49088</v>
      </c>
      <c r="Y1434" s="202">
        <f>_xll.qlInterestRateIndexValueDate(IborIndex,X1434,Trigger)</f>
        <v>49090</v>
      </c>
      <c r="Z1434" s="203">
        <v>2.5341934480720276E-2</v>
      </c>
      <c r="AA1434" s="200">
        <v>2.5283457769820217E-2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49095</v>
      </c>
      <c r="Y1435" s="202">
        <f>_xll.qlInterestRateIndexValueDate(IborIndex,X1435,Trigger)</f>
        <v>49097</v>
      </c>
      <c r="Z1435" s="203">
        <v>2.5337695750765457E-2</v>
      </c>
      <c r="AA1435" s="200">
        <v>2.5279952858099364E-2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49102</v>
      </c>
      <c r="Y1436" s="202">
        <f>_xll.qlInterestRateIndexValueDate(IborIndex,X1436,Trigger)</f>
        <v>49104</v>
      </c>
      <c r="Z1436" s="203">
        <v>2.533285556797513E-2</v>
      </c>
      <c r="AA1436" s="200">
        <v>2.5275845165113608E-2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49109</v>
      </c>
      <c r="Y1437" s="202">
        <f>_xll.qlInterestRateIndexValueDate(IborIndex,X1437,Trigger)</f>
        <v>49111</v>
      </c>
      <c r="Z1437" s="203">
        <v>2.5328578199835448E-2</v>
      </c>
      <c r="AA1437" s="200">
        <v>2.5271717410095818E-2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49116</v>
      </c>
      <c r="Y1438" s="202">
        <f>_xll.qlInterestRateIndexValueDate(IborIndex,X1438,Trigger)</f>
        <v>49118</v>
      </c>
      <c r="Z1438" s="203">
        <v>2.5324280642999096E-2</v>
      </c>
      <c r="AA1438" s="200">
        <v>2.5267569592886119E-2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49123</v>
      </c>
      <c r="Y1439" s="202">
        <f>_xll.qlInterestRateIndexValueDate(IborIndex,X1439,Trigger)</f>
        <v>49125</v>
      </c>
      <c r="Z1439" s="203">
        <v>2.5318233963612134E-2</v>
      </c>
      <c r="AA1439" s="200">
        <v>2.5263401713484512E-2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49130</v>
      </c>
      <c r="Y1440" s="202">
        <f>_xll.qlInterestRateIndexValueDate(IborIndex,X1440,Trigger)</f>
        <v>49132</v>
      </c>
      <c r="Z1440" s="203">
        <v>2.5316199249450458E-2</v>
      </c>
      <c r="AA1440" s="200">
        <v>2.5259213771970934E-2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49137</v>
      </c>
      <c r="Y1441" s="202">
        <f>_xll.qlInterestRateIndexValueDate(IborIndex,X1441,Trigger)</f>
        <v>49139</v>
      </c>
      <c r="Z1441" s="203">
        <v>2.5311266840980954E-2</v>
      </c>
      <c r="AA1441" s="200">
        <v>2.5255005768345384E-2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49144</v>
      </c>
      <c r="Y1442" s="202">
        <f>_xll.qlInterestRateIndexValueDate(IborIndex,X1442,Trigger)</f>
        <v>49146</v>
      </c>
      <c r="Z1442" s="203">
        <v>2.5306888530033118E-2</v>
      </c>
      <c r="AA1442" s="200">
        <v>2.5250777702447991E-2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49151</v>
      </c>
      <c r="Y1443" s="202">
        <f>_xll.qlInterestRateIndexValueDate(IborIndex,X1443,Trigger)</f>
        <v>49153</v>
      </c>
      <c r="Z1443" s="203">
        <v>2.530249003072961E-2</v>
      </c>
      <c r="AA1443" s="200">
        <v>2.5246529574518561E-2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49158</v>
      </c>
      <c r="Y1444" s="202">
        <f>_xll.qlInterestRateIndexValueDate(IborIndex,X1444,Trigger)</f>
        <v>49160</v>
      </c>
      <c r="Z1444" s="203">
        <v>2.5298071343136767E-2</v>
      </c>
      <c r="AA1444" s="200">
        <v>2.5242261384397224E-2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49165</v>
      </c>
      <c r="Y1445" s="202">
        <f>_xll.qlInterestRateIndexValueDate(IborIndex,X1445,Trigger)</f>
        <v>49167</v>
      </c>
      <c r="Z1445" s="203">
        <v>2.5293632467326868E-2</v>
      </c>
      <c r="AA1445" s="200">
        <v>2.5237973132163916E-2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49172</v>
      </c>
      <c r="Y1446" s="202">
        <f>_xll.qlInterestRateIndexValueDate(IborIndex,X1446,Trigger)</f>
        <v>49174</v>
      </c>
      <c r="Z1446" s="203">
        <v>2.5289173403367945E-2</v>
      </c>
      <c r="AA1446" s="200">
        <v>2.5233664817818635E-2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49179</v>
      </c>
      <c r="Y1447" s="202">
        <f>_xll.qlInterestRateIndexValueDate(IborIndex,X1447,Trigger)</f>
        <v>49181</v>
      </c>
      <c r="Z1447" s="203">
        <v>2.528469415133228E-2</v>
      </c>
      <c r="AA1447" s="200">
        <v>2.5228716464011924E-2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49186</v>
      </c>
      <c r="Y1448" s="202">
        <f>_xll.qlInterestRateIndexValueDate(IborIndex,X1448,Trigger)</f>
        <v>49188</v>
      </c>
      <c r="Z1448" s="203">
        <v>2.5278513059936471E-2</v>
      </c>
      <c r="AA1448" s="200">
        <v>2.5224988002552351E-2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49193</v>
      </c>
      <c r="Y1449" s="202">
        <f>_xll.qlInterestRateIndexValueDate(IborIndex,X1449,Trigger)</f>
        <v>49195</v>
      </c>
      <c r="Z1449" s="203">
        <v>2.5273998705881942E-2</v>
      </c>
      <c r="AA1449" s="200">
        <v>2.5220619501711283E-2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49200</v>
      </c>
      <c r="Y1450" s="202">
        <f>_xll.qlInterestRateIndexValueDate(IborIndex,X1450,Trigger)</f>
        <v>49202</v>
      </c>
      <c r="Z1450" s="203">
        <v>2.5269464168015867E-2</v>
      </c>
      <c r="AA1450" s="200">
        <v>2.5216230938678308E-2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49207</v>
      </c>
      <c r="Y1451" s="202">
        <f>_xll.qlInterestRateIndexValueDate(IborIndex,X1451,Trigger)</f>
        <v>49209</v>
      </c>
      <c r="Z1451" s="203">
        <v>2.5264909446404128E-2</v>
      </c>
      <c r="AA1451" s="200">
        <v>2.5211822313533361E-2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49214</v>
      </c>
      <c r="Y1452" s="202">
        <f>_xll.qlInterestRateIndexValueDate(IborIndex,X1452,Trigger)</f>
        <v>49216</v>
      </c>
      <c r="Z1452" s="203">
        <v>2.5260334541117875E-2</v>
      </c>
      <c r="AA1452" s="200">
        <v>2.5207393626276442E-2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49221</v>
      </c>
      <c r="Y1453" s="202">
        <f>_xll.qlInterestRateIndexValueDate(IborIndex,X1453,Trigger)</f>
        <v>49223</v>
      </c>
      <c r="Z1453" s="203">
        <v>2.5257394693433768E-2</v>
      </c>
      <c r="AA1453" s="200">
        <v>2.5202944876827615E-2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49228</v>
      </c>
      <c r="Y1454" s="202">
        <f>_xll.qlInterestRateIndexValueDate(IborIndex,X1454,Trigger)</f>
        <v>49230</v>
      </c>
      <c r="Z1454" s="203">
        <v>2.5253323823573294E-2</v>
      </c>
      <c r="AA1454" s="200">
        <v>2.5198476065266817E-2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49235</v>
      </c>
      <c r="Y1455" s="202">
        <f>_xll.qlInterestRateIndexValueDate(IborIndex,X1455,Trigger)</f>
        <v>49237</v>
      </c>
      <c r="Z1455" s="203">
        <v>2.5248133372737045E-2</v>
      </c>
      <c r="AA1455" s="200">
        <v>2.5193987191594047E-2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49242</v>
      </c>
      <c r="Y1456" s="202">
        <f>_xll.qlInterestRateIndexValueDate(IborIndex,X1456,Trigger)</f>
        <v>49244</v>
      </c>
      <c r="Z1456" s="203">
        <v>2.5243472431202188E-2</v>
      </c>
      <c r="AA1456" s="200">
        <v>2.5189478255729369E-2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49249</v>
      </c>
      <c r="Y1457" s="202">
        <f>_xll.qlInterestRateIndexValueDate(IborIndex,X1457,Trigger)</f>
        <v>49251</v>
      </c>
      <c r="Z1457" s="203">
        <v>2.5238791597721369E-2</v>
      </c>
      <c r="AA1457" s="200">
        <v>2.518494925775272E-2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49256</v>
      </c>
      <c r="Y1458" s="202">
        <f>_xll.qlInterestRateIndexValueDate(IborIndex,X1458,Trigger)</f>
        <v>49261</v>
      </c>
      <c r="Z1458" s="203">
        <v>2.5230988632293276E-2</v>
      </c>
      <c r="AA1458" s="200">
        <v>2.5179748694252879E-2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49263</v>
      </c>
      <c r="Y1459" s="202">
        <f>_xll.qlInterestRateIndexValueDate(IborIndex,X1459,Trigger)</f>
        <v>49265</v>
      </c>
      <c r="Z1459" s="203">
        <v>2.5229921866988515E-2</v>
      </c>
      <c r="AA1459" s="200">
        <v>2.5175831075463506E-2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49270</v>
      </c>
      <c r="Y1460" s="202">
        <f>_xll.qlInterestRateIndexValueDate(IborIndex,X1460,Trigger)</f>
        <v>49272</v>
      </c>
      <c r="Z1460" s="203">
        <v>2.5224653711886563E-2</v>
      </c>
      <c r="AA1460" s="200">
        <v>2.517124189099107E-2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49277</v>
      </c>
      <c r="Y1461" s="202">
        <f>_xll.qlInterestRateIndexValueDate(IborIndex,X1461,Trigger)</f>
        <v>49279</v>
      </c>
      <c r="Z1461" s="203">
        <v>2.5217752816892869E-2</v>
      </c>
      <c r="AA1461" s="200">
        <v>2.5166632644566533E-2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49284</v>
      </c>
      <c r="Y1462" s="202">
        <f>_xll.qlInterestRateIndexValueDate(IborIndex,X1462,Trigger)</f>
        <v>49286</v>
      </c>
      <c r="Z1462" s="203">
        <v>2.5213011631286975E-2</v>
      </c>
      <c r="AA1462" s="200">
        <v>2.5162003335870153E-2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49291</v>
      </c>
      <c r="Y1463" s="202">
        <f>_xll.qlInterestRateIndexValueDate(IborIndex,X1463,Trigger)</f>
        <v>49293</v>
      </c>
      <c r="Z1463" s="203">
        <v>2.5208265798306151E-2</v>
      </c>
      <c r="AA1463" s="200">
        <v>2.5157353965061802E-2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49298</v>
      </c>
      <c r="Y1464" s="202">
        <f>_xll.qlInterestRateIndexValueDate(IborIndex,X1464,Trigger)</f>
        <v>49300</v>
      </c>
      <c r="Z1464" s="203">
        <v>2.5203518256875057E-2</v>
      </c>
      <c r="AA1464" s="200">
        <v>2.5151346723557566E-2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49305</v>
      </c>
      <c r="Y1465" s="202">
        <f>_xll.qlInterestRateIndexValueDate(IborIndex,X1465,Trigger)</f>
        <v>49307</v>
      </c>
      <c r="Z1465" s="203">
        <v>2.5199314176752963E-2</v>
      </c>
      <c r="AA1465" s="200">
        <v>2.5147323471506056E-2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49312</v>
      </c>
      <c r="Y1466" s="202">
        <f>_xll.qlInterestRateIndexValueDate(IborIndex,X1466,Trigger)</f>
        <v>49314</v>
      </c>
      <c r="Z1466" s="203">
        <v>2.5194029804298523E-2</v>
      </c>
      <c r="AA1466" s="200">
        <v>2.5143285479964916E-2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49319</v>
      </c>
      <c r="Y1467" s="202">
        <f>_xll.qlInterestRateIndexValueDate(IborIndex,X1467,Trigger)</f>
        <v>49321</v>
      </c>
      <c r="Z1467" s="203">
        <v>2.5189294770933124E-2</v>
      </c>
      <c r="AA1467" s="200">
        <v>2.513855586046887E-2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49326</v>
      </c>
      <c r="Y1468" s="202">
        <f>_xll.qlInterestRateIndexValueDate(IborIndex,X1468,Trigger)</f>
        <v>49328</v>
      </c>
      <c r="Z1468" s="203">
        <v>2.5184569784687305E-2</v>
      </c>
      <c r="AA1468" s="200">
        <v>2.5133806179020723E-2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49333</v>
      </c>
      <c r="Y1469" s="202">
        <f>_xll.qlInterestRateIndexValueDate(IborIndex,X1469,Trigger)</f>
        <v>49335</v>
      </c>
      <c r="Z1469" s="203">
        <v>2.5179857784413784E-2</v>
      </c>
      <c r="AA1469" s="200">
        <v>2.5129036563198426E-2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49340</v>
      </c>
      <c r="Y1470" s="202">
        <f>_xll.qlInterestRateIndexValueDate(IborIndex,X1470,Trigger)</f>
        <v>49342</v>
      </c>
      <c r="Z1470" s="203">
        <v>2.5174615427155198E-2</v>
      </c>
      <c r="AA1470" s="200">
        <v>2.5124268215721557E-2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49347</v>
      </c>
      <c r="Y1471" s="202">
        <f>_xll.qlInterestRateIndexValueDate(IborIndex,X1471,Trigger)</f>
        <v>49349</v>
      </c>
      <c r="Z1471" s="203">
        <v>2.5169935894643596E-2</v>
      </c>
      <c r="AA1471" s="200">
        <v>2.5119517358254129E-2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49354</v>
      </c>
      <c r="Y1472" s="202">
        <f>_xll.qlInterestRateIndexValueDate(IborIndex,X1472,Trigger)</f>
        <v>49356</v>
      </c>
      <c r="Z1472" s="203">
        <v>2.5165273964913252E-2</v>
      </c>
      <c r="AA1472" s="200">
        <v>2.5114783990556333E-2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49361</v>
      </c>
      <c r="Y1473" s="202">
        <f>_xll.qlInterestRateIndexValueDate(IborIndex,X1473,Trigger)</f>
        <v>49363</v>
      </c>
      <c r="Z1473" s="203">
        <v>2.516062963790219E-2</v>
      </c>
      <c r="AA1473" s="200">
        <v>2.5110068112788042E-2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49368</v>
      </c>
      <c r="Y1474" s="202">
        <f>_xll.qlInterestRateIndexValueDate(IborIndex,X1474,Trigger)</f>
        <v>49370</v>
      </c>
      <c r="Z1474" s="203">
        <v>2.5158753942334633E-2</v>
      </c>
      <c r="AA1474" s="200">
        <v>2.510536972486932E-2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49375</v>
      </c>
      <c r="Y1475" s="202">
        <f>_xll.qlInterestRateIndexValueDate(IborIndex,X1475,Trigger)</f>
        <v>49377</v>
      </c>
      <c r="Z1475" s="203">
        <v>2.5154149503967028E-2</v>
      </c>
      <c r="AA1475" s="200">
        <v>2.5100688826880102E-2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49382</v>
      </c>
      <c r="Y1476" s="202">
        <f>_xll.qlInterestRateIndexValueDate(IborIndex,X1476,Trigger)</f>
        <v>49384</v>
      </c>
      <c r="Z1476" s="203">
        <v>2.5149562674540112E-2</v>
      </c>
      <c r="AA1476" s="200">
        <v>2.5096025418660517E-2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49389</v>
      </c>
      <c r="Y1477" s="202">
        <f>_xll.qlInterestRateIndexValueDate(IborIndex,X1477,Trigger)</f>
        <v>49395</v>
      </c>
      <c r="Z1477" s="203">
        <v>2.5141282916381263E-2</v>
      </c>
      <c r="AA1477" s="200">
        <v>2.5090055307614989E-2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49396</v>
      </c>
      <c r="Y1478" s="202">
        <f>_xll.qlInterestRateIndexValueDate(IborIndex,X1478,Trigger)</f>
        <v>49398</v>
      </c>
      <c r="Z1478" s="203">
        <v>2.5138779615022217E-2</v>
      </c>
      <c r="AA1478" s="200">
        <v>2.5086751072009861E-2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49403</v>
      </c>
      <c r="Y1479" s="202">
        <f>_xll.qlInterestRateIndexValueDate(IborIndex,X1479,Trigger)</f>
        <v>49405</v>
      </c>
      <c r="Z1479" s="203">
        <v>2.5134242786178186E-2</v>
      </c>
      <c r="AA1479" s="200">
        <v>2.5082140133418918E-2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49410</v>
      </c>
      <c r="Y1480" s="202">
        <f>_xll.qlInterestRateIndexValueDate(IborIndex,X1480,Trigger)</f>
        <v>49412</v>
      </c>
      <c r="Z1480" s="203">
        <v>2.5129723562194142E-2</v>
      </c>
      <c r="AA1480" s="200">
        <v>2.5077546684837415E-2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49417</v>
      </c>
      <c r="Y1481" s="202">
        <f>_xll.qlInterestRateIndexValueDate(IborIndex,X1481,Trigger)</f>
        <v>49419</v>
      </c>
      <c r="Z1481" s="203">
        <v>2.5125221943006835E-2</v>
      </c>
      <c r="AA1481" s="200">
        <v>2.5072970726025545E-2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49424</v>
      </c>
      <c r="Y1482" s="202">
        <f>_xll.qlInterestRateIndexValueDate(IborIndex,X1482,Trigger)</f>
        <v>49426</v>
      </c>
      <c r="Z1482" s="203">
        <v>2.5120737928558297E-2</v>
      </c>
      <c r="AA1482" s="200">
        <v>2.506841225714318E-2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49431</v>
      </c>
      <c r="Y1483" s="202">
        <f>_xll.qlInterestRateIndexValueDate(IborIndex,X1483,Trigger)</f>
        <v>49433</v>
      </c>
      <c r="Z1483" s="203">
        <v>2.5117947913647513E-2</v>
      </c>
      <c r="AA1483" s="200">
        <v>2.5063223994443717E-2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49438</v>
      </c>
      <c r="Y1484" s="202">
        <f>_xll.qlInterestRateIndexValueDate(IborIndex,X1484,Trigger)</f>
        <v>49440</v>
      </c>
      <c r="Z1484" s="203">
        <v>2.5113501953504494E-2</v>
      </c>
      <c r="AA1484" s="200">
        <v>2.5059347788927155E-2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49445</v>
      </c>
      <c r="Y1485" s="202">
        <f>_xll.qlInterestRateIndexValueDate(IborIndex,X1485,Trigger)</f>
        <v>49447</v>
      </c>
      <c r="Z1485" s="203">
        <v>2.510907360174516E-2</v>
      </c>
      <c r="AA1485" s="200">
        <v>2.5054841789593496E-2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49452</v>
      </c>
      <c r="Y1486" s="202">
        <f>_xll.qlInterestRateIndexValueDate(IborIndex,X1486,Trigger)</f>
        <v>49454</v>
      </c>
      <c r="Z1486" s="203">
        <v>2.5105224739297979E-2</v>
      </c>
      <c r="AA1486" s="200">
        <v>2.5049713492286685E-2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49459</v>
      </c>
      <c r="Y1487" s="202">
        <f>_xll.qlInterestRateIndexValueDate(IborIndex,X1487,Trigger)</f>
        <v>49461</v>
      </c>
      <c r="Z1487" s="203">
        <v>2.5100832556603805E-2</v>
      </c>
      <c r="AA1487" s="200">
        <v>2.5045882260634755E-2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49466</v>
      </c>
      <c r="Y1488" s="202">
        <f>_xll.qlInterestRateIndexValueDate(IborIndex,X1488,Trigger)</f>
        <v>49468</v>
      </c>
      <c r="Z1488" s="203">
        <v>2.5095894196167218E-2</v>
      </c>
      <c r="AA1488" s="200">
        <v>2.5041428730849802E-2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49473</v>
      </c>
      <c r="Y1489" s="202">
        <f>_xll.qlInterestRateIndexValueDate(IborIndex,X1489,Trigger)</f>
        <v>49475</v>
      </c>
      <c r="Z1489" s="203">
        <v>2.5091536277338015E-2</v>
      </c>
      <c r="AA1489" s="200">
        <v>2.5036992691074289E-2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49480</v>
      </c>
      <c r="Y1490" s="202">
        <f>_xll.qlInterestRateIndexValueDate(IborIndex,X1490,Trigger)</f>
        <v>49482</v>
      </c>
      <c r="Z1490" s="203">
        <v>2.5087195966593159E-2</v>
      </c>
      <c r="AA1490" s="200">
        <v>2.5032574141068409E-2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49487</v>
      </c>
      <c r="Y1491" s="202">
        <f>_xll.qlInterestRateIndexValueDate(IborIndex,X1491,Trigger)</f>
        <v>49489</v>
      </c>
      <c r="Z1491" s="203">
        <v>2.5081174002017224E-2</v>
      </c>
      <c r="AA1491" s="200">
        <v>2.5028173080992033E-2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49494</v>
      </c>
      <c r="Y1492" s="202">
        <f>_xll.qlInterestRateIndexValueDate(IborIndex,X1492,Trigger)</f>
        <v>49496</v>
      </c>
      <c r="Z1492" s="203">
        <v>2.507913578404837E-2</v>
      </c>
      <c r="AA1492" s="200">
        <v>2.5023789510765226E-2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49501</v>
      </c>
      <c r="Y1493" s="202">
        <f>_xll.qlInterestRateIndexValueDate(IborIndex,X1493,Trigger)</f>
        <v>49503</v>
      </c>
      <c r="Z1493" s="203">
        <v>2.5074280682261793E-2</v>
      </c>
      <c r="AA1493" s="200">
        <v>2.5019423430467924E-2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49508</v>
      </c>
      <c r="Y1494" s="202">
        <f>_xll.qlInterestRateIndexValueDate(IborIndex,X1494,Trigger)</f>
        <v>49510</v>
      </c>
      <c r="Z1494" s="203">
        <v>2.5070010803255681E-2</v>
      </c>
      <c r="AA1494" s="200">
        <v>2.5015074839940254E-2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49515</v>
      </c>
      <c r="Y1495" s="202">
        <f>_xll.qlInterestRateIndexValueDate(IborIndex,X1495,Trigger)</f>
        <v>49517</v>
      </c>
      <c r="Z1495" s="203">
        <v>2.5065758532037134E-2</v>
      </c>
      <c r="AA1495" s="200">
        <v>2.5010743739342089E-2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49522</v>
      </c>
      <c r="Y1496" s="202">
        <f>_xll.qlInterestRateIndexValueDate(IborIndex,X1496,Trigger)</f>
        <v>49524</v>
      </c>
      <c r="Z1496" s="203">
        <v>2.5061523868550033E-2</v>
      </c>
      <c r="AA1496" s="200">
        <v>2.5006430128593493E-2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49529</v>
      </c>
      <c r="Y1497" s="202">
        <f>_xll.qlInterestRateIndexValueDate(IborIndex,X1497,Trigger)</f>
        <v>49531</v>
      </c>
      <c r="Z1497" s="203">
        <v>2.5057879240868417E-2</v>
      </c>
      <c r="AA1497" s="200">
        <v>2.5002134007694465E-2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49536</v>
      </c>
      <c r="Y1498" s="202">
        <f>_xll.qlInterestRateIndexValueDate(IborIndex,X1498,Trigger)</f>
        <v>49538</v>
      </c>
      <c r="Z1498" s="203">
        <v>2.5053107364531198E-2</v>
      </c>
      <c r="AA1498" s="200">
        <v>2.4997855376645006E-2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49543</v>
      </c>
      <c r="Y1499" s="202">
        <f>_xll.qlInterestRateIndexValueDate(IborIndex,X1499,Trigger)</f>
        <v>49545</v>
      </c>
      <c r="Z1499" s="203">
        <v>2.5048925523885518E-2</v>
      </c>
      <c r="AA1499" s="200">
        <v>2.4992986928760175E-2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49550</v>
      </c>
      <c r="Y1500" s="202">
        <f>_xll.qlInterestRateIndexValueDate(IborIndex,X1500,Trigger)</f>
        <v>49552</v>
      </c>
      <c r="Z1500" s="203">
        <v>2.5043036012099434E-2</v>
      </c>
      <c r="AA1500" s="200">
        <v>2.498935058417473E-2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49557</v>
      </c>
      <c r="Y1501" s="202">
        <f>_xll.qlInterestRateIndexValueDate(IborIndex,X1501,Trigger)</f>
        <v>49559</v>
      </c>
      <c r="Z1501" s="203">
        <v>2.5038886476647485E-2</v>
      </c>
      <c r="AA1501" s="200">
        <v>2.4985124422594041E-2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49564</v>
      </c>
      <c r="Y1502" s="202">
        <f>_xll.qlInterestRateIndexValueDate(IborIndex,X1502,Trigger)</f>
        <v>49566</v>
      </c>
      <c r="Z1502" s="203">
        <v>2.5034754544790601E-2</v>
      </c>
      <c r="AA1502" s="200">
        <v>2.4980915751102728E-2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49571</v>
      </c>
      <c r="Y1503" s="202">
        <f>_xll.qlInterestRateIndexValueDate(IborIndex,X1503,Trigger)</f>
        <v>49573</v>
      </c>
      <c r="Z1503" s="203">
        <v>2.5030640216471681E-2</v>
      </c>
      <c r="AA1503" s="200">
        <v>2.4976724569381048E-2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49578</v>
      </c>
      <c r="Y1504" s="202">
        <f>_xll.qlInterestRateIndexValueDate(IborIndex,X1504,Trigger)</f>
        <v>49580</v>
      </c>
      <c r="Z1504" s="203">
        <v>2.5028280432002666E-2</v>
      </c>
      <c r="AA1504" s="200">
        <v>2.4972550877429001E-2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49585</v>
      </c>
      <c r="Y1505" s="202">
        <f>_xll.qlInterestRateIndexValueDate(IborIndex,X1505,Trigger)</f>
        <v>49587</v>
      </c>
      <c r="Z1505" s="203">
        <v>2.5024204235499781E-2</v>
      </c>
      <c r="AA1505" s="200">
        <v>2.4968394675406458E-2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49592</v>
      </c>
      <c r="Y1506" s="202">
        <f>_xll.qlInterestRateIndexValueDate(IborIndex,X1506,Trigger)</f>
        <v>49594</v>
      </c>
      <c r="Z1506" s="203">
        <v>2.5020145646158579E-2</v>
      </c>
      <c r="AA1506" s="200">
        <v>2.4964255963153548E-2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49599</v>
      </c>
      <c r="Y1507" s="202">
        <f>_xll.qlInterestRateIndexValueDate(IborIndex,X1507,Trigger)</f>
        <v>49601</v>
      </c>
      <c r="Z1507" s="203">
        <v>2.5016686813358158E-2</v>
      </c>
      <c r="AA1507" s="200">
        <v>2.4960134740910078E-2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49606</v>
      </c>
      <c r="Y1508" s="202">
        <f>_xll.qlInterestRateIndexValueDate(IborIndex,X1508,Trigger)</f>
        <v>49608</v>
      </c>
      <c r="Z1508" s="203">
        <v>2.5012081288732481E-2</v>
      </c>
      <c r="AA1508" s="200">
        <v>2.4956031008516177E-2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49613</v>
      </c>
      <c r="Y1509" s="202">
        <f>_xll.qlInterestRateIndexValueDate(IborIndex,X1509,Trigger)</f>
        <v>49615</v>
      </c>
      <c r="Z1509" s="203">
        <v>2.5008075520538738E-2</v>
      </c>
      <c r="AA1509" s="200">
        <v>2.4951944765811973E-2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49620</v>
      </c>
      <c r="Y1510" s="202">
        <f>_xll.qlInterestRateIndexValueDate(IborIndex,X1510,Trigger)</f>
        <v>49622</v>
      </c>
      <c r="Z1510" s="203">
        <v>2.5004087359284728E-2</v>
      </c>
      <c r="AA1510" s="200">
        <v>2.4947876013117209E-2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49627</v>
      </c>
      <c r="Y1511" s="202">
        <f>_xll.qlInterestRateIndexValueDate(IborIndex,X1511,Trigger)</f>
        <v>49629</v>
      </c>
      <c r="Z1511" s="203">
        <v>2.5000702878199135E-2</v>
      </c>
      <c r="AA1511" s="200">
        <v>2.4943824750272015E-2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49634</v>
      </c>
      <c r="Y1512" s="202">
        <f>_xll.qlInterestRateIndexValueDate(IborIndex,X1512,Trigger)</f>
        <v>49636</v>
      </c>
      <c r="Z1512" s="203">
        <v>2.4996163857375669E-2</v>
      </c>
      <c r="AA1512" s="200">
        <v>2.4939790977196452E-2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49641</v>
      </c>
      <c r="Y1513" s="202">
        <f>_xll.qlInterestRateIndexValueDate(IborIndex,X1513,Trigger)</f>
        <v>49643</v>
      </c>
      <c r="Z1513" s="203">
        <v>2.4990465116015614E-2</v>
      </c>
      <c r="AA1513" s="200">
        <v>2.4935774694050394E-2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49648</v>
      </c>
      <c r="Y1514" s="202">
        <f>_xll.qlInterestRateIndexValueDate(IborIndex,X1514,Trigger)</f>
        <v>49650</v>
      </c>
      <c r="Z1514" s="203">
        <v>2.4986544423070807E-2</v>
      </c>
      <c r="AA1514" s="200">
        <v>2.4931775900673969E-2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49655</v>
      </c>
      <c r="Y1515" s="202">
        <f>_xll.qlInterestRateIndexValueDate(IborIndex,X1515,Trigger)</f>
        <v>49657</v>
      </c>
      <c r="Z1515" s="203">
        <v>2.4982641333025354E-2</v>
      </c>
      <c r="AA1515" s="200">
        <v>2.4927794597227049E-2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49662</v>
      </c>
      <c r="Y1516" s="202">
        <f>_xll.qlInterestRateIndexValueDate(IborIndex,X1516,Trigger)</f>
        <v>49664</v>
      </c>
      <c r="Z1516" s="203">
        <v>2.4978755845827434E-2</v>
      </c>
      <c r="AA1516" s="200">
        <v>2.4922701477860798E-2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49670</v>
      </c>
      <c r="Y1517" s="202">
        <f>_xll.qlInterestRateIndexValueDate(IborIndex,X1517,Trigger)</f>
        <v>49674</v>
      </c>
      <c r="Z1517" s="203">
        <v>2.4973235685280745E-2</v>
      </c>
      <c r="AA1517" s="200">
        <v>2.4918760151155794E-2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49677</v>
      </c>
      <c r="Y1518" s="202">
        <f>_xll.qlInterestRateIndexValueDate(IborIndex,X1518,Trigger)</f>
        <v>49681</v>
      </c>
      <c r="Z1518" s="203">
        <v>2.4969392947640567E-2</v>
      </c>
      <c r="AA1518" s="200">
        <v>2.4915395791644812E-2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49684</v>
      </c>
      <c r="Y1519" s="202">
        <f>_xll.qlInterestRateIndexValueDate(IborIndex,X1519,Trigger)</f>
        <v>49688</v>
      </c>
      <c r="Z1519" s="203">
        <v>2.4966161852997756E-2</v>
      </c>
      <c r="AA1519" s="200">
        <v>2.4911486946077588E-2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49691</v>
      </c>
      <c r="Y1520" s="202">
        <f>_xll.qlInterestRateIndexValueDate(IborIndex,X1520,Trigger)</f>
        <v>49696</v>
      </c>
      <c r="Z1520" s="203">
        <v>2.4961217784078196E-2</v>
      </c>
      <c r="AA1520" s="200">
        <v>2.4907041110218131E-2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49698</v>
      </c>
      <c r="Y1521" s="202">
        <f>_xll.qlInterestRateIndexValueDate(IborIndex,X1521,Trigger)</f>
        <v>49702</v>
      </c>
      <c r="Z1521" s="203">
        <v>2.4957970350548198E-2</v>
      </c>
      <c r="AA1521" s="200">
        <v>2.4903721724571781E-2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49705</v>
      </c>
      <c r="Y1522" s="202">
        <f>_xll.qlInterestRateIndexValueDate(IborIndex,X1522,Trigger)</f>
        <v>49709</v>
      </c>
      <c r="Z1522" s="203">
        <v>2.4954795050000648E-2</v>
      </c>
      <c r="AA1522" s="200">
        <v>2.4899865348553263E-2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49712</v>
      </c>
      <c r="Y1523" s="202">
        <f>_xll.qlInterestRateIndexValueDate(IborIndex,X1523,Trigger)</f>
        <v>49716</v>
      </c>
      <c r="Z1523" s="203">
        <v>2.4950443298505445E-2</v>
      </c>
      <c r="AA1523" s="200">
        <v>2.4896026462464249E-2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49719</v>
      </c>
      <c r="Y1524" s="202">
        <f>_xll.qlInterestRateIndexValueDate(IborIndex,X1524,Trigger)</f>
        <v>49724</v>
      </c>
      <c r="Z1524" s="203">
        <v>2.4945574694794637E-2</v>
      </c>
      <c r="AA1524" s="200">
        <v>2.4891660580168562E-2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49726</v>
      </c>
      <c r="Y1525" s="202">
        <f>_xll.qlInterestRateIndexValueDate(IborIndex,X1525,Trigger)</f>
        <v>49730</v>
      </c>
      <c r="Z1525" s="203">
        <v>2.4943586680502033E-2</v>
      </c>
      <c r="AA1525" s="200">
        <v>2.4888401159834928E-2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49733</v>
      </c>
      <c r="Y1526" s="202">
        <f>_xll.qlInterestRateIndexValueDate(IborIndex,X1526,Trigger)</f>
        <v>49737</v>
      </c>
      <c r="Z1526" s="203">
        <v>2.4939885764546598E-2</v>
      </c>
      <c r="AA1526" s="200">
        <v>2.4884614743134748E-2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49740</v>
      </c>
      <c r="Y1527" s="202">
        <f>_xll.qlInterestRateIndexValueDate(IborIndex,X1527,Trigger)</f>
        <v>49744</v>
      </c>
      <c r="Z1527" s="203">
        <v>2.4936202452111544E-2</v>
      </c>
      <c r="AA1527" s="200">
        <v>2.4880845816364072E-2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49747</v>
      </c>
      <c r="Y1528" s="202">
        <f>_xll.qlInterestRateIndexValueDate(IborIndex,X1528,Trigger)</f>
        <v>49751</v>
      </c>
      <c r="Z1528" s="203">
        <v>2.4932536743150817E-2</v>
      </c>
      <c r="AA1528" s="200">
        <v>2.4877094379442966E-2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49754</v>
      </c>
      <c r="Y1529" s="202">
        <f>_xll.qlInterestRateIndexValueDate(IborIndex,X1529,Trigger)</f>
        <v>49758</v>
      </c>
      <c r="Z1529" s="203">
        <v>2.4928888637614031E-2</v>
      </c>
      <c r="AA1529" s="200">
        <v>2.4873360432451364E-2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49761</v>
      </c>
      <c r="Y1530" s="202">
        <f>_xll.qlInterestRateIndexValueDate(IborIndex,X1530,Trigger)</f>
        <v>49765</v>
      </c>
      <c r="Z1530" s="203">
        <v>2.4924653090010927E-2</v>
      </c>
      <c r="AA1530" s="200">
        <v>2.4869643975229394E-2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49768</v>
      </c>
      <c r="Y1531" s="202">
        <f>_xll.qlInterestRateIndexValueDate(IborIndex,X1531,Trigger)</f>
        <v>49772</v>
      </c>
      <c r="Z1531" s="203">
        <v>2.4921039183212496E-2</v>
      </c>
      <c r="AA1531" s="200">
        <v>2.4865945007856993E-2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49775</v>
      </c>
      <c r="Y1532" s="202">
        <f>_xll.qlInterestRateIndexValueDate(IborIndex,X1532,Trigger)</f>
        <v>49781</v>
      </c>
      <c r="Z1532" s="203">
        <v>2.4916418595816722E-2</v>
      </c>
      <c r="AA1532" s="200">
        <v>2.4862408083290433E-2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49782</v>
      </c>
      <c r="Y1533" s="202">
        <f>_xll.qlInterestRateIndexValueDate(IborIndex,X1533,Trigger)</f>
        <v>49786</v>
      </c>
      <c r="Z1533" s="203">
        <v>2.4913864175660883E-2</v>
      </c>
      <c r="AA1533" s="200">
        <v>2.4858599542580961E-2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49789</v>
      </c>
      <c r="Y1534" s="202">
        <f>_xll.qlInterestRateIndexValueDate(IborIndex,X1534,Trigger)</f>
        <v>49793</v>
      </c>
      <c r="Z1534" s="203">
        <v>2.4910303074810198E-2</v>
      </c>
      <c r="AA1534" s="200">
        <v>2.4854953044757266E-2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49796</v>
      </c>
      <c r="Y1535" s="202">
        <f>_xll.qlInterestRateIndexValueDate(IborIndex,X1535,Trigger)</f>
        <v>49801</v>
      </c>
      <c r="Z1535" s="203">
        <v>2.4906865041116225E-2</v>
      </c>
      <c r="AA1535" s="200">
        <v>2.4850807034741962E-2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49803</v>
      </c>
      <c r="Y1536" s="202">
        <f>_xll.qlInterestRateIndexValueDate(IborIndex,X1536,Trigger)</f>
        <v>49807</v>
      </c>
      <c r="Z1536" s="203">
        <v>2.4903844790629997E-2</v>
      </c>
      <c r="AA1536" s="200">
        <v>2.484771251849871E-2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49810</v>
      </c>
      <c r="Y1537" s="202">
        <f>_xll.qlInterestRateIndexValueDate(IborIndex,X1537,Trigger)</f>
        <v>49814</v>
      </c>
      <c r="Z1537" s="203">
        <v>2.4900337510740004E-2</v>
      </c>
      <c r="AA1537" s="200">
        <v>2.4844118490223721E-2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49817</v>
      </c>
      <c r="Y1538" s="202">
        <f>_xll.qlInterestRateIndexValueDate(IborIndex,X1538,Trigger)</f>
        <v>49822</v>
      </c>
      <c r="Z1538" s="203">
        <v>2.4896350745547247E-2</v>
      </c>
      <c r="AA1538" s="200">
        <v>2.4840032445441196E-2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49824</v>
      </c>
      <c r="Y1539" s="202">
        <f>_xll.qlInterestRateIndexValueDate(IborIndex,X1539,Trigger)</f>
        <v>49828</v>
      </c>
      <c r="Z1539" s="203">
        <v>2.4893375759888554E-2</v>
      </c>
      <c r="AA1539" s="200">
        <v>2.4836982903062577E-2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49831</v>
      </c>
      <c r="Y1540" s="202">
        <f>_xll.qlInterestRateIndexValueDate(IborIndex,X1540,Trigger)</f>
        <v>49835</v>
      </c>
      <c r="Z1540" s="203">
        <v>2.4889921288834129E-2</v>
      </c>
      <c r="AA1540" s="200">
        <v>2.4833441344256357E-2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49838</v>
      </c>
      <c r="Y1541" s="202">
        <f>_xll.qlInterestRateIndexValueDate(IborIndex,X1541,Trigger)</f>
        <v>49842</v>
      </c>
      <c r="Z1541" s="203">
        <v>2.4886484420631051E-2</v>
      </c>
      <c r="AA1541" s="200">
        <v>2.4829917275299707E-2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49845</v>
      </c>
      <c r="Y1542" s="202">
        <f>_xll.qlInterestRateIndexValueDate(IborIndex,X1542,Trigger)</f>
        <v>49849</v>
      </c>
      <c r="Z1542" s="203">
        <v>2.4883065155235015E-2</v>
      </c>
      <c r="AA1542" s="200">
        <v>2.4826410696112688E-2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49852</v>
      </c>
      <c r="Y1543" s="202">
        <f>_xll.qlInterestRateIndexValueDate(IborIndex,X1543,Trigger)</f>
        <v>49856</v>
      </c>
      <c r="Z1543" s="203">
        <v>2.4879663492598226E-2</v>
      </c>
      <c r="AA1543" s="200">
        <v>2.4822921606855175E-2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49859</v>
      </c>
      <c r="Y1544" s="202">
        <f>_xll.qlInterestRateIndexValueDate(IborIndex,X1544,Trigger)</f>
        <v>49863</v>
      </c>
      <c r="Z1544" s="203">
        <v>2.4876279432677246E-2</v>
      </c>
      <c r="AA1544" s="200">
        <v>2.4819450007367294E-2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49866</v>
      </c>
      <c r="Y1545" s="202">
        <f>_xll.qlInterestRateIndexValueDate(IborIndex,X1545,Trigger)</f>
        <v>49870</v>
      </c>
      <c r="Z1545" s="203">
        <v>2.4872912975423413E-2</v>
      </c>
      <c r="AA1545" s="200">
        <v>2.4815995897808918E-2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49873</v>
      </c>
      <c r="Y1546" s="202">
        <f>_xll.qlInterestRateIndexValueDate(IborIndex,X1546,Trigger)</f>
        <v>49877</v>
      </c>
      <c r="Z1546" s="203">
        <v>2.4869564120795027E-2</v>
      </c>
      <c r="AA1546" s="200">
        <v>2.4812559277860302E-2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49880</v>
      </c>
      <c r="Y1547" s="202">
        <f>_xll.qlInterestRateIndexValueDate(IborIndex,X1547,Trigger)</f>
        <v>49884</v>
      </c>
      <c r="Z1547" s="203">
        <v>2.4866232868745165E-2</v>
      </c>
      <c r="AA1547" s="200">
        <v>2.4809140148001063E-2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49887</v>
      </c>
      <c r="Y1548" s="202">
        <f>_xll.qlInterestRateIndexValueDate(IborIndex,X1548,Trigger)</f>
        <v>49891</v>
      </c>
      <c r="Z1548" s="203">
        <v>2.4862919219231255E-2</v>
      </c>
      <c r="AA1548" s="200">
        <v>2.4805738507831521E-2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49894</v>
      </c>
      <c r="Y1549" s="202">
        <f>_xll.qlInterestRateIndexValueDate(IborIndex,X1549,Trigger)</f>
        <v>49898</v>
      </c>
      <c r="Z1549" s="203">
        <v>2.4860247708808972E-2</v>
      </c>
      <c r="AA1549" s="200">
        <v>2.4802354357511547E-2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49901</v>
      </c>
      <c r="Y1550" s="202">
        <f>_xll.qlInterestRateIndexValueDate(IborIndex,X1550,Trigger)</f>
        <v>49905</v>
      </c>
      <c r="Z1550" s="203">
        <v>2.4856344727627083E-2</v>
      </c>
      <c r="AA1550" s="200">
        <v>2.4798987697041142E-2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49908</v>
      </c>
      <c r="Y1551" s="202">
        <f>_xll.qlInterestRateIndexValueDate(IborIndex,X1551,Trigger)</f>
        <v>49913</v>
      </c>
      <c r="Z1551" s="203">
        <v>2.4852619487782657E-2</v>
      </c>
      <c r="AA1551" s="200">
        <v>2.4795161501280916E-2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49915</v>
      </c>
      <c r="Y1552" s="202">
        <f>_xll.qlInterestRateIndexValueDate(IborIndex,X1552,Trigger)</f>
        <v>49920</v>
      </c>
      <c r="Z1552" s="203">
        <v>2.4848751106847221E-2</v>
      </c>
      <c r="AA1552" s="200">
        <v>2.4791832318991069E-2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49922</v>
      </c>
      <c r="Y1553" s="202">
        <f>_xll.qlInterestRateIndexValueDate(IborIndex,X1553,Trigger)</f>
        <v>49926</v>
      </c>
      <c r="Z1553" s="203">
        <v>2.4845986464929627E-2</v>
      </c>
      <c r="AA1553" s="200">
        <v>2.4788992654647402E-2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49929</v>
      </c>
      <c r="Y1554" s="202">
        <f>_xll.qlInterestRateIndexValueDate(IborIndex,X1554,Trigger)</f>
        <v>49933</v>
      </c>
      <c r="Z1554" s="203">
        <v>2.4842777393174927E-2</v>
      </c>
      <c r="AA1554" s="200">
        <v>2.4785695953575271E-2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49936</v>
      </c>
      <c r="Y1555" s="202">
        <f>_xll.qlInterestRateIndexValueDate(IborIndex,X1555,Trigger)</f>
        <v>49940</v>
      </c>
      <c r="Z1555" s="203">
        <v>2.4839585922414292E-2</v>
      </c>
      <c r="AA1555" s="200">
        <v>2.4782416742272773E-2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49943</v>
      </c>
      <c r="Y1556" s="202">
        <f>_xll.qlInterestRateIndexValueDate(IborIndex,X1556,Trigger)</f>
        <v>49947</v>
      </c>
      <c r="Z1556" s="203">
        <v>2.4836412052602928E-2</v>
      </c>
      <c r="AA1556" s="200">
        <v>2.4779155020819843E-2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49950</v>
      </c>
      <c r="Y1557" s="202">
        <f>_xll.qlInterestRateIndexValueDate(IborIndex,X1557,Trigger)</f>
        <v>49954</v>
      </c>
      <c r="Z1557" s="203">
        <v>2.4833888480397515E-2</v>
      </c>
      <c r="AA1557" s="200">
        <v>2.477591078905661E-2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49957</v>
      </c>
      <c r="Y1558" s="202">
        <f>_xll.qlInterestRateIndexValueDate(IborIndex,X1558,Trigger)</f>
        <v>49962</v>
      </c>
      <c r="Z1558" s="203">
        <v>2.4830304058359204E-2</v>
      </c>
      <c r="AA1558" s="200">
        <v>2.4772224511933061E-2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49964</v>
      </c>
      <c r="Y1559" s="202">
        <f>_xll.qlInterestRateIndexValueDate(IborIndex,X1559,Trigger)</f>
        <v>49968</v>
      </c>
      <c r="Z1559" s="203">
        <v>2.4827630829307171E-2</v>
      </c>
      <c r="AA1559" s="200">
        <v>2.4769474795238722E-2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49971</v>
      </c>
      <c r="Y1560" s="202">
        <f>_xll.qlInterestRateIndexValueDate(IborIndex,X1560,Trigger)</f>
        <v>49975</v>
      </c>
      <c r="Z1560" s="203">
        <v>2.4824528406809137E-2</v>
      </c>
      <c r="AA1560" s="200">
        <v>2.4766283033184067E-2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49978</v>
      </c>
      <c r="Y1561" s="202">
        <f>_xll.qlInterestRateIndexValueDate(IborIndex,X1561,Trigger)</f>
        <v>49982</v>
      </c>
      <c r="Z1561" s="203">
        <v>2.4821443586285765E-2</v>
      </c>
      <c r="AA1561" s="200">
        <v>2.4763108760819108E-2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49985</v>
      </c>
      <c r="Y1562" s="202">
        <f>_xll.qlInterestRateIndexValueDate(IborIndex,X1562,Trigger)</f>
        <v>49989</v>
      </c>
      <c r="Z1562" s="203">
        <v>2.4818376367697084E-2</v>
      </c>
      <c r="AA1562" s="200">
        <v>2.4759951978303718E-2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49992</v>
      </c>
      <c r="Y1563" s="202">
        <f>_xll.qlInterestRateIndexValueDate(IborIndex,X1563,Trigger)</f>
        <v>49996</v>
      </c>
      <c r="Z1563" s="203">
        <v>2.4815326750999653E-2</v>
      </c>
      <c r="AA1563" s="200">
        <v>2.4756812685637897E-2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49999</v>
      </c>
      <c r="Y1564" s="202">
        <f>_xll.qlInterestRateIndexValueDate(IborIndex,X1564,Trigger)</f>
        <v>50003</v>
      </c>
      <c r="Z1564" s="203">
        <v>2.481229473615611E-2</v>
      </c>
      <c r="AA1564" s="200">
        <v>2.4753690882741708E-2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50006</v>
      </c>
      <c r="Y1565" s="202">
        <f>_xll.qlInterestRateIndexValueDate(IborIndex,X1565,Trigger)</f>
        <v>50010</v>
      </c>
      <c r="Z1565" s="203">
        <v>2.4808639260185443E-2</v>
      </c>
      <c r="AA1565" s="200">
        <v>2.4750586569775024E-2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50013</v>
      </c>
      <c r="Y1566" s="202">
        <f>_xll.qlInterestRateIndexValueDate(IborIndex,X1566,Trigger)</f>
        <v>50017</v>
      </c>
      <c r="Z1566" s="203">
        <v>2.4805641397597823E-2</v>
      </c>
      <c r="AA1566" s="200">
        <v>2.4747499746498036E-2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50020</v>
      </c>
      <c r="Y1567" s="202">
        <f>_xll.qlInterestRateIndexValueDate(IborIndex,X1567,Trigger)</f>
        <v>50024</v>
      </c>
      <c r="Z1567" s="203">
        <v>2.4802661135509718E-2</v>
      </c>
      <c r="AA1567" s="200">
        <v>2.4744430413230489E-2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50027</v>
      </c>
      <c r="Y1568" s="202">
        <f>_xll.qlInterestRateIndexValueDate(IborIndex,X1568,Trigger)</f>
        <v>50031</v>
      </c>
      <c r="Z1568" s="203">
        <v>2.4799698473882484E-2</v>
      </c>
      <c r="AA1568" s="200">
        <v>2.474391093317152E-2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50038</v>
      </c>
      <c r="Y1569" s="202">
        <f>_xll.qlInterestRateIndexValueDate(IborIndex,X1569,Trigger)</f>
        <v>50040</v>
      </c>
      <c r="Z1569" s="203">
        <v>2.4795269752440063E-2</v>
      </c>
      <c r="AA1569" s="200">
        <v>2.4736187528375808E-2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50045</v>
      </c>
      <c r="Y1570" s="202">
        <f>_xll.qlInterestRateIndexValueDate(IborIndex,X1570,Trigger)</f>
        <v>50047</v>
      </c>
      <c r="Z1570" s="203">
        <v>2.4792346263853737E-2</v>
      </c>
      <c r="AA1570" s="200">
        <v>2.4735739290928649E-2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50052</v>
      </c>
      <c r="Y1571" s="202">
        <f>_xll.qlInterestRateIndexValueDate(IborIndex,X1571,Trigger)</f>
        <v>50054</v>
      </c>
      <c r="Z1571" s="203">
        <v>2.4789440374371807E-2</v>
      </c>
      <c r="AA1571" s="200">
        <v>2.4732747001365851E-2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50059</v>
      </c>
      <c r="Y1572" s="202">
        <f>_xll.qlInterestRateIndexValueDate(IborIndex,X1572,Trigger)</f>
        <v>50061</v>
      </c>
      <c r="Z1572" s="203">
        <v>2.4786552083953417E-2</v>
      </c>
      <c r="AA1572" s="200">
        <v>2.4729772204103995E-2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50066</v>
      </c>
      <c r="Y1573" s="202">
        <f>_xll.qlInterestRateIndexValueDate(IborIndex,X1573,Trigger)</f>
        <v>50068</v>
      </c>
      <c r="Z1573" s="203">
        <v>2.4783681392562151E-2</v>
      </c>
      <c r="AA1573" s="200">
        <v>2.4726814899116434E-2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50073</v>
      </c>
      <c r="Y1574" s="202">
        <f>_xll.qlInterestRateIndexValueDate(IborIndex,X1574,Trigger)</f>
        <v>50075</v>
      </c>
      <c r="Z1574" s="203">
        <v>2.4780828300161595E-2</v>
      </c>
      <c r="AA1574" s="200">
        <v>2.4723875086349878E-2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50080</v>
      </c>
      <c r="Y1575" s="202">
        <f>_xll.qlInterestRateIndexValueDate(IborIndex,X1575,Trigger)</f>
        <v>50082</v>
      </c>
      <c r="Z1575" s="203">
        <v>2.4777341134096322E-2</v>
      </c>
      <c r="AA1575" s="200">
        <v>2.4720952765937554E-2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50087</v>
      </c>
      <c r="Y1576" s="202">
        <f>_xll.qlInterestRateIndexValueDate(IborIndex,X1576,Trigger)</f>
        <v>50089</v>
      </c>
      <c r="Z1576" s="203">
        <v>2.4774522175921118E-2</v>
      </c>
      <c r="AA1576" s="200">
        <v>2.4718047937719589E-2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50094</v>
      </c>
      <c r="Y1577" s="202">
        <f>_xll.qlInterestRateIndexValueDate(IborIndex,X1577,Trigger)</f>
        <v>50096</v>
      </c>
      <c r="Z1577" s="203">
        <v>2.4772374616522264E-2</v>
      </c>
      <c r="AA1577" s="200">
        <v>2.4715160601802566E-2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50101</v>
      </c>
      <c r="Y1578" s="202">
        <f>_xll.qlInterestRateIndexValueDate(IborIndex,X1578,Trigger)</f>
        <v>50103</v>
      </c>
      <c r="Z1578" s="203">
        <v>2.4770902049599509E-2</v>
      </c>
      <c r="AA1578" s="200">
        <v>2.4712290758186484E-2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50108</v>
      </c>
      <c r="Y1579" s="202">
        <f>_xll.qlInterestRateIndexValueDate(IborIndex,X1579,Trigger)</f>
        <v>50110</v>
      </c>
      <c r="Z1579" s="203">
        <v>2.4768139086714068E-2</v>
      </c>
      <c r="AA1579" s="200">
        <v>2.4709438406738116E-2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50115</v>
      </c>
      <c r="Y1580" s="202">
        <f>_xll.qlInterestRateIndexValueDate(IborIndex,X1580,Trigger)</f>
        <v>50117</v>
      </c>
      <c r="Z1580" s="203">
        <v>2.4765393725047373E-2</v>
      </c>
      <c r="AA1580" s="200">
        <v>2.4706603547670625E-2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50122</v>
      </c>
      <c r="Y1581" s="202">
        <f>_xll.qlInterestRateIndexValueDate(IborIndex,X1581,Trigger)</f>
        <v>50124</v>
      </c>
      <c r="Z1581" s="203">
        <v>2.4762665964563797E-2</v>
      </c>
      <c r="AA1581" s="200">
        <v>2.4703786180770848E-2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50129</v>
      </c>
      <c r="Y1582" s="202">
        <f>_xll.qlInterestRateIndexValueDate(IborIndex,X1582,Trigger)</f>
        <v>50131</v>
      </c>
      <c r="Z1582" s="203">
        <v>2.4759296396435367E-2</v>
      </c>
      <c r="AA1582" s="200">
        <v>2.4698097123625473E-2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50137</v>
      </c>
      <c r="Y1583" s="202">
        <f>_xll.qlInterestRateIndexValueDate(IborIndex,X1583,Trigger)</f>
        <v>50139</v>
      </c>
      <c r="Z1583" s="203">
        <v>2.4756219397991195E-2</v>
      </c>
      <c r="AA1583" s="200">
        <v>2.4695717905762749E-2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50144</v>
      </c>
      <c r="Y1584" s="202">
        <f>_xll.qlInterestRateIndexValueDate(IborIndex,X1584,Trigger)</f>
        <v>50146</v>
      </c>
      <c r="Z1584" s="203">
        <v>2.4753545881330392E-2</v>
      </c>
      <c r="AA1584" s="200">
        <v>2.4692958392025233E-2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50151</v>
      </c>
      <c r="Y1585" s="202">
        <f>_xll.qlInterestRateIndexValueDate(IborIndex,X1585,Trigger)</f>
        <v>50153</v>
      </c>
      <c r="Z1585" s="203">
        <v>2.475088996447955E-2</v>
      </c>
      <c r="AA1585" s="200">
        <v>2.4690216368137285E-2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50158</v>
      </c>
      <c r="Y1586" s="202">
        <f>_xll.qlInterestRateIndexValueDate(IborIndex,X1586,Trigger)</f>
        <v>50160</v>
      </c>
      <c r="Z1586" s="203">
        <v>2.4748915507552517E-2</v>
      </c>
      <c r="AA1586" s="200">
        <v>2.468710404277985E-2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50165</v>
      </c>
      <c r="Y1587" s="202">
        <f>_xll.qlInterestRateIndexValueDate(IborIndex,X1587,Trigger)</f>
        <v>50167</v>
      </c>
      <c r="Z1587" s="203">
        <v>2.4746295867823027E-2</v>
      </c>
      <c r="AA1587" s="200">
        <v>2.4684784789910097E-2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50172</v>
      </c>
      <c r="Y1588" s="202">
        <f>_xll.qlInterestRateIndexValueDate(IborIndex,X1588,Trigger)</f>
        <v>50174</v>
      </c>
      <c r="Z1588" s="203">
        <v>2.4743693829022081E-2</v>
      </c>
      <c r="AA1588" s="200">
        <v>2.4682095235410983E-2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50179</v>
      </c>
      <c r="Y1589" s="202">
        <f>_xll.qlInterestRateIndexValueDate(IborIndex,X1589,Trigger)</f>
        <v>50181</v>
      </c>
      <c r="Z1589" s="203">
        <v>2.4741109391111446E-2</v>
      </c>
      <c r="AA1589" s="200">
        <v>2.4679042874966584E-2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50186</v>
      </c>
      <c r="Y1590" s="202">
        <f>_xll.qlInterestRateIndexValueDate(IborIndex,X1590,Trigger)</f>
        <v>50188</v>
      </c>
      <c r="Z1590" s="203">
        <v>2.4738542554057233E-2</v>
      </c>
      <c r="AA1590" s="200">
        <v>2.4676768596121335E-2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50193</v>
      </c>
      <c r="Y1591" s="202">
        <f>_xll.qlInterestRateIndexValueDate(IborIndex,X1591,Trigger)</f>
        <v>50195</v>
      </c>
      <c r="Z1591" s="203">
        <v>2.4735993317827297E-2</v>
      </c>
      <c r="AA1591" s="200">
        <v>2.4674131511090991E-2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50200</v>
      </c>
      <c r="Y1592" s="202">
        <f>_xll.qlInterestRateIndexValueDate(IborIndex,X1592,Trigger)</f>
        <v>50202</v>
      </c>
      <c r="Z1592" s="203">
        <v>2.4733461682383408E-2</v>
      </c>
      <c r="AA1592" s="200">
        <v>2.4671511915910216E-2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50207</v>
      </c>
      <c r="Y1593" s="202">
        <f>_xll.qlInterestRateIndexValueDate(IborIndex,X1593,Trigger)</f>
        <v>50209</v>
      </c>
      <c r="Z1593" s="203">
        <v>2.4730947647696021E-2</v>
      </c>
      <c r="AA1593" s="200">
        <v>2.4668909810499073E-2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50214</v>
      </c>
      <c r="Y1594" s="202">
        <f>_xll.qlInterestRateIndexValueDate(IborIndex,X1594,Trigger)</f>
        <v>50216</v>
      </c>
      <c r="Z1594" s="203">
        <v>2.4728451213727781E-2</v>
      </c>
      <c r="AA1594" s="200">
        <v>2.4666325195017436E-2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50221</v>
      </c>
      <c r="Y1595" s="202">
        <f>_xll.qlInterestRateIndexValueDate(IborIndex,X1595,Trigger)</f>
        <v>50223</v>
      </c>
      <c r="Z1595" s="203">
        <v>2.4725972380447402E-2</v>
      </c>
      <c r="AA1595" s="200">
        <v>2.466375806930543E-2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50228</v>
      </c>
      <c r="Y1596" s="202">
        <f>_xll.qlInterestRateIndexValueDate(IborIndex,X1596,Trigger)</f>
        <v>50230</v>
      </c>
      <c r="Z1596" s="203">
        <v>2.4723511147820131E-2</v>
      </c>
      <c r="AA1596" s="200">
        <v>2.4661208433363058E-2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50235</v>
      </c>
      <c r="Y1597" s="202">
        <f>_xll.qlInterestRateIndexValueDate(IborIndex,X1597,Trigger)</f>
        <v>50237</v>
      </c>
      <c r="Z1597" s="203">
        <v>2.4721067515814692E-2</v>
      </c>
      <c r="AA1597" s="200">
        <v>2.465867628735019E-2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50242</v>
      </c>
      <c r="Y1598" s="202">
        <f>_xll.qlInterestRateIndexValueDate(IborIndex,X1598,Trigger)</f>
        <v>50244</v>
      </c>
      <c r="Z1598" s="203">
        <v>2.471864148439459E-2</v>
      </c>
      <c r="AA1598" s="200">
        <v>2.4656161630867146E-2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50249</v>
      </c>
      <c r="Y1599" s="202">
        <f>_xll.qlInterestRateIndexValueDate(IborIndex,X1599,Trigger)</f>
        <v>50251</v>
      </c>
      <c r="Z1599" s="203">
        <v>2.4716233053533758E-2</v>
      </c>
      <c r="AA1599" s="200">
        <v>2.4653664464553415E-2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50256</v>
      </c>
      <c r="Y1600" s="202">
        <f>_xll.qlInterestRateIndexValueDate(IborIndex,X1600,Trigger)</f>
        <v>50258</v>
      </c>
      <c r="Z1600" s="203">
        <v>2.4713842223193967E-2</v>
      </c>
      <c r="AA1600" s="200">
        <v>2.4651184787849445E-2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50263</v>
      </c>
      <c r="Y1601" s="202">
        <f>_xll.qlInterestRateIndexValueDate(IborIndex,X1601,Trigger)</f>
        <v>50265</v>
      </c>
      <c r="Z1601" s="203">
        <v>2.4711468993345673E-2</v>
      </c>
      <c r="AA1601" s="200">
        <v>2.4648722600995043E-2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50270</v>
      </c>
      <c r="Y1602" s="202">
        <f>_xll.qlInterestRateIndexValueDate(IborIndex,X1602,Trigger)</f>
        <v>50272</v>
      </c>
      <c r="Z1602" s="203">
        <v>2.4709113363957601E-2</v>
      </c>
      <c r="AA1602" s="200">
        <v>2.4646277903910274E-2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50277</v>
      </c>
      <c r="Y1603" s="202">
        <f>_xll.qlInterestRateIndexValueDate(IborIndex,X1603,Trigger)</f>
        <v>50279</v>
      </c>
      <c r="Z1603" s="203">
        <v>2.4706775334995861E-2</v>
      </c>
      <c r="AA1603" s="200">
        <v>2.4643505380579356E-2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50284</v>
      </c>
      <c r="Y1604" s="202">
        <f>_xll.qlInterestRateIndexValueDate(IborIndex,X1604,Trigger)</f>
        <v>50286</v>
      </c>
      <c r="Z1604" s="203">
        <v>2.4703771462539818E-2</v>
      </c>
      <c r="AA1604" s="200">
        <v>2.4641440979209506E-2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50291</v>
      </c>
      <c r="Y1605" s="202">
        <f>_xll.qlInterestRateIndexValueDate(IborIndex,X1605,Trigger)</f>
        <v>50293</v>
      </c>
      <c r="Z1605" s="203">
        <v>2.4701467534780037E-2</v>
      </c>
      <c r="AA1605" s="200">
        <v>2.4639048751673442E-2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50298</v>
      </c>
      <c r="Y1606" s="202">
        <f>_xll.qlInterestRateIndexValueDate(IborIndex,X1606,Trigger)</f>
        <v>50300</v>
      </c>
      <c r="Z1606" s="203">
        <v>2.4699181206138902E-2</v>
      </c>
      <c r="AA1606" s="200">
        <v>2.4636674013827076E-2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50305</v>
      </c>
      <c r="Y1607" s="202">
        <f>_xll.qlInterestRateIndexValueDate(IborIndex,X1607,Trigger)</f>
        <v>50307</v>
      </c>
      <c r="Z1607" s="203">
        <v>2.469691247658479E-2</v>
      </c>
      <c r="AA1607" s="200">
        <v>2.4634316765830278E-2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50312</v>
      </c>
      <c r="Y1608" s="202">
        <f>_xll.qlInterestRateIndexValueDate(IborIndex,X1608,Trigger)</f>
        <v>50314</v>
      </c>
      <c r="Z1608" s="203">
        <v>2.46974135644886E-2</v>
      </c>
      <c r="AA1608" s="200">
        <v>2.4631977007762984E-2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50319</v>
      </c>
      <c r="Y1609" s="202">
        <f>_xll.qlInterestRateIndexValueDate(IborIndex,X1609,Trigger)</f>
        <v>50321</v>
      </c>
      <c r="Z1609" s="203">
        <v>2.469311676847458E-2</v>
      </c>
      <c r="AA1609" s="200">
        <v>2.4629654739305451E-2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50326</v>
      </c>
      <c r="Y1610" s="202">
        <f>_xll.qlInterestRateIndexValueDate(IborIndex,X1610,Trigger)</f>
        <v>50328</v>
      </c>
      <c r="Z1610" s="203">
        <v>2.4690901941643948E-2</v>
      </c>
      <c r="AA1610" s="200">
        <v>2.4627349960777423E-2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50333</v>
      </c>
      <c r="Y1611" s="202">
        <f>_xll.qlInterestRateIndexValueDate(IborIndex,X1611,Trigger)</f>
        <v>50335</v>
      </c>
      <c r="Z1611" s="203">
        <v>2.4688704714996363E-2</v>
      </c>
      <c r="AA1611" s="200">
        <v>2.4625062671939091E-2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50340</v>
      </c>
      <c r="Y1612" s="202">
        <f>_xll.qlInterestRateIndexValueDate(IborIndex,X1612,Trigger)</f>
        <v>50342</v>
      </c>
      <c r="Z1612" s="203">
        <v>2.4686525088503157E-2</v>
      </c>
      <c r="AA1612" s="200">
        <v>2.4622792873030264E-2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50347</v>
      </c>
      <c r="Y1613" s="202">
        <f>_xll.qlInterestRateIndexValueDate(IborIndex,X1613,Trigger)</f>
        <v>50349</v>
      </c>
      <c r="Z1613" s="203">
        <v>2.4684363062134788E-2</v>
      </c>
      <c r="AA1613" s="200">
        <v>2.4620540563891069E-2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50354</v>
      </c>
      <c r="Y1614" s="202">
        <f>_xll.qlInterestRateIndexValueDate(IborIndex,X1614,Trigger)</f>
        <v>50356</v>
      </c>
      <c r="Z1614" s="203">
        <v>2.4682218635863451E-2</v>
      </c>
      <c r="AA1614" s="200">
        <v>2.4618305744521507E-2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50361</v>
      </c>
      <c r="Y1615" s="202">
        <f>_xll.qlInterestRateIndexValueDate(IborIndex,X1615,Trigger)</f>
        <v>50363</v>
      </c>
      <c r="Z1615" s="203">
        <v>2.4680091809657866E-2</v>
      </c>
      <c r="AA1615" s="200">
        <v>2.4616088415001514E-2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50368</v>
      </c>
      <c r="Y1616" s="202">
        <f>_xll.qlInterestRateIndexValueDate(IborIndex,X1616,Trigger)</f>
        <v>50371</v>
      </c>
      <c r="Z1616" s="203">
        <v>2.4676985824294367E-2</v>
      </c>
      <c r="AA1616" s="200">
        <v>2.4613575740133342E-2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50375</v>
      </c>
      <c r="Y1617" s="202">
        <f>_xll.qlInterestRateIndexValueDate(IborIndex,X1617,Trigger)</f>
        <v>50377</v>
      </c>
      <c r="Z1617" s="203">
        <v>2.4674495429632515E-2</v>
      </c>
      <c r="AA1617" s="200">
        <v>2.461170622535036E-2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50382</v>
      </c>
      <c r="Y1618" s="202">
        <f>_xll.qlInterestRateIndexValueDate(IborIndex,X1618,Trigger)</f>
        <v>50384</v>
      </c>
      <c r="Z1618" s="203">
        <v>2.4672419172928173E-2</v>
      </c>
      <c r="AA1618" s="200">
        <v>2.4609541365139265E-2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50389</v>
      </c>
      <c r="Y1619" s="202">
        <f>_xll.qlInterestRateIndexValueDate(IborIndex,X1619,Trigger)</f>
        <v>50391</v>
      </c>
      <c r="Z1619" s="203">
        <v>2.4670360513752598E-2</v>
      </c>
      <c r="AA1619" s="200">
        <v>2.460739399493761E-2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50396</v>
      </c>
      <c r="Y1620" s="202">
        <f>_xll.qlInterestRateIndexValueDate(IborIndex,X1620,Trigger)</f>
        <v>50398</v>
      </c>
      <c r="Z1620" s="203">
        <v>2.4668319452081811E-2</v>
      </c>
      <c r="AA1620" s="200">
        <v>2.4604658789515454E-2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50403</v>
      </c>
      <c r="Y1621" s="202">
        <f>_xll.qlInterestRateIndexValueDate(IborIndex,X1621,Trigger)</f>
        <v>50405</v>
      </c>
      <c r="Z1621" s="203">
        <v>2.4666295987885611E-2</v>
      </c>
      <c r="AA1621" s="200">
        <v>2.4602851381292368E-2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50410</v>
      </c>
      <c r="Y1622" s="202">
        <f>_xll.qlInterestRateIndexValueDate(IborIndex,X1622,Trigger)</f>
        <v>50412</v>
      </c>
      <c r="Z1622" s="203">
        <v>2.4664290121140908E-2</v>
      </c>
      <c r="AA1622" s="200">
        <v>2.4601056822790568E-2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50417</v>
      </c>
      <c r="Y1623" s="202">
        <f>_xll.qlInterestRateIndexValueDate(IborIndex,X1623,Trigger)</f>
        <v>50419</v>
      </c>
      <c r="Z1623" s="203">
        <v>2.4662301851818391E-2</v>
      </c>
      <c r="AA1623" s="200">
        <v>2.4598979411667443E-2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50424</v>
      </c>
      <c r="Y1624" s="202">
        <f>_xll.qlInterestRateIndexValueDate(IborIndex,X1624,Trigger)</f>
        <v>50426</v>
      </c>
      <c r="Z1624" s="203">
        <v>2.4660331179892303E-2</v>
      </c>
      <c r="AA1624" s="200">
        <v>2.4596919490313951E-2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50431</v>
      </c>
      <c r="Y1625" s="202">
        <f>_xll.qlInterestRateIndexValueDate(IborIndex,X1625,Trigger)</f>
        <v>50433</v>
      </c>
      <c r="Z1625" s="203">
        <v>2.4658378105339551E-2</v>
      </c>
      <c r="AA1625" s="200">
        <v>2.4594877058889963E-2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50438</v>
      </c>
      <c r="Y1626" s="202">
        <f>_xll.qlInterestRateIndexValueDate(IborIndex,X1626,Trigger)</f>
        <v>50440</v>
      </c>
      <c r="Z1626" s="203">
        <v>2.4655734992773303E-2</v>
      </c>
      <c r="AA1626" s="200">
        <v>2.4592852117235608E-2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50445</v>
      </c>
      <c r="Y1627" s="202">
        <f>_xll.qlInterestRateIndexValueDate(IborIndex,X1627,Trigger)</f>
        <v>50447</v>
      </c>
      <c r="Z1627" s="203">
        <v>2.4653815986966907E-2</v>
      </c>
      <c r="AA1627" s="200">
        <v>2.4590844665350886E-2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50452</v>
      </c>
      <c r="Y1628" s="202">
        <f>_xll.qlInterestRateIndexValueDate(IborIndex,X1628,Trigger)</f>
        <v>50454</v>
      </c>
      <c r="Z1628" s="203">
        <v>2.4651914577245099E-2</v>
      </c>
      <c r="AA1628" s="200">
        <v>2.4588854703235796E-2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50459</v>
      </c>
      <c r="Y1629" s="202">
        <f>_xll.qlInterestRateIndexValueDate(IborIndex,X1629,Trigger)</f>
        <v>50461</v>
      </c>
      <c r="Z1629" s="203">
        <v>2.4650030763584532E-2</v>
      </c>
      <c r="AA1629" s="200">
        <v>2.4586882230970275E-2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50466</v>
      </c>
      <c r="Y1630" s="202">
        <f>_xll.qlInterestRateIndexValueDate(IborIndex,X1630,Trigger)</f>
        <v>50468</v>
      </c>
      <c r="Z1630" s="203">
        <v>2.4650301405812362E-2</v>
      </c>
      <c r="AA1630" s="200">
        <v>2.4584927248474386E-2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50473</v>
      </c>
      <c r="Y1631" s="202">
        <f>_xll.qlInterestRateIndexValueDate(IborIndex,X1631,Trigger)</f>
        <v>50475</v>
      </c>
      <c r="Z1631" s="203">
        <v>2.4648456176964383E-2</v>
      </c>
      <c r="AA1631" s="200">
        <v>2.458298975574813E-2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50480</v>
      </c>
      <c r="Y1632" s="202">
        <f>_xll.qlInterestRateIndexValueDate(IborIndex,X1632,Trigger)</f>
        <v>50482</v>
      </c>
      <c r="Z1632" s="203">
        <v>2.4646628547730344E-2</v>
      </c>
      <c r="AA1632" s="200">
        <v>2.4581069752951379E-2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50487</v>
      </c>
      <c r="Y1633" s="202">
        <f>_xll.qlInterestRateIndexValueDate(IborIndex,X1633,Trigger)</f>
        <v>50489</v>
      </c>
      <c r="Z1633" s="203">
        <v>2.4644818518087652E-2</v>
      </c>
      <c r="AA1633" s="200">
        <v>2.4579167239764388E-2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50494</v>
      </c>
      <c r="Y1634" s="202">
        <f>_xll.qlInterestRateIndexValueDate(IborIndex,X1634,Trigger)</f>
        <v>50496</v>
      </c>
      <c r="Z1634" s="203">
        <v>2.4642309129467122E-2</v>
      </c>
      <c r="AA1634" s="200">
        <v>2.4577282216586838E-2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50501</v>
      </c>
      <c r="Y1635" s="202">
        <f>_xll.qlInterestRateIndexValueDate(IborIndex,X1635,Trigger)</f>
        <v>50503</v>
      </c>
      <c r="Z1635" s="203">
        <v>2.4640533163013664E-2</v>
      </c>
      <c r="AA1635" s="200">
        <v>2.4575414683098984E-2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50508</v>
      </c>
      <c r="Y1636" s="202">
        <f>_xll.qlInterestRateIndexValueDate(IborIndex,X1636,Trigger)</f>
        <v>50510</v>
      </c>
      <c r="Z1636" s="203">
        <v>2.4638774794867192E-2</v>
      </c>
      <c r="AA1636" s="200">
        <v>2.4573564639380763E-2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50515</v>
      </c>
      <c r="Y1637" s="202">
        <f>_xll.qlInterestRateIndexValueDate(IborIndex,X1637,Trigger)</f>
        <v>50517</v>
      </c>
      <c r="Z1637" s="203">
        <v>2.4637034025009261E-2</v>
      </c>
      <c r="AA1637" s="200">
        <v>2.4571211711128527E-2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50522</v>
      </c>
      <c r="Y1638" s="202">
        <f>_xll.qlInterestRateIndexValueDate(IborIndex,X1638,Trigger)</f>
        <v>50524</v>
      </c>
      <c r="Z1638" s="203">
        <v>2.4635310853415273E-2</v>
      </c>
      <c r="AA1638" s="200">
        <v>2.4569659154325407E-2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50529</v>
      </c>
      <c r="Y1639" s="202">
        <f>_xll.qlInterestRateIndexValueDate(IborIndex,X1639,Trigger)</f>
        <v>50531</v>
      </c>
      <c r="Z1639" s="203">
        <v>2.4634327930271826E-2</v>
      </c>
      <c r="AA1639" s="200">
        <v>2.4568119447163639E-2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50536</v>
      </c>
      <c r="Y1640" s="202">
        <f>_xll.qlInterestRateIndexValueDate(IborIndex,X1640,Trigger)</f>
        <v>50538</v>
      </c>
      <c r="Z1640" s="203">
        <v>2.4632641097092602E-2</v>
      </c>
      <c r="AA1640" s="200">
        <v>2.456633936268382E-2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50543</v>
      </c>
      <c r="Y1641" s="202">
        <f>_xll.qlInterestRateIndexValueDate(IborIndex,X1641,Trigger)</f>
        <v>50545</v>
      </c>
      <c r="Z1641" s="203">
        <v>2.4630971863315313E-2</v>
      </c>
      <c r="AA1641" s="200">
        <v>2.4564576767973634E-2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50550</v>
      </c>
      <c r="Y1642" s="202">
        <f>_xll.qlInterestRateIndexValueDate(IborIndex,X1642,Trigger)</f>
        <v>50552</v>
      </c>
      <c r="Z1642" s="203">
        <v>2.4629320228918238E-2</v>
      </c>
      <c r="AA1642" s="200">
        <v>2.4562583790190828E-2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50557</v>
      </c>
      <c r="Y1643" s="202">
        <f>_xll.qlInterestRateIndexValueDate(IborIndex,X1643,Trigger)</f>
        <v>50559</v>
      </c>
      <c r="Z1643" s="203">
        <v>2.4627686193877917E-2</v>
      </c>
      <c r="AA1643" s="200">
        <v>2.4561104048022031E-2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50564</v>
      </c>
      <c r="Y1644" s="202">
        <f>_xll.qlInterestRateIndexValueDate(IborIndex,X1644,Trigger)</f>
        <v>50566</v>
      </c>
      <c r="Z1644" s="203">
        <v>2.4626069758174367E-2</v>
      </c>
      <c r="AA1644" s="200">
        <v>2.4559393922700679E-2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50571</v>
      </c>
      <c r="Y1645" s="202">
        <f>_xll.qlInterestRateIndexValueDate(IborIndex,X1645,Trigger)</f>
        <v>50573</v>
      </c>
      <c r="Z1645" s="203">
        <v>2.4624470921784998E-2</v>
      </c>
      <c r="AA1645" s="200">
        <v>2.4557701287228895E-2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50578</v>
      </c>
      <c r="Y1646" s="202">
        <f>_xll.qlInterestRateIndexValueDate(IborIndex,X1646,Trigger)</f>
        <v>50580</v>
      </c>
      <c r="Z1646" s="203">
        <v>2.4622889684688957E-2</v>
      </c>
      <c r="AA1646" s="200">
        <v>2.4556026141606679E-2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50585</v>
      </c>
      <c r="Y1647" s="202">
        <f>_xll.qlInterestRateIndexValueDate(IborIndex,X1647,Trigger)</f>
        <v>50587</v>
      </c>
      <c r="Z1647" s="203">
        <v>2.4621326046864518E-2</v>
      </c>
      <c r="AA1647" s="200">
        <v>2.4554368485674161E-2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50592</v>
      </c>
      <c r="Y1648" s="202">
        <f>_xll.qlInterestRateIndexValueDate(IborIndex,X1648,Trigger)</f>
        <v>50594</v>
      </c>
      <c r="Z1648" s="203">
        <v>2.4619780008289963E-2</v>
      </c>
      <c r="AA1648" s="200">
        <v>2.4552728319511274E-2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50599</v>
      </c>
      <c r="Y1649" s="202">
        <f>_xll.qlInterestRateIndexValueDate(IborIndex,X1649,Trigger)</f>
        <v>50601</v>
      </c>
      <c r="Z1649" s="203">
        <v>2.4618251568946179E-2</v>
      </c>
      <c r="AA1649" s="200">
        <v>2.4551105643277893E-2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50606</v>
      </c>
      <c r="Y1650" s="202">
        <f>_xll.qlInterestRateIndexValueDate(IborIndex,X1650,Trigger)</f>
        <v>50608</v>
      </c>
      <c r="Z1650" s="203">
        <v>2.4616740728812307E-2</v>
      </c>
      <c r="AA1650" s="200">
        <v>2.4549500456814144E-2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50613</v>
      </c>
      <c r="Y1651" s="202">
        <f>_xll.qlInterestRateIndexValueDate(IborIndex,X1651,Trigger)</f>
        <v>50615</v>
      </c>
      <c r="Z1651" s="203">
        <v>2.4615247487866632E-2</v>
      </c>
      <c r="AA1651" s="200">
        <v>2.4547912760120028E-2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50620</v>
      </c>
      <c r="Y1652" s="202">
        <f>_xll.qlInterestRateIndexValueDate(IborIndex,X1652,Trigger)</f>
        <v>50622</v>
      </c>
      <c r="Z1652" s="203">
        <v>2.4613771846090034E-2</v>
      </c>
      <c r="AA1652" s="200">
        <v>2.4546342553115608E-2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50627</v>
      </c>
      <c r="Y1653" s="202">
        <f>_xll.qlInterestRateIndexValueDate(IborIndex,X1653,Trigger)</f>
        <v>50629</v>
      </c>
      <c r="Z1653" s="203">
        <v>2.4612313803464271E-2</v>
      </c>
      <c r="AA1653" s="200">
        <v>2.4544789835960756E-2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50634</v>
      </c>
      <c r="Y1654" s="202">
        <f>_xll.qlInterestRateIndexValueDate(IborIndex,X1654,Trigger)</f>
        <v>50636</v>
      </c>
      <c r="Z1654" s="203">
        <v>2.4610873359966746E-2</v>
      </c>
      <c r="AA1654" s="200">
        <v>2.4543254608655474E-2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50641</v>
      </c>
      <c r="Y1655" s="202">
        <f>_xll.qlInterestRateIndexValueDate(IborIndex,X1655,Trigger)</f>
        <v>50643</v>
      </c>
      <c r="Z1655" s="203">
        <v>2.4609450515580087E-2</v>
      </c>
      <c r="AA1655" s="200">
        <v>2.4541521479255479E-2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50648</v>
      </c>
      <c r="Y1656" s="202">
        <f>_xll.qlInterestRateIndexValueDate(IborIndex,X1656,Trigger)</f>
        <v>50650</v>
      </c>
      <c r="Z1656" s="203">
        <v>2.4607303042883812E-2</v>
      </c>
      <c r="AA1656" s="200">
        <v>2.4540236623433742E-2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50655</v>
      </c>
      <c r="Y1657" s="202">
        <f>_xll.qlInterestRateIndexValueDate(IborIndex,X1657,Trigger)</f>
        <v>50657</v>
      </c>
      <c r="Z1657" s="203">
        <v>2.4605914234223647E-2</v>
      </c>
      <c r="AA1657" s="200">
        <v>2.4538753865517293E-2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50662</v>
      </c>
      <c r="Y1658" s="202">
        <f>_xll.qlInterestRateIndexValueDate(IborIndex,X1658,Trigger)</f>
        <v>50664</v>
      </c>
      <c r="Z1658" s="203">
        <v>2.4604543023413694E-2</v>
      </c>
      <c r="AA1658" s="200">
        <v>2.4537288597370477E-2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50669</v>
      </c>
      <c r="Y1659" s="202">
        <f>_xll.qlInterestRateIndexValueDate(IborIndex,X1659,Trigger)</f>
        <v>50671</v>
      </c>
      <c r="Z1659" s="203">
        <v>2.4603189410438143E-2</v>
      </c>
      <c r="AA1659" s="200">
        <v>2.4535840818913357E-2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50676</v>
      </c>
      <c r="Y1660" s="202">
        <f>_xll.qlInterestRateIndexValueDate(IborIndex,X1660,Trigger)</f>
        <v>50678</v>
      </c>
      <c r="Z1660" s="203">
        <v>2.4601853395275028E-2</v>
      </c>
      <c r="AA1660" s="200">
        <v>2.4534410530465678E-2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50683</v>
      </c>
      <c r="Y1661" s="202">
        <f>_xll.qlInterestRateIndexValueDate(IborIndex,X1661,Trigger)</f>
        <v>50685</v>
      </c>
      <c r="Z1661" s="203">
        <v>2.4601283029535209E-2</v>
      </c>
      <c r="AA1661" s="200">
        <v>2.4532997731707695E-2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50690</v>
      </c>
      <c r="Y1662" s="202">
        <f>_xll.qlInterestRateIndexValueDate(IborIndex,X1662,Trigger)</f>
        <v>50692</v>
      </c>
      <c r="Z1662" s="203">
        <v>2.4599983378401542E-2</v>
      </c>
      <c r="AA1662" s="200">
        <v>2.4531602422799281E-2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50697</v>
      </c>
      <c r="Y1663" s="202">
        <f>_xll.qlInterestRateIndexValueDate(IborIndex,X1663,Trigger)</f>
        <v>50699</v>
      </c>
      <c r="Z1663" s="203">
        <v>2.4598701326232767E-2</v>
      </c>
      <c r="AA1663" s="200">
        <v>2.4530224603580564E-2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50704</v>
      </c>
      <c r="Y1664" s="202">
        <f>_xll.qlInterestRateIndexValueDate(IborIndex,X1664,Trigger)</f>
        <v>50706</v>
      </c>
      <c r="Z1664" s="203">
        <v>2.4597436873012374E-2</v>
      </c>
      <c r="AA1664" s="200">
        <v>2.4528864274211415E-2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50711</v>
      </c>
      <c r="Y1665" s="202">
        <f>_xll.qlInterestRateIndexValueDate(IborIndex,X1665,Trigger)</f>
        <v>50713</v>
      </c>
      <c r="Z1665" s="203">
        <v>2.4596190018721258E-2</v>
      </c>
      <c r="AA1665" s="200">
        <v>2.4527521434611899E-2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50718</v>
      </c>
      <c r="Y1666" s="202">
        <f>_xll.qlInterestRateIndexValueDate(IborIndex,X1666,Trigger)</f>
        <v>50721</v>
      </c>
      <c r="Z1666" s="203">
        <v>2.4596295178315256E-2</v>
      </c>
      <c r="AA1666" s="200">
        <v>2.4526008176852798E-2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50725</v>
      </c>
      <c r="Y1667" s="202">
        <f>_xll.qlInterestRateIndexValueDate(IborIndex,X1667,Trigger)</f>
        <v>50727</v>
      </c>
      <c r="Z1667" s="203">
        <v>2.4593749106864272E-2</v>
      </c>
      <c r="AA1667" s="200">
        <v>2.45248882248017E-2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50732</v>
      </c>
      <c r="Y1668" s="202">
        <f>_xll.qlInterestRateIndexValueDate(IborIndex,X1668,Trigger)</f>
        <v>50735</v>
      </c>
      <c r="Z1668" s="203">
        <v>2.4593899194419712E-2</v>
      </c>
      <c r="AA1668" s="200">
        <v>2.452341494370458E-2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50739</v>
      </c>
      <c r="Y1669" s="202">
        <f>_xll.qlInterestRateIndexValueDate(IborIndex,X1669,Trigger)</f>
        <v>50741</v>
      </c>
      <c r="Z1669" s="203">
        <v>2.4589863871530504E-2</v>
      </c>
      <c r="AA1669" s="200">
        <v>2.4522324974229903E-2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50746</v>
      </c>
      <c r="Y1670" s="202">
        <f>_xll.qlInterestRateIndexValueDate(IborIndex,X1670,Trigger)</f>
        <v>50748</v>
      </c>
      <c r="Z1670" s="203">
        <v>2.4588702655681693E-2</v>
      </c>
      <c r="AA1670" s="200">
        <v>2.452106958347855E-2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50753</v>
      </c>
      <c r="Y1671" s="202">
        <f>_xll.qlInterestRateIndexValueDate(IborIndex,X1671,Trigger)</f>
        <v>50755</v>
      </c>
      <c r="Z1671" s="203">
        <v>2.4587559036266526E-2</v>
      </c>
      <c r="AA1671" s="200">
        <v>2.4519831682736637E-2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50760</v>
      </c>
      <c r="Y1672" s="202">
        <f>_xll.qlInterestRateIndexValueDate(IborIndex,X1672,Trigger)</f>
        <v>50762</v>
      </c>
      <c r="Z1672" s="203">
        <v>2.4586433013267239E-2</v>
      </c>
      <c r="AA1672" s="200">
        <v>2.4518265795157035E-2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50768</v>
      </c>
      <c r="Y1673" s="202">
        <f>_xll.qlInterestRateIndexValueDate(IborIndex,X1673,Trigger)</f>
        <v>50774</v>
      </c>
      <c r="Z1673" s="203">
        <v>2.4584543626686717E-2</v>
      </c>
      <c r="AA1673" s="200">
        <v>2.4516898166826451E-2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50775</v>
      </c>
      <c r="Y1674" s="202">
        <f>_xll.qlInterestRateIndexValueDate(IborIndex,X1674,Trigger)</f>
        <v>50777</v>
      </c>
      <c r="Z1674" s="203">
        <v>2.4584079360012723E-2</v>
      </c>
      <c r="AA1674" s="200">
        <v>2.4516054999370596E-2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50782</v>
      </c>
      <c r="Y1675" s="202">
        <f>_xll.qlInterestRateIndexValueDate(IborIndex,X1675,Trigger)</f>
        <v>50784</v>
      </c>
      <c r="Z1675" s="203">
        <v>2.4583008639943671E-2</v>
      </c>
      <c r="AA1675" s="200">
        <v>2.4514889556268571E-2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50789</v>
      </c>
      <c r="Y1676" s="202">
        <f>_xll.qlInterestRateIndexValueDate(IborIndex,X1676,Trigger)</f>
        <v>50791</v>
      </c>
      <c r="Z1676" s="203">
        <v>2.4581955516230991E-2</v>
      </c>
      <c r="AA1676" s="200">
        <v>2.4513741602856243E-2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50796</v>
      </c>
      <c r="Y1677" s="202">
        <f>_xll.qlInterestRateIndexValueDate(IborIndex,X1677,Trigger)</f>
        <v>50798</v>
      </c>
      <c r="Z1677" s="203">
        <v>2.4580919988863137E-2</v>
      </c>
      <c r="AA1677" s="200">
        <v>2.4512611139373419E-2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50803</v>
      </c>
      <c r="Y1678" s="202">
        <f>_xll.qlInterestRateIndexValueDate(IborIndex,X1678,Trigger)</f>
        <v>50805</v>
      </c>
      <c r="Z1678" s="203">
        <v>2.4579134105944204E-2</v>
      </c>
      <c r="AA1678" s="200">
        <v>2.4511498165580292E-2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50810</v>
      </c>
      <c r="Y1679" s="202">
        <f>_xll.qlInterestRateIndexValueDate(IborIndex,X1679,Trigger)</f>
        <v>50812</v>
      </c>
      <c r="Z1679" s="203">
        <v>2.4578132582518217E-2</v>
      </c>
      <c r="AA1679" s="200">
        <v>2.451040268171667E-2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50817</v>
      </c>
      <c r="Y1680" s="202">
        <f>_xll.qlInterestRateIndexValueDate(IborIndex,X1680,Trigger)</f>
        <v>50819</v>
      </c>
      <c r="Z1680" s="203">
        <v>2.4577148654193332E-2</v>
      </c>
      <c r="AA1680" s="200">
        <v>2.4509324687542744E-2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50824</v>
      </c>
      <c r="Y1681" s="202">
        <f>_xll.qlInterestRateIndexValueDate(IborIndex,X1681,Trigger)</f>
        <v>50826</v>
      </c>
      <c r="Z1681" s="203">
        <v>2.4576182320961471E-2</v>
      </c>
      <c r="AA1681" s="200">
        <v>2.4508264183058515E-2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50831</v>
      </c>
      <c r="Y1682" s="202">
        <f>_xll.qlInterestRateIndexValueDate(IborIndex,X1682,Trigger)</f>
        <v>50833</v>
      </c>
      <c r="Z1682" s="203">
        <v>2.4579098641984164E-2</v>
      </c>
      <c r="AA1682" s="200">
        <v>2.450722116850379E-2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50838</v>
      </c>
      <c r="Y1683" s="202">
        <f>_xll.qlInterestRateIndexValueDate(IborIndex,X1683,Trigger)</f>
        <v>50840</v>
      </c>
      <c r="Z1683" s="203">
        <v>2.4578173468079868E-2</v>
      </c>
      <c r="AA1683" s="200">
        <v>2.4506195643718698E-2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50845</v>
      </c>
      <c r="Y1684" s="202">
        <f>_xll.qlInterestRateIndexValueDate(IborIndex,X1684,Trigger)</f>
        <v>50847</v>
      </c>
      <c r="Z1684" s="203">
        <v>2.4577265895224701E-2</v>
      </c>
      <c r="AA1684" s="200">
        <v>2.4505187608703238E-2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50852</v>
      </c>
      <c r="Y1685" s="202">
        <f>_xll.qlInterestRateIndexValueDate(IborIndex,X1685,Trigger)</f>
        <v>50854</v>
      </c>
      <c r="Z1685" s="203">
        <v>2.4576375923406758E-2</v>
      </c>
      <c r="AA1685" s="200">
        <v>2.4504197063457411E-2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50859</v>
      </c>
      <c r="Y1686" s="202">
        <f>_xll.qlInterestRateIndexValueDate(IborIndex,X1686,Trigger)</f>
        <v>50861</v>
      </c>
      <c r="Z1686" s="203">
        <v>2.4573169720548182E-2</v>
      </c>
      <c r="AA1686" s="200">
        <v>2.4503224007981217E-2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50866</v>
      </c>
      <c r="Y1687" s="202">
        <f>_xll.qlInterestRateIndexValueDate(IborIndex,X1687,Trigger)</f>
        <v>50872</v>
      </c>
      <c r="Z1687" s="203">
        <v>2.4571828760287549E-2</v>
      </c>
      <c r="AA1687" s="200">
        <v>2.4501998636017319E-2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50873</v>
      </c>
      <c r="Y1688" s="202">
        <f>_xll.qlInterestRateIndexValueDate(IborIndex,X1688,Trigger)</f>
        <v>50875</v>
      </c>
      <c r="Z1688" s="203">
        <v>2.4571470585595886E-2</v>
      </c>
      <c r="AA1688" s="200">
        <v>2.4501330366577534E-2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50880</v>
      </c>
      <c r="Y1689" s="202">
        <f>_xll.qlInterestRateIndexValueDate(IborIndex,X1689,Trigger)</f>
        <v>50882</v>
      </c>
      <c r="Z1689" s="203">
        <v>2.457064741421779E-2</v>
      </c>
      <c r="AA1689" s="200">
        <v>2.4500409780490173E-2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50887</v>
      </c>
      <c r="Y1690" s="202">
        <f>_xll.qlInterestRateIndexValueDate(IborIndex,X1690,Trigger)</f>
        <v>50889</v>
      </c>
      <c r="Z1690" s="203">
        <v>2.456984184022171E-2</v>
      </c>
      <c r="AA1690" s="200">
        <v>2.4499379098230634E-2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50894</v>
      </c>
      <c r="Y1691" s="202">
        <f>_xll.qlInterestRateIndexValueDate(IborIndex,X1691,Trigger)</f>
        <v>50896</v>
      </c>
      <c r="Z1691" s="203">
        <v>2.4571405713615792E-2</v>
      </c>
      <c r="AA1691" s="200">
        <v>2.4498621077704286E-2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50901</v>
      </c>
      <c r="Y1692" s="202">
        <f>_xll.qlInterestRateIndexValueDate(IborIndex,X1692,Trigger)</f>
        <v>50903</v>
      </c>
      <c r="Z1692" s="203">
        <v>2.4570638948731866E-2</v>
      </c>
      <c r="AA1692" s="200">
        <v>2.4497752961005759E-2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50908</v>
      </c>
      <c r="Y1693" s="202">
        <f>_xll.qlInterestRateIndexValueDate(IborIndex,X1693,Trigger)</f>
        <v>50910</v>
      </c>
      <c r="Z1693" s="203">
        <v>2.4569889784795022E-2</v>
      </c>
      <c r="AA1693" s="200">
        <v>2.44969023341568E-2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50915</v>
      </c>
      <c r="Y1694" s="202">
        <f>_xll.qlInterestRateIndexValueDate(IborIndex,X1694,Trigger)</f>
        <v>50917</v>
      </c>
      <c r="Z1694" s="203">
        <v>2.4569946091845048E-2</v>
      </c>
      <c r="AA1694" s="200">
        <v>2.4495951605221222E-2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50922</v>
      </c>
      <c r="Y1695" s="202">
        <f>_xll.qlInterestRateIndexValueDate(IborIndex,X1695,Trigger)</f>
        <v>50924</v>
      </c>
      <c r="Z1695" s="203">
        <v>2.4569233338492286E-2</v>
      </c>
      <c r="AA1695" s="200">
        <v>2.4495253549687845E-2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50929</v>
      </c>
      <c r="Y1696" s="202">
        <f>_xll.qlInterestRateIndexValueDate(IborIndex,X1696,Trigger)</f>
        <v>50931</v>
      </c>
      <c r="Z1696" s="203">
        <v>2.4567747898558139E-2</v>
      </c>
      <c r="AA1696" s="200">
        <v>2.4494455392227721E-2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50936</v>
      </c>
      <c r="Y1697" s="202">
        <f>_xll.qlInterestRateIndexValueDate(IborIndex,X1697,Trigger)</f>
        <v>50938</v>
      </c>
      <c r="Z1697" s="203">
        <v>2.4567069138305028E-2</v>
      </c>
      <c r="AA1697" s="200">
        <v>2.4493674724297421E-2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50943</v>
      </c>
      <c r="Y1698" s="202">
        <f>_xll.qlInterestRateIndexValueDate(IborIndex,X1698,Trigger)</f>
        <v>50945</v>
      </c>
      <c r="Z1698" s="203">
        <v>2.456640797895138E-2</v>
      </c>
      <c r="AA1698" s="200">
        <v>2.4492911546456497E-2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50950</v>
      </c>
      <c r="Y1699" s="202">
        <f>_xll.qlInterestRateIndexValueDate(IborIndex,X1699,Trigger)</f>
        <v>50952</v>
      </c>
      <c r="Z1699" s="203">
        <v>2.4565764420485286E-2</v>
      </c>
      <c r="AA1699" s="200">
        <v>2.4492165858225334E-2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50957</v>
      </c>
      <c r="Y1700" s="202">
        <f>_xll.qlInterestRateIndexValueDate(IborIndex,X1700,Trigger)</f>
        <v>50959</v>
      </c>
      <c r="Z1700" s="203">
        <v>2.4565933603255236E-2</v>
      </c>
      <c r="AA1700" s="200">
        <v>2.4491437659763804E-2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50964</v>
      </c>
      <c r="Y1701" s="202">
        <f>_xll.qlInterestRateIndexValueDate(IborIndex,X1701,Trigger)</f>
        <v>50966</v>
      </c>
      <c r="Z1701" s="203">
        <v>2.4564530106186006E-2</v>
      </c>
      <c r="AA1701" s="200">
        <v>2.4490726951231778E-2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50971</v>
      </c>
      <c r="Y1702" s="202">
        <f>_xll.qlInterestRateIndexValueDate(IborIndex,X1702,Trigger)</f>
        <v>50973</v>
      </c>
      <c r="Z1702" s="203">
        <v>2.4563939350333259E-2</v>
      </c>
      <c r="AA1702" s="200">
        <v>2.4490033732389449E-2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50978</v>
      </c>
      <c r="Y1703" s="202">
        <f>_xll.qlInterestRateIndexValueDate(IborIndex,X1703,Trigger)</f>
        <v>50980</v>
      </c>
      <c r="Z1703" s="203">
        <v>2.4563366195336604E-2</v>
      </c>
      <c r="AA1703" s="200">
        <v>2.4489358003396688E-2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50985</v>
      </c>
      <c r="Y1704" s="202">
        <f>_xll.qlInterestRateIndexValueDate(IborIndex,X1704,Trigger)</f>
        <v>50987</v>
      </c>
      <c r="Z1704" s="203">
        <v>2.4562810641184988E-2</v>
      </c>
      <c r="AA1704" s="200">
        <v>2.4488699764093624E-2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50992</v>
      </c>
      <c r="Y1705" s="202">
        <f>_xll.qlInterestRateIndexValueDate(IborIndex,X1705,Trigger)</f>
        <v>50994</v>
      </c>
      <c r="Z1705" s="203">
        <v>2.4562272687875003E-2</v>
      </c>
      <c r="AA1705" s="200">
        <v>2.4488059014720065E-2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50999</v>
      </c>
      <c r="Y1706" s="202">
        <f>_xll.qlInterestRateIndexValueDate(IborIndex,X1706,Trigger)</f>
        <v>51001</v>
      </c>
      <c r="Z1706" s="203">
        <v>2.4561752335395599E-2</v>
      </c>
      <c r="AA1706" s="200">
        <v>2.4487435755036202E-2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51006</v>
      </c>
      <c r="Y1707" s="202">
        <f>_xll.qlInterestRateIndexValueDate(IborIndex,X1707,Trigger)</f>
        <v>51008</v>
      </c>
      <c r="Z1707" s="203">
        <v>2.4561249583741677E-2</v>
      </c>
      <c r="AA1707" s="200">
        <v>2.4486744874323563E-2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51013</v>
      </c>
      <c r="Y1708" s="202">
        <f>_xll.qlInterestRateIndexValueDate(IborIndex,X1708,Trigger)</f>
        <v>51015</v>
      </c>
      <c r="Z1708" s="203">
        <v>2.4558350649793493E-2</v>
      </c>
      <c r="AA1708" s="200">
        <v>2.448624170505731E-2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51020</v>
      </c>
      <c r="Y1709" s="202">
        <f>_xll.qlInterestRateIndexValueDate(IborIndex,X1709,Trigger)</f>
        <v>51022</v>
      </c>
      <c r="Z1709" s="203">
        <v>2.4557879424315514E-2</v>
      </c>
      <c r="AA1709" s="200">
        <v>2.4485670914762281E-2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51027</v>
      </c>
      <c r="Y1710" s="202">
        <f>_xll.qlInterestRateIndexValueDate(IborIndex,X1710,Trigger)</f>
        <v>51029</v>
      </c>
      <c r="Z1710" s="203">
        <v>2.455742579605177E-2</v>
      </c>
      <c r="AA1710" s="200">
        <v>2.4485117614156948E-2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51034</v>
      </c>
      <c r="Y1711" s="202">
        <f>_xll.qlInterestRateIndexValueDate(IborIndex,X1711,Trigger)</f>
        <v>51036</v>
      </c>
      <c r="Z1711" s="203">
        <v>2.4556989764996116E-2</v>
      </c>
      <c r="AA1711" s="200">
        <v>2.448458180348112E-2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51041</v>
      </c>
      <c r="Y1712" s="202">
        <f>_xll.qlInterestRateIndexValueDate(IborIndex,X1712,Trigger)</f>
        <v>51043</v>
      </c>
      <c r="Z1712" s="203">
        <v>2.4556571331142394E-2</v>
      </c>
      <c r="AA1712" s="200">
        <v>2.4484063482494989E-2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51048</v>
      </c>
      <c r="Y1713" s="202">
        <f>_xll.qlInterestRateIndexValueDate(IborIndex,X1713,Trigger)</f>
        <v>51050</v>
      </c>
      <c r="Z1713" s="203">
        <v>2.4558602690767938E-2</v>
      </c>
      <c r="AA1713" s="200">
        <v>2.4483562651358426E-2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51055</v>
      </c>
      <c r="Y1714" s="202">
        <f>_xll.qlInterestRateIndexValueDate(IborIndex,X1714,Trigger)</f>
        <v>51057</v>
      </c>
      <c r="Z1714" s="203">
        <v>2.4559035416757431E-2</v>
      </c>
      <c r="AA1714" s="200">
        <v>2.4483079310071432E-2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51062</v>
      </c>
      <c r="Y1715" s="202">
        <f>_xll.qlInterestRateIndexValueDate(IborIndex,X1715,Trigger)</f>
        <v>51064</v>
      </c>
      <c r="Z1715" s="203">
        <v>2.455786119942557E-2</v>
      </c>
      <c r="AA1715" s="200">
        <v>2.4482613458474134E-2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51069</v>
      </c>
      <c r="Y1716" s="202">
        <f>_xll.qlInterestRateIndexValueDate(IborIndex,X1716,Trigger)</f>
        <v>51071</v>
      </c>
      <c r="Z1716" s="203">
        <v>2.4557516854913516E-2</v>
      </c>
      <c r="AA1716" s="200">
        <v>2.4482165096646469E-2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51076</v>
      </c>
      <c r="Y1717" s="202">
        <f>_xll.qlInterestRateIndexValueDate(IborIndex,X1717,Trigger)</f>
        <v>51078</v>
      </c>
      <c r="Z1717" s="203">
        <v>2.4557189944025368E-2</v>
      </c>
      <c r="AA1717" s="200">
        <v>2.4481734224588436E-2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51083</v>
      </c>
      <c r="Y1718" s="202">
        <f>_xll.qlInterestRateIndexValueDate(IborIndex,X1718,Trigger)</f>
        <v>51088</v>
      </c>
      <c r="Z1718" s="203">
        <v>2.4555117171468393E-2</v>
      </c>
      <c r="AA1718" s="200">
        <v>2.4481263215596627E-2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51090</v>
      </c>
      <c r="Y1719" s="202">
        <f>_xll.qlInterestRateIndexValueDate(IborIndex,X1719,Trigger)</f>
        <v>51092</v>
      </c>
      <c r="Z1719" s="203">
        <v>2.4557402738859709E-2</v>
      </c>
      <c r="AA1719" s="200">
        <v>2.4480924949941141E-2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51097</v>
      </c>
      <c r="Y1720" s="202">
        <f>_xll.qlInterestRateIndexValueDate(IborIndex,X1720,Trigger)</f>
        <v>51099</v>
      </c>
      <c r="Z1720" s="203">
        <v>2.4556304787345502E-2</v>
      </c>
      <c r="AA1720" s="200">
        <v>2.4480546547271942E-2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51104</v>
      </c>
      <c r="Y1721" s="202">
        <f>_xll.qlInterestRateIndexValueDate(IborIndex,X1721,Trigger)</f>
        <v>51106</v>
      </c>
      <c r="Z1721" s="203">
        <v>2.4553580808924842E-2</v>
      </c>
      <c r="AA1721" s="200">
        <v>2.4480185634372376E-2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51111</v>
      </c>
      <c r="Y1722" s="202">
        <f>_xll.qlInterestRateIndexValueDate(IborIndex,X1722,Trigger)</f>
        <v>51113</v>
      </c>
      <c r="Z1722" s="203">
        <v>2.455332498479549E-2</v>
      </c>
      <c r="AA1722" s="200">
        <v>2.4479842211402314E-2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51118</v>
      </c>
      <c r="Y1723" s="202">
        <f>_xll.qlInterestRateIndexValueDate(IborIndex,X1723,Trigger)</f>
        <v>51120</v>
      </c>
      <c r="Z1723" s="203">
        <v>2.4553080987453596E-2</v>
      </c>
      <c r="AA1723" s="200">
        <v>2.4479516278121949E-2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51125</v>
      </c>
      <c r="Y1724" s="202">
        <f>_xll.qlInterestRateIndexValueDate(IborIndex,X1724,Trigger)</f>
        <v>51127</v>
      </c>
      <c r="Z1724" s="203">
        <v>2.4552847781189626E-2</v>
      </c>
      <c r="AA1724" s="200">
        <v>2.4479122920215701E-2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51132</v>
      </c>
      <c r="Y1725" s="202">
        <f>_xll.qlInterestRateIndexValueDate(IborIndex,X1725,Trigger)</f>
        <v>51134</v>
      </c>
      <c r="Z1725" s="203">
        <v>2.4551803261849692E-2</v>
      </c>
      <c r="AA1725" s="200">
        <v>2.4478876743776468E-2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51139</v>
      </c>
      <c r="Y1726" s="202">
        <f>_xll.qlInterestRateIndexValueDate(IborIndex,X1726,Trigger)</f>
        <v>51141</v>
      </c>
      <c r="Z1726" s="203">
        <v>2.4552409599059046E-2</v>
      </c>
      <c r="AA1726" s="200">
        <v>2.4478643416898649E-2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51146</v>
      </c>
      <c r="Y1727" s="202">
        <f>_xll.qlInterestRateIndexValueDate(IborIndex,X1727,Trigger)</f>
        <v>51148</v>
      </c>
      <c r="Z1727" s="203">
        <v>2.4552202551775992E-2</v>
      </c>
      <c r="AA1727" s="200">
        <v>2.447838744277675E-2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51153</v>
      </c>
      <c r="Y1728" s="202">
        <f>_xll.qlInterestRateIndexValueDate(IborIndex,X1728,Trigger)</f>
        <v>51155</v>
      </c>
      <c r="Z1728" s="203">
        <v>2.4552002152737968E-2</v>
      </c>
      <c r="AA1728" s="200">
        <v>2.4478148958344548E-2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51160</v>
      </c>
      <c r="Y1729" s="202">
        <f>_xll.qlInterestRateIndexValueDate(IborIndex,X1729,Trigger)</f>
        <v>51162</v>
      </c>
      <c r="Z1729" s="203">
        <v>2.4551807366235436E-2</v>
      </c>
      <c r="AA1729" s="200">
        <v>2.4477927645136788E-2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51167</v>
      </c>
      <c r="Y1730" s="202">
        <f>_xll.qlInterestRateIndexValueDate(IborIndex,X1730,Trigger)</f>
        <v>51169</v>
      </c>
      <c r="Z1730" s="203">
        <v>2.4550794546271071E-2</v>
      </c>
      <c r="AA1730" s="200">
        <v>2.447771458172987E-2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51174</v>
      </c>
      <c r="Y1731" s="202">
        <f>_xll.qlInterestRateIndexValueDate(IborIndex,X1731,Trigger)</f>
        <v>51176</v>
      </c>
      <c r="Z1731" s="203">
        <v>2.4550608232805082E-2</v>
      </c>
      <c r="AA1731" s="200">
        <v>2.4477505626157026E-2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51181</v>
      </c>
      <c r="Y1732" s="202">
        <f>_xll.qlInterestRateIndexValueDate(IborIndex,X1732,Trigger)</f>
        <v>51183</v>
      </c>
      <c r="Z1732" s="203">
        <v>2.4550426052011076E-2</v>
      </c>
      <c r="AA1732" s="200">
        <v>2.447730077809851E-2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51188</v>
      </c>
      <c r="Y1733" s="202">
        <f>_xll.qlInterestRateIndexValueDate(IborIndex,X1733,Trigger)</f>
        <v>51190</v>
      </c>
      <c r="Z1733" s="203">
        <v>2.4550248003889941E-2</v>
      </c>
      <c r="AA1733" s="200">
        <v>2.4477100037954003E-2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51195</v>
      </c>
      <c r="Y1734" s="202">
        <f>_xll.qlInterestRateIndexValueDate(IborIndex,X1734,Trigger)</f>
        <v>51197</v>
      </c>
      <c r="Z1734" s="203">
        <v>2.4553369572428423E-2</v>
      </c>
      <c r="AA1734" s="200">
        <v>2.4476903405563633E-2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51202</v>
      </c>
      <c r="Y1735" s="202">
        <f>_xll.qlInterestRateIndexValueDate(IborIndex,X1735,Trigger)</f>
        <v>51204</v>
      </c>
      <c r="Z1735" s="203">
        <v>2.4553200924554885E-2</v>
      </c>
      <c r="AA1735" s="200">
        <v>2.4476710880767527E-2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51209</v>
      </c>
      <c r="Y1736" s="202">
        <f>_xll.qlInterestRateIndexValueDate(IborIndex,X1736,Trigger)</f>
        <v>51211</v>
      </c>
      <c r="Z1736" s="203">
        <v>2.4553036410474228E-2</v>
      </c>
      <c r="AA1736" s="200">
        <v>2.4476522463725559E-2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51216</v>
      </c>
      <c r="Y1737" s="202">
        <f>_xll.qlInterestRateIndexValueDate(IborIndex,X1737,Trigger)</f>
        <v>51218</v>
      </c>
      <c r="Z1737" s="203">
        <v>2.4552876030189005E-2</v>
      </c>
      <c r="AA1737" s="200">
        <v>2.4476338154437727E-2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51223</v>
      </c>
      <c r="Y1738" s="202">
        <f>_xll.qlInterestRateIndexValueDate(IborIndex,X1738,Trigger)</f>
        <v>51229</v>
      </c>
      <c r="Z1738" s="203">
        <v>2.4550156748082509E-2</v>
      </c>
      <c r="AA1738" s="200">
        <v>2.4476107221325094E-2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51230</v>
      </c>
      <c r="Y1739" s="202">
        <f>_xll.qlInterestRateIndexValueDate(IborIndex,X1739,Trigger)</f>
        <v>51232</v>
      </c>
      <c r="Z1739" s="203">
        <v>2.4550091696737976E-2</v>
      </c>
      <c r="AA1739" s="200">
        <v>2.4475981859124474E-2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51237</v>
      </c>
      <c r="Y1740" s="202">
        <f>_xll.qlInterestRateIndexValueDate(IborIndex,X1740,Trigger)</f>
        <v>51239</v>
      </c>
      <c r="Z1740" s="203">
        <v>2.4549942862375999E-2</v>
      </c>
      <c r="AA1740" s="200">
        <v>2.4475809873019116E-2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51244</v>
      </c>
      <c r="Y1741" s="202">
        <f>_xll.qlInterestRateIndexValueDate(IborIndex,X1741,Trigger)</f>
        <v>51246</v>
      </c>
      <c r="Z1741" s="203">
        <v>2.4549798160962949E-2</v>
      </c>
      <c r="AA1741" s="200">
        <v>2.4475641994667896E-2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51251</v>
      </c>
      <c r="Y1742" s="202">
        <f>_xll.qlInterestRateIndexValueDate(IborIndex,X1742,Trigger)</f>
        <v>51253</v>
      </c>
      <c r="Z1742" s="203">
        <v>2.4549657592497071E-2</v>
      </c>
      <c r="AA1742" s="200">
        <v>2.4475478224150748E-2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51258</v>
      </c>
      <c r="Y1743" s="202">
        <f>_xll.qlInterestRateIndexValueDate(IborIndex,X1743,Trigger)</f>
        <v>51260</v>
      </c>
      <c r="Z1743" s="203">
        <v>2.4552000558112894E-2</v>
      </c>
      <c r="AA1743" s="200">
        <v>2.4475296087604903E-2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51265</v>
      </c>
      <c r="Y1744" s="202">
        <f>_xll.qlInterestRateIndexValueDate(IborIndex,X1744,Trigger)</f>
        <v>51267</v>
      </c>
      <c r="Z1744" s="203">
        <v>2.4551869114368494E-2</v>
      </c>
      <c r="AA1744" s="200">
        <v>2.4475163006218992E-2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51272</v>
      </c>
      <c r="Y1745" s="202">
        <f>_xll.qlInterestRateIndexValueDate(IborIndex,X1745,Trigger)</f>
        <v>51274</v>
      </c>
      <c r="Z1745" s="203">
        <v>2.4551741804414426E-2</v>
      </c>
      <c r="AA1745" s="200">
        <v>2.4475011558724447E-2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51279</v>
      </c>
      <c r="Y1746" s="202">
        <f>_xll.qlInterestRateIndexValueDate(IborIndex,X1746,Trigger)</f>
        <v>51281</v>
      </c>
      <c r="Z1746" s="203">
        <v>2.4552446084787263E-2</v>
      </c>
      <c r="AA1746" s="200">
        <v>2.4474843505792876E-2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51286</v>
      </c>
      <c r="Y1747" s="202">
        <f>_xll.qlInterestRateIndexValueDate(IborIndex,X1747,Trigger)</f>
        <v>51288</v>
      </c>
      <c r="Z1747" s="203">
        <v>2.4552327329609779E-2</v>
      </c>
      <c r="AA1747" s="200">
        <v>2.4474720987077703E-2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51293</v>
      </c>
      <c r="Y1748" s="202">
        <f>_xll.qlInterestRateIndexValueDate(IborIndex,X1748,Trigger)</f>
        <v>51295</v>
      </c>
      <c r="Z1748" s="203">
        <v>2.4551384677289959E-2</v>
      </c>
      <c r="AA1748" s="200">
        <v>2.4474581862845568E-2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51300</v>
      </c>
      <c r="Y1749" s="202">
        <f>_xll.qlInterestRateIndexValueDate(IborIndex,X1749,Trigger)</f>
        <v>51302</v>
      </c>
      <c r="Z1749" s="203">
        <v>2.4551273902491261E-2</v>
      </c>
      <c r="AA1749" s="200">
        <v>2.447444684636757E-2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51307</v>
      </c>
      <c r="Y1750" s="202">
        <f>_xll.qlInterestRateIndexValueDate(IborIndex,X1750,Trigger)</f>
        <v>51309</v>
      </c>
      <c r="Z1750" s="203">
        <v>2.4551167261482047E-2</v>
      </c>
      <c r="AA1750" s="200">
        <v>2.4474315937643709E-2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51314</v>
      </c>
      <c r="Y1751" s="202">
        <f>_xll.qlInterestRateIndexValueDate(IborIndex,X1751,Trigger)</f>
        <v>51316</v>
      </c>
      <c r="Z1751" s="203">
        <v>2.454857845890843E-2</v>
      </c>
      <c r="AA1751" s="200">
        <v>2.4474189136673985E-2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51321</v>
      </c>
      <c r="Y1752" s="202">
        <f>_xll.qlInterestRateIndexValueDate(IborIndex,X1752,Trigger)</f>
        <v>51323</v>
      </c>
      <c r="Z1752" s="203">
        <v>2.455179556476457E-2</v>
      </c>
      <c r="AA1752" s="200">
        <v>2.4474066443378462E-2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51328</v>
      </c>
      <c r="Y1753" s="202">
        <f>_xll.qlInterestRateIndexValueDate(IborIndex,X1753,Trigger)</f>
        <v>51330</v>
      </c>
      <c r="Z1753" s="203">
        <v>2.4550872141178532E-2</v>
      </c>
      <c r="AA1753" s="200">
        <v>2.4473947857837075E-2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51335</v>
      </c>
      <c r="Y1754" s="202">
        <f>_xll.qlInterestRateIndexValueDate(IborIndex,X1754,Trigger)</f>
        <v>51337</v>
      </c>
      <c r="Z1754" s="203">
        <v>2.4550782035317038E-2</v>
      </c>
      <c r="AA1754" s="200">
        <v>2.4473833380049825E-2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51342</v>
      </c>
      <c r="Y1755" s="202">
        <f>_xll.qlInterestRateIndexValueDate(IborIndex,X1755,Trigger)</f>
        <v>51344</v>
      </c>
      <c r="Z1755" s="203">
        <v>2.4550696063244174E-2</v>
      </c>
      <c r="AA1755" s="200">
        <v>2.4473723009936776E-2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51349</v>
      </c>
      <c r="Y1756" s="202">
        <f>_xll.qlInterestRateIndexValueDate(IborIndex,X1756,Trigger)</f>
        <v>51351</v>
      </c>
      <c r="Z1756" s="203">
        <v>2.4550614224954834E-2</v>
      </c>
      <c r="AA1756" s="200">
        <v>2.4473616747577864E-2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51356</v>
      </c>
      <c r="Y1757" s="202">
        <f>_xll.qlInterestRateIndexValueDate(IborIndex,X1757,Trigger)</f>
        <v>51358</v>
      </c>
      <c r="Z1757" s="203">
        <v>2.4551367151622136E-2</v>
      </c>
      <c r="AA1757" s="200">
        <v>2.4473514592973089E-2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51363</v>
      </c>
      <c r="Y1758" s="202">
        <f>_xll.qlInterestRateIndexValueDate(IborIndex,X1758,Trigger)</f>
        <v>51365</v>
      </c>
      <c r="Z1758" s="203">
        <v>2.4550462949736951E-2</v>
      </c>
      <c r="AA1758" s="200">
        <v>2.4473416546042515E-2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51370</v>
      </c>
      <c r="Y1759" s="202">
        <f>_xll.qlInterestRateIndexValueDate(IborIndex,X1759,Trigger)</f>
        <v>51372</v>
      </c>
      <c r="Z1759" s="203">
        <v>2.4550393512805004E-2</v>
      </c>
      <c r="AA1759" s="200">
        <v>2.4473309522372588E-2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51377</v>
      </c>
      <c r="Y1760" s="202">
        <f>_xll.qlInterestRateIndexValueDate(IborIndex,X1760,Trigger)</f>
        <v>51379</v>
      </c>
      <c r="Z1760" s="203">
        <v>2.4547834093825452E-2</v>
      </c>
      <c r="AA1760" s="200">
        <v>2.4473232775523712E-2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51384</v>
      </c>
      <c r="Y1761" s="202">
        <f>_xll.qlInterestRateIndexValueDate(IborIndex,X1761,Trigger)</f>
        <v>51386</v>
      </c>
      <c r="Z1761" s="203">
        <v>2.4547772051307516E-2</v>
      </c>
      <c r="AA1761" s="200">
        <v>2.4473147051855548E-2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51391</v>
      </c>
      <c r="Y1762" s="202">
        <f>_xll.qlInterestRateIndexValueDate(IborIndex,X1762,Trigger)</f>
        <v>51393</v>
      </c>
      <c r="Z1762" s="203">
        <v>2.4547714141730601E-2</v>
      </c>
      <c r="AA1762" s="200">
        <v>2.4473065436021457E-2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51398</v>
      </c>
      <c r="Y1763" s="202">
        <f>_xll.qlInterestRateIndexValueDate(IborIndex,X1763,Trigger)</f>
        <v>51400</v>
      </c>
      <c r="Z1763" s="203">
        <v>2.4547660365097344E-2</v>
      </c>
      <c r="AA1763" s="200">
        <v>2.4472987927621759E-2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51405</v>
      </c>
      <c r="Y1764" s="202">
        <f>_xll.qlInterestRateIndexValueDate(IborIndex,X1764,Trigger)</f>
        <v>51407</v>
      </c>
      <c r="Z1764" s="203">
        <v>2.4550108334924544E-2</v>
      </c>
      <c r="AA1764" s="200">
        <v>2.4472914527216005E-2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51412</v>
      </c>
      <c r="Y1765" s="202">
        <f>_xll.qlInterestRateIndexValueDate(IborIndex,X1765,Trigger)</f>
        <v>51414</v>
      </c>
      <c r="Z1765" s="203">
        <v>2.4550063700701417E-2</v>
      </c>
      <c r="AA1765" s="200">
        <v>2.4472845234484453E-2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51419</v>
      </c>
      <c r="Y1766" s="202">
        <f>_xll.qlInterestRateIndexValueDate(IborIndex,X1766,Trigger)</f>
        <v>51421</v>
      </c>
      <c r="Z1766" s="203">
        <v>2.4550023200262672E-2</v>
      </c>
      <c r="AA1766" s="200">
        <v>2.4472780049507037E-2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51426</v>
      </c>
      <c r="Y1767" s="202">
        <f>_xll.qlInterestRateIndexValueDate(IborIndex,X1767,Trigger)</f>
        <v>51428</v>
      </c>
      <c r="Z1767" s="203">
        <v>2.4550820380315166E-2</v>
      </c>
      <c r="AA1767" s="200">
        <v>2.4472718972203822E-2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51433</v>
      </c>
      <c r="Y1768" s="202">
        <f>_xll.qlInterestRateIndexValueDate(IborIndex,X1768,Trigger)</f>
        <v>51435</v>
      </c>
      <c r="Z1768" s="203">
        <v>2.4549954600739162E-2</v>
      </c>
      <c r="AA1768" s="200">
        <v>2.4472662002654744E-2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51440</v>
      </c>
      <c r="Y1769" s="202">
        <f>_xll.qlInterestRateIndexValueDate(IborIndex,X1769,Trigger)</f>
        <v>51442</v>
      </c>
      <c r="Z1769" s="203">
        <v>2.4549926501652698E-2</v>
      </c>
      <c r="AA1769" s="200">
        <v>2.4472609140779866E-2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51447</v>
      </c>
      <c r="Y1770" s="202">
        <f>_xll.qlInterestRateIndexValueDate(IborIndex,X1770,Trigger)</f>
        <v>51449</v>
      </c>
      <c r="Z1770" s="203">
        <v>2.4549902536349765E-2</v>
      </c>
      <c r="AA1770" s="200">
        <v>2.4472560386739062E-2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51454</v>
      </c>
      <c r="Y1771" s="202">
        <f>_xll.qlInterestRateIndexValueDate(IborIndex,X1771,Trigger)</f>
        <v>51456</v>
      </c>
      <c r="Z1771" s="203">
        <v>2.455071742561777E-2</v>
      </c>
      <c r="AA1771" s="200">
        <v>2.4472515740292522E-2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51461</v>
      </c>
      <c r="Y1772" s="202">
        <f>_xll.qlInterestRateIndexValueDate(IborIndex,X1772,Trigger)</f>
        <v>51463</v>
      </c>
      <c r="Z1772" s="203">
        <v>2.4549867007094484E-2</v>
      </c>
      <c r="AA1772" s="200">
        <v>2.4472475201759991E-2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51468</v>
      </c>
      <c r="Y1773" s="202">
        <f>_xll.qlInterestRateIndexValueDate(IborIndex,X1773,Trigger)</f>
        <v>51470</v>
      </c>
      <c r="Z1773" s="203">
        <v>2.4546514864924873E-2</v>
      </c>
      <c r="AA1773" s="200">
        <v>2.4472438770901661E-2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51475</v>
      </c>
      <c r="Y1774" s="202">
        <f>_xll.qlInterestRateIndexValueDate(IborIndex,X1774,Trigger)</f>
        <v>51477</v>
      </c>
      <c r="Z1774" s="203">
        <v>2.4546506256015732E-2</v>
      </c>
      <c r="AA1774" s="200">
        <v>2.4472406447717532E-2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51482</v>
      </c>
      <c r="Y1775" s="202">
        <f>_xll.qlInterestRateIndexValueDate(IborIndex,X1775,Trigger)</f>
        <v>51484</v>
      </c>
      <c r="Z1775" s="203">
        <v>2.4546501779767915E-2</v>
      </c>
      <c r="AA1775" s="200">
        <v>2.4472378232287539E-2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51489</v>
      </c>
      <c r="Y1776" s="202">
        <f>_xll.qlInterestRateIndexValueDate(IborIndex,X1776,Trigger)</f>
        <v>51491</v>
      </c>
      <c r="Z1776" s="203">
        <v>2.4546501436176982E-2</v>
      </c>
      <c r="AA1776" s="200">
        <v>2.4472347991197907E-2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51497</v>
      </c>
      <c r="Y1777" s="202">
        <f>_xll.qlInterestRateIndexValueDate(IborIndex,X1777,Trigger)</f>
        <v>51501</v>
      </c>
      <c r="Z1777" s="203">
        <v>2.4544835607659916E-2</v>
      </c>
      <c r="AA1777" s="200">
        <v>2.4472329164897388E-2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51504</v>
      </c>
      <c r="Y1778" s="202">
        <f>_xll.qlInterestRateIndexValueDate(IborIndex,X1778,Trigger)</f>
        <v>51508</v>
      </c>
      <c r="Z1778" s="203">
        <v>2.4547354455467411E-2</v>
      </c>
      <c r="AA1778" s="200">
        <v>2.4472316297510233E-2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51511</v>
      </c>
      <c r="Y1779" s="202">
        <f>_xll.qlInterestRateIndexValueDate(IborIndex,X1779,Trigger)</f>
        <v>51515</v>
      </c>
      <c r="Z1779" s="203">
        <v>2.4547368577146182E-2</v>
      </c>
      <c r="AA1779" s="200">
        <v>2.4472305099747516E-2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51518</v>
      </c>
      <c r="Y1780" s="202">
        <f>_xll.qlInterestRateIndexValueDate(IborIndex,X1780,Trigger)</f>
        <v>51523</v>
      </c>
      <c r="Z1780" s="203">
        <v>2.4547389776952047E-2</v>
      </c>
      <c r="AA1780" s="200">
        <v>2.4472297332280846E-2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51525</v>
      </c>
      <c r="Y1781" s="202">
        <f>_xll.qlInterestRateIndexValueDate(IborIndex,X1781,Trigger)</f>
        <v>51529</v>
      </c>
      <c r="Z1781" s="203">
        <v>2.4547409219326792E-2</v>
      </c>
      <c r="AA1781" s="200">
        <v>2.4472295027644364E-2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51532</v>
      </c>
      <c r="Y1782" s="202">
        <f>_xll.qlInterestRateIndexValueDate(IborIndex,X1782,Trigger)</f>
        <v>51536</v>
      </c>
      <c r="Z1782" s="203">
        <v>2.4548273640822741E-2</v>
      </c>
      <c r="AA1782" s="200">
        <v>2.4472296153144057E-2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51539</v>
      </c>
      <c r="Y1783" s="202">
        <f>_xll.qlInterestRateIndexValueDate(IborIndex,X1783,Trigger)</f>
        <v>51543</v>
      </c>
      <c r="Z1783" s="203">
        <v>2.4547466393269733E-2</v>
      </c>
      <c r="AA1783" s="200">
        <v>2.4472301386397888E-2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51546</v>
      </c>
      <c r="Y1784" s="202">
        <f>_xll.qlInterestRateIndexValueDate(IborIndex,X1784,Trigger)</f>
        <v>51551</v>
      </c>
      <c r="Z1784" s="203">
        <v>2.4546668014514772E-2</v>
      </c>
      <c r="AA1784" s="200">
        <v>2.4472312397270102E-2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51553</v>
      </c>
      <c r="Y1785" s="202">
        <f>_xll.qlInterestRateIndexValueDate(IborIndex,X1785,Trigger)</f>
        <v>51557</v>
      </c>
      <c r="Z1785" s="203">
        <v>2.4548378892758606E-2</v>
      </c>
      <c r="AA1785" s="200">
        <v>2.4472324176167959E-2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51560</v>
      </c>
      <c r="Y1786" s="202">
        <f>_xll.qlInterestRateIndexValueDate(IborIndex,X1786,Trigger)</f>
        <v>51564</v>
      </c>
      <c r="Z1786" s="203">
        <v>2.4548422243180119E-2</v>
      </c>
      <c r="AA1786" s="200">
        <v>2.44723417326842E-2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51567</v>
      </c>
      <c r="Y1787" s="202">
        <f>_xll.qlInterestRateIndexValueDate(IborIndex,X1787,Trigger)</f>
        <v>51571</v>
      </c>
      <c r="Z1787" s="203">
        <v>2.4548469726824961E-2</v>
      </c>
      <c r="AA1787" s="200">
        <v>2.4472363396874641E-2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51574</v>
      </c>
      <c r="Y1788" s="202">
        <f>_xll.qlInterestRateIndexValueDate(IborIndex,X1788,Trigger)</f>
        <v>51578</v>
      </c>
      <c r="Z1788" s="203">
        <v>2.4548521343692262E-2</v>
      </c>
      <c r="AA1788" s="200">
        <v>2.4472389168739284E-2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51581</v>
      </c>
      <c r="Y1789" s="202">
        <f>_xll.qlInterestRateIndexValueDate(IborIndex,X1789,Trigger)</f>
        <v>51585</v>
      </c>
      <c r="Z1789" s="203">
        <v>2.4548577093781155E-2</v>
      </c>
      <c r="AA1789" s="200">
        <v>2.4472419048437999E-2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51588</v>
      </c>
      <c r="Y1790" s="202">
        <f>_xll.qlInterestRateIndexValueDate(IborIndex,X1790,Trigger)</f>
        <v>51592</v>
      </c>
      <c r="Z1790" s="203">
        <v>2.4547796689720142E-2</v>
      </c>
      <c r="AA1790" s="200">
        <v>2.4472453035810915E-2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51595</v>
      </c>
      <c r="Y1791" s="202">
        <f>_xll.qlInterestRateIndexValueDate(IborIndex,X1791,Trigger)</f>
        <v>51599</v>
      </c>
      <c r="Z1791" s="203">
        <v>2.4547860406693819E-2</v>
      </c>
      <c r="AA1791" s="200">
        <v>2.4472491130937968E-2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51602</v>
      </c>
      <c r="Y1792" s="202">
        <f>_xll.qlInterestRateIndexValueDate(IborIndex,X1792,Trigger)</f>
        <v>51606</v>
      </c>
      <c r="Z1792" s="203">
        <v>2.4547928256610275E-2</v>
      </c>
      <c r="AA1792" s="200">
        <v>2.4472533333739221E-2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51609</v>
      </c>
      <c r="Y1793" s="202">
        <f>_xll.qlInterestRateIndexValueDate(IborIndex,X1793,Trigger)</f>
        <v>51615</v>
      </c>
      <c r="Z1793" s="203">
        <v>2.4548021565110541E-2</v>
      </c>
      <c r="AA1793" s="200">
        <v>2.447426444875056E-2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51616</v>
      </c>
      <c r="Y1794" s="202">
        <f>_xll.qlInterestRateIndexValueDate(IborIndex,X1794,Trigger)</f>
        <v>51620</v>
      </c>
      <c r="Z1794" s="203">
        <v>2.4548076355268886E-2</v>
      </c>
      <c r="AA1794" s="200">
        <v>2.4472630062764011E-2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51623</v>
      </c>
      <c r="Y1795" s="202">
        <f>_xll.qlInterestRateIndexValueDate(IborIndex,X1795,Trigger)</f>
        <v>51628</v>
      </c>
      <c r="Z1795" s="203">
        <v>2.4549010236472435E-2</v>
      </c>
      <c r="AA1795" s="200">
        <v>2.4472692713528588E-2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51630</v>
      </c>
      <c r="Y1796" s="202">
        <f>_xll.qlInterestRateIndexValueDate(IborIndex,X1796,Trigger)</f>
        <v>51634</v>
      </c>
      <c r="Z1796" s="203">
        <v>2.4549083074659223E-2</v>
      </c>
      <c r="AA1796" s="200">
        <v>2.4472743222485605E-2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51637</v>
      </c>
      <c r="Y1797" s="202">
        <f>_xll.qlInterestRateIndexValueDate(IborIndex,X1797,Trigger)</f>
        <v>51641</v>
      </c>
      <c r="Z1797" s="203">
        <v>2.4549171890536483E-2</v>
      </c>
      <c r="AA1797" s="200">
        <v>2.4472805964057542E-2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51644</v>
      </c>
      <c r="Y1798" s="202">
        <f>_xll.qlInterestRateIndexValueDate(IborIndex,X1798,Trigger)</f>
        <v>51649</v>
      </c>
      <c r="Z1798" s="203">
        <v>2.4549278455488127E-2</v>
      </c>
      <c r="AA1798" s="200">
        <v>2.4472882698516329E-2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51651</v>
      </c>
      <c r="Y1799" s="202">
        <f>_xll.qlInterestRateIndexValueDate(IborIndex,X1799,Trigger)</f>
        <v>51655</v>
      </c>
      <c r="Z1799" s="203">
        <v>2.4549361921967074E-2</v>
      </c>
      <c r="AA1799" s="200">
        <v>2.4472943770303957E-2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51658</v>
      </c>
      <c r="Y1800" s="202">
        <f>_xll.qlInterestRateIndexValueDate(IborIndex,X1800,Trigger)</f>
        <v>51662</v>
      </c>
      <c r="Z1800" s="203">
        <v>2.4549463137518667E-2</v>
      </c>
      <c r="AA1800" s="200">
        <v>2.4473018834978433E-2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51665</v>
      </c>
      <c r="Y1801" s="202">
        <f>_xll.qlInterestRateIndexValueDate(IborIndex,X1801,Trigger)</f>
        <v>51669</v>
      </c>
      <c r="Z1801" s="203">
        <v>2.454956848629793E-2</v>
      </c>
      <c r="AA1801" s="200">
        <v>2.4473098007566918E-2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51672</v>
      </c>
      <c r="Y1802" s="202">
        <f>_xll.qlInterestRateIndexValueDate(IborIndex,X1802,Trigger)</f>
        <v>51676</v>
      </c>
      <c r="Z1802" s="203">
        <v>2.4549677968301393E-2</v>
      </c>
      <c r="AA1802" s="200">
        <v>2.4473181287669732E-2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51679</v>
      </c>
      <c r="Y1803" s="202">
        <f>_xll.qlInterestRateIndexValueDate(IborIndex,X1803,Trigger)</f>
        <v>51683</v>
      </c>
      <c r="Z1803" s="203">
        <v>2.4549791583532529E-2</v>
      </c>
      <c r="AA1803" s="200">
        <v>2.4473268675606619E-2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51686</v>
      </c>
      <c r="Y1804" s="202">
        <f>_xll.qlInterestRateIndexValueDate(IborIndex,X1804,Trigger)</f>
        <v>51690</v>
      </c>
      <c r="Z1804" s="203">
        <v>2.4549909331988733E-2</v>
      </c>
      <c r="AA1804" s="200">
        <v>2.4473360171377578E-2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51693</v>
      </c>
      <c r="Y1805" s="202">
        <f>_xll.qlInterestRateIndexValueDate(IborIndex,X1805,Trigger)</f>
        <v>51697</v>
      </c>
      <c r="Z1805" s="203">
        <v>2.4550031213672611E-2</v>
      </c>
      <c r="AA1805" s="200">
        <v>2.4473455774742803E-2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51700</v>
      </c>
      <c r="Y1806" s="202">
        <f>_xll.qlInterestRateIndexValueDate(IborIndex,X1806,Trigger)</f>
        <v>51704</v>
      </c>
      <c r="Z1806" s="203">
        <v>2.4550157228584158E-2</v>
      </c>
      <c r="AA1806" s="200">
        <v>2.4473555485862164E-2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51707</v>
      </c>
      <c r="Y1807" s="202">
        <f>_xll.qlInterestRateIndexValueDate(IborIndex,X1807,Trigger)</f>
        <v>51711</v>
      </c>
      <c r="Z1807" s="203">
        <v>2.4550287376723382E-2</v>
      </c>
      <c r="AA1807" s="200">
        <v>2.4473659304655726E-2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51714</v>
      </c>
      <c r="Y1808" s="202">
        <f>_xll.qlInterestRateIndexValueDate(IborIndex,X1808,Trigger)</f>
        <v>51718</v>
      </c>
      <c r="Z1808" s="203">
        <v>2.4550421658090276E-2</v>
      </c>
      <c r="AA1808" s="200">
        <v>2.4473767231203425E-2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51721</v>
      </c>
      <c r="Y1809" s="202">
        <f>_xll.qlInterestRateIndexValueDate(IborIndex,X1809,Trigger)</f>
        <v>51725</v>
      </c>
      <c r="Z1809" s="203">
        <v>2.4550560072685714E-2</v>
      </c>
      <c r="AA1809" s="200">
        <v>2.4473879265505261E-2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51728</v>
      </c>
      <c r="Y1810" s="202">
        <f>_xll.qlInterestRateIndexValueDate(IborIndex,X1810,Trigger)</f>
        <v>51732</v>
      </c>
      <c r="Z1810" s="203">
        <v>2.4550702620511431E-2</v>
      </c>
      <c r="AA1810" s="200">
        <v>2.4473995407641169E-2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51735</v>
      </c>
      <c r="Y1811" s="202">
        <f>_xll.qlInterestRateIndexValueDate(IborIndex,X1811,Trigger)</f>
        <v>51740</v>
      </c>
      <c r="Z1811" s="203">
        <v>2.4550870593407024E-2</v>
      </c>
      <c r="AA1811" s="200">
        <v>2.4474133171281665E-2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51742</v>
      </c>
      <c r="Y1812" s="202">
        <f>_xll.qlInterestRateIndexValueDate(IborIndex,X1812,Trigger)</f>
        <v>51747</v>
      </c>
      <c r="Z1812" s="203">
        <v>2.4550175011848394E-2</v>
      </c>
      <c r="AA1812" s="200">
        <v>2.4474258115576575E-2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51749</v>
      </c>
      <c r="Y1813" s="202">
        <f>_xll.qlInterestRateIndexValueDate(IborIndex,X1813,Trigger)</f>
        <v>51753</v>
      </c>
      <c r="Z1813" s="203">
        <v>2.4550307814975129E-2</v>
      </c>
      <c r="AA1813" s="200">
        <v>2.4474368480174036E-2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51756</v>
      </c>
      <c r="Y1814" s="202">
        <f>_xll.qlInterestRateIndexValueDate(IborIndex,X1814,Trigger)</f>
        <v>51760</v>
      </c>
      <c r="Z1814" s="203">
        <v>2.4550466589695973E-2</v>
      </c>
      <c r="AA1814" s="200">
        <v>2.447450105316662E-2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51763</v>
      </c>
      <c r="Y1815" s="202">
        <f>_xll.qlInterestRateIndexValueDate(IborIndex,X1815,Trigger)</f>
        <v>51767</v>
      </c>
      <c r="Z1815" s="203">
        <v>2.4550629497365747E-2</v>
      </c>
      <c r="AA1815" s="200">
        <v>2.447463773391334E-2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51770</v>
      </c>
      <c r="Y1816" s="202">
        <f>_xll.qlInterestRateIndexValueDate(IborIndex,X1816,Trigger)</f>
        <v>51774</v>
      </c>
      <c r="Z1816" s="203">
        <v>2.4551644705294657E-2</v>
      </c>
      <c r="AA1816" s="200">
        <v>2.4474778522254326E-2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51777</v>
      </c>
      <c r="Y1817" s="202">
        <f>_xll.qlInterestRateIndexValueDate(IborIndex,X1817,Trigger)</f>
        <v>51781</v>
      </c>
      <c r="Z1817" s="203">
        <v>2.455181618573668E-2</v>
      </c>
      <c r="AA1817" s="200">
        <v>2.447492341850932E-2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51784</v>
      </c>
      <c r="Y1818" s="202">
        <f>_xll.qlInterestRateIndexValueDate(IborIndex,X1818,Trigger)</f>
        <v>51789</v>
      </c>
      <c r="Z1818" s="203">
        <v>2.4552017224484936E-2</v>
      </c>
      <c r="AA1818" s="200">
        <v>2.4475094044023038E-2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51791</v>
      </c>
      <c r="Y1819" s="202">
        <f>_xll.qlInterestRateIndexValueDate(IborIndex,X1819,Trigger)</f>
        <v>51795</v>
      </c>
      <c r="Z1819" s="203">
        <v>2.4552171546318509E-2</v>
      </c>
      <c r="AA1819" s="200">
        <v>2.4475225534121847E-2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51798</v>
      </c>
      <c r="Y1820" s="202">
        <f>_xll.qlInterestRateIndexValueDate(IborIndex,X1820,Trigger)</f>
        <v>51802</v>
      </c>
      <c r="Z1820" s="203">
        <v>2.4552355426460056E-2</v>
      </c>
      <c r="AA1820" s="200">
        <v>2.447538275347938E-2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51805</v>
      </c>
      <c r="Y1821" s="202">
        <f>_xll.qlInterestRateIndexValueDate(IborIndex,X1821,Trigger)</f>
        <v>51809</v>
      </c>
      <c r="Z1821" s="203">
        <v>2.4552543439837097E-2</v>
      </c>
      <c r="AA1821" s="200">
        <v>2.447554408059105E-2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51812</v>
      </c>
      <c r="Y1822" s="202">
        <f>_xll.qlInterestRateIndexValueDate(IborIndex,X1822,Trigger)</f>
        <v>51817</v>
      </c>
      <c r="Z1822" s="203">
        <v>2.4552763373370222E-2</v>
      </c>
      <c r="AA1822" s="200">
        <v>2.4475733484283779E-2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51819</v>
      </c>
      <c r="Y1823" s="202">
        <f>_xll.qlInterestRateIndexValueDate(IborIndex,X1823,Trigger)</f>
        <v>51823</v>
      </c>
      <c r="Z1823" s="203">
        <v>2.455293186629592E-2</v>
      </c>
      <c r="AA1823" s="200">
        <v>2.4475879057996863E-2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51826</v>
      </c>
      <c r="Y1824" s="202">
        <f>_xll.qlInterestRateIndexValueDate(IborIndex,X1824,Trigger)</f>
        <v>51830</v>
      </c>
      <c r="Z1824" s="203">
        <v>2.4553132279380309E-2</v>
      </c>
      <c r="AA1824" s="200">
        <v>2.4476052708370943E-2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51833</v>
      </c>
      <c r="Y1825" s="202">
        <f>_xll.qlInterestRateIndexValueDate(IborIndex,X1825,Trigger)</f>
        <v>51837</v>
      </c>
      <c r="Z1825" s="203">
        <v>2.4552485886452154E-2</v>
      </c>
      <c r="AA1825" s="200">
        <v>2.4476230466339288E-2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51840</v>
      </c>
      <c r="Y1826" s="202">
        <f>_xll.qlInterestRateIndexValueDate(IborIndex,X1826,Trigger)</f>
        <v>51844</v>
      </c>
      <c r="Z1826" s="203">
        <v>2.4552694256611961E-2</v>
      </c>
      <c r="AA1826" s="200">
        <v>2.4476412332141706E-2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51847</v>
      </c>
      <c r="Y1827" s="202">
        <f>_xll.qlInterestRateIndexValueDate(IborIndex,X1827,Trigger)</f>
        <v>51851</v>
      </c>
      <c r="Z1827" s="203">
        <v>2.455290675972948E-2</v>
      </c>
      <c r="AA1827" s="200">
        <v>2.4476598305698261E-2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51854</v>
      </c>
      <c r="Y1828" s="202">
        <f>_xll.qlInterestRateIndexValueDate(IborIndex,X1828,Trigger)</f>
        <v>51858</v>
      </c>
      <c r="Z1828" s="203">
        <v>2.4553123395803834E-2</v>
      </c>
      <c r="AA1828" s="200">
        <v>2.4478535387926215E-2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51862</v>
      </c>
      <c r="Y1829" s="202">
        <f>_xll.qlInterestRateIndexValueDate(IborIndex,X1829,Trigger)</f>
        <v>51866</v>
      </c>
      <c r="Z1829" s="203">
        <v>2.4552523886049116E-2</v>
      </c>
      <c r="AA1829" s="200">
        <v>2.4478731364014905E-2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51869</v>
      </c>
      <c r="Y1830" s="202">
        <f>_xll.qlInterestRateIndexValueDate(IborIndex,X1830,Trigger)</f>
        <v>51873</v>
      </c>
      <c r="Z1830" s="203">
        <v>2.4553601533071637E-2</v>
      </c>
      <c r="AA1830" s="200">
        <v>2.4477209536044597E-2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51876</v>
      </c>
      <c r="Y1831" s="202">
        <f>_xll.qlInterestRateIndexValueDate(IborIndex,X1831,Trigger)</f>
        <v>51880</v>
      </c>
      <c r="Z1831" s="203">
        <v>2.4552978382513579E-2</v>
      </c>
      <c r="AA1831" s="200">
        <v>2.4477412527348363E-2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51883</v>
      </c>
      <c r="Y1832" s="202">
        <f>_xll.qlInterestRateIndexValueDate(IborIndex,X1832,Trigger)</f>
        <v>51887</v>
      </c>
      <c r="Z1832" s="203">
        <v>2.4553211829764443E-2</v>
      </c>
      <c r="AA1832" s="200">
        <v>2.4477619626246394E-2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51890</v>
      </c>
      <c r="Y1833" s="202">
        <f>_xll.qlInterestRateIndexValueDate(IborIndex,X1833,Trigger)</f>
        <v>51894</v>
      </c>
      <c r="Z1833" s="203">
        <v>2.4553449409697059E-2</v>
      </c>
      <c r="AA1833" s="200">
        <v>2.4477830832978498E-2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51897</v>
      </c>
      <c r="Y1834" s="202">
        <f>_xll.qlInterestRateIndexValueDate(IborIndex,X1834,Trigger)</f>
        <v>51901</v>
      </c>
      <c r="Z1834" s="203">
        <v>2.4554544832341541E-2</v>
      </c>
      <c r="AA1834" s="200">
        <v>2.4478046147464738E-2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51904</v>
      </c>
      <c r="Y1835" s="202">
        <f>_xll.qlInterestRateIndexValueDate(IborIndex,X1835,Trigger)</f>
        <v>51908</v>
      </c>
      <c r="Z1835" s="203">
        <v>2.4553936967603995E-2</v>
      </c>
      <c r="AA1835" s="200">
        <v>2.4478265569705115E-2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51911</v>
      </c>
      <c r="Y1836" s="202">
        <f>_xll.qlInterestRateIndexValueDate(IborIndex,X1836,Trigger)</f>
        <v>51915</v>
      </c>
      <c r="Z1836" s="203">
        <v>2.4554186945580092E-2</v>
      </c>
      <c r="AA1836" s="200">
        <v>2.4478489099619694E-2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51918</v>
      </c>
      <c r="Y1837" s="202">
        <f>_xll.qlInterestRateIndexValueDate(IborIndex,X1837,Trigger)</f>
        <v>51922</v>
      </c>
      <c r="Z1837" s="203">
        <v>2.455529570290375E-2</v>
      </c>
      <c r="AA1837" s="200">
        <v>2.4478716737368345E-2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51925</v>
      </c>
      <c r="Y1838" s="202">
        <f>_xll.qlInterestRateIndexValueDate(IborIndex,X1838,Trigger)</f>
        <v>51929</v>
      </c>
      <c r="Z1838" s="203">
        <v>2.4556409287096799E-2</v>
      </c>
      <c r="AA1838" s="200">
        <v>2.447894848271126E-2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51932</v>
      </c>
      <c r="Y1839" s="202">
        <f>_xll.qlInterestRateIndexValueDate(IborIndex,X1839,Trigger)</f>
        <v>51936</v>
      </c>
      <c r="Z1839" s="203">
        <v>2.4556672289275966E-2</v>
      </c>
      <c r="AA1839" s="200">
        <v>2.4479184335808313E-2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51939</v>
      </c>
      <c r="Y1840" s="202">
        <f>_xll.qlInterestRateIndexValueDate(IborIndex,X1840,Trigger)</f>
        <v>51943</v>
      </c>
      <c r="Z1840" s="203">
        <v>2.4556939424701919E-2</v>
      </c>
      <c r="AA1840" s="200">
        <v>2.4479424296659502E-2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51946</v>
      </c>
      <c r="Y1841" s="202">
        <f>_xll.qlInterestRateIndexValueDate(IborIndex,X1841,Trigger)</f>
        <v>51950</v>
      </c>
      <c r="Z1841" s="203">
        <v>2.4557210693378136E-2</v>
      </c>
      <c r="AA1841" s="200">
        <v>2.4479668365184892E-2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51953</v>
      </c>
      <c r="Y1842" s="202">
        <f>_xll.qlInterestRateIndexValueDate(IborIndex,X1842,Trigger)</f>
        <v>51957</v>
      </c>
      <c r="Z1842" s="203">
        <v>2.4556629813157229E-2</v>
      </c>
      <c r="AA1842" s="200">
        <v>2.4483317790634729E-2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51964</v>
      </c>
      <c r="Y1843" s="202">
        <f>_xll.qlInterestRateIndexValueDate(IborIndex,X1843,Trigger)</f>
        <v>51966</v>
      </c>
      <c r="Z1843" s="203">
        <v>2.4556989570646962E-2</v>
      </c>
      <c r="AA1843" s="200">
        <v>2.4480314832304728E-2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51971</v>
      </c>
      <c r="Y1844" s="202">
        <f>_xll.qlInterestRateIndexValueDate(IborIndex,X1844,Trigger)</f>
        <v>51973</v>
      </c>
      <c r="Z1844" s="203">
        <v>2.4557274105422484E-2</v>
      </c>
      <c r="AA1844" s="200">
        <v>2.4480573571254993E-2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51978</v>
      </c>
      <c r="Y1845" s="202">
        <f>_xll.qlInterestRateIndexValueDate(IborIndex,X1845,Trigger)</f>
        <v>51980</v>
      </c>
      <c r="Z1845" s="203">
        <v>2.4557562773168014E-2</v>
      </c>
      <c r="AA1845" s="200">
        <v>2.4480836418119267E-2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51985</v>
      </c>
      <c r="Y1846" s="202">
        <f>_xll.qlInterestRateIndexValueDate(IborIndex,X1846,Trigger)</f>
        <v>51987</v>
      </c>
      <c r="Z1846" s="203">
        <v>2.455871320467265E-2</v>
      </c>
      <c r="AA1846" s="200">
        <v>2.4481141844363563E-2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51992</v>
      </c>
      <c r="Y1847" s="202">
        <f>_xll.qlInterestRateIndexValueDate(IborIndex,X1847,Trigger)</f>
        <v>51994</v>
      </c>
      <c r="Z1847" s="203">
        <v>2.4559010453792749E-2</v>
      </c>
      <c r="AA1847" s="200">
        <v>2.4481374434950354E-2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51999</v>
      </c>
      <c r="Y1848" s="202">
        <f>_xll.qlInterestRateIndexValueDate(IborIndex,X1848,Trigger)</f>
        <v>52001</v>
      </c>
      <c r="Z1848" s="203">
        <v>2.455931183616572E-2</v>
      </c>
      <c r="AA1848" s="200">
        <v>2.4481649604997102E-2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52006</v>
      </c>
      <c r="Y1849" s="202">
        <f>_xll.qlInterestRateIndexValueDate(IborIndex,X1849,Trigger)</f>
        <v>52008</v>
      </c>
      <c r="Z1849" s="203">
        <v>2.4559617351798513E-2</v>
      </c>
      <c r="AA1849" s="200">
        <v>2.4481969114855673E-2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52013</v>
      </c>
      <c r="Y1850" s="202">
        <f>_xll.qlInterestRateIndexValueDate(IborIndex,X1850,Trigger)</f>
        <v>52015</v>
      </c>
      <c r="Z1850" s="203">
        <v>2.4559927000686783E-2</v>
      </c>
      <c r="AA1850" s="200">
        <v>2.4482212268193138E-2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52020</v>
      </c>
      <c r="Y1851" s="202">
        <f>_xll.qlInterestRateIndexValueDate(IborIndex,X1851,Trigger)</f>
        <v>52022</v>
      </c>
      <c r="Z1851" s="203">
        <v>2.4560240782833136E-2</v>
      </c>
      <c r="AA1851" s="200">
        <v>2.4482499761422361E-2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52027</v>
      </c>
      <c r="Y1852" s="202">
        <f>_xll.qlInterestRateIndexValueDate(IborIndex,X1852,Trigger)</f>
        <v>52029</v>
      </c>
      <c r="Z1852" s="203">
        <v>2.4560558698240177E-2</v>
      </c>
      <c r="AA1852" s="200">
        <v>2.4482791362325784E-2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52034</v>
      </c>
      <c r="Y1853" s="202">
        <f>_xll.qlInterestRateIndexValueDate(IborIndex,X1853,Trigger)</f>
        <v>52036</v>
      </c>
      <c r="Z1853" s="203">
        <v>2.4560880746906173E-2</v>
      </c>
      <c r="AA1853" s="200">
        <v>2.4483087070903409E-2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52041</v>
      </c>
      <c r="Y1854" s="202">
        <f>_xll.qlInterestRateIndexValueDate(IborIndex,X1854,Trigger)</f>
        <v>52043</v>
      </c>
      <c r="Z1854" s="203">
        <v>2.4561206928834598E-2</v>
      </c>
      <c r="AA1854" s="200">
        <v>2.4483386887395042E-2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52048</v>
      </c>
      <c r="Y1855" s="202">
        <f>_xll.qlInterestRateIndexValueDate(IborIndex,X1855,Trigger)</f>
        <v>52050</v>
      </c>
      <c r="Z1855" s="203">
        <v>2.4561537244026318E-2</v>
      </c>
      <c r="AA1855" s="200">
        <v>2.4483690811560876E-2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52055</v>
      </c>
      <c r="Y1856" s="202">
        <f>_xll.qlInterestRateIndexValueDate(IborIndex,X1856,Trigger)</f>
        <v>52057</v>
      </c>
      <c r="Z1856" s="203">
        <v>2.4561871692480468E-2</v>
      </c>
      <c r="AA1856" s="200">
        <v>2.4483998843400911E-2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52062</v>
      </c>
      <c r="Y1857" s="202">
        <f>_xll.qlInterestRateIndexValueDate(IborIndex,X1857,Trigger)</f>
        <v>52064</v>
      </c>
      <c r="Z1857" s="203">
        <v>2.456221027419965E-2</v>
      </c>
      <c r="AA1857" s="200">
        <v>2.4484310982995083E-2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52069</v>
      </c>
      <c r="Y1858" s="202">
        <f>_xll.qlInterestRateIndexValueDate(IborIndex,X1858,Trigger)</f>
        <v>52071</v>
      </c>
      <c r="Z1858" s="203">
        <v>2.4562552989185606E-2</v>
      </c>
      <c r="AA1858" s="200">
        <v>2.4484627230343392E-2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52076</v>
      </c>
      <c r="Y1859" s="202">
        <f>_xll.qlInterestRateIndexValueDate(IborIndex,X1859,Trigger)</f>
        <v>52078</v>
      </c>
      <c r="Z1859" s="203">
        <v>2.4562899837437466E-2</v>
      </c>
      <c r="AA1859" s="200">
        <v>2.4484947585445838E-2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52083</v>
      </c>
      <c r="Y1860" s="202">
        <f>_xll.qlInterestRateIndexValueDate(IborIndex,X1860,Trigger)</f>
        <v>52085</v>
      </c>
      <c r="Z1860" s="203">
        <v>2.4563250818956966E-2</v>
      </c>
      <c r="AA1860" s="200">
        <v>2.4485272048222484E-2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52090</v>
      </c>
      <c r="Y1861" s="202">
        <f>_xll.qlInterestRateIndexValueDate(IborIndex,X1861,Trigger)</f>
        <v>52092</v>
      </c>
      <c r="Z1861" s="203">
        <v>2.4563605933744976E-2</v>
      </c>
      <c r="AA1861" s="200">
        <v>2.4485600618673331E-2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52097</v>
      </c>
      <c r="Y1862" s="202">
        <f>_xll.qlInterestRateIndexValueDate(IborIndex,X1862,Trigger)</f>
        <v>52099</v>
      </c>
      <c r="Z1862" s="203">
        <v>2.4563965181804103E-2</v>
      </c>
      <c r="AA1862" s="200">
        <v>2.4485981157873482E-2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52104</v>
      </c>
      <c r="Y1863" s="202">
        <f>_xll.qlInterestRateIndexValueDate(IborIndex,X1863,Trigger)</f>
        <v>52106</v>
      </c>
      <c r="Z1863" s="203">
        <v>2.4564328563134345E-2</v>
      </c>
      <c r="AA1863" s="200">
        <v>2.4486270083077244E-2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52111</v>
      </c>
      <c r="Y1864" s="202">
        <f>_xll.qlInterestRateIndexValueDate(IborIndex,X1864,Trigger)</f>
        <v>52113</v>
      </c>
      <c r="Z1864" s="203">
        <v>2.4563832726210929E-2</v>
      </c>
      <c r="AA1864" s="200">
        <v>2.4486610976790502E-2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52118</v>
      </c>
      <c r="Y1865" s="202">
        <f>_xll.qlInterestRateIndexValueDate(IborIndex,X1865,Trigger)</f>
        <v>52120</v>
      </c>
      <c r="Z1865" s="203">
        <v>2.4564204053592956E-2</v>
      </c>
      <c r="AA1865" s="200">
        <v>2.4486955978257896E-2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52125</v>
      </c>
      <c r="Y1866" s="202">
        <f>_xll.qlInterestRateIndexValueDate(IborIndex,X1866,Trigger)</f>
        <v>52127</v>
      </c>
      <c r="Z1866" s="203">
        <v>2.4564579513968714E-2</v>
      </c>
      <c r="AA1866" s="200">
        <v>2.4487305087559363E-2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52132</v>
      </c>
      <c r="Y1867" s="202">
        <f>_xll.qlInterestRateIndexValueDate(IborIndex,X1867,Trigger)</f>
        <v>52134</v>
      </c>
      <c r="Z1867" s="203">
        <v>2.4568416781984823E-2</v>
      </c>
      <c r="AA1867" s="200">
        <v>2.4487658304375159E-2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52139</v>
      </c>
      <c r="Y1868" s="202">
        <f>_xll.qlInterestRateIndexValueDate(IborIndex,X1868,Trigger)</f>
        <v>52141</v>
      </c>
      <c r="Z1868" s="203">
        <v>2.4566207468892282E-2</v>
      </c>
      <c r="AA1868" s="200">
        <v>2.4488015629025028E-2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52146</v>
      </c>
      <c r="Y1869" s="202">
        <f>_xll.qlInterestRateIndexValueDate(IborIndex,X1869,Trigger)</f>
        <v>52148</v>
      </c>
      <c r="Z1869" s="203">
        <v>2.4566595649873554E-2</v>
      </c>
      <c r="AA1869" s="200">
        <v>2.448837706150897E-2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52153</v>
      </c>
      <c r="Y1870" s="202">
        <f>_xll.qlInterestRateIndexValueDate(IborIndex,X1870,Trigger)</f>
        <v>52155</v>
      </c>
      <c r="Z1870" s="203">
        <v>2.456698796413637E-2</v>
      </c>
      <c r="AA1870" s="200">
        <v>2.4488742601667113E-2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52160</v>
      </c>
      <c r="Y1871" s="202">
        <f>_xll.qlInterestRateIndexValueDate(IborIndex,X1871,Trigger)</f>
        <v>52162</v>
      </c>
      <c r="Z1871" s="203">
        <v>2.456738441167812E-2</v>
      </c>
      <c r="AA1871" s="200">
        <v>2.4489112249499456E-2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52167</v>
      </c>
      <c r="Y1872" s="202">
        <f>_xll.qlInterestRateIndexValueDate(IborIndex,X1872,Trigger)</f>
        <v>52169</v>
      </c>
      <c r="Z1872" s="203">
        <v>2.4567784992502284E-2</v>
      </c>
      <c r="AA1872" s="200">
        <v>2.4489486005085936E-2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52174</v>
      </c>
      <c r="Y1873" s="202">
        <f>_xll.qlInterestRateIndexValueDate(IborIndex,X1873,Trigger)</f>
        <v>52176</v>
      </c>
      <c r="Z1873" s="203">
        <v>2.4568189706608859E-2</v>
      </c>
      <c r="AA1873" s="200">
        <v>2.4489863868426553E-2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52181</v>
      </c>
      <c r="Y1874" s="202">
        <f>_xll.qlInterestRateIndexValueDate(IborIndex,X1874,Trigger)</f>
        <v>52183</v>
      </c>
      <c r="Z1874" s="203">
        <v>2.4568598554001321E-2</v>
      </c>
      <c r="AA1874" s="200">
        <v>2.4490245839521307E-2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52188</v>
      </c>
      <c r="Y1875" s="202">
        <f>_xll.qlInterestRateIndexValueDate(IborIndex,X1875,Trigger)</f>
        <v>52190</v>
      </c>
      <c r="Z1875" s="203">
        <v>2.4569011534677936E-2</v>
      </c>
      <c r="AA1875" s="200">
        <v>2.4490631918290262E-2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52195</v>
      </c>
      <c r="Y1876" s="202">
        <f>_xll.qlInterestRateIndexValueDate(IborIndex,X1876,Trigger)</f>
        <v>52198</v>
      </c>
      <c r="Z1876" s="203">
        <v>2.4568621311478141E-2</v>
      </c>
      <c r="AA1876" s="200">
        <v>2.4491078181156922E-2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52202</v>
      </c>
      <c r="Y1877" s="202">
        <f>_xll.qlInterestRateIndexValueDate(IborIndex,X1877,Trigger)</f>
        <v>52204</v>
      </c>
      <c r="Z1877" s="203">
        <v>2.4568114886361236E-2</v>
      </c>
      <c r="AA1877" s="200">
        <v>2.4491416399170518E-2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52209</v>
      </c>
      <c r="Y1878" s="202">
        <f>_xll.qlInterestRateIndexValueDate(IborIndex,X1878,Trigger)</f>
        <v>52211</v>
      </c>
      <c r="Z1878" s="203">
        <v>2.4568539618634588E-2</v>
      </c>
      <c r="AA1878" s="200">
        <v>2.4491814801121947E-2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52216</v>
      </c>
      <c r="Y1879" s="202">
        <f>_xll.qlInterestRateIndexValueDate(IborIndex,X1879,Trigger)</f>
        <v>52218</v>
      </c>
      <c r="Z1879" s="203">
        <v>2.4568968483635878E-2</v>
      </c>
      <c r="AA1879" s="200">
        <v>2.4492217310907449E-2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52223</v>
      </c>
      <c r="Y1880" s="202">
        <f>_xll.qlInterestRateIndexValueDate(IborIndex,X1880,Trigger)</f>
        <v>52229</v>
      </c>
      <c r="Z1880" s="203">
        <v>2.4571388091523167E-2</v>
      </c>
      <c r="AA1880" s="200">
        <v>2.4493603343436199E-2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52230</v>
      </c>
      <c r="Y1881" s="202">
        <f>_xll.qlInterestRateIndexValueDate(IborIndex,X1881,Trigger)</f>
        <v>52233</v>
      </c>
      <c r="Z1881" s="203">
        <v>2.4569901396402472E-2</v>
      </c>
      <c r="AA1881" s="200">
        <v>2.4493093663897625E-2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52237</v>
      </c>
      <c r="Y1882" s="202">
        <f>_xll.qlInterestRateIndexValueDate(IborIndex,X1882,Trigger)</f>
        <v>52239</v>
      </c>
      <c r="Z1882" s="203">
        <v>2.4570279875019807E-2</v>
      </c>
      <c r="AA1882" s="200">
        <v>2.4493449486548968E-2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52244</v>
      </c>
      <c r="Y1883" s="202">
        <f>_xll.qlInterestRateIndexValueDate(IborIndex,X1883,Trigger)</f>
        <v>52246</v>
      </c>
      <c r="Z1883" s="203">
        <v>2.4570725270945282E-2</v>
      </c>
      <c r="AA1883" s="200">
        <v>2.4493868427111209E-2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52251</v>
      </c>
      <c r="Y1884" s="202">
        <f>_xll.qlInterestRateIndexValueDate(IborIndex,X1884,Trigger)</f>
        <v>52253</v>
      </c>
      <c r="Z1884" s="203">
        <v>2.4571174799603135E-2</v>
      </c>
      <c r="AA1884" s="200">
        <v>2.449429147558746E-2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52258</v>
      </c>
      <c r="Y1885" s="202">
        <f>_xll.qlInterestRateIndexValueDate(IborIndex,X1885,Trigger)</f>
        <v>52260</v>
      </c>
      <c r="Z1885" s="203">
        <v>2.4571628460998696E-2</v>
      </c>
      <c r="AA1885" s="200">
        <v>2.4494718631737911E-2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52265</v>
      </c>
      <c r="Y1886" s="202">
        <f>_xll.qlInterestRateIndexValueDate(IborIndex,X1886,Trigger)</f>
        <v>52267</v>
      </c>
      <c r="Z1886" s="203">
        <v>2.4571215928992338E-2</v>
      </c>
      <c r="AA1886" s="200">
        <v>2.4495149895562562E-2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52272</v>
      </c>
      <c r="Y1887" s="202">
        <f>_xll.qlInterestRateIndexValueDate(IborIndex,X1887,Trigger)</f>
        <v>52274</v>
      </c>
      <c r="Z1887" s="203">
        <v>2.457167752925507E-2</v>
      </c>
      <c r="AA1887" s="200">
        <v>2.4495585267221287E-2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52279</v>
      </c>
      <c r="Y1888" s="202">
        <f>_xll.qlInterestRateIndexValueDate(IborIndex,X1888,Trigger)</f>
        <v>52281</v>
      </c>
      <c r="Z1888" s="203">
        <v>2.4572143261975772E-2</v>
      </c>
      <c r="AA1888" s="200">
        <v>2.4496024746554212E-2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52286</v>
      </c>
      <c r="Y1889" s="202">
        <f>_xll.qlInterestRateIndexValueDate(IborIndex,X1889,Trigger)</f>
        <v>52288</v>
      </c>
      <c r="Z1889" s="203">
        <v>2.4572613127156244E-2</v>
      </c>
      <c r="AA1889" s="200">
        <v>2.4496468333641275E-2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52293</v>
      </c>
      <c r="Y1890" s="202">
        <f>_xll.qlInterestRateIndexValueDate(IborIndex,X1890,Trigger)</f>
        <v>52295</v>
      </c>
      <c r="Z1890" s="203">
        <v>2.45757022400581E-2</v>
      </c>
      <c r="AA1890" s="200">
        <v>2.4496916028402538E-2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52300</v>
      </c>
      <c r="Y1891" s="202">
        <f>_xll.qlInterestRateIndexValueDate(IborIndex,X1891,Trigger)</f>
        <v>52302</v>
      </c>
      <c r="Z1891" s="203">
        <v>2.457618135349398E-2</v>
      </c>
      <c r="AA1891" s="200">
        <v>2.4497367830997874E-2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52307</v>
      </c>
      <c r="Y1892" s="202">
        <f>_xll.qlInterestRateIndexValueDate(IborIndex,X1892,Trigger)</f>
        <v>52309</v>
      </c>
      <c r="Z1892" s="203">
        <v>2.4576664600240949E-2</v>
      </c>
      <c r="AA1892" s="200">
        <v>2.4497823741187474E-2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52314</v>
      </c>
      <c r="Y1893" s="202">
        <f>_xll.qlInterestRateIndexValueDate(IborIndex,X1893,Trigger)</f>
        <v>52316</v>
      </c>
      <c r="Z1893" s="203">
        <v>2.4577151980297262E-2</v>
      </c>
      <c r="AA1893" s="200">
        <v>2.4498415947551422E-2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52321</v>
      </c>
      <c r="Y1894" s="202">
        <f>_xll.qlInterestRateIndexValueDate(IborIndex,X1894,Trigger)</f>
        <v>52323</v>
      </c>
      <c r="Z1894" s="203">
        <v>2.457677040477808E-2</v>
      </c>
      <c r="AA1894" s="200">
        <v>2.4498747885068894E-2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52328</v>
      </c>
      <c r="Y1895" s="202">
        <f>_xll.qlInterestRateIndexValueDate(IborIndex,X1895,Trigger)</f>
        <v>52330</v>
      </c>
      <c r="Z1895" s="203">
        <v>2.4577265722514795E-2</v>
      </c>
      <c r="AA1895" s="200">
        <v>2.4499216118520906E-2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52335</v>
      </c>
      <c r="Y1896" s="202">
        <f>_xll.qlInterestRateIndexValueDate(IborIndex,X1896,Trigger)</f>
        <v>52337</v>
      </c>
      <c r="Z1896" s="203">
        <v>2.457776517328477E-2</v>
      </c>
      <c r="AA1896" s="200">
        <v>2.449968845980699E-2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52342</v>
      </c>
      <c r="Y1897" s="202">
        <f>_xll.qlInterestRateIndexValueDate(IborIndex,X1897,Trigger)</f>
        <v>52344</v>
      </c>
      <c r="Z1897" s="203">
        <v>2.4578268757088875E-2</v>
      </c>
      <c r="AA1897" s="200">
        <v>2.4500164908607402E-2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52349</v>
      </c>
      <c r="Y1898" s="202">
        <f>_xll.qlInterestRateIndexValueDate(IborIndex,X1898,Trigger)</f>
        <v>52351</v>
      </c>
      <c r="Z1898" s="203">
        <v>2.4579650880307655E-2</v>
      </c>
      <c r="AA1898" s="200">
        <v>2.4500714451658467E-2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52356</v>
      </c>
      <c r="Y1899" s="202">
        <f>_xll.qlInterestRateIndexValueDate(IborIndex,X1899,Trigger)</f>
        <v>52358</v>
      </c>
      <c r="Z1899" s="203">
        <v>2.4580163060265232E-2</v>
      </c>
      <c r="AA1899" s="200">
        <v>2.4501130129790383E-2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52363</v>
      </c>
      <c r="Y1900" s="202">
        <f>_xll.qlInterestRateIndexValueDate(IborIndex,X1900,Trigger)</f>
        <v>52365</v>
      </c>
      <c r="Z1900" s="203">
        <v>2.4580679373544318E-2</v>
      </c>
      <c r="AA1900" s="200">
        <v>2.4501618901933142E-2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52370</v>
      </c>
      <c r="Y1901" s="202">
        <f>_xll.qlInterestRateIndexValueDate(IborIndex,X1901,Trigger)</f>
        <v>52372</v>
      </c>
      <c r="Z1901" s="203">
        <v>2.4581199820148395E-2</v>
      </c>
      <c r="AA1901" s="200">
        <v>2.4502182528598482E-2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52377</v>
      </c>
      <c r="Y1902" s="202">
        <f>_xll.qlInterestRateIndexValueDate(IborIndex,X1902,Trigger)</f>
        <v>52379</v>
      </c>
      <c r="Z1902" s="203">
        <v>2.4581724400077453E-2</v>
      </c>
      <c r="AA1902" s="200">
        <v>2.4502608769481071E-2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52384</v>
      </c>
      <c r="Y1903" s="202">
        <f>_xll.qlInterestRateIndexValueDate(IborIndex,X1903,Trigger)</f>
        <v>52386</v>
      </c>
      <c r="Z1903" s="203">
        <v>2.4582253113334108E-2</v>
      </c>
      <c r="AA1903" s="200">
        <v>2.4503109864806305E-2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52391</v>
      </c>
      <c r="Y1904" s="202">
        <f>_xll.qlInterestRateIndexValueDate(IborIndex,X1904,Trigger)</f>
        <v>52393</v>
      </c>
      <c r="Z1904" s="203">
        <v>2.4582785959919223E-2</v>
      </c>
      <c r="AA1904" s="200">
        <v>2.450361506780574E-2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52398</v>
      </c>
      <c r="Y1905" s="202">
        <f>_xll.qlInterestRateIndexValueDate(IborIndex,X1905,Trigger)</f>
        <v>52400</v>
      </c>
      <c r="Z1905" s="203">
        <v>2.4583322939835409E-2</v>
      </c>
      <c r="AA1905" s="200">
        <v>2.4504124378719183E-2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52405</v>
      </c>
      <c r="Y1906" s="202">
        <f>_xll.qlInterestRateIndexValueDate(IborIndex,X1906,Trigger)</f>
        <v>52407</v>
      </c>
      <c r="Z1906" s="203">
        <v>2.4583864053082664E-2</v>
      </c>
      <c r="AA1906" s="200">
        <v>2.4504637797226891E-2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52412</v>
      </c>
      <c r="Y1907" s="202">
        <f>_xll.qlInterestRateIndexValueDate(IborIndex,X1907,Trigger)</f>
        <v>52414</v>
      </c>
      <c r="Z1907" s="203">
        <v>2.4584409299663591E-2</v>
      </c>
      <c r="AA1907" s="200">
        <v>2.4505155323568673E-2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52419</v>
      </c>
      <c r="Y1908" s="202">
        <f>_xll.qlInterestRateIndexValueDate(IborIndex,X1908,Trigger)</f>
        <v>52421</v>
      </c>
      <c r="Z1908" s="203">
        <v>2.4584958679580802E-2</v>
      </c>
      <c r="AA1908" s="200">
        <v>2.4505676957584654E-2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52426</v>
      </c>
      <c r="Y1909" s="202">
        <f>_xll.qlInterestRateIndexValueDate(IborIndex,X1909,Trigger)</f>
        <v>52428</v>
      </c>
      <c r="Z1909" s="203">
        <v>2.4585512192835161E-2</v>
      </c>
      <c r="AA1909" s="200">
        <v>2.4506202699354773E-2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52433</v>
      </c>
      <c r="Y1910" s="202">
        <f>_xll.qlInterestRateIndexValueDate(IborIndex,X1910,Trigger)</f>
        <v>52435</v>
      </c>
      <c r="Z1910" s="203">
        <v>2.4586069839430152E-2</v>
      </c>
      <c r="AA1910" s="200">
        <v>2.4506732548799093E-2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52440</v>
      </c>
      <c r="Y1911" s="202">
        <f>_xll.qlInterestRateIndexValueDate(IborIndex,X1911,Trigger)</f>
        <v>52442</v>
      </c>
      <c r="Z1911" s="203">
        <v>2.4586631619364026E-2</v>
      </c>
      <c r="AA1911" s="200">
        <v>2.4507266505997549E-2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52447</v>
      </c>
      <c r="Y1912" s="202">
        <f>_xll.qlInterestRateIndexValueDate(IborIndex,X1912,Trigger)</f>
        <v>52449</v>
      </c>
      <c r="Z1912" s="203">
        <v>2.4587197532642005E-2</v>
      </c>
      <c r="AA1912" s="200">
        <v>2.4507804570950142E-2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52454</v>
      </c>
      <c r="Y1913" s="202">
        <f>_xll.qlInterestRateIndexValueDate(IborIndex,X1913,Trigger)</f>
        <v>52456</v>
      </c>
      <c r="Z1913" s="203">
        <v>2.4587767579263217E-2</v>
      </c>
      <c r="AA1913" s="200">
        <v>2.4508346743656872E-2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52461</v>
      </c>
      <c r="Y1914" s="202">
        <f>_xll.qlInterestRateIndexValueDate(IborIndex,X1914,Trigger)</f>
        <v>52463</v>
      </c>
      <c r="Z1914" s="203">
        <v>2.4588341759230265E-2</v>
      </c>
      <c r="AA1914" s="200">
        <v>2.4508893024197675E-2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52468</v>
      </c>
      <c r="Y1915" s="202">
        <f>_xll.qlInterestRateIndexValueDate(IborIndex,X1915,Trigger)</f>
        <v>52470</v>
      </c>
      <c r="Z1915" s="203">
        <v>2.4588920072544894E-2</v>
      </c>
      <c r="AA1915" s="200">
        <v>2.4509522374529524E-2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52475</v>
      </c>
      <c r="Y1916" s="202">
        <f>_xll.qlInterestRateIndexValueDate(IborIndex,X1916,Trigger)</f>
        <v>52477</v>
      </c>
      <c r="Z1916" s="203">
        <v>2.4588622128262013E-2</v>
      </c>
      <c r="AA1916" s="200">
        <v>2.4509997908142012E-2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52482</v>
      </c>
      <c r="Y1917" s="202">
        <f>_xll.qlInterestRateIndexValueDate(IborIndex,X1917,Trigger)</f>
        <v>52484</v>
      </c>
      <c r="Z1917" s="203">
        <v>2.4589208373119505E-2</v>
      </c>
      <c r="AA1917" s="200">
        <v>2.4510556511705417E-2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52489</v>
      </c>
      <c r="Y1918" s="202">
        <f>_xll.qlInterestRateIndexValueDate(IborIndex,X1918,Trigger)</f>
        <v>52491</v>
      </c>
      <c r="Z1918" s="203">
        <v>2.4589798751048907E-2</v>
      </c>
      <c r="AA1918" s="200">
        <v>2.4511119223182831E-2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52496</v>
      </c>
      <c r="Y1919" s="202">
        <f>_xll.qlInterestRateIndexValueDate(IborIndex,X1919,Trigger)</f>
        <v>52498</v>
      </c>
      <c r="Z1919" s="203">
        <v>2.4590393262049336E-2</v>
      </c>
      <c r="AA1919" s="200">
        <v>2.4511686042334446E-2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52503</v>
      </c>
      <c r="Y1920" s="202">
        <f>_xll.qlInterestRateIndexValueDate(IborIndex,X1920,Trigger)</f>
        <v>52505</v>
      </c>
      <c r="Z1920" s="203">
        <v>2.4594519272036344E-2</v>
      </c>
      <c r="AA1920" s="200">
        <v>2.4512256969160262E-2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52510</v>
      </c>
      <c r="Y1921" s="202">
        <f>_xll.qlInterestRateIndexValueDate(IborIndex,X1921,Trigger)</f>
        <v>52512</v>
      </c>
      <c r="Z1921" s="203">
        <v>2.4592476752851686E-2</v>
      </c>
      <c r="AA1921" s="200">
        <v>2.4512832003660279E-2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52517</v>
      </c>
      <c r="Y1922" s="202">
        <f>_xll.qlInterestRateIndexValueDate(IborIndex,X1922,Trigger)</f>
        <v>52519</v>
      </c>
      <c r="Z1922" s="203">
        <v>2.4593083999653226E-2</v>
      </c>
      <c r="AA1922" s="200">
        <v>2.4513411145914432E-2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52524</v>
      </c>
      <c r="Y1923" s="202">
        <f>_xll.qlInterestRateIndexValueDate(IborIndex,X1923,Trigger)</f>
        <v>52526</v>
      </c>
      <c r="Z1923" s="203">
        <v>2.459369537981972E-2</v>
      </c>
      <c r="AA1923" s="200">
        <v>2.4513994396002659E-2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52531</v>
      </c>
      <c r="Y1924" s="202">
        <f>_xll.qlInterestRateIndexValueDate(IborIndex,X1924,Trigger)</f>
        <v>52533</v>
      </c>
      <c r="Z1924" s="203">
        <v>2.4594310893351165E-2</v>
      </c>
      <c r="AA1924" s="200">
        <v>2.4514581753765086E-2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52538</v>
      </c>
      <c r="Y1925" s="202">
        <f>_xll.qlInterestRateIndexValueDate(IborIndex,X1925,Trigger)</f>
        <v>52540</v>
      </c>
      <c r="Z1925" s="203">
        <v>2.4594930540249308E-2</v>
      </c>
      <c r="AA1925" s="200">
        <v>2.451517321928165E-2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52545</v>
      </c>
      <c r="Y1926" s="202">
        <f>_xll.qlInterestRateIndexValueDate(IborIndex,X1926,Trigger)</f>
        <v>52547</v>
      </c>
      <c r="Z1926" s="203">
        <v>2.4595554320515876E-2</v>
      </c>
      <c r="AA1926" s="200">
        <v>2.4515768792472414E-2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52552</v>
      </c>
      <c r="Y1927" s="202">
        <f>_xll.qlInterestRateIndexValueDate(IborIndex,X1927,Trigger)</f>
        <v>52554</v>
      </c>
      <c r="Z1927" s="203">
        <v>2.4596182234153482E-2</v>
      </c>
      <c r="AA1927" s="200">
        <v>2.4516368473497252E-2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52559</v>
      </c>
      <c r="Y1928" s="202">
        <f>_xll.qlInterestRateIndexValueDate(IborIndex,X1928,Trigger)</f>
        <v>52562</v>
      </c>
      <c r="Z1928" s="203">
        <v>2.4598674088164792E-2</v>
      </c>
      <c r="AA1928" s="200">
        <v>2.4517058853010809E-2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52566</v>
      </c>
      <c r="Y1929" s="202">
        <f>_xll.qlInterestRateIndexValueDate(IborIndex,X1929,Trigger)</f>
        <v>52568</v>
      </c>
      <c r="Z1929" s="203">
        <v>2.4596565691487233E-2</v>
      </c>
      <c r="AA1929" s="200">
        <v>2.4517580158649466E-2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52573</v>
      </c>
      <c r="Y1930" s="202">
        <f>_xll.qlInterestRateIndexValueDate(IborIndex,X1930,Trigger)</f>
        <v>52575</v>
      </c>
      <c r="Z1930" s="203">
        <v>2.4597205666414792E-2</v>
      </c>
      <c r="AA1930" s="200">
        <v>2.4518192162856778E-2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52580</v>
      </c>
      <c r="Y1931" s="202">
        <f>_xll.qlInterestRateIndexValueDate(IborIndex,X1931,Trigger)</f>
        <v>52582</v>
      </c>
      <c r="Z1931" s="203">
        <v>2.4597849774438851E-2</v>
      </c>
      <c r="AA1931" s="200">
        <v>2.4518808274738291E-2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52587</v>
      </c>
      <c r="Y1932" s="202">
        <f>_xll.qlInterestRateIndexValueDate(IborIndex,X1932,Trigger)</f>
        <v>52589</v>
      </c>
      <c r="Z1932" s="203">
        <v>2.4598498015562048E-2</v>
      </c>
      <c r="AA1932" s="200">
        <v>2.4519606454420639E-2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52594</v>
      </c>
      <c r="Y1933" s="202">
        <f>_xll.qlInterestRateIndexValueDate(IborIndex,X1933,Trigger)</f>
        <v>52596</v>
      </c>
      <c r="Z1933" s="203">
        <v>2.4599150389782626E-2</v>
      </c>
      <c r="AA1933" s="200">
        <v>2.4520142346791118E-2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52601</v>
      </c>
      <c r="Y1934" s="202">
        <f>_xll.qlInterestRateIndexValueDate(IborIndex,X1934,Trigger)</f>
        <v>52603</v>
      </c>
      <c r="Z1934" s="203">
        <v>2.4599806897105857E-2</v>
      </c>
      <c r="AA1934" s="200">
        <v>2.4520681256827714E-2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52608</v>
      </c>
      <c r="Y1935" s="202">
        <f>_xll.qlInterestRateIndexValueDate(IborIndex,X1935,Trigger)</f>
        <v>52610</v>
      </c>
      <c r="Z1935" s="203">
        <v>2.4600467537533494E-2</v>
      </c>
      <c r="AA1935" s="200">
        <v>2.4521313799645839E-2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52615</v>
      </c>
      <c r="Y1936" s="202">
        <f>_xll.qlInterestRateIndexValueDate(IborIndex,X1936,Trigger)</f>
        <v>52617</v>
      </c>
      <c r="Z1936" s="203">
        <v>2.460113231106642E-2</v>
      </c>
      <c r="AA1936" s="200">
        <v>2.4521950450377972E-2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52622</v>
      </c>
      <c r="Y1937" s="202">
        <f>_xll.qlInterestRateIndexValueDate(IborIndex,X1937,Trigger)</f>
        <v>52624</v>
      </c>
      <c r="Z1937" s="203">
        <v>2.4601801217708143E-2</v>
      </c>
      <c r="AA1937" s="200">
        <v>2.4522591208624434E-2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52629</v>
      </c>
      <c r="Y1938" s="202">
        <f>_xll.qlInterestRateIndexValueDate(IborIndex,X1938,Trigger)</f>
        <v>52631</v>
      </c>
      <c r="Z1938" s="203">
        <v>2.4601586500610395E-2</v>
      </c>
      <c r="AA1938" s="200">
        <v>2.4523236074704968E-2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52636</v>
      </c>
      <c r="Y1939" s="202">
        <f>_xll.qlInterestRateIndexValueDate(IborIndex,X1939,Trigger)</f>
        <v>52638</v>
      </c>
      <c r="Z1939" s="203">
        <v>2.4602263332138996E-2</v>
      </c>
      <c r="AA1939" s="200">
        <v>2.4523885048379768E-2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52643</v>
      </c>
      <c r="Y1940" s="202">
        <f>_xll.qlInterestRateIndexValueDate(IborIndex,X1940,Trigger)</f>
        <v>52645</v>
      </c>
      <c r="Z1940" s="203">
        <v>2.4602944296499452E-2</v>
      </c>
      <c r="AA1940" s="200">
        <v>2.4524538129968576E-2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52650</v>
      </c>
      <c r="Y1941" s="202">
        <f>_xll.qlInterestRateIndexValueDate(IborIndex,X1941,Trigger)</f>
        <v>52652</v>
      </c>
      <c r="Z1941" s="203">
        <v>2.4603629393690873E-2</v>
      </c>
      <c r="AA1941" s="200">
        <v>2.4525195319231585E-2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52657</v>
      </c>
      <c r="Y1942" s="202">
        <f>_xll.qlInterestRateIndexValueDate(IborIndex,X1942,Trigger)</f>
        <v>52659</v>
      </c>
      <c r="Z1942" s="203">
        <v>2.4606096944573108E-2</v>
      </c>
      <c r="AA1942" s="200">
        <v>2.4525856616168795E-2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52664</v>
      </c>
      <c r="Y1943" s="202">
        <f>_xll.qlInterestRateIndexValueDate(IborIndex,X1943,Trigger)</f>
        <v>52666</v>
      </c>
      <c r="Z1943" s="203">
        <v>2.4606790992420996E-2</v>
      </c>
      <c r="AA1943" s="200">
        <v>2.4526522020940078E-2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52671</v>
      </c>
      <c r="Y1944" s="202">
        <f>_xll.qlInterestRateIndexValueDate(IborIndex,X1944,Trigger)</f>
        <v>52673</v>
      </c>
      <c r="Z1944" s="203">
        <v>2.460748917367294E-2</v>
      </c>
      <c r="AA1944" s="200">
        <v>2.4527191533465498E-2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52678</v>
      </c>
      <c r="Y1945" s="202">
        <f>_xll.qlInterestRateIndexValueDate(IborIndex,X1945,Trigger)</f>
        <v>52680</v>
      </c>
      <c r="Z1945" s="203">
        <v>2.4608191488333282E-2</v>
      </c>
      <c r="AA1945" s="200">
        <v>2.4527865153665118E-2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52685</v>
      </c>
      <c r="Y1946" s="202">
        <f>_xll.qlInterestRateIndexValueDate(IborIndex,X1946,Trigger)</f>
        <v>52687</v>
      </c>
      <c r="Z1946" s="203">
        <v>2.4608007367695032E-2</v>
      </c>
      <c r="AA1946" s="200">
        <v>2.4528542881538939E-2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52692</v>
      </c>
      <c r="Y1947" s="202">
        <f>_xll.qlInterestRateIndexValueDate(IborIndex,X1947,Trigger)</f>
        <v>52694</v>
      </c>
      <c r="Z1947" s="203">
        <v>2.460871760553544E-2</v>
      </c>
      <c r="AA1947" s="200">
        <v>2.4529224717246834E-2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52699</v>
      </c>
      <c r="Y1948" s="202">
        <f>_xll.qlInterestRateIndexValueDate(IborIndex,X1948,Trigger)</f>
        <v>52701</v>
      </c>
      <c r="Z1948" s="203">
        <v>2.4609431976505731E-2</v>
      </c>
      <c r="AA1948" s="200">
        <v>2.4530107398854639E-2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52706</v>
      </c>
      <c r="Y1949" s="202">
        <f>_xll.qlInterestRateIndexValueDate(IborIndex,X1949,Trigger)</f>
        <v>52708</v>
      </c>
      <c r="Z1949" s="203">
        <v>2.4610150480610295E-2</v>
      </c>
      <c r="AA1949" s="200">
        <v>2.453060071176516E-2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52713</v>
      </c>
      <c r="Y1950" s="202">
        <f>_xll.qlInterestRateIndexValueDate(IborIndex,X1950,Trigger)</f>
        <v>52715</v>
      </c>
      <c r="Z1950" s="203">
        <v>2.4610873117852646E-2</v>
      </c>
      <c r="AA1950" s="200">
        <v>2.4531394371463122E-2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52720</v>
      </c>
      <c r="Y1951" s="202">
        <f>_xll.qlInterestRateIndexValueDate(IborIndex,X1951,Trigger)</f>
        <v>52722</v>
      </c>
      <c r="Z1951" s="203">
        <v>2.4612492177997675E-2</v>
      </c>
      <c r="AA1951" s="200">
        <v>2.4531993137220098E-2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52727</v>
      </c>
      <c r="Y1952" s="202">
        <f>_xll.qlInterestRateIndexValueDate(IborIndex,X1952,Trigger)</f>
        <v>52729</v>
      </c>
      <c r="Z1952" s="203">
        <v>2.4613223426578491E-2</v>
      </c>
      <c r="AA1952" s="200">
        <v>2.4532695511618741E-2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52734</v>
      </c>
      <c r="Y1953" s="202">
        <f>_xll.qlInterestRateIndexValueDate(IborIndex,X1953,Trigger)</f>
        <v>52736</v>
      </c>
      <c r="Z1953" s="203">
        <v>2.4613958808585953E-2</v>
      </c>
      <c r="AA1953" s="200">
        <v>2.4533401993611648E-2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52741</v>
      </c>
      <c r="Y1954" s="202">
        <f>_xll.qlInterestRateIndexValueDate(IborIndex,X1954,Trigger)</f>
        <v>52743</v>
      </c>
      <c r="Z1954" s="203">
        <v>2.4614698324023538E-2</v>
      </c>
      <c r="AA1954" s="200">
        <v>2.4534214431648493E-2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52748</v>
      </c>
      <c r="Y1955" s="202">
        <f>_xll.qlInterestRateIndexValueDate(IborIndex,X1955,Trigger)</f>
        <v>52750</v>
      </c>
      <c r="Z1955" s="203">
        <v>2.46154419728895E-2</v>
      </c>
      <c r="AA1955" s="200">
        <v>2.4534827280939808E-2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52755</v>
      </c>
      <c r="Y1956" s="202">
        <f>_xll.qlInterestRateIndexValueDate(IborIndex,X1956,Trigger)</f>
        <v>52757</v>
      </c>
      <c r="Z1956" s="203">
        <v>2.461618975519167E-2</v>
      </c>
      <c r="AA1956" s="200">
        <v>2.4535546086275062E-2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52762</v>
      </c>
      <c r="Y1957" s="202">
        <f>_xll.qlInterestRateIndexValueDate(IborIndex,X1957,Trigger)</f>
        <v>52764</v>
      </c>
      <c r="Z1957" s="203">
        <v>2.4616941670928299E-2</v>
      </c>
      <c r="AA1957" s="200">
        <v>2.4536268999284516E-2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52769</v>
      </c>
      <c r="Y1958" s="202">
        <f>_xll.qlInterestRateIndexValueDate(IborIndex,X1958,Trigger)</f>
        <v>52771</v>
      </c>
      <c r="Z1958" s="203">
        <v>2.4617697720102E-2</v>
      </c>
      <c r="AA1958" s="200">
        <v>2.4536996019968171E-2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52776</v>
      </c>
      <c r="Y1959" s="202">
        <f>_xll.qlInterestRateIndexValueDate(IborIndex,X1959,Trigger)</f>
        <v>52778</v>
      </c>
      <c r="Z1959" s="203">
        <v>2.4618457902717116E-2</v>
      </c>
      <c r="AA1959" s="200">
        <v>2.4537727148485899E-2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52783</v>
      </c>
      <c r="Y1960" s="202">
        <f>_xll.qlInterestRateIndexValueDate(IborIndex,X1960,Trigger)</f>
        <v>52785</v>
      </c>
      <c r="Z1960" s="203">
        <v>2.4619222218775386E-2</v>
      </c>
      <c r="AA1960" s="200">
        <v>2.4538462384757764E-2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52790</v>
      </c>
      <c r="Y1961" s="202">
        <f>_xll.qlInterestRateIndexValueDate(IborIndex,X1961,Trigger)</f>
        <v>52792</v>
      </c>
      <c r="Z1961" s="203">
        <v>2.4619990668278548E-2</v>
      </c>
      <c r="AA1961" s="200">
        <v>2.4539201728783766E-2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52797</v>
      </c>
      <c r="Y1962" s="202">
        <f>_xll.qlInterestRateIndexValueDate(IborIndex,X1962,Trigger)</f>
        <v>52799</v>
      </c>
      <c r="Z1962" s="203">
        <v>2.4620763251229204E-2</v>
      </c>
      <c r="AA1962" s="200">
        <v>2.4539945180324096E-2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52804</v>
      </c>
      <c r="Y1963" s="202">
        <f>_xll.qlInterestRateIndexValueDate(IborIndex,X1963,Trigger)</f>
        <v>52806</v>
      </c>
      <c r="Z1963" s="203">
        <v>2.4621539967629967E-2</v>
      </c>
      <c r="AA1963" s="200">
        <v>2.4540692739858372E-2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52811</v>
      </c>
      <c r="Y1964" s="202">
        <f>_xll.qlInterestRateIndexValueDate(IborIndex,X1964,Trigger)</f>
        <v>52813</v>
      </c>
      <c r="Z1964" s="203">
        <v>2.4622320817483438E-2</v>
      </c>
      <c r="AA1964" s="200">
        <v>2.4541444406986912E-2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52818</v>
      </c>
      <c r="Y1965" s="202">
        <f>_xll.qlInterestRateIndexValueDate(IborIndex,X1965,Trigger)</f>
        <v>52820</v>
      </c>
      <c r="Z1965" s="203">
        <v>2.4625797684611289E-2</v>
      </c>
      <c r="AA1965" s="200">
        <v>2.4542200181789653E-2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52825</v>
      </c>
      <c r="Y1966" s="202">
        <f>_xll.qlInterestRateIndexValueDate(IborIndex,X1966,Trigger)</f>
        <v>52827</v>
      </c>
      <c r="Z1966" s="203">
        <v>2.4623894917557204E-2</v>
      </c>
      <c r="AA1966" s="200">
        <v>2.4542960064506403E-2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52832</v>
      </c>
      <c r="Y1967" s="202">
        <f>_xll.qlInterestRateIndexValueDate(IborIndex,X1967,Trigger)</f>
        <v>52834</v>
      </c>
      <c r="Z1967" s="203">
        <v>2.462468816778271E-2</v>
      </c>
      <c r="AA1967" s="200">
        <v>2.4543833531645021E-2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52839</v>
      </c>
      <c r="Y1968" s="202">
        <f>_xll.qlInterestRateIndexValueDate(IborIndex,X1968,Trigger)</f>
        <v>52841</v>
      </c>
      <c r="Z1968" s="203">
        <v>2.4624587357113353E-2</v>
      </c>
      <c r="AA1968" s="200">
        <v>2.4544492152962505E-2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52846</v>
      </c>
      <c r="Y1969" s="202">
        <f>_xll.qlInterestRateIndexValueDate(IborIndex,X1969,Trigger)</f>
        <v>52848</v>
      </c>
      <c r="Z1969" s="203">
        <v>2.4625388524384777E-2</v>
      </c>
      <c r="AA1969" s="200">
        <v>2.4545264358781793E-2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52853</v>
      </c>
      <c r="Y1970" s="202">
        <f>_xll.qlInterestRateIndexValueDate(IborIndex,X1970,Trigger)</f>
        <v>52855</v>
      </c>
      <c r="Z1970" s="203">
        <v>2.4626193824840548E-2</v>
      </c>
      <c r="AA1970" s="200">
        <v>2.4546040672435154E-2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52860</v>
      </c>
      <c r="Y1971" s="202">
        <f>_xll.qlInterestRateIndexValueDate(IborIndex,X1971,Trigger)</f>
        <v>52862</v>
      </c>
      <c r="Z1971" s="203">
        <v>2.462700325848154E-2</v>
      </c>
      <c r="AA1971" s="200">
        <v>2.454682109368278E-2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52867</v>
      </c>
      <c r="Y1972" s="202">
        <f>_xll.qlInterestRateIndexValueDate(IborIndex,X1972,Trigger)</f>
        <v>52869</v>
      </c>
      <c r="Z1972" s="203">
        <v>2.4627816825311268E-2</v>
      </c>
      <c r="AA1972" s="200">
        <v>2.4547605622764479E-2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52874</v>
      </c>
      <c r="Y1973" s="202">
        <f>_xll.qlInterestRateIndexValueDate(IborIndex,X1973,Trigger)</f>
        <v>52876</v>
      </c>
      <c r="Z1973" s="203">
        <v>2.4629534471938084E-2</v>
      </c>
      <c r="AA1973" s="200">
        <v>2.4548394259520379E-2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52881</v>
      </c>
      <c r="Y1974" s="202">
        <f>_xll.qlInterestRateIndexValueDate(IborIndex,X1974,Trigger)</f>
        <v>52883</v>
      </c>
      <c r="Z1974" s="203">
        <v>2.4630356656453335E-2</v>
      </c>
      <c r="AA1974" s="200">
        <v>2.4549187004030415E-2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52888</v>
      </c>
      <c r="Y1975" s="202">
        <f>_xll.qlInterestRateIndexValueDate(IborIndex,X1975,Trigger)</f>
        <v>52890</v>
      </c>
      <c r="Z1975" s="203">
        <v>2.4631182974449974E-2</v>
      </c>
      <c r="AA1975" s="200">
        <v>2.4549983856214652E-2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52895</v>
      </c>
      <c r="Y1976" s="202">
        <f>_xll.qlInterestRateIndexValueDate(IborIndex,X1976,Trigger)</f>
        <v>52897</v>
      </c>
      <c r="Z1976" s="203">
        <v>2.463201342592973E-2</v>
      </c>
      <c r="AA1976" s="200">
        <v>2.4550784816232962E-2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52902</v>
      </c>
      <c r="Y1977" s="202">
        <f>_xll.qlInterestRateIndexValueDate(IborIndex,X1977,Trigger)</f>
        <v>52904</v>
      </c>
      <c r="Z1977" s="203">
        <v>2.4632847956749832E-2</v>
      </c>
      <c r="AA1977" s="200">
        <v>2.4551589883925473E-2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52909</v>
      </c>
      <c r="Y1978" s="202">
        <f>_xll.qlInterestRateIndexValueDate(IborIndex,X1978,Trigger)</f>
        <v>52911</v>
      </c>
      <c r="Z1978" s="203">
        <v>2.4633685603308902E-2</v>
      </c>
      <c r="AA1978" s="200">
        <v>2.4552399059372121E-2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52916</v>
      </c>
      <c r="Y1979" s="202">
        <f>_xll.qlInterestRateIndexValueDate(IborIndex,X1979,Trigger)</f>
        <v>52918</v>
      </c>
      <c r="Z1979" s="203">
        <v>2.4634524647365742E-2</v>
      </c>
      <c r="AA1979" s="200">
        <v>2.4553212342652841E-2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52923</v>
      </c>
      <c r="Y1980" s="202">
        <f>_xll.qlInterestRateIndexValueDate(IborIndex,X1980,Trigger)</f>
        <v>52926</v>
      </c>
      <c r="Z1980" s="203">
        <v>2.4637284871691791E-2</v>
      </c>
      <c r="AA1980" s="200">
        <v>2.4554146839053104E-2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52930</v>
      </c>
      <c r="Y1981" s="202">
        <f>_xll.qlInterestRateIndexValueDate(IborIndex,X1981,Trigger)</f>
        <v>52932</v>
      </c>
      <c r="Z1981" s="203">
        <v>2.4634398883842223E-2</v>
      </c>
      <c r="AA1981" s="200">
        <v>2.4554851232236885E-2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52937</v>
      </c>
      <c r="Y1982" s="202">
        <f>_xll.qlInterestRateIndexValueDate(IborIndex,X1982,Trigger)</f>
        <v>52939</v>
      </c>
      <c r="Z1982" s="203">
        <v>2.4635232976609522E-2</v>
      </c>
      <c r="AA1982" s="200">
        <v>2.4555676838620144E-2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52944</v>
      </c>
      <c r="Y1983" s="202">
        <f>_xll.qlInterestRateIndexValueDate(IborIndex,X1983,Trigger)</f>
        <v>52946</v>
      </c>
      <c r="Z1983" s="203">
        <v>2.4636061796179831E-2</v>
      </c>
      <c r="AA1983" s="200">
        <v>2.4556506552837476E-2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52951</v>
      </c>
      <c r="Y1984" s="202">
        <f>_xll.qlInterestRateIndexValueDate(IborIndex,X1984,Trigger)</f>
        <v>52953</v>
      </c>
      <c r="Z1984" s="203">
        <v>2.4636883563013967E-2</v>
      </c>
      <c r="AA1984" s="200">
        <v>2.4557579363957416E-2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52959</v>
      </c>
      <c r="Y1985" s="202">
        <f>_xll.qlInterestRateIndexValueDate(IborIndex,X1985,Trigger)</f>
        <v>52961</v>
      </c>
      <c r="Z1985" s="203">
        <v>2.4638708818912822E-2</v>
      </c>
      <c r="AA1985" s="200">
        <v>2.4558418467224286E-2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52966</v>
      </c>
      <c r="Y1986" s="202">
        <f>_xll.qlInterestRateIndexValueDate(IborIndex,X1986,Trigger)</f>
        <v>52968</v>
      </c>
      <c r="Z1986" s="203">
        <v>2.4638612467808407E-2</v>
      </c>
      <c r="AA1986" s="200">
        <v>2.455914096800349E-2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52973</v>
      </c>
      <c r="Y1987" s="202">
        <f>_xll.qlInterestRateIndexValueDate(IborIndex,X1987,Trigger)</f>
        <v>52975</v>
      </c>
      <c r="Z1987" s="203">
        <v>2.4639400483717822E-2</v>
      </c>
      <c r="AA1987" s="200">
        <v>2.4559987699888097E-2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52980</v>
      </c>
      <c r="Y1988" s="202">
        <f>_xll.qlInterestRateIndexValueDate(IborIndex,X1988,Trigger)</f>
        <v>52982</v>
      </c>
      <c r="Z1988" s="203">
        <v>2.4640174074496812E-2</v>
      </c>
      <c r="AA1988" s="200">
        <v>2.4560838539526841E-2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52987</v>
      </c>
      <c r="Y1989" s="202">
        <f>_xll.qlInterestRateIndexValueDate(IborIndex,X1989,Trigger)</f>
        <v>52989</v>
      </c>
      <c r="Z1989" s="203">
        <v>2.4640931460599091E-2</v>
      </c>
      <c r="AA1989" s="200">
        <v>2.4561692945432867E-2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52994</v>
      </c>
      <c r="Y1990" s="202">
        <f>_xll.qlInterestRateIndexValueDate(IborIndex,X1990,Trigger)</f>
        <v>52996</v>
      </c>
      <c r="Z1990" s="203">
        <v>2.4640779972062959E-2</v>
      </c>
      <c r="AA1990" s="200">
        <v>2.4562535756773585E-2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53001</v>
      </c>
      <c r="Y1991" s="202">
        <f>_xll.qlInterestRateIndexValueDate(IborIndex,X1991,Trigger)</f>
        <v>53003</v>
      </c>
      <c r="Z1991" s="203">
        <v>2.46415019955251E-2</v>
      </c>
      <c r="AA1991" s="200">
        <v>2.4563359934619555E-2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53008</v>
      </c>
      <c r="Y1992" s="202">
        <f>_xll.qlInterestRateIndexValueDate(IborIndex,X1992,Trigger)</f>
        <v>53010</v>
      </c>
      <c r="Z1992" s="203">
        <v>2.4642205273360168E-2</v>
      </c>
      <c r="AA1992" s="200">
        <v>2.4564165478890843E-2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53015</v>
      </c>
      <c r="Y1993" s="202">
        <f>_xll.qlInterestRateIndexValueDate(IborIndex,X1993,Trigger)</f>
        <v>53017</v>
      </c>
      <c r="Z1993" s="203">
        <v>2.4642889805559183E-2</v>
      </c>
      <c r="AA1993" s="200">
        <v>2.4564952389747319E-2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53022</v>
      </c>
      <c r="Y1994" s="202">
        <f>_xll.qlInterestRateIndexValueDate(IborIndex,X1994,Trigger)</f>
        <v>53024</v>
      </c>
      <c r="Z1994" s="203">
        <v>2.4647983654295467E-2</v>
      </c>
      <c r="AA1994" s="200">
        <v>2.4565720667109048E-2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53029</v>
      </c>
      <c r="Y1995" s="202">
        <f>_xll.qlInterestRateIndexValueDate(IborIndex,X1995,Trigger)</f>
        <v>53031</v>
      </c>
      <c r="Z1995" s="203">
        <v>2.4648624218863664E-2</v>
      </c>
      <c r="AA1995" s="200">
        <v>2.4566470310896094E-2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53036</v>
      </c>
      <c r="Y1996" s="202">
        <f>_xll.qlInterestRateIndexValueDate(IborIndex,X1996,Trigger)</f>
        <v>53038</v>
      </c>
      <c r="Z1996" s="203">
        <v>2.4649246031374084E-2</v>
      </c>
      <c r="AA1996" s="200">
        <v>2.4567201321108456E-2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53043</v>
      </c>
      <c r="Y1997" s="202">
        <f>_xll.qlInterestRateIndexValueDate(IborIndex,X1997,Trigger)</f>
        <v>53045</v>
      </c>
      <c r="Z1997" s="203">
        <v>2.4649849091813964E-2</v>
      </c>
      <c r="AA1997" s="200">
        <v>2.4567913697906008E-2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53050</v>
      </c>
      <c r="Y1998" s="202">
        <f>_xll.qlInterestRateIndexValueDate(IborIndex,X1998,Trigger)</f>
        <v>53052</v>
      </c>
      <c r="Z1998" s="203">
        <v>2.4647792380987649E-2</v>
      </c>
      <c r="AA1998" s="200">
        <v>2.4568607441128876E-2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53057</v>
      </c>
      <c r="Y1999" s="202">
        <f>_xll.qlInterestRateIndexValueDate(IborIndex,X1999,Trigger)</f>
        <v>53063</v>
      </c>
      <c r="Z1999" s="203">
        <v>2.4648678825927958E-2</v>
      </c>
      <c r="AA1999" s="200">
        <v>2.4569472016819915E-2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53064</v>
      </c>
      <c r="Y2000" s="202">
        <f>_xll.qlInterestRateIndexValueDate(IborIndex,X2000,Trigger)</f>
        <v>53066</v>
      </c>
      <c r="Z2000" s="203">
        <v>2.4648912548671093E-2</v>
      </c>
      <c r="AA2000" s="200">
        <v>2.4569939027010435E-2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53071</v>
      </c>
      <c r="Y2001" s="202">
        <f>_xll.qlInterestRateIndexValueDate(IborIndex,X2001,Trigger)</f>
        <v>53073</v>
      </c>
      <c r="Z2001" s="203">
        <v>2.4649444510121809E-2</v>
      </c>
      <c r="AA2001" s="200">
        <v>2.4570576869749061E-2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53078</v>
      </c>
      <c r="Y2002" s="202">
        <f>_xll.qlInterestRateIndexValueDate(IborIndex,X2002,Trigger)</f>
        <v>53080</v>
      </c>
      <c r="Z2002" s="203">
        <v>2.4652583112703647E-2</v>
      </c>
      <c r="AA2002" s="200">
        <v>2.457128301633027E-2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53085</v>
      </c>
      <c r="Y2003" s="202">
        <f>_xll.qlInterestRateIndexValueDate(IborIndex,X2003,Trigger)</f>
        <v>53087</v>
      </c>
      <c r="Z2003" s="203">
        <v>2.4653073660562151E-2</v>
      </c>
      <c r="AA2003" s="200">
        <v>2.4571796654662137E-2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53092</v>
      </c>
      <c r="Y2004" s="202">
        <f>_xll.qlInterestRateIndexValueDate(IborIndex,X2004,Trigger)</f>
        <v>53094</v>
      </c>
      <c r="Z2004" s="203">
        <v>2.4653545456296548E-2</v>
      </c>
      <c r="AA2004" s="200">
        <v>2.457237859675665E-2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53099</v>
      </c>
      <c r="Y2005" s="202">
        <f>_xll.qlInterestRateIndexValueDate(IborIndex,X2005,Trigger)</f>
        <v>53101</v>
      </c>
      <c r="Z2005" s="203">
        <v>2.4653998499900881E-2</v>
      </c>
      <c r="AA2005" s="200">
        <v>2.4572941905356416E-2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53106</v>
      </c>
      <c r="Y2006" s="202">
        <f>_xll.qlInterestRateIndexValueDate(IborIndex,X2006,Trigger)</f>
        <v>53108</v>
      </c>
      <c r="Z2006" s="203">
        <v>2.4655302519849029E-2</v>
      </c>
      <c r="AA2006" s="200">
        <v>2.4573562870155996E-2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53113</v>
      </c>
      <c r="Y2007" s="202">
        <f>_xll.qlInterestRateIndexValueDate(IborIndex,X2007,Trigger)</f>
        <v>53115</v>
      </c>
      <c r="Z2007" s="203">
        <v>2.4655716748008174E-2</v>
      </c>
      <c r="AA2007" s="200">
        <v>2.4574012622151642E-2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53120</v>
      </c>
      <c r="Y2008" s="202">
        <f>_xll.qlInterestRateIndexValueDate(IborIndex,X2008,Trigger)</f>
        <v>53122</v>
      </c>
      <c r="Z2008" s="203">
        <v>2.465524511786208E-2</v>
      </c>
      <c r="AA2008" s="200">
        <v>2.4574520030267166E-2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53127</v>
      </c>
      <c r="Y2009" s="202">
        <f>_xll.qlInterestRateIndexValueDate(IborIndex,X2009,Trigger)</f>
        <v>53129</v>
      </c>
      <c r="Z2009" s="203">
        <v>2.4655623152879839E-2</v>
      </c>
      <c r="AA2009" s="200">
        <v>2.4575008804808007E-2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53134</v>
      </c>
      <c r="Y2010" s="202">
        <f>_xll.qlInterestRateIndexValueDate(IborIndex,X2010,Trigger)</f>
        <v>53136</v>
      </c>
      <c r="Z2010" s="203">
        <v>2.4655982435736072E-2</v>
      </c>
      <c r="AA2010" s="200">
        <v>2.4575478945854101E-2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53141</v>
      </c>
      <c r="Y2011" s="202">
        <f>_xll.qlInterestRateIndexValueDate(IborIndex,X2011,Trigger)</f>
        <v>53143</v>
      </c>
      <c r="Z2011" s="203">
        <v>2.4653732968656906E-2</v>
      </c>
      <c r="AA2011" s="200">
        <v>2.4575930453405448E-2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53148</v>
      </c>
      <c r="Y2012" s="202">
        <f>_xll.qlInterestRateIndexValueDate(IborIndex,X2012,Trigger)</f>
        <v>53150</v>
      </c>
      <c r="Z2012" s="203">
        <v>2.4657506587246678E-2</v>
      </c>
      <c r="AA2012" s="200">
        <v>2.4576363327462047E-2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53155</v>
      </c>
      <c r="Y2013" s="202">
        <f>_xll.qlInterestRateIndexValueDate(IborIndex,X2013,Trigger)</f>
        <v>53157</v>
      </c>
      <c r="Z2013" s="203">
        <v>2.465694777128799E-2</v>
      </c>
      <c r="AA2013" s="200">
        <v>2.4576777567943964E-2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53162</v>
      </c>
      <c r="Y2014" s="202">
        <f>_xll.qlInterestRateIndexValueDate(IborIndex,X2014,Trigger)</f>
        <v>53164</v>
      </c>
      <c r="Z2014" s="203">
        <v>2.4657232045449649E-2</v>
      </c>
      <c r="AA2014" s="200">
        <v>2.4577173174931133E-2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53169</v>
      </c>
      <c r="Y2015" s="202">
        <f>_xll.qlInterestRateIndexValueDate(IborIndex,X2015,Trigger)</f>
        <v>53171</v>
      </c>
      <c r="Z2015" s="203">
        <v>2.4657497567428521E-2</v>
      </c>
      <c r="AA2015" s="200">
        <v>2.4577550148503491E-2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53176</v>
      </c>
      <c r="Y2016" s="202">
        <f>_xll.qlInterestRateIndexValueDate(IborIndex,X2016,Trigger)</f>
        <v>53178</v>
      </c>
      <c r="Z2016" s="203">
        <v>2.4657744337217805E-2</v>
      </c>
      <c r="AA2016" s="200">
        <v>2.4577908488341293E-2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53183</v>
      </c>
      <c r="Y2017" s="202">
        <f>_xll.qlInterestRateIndexValueDate(IborIndex,X2017,Trigger)</f>
        <v>53185</v>
      </c>
      <c r="Z2017" s="203">
        <v>2.4657972354814098E-2</v>
      </c>
      <c r="AA2017" s="200">
        <v>2.4578248194844221E-2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53190</v>
      </c>
      <c r="Y2018" s="202">
        <f>_xll.qlInterestRateIndexValueDate(IborIndex,X2018,Trigger)</f>
        <v>53192</v>
      </c>
      <c r="Z2018" s="203">
        <v>2.4658181620216549E-2</v>
      </c>
      <c r="AA2018" s="200">
        <v>2.4578569267692529E-2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53197</v>
      </c>
      <c r="Y2019" s="202">
        <f>_xll.qlInterestRateIndexValueDate(IborIndex,X2019,Trigger)</f>
        <v>53199</v>
      </c>
      <c r="Z2019" s="203">
        <v>2.4658372133420061E-2</v>
      </c>
      <c r="AA2019" s="200">
        <v>2.4578913391701818E-2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53204</v>
      </c>
      <c r="Y2020" s="202">
        <f>_xll.qlInterestRateIndexValueDate(IborIndex,X2020,Trigger)</f>
        <v>53206</v>
      </c>
      <c r="Z2020" s="203">
        <v>2.4655989599344931E-2</v>
      </c>
      <c r="AA2020" s="200">
        <v>2.4579155513064777E-2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53211</v>
      </c>
      <c r="Y2021" s="202">
        <f>_xll.qlInterestRateIndexValueDate(IborIndex,X2021,Trigger)</f>
        <v>53213</v>
      </c>
      <c r="Z2021" s="203">
        <v>2.4656146594312287E-2</v>
      </c>
      <c r="AA2021" s="200">
        <v>2.4579420685428843E-2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53218</v>
      </c>
      <c r="Y2022" s="202">
        <f>_xll.qlInterestRateIndexValueDate(IborIndex,X2022,Trigger)</f>
        <v>53220</v>
      </c>
      <c r="Z2022" s="203">
        <v>2.4656284840916781E-2</v>
      </c>
      <c r="AA2022" s="200">
        <v>2.4579667224298163E-2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53225</v>
      </c>
      <c r="Y2023" s="202">
        <f>_xll.qlInterestRateIndexValueDate(IborIndex,X2023,Trigger)</f>
        <v>53227</v>
      </c>
      <c r="Z2023" s="203">
        <v>2.4656404339152265E-2</v>
      </c>
      <c r="AA2023" s="200">
        <v>2.4579895129592799E-2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53232</v>
      </c>
      <c r="Y2024" s="202">
        <f>_xll.qlInterestRateIndexValueDate(IborIndex,X2024,Trigger)</f>
        <v>53234</v>
      </c>
      <c r="Z2024" s="203">
        <v>2.4656505089019617E-2</v>
      </c>
      <c r="AA2024" s="200">
        <v>2.4580104401472624E-2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53239</v>
      </c>
      <c r="Y2025" s="202">
        <f>_xll.qlInterestRateIndexValueDate(IborIndex,X2025,Trigger)</f>
        <v>53241</v>
      </c>
      <c r="Z2025" s="203">
        <v>2.4659121416338324E-2</v>
      </c>
      <c r="AA2025" s="200">
        <v>2.4580295039777766E-2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53246</v>
      </c>
      <c r="Y2026" s="202">
        <f>_xll.qlInterestRateIndexValueDate(IborIndex,X2026,Trigger)</f>
        <v>53248</v>
      </c>
      <c r="Z2026" s="203">
        <v>2.4660023926057342E-2</v>
      </c>
      <c r="AA2026" s="200">
        <v>2.4580467044588161E-2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53253</v>
      </c>
      <c r="Y2027" s="202">
        <f>_xll.qlInterestRateIndexValueDate(IborIndex,X2027,Trigger)</f>
        <v>53255</v>
      </c>
      <c r="Z2027" s="203">
        <v>2.4659221159630249E-2</v>
      </c>
      <c r="AA2027" s="200">
        <v>2.4580620415823873E-2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53260</v>
      </c>
      <c r="Y2028" s="202">
        <f>_xll.qlInterestRateIndexValueDate(IborIndex,X2028,Trigger)</f>
        <v>53262</v>
      </c>
      <c r="Z2028" s="203">
        <v>2.4659242902956537E-2</v>
      </c>
      <c r="AA2028" s="200">
        <v>2.4580755153644773E-2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53267</v>
      </c>
      <c r="Y2029" s="202">
        <f>_xll.qlInterestRateIndexValueDate(IborIndex,X2029,Trigger)</f>
        <v>53269</v>
      </c>
      <c r="Z2029" s="203">
        <v>2.4659245894067726E-2</v>
      </c>
      <c r="AA2029" s="200">
        <v>2.458087125789099E-2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53274</v>
      </c>
      <c r="Y2030" s="202">
        <f>_xll.qlInterestRateIndexValueDate(IborIndex,X2030,Trigger)</f>
        <v>53279</v>
      </c>
      <c r="Z2030" s="203">
        <v>2.4657542703479942E-2</v>
      </c>
      <c r="AA2030" s="200">
        <v>2.4580981131840929E-2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53281</v>
      </c>
      <c r="Y2031" s="202">
        <f>_xll.qlInterestRateIndexValueDate(IborIndex,X2031,Trigger)</f>
        <v>53283</v>
      </c>
      <c r="Z2031" s="203">
        <v>2.4660032184960799E-2</v>
      </c>
      <c r="AA2031" s="200">
        <v>2.4581047565739311E-2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53288</v>
      </c>
      <c r="Y2032" s="202">
        <f>_xll.qlInterestRateIndexValueDate(IborIndex,X2032,Trigger)</f>
        <v>53290</v>
      </c>
      <c r="Z2032" s="203">
        <v>2.4659142354120898E-2</v>
      </c>
      <c r="AA2032" s="200">
        <v>2.4581107769501287E-2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53295</v>
      </c>
      <c r="Y2033" s="202">
        <f>_xll.qlInterestRateIndexValueDate(IborIndex,X2033,Trigger)</f>
        <v>53297</v>
      </c>
      <c r="Z2033" s="203">
        <v>2.465573392199083E-2</v>
      </c>
      <c r="AA2033" s="200">
        <v>2.4581149339688579E-2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53302</v>
      </c>
      <c r="Y2034" s="202">
        <f>_xll.qlInterestRateIndexValueDate(IborIndex,X2034,Trigger)</f>
        <v>53304</v>
      </c>
      <c r="Z2034" s="203">
        <v>2.4655648533135732E-2</v>
      </c>
      <c r="AA2034" s="200">
        <v>2.4581172276301189E-2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53309</v>
      </c>
      <c r="Y2035" s="202">
        <f>_xll.qlInterestRateIndexValueDate(IborIndex,X2035,Trigger)</f>
        <v>53311</v>
      </c>
      <c r="Z2035" s="203">
        <v>2.4655544397192308E-2</v>
      </c>
      <c r="AA2035" s="200">
        <v>2.4581176579498987E-2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53316</v>
      </c>
      <c r="Y2036" s="202">
        <f>_xll.qlInterestRateIndexValueDate(IborIndex,X2036,Trigger)</f>
        <v>53318</v>
      </c>
      <c r="Z2036" s="203">
        <v>2.4655421514158782E-2</v>
      </c>
      <c r="AA2036" s="200">
        <v>2.4581154732254973E-2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53323</v>
      </c>
      <c r="Y2037" s="202">
        <f>_xll.qlInterestRateIndexValueDate(IborIndex,X2037,Trigger)</f>
        <v>53325</v>
      </c>
      <c r="Z2037" s="203">
        <v>2.4656108735456018E-2</v>
      </c>
      <c r="AA2037" s="200">
        <v>2.458112305495419E-2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53330</v>
      </c>
      <c r="Y2038" s="202">
        <f>_xll.qlInterestRateIndexValueDate(IborIndex,X2038,Trigger)</f>
        <v>53332</v>
      </c>
      <c r="Z2038" s="203">
        <v>2.4655119506834744E-2</v>
      </c>
      <c r="AA2038" s="200">
        <v>2.4581077687804154E-2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53337</v>
      </c>
      <c r="Y2039" s="202">
        <f>_xll.qlInterestRateIndexValueDate(IborIndex,X2039,Trigger)</f>
        <v>53339</v>
      </c>
      <c r="Z2039" s="203">
        <v>2.4654940382547785E-2</v>
      </c>
      <c r="AA2039" s="200">
        <v>2.4581007456863091E-2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53344</v>
      </c>
      <c r="Y2040" s="202">
        <f>_xll.qlInterestRateIndexValueDate(IborIndex,X2040,Trigger)</f>
        <v>53346</v>
      </c>
      <c r="Z2040" s="203">
        <v>2.4654742511180494E-2</v>
      </c>
      <c r="AA2040" s="200">
        <v>2.4580918592427281E-2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53351</v>
      </c>
      <c r="Y2041" s="202">
        <f>_xll.qlInterestRateIndexValueDate(IborIndex,X2041,Trigger)</f>
        <v>53353</v>
      </c>
      <c r="Z2041" s="203">
        <v>2.4654525892737311E-2</v>
      </c>
      <c r="AA2041" s="200">
        <v>2.4580811094496724E-2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53358</v>
      </c>
      <c r="Y2042" s="202">
        <f>_xll.qlInterestRateIndexValueDate(IborIndex,X2042,Trigger)</f>
        <v>53360</v>
      </c>
      <c r="Z2042" s="203">
        <v>2.4653468347249446E-2</v>
      </c>
      <c r="AA2042" s="200">
        <v>2.4580684962991484E-2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53365</v>
      </c>
      <c r="Y2043" s="202">
        <f>_xll.qlInterestRateIndexValueDate(IborIndex,X2043,Trigger)</f>
        <v>53367</v>
      </c>
      <c r="Z2043" s="203">
        <v>2.4653215590993968E-2</v>
      </c>
      <c r="AA2043" s="200">
        <v>2.4580540198071432E-2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53372</v>
      </c>
      <c r="Y2044" s="202">
        <f>_xll.qlInterestRateIndexValueDate(IborIndex,X2044,Trigger)</f>
        <v>53374</v>
      </c>
      <c r="Z2044" s="203">
        <v>2.465294408894975E-2</v>
      </c>
      <c r="AA2044" s="200">
        <v>2.4580376799496761E-2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53379</v>
      </c>
      <c r="Y2045" s="202">
        <f>_xll.qlInterestRateIndexValueDate(IborIndex,X2045,Trigger)</f>
        <v>53381</v>
      </c>
      <c r="Z2045" s="203">
        <v>2.4652653841122182E-2</v>
      </c>
      <c r="AA2045" s="200">
        <v>2.458019476750728E-2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53386</v>
      </c>
      <c r="Y2046" s="202">
        <f>_xll.qlInterestRateIndexValueDate(IborIndex,X2046,Trigger)</f>
        <v>53388</v>
      </c>
      <c r="Z2046" s="203">
        <v>2.4656427655262849E-2</v>
      </c>
      <c r="AA2046" s="200">
        <v>2.4579994101943115E-2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53393</v>
      </c>
      <c r="Y2047" s="202">
        <f>_xll.qlInterestRateIndexValueDate(IborIndex,X2047,Trigger)</f>
        <v>53395</v>
      </c>
      <c r="Z2047" s="203">
        <v>2.4656093106782014E-2</v>
      </c>
      <c r="AA2047" s="200">
        <v>2.4579774802884202E-2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53400</v>
      </c>
      <c r="Y2048" s="202">
        <f>_xll.qlInterestRateIndexValueDate(IborIndex,X2048,Trigger)</f>
        <v>53402</v>
      </c>
      <c r="Z2048" s="203">
        <v>2.4655739806133704E-2</v>
      </c>
      <c r="AA2048" s="200">
        <v>2.4579536870330543E-2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53407</v>
      </c>
      <c r="Y2049" s="202">
        <f>_xll.qlInterestRateIndexValueDate(IborIndex,X2049,Trigger)</f>
        <v>53413</v>
      </c>
      <c r="Z2049" s="203">
        <v>2.4653523628448901E-2</v>
      </c>
      <c r="AA2049" s="200">
        <v>2.457920357709753E-2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53414</v>
      </c>
      <c r="Y2050" s="202">
        <f>_xll.qlInterestRateIndexValueDate(IborIndex,X2050,Trigger)</f>
        <v>53416</v>
      </c>
      <c r="Z2050" s="203">
        <v>2.4652543908915688E-2</v>
      </c>
      <c r="AA2050" s="200">
        <v>2.4579005104659046E-2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53421</v>
      </c>
      <c r="Y2051" s="202">
        <f>_xll.qlInterestRateIndexValueDate(IborIndex,X2051,Trigger)</f>
        <v>53423</v>
      </c>
      <c r="Z2051" s="203">
        <v>2.4652138453157047E-2</v>
      </c>
      <c r="AA2051" s="200">
        <v>2.4578711271541209E-2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53428</v>
      </c>
      <c r="Y2052" s="202">
        <f>_xll.qlInterestRateIndexValueDate(IborIndex,X2052,Trigger)</f>
        <v>53430</v>
      </c>
      <c r="Z2052" s="203">
        <v>2.4651714249090011E-2</v>
      </c>
      <c r="AA2052" s="200">
        <v>2.4578398804848689E-2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53435</v>
      </c>
      <c r="Y2053" s="202">
        <f>_xll.qlInterestRateIndexValueDate(IborIndex,X2053,Trigger)</f>
        <v>53437</v>
      </c>
      <c r="Z2053" s="203">
        <v>2.4651271296721601E-2</v>
      </c>
      <c r="AA2053" s="200">
        <v>2.4578067704741358E-2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53442</v>
      </c>
      <c r="Y2054" s="202">
        <f>_xll.qlInterestRateIndexValueDate(IborIndex,X2054,Trigger)</f>
        <v>53444</v>
      </c>
      <c r="Z2054" s="203">
        <v>2.4650809596056207E-2</v>
      </c>
      <c r="AA2054" s="200">
        <v>2.4577717971059343E-2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53449</v>
      </c>
      <c r="Y2055" s="202">
        <f>_xll.qlInterestRateIndexValueDate(IborIndex,X2055,Trigger)</f>
        <v>53451</v>
      </c>
      <c r="Z2055" s="203">
        <v>2.4652741641360235E-2</v>
      </c>
      <c r="AA2055" s="200">
        <v>2.4577295458794168E-2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53456</v>
      </c>
      <c r="Y2056" s="202">
        <f>_xll.qlInterestRateIndexValueDate(IborIndex,X2056,Trigger)</f>
        <v>53458</v>
      </c>
      <c r="Z2056" s="203">
        <v>2.4652238323577887E-2</v>
      </c>
      <c r="AA2056" s="200">
        <v>2.4576962603131136E-2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53463</v>
      </c>
      <c r="Y2057" s="202">
        <f>_xll.qlInterestRateIndexValueDate(IborIndex,X2057,Trigger)</f>
        <v>53465</v>
      </c>
      <c r="Z2057" s="203">
        <v>2.4651716253683339E-2</v>
      </c>
      <c r="AA2057" s="200">
        <v>2.4576556968884944E-2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53470</v>
      </c>
      <c r="Y2058" s="202">
        <f>_xll.qlInterestRateIndexValueDate(IborIndex,X2058,Trigger)</f>
        <v>53472</v>
      </c>
      <c r="Z2058" s="203">
        <v>2.4651975282097189E-2</v>
      </c>
      <c r="AA2058" s="200">
        <v>2.457607057044342E-2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53477</v>
      </c>
      <c r="Y2059" s="202">
        <f>_xll.qlInterestRateIndexValueDate(IborIndex,X2059,Trigger)</f>
        <v>53479</v>
      </c>
      <c r="Z2059" s="203">
        <v>2.465141433027998E-2</v>
      </c>
      <c r="AA2059" s="200">
        <v>2.4575689799908318E-2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53484</v>
      </c>
      <c r="Y2060" s="202">
        <f>_xll.qlInterestRateIndexValueDate(IborIndex,X2060,Trigger)</f>
        <v>53486</v>
      </c>
      <c r="Z2060" s="203">
        <v>2.4650037531405555E-2</v>
      </c>
      <c r="AA2060" s="200">
        <v>2.4575228265177884E-2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53491</v>
      </c>
      <c r="Y2061" s="202">
        <f>_xll.qlInterestRateIndexValueDate(IborIndex,X2061,Trigger)</f>
        <v>53493</v>
      </c>
      <c r="Z2061" s="203">
        <v>2.464944045314298E-2</v>
      </c>
      <c r="AA2061" s="200">
        <v>2.4574748096872767E-2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53498</v>
      </c>
      <c r="Y2062" s="202">
        <f>_xll.qlInterestRateIndexValueDate(IborIndex,X2062,Trigger)</f>
        <v>53500</v>
      </c>
      <c r="Z2062" s="203">
        <v>2.4648824622809869E-2</v>
      </c>
      <c r="AA2062" s="200">
        <v>2.4574249295072903E-2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53505</v>
      </c>
      <c r="Y2063" s="202">
        <f>_xll.qlInterestRateIndexValueDate(IborIndex,X2063,Trigger)</f>
        <v>53507</v>
      </c>
      <c r="Z2063" s="203">
        <v>2.4645810617906098E-2</v>
      </c>
      <c r="AA2063" s="200">
        <v>2.4573731859698356E-2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53512</v>
      </c>
      <c r="Y2064" s="202">
        <f>_xll.qlInterestRateIndexValueDate(IborIndex,X2064,Trigger)</f>
        <v>53514</v>
      </c>
      <c r="Z2064" s="203">
        <v>2.4648328270878692E-2</v>
      </c>
      <c r="AA2064" s="200">
        <v>2.4573195790908997E-2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53519</v>
      </c>
      <c r="Y2065" s="202">
        <f>_xll.qlInterestRateIndexValueDate(IborIndex,X2065,Trigger)</f>
        <v>53521</v>
      </c>
      <c r="Z2065" s="203">
        <v>2.4646864619476617E-2</v>
      </c>
      <c r="AA2065" s="200">
        <v>2.4572641088624891E-2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53526</v>
      </c>
      <c r="Y2066" s="202">
        <f>_xll.qlInterestRateIndexValueDate(IborIndex,X2066,Trigger)</f>
        <v>53528</v>
      </c>
      <c r="Z2066" s="203">
        <v>2.4646173780952359E-2</v>
      </c>
      <c r="AA2066" s="200">
        <v>2.4572067752686166E-2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53533</v>
      </c>
      <c r="Y2067" s="202">
        <f>_xll.qlInterestRateIndexValueDate(IborIndex,X2067,Trigger)</f>
        <v>53535</v>
      </c>
      <c r="Z2067" s="203">
        <v>2.4645464190405184E-2</v>
      </c>
      <c r="AA2067" s="200">
        <v>2.457147578333263E-2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53540</v>
      </c>
      <c r="Y2068" s="202">
        <f>_xll.qlInterestRateIndexValueDate(IborIndex,X2068,Trigger)</f>
        <v>53542</v>
      </c>
      <c r="Z2068" s="203">
        <v>2.4644735847845305E-2</v>
      </c>
      <c r="AA2068" s="200">
        <v>2.4570865180404411E-2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53547</v>
      </c>
      <c r="Y2069" s="202">
        <f>_xll.qlInterestRateIndexValueDate(IborIndex,X2069,Trigger)</f>
        <v>53549</v>
      </c>
      <c r="Z2069" s="203">
        <v>2.4644773378467096E-2</v>
      </c>
      <c r="AA2069" s="200">
        <v>2.4570235943981444E-2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53554</v>
      </c>
      <c r="Y2070" s="202">
        <f>_xll.qlInterestRateIndexValueDate(IborIndex,X2070,Trigger)</f>
        <v>53556</v>
      </c>
      <c r="Z2070" s="203">
        <v>2.4643222906729937E-2</v>
      </c>
      <c r="AA2070" s="200">
        <v>2.4569588074063731E-2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53561</v>
      </c>
      <c r="Y2071" s="202">
        <f>_xll.qlInterestRateIndexValueDate(IborIndex,X2071,Trigger)</f>
        <v>53563</v>
      </c>
      <c r="Z2071" s="203">
        <v>2.4642438308196561E-2</v>
      </c>
      <c r="AA2071" s="200">
        <v>2.4568824834751979E-2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53568</v>
      </c>
      <c r="Y2072" s="202">
        <f>_xll.qlInterestRateIndexValueDate(IborIndex,X2072,Trigger)</f>
        <v>53570</v>
      </c>
      <c r="Z2072" s="203">
        <v>2.4639293034158672E-2</v>
      </c>
      <c r="AA2072" s="200">
        <v>2.4568236433664126E-2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53575</v>
      </c>
      <c r="Y2073" s="202">
        <f>_xll.qlInterestRateIndexValueDate(IborIndex,X2073,Trigger)</f>
        <v>53577</v>
      </c>
      <c r="Z2073" s="203">
        <v>2.463847511740808E-2</v>
      </c>
      <c r="AA2073" s="200">
        <v>2.4567532663182234E-2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53582</v>
      </c>
      <c r="Y2074" s="202">
        <f>_xll.qlInterestRateIndexValueDate(IborIndex,X2074,Trigger)</f>
        <v>53584</v>
      </c>
      <c r="Z2074" s="203">
        <v>2.4637638452540585E-2</v>
      </c>
      <c r="AA2074" s="200">
        <v>2.4566810259205596E-2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53589</v>
      </c>
      <c r="Y2075" s="202">
        <f>_xll.qlInterestRateIndexValueDate(IborIndex,X2075,Trigger)</f>
        <v>53591</v>
      </c>
      <c r="Z2075" s="203">
        <v>2.4636783039571113E-2</v>
      </c>
      <c r="AA2075" s="200">
        <v>2.456606922173421E-2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53596</v>
      </c>
      <c r="Y2076" s="202">
        <f>_xll.qlInterestRateIndexValueDate(IborIndex,X2076,Trigger)</f>
        <v>53598</v>
      </c>
      <c r="Z2076" s="203">
        <v>2.463823403623875E-2</v>
      </c>
      <c r="AA2076" s="200">
        <v>2.4565309550768077E-2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53603</v>
      </c>
      <c r="Y2077" s="202">
        <f>_xll.qlInterestRateIndexValueDate(IborIndex,X2077,Trigger)</f>
        <v>53605</v>
      </c>
      <c r="Z2077" s="203">
        <v>2.4637336926074723E-2</v>
      </c>
      <c r="AA2077" s="200">
        <v>2.4564531246227261E-2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53610</v>
      </c>
      <c r="Y2078" s="202">
        <f>_xll.qlInterestRateIndexValueDate(IborIndex,X2078,Trigger)</f>
        <v>53612</v>
      </c>
      <c r="Z2078" s="203">
        <v>2.463642106401704E-2</v>
      </c>
      <c r="AA2078" s="200">
        <v>2.4563734308111762E-2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53617</v>
      </c>
      <c r="Y2079" s="202">
        <f>_xll.qlInterestRateIndexValueDate(IborIndex,X2079,Trigger)</f>
        <v>53619</v>
      </c>
      <c r="Z2079" s="203">
        <v>2.4636257100035166E-2</v>
      </c>
      <c r="AA2079" s="200">
        <v>2.4562918736581452E-2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53624</v>
      </c>
      <c r="Y2080" s="202">
        <f>_xll.qlInterestRateIndexValueDate(IborIndex,X2080,Trigger)</f>
        <v>53626</v>
      </c>
      <c r="Z2080" s="203">
        <v>2.4634533084272582E-2</v>
      </c>
      <c r="AA2080" s="200">
        <v>2.4562084531556394E-2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53631</v>
      </c>
      <c r="Y2081" s="202">
        <f>_xll.qlInterestRateIndexValueDate(IborIndex,X2081,Trigger)</f>
        <v>53633</v>
      </c>
      <c r="Z2081" s="203">
        <v>2.4633560966613021E-2</v>
      </c>
      <c r="AA2081" s="200">
        <v>2.4561231692956653E-2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53638</v>
      </c>
      <c r="Y2082" s="202">
        <f>_xll.qlInterestRateIndexValueDate(IborIndex,X2082,Trigger)</f>
        <v>53640</v>
      </c>
      <c r="Z2082" s="203">
        <v>2.4632570097114229E-2</v>
      </c>
      <c r="AA2082" s="200">
        <v>2.4560360220862165E-2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53645</v>
      </c>
      <c r="Y2083" s="202">
        <f>_xll.qlInterestRateIndexValueDate(IborIndex,X2083,Trigger)</f>
        <v>53647</v>
      </c>
      <c r="Z2083" s="203">
        <v>2.4632325499929476E-2</v>
      </c>
      <c r="AA2083" s="200">
        <v>2.4559470115192994E-2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53652</v>
      </c>
      <c r="Y2084" s="202">
        <f>_xll.qlInterestRateIndexValueDate(IborIndex,X2084,Trigger)</f>
        <v>53654</v>
      </c>
      <c r="Z2084" s="203">
        <v>2.4630532102659333E-2</v>
      </c>
      <c r="AA2084" s="200">
        <v>2.4558561376029076E-2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53659</v>
      </c>
      <c r="Y2085" s="202">
        <f>_xll.qlInterestRateIndexValueDate(IborIndex,X2085,Trigger)</f>
        <v>53661</v>
      </c>
      <c r="Z2085" s="203">
        <v>2.4626435163450644E-2</v>
      </c>
      <c r="AA2085" s="200">
        <v>2.4557634003450346E-2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53666</v>
      </c>
      <c r="Y2086" s="202">
        <f>_xll.qlInterestRateIndexValueDate(IborIndex,X2086,Trigger)</f>
        <v>53668</v>
      </c>
      <c r="Z2086" s="203">
        <v>2.462537493364092E-2</v>
      </c>
      <c r="AA2086" s="200">
        <v>2.4556687997296933E-2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53673</v>
      </c>
      <c r="Y2087" s="202">
        <f>_xll.qlInterestRateIndexValueDate(IborIndex,X2087,Trigger)</f>
        <v>53675</v>
      </c>
      <c r="Z2087" s="203">
        <v>2.4624295957165643E-2</v>
      </c>
      <c r="AA2087" s="200">
        <v>2.4555723357648773E-2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53680</v>
      </c>
      <c r="Y2088" s="202">
        <f>_xll.qlInterestRateIndexValueDate(IborIndex,X2088,Trigger)</f>
        <v>53682</v>
      </c>
      <c r="Z2088" s="203">
        <v>2.4623198234036359E-2</v>
      </c>
      <c r="AA2088" s="200">
        <v>2.4554455726768509E-2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53688</v>
      </c>
      <c r="Y2089" s="202">
        <f>_xll.qlInterestRateIndexValueDate(IborIndex,X2089,Trigger)</f>
        <v>53692</v>
      </c>
      <c r="Z2089" s="203">
        <v>2.4620084549916307E-2</v>
      </c>
      <c r="AA2089" s="200">
        <v>2.4553448496309471E-2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53695</v>
      </c>
      <c r="Y2090" s="202">
        <f>_xll.qlInterestRateIndexValueDate(IborIndex,X2090,Trigger)</f>
        <v>53699</v>
      </c>
      <c r="Z2090" s="203">
        <v>2.4621209213900278E-2</v>
      </c>
      <c r="AA2090" s="200">
        <v>2.4552570325013789E-2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53702</v>
      </c>
      <c r="Y2091" s="202">
        <f>_xll.qlInterestRateIndexValueDate(IborIndex,X2091,Trigger)</f>
        <v>53706</v>
      </c>
      <c r="Z2091" s="203">
        <v>2.4620799204865797E-2</v>
      </c>
      <c r="AA2091" s="200">
        <v>2.4551528489435981E-2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53709</v>
      </c>
      <c r="Y2092" s="202">
        <f>_xll.qlInterestRateIndexValueDate(IborIndex,X2092,Trigger)</f>
        <v>53714</v>
      </c>
      <c r="Z2092" s="203">
        <v>2.4617941338730631E-2</v>
      </c>
      <c r="AA2092" s="200">
        <v>2.4550315003564194E-2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53716</v>
      </c>
      <c r="Y2093" s="202">
        <f>_xll.qlInterestRateIndexValueDate(IborIndex,X2093,Trigger)</f>
        <v>53720</v>
      </c>
      <c r="Z2093" s="203">
        <v>2.4617662723542627E-2</v>
      </c>
      <c r="AA2093" s="200">
        <v>2.4549388917476378E-2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53723</v>
      </c>
      <c r="Y2094" s="202">
        <f>_xll.qlInterestRateIndexValueDate(IborIndex,X2094,Trigger)</f>
        <v>53727</v>
      </c>
      <c r="Z2094" s="203">
        <v>2.4617192207717874E-2</v>
      </c>
      <c r="AA2094" s="200">
        <v>2.4548291181414328E-2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53730</v>
      </c>
      <c r="Y2095" s="202">
        <f>_xll.qlInterestRateIndexValueDate(IborIndex,X2095,Trigger)</f>
        <v>53734</v>
      </c>
      <c r="Z2095" s="203">
        <v>2.4615204657504441E-2</v>
      </c>
      <c r="AA2095" s="200">
        <v>2.4547174811697658E-2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53737</v>
      </c>
      <c r="Y2096" s="202">
        <f>_xll.qlInterestRateIndexValueDate(IborIndex,X2096,Trigger)</f>
        <v>53742</v>
      </c>
      <c r="Z2096" s="203">
        <v>2.4613020185639378E-2</v>
      </c>
      <c r="AA2096" s="200">
        <v>2.4545876144044243E-2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53744</v>
      </c>
      <c r="Y2097" s="202">
        <f>_xll.qlInterestRateIndexValueDate(IborIndex,X2097,Trigger)</f>
        <v>53748</v>
      </c>
      <c r="Z2097" s="203">
        <v>2.4613416468880635E-2</v>
      </c>
      <c r="AA2097" s="200">
        <v>2.4544886171780078E-2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53751</v>
      </c>
      <c r="Y2098" s="202">
        <f>_xll.qlInterestRateIndexValueDate(IborIndex,X2098,Trigger)</f>
        <v>53755</v>
      </c>
      <c r="Z2098" s="203">
        <v>2.4612120391198936E-2</v>
      </c>
      <c r="AA2098" s="200">
        <v>2.4543713901579167E-2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53758</v>
      </c>
      <c r="Y2099" s="202">
        <f>_xll.qlInterestRateIndexValueDate(IborIndex,X2099,Trigger)</f>
        <v>53762</v>
      </c>
      <c r="Z2099" s="203">
        <v>2.4610805564513148E-2</v>
      </c>
      <c r="AA2099" s="200">
        <v>2.4542522997803573E-2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53765</v>
      </c>
      <c r="Y2100" s="202">
        <f>_xll.qlInterestRateIndexValueDate(IborIndex,X2100,Trigger)</f>
        <v>53769</v>
      </c>
      <c r="Z2100" s="203">
        <v>2.4609471988840649E-2</v>
      </c>
      <c r="AA2100" s="200">
        <v>2.4541313460533232E-2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53772</v>
      </c>
      <c r="Y2101" s="202">
        <f>_xll.qlInterestRateIndexValueDate(IborIndex,X2101,Trigger)</f>
        <v>53776</v>
      </c>
      <c r="Z2101" s="203">
        <v>2.4608119664202292E-2</v>
      </c>
      <c r="AA2101" s="200">
        <v>2.4540085289768143E-2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53779</v>
      </c>
      <c r="Y2102" s="202">
        <f>_xll.qlInterestRateIndexValueDate(IborIndex,X2102,Trigger)</f>
        <v>53783</v>
      </c>
      <c r="Z2102" s="203">
        <v>2.4606010872041395E-2</v>
      </c>
      <c r="AA2102" s="200">
        <v>2.4538838485588244E-2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53786</v>
      </c>
      <c r="Y2103" s="202">
        <f>_xll.qlInterestRateIndexValueDate(IborIndex,X2103,Trigger)</f>
        <v>53790</v>
      </c>
      <c r="Z2103" s="203">
        <v>2.4604622483338928E-2</v>
      </c>
      <c r="AA2103" s="200">
        <v>2.4537573047753725E-2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53793</v>
      </c>
      <c r="Y2104" s="202">
        <f>_xll.qlInterestRateIndexValueDate(IborIndex,X2104,Trigger)</f>
        <v>53799</v>
      </c>
      <c r="Z2104" s="203">
        <v>2.4602809864605137E-2</v>
      </c>
      <c r="AA2104" s="200">
        <v>2.4537405095568232E-2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53800</v>
      </c>
      <c r="Y2105" s="202">
        <f>_xll.qlInterestRateIndexValueDate(IborIndex,X2105,Trigger)</f>
        <v>53804</v>
      </c>
      <c r="Z2105" s="203">
        <v>2.4601789463044088E-2</v>
      </c>
      <c r="AA2105" s="200">
        <v>2.4534986271680381E-2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53807</v>
      </c>
      <c r="Y2106" s="202">
        <f>_xll.qlInterestRateIndexValueDate(IborIndex,X2106,Trigger)</f>
        <v>53811</v>
      </c>
      <c r="Z2106" s="203">
        <v>2.4600344831489488E-2</v>
      </c>
      <c r="AA2106" s="200">
        <v>2.4533664933361621E-2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53814</v>
      </c>
      <c r="Y2107" s="202">
        <f>_xll.qlInterestRateIndexValueDate(IborIndex,X2107,Trigger)</f>
        <v>53819</v>
      </c>
      <c r="Z2107" s="203">
        <v>2.4599401198945593E-2</v>
      </c>
      <c r="AA2107" s="200">
        <v>2.4532132015888664E-2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53821</v>
      </c>
      <c r="Y2108" s="202">
        <f>_xll.qlInterestRateIndexValueDate(IborIndex,X2108,Trigger)</f>
        <v>53825</v>
      </c>
      <c r="Z2108" s="203">
        <v>2.4598128422333661E-2</v>
      </c>
      <c r="AA2108" s="200">
        <v>2.4530966356159922E-2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53828</v>
      </c>
      <c r="Y2109" s="202">
        <f>_xll.qlInterestRateIndexValueDate(IborIndex,X2109,Trigger)</f>
        <v>53832</v>
      </c>
      <c r="Z2109" s="203">
        <v>2.4596626106681781E-2</v>
      </c>
      <c r="AA2109" s="200">
        <v>2.452958911735692E-2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53835</v>
      </c>
      <c r="Y2110" s="202">
        <f>_xll.qlInterestRateIndexValueDate(IborIndex,X2110,Trigger)</f>
        <v>53840</v>
      </c>
      <c r="Z2110" s="203">
        <v>2.4594886216817425E-2</v>
      </c>
      <c r="AA2110" s="200">
        <v>2.4527992313627678E-2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53842</v>
      </c>
      <c r="Y2111" s="202">
        <f>_xll.qlInterestRateIndexValueDate(IborIndex,X2111,Trigger)</f>
        <v>53846</v>
      </c>
      <c r="Z2111" s="203">
        <v>2.4593565229053031E-2</v>
      </c>
      <c r="AA2111" s="200">
        <v>2.4526778739106803E-2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53849</v>
      </c>
      <c r="Y2112" s="202">
        <f>_xll.qlInterestRateIndexValueDate(IborIndex,X2112,Trigger)</f>
        <v>53853</v>
      </c>
      <c r="Z2112" s="203">
        <v>2.4592006667117871E-2</v>
      </c>
      <c r="AA2112" s="200">
        <v>2.4525345599819559E-2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53856</v>
      </c>
      <c r="Y2113" s="202">
        <f>_xll.qlInterestRateIndexValueDate(IborIndex,X2113,Trigger)</f>
        <v>53860</v>
      </c>
      <c r="Z2113" s="203">
        <v>2.4590429356467082E-2</v>
      </c>
      <c r="AA2113" s="200">
        <v>2.4523893826877696E-2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53863</v>
      </c>
      <c r="Y2114" s="202">
        <f>_xll.qlInterestRateIndexValueDate(IborIndex,X2114,Trigger)</f>
        <v>53867</v>
      </c>
      <c r="Z2114" s="203">
        <v>2.4588833297121526E-2</v>
      </c>
      <c r="AA2114" s="200">
        <v>2.4522423420441086E-2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53870</v>
      </c>
      <c r="Y2115" s="202">
        <f>_xll.qlInterestRateIndexValueDate(IborIndex,X2115,Trigger)</f>
        <v>53874</v>
      </c>
      <c r="Z2115" s="203">
        <v>2.458721848910379E-2</v>
      </c>
      <c r="AA2115" s="200">
        <v>2.4520934380669601E-2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53877</v>
      </c>
      <c r="Y2116" s="202">
        <f>_xll.qlInterestRateIndexValueDate(IborIndex,X2116,Trigger)</f>
        <v>53881</v>
      </c>
      <c r="Z2116" s="203">
        <v>2.4585584932437329E-2</v>
      </c>
      <c r="AA2116" s="200">
        <v>2.4519426707243497E-2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53884</v>
      </c>
      <c r="Y2117" s="202">
        <f>_xll.qlInterestRateIndexValueDate(IborIndex,X2117,Trigger)</f>
        <v>53888</v>
      </c>
      <c r="Z2117" s="203">
        <v>2.458393262714648E-2</v>
      </c>
      <c r="AA2117" s="200">
        <v>2.4517900400322645E-2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53891</v>
      </c>
      <c r="Y2118" s="202">
        <f>_xll.qlInterestRateIndexValueDate(IborIndex,X2118,Trigger)</f>
        <v>53895</v>
      </c>
      <c r="Z2118" s="203">
        <v>2.4582261573253831E-2</v>
      </c>
      <c r="AA2118" s="200">
        <v>2.4516355459907047E-2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53898</v>
      </c>
      <c r="Y2119" s="202">
        <f>_xll.qlInterestRateIndexValueDate(IborIndex,X2119,Trigger)</f>
        <v>53902</v>
      </c>
      <c r="Z2119" s="203">
        <v>2.4580571770783703E-2</v>
      </c>
      <c r="AA2119" s="200">
        <v>2.4514791886076637E-2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53905</v>
      </c>
      <c r="Y2120" s="202">
        <f>_xll.qlInterestRateIndexValueDate(IborIndex,X2120,Trigger)</f>
        <v>53909</v>
      </c>
      <c r="Z2120" s="203">
        <v>2.4578863219760435E-2</v>
      </c>
      <c r="AA2120" s="200">
        <v>2.4513209678591608E-2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53912</v>
      </c>
      <c r="Y2121" s="202">
        <f>_xll.qlInterestRateIndexValueDate(IborIndex,X2121,Trigger)</f>
        <v>53916</v>
      </c>
      <c r="Z2121" s="203">
        <v>2.457713592020835E-2</v>
      </c>
      <c r="AA2121" s="200">
        <v>2.4511608837611831E-2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53919</v>
      </c>
      <c r="Y2122" s="202">
        <f>_xll.qlInterestRateIndexValueDate(IborIndex,X2122,Trigger)</f>
        <v>53923</v>
      </c>
      <c r="Z2122" s="203">
        <v>2.4575389872150039E-2</v>
      </c>
      <c r="AA2122" s="200">
        <v>2.4509989363217244E-2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53926</v>
      </c>
      <c r="Y2123" s="202">
        <f>_xll.qlInterestRateIndexValueDate(IborIndex,X2123,Trigger)</f>
        <v>53931</v>
      </c>
      <c r="Z2123" s="203">
        <v>2.457337143133468E-2</v>
      </c>
      <c r="AA2123" s="200">
        <v>2.4508115718777645E-2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53933</v>
      </c>
      <c r="Y2124" s="202">
        <f>_xll.qlInterestRateIndexValueDate(IborIndex,X2124,Trigger)</f>
        <v>53938</v>
      </c>
      <c r="Z2124" s="203">
        <v>2.4570879535098549E-2</v>
      </c>
      <c r="AA2124" s="200">
        <v>2.4506456315362968E-2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53940</v>
      </c>
      <c r="Y2125" s="202">
        <f>_xll.qlInterestRateIndexValueDate(IborIndex,X2125,Trigger)</f>
        <v>53944</v>
      </c>
      <c r="Z2125" s="203">
        <v>2.4569334817270614E-2</v>
      </c>
      <c r="AA2125" s="200">
        <v>2.450501913882519E-2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53947</v>
      </c>
      <c r="Y2126" s="202">
        <f>_xll.qlInterestRateIndexValueDate(IborIndex,X2126,Trigger)</f>
        <v>53951</v>
      </c>
      <c r="Z2126" s="203">
        <v>2.4567515238415549E-2</v>
      </c>
      <c r="AA2126" s="200">
        <v>2.4503325130451614E-2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53954</v>
      </c>
      <c r="Y2127" s="202">
        <f>_xll.qlInterestRateIndexValueDate(IborIndex,X2127,Trigger)</f>
        <v>53958</v>
      </c>
      <c r="Z2127" s="203">
        <v>2.4565676912448493E-2</v>
      </c>
      <c r="AA2127" s="200">
        <v>2.4501612488503355E-2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53961</v>
      </c>
      <c r="Y2128" s="202">
        <f>_xll.qlInterestRateIndexValueDate(IborIndex,X2128,Trigger)</f>
        <v>53965</v>
      </c>
      <c r="Z2128" s="203">
        <v>2.4564519866626524E-2</v>
      </c>
      <c r="AA2128" s="200">
        <v>2.4499881212980412E-2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53968</v>
      </c>
      <c r="Y2129" s="202">
        <f>_xll.qlInterestRateIndexValueDate(IborIndex,X2129,Trigger)</f>
        <v>53972</v>
      </c>
      <c r="Z2129" s="203">
        <v>2.4562642579751007E-2</v>
      </c>
      <c r="AA2129" s="200">
        <v>2.4498131303962722E-2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53975</v>
      </c>
      <c r="Y2130" s="202">
        <f>_xll.qlInterestRateIndexValueDate(IborIndex,X2130,Trigger)</f>
        <v>53980</v>
      </c>
      <c r="Z2130" s="203">
        <v>2.4560474151938915E-2</v>
      </c>
      <c r="AA2130" s="200">
        <v>2.4496108591485211E-2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53982</v>
      </c>
      <c r="Y2131" s="202">
        <f>_xll.qlInterestRateIndexValueDate(IborIndex,X2131,Trigger)</f>
        <v>53986</v>
      </c>
      <c r="Z2131" s="203">
        <v>2.4558831761134686E-2</v>
      </c>
      <c r="AA2131" s="200">
        <v>2.4494575585602973E-2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53989</v>
      </c>
      <c r="Y2132" s="202">
        <f>_xll.qlInterestRateIndexValueDate(IborIndex,X2132,Trigger)</f>
        <v>53993</v>
      </c>
      <c r="Z2132" s="203">
        <v>2.4556898229449491E-2</v>
      </c>
      <c r="AA2132" s="200">
        <v>2.4492769776101042E-2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53996</v>
      </c>
      <c r="Y2133" s="202">
        <f>_xll.qlInterestRateIndexValueDate(IborIndex,X2133,Trigger)</f>
        <v>54000</v>
      </c>
      <c r="Z2133" s="203">
        <v>2.4554945949547404E-2</v>
      </c>
      <c r="AA2133" s="200">
        <v>2.4490945333104364E-2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54003</v>
      </c>
      <c r="Y2134" s="202">
        <f>_xll.qlInterestRateIndexValueDate(IborIndex,X2134,Trigger)</f>
        <v>54008</v>
      </c>
      <c r="Z2134" s="203">
        <v>2.4552691815553158E-2</v>
      </c>
      <c r="AA2134" s="200">
        <v>2.4488837438845223E-2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54010</v>
      </c>
      <c r="Y2135" s="202">
        <f>_xll.qlInterestRateIndexValueDate(IborIndex,X2135,Trigger)</f>
        <v>54014</v>
      </c>
      <c r="Z2135" s="203">
        <v>2.4550985145208981E-2</v>
      </c>
      <c r="AA2135" s="200">
        <v>2.4487240546546829E-2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54017</v>
      </c>
      <c r="Y2136" s="202">
        <f>_xll.qlInterestRateIndexValueDate(IborIndex,X2136,Trigger)</f>
        <v>54021</v>
      </c>
      <c r="Z2136" s="203">
        <v>2.4548976620829992E-2</v>
      </c>
      <c r="AA2136" s="200">
        <v>2.4485360203065909E-2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54024</v>
      </c>
      <c r="Y2137" s="202">
        <f>_xll.qlInterestRateIndexValueDate(IborIndex,X2137,Trigger)</f>
        <v>54028</v>
      </c>
      <c r="Z2137" s="203">
        <v>2.4546262567409639E-2</v>
      </c>
      <c r="AA2137" s="200">
        <v>2.4483461226170178E-2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54031</v>
      </c>
      <c r="Y2138" s="202">
        <f>_xll.qlInterestRateIndexValueDate(IborIndex,X2138,Trigger)</f>
        <v>54035</v>
      </c>
      <c r="Z2138" s="203">
        <v>2.4544218024974505E-2</v>
      </c>
      <c r="AA2138" s="200">
        <v>2.4481543615699763E-2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54038</v>
      </c>
      <c r="Y2139" s="202">
        <f>_xll.qlInterestRateIndexValueDate(IborIndex,X2139,Trigger)</f>
        <v>54042</v>
      </c>
      <c r="Z2139" s="203">
        <v>2.4542154735755026E-2</v>
      </c>
      <c r="AA2139" s="200">
        <v>2.447960737157473E-2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54045</v>
      </c>
      <c r="Y2140" s="202">
        <f>_xll.qlInterestRateIndexValueDate(IborIndex,X2140,Trigger)</f>
        <v>54049</v>
      </c>
      <c r="Z2140" s="203">
        <v>2.4540072699780192E-2</v>
      </c>
      <c r="AA2140" s="200">
        <v>2.4478473102362841E-2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54053</v>
      </c>
      <c r="Y2141" s="202">
        <f>_xll.qlInterestRateIndexValueDate(IborIndex,X2141,Trigger)</f>
        <v>54057</v>
      </c>
      <c r="Z2141" s="203">
        <v>2.4537670274924216E-2</v>
      </c>
      <c r="AA2141" s="200">
        <v>2.4476491336145045E-2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54060</v>
      </c>
      <c r="Y2142" s="202">
        <f>_xll.qlInterestRateIndexValueDate(IborIndex,X2142,Trigger)</f>
        <v>54064</v>
      </c>
      <c r="Z2142" s="203">
        <v>2.4535548067433157E-2</v>
      </c>
      <c r="AA2142" s="200">
        <v>2.447340072549764E-2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54067</v>
      </c>
      <c r="Y2143" s="202">
        <f>_xll.qlInterestRateIndexValueDate(IborIndex,X2143,Trigger)</f>
        <v>54071</v>
      </c>
      <c r="Z2143" s="203">
        <v>2.4533407113280732E-2</v>
      </c>
      <c r="AA2143" s="200">
        <v>2.4471387285522894E-2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54074</v>
      </c>
      <c r="Y2144" s="202">
        <f>_xll.qlInterestRateIndexValueDate(IborIndex,X2144,Trigger)</f>
        <v>54078</v>
      </c>
      <c r="Z2144" s="203">
        <v>2.4531247412497688E-2</v>
      </c>
      <c r="AA2144" s="200">
        <v>2.4469355212133337E-2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54081</v>
      </c>
      <c r="Y2145" s="202">
        <f>_xll.qlInterestRateIndexValueDate(IborIndex,X2145,Trigger)</f>
        <v>54085</v>
      </c>
      <c r="Z2145" s="203">
        <v>2.4529068965113886E-2</v>
      </c>
      <c r="AA2145" s="200">
        <v>2.4467304505169096E-2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54088</v>
      </c>
      <c r="Y2146" s="202">
        <f>_xll.qlInterestRateIndexValueDate(IborIndex,X2146,Trigger)</f>
        <v>54092</v>
      </c>
      <c r="Z2146" s="203">
        <v>2.4526871771160953E-2</v>
      </c>
      <c r="AA2146" s="200">
        <v>2.4465235164790045E-2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54095</v>
      </c>
      <c r="Y2147" s="202">
        <f>_xll.qlInterestRateIndexValueDate(IborIndex,X2147,Trigger)</f>
        <v>54099</v>
      </c>
      <c r="Z2147" s="203">
        <v>2.4523983988733455E-2</v>
      </c>
      <c r="AA2147" s="200">
        <v>2.446314719083631E-2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54102</v>
      </c>
      <c r="Y2148" s="202">
        <f>_xll.qlInterestRateIndexValueDate(IborIndex,X2148,Trigger)</f>
        <v>54106</v>
      </c>
      <c r="Z2148" s="203">
        <v>2.4521750792431796E-2</v>
      </c>
      <c r="AA2148" s="200">
        <v>2.4461040583467764E-2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54109</v>
      </c>
      <c r="Y2149" s="202">
        <f>_xll.qlInterestRateIndexValueDate(IborIndex,X2149,Trigger)</f>
        <v>54113</v>
      </c>
      <c r="Z2149" s="203">
        <v>2.4520167710195682E-2</v>
      </c>
      <c r="AA2149" s="200">
        <v>2.4458915342524534E-2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54116</v>
      </c>
      <c r="Y2150" s="202">
        <f>_xll.qlInterestRateIndexValueDate(IborIndex,X2150,Trigger)</f>
        <v>54120</v>
      </c>
      <c r="Z2150" s="203">
        <v>2.45185627840314E-2</v>
      </c>
      <c r="AA2150" s="200">
        <v>2.4456771468086558E-2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54123</v>
      </c>
      <c r="Y2151" s="202">
        <f>_xll.qlInterestRateIndexValueDate(IborIndex,X2151,Trigger)</f>
        <v>54127</v>
      </c>
      <c r="Z2151" s="203">
        <v>2.4516270363045316E-2</v>
      </c>
      <c r="AA2151" s="200">
        <v>2.4454608960153834E-2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54130</v>
      </c>
      <c r="Y2152" s="202">
        <f>_xll.qlInterestRateIndexValueDate(IborIndex,X2152,Trigger)</f>
        <v>54134</v>
      </c>
      <c r="Z2152" s="203">
        <v>2.4513959194422747E-2</v>
      </c>
      <c r="AA2152" s="200">
        <v>2.4452427818726363E-2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54137</v>
      </c>
      <c r="Y2153" s="202">
        <f>_xll.qlInterestRateIndexValueDate(IborIndex,X2153,Trigger)</f>
        <v>54141</v>
      </c>
      <c r="Z2153" s="203">
        <v>2.4511629278199318E-2</v>
      </c>
      <c r="AA2153" s="200">
        <v>2.4450228043804145E-2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54144</v>
      </c>
      <c r="Y2154" s="202">
        <f>_xll.qlInterestRateIndexValueDate(IborIndex,X2154,Trigger)</f>
        <v>54148</v>
      </c>
      <c r="Z2154" s="203">
        <v>2.4508619346814503E-2</v>
      </c>
      <c r="AA2154" s="200">
        <v>2.4450692638295024E-2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54155</v>
      </c>
      <c r="Y2155" s="202">
        <f>_xll.qlInterestRateIndexValueDate(IborIndex,X2155,Trigger)</f>
        <v>54157</v>
      </c>
      <c r="Z2155" s="203">
        <v>2.4505574017216338E-2</v>
      </c>
      <c r="AA2155" s="200">
        <v>2.4444485917829439E-2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54162</v>
      </c>
      <c r="Y2156" s="202">
        <f>_xll.qlInterestRateIndexValueDate(IborIndex,X2156,Trigger)</f>
        <v>54164</v>
      </c>
      <c r="Z2156" s="203">
        <v>2.4503184003255532E-2</v>
      </c>
      <c r="AA2156" s="200">
        <v>2.4442219594700276E-2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54169</v>
      </c>
      <c r="Y2157" s="202">
        <f>_xll.qlInterestRateIndexValueDate(IborIndex,X2157,Trigger)</f>
        <v>54171</v>
      </c>
      <c r="Z2157" s="203">
        <v>2.4500775243089259E-2</v>
      </c>
      <c r="AA2157" s="200">
        <v>2.443993463799643E-2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54176</v>
      </c>
      <c r="Y2158" s="202">
        <f>_xll.qlInterestRateIndexValueDate(IborIndex,X2158,Trigger)</f>
        <v>54178</v>
      </c>
      <c r="Z2158" s="203">
        <v>2.4499002568328595E-2</v>
      </c>
      <c r="AA2158" s="200">
        <v>2.4437300442494703E-2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54183</v>
      </c>
      <c r="Y2159" s="202">
        <f>_xll.qlInterestRateIndexValueDate(IborIndex,X2159,Trigger)</f>
        <v>54185</v>
      </c>
      <c r="Z2159" s="203">
        <v>2.4496554810807574E-2</v>
      </c>
      <c r="AA2159" s="200">
        <v>2.4435308824344304E-2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54190</v>
      </c>
      <c r="Y2160" s="202">
        <f>_xll.qlInterestRateIndexValueDate(IborIndex,X2160,Trigger)</f>
        <v>54192</v>
      </c>
      <c r="Z2160" s="203">
        <v>2.449408830593245E-2</v>
      </c>
      <c r="AA2160" s="200">
        <v>2.4432967967316088E-2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54197</v>
      </c>
      <c r="Y2161" s="202">
        <f>_xll.qlInterestRateIndexValueDate(IborIndex,X2161,Trigger)</f>
        <v>54199</v>
      </c>
      <c r="Z2161" s="203">
        <v>2.4491603053740582E-2</v>
      </c>
      <c r="AA2161" s="200">
        <v>2.4430269885558076E-2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54204</v>
      </c>
      <c r="Y2162" s="202">
        <f>_xll.qlInterestRateIndexValueDate(IborIndex,X2162,Trigger)</f>
        <v>54206</v>
      </c>
      <c r="Z2162" s="203">
        <v>2.4489099054264989E-2</v>
      </c>
      <c r="AA2162" s="200">
        <v>2.4428230352695479E-2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54211</v>
      </c>
      <c r="Y2163" s="202">
        <f>_xll.qlInterestRateIndexValueDate(IborIndex,X2163,Trigger)</f>
        <v>54213</v>
      </c>
      <c r="Z2163" s="203">
        <v>2.4486576307542161E-2</v>
      </c>
      <c r="AA2163" s="200">
        <v>2.4425833595103086E-2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54218</v>
      </c>
      <c r="Y2164" s="202">
        <f>_xll.qlInterestRateIndexValueDate(IborIndex,X2164,Trigger)</f>
        <v>54220</v>
      </c>
      <c r="Z2164" s="203">
        <v>2.4484034813609463E-2</v>
      </c>
      <c r="AA2164" s="200">
        <v>2.4423418203936009E-2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54225</v>
      </c>
      <c r="Y2165" s="202">
        <f>_xll.qlInterestRateIndexValueDate(IborIndex,X2165,Trigger)</f>
        <v>54227</v>
      </c>
      <c r="Z2165" s="203">
        <v>2.448147457250165E-2</v>
      </c>
      <c r="AA2165" s="200">
        <v>2.4420984179354122E-2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54232</v>
      </c>
      <c r="Y2166" s="202">
        <f>_xll.qlInterestRateIndexValueDate(IborIndex,X2166,Trigger)</f>
        <v>54234</v>
      </c>
      <c r="Z2166" s="203">
        <v>2.4478895584256082E-2</v>
      </c>
      <c r="AA2166" s="200">
        <v>2.4418531521357423E-2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54239</v>
      </c>
      <c r="Y2167" s="202">
        <f>_xll.qlInterestRateIndexValueDate(IborIndex,X2167,Trigger)</f>
        <v>54241</v>
      </c>
      <c r="Z2167" s="203">
        <v>2.4476297848909249E-2</v>
      </c>
      <c r="AA2167" s="200">
        <v>2.4416060229865977E-2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54246</v>
      </c>
      <c r="Y2168" s="202">
        <f>_xll.qlInterestRateIndexValueDate(IborIndex,X2168,Trigger)</f>
        <v>54248</v>
      </c>
      <c r="Z2168" s="203">
        <v>2.4473681366497645E-2</v>
      </c>
      <c r="AA2168" s="200">
        <v>2.4413570304799848E-2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54253</v>
      </c>
      <c r="Y2169" s="202">
        <f>_xll.qlInterestRateIndexValueDate(IborIndex,X2169,Trigger)</f>
        <v>54255</v>
      </c>
      <c r="Z2169" s="203">
        <v>2.4471046137060373E-2</v>
      </c>
      <c r="AA2169" s="200">
        <v>2.4411061746318907E-2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54260</v>
      </c>
      <c r="Y2170" s="202">
        <f>_xll.qlInterestRateIndexValueDate(IborIndex,X2170,Trigger)</f>
        <v>54262</v>
      </c>
      <c r="Z2170" s="203">
        <v>2.4468392160633921E-2</v>
      </c>
      <c r="AA2170" s="200">
        <v>2.4408534554263284E-2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54267</v>
      </c>
      <c r="Y2171" s="202">
        <f>_xll.qlInterestRateIndexValueDate(IborIndex,X2171,Trigger)</f>
        <v>54269</v>
      </c>
      <c r="Z2171" s="203">
        <v>2.4465719437255652E-2</v>
      </c>
      <c r="AA2171" s="200">
        <v>2.4405988728712913E-2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54274</v>
      </c>
      <c r="Y2172" s="202">
        <f>_xll.qlInterestRateIndexValueDate(IborIndex,X2172,Trigger)</f>
        <v>54276</v>
      </c>
      <c r="Z2172" s="203">
        <v>2.4463027966966405E-2</v>
      </c>
      <c r="AA2172" s="200">
        <v>2.4403424269747731E-2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54281</v>
      </c>
      <c r="Y2173" s="202">
        <f>_xll.qlInterestRateIndexValueDate(IborIndex,X2173,Trigger)</f>
        <v>54283</v>
      </c>
      <c r="Z2173" s="203">
        <v>2.4460317749799194E-2</v>
      </c>
      <c r="AA2173" s="200">
        <v>2.4400841177367738E-2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54288</v>
      </c>
      <c r="Y2174" s="202">
        <f>_xll.qlInterestRateIndexValueDate(IborIndex,X2174,Trigger)</f>
        <v>54290</v>
      </c>
      <c r="Z2174" s="203">
        <v>2.4457588785798332E-2</v>
      </c>
      <c r="AA2174" s="200">
        <v>2.4398239451333126E-2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54295</v>
      </c>
      <c r="Y2175" s="202">
        <f>_xll.qlInterestRateIndexValueDate(IborIndex,X2175,Trigger)</f>
        <v>54297</v>
      </c>
      <c r="Z2175" s="203">
        <v>2.445484107500118E-2</v>
      </c>
      <c r="AA2175" s="200">
        <v>2.4395243233739095E-2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54302</v>
      </c>
      <c r="Y2176" s="202">
        <f>_xll.qlInterestRateIndexValueDate(IborIndex,X2176,Trigger)</f>
        <v>54304</v>
      </c>
      <c r="Z2176" s="203">
        <v>2.4451447068066779E-2</v>
      </c>
      <c r="AA2176" s="200">
        <v>2.4392980098939532E-2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54309</v>
      </c>
      <c r="Y2177" s="202">
        <f>_xll.qlInterestRateIndexValueDate(IborIndex,X2177,Trigger)</f>
        <v>54311</v>
      </c>
      <c r="Z2177" s="203">
        <v>2.4448663391323601E-2</v>
      </c>
      <c r="AA2177" s="200">
        <v>2.4390322472500614E-2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54316</v>
      </c>
      <c r="Y2178" s="202">
        <f>_xll.qlInterestRateIndexValueDate(IborIndex,X2178,Trigger)</f>
        <v>54318</v>
      </c>
      <c r="Z2178" s="203">
        <v>2.4445860969148841E-2</v>
      </c>
      <c r="AA2178" s="200">
        <v>2.4387646212646885E-2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54323</v>
      </c>
      <c r="Y2179" s="202">
        <f>_xll.qlInterestRateIndexValueDate(IborIndex,X2179,Trigger)</f>
        <v>54325</v>
      </c>
      <c r="Z2179" s="203">
        <v>2.4443039801578519E-2</v>
      </c>
      <c r="AA2179" s="200">
        <v>2.4384951319138537E-2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54330</v>
      </c>
      <c r="Y2180" s="202">
        <f>_xll.qlInterestRateIndexValueDate(IborIndex,X2180,Trigger)</f>
        <v>54332</v>
      </c>
      <c r="Z2180" s="203">
        <v>2.4442684907006015E-2</v>
      </c>
      <c r="AA2180" s="200">
        <v>2.4382237792295314E-2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54337</v>
      </c>
      <c r="Y2181" s="202">
        <f>_xll.qlInterestRateIndexValueDate(IborIndex,X2181,Trigger)</f>
        <v>54339</v>
      </c>
      <c r="Z2181" s="203">
        <v>2.4437961129696175E-2</v>
      </c>
      <c r="AA2181" s="200">
        <v>2.4379505631957343E-2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54344</v>
      </c>
      <c r="Y2182" s="202">
        <f>_xll.qlInterestRateIndexValueDate(IborIndex,X2182,Trigger)</f>
        <v>54346</v>
      </c>
      <c r="Z2182" s="203">
        <v>2.4435082192434544E-2</v>
      </c>
      <c r="AA2182" s="200">
        <v>2.4376754837964754E-2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54351</v>
      </c>
      <c r="Y2183" s="202">
        <f>_xll.qlInterestRateIndexValueDate(IborIndex,X2183,Trigger)</f>
        <v>54353</v>
      </c>
      <c r="Z2183" s="203">
        <v>2.4432184508698111E-2</v>
      </c>
      <c r="AA2183" s="200">
        <v>2.4373985410637289E-2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54358</v>
      </c>
      <c r="Y2184" s="202">
        <f>_xll.qlInterestRateIndexValueDate(IborIndex,X2184,Trigger)</f>
        <v>54360</v>
      </c>
      <c r="Z2184" s="203">
        <v>2.4429268078525964E-2</v>
      </c>
      <c r="AA2184" s="200">
        <v>2.4371197349895013E-2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54365</v>
      </c>
      <c r="Y2185" s="202">
        <f>_xll.qlInterestRateIndexValueDate(IborIndex,X2185,Trigger)</f>
        <v>54367</v>
      </c>
      <c r="Z2185" s="203">
        <v>2.4426332901962423E-2</v>
      </c>
      <c r="AA2185" s="200">
        <v>2.4368390655498118E-2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54372</v>
      </c>
      <c r="Y2186" s="202">
        <f>_xll.qlInterestRateIndexValueDate(IborIndex,X2186,Trigger)</f>
        <v>54374</v>
      </c>
      <c r="Z2186" s="203">
        <v>2.4423378979049195E-2</v>
      </c>
      <c r="AA2186" s="200">
        <v>2.4365565327606475E-2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54379</v>
      </c>
      <c r="Y2187" s="202">
        <f>_xll.qlInterestRateIndexValueDate(IborIndex,X2187,Trigger)</f>
        <v>54381</v>
      </c>
      <c r="Z2187" s="203">
        <v>2.4420406309827111E-2</v>
      </c>
      <c r="AA2187" s="200">
        <v>2.4362721366379958E-2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54386</v>
      </c>
      <c r="Y2188" s="202">
        <f>_xll.qlInterestRateIndexValueDate(IborIndex,X2188,Trigger)</f>
        <v>54389</v>
      </c>
      <c r="Z2188" s="203">
        <v>2.4416377102284392E-2</v>
      </c>
      <c r="AA2188" s="200">
        <v>2.4359448308395315E-2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54393</v>
      </c>
      <c r="Y2189" s="202">
        <f>_xll.qlInterestRateIndexValueDate(IborIndex,X2189,Trigger)</f>
        <v>54395</v>
      </c>
      <c r="Z2189" s="203">
        <v>2.4413189423790449E-2</v>
      </c>
      <c r="AA2189" s="200">
        <v>2.435697754328281E-2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54400</v>
      </c>
      <c r="Y2190" s="202">
        <f>_xll.qlInterestRateIndexValueDate(IborIndex,X2190,Trigger)</f>
        <v>54402</v>
      </c>
      <c r="Z2190" s="203">
        <v>2.4410163603062252E-2</v>
      </c>
      <c r="AA2190" s="200">
        <v>2.4354077681651987E-2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54407</v>
      </c>
      <c r="Y2191" s="202">
        <f>_xll.qlInterestRateIndexValueDate(IborIndex,X2191,Trigger)</f>
        <v>54409</v>
      </c>
      <c r="Z2191" s="203">
        <v>2.4407119038674097E-2</v>
      </c>
      <c r="AA2191" s="200">
        <v>2.435115918644648E-2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54414</v>
      </c>
      <c r="Y2192" s="202">
        <f>_xll.qlInterestRateIndexValueDate(IborIndex,X2192,Trigger)</f>
        <v>54416</v>
      </c>
      <c r="Z2192" s="203">
        <v>2.4404055730669505E-2</v>
      </c>
      <c r="AA2192" s="200">
        <v>2.4347379455598173E-2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54421</v>
      </c>
      <c r="Y2193" s="202">
        <f>_xll.qlInterestRateIndexValueDate(IborIndex,X2193,Trigger)</f>
        <v>54423</v>
      </c>
      <c r="Z2193" s="203">
        <v>2.4400973679091109E-2</v>
      </c>
      <c r="AA2193" s="200">
        <v>2.4344842522774357E-2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54428</v>
      </c>
      <c r="Y2194" s="202">
        <f>_xll.qlInterestRateIndexValueDate(IborIndex,X2194,Trigger)</f>
        <v>54430</v>
      </c>
      <c r="Z2194" s="203">
        <v>2.4397872883980654E-2</v>
      </c>
      <c r="AA2194" s="200">
        <v>2.4342291900021351E-2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54435</v>
      </c>
      <c r="Y2195" s="202">
        <f>_xll.qlInterestRateIndexValueDate(IborIndex,X2195,Trigger)</f>
        <v>54437</v>
      </c>
      <c r="Z2195" s="203">
        <v>2.4394753345383435E-2</v>
      </c>
      <c r="AA2195" s="200">
        <v>2.433929887075692E-2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54442</v>
      </c>
      <c r="Y2196" s="202">
        <f>_xll.qlInterestRateIndexValueDate(IborIndex,X2196,Trigger)</f>
        <v>54444</v>
      </c>
      <c r="Z2196" s="203">
        <v>2.4391615063341199E-2</v>
      </c>
      <c r="AA2196" s="200">
        <v>2.4336287208157614E-2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54449</v>
      </c>
      <c r="Y2197" s="202">
        <f>_xll.qlInterestRateIndexValueDate(IborIndex,X2197,Trigger)</f>
        <v>54451</v>
      </c>
      <c r="Z2197" s="203">
        <v>2.4388458037899241E-2</v>
      </c>
      <c r="AA2197" s="200">
        <v>2.4333256911983625E-2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54456</v>
      </c>
      <c r="Y2198" s="202">
        <f>_xll.qlInterestRateIndexValueDate(IborIndex,X2198,Trigger)</f>
        <v>54458</v>
      </c>
      <c r="Z2198" s="203">
        <v>2.4384688369197164E-2</v>
      </c>
      <c r="AA2198" s="200">
        <v>2.4330207982474761E-2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54463</v>
      </c>
      <c r="Y2199" s="202">
        <f>_xll.qlInterestRateIndexValueDate(IborIndex,X2199,Trigger)</f>
        <v>54465</v>
      </c>
      <c r="Z2199" s="203">
        <v>2.438149541151105E-2</v>
      </c>
      <c r="AA2199" s="200">
        <v>2.4327140419471149E-2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54470</v>
      </c>
      <c r="Y2200" s="202">
        <f>_xll.qlInterestRateIndexValueDate(IborIndex,X2200,Trigger)</f>
        <v>54472</v>
      </c>
      <c r="Z2200" s="203">
        <v>2.4378283711791394E-2</v>
      </c>
      <c r="AA2200" s="200">
        <v>2.4324054222812919E-2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54477</v>
      </c>
      <c r="Y2201" s="202">
        <f>_xll.qlInterestRateIndexValueDate(IborIndex,X2201,Trigger)</f>
        <v>54479</v>
      </c>
      <c r="Z2201" s="203">
        <v>2.4375053270083102E-2</v>
      </c>
      <c r="AA2201" s="200">
        <v>2.4320949392819813E-2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54484</v>
      </c>
      <c r="Y2202" s="202">
        <f>_xll.qlInterestRateIndexValueDate(IborIndex,X2202,Trigger)</f>
        <v>54486</v>
      </c>
      <c r="Z2202" s="203">
        <v>2.4373566744030691E-2</v>
      </c>
      <c r="AA2202" s="200">
        <v>2.4317825929411896E-2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54491</v>
      </c>
      <c r="Y2203" s="202">
        <f>_xll.qlInterestRateIndexValueDate(IborIndex,X2203,Trigger)</f>
        <v>54493</v>
      </c>
      <c r="Z2203" s="203">
        <v>2.4370294139835227E-2</v>
      </c>
      <c r="AA2203" s="200">
        <v>2.4314683832509232E-2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54498</v>
      </c>
      <c r="Y2204" s="202">
        <f>_xll.qlInterestRateIndexValueDate(IborIndex,X2204,Trigger)</f>
        <v>54500</v>
      </c>
      <c r="Z2204" s="203">
        <v>2.4367002790090304E-2</v>
      </c>
      <c r="AA2204" s="200">
        <v>2.4311523102031884E-2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54505</v>
      </c>
      <c r="Y2205" s="202">
        <f>_xll.qlInterestRateIndexValueDate(IborIndex,X2205,Trigger)</f>
        <v>54507</v>
      </c>
      <c r="Z2205" s="203">
        <v>2.4363692694842839E-2</v>
      </c>
      <c r="AA2205" s="200">
        <v>2.4308343738139726E-2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54512</v>
      </c>
      <c r="Y2206" s="202">
        <f>_xll.qlInterestRateIndexValueDate(IborIndex,X2206,Trigger)</f>
        <v>54514</v>
      </c>
      <c r="Z2206" s="203">
        <v>2.4359782670231117E-2</v>
      </c>
      <c r="AA2206" s="200">
        <v>2.430514574075282E-2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54519</v>
      </c>
      <c r="Y2207" s="202">
        <f>_xll.qlInterestRateIndexValueDate(IborIndex,X2207,Trigger)</f>
        <v>54521</v>
      </c>
      <c r="Z2207" s="203">
        <v>2.4356436648783512E-2</v>
      </c>
      <c r="AA2207" s="200">
        <v>2.4301929109871168E-2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54526</v>
      </c>
      <c r="Y2208" s="202">
        <f>_xll.qlInterestRateIndexValueDate(IborIndex,X2208,Trigger)</f>
        <v>54528</v>
      </c>
      <c r="Z2208" s="203">
        <v>2.4353071883205259E-2</v>
      </c>
      <c r="AA2208" s="200">
        <v>2.4297766061884829E-2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54533</v>
      </c>
      <c r="Y2209" s="202">
        <f>_xll.qlInterestRateIndexValueDate(IborIndex,X2209,Trigger)</f>
        <v>54535</v>
      </c>
      <c r="Z2209" s="203">
        <v>2.4349688373542046E-2</v>
      </c>
      <c r="AA2209" s="200">
        <v>2.4295439947783493E-2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54540</v>
      </c>
      <c r="Y2210" s="202">
        <f>_xll.qlInterestRateIndexValueDate(IborIndex,X2210,Trigger)</f>
        <v>54542</v>
      </c>
      <c r="Z2210" s="203">
        <v>2.4346286119846568E-2</v>
      </c>
      <c r="AA2210" s="200">
        <v>2.4291698390959127E-2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54547</v>
      </c>
      <c r="Y2211" s="202">
        <f>_xll.qlInterestRateIndexValueDate(IborIndex,X2211,Trigger)</f>
        <v>54549</v>
      </c>
      <c r="Z2211" s="203">
        <v>2.4343438470457338E-2</v>
      </c>
      <c r="AA2211" s="200">
        <v>2.4288876251636893E-2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54554</v>
      </c>
      <c r="Y2212" s="202">
        <f>_xll.qlInterestRateIndexValueDate(IborIndex,X2212,Trigger)</f>
        <v>54556</v>
      </c>
      <c r="Z2212" s="203">
        <v>2.4339997158028405E-2</v>
      </c>
      <c r="AA2212" s="200">
        <v>2.4285566453441376E-2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54561</v>
      </c>
      <c r="Y2213" s="202">
        <f>_xll.qlInterestRateIndexValueDate(IborIndex,X2213,Trigger)</f>
        <v>54563</v>
      </c>
      <c r="Z2213" s="203">
        <v>2.4336537100480973E-2</v>
      </c>
      <c r="AA2213" s="200">
        <v>2.4282238021831049E-2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54568</v>
      </c>
      <c r="Y2214" s="202">
        <f>_xll.qlInterestRateIndexValueDate(IborIndex,X2214,Trigger)</f>
        <v>54570</v>
      </c>
      <c r="Z2214" s="203">
        <v>2.4333058297866299E-2</v>
      </c>
      <c r="AA2214" s="200">
        <v>2.427841128330499E-2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54575</v>
      </c>
      <c r="Y2215" s="202">
        <f>_xll.qlInterestRateIndexValueDate(IborIndex,X2215,Trigger)</f>
        <v>54577</v>
      </c>
      <c r="Z2215" s="203">
        <v>2.4329560750234784E-2</v>
      </c>
      <c r="AA2215" s="200">
        <v>2.4275525257966279E-2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54582</v>
      </c>
      <c r="Y2216" s="202">
        <f>_xll.qlInterestRateIndexValueDate(IborIndex,X2216,Trigger)</f>
        <v>54584</v>
      </c>
      <c r="Z2216" s="203">
        <v>2.4326044457634217E-2</v>
      </c>
      <c r="AA2216" s="200">
        <v>2.4272140925951646E-2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54589</v>
      </c>
      <c r="Y2217" s="202">
        <f>_xll.qlInterestRateIndexValueDate(IborIndex,X2217,Trigger)</f>
        <v>54591</v>
      </c>
      <c r="Z2217" s="203">
        <v>2.4322509420114984E-2</v>
      </c>
      <c r="AA2217" s="200">
        <v>2.426873796036233E-2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54596</v>
      </c>
      <c r="Y2218" s="202">
        <f>_xll.qlInterestRateIndexValueDate(IborIndex,X2218,Trigger)</f>
        <v>54598</v>
      </c>
      <c r="Z2218" s="203">
        <v>2.4318955637730094E-2</v>
      </c>
      <c r="AA2218" s="200">
        <v>2.426531636119833E-2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54603</v>
      </c>
      <c r="Y2219" s="202">
        <f>_xll.qlInterestRateIndexValueDate(IborIndex,X2219,Trigger)</f>
        <v>54605</v>
      </c>
      <c r="Z2219" s="203">
        <v>2.4315383110528201E-2</v>
      </c>
      <c r="AA2219" s="200">
        <v>2.4261876128779392E-2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54610</v>
      </c>
      <c r="Y2220" s="202">
        <f>_xll.qlInterestRateIndexValueDate(IborIndex,X2220,Trigger)</f>
        <v>54612</v>
      </c>
      <c r="Z2220" s="203">
        <v>2.43117918385597E-2</v>
      </c>
      <c r="AA2220" s="200">
        <v>2.4258417262865706E-2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54617</v>
      </c>
      <c r="Y2221" s="202">
        <f>_xll.qlInterestRateIndexValueDate(IborIndex,X2221,Trigger)</f>
        <v>54619</v>
      </c>
      <c r="Z2221" s="203">
        <v>2.4308181821877592E-2</v>
      </c>
      <c r="AA2221" s="200">
        <v>2.4254939763377337E-2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54624</v>
      </c>
      <c r="Y2222" s="202">
        <f>_xll.qlInterestRateIndexValueDate(IborIndex,X2222,Trigger)</f>
        <v>54626</v>
      </c>
      <c r="Z2222" s="203">
        <v>2.430455306053227E-2</v>
      </c>
      <c r="AA2222" s="200">
        <v>2.4251443630474157E-2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54631</v>
      </c>
      <c r="Y2223" s="202">
        <f>_xll.qlInterestRateIndexValueDate(IborIndex,X2223,Trigger)</f>
        <v>54633</v>
      </c>
      <c r="Z2223" s="203">
        <v>2.4300905554577604E-2</v>
      </c>
      <c r="AA2223" s="200">
        <v>2.4247928864076229E-2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54638</v>
      </c>
      <c r="Y2224" s="202">
        <f>_xll.qlInterestRateIndexValueDate(IborIndex,X2224,Trigger)</f>
        <v>54640</v>
      </c>
      <c r="Z2224" s="203">
        <v>2.4297239304062253E-2</v>
      </c>
      <c r="AA2224" s="200">
        <v>2.4244395464343427E-2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54645</v>
      </c>
      <c r="Y2225" s="202">
        <f>_xll.qlInterestRateIndexValueDate(IborIndex,X2225,Trigger)</f>
        <v>54647</v>
      </c>
      <c r="Z2225" s="203">
        <v>2.4293554309040954E-2</v>
      </c>
      <c r="AA2225" s="200">
        <v>2.4240843430956005E-2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54652</v>
      </c>
      <c r="Y2226" s="202">
        <f>_xll.qlInterestRateIndexValueDate(IborIndex,X2226,Trigger)</f>
        <v>54654</v>
      </c>
      <c r="Z2226" s="203">
        <v>2.4289850569567579E-2</v>
      </c>
      <c r="AA2226" s="200">
        <v>2.4237272764153772E-2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54659</v>
      </c>
      <c r="Y2227" s="202">
        <f>_xll.qlInterestRateIndexValueDate(IborIndex,X2227,Trigger)</f>
        <v>54661</v>
      </c>
      <c r="Z2227" s="203">
        <v>2.4286128085691649E-2</v>
      </c>
      <c r="AA2227" s="200">
        <v>2.4233169185636783E-2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54666</v>
      </c>
      <c r="Y2228" s="202">
        <f>_xll.qlInterestRateIndexValueDate(IborIndex,X2228,Trigger)</f>
        <v>54668</v>
      </c>
      <c r="Z2228" s="203">
        <v>2.4281840379386365E-2</v>
      </c>
      <c r="AA2228" s="200">
        <v>2.4230075530384809E-2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54673</v>
      </c>
      <c r="Y2229" s="202">
        <f>_xll.qlInterestRateIndexValueDate(IborIndex,X2229,Trigger)</f>
        <v>54675</v>
      </c>
      <c r="Z2229" s="203">
        <v>2.4278081998458569E-2</v>
      </c>
      <c r="AA2229" s="200">
        <v>2.4226448963018399E-2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54680</v>
      </c>
      <c r="Y2230" s="202">
        <f>_xll.qlInterestRateIndexValueDate(IborIndex,X2230,Trigger)</f>
        <v>54682</v>
      </c>
      <c r="Z2230" s="203">
        <v>2.4274304874506058E-2</v>
      </c>
      <c r="AA2230" s="200">
        <v>2.4222803762476985E-2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54687</v>
      </c>
      <c r="Y2231" s="202">
        <f>_xll.qlInterestRateIndexValueDate(IborIndex,X2231,Trigger)</f>
        <v>54689</v>
      </c>
      <c r="Z2231" s="203">
        <v>2.4270509007585053E-2</v>
      </c>
      <c r="AA2231" s="200">
        <v>2.4219139928440825E-2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54694</v>
      </c>
      <c r="Y2232" s="202">
        <f>_xll.qlInterestRateIndexValueDate(IborIndex,X2232,Trigger)</f>
        <v>54696</v>
      </c>
      <c r="Z2232" s="203">
        <v>2.4266694397746501E-2</v>
      </c>
      <c r="AA2232" s="200">
        <v>2.4215457460909917E-2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54701</v>
      </c>
      <c r="Y2233" s="202">
        <f>_xll.qlInterestRateIndexValueDate(IborIndex,X2233,Trigger)</f>
        <v>54703</v>
      </c>
      <c r="Z2233" s="203">
        <v>2.4263399553017456E-2</v>
      </c>
      <c r="AA2233" s="200">
        <v>2.4211756359804326E-2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54708</v>
      </c>
      <c r="Y2234" s="202">
        <f>_xll.qlInterestRateIndexValueDate(IborIndex,X2234,Trigger)</f>
        <v>54710</v>
      </c>
      <c r="Z2234" s="203">
        <v>2.4259545859840713E-2</v>
      </c>
      <c r="AA2234" s="200">
        <v>2.4208036625443796E-2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54715</v>
      </c>
      <c r="Y2235" s="202">
        <f>_xll.qlInterestRateIndexValueDate(IborIndex,X2235,Trigger)</f>
        <v>54717</v>
      </c>
      <c r="Z2235" s="203">
        <v>2.4255673422694985E-2</v>
      </c>
      <c r="AA2235" s="200">
        <v>2.4204298257508583E-2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54722</v>
      </c>
      <c r="Y2236" s="202">
        <f>_xll.qlInterestRateIndexValueDate(IborIndex,X2236,Trigger)</f>
        <v>54724</v>
      </c>
      <c r="Z2236" s="203">
        <v>2.4251782241636745E-2</v>
      </c>
      <c r="AA2236" s="200">
        <v>2.4200541256078623E-2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54729</v>
      </c>
      <c r="Y2237" s="202">
        <f>_xll.qlInterestRateIndexValueDate(IborIndex,X2237,Trigger)</f>
        <v>54731</v>
      </c>
      <c r="Z2237" s="203">
        <v>2.4247872316722475E-2</v>
      </c>
      <c r="AA2237" s="200">
        <v>2.4196765621233851E-2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54736</v>
      </c>
      <c r="Y2238" s="202">
        <f>_xll.qlInterestRateIndexValueDate(IborIndex,X2238,Trigger)</f>
        <v>54739</v>
      </c>
      <c r="Z2238" s="203">
        <v>2.4244441048745211E-2</v>
      </c>
      <c r="AA2238" s="200">
        <v>2.4192427793536808E-2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54743</v>
      </c>
      <c r="Y2239" s="202">
        <f>_xll.qlInterestRateIndexValueDate(IborIndex,X2239,Trigger)</f>
        <v>54745</v>
      </c>
      <c r="Z2239" s="203">
        <v>2.4239996235543054E-2</v>
      </c>
      <c r="AA2239" s="200">
        <v>2.4189158451299875E-2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54750</v>
      </c>
      <c r="Y2240" s="202">
        <f>_xll.qlInterestRateIndexValueDate(IborIndex,X2240,Trigger)</f>
        <v>54753</v>
      </c>
      <c r="Z2240" s="203">
        <v>2.4236515705604304E-2</v>
      </c>
      <c r="AA2240" s="200">
        <v>2.4184778032791954E-2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54757</v>
      </c>
      <c r="Y2241" s="202">
        <f>_xll.qlInterestRateIndexValueDate(IborIndex,X2241,Trigger)</f>
        <v>54759</v>
      </c>
      <c r="Z2241" s="203">
        <v>2.4230993664536626E-2</v>
      </c>
      <c r="AA2241" s="200">
        <v>2.4181476747466846E-2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54764</v>
      </c>
      <c r="Y2242" s="202">
        <f>_xll.qlInterestRateIndexValueDate(IborIndex,X2242,Trigger)</f>
        <v>54766</v>
      </c>
      <c r="Z2242" s="203">
        <v>2.4226993235714644E-2</v>
      </c>
      <c r="AA2242" s="200">
        <v>2.417760794530821E-2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54771</v>
      </c>
      <c r="Y2243" s="202">
        <f>_xll.qlInterestRateIndexValueDate(IborIndex,X2243,Trigger)</f>
        <v>54773</v>
      </c>
      <c r="Z2243" s="203">
        <v>2.4222974065793323E-2</v>
      </c>
      <c r="AA2243" s="200">
        <v>2.4173720509734764E-2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54778</v>
      </c>
      <c r="Y2244" s="202">
        <f>_xll.qlInterestRateIndexValueDate(IborIndex,X2244,Trigger)</f>
        <v>54780</v>
      </c>
      <c r="Z2244" s="203">
        <v>2.4218936154826842E-2</v>
      </c>
      <c r="AA2244" s="200">
        <v>2.4168694998527585E-2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54786</v>
      </c>
      <c r="Y2245" s="202">
        <f>_xll.qlInterestRateIndexValueDate(IborIndex,X2245,Trigger)</f>
        <v>54792</v>
      </c>
      <c r="Z2245" s="203">
        <v>2.4211970420292772E-2</v>
      </c>
      <c r="AA2245" s="200">
        <v>2.4164202018699399E-2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54793</v>
      </c>
      <c r="Y2246" s="202">
        <f>_xll.qlInterestRateIndexValueDate(IborIndex,X2246,Trigger)</f>
        <v>54795</v>
      </c>
      <c r="Z2246" s="203">
        <v>2.4210220381138292E-2</v>
      </c>
      <c r="AA2246" s="200">
        <v>2.4161381547482819E-2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54800</v>
      </c>
      <c r="Y2247" s="202">
        <f>_xll.qlInterestRateIndexValueDate(IborIndex,X2247,Trigger)</f>
        <v>54802</v>
      </c>
      <c r="Z2247" s="203">
        <v>2.42061235701172E-2</v>
      </c>
      <c r="AA2247" s="200">
        <v>2.4157416916299468E-2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54807</v>
      </c>
      <c r="Y2248" s="202">
        <f>_xll.qlInterestRateIndexValueDate(IborIndex,X2248,Trigger)</f>
        <v>54809</v>
      </c>
      <c r="Z2248" s="203">
        <v>2.4202008018288979E-2</v>
      </c>
      <c r="AA2248" s="200">
        <v>2.4153433651461498E-2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54814</v>
      </c>
      <c r="Y2249" s="202">
        <f>_xll.qlInterestRateIndexValueDate(IborIndex,X2249,Trigger)</f>
        <v>54816</v>
      </c>
      <c r="Z2249" s="203">
        <v>2.4197873725708696E-2</v>
      </c>
      <c r="AA2249" s="200">
        <v>2.4149431753208717E-2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54821</v>
      </c>
      <c r="Y2250" s="202">
        <f>_xll.qlInterestRateIndexValueDate(IborIndex,X2250,Trigger)</f>
        <v>54823</v>
      </c>
      <c r="Z2250" s="203">
        <v>2.4193209477660078E-2</v>
      </c>
      <c r="AA2250" s="200">
        <v>2.4145411221700996E-2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54828</v>
      </c>
      <c r="Y2251" s="202">
        <f>_xll.qlInterestRateIndexValueDate(IborIndex,X2251,Trigger)</f>
        <v>54830</v>
      </c>
      <c r="Z2251" s="203">
        <v>2.4189039321762178E-2</v>
      </c>
      <c r="AA2251" s="200">
        <v>2.4141372056458721E-2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54835</v>
      </c>
      <c r="Y2252" s="202">
        <f>_xll.qlInterestRateIndexValueDate(IborIndex,X2252,Trigger)</f>
        <v>54837</v>
      </c>
      <c r="Z2252" s="203">
        <v>2.4184850426491974E-2</v>
      </c>
      <c r="AA2252" s="200">
        <v>2.4137314257961506E-2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54842</v>
      </c>
      <c r="Y2253" s="202">
        <f>_xll.qlInterestRateIndexValueDate(IborIndex,X2253,Trigger)</f>
        <v>54844</v>
      </c>
      <c r="Z2253" s="203">
        <v>2.4180642791906057E-2</v>
      </c>
      <c r="AA2253" s="200">
        <v>2.4133237825969545E-2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54849</v>
      </c>
      <c r="Y2254" s="202">
        <f>_xll.qlInterestRateIndexValueDate(IborIndex,X2254,Trigger)</f>
        <v>54851</v>
      </c>
      <c r="Z2254" s="203">
        <v>2.4178938773128069E-2</v>
      </c>
      <c r="AA2254" s="200">
        <v>2.4129142760562772E-2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54856</v>
      </c>
      <c r="Y2255" s="202">
        <f>_xll.qlInterestRateIndexValueDate(IborIndex,X2255,Trigger)</f>
        <v>54858</v>
      </c>
      <c r="Z2255" s="203">
        <v>2.4174685544081663E-2</v>
      </c>
      <c r="AA2255" s="200">
        <v>2.4125029061741188E-2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54863</v>
      </c>
      <c r="Y2256" s="202">
        <f>_xll.qlInterestRateIndexValueDate(IborIndex,X2256,Trigger)</f>
        <v>54865</v>
      </c>
      <c r="Z2256" s="203">
        <v>2.4170413569894501E-2</v>
      </c>
      <c r="AA2256" s="200">
        <v>2.4120896729264985E-2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54870</v>
      </c>
      <c r="Y2257" s="202">
        <f>_xll.qlInterestRateIndexValueDate(IborIndex,X2257,Trigger)</f>
        <v>54872</v>
      </c>
      <c r="Z2257" s="203">
        <v>2.4166122850626956E-2</v>
      </c>
      <c r="AA2257" s="200">
        <v>2.4116745763533842E-2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54877</v>
      </c>
      <c r="Y2258" s="202">
        <f>_xll.qlInterestRateIndexValueDate(IborIndex,X2258,Trigger)</f>
        <v>54879</v>
      </c>
      <c r="Z2258" s="203">
        <v>2.4160319872372795E-2</v>
      </c>
      <c r="AA2258" s="200">
        <v>2.4112576164307953E-2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54884</v>
      </c>
      <c r="Y2259" s="202">
        <f>_xll.qlInterestRateIndexValueDate(IborIndex,X2259,Trigger)</f>
        <v>54890</v>
      </c>
      <c r="Z2259" s="203">
        <v>2.4153517661991898E-2</v>
      </c>
      <c r="AA2259" s="200">
        <v>2.4107187871136304E-2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54891</v>
      </c>
      <c r="Y2260" s="202">
        <f>_xll.qlInterestRateIndexValueDate(IborIndex,X2260,Trigger)</f>
        <v>54893</v>
      </c>
      <c r="Z2260" s="203">
        <v>2.4151654481726882E-2</v>
      </c>
      <c r="AA2260" s="200">
        <v>2.4104181065451868E-2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54898</v>
      </c>
      <c r="Y2261" s="202">
        <f>_xll.qlInterestRateIndexValueDate(IborIndex,X2261,Trigger)</f>
        <v>54900</v>
      </c>
      <c r="Z2261" s="203">
        <v>2.4147293674515284E-2</v>
      </c>
      <c r="AA2261" s="200">
        <v>2.4099955565981546E-2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54905</v>
      </c>
      <c r="Y2262" s="202">
        <f>_xll.qlInterestRateIndexValueDate(IborIndex,X2262,Trigger)</f>
        <v>54907</v>
      </c>
      <c r="Z2262" s="203">
        <v>2.4142914126129799E-2</v>
      </c>
      <c r="AA2262" s="200">
        <v>2.4095103607146839E-2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54912</v>
      </c>
      <c r="Y2263" s="202">
        <f>_xll.qlInterestRateIndexValueDate(IborIndex,X2263,Trigger)</f>
        <v>54914</v>
      </c>
      <c r="Z2263" s="203">
        <v>2.4139984891875521E-2</v>
      </c>
      <c r="AA2263" s="200">
        <v>2.4091448666476722E-2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54919</v>
      </c>
      <c r="Y2264" s="202">
        <f>_xll.qlInterestRateIndexValueDate(IborIndex,X2264,Trigger)</f>
        <v>54921</v>
      </c>
      <c r="Z2264" s="203">
        <v>2.4135562958820054E-2</v>
      </c>
      <c r="AA2264" s="200">
        <v>2.4087167266602094E-2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54926</v>
      </c>
      <c r="Y2265" s="202">
        <f>_xll.qlInterestRateIndexValueDate(IborIndex,X2265,Trigger)</f>
        <v>54928</v>
      </c>
      <c r="Z2265" s="203">
        <v>2.4131122281191887E-2</v>
      </c>
      <c r="AA2265" s="200">
        <v>2.4082867233312655E-2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54933</v>
      </c>
      <c r="Y2266" s="202">
        <f>_xll.qlInterestRateIndexValueDate(IborIndex,X2266,Trigger)</f>
        <v>54935</v>
      </c>
      <c r="Z2266" s="203">
        <v>2.4127147368848176E-2</v>
      </c>
      <c r="AA2266" s="200">
        <v>2.4077930093016064E-2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54940</v>
      </c>
      <c r="Y2267" s="202">
        <f>_xll.qlInterestRateIndexValueDate(IborIndex,X2267,Trigger)</f>
        <v>54942</v>
      </c>
      <c r="Z2267" s="203">
        <v>2.4122667564145821E-2</v>
      </c>
      <c r="AA2267" s="200">
        <v>2.4074211266249534E-2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54947</v>
      </c>
      <c r="Y2268" s="202">
        <f>_xll.qlInterestRateIndexValueDate(IborIndex,X2268,Trigger)</f>
        <v>54949</v>
      </c>
      <c r="Z2268" s="203">
        <v>2.4117687781533618E-2</v>
      </c>
      <c r="AA2268" s="200">
        <v>2.4069855332715662E-2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54954</v>
      </c>
      <c r="Y2269" s="202">
        <f>_xll.qlInterestRateIndexValueDate(IborIndex,X2269,Trigger)</f>
        <v>54956</v>
      </c>
      <c r="Z2269" s="203">
        <v>2.4113172126273685E-2</v>
      </c>
      <c r="AA2269" s="200">
        <v>2.4065480765607106E-2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54961</v>
      </c>
      <c r="Y2270" s="202">
        <f>_xll.qlInterestRateIndexValueDate(IborIndex,X2270,Trigger)</f>
        <v>54963</v>
      </c>
      <c r="Z2270" s="203">
        <v>2.41086377267693E-2</v>
      </c>
      <c r="AA2270" s="200">
        <v>2.4061087565083739E-2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54968</v>
      </c>
      <c r="Y2271" s="202">
        <f>_xll.qlInterestRateIndexValueDate(IborIndex,X2271,Trigger)</f>
        <v>54970</v>
      </c>
      <c r="Z2271" s="203">
        <v>2.4104084583087642E-2</v>
      </c>
      <c r="AA2271" s="200">
        <v>2.405667573114556E-2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54975</v>
      </c>
      <c r="Y2272" s="202">
        <f>_xll.qlInterestRateIndexValueDate(IborIndex,X2272,Trigger)</f>
        <v>54977</v>
      </c>
      <c r="Z2272" s="203">
        <v>2.4099987358446626E-2</v>
      </c>
      <c r="AA2272" s="200">
        <v>2.4052245263872507E-2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54982</v>
      </c>
      <c r="Y2273" s="202">
        <f>_xll.qlInterestRateIndexValueDate(IborIndex,X2273,Trigger)</f>
        <v>54984</v>
      </c>
      <c r="Z2273" s="203">
        <v>2.4094922063453567E-2</v>
      </c>
      <c r="AA2273" s="200">
        <v>2.4047796163024771E-2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54989</v>
      </c>
      <c r="Y2274" s="202">
        <f>_xll.qlInterestRateIndexValueDate(IborIndex,X2274,Trigger)</f>
        <v>54991</v>
      </c>
      <c r="Z2274" s="203">
        <v>2.4090312687637217E-2</v>
      </c>
      <c r="AA2274" s="200">
        <v>2.4043328428682287E-2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54996</v>
      </c>
      <c r="Y2275" s="202">
        <f>_xll.qlInterestRateIndexValueDate(IborIndex,X2275,Trigger)</f>
        <v>54998</v>
      </c>
      <c r="Z2275" s="203">
        <v>2.408568456790976E-2</v>
      </c>
      <c r="AA2275" s="200">
        <v>2.4038842061084864E-2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55003</v>
      </c>
      <c r="Y2276" s="202">
        <f>_xll.qlInterestRateIndexValueDate(IborIndex,X2276,Trigger)</f>
        <v>55005</v>
      </c>
      <c r="Z2276" s="203">
        <v>2.4081037704338379E-2</v>
      </c>
      <c r="AA2276" s="200">
        <v>2.4034337059912758E-2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55010</v>
      </c>
      <c r="Y2277" s="202">
        <f>_xll.qlInterestRateIndexValueDate(IborIndex,X2277,Trigger)</f>
        <v>55012</v>
      </c>
      <c r="Z2277" s="203">
        <v>2.4076372096992805E-2</v>
      </c>
      <c r="AA2277" s="200">
        <v>2.4029813425405777E-2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55017</v>
      </c>
      <c r="Y2278" s="202">
        <f>_xll.qlInterestRateIndexValueDate(IborIndex,X2278,Trigger)</f>
        <v>55019</v>
      </c>
      <c r="Z2278" s="203">
        <v>2.4071687745940221E-2</v>
      </c>
      <c r="AA2278" s="200">
        <v>2.4025271157324113E-2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55024</v>
      </c>
      <c r="Y2279" s="202">
        <f>_xll.qlInterestRateIndexValueDate(IborIndex,X2279,Trigger)</f>
        <v>55026</v>
      </c>
      <c r="Z2279" s="203">
        <v>2.4066984651247805E-2</v>
      </c>
      <c r="AA2279" s="200">
        <v>2.4020057177436271E-2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55031</v>
      </c>
      <c r="Y2280" s="202">
        <f>_xll.qlInterestRateIndexValueDate(IborIndex,X2280,Trigger)</f>
        <v>55033</v>
      </c>
      <c r="Z2280" s="203">
        <v>2.4060877585984138E-2</v>
      </c>
      <c r="AA2280" s="200">
        <v>2.4016130721156159E-2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55038</v>
      </c>
      <c r="Y2281" s="202">
        <f>_xll.qlInterestRateIndexValueDate(IborIndex,X2281,Trigger)</f>
        <v>55040</v>
      </c>
      <c r="Z2281" s="203">
        <v>2.4056141967321212E-2</v>
      </c>
      <c r="AA2281" s="200">
        <v>2.4011532552830062E-2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55045</v>
      </c>
      <c r="Y2282" s="202">
        <f>_xll.qlInterestRateIndexValueDate(IborIndex,X2282,Trigger)</f>
        <v>55047</v>
      </c>
      <c r="Z2282" s="203">
        <v>2.4051387608770406E-2</v>
      </c>
      <c r="AA2282" s="200">
        <v>2.4006915751169089E-2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55052</v>
      </c>
      <c r="Y2283" s="202">
        <f>_xll.qlInterestRateIndexValueDate(IborIndex,X2283,Trigger)</f>
        <v>55054</v>
      </c>
      <c r="Z2283" s="203">
        <v>2.4046614510397597E-2</v>
      </c>
      <c r="AA2283" s="200">
        <v>2.4002280316013369E-2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55059</v>
      </c>
      <c r="Y2284" s="202">
        <f>_xll.qlInterestRateIndexValueDate(IborIndex,X2284,Trigger)</f>
        <v>55061</v>
      </c>
      <c r="Z2284" s="203">
        <v>2.4041822672273935E-2</v>
      </c>
      <c r="AA2284" s="200">
        <v>2.399762624760271E-2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55066</v>
      </c>
      <c r="Y2285" s="202">
        <f>_xll.qlInterestRateIndexValueDate(IborIndex,X2285,Trigger)</f>
        <v>55068</v>
      </c>
      <c r="Z2285" s="203">
        <v>2.4038372470545643E-2</v>
      </c>
      <c r="AA2285" s="200">
        <v>2.3992953545537432E-2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55073</v>
      </c>
      <c r="Y2286" s="202">
        <f>_xll.qlInterestRateIndexValueDate(IborIndex,X2286,Trigger)</f>
        <v>55075</v>
      </c>
      <c r="Z2286" s="203">
        <v>2.4033989693930884E-2</v>
      </c>
      <c r="AA2286" s="200">
        <v>2.3988262210137279E-2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55080</v>
      </c>
      <c r="Y2287" s="202">
        <f>_xll.qlInterestRateIndexValueDate(IborIndex,X2287,Trigger)</f>
        <v>55082</v>
      </c>
      <c r="Z2287" s="203">
        <v>2.4028685131009989E-2</v>
      </c>
      <c r="AA2287" s="200">
        <v>2.3983552241322315E-2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55087</v>
      </c>
      <c r="Y2288" s="202">
        <f>_xll.qlInterestRateIndexValueDate(IborIndex,X2288,Trigger)</f>
        <v>55089</v>
      </c>
      <c r="Z2288" s="203">
        <v>2.4023813346690199E-2</v>
      </c>
      <c r="AA2288" s="200">
        <v>2.3978823639012603E-2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55094</v>
      </c>
      <c r="Y2289" s="202">
        <f>_xll.qlInterestRateIndexValueDate(IborIndex,X2289,Trigger)</f>
        <v>55096</v>
      </c>
      <c r="Z2289" s="203">
        <v>2.4018922819430445E-2</v>
      </c>
      <c r="AA2289" s="200">
        <v>2.397407640328808E-2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55101</v>
      </c>
      <c r="Y2290" s="202">
        <f>_xll.qlInterestRateIndexValueDate(IborIndex,X2290,Trigger)</f>
        <v>55106</v>
      </c>
      <c r="Z2290" s="203">
        <v>2.4011015114663838E-2</v>
      </c>
      <c r="AA2290" s="200">
        <v>2.3968628174699802E-2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55108</v>
      </c>
      <c r="Y2291" s="202">
        <f>_xll.qlInterestRateIndexValueDate(IborIndex,X2291,Trigger)</f>
        <v>55110</v>
      </c>
      <c r="Z2291" s="203">
        <v>2.4009528737112075E-2</v>
      </c>
      <c r="AA2291" s="200">
        <v>2.3964526031754474E-2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55115</v>
      </c>
      <c r="Y2292" s="202">
        <f>_xll.qlInterestRateIndexValueDate(IborIndex,X2292,Trigger)</f>
        <v>55117</v>
      </c>
      <c r="Z2292" s="203">
        <v>2.4004138780725704E-2</v>
      </c>
      <c r="AA2292" s="200">
        <v>2.3959722895785518E-2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55122</v>
      </c>
      <c r="Y2293" s="202">
        <f>_xll.qlInterestRateIndexValueDate(IborIndex,X2293,Trigger)</f>
        <v>55124</v>
      </c>
      <c r="Z2293" s="203">
        <v>2.3997412428498954E-2</v>
      </c>
      <c r="AA2293" s="200">
        <v>2.3954901126481687E-2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55129</v>
      </c>
      <c r="Y2294" s="202">
        <f>_xll.qlInterestRateIndexValueDate(IborIndex,X2294,Trigger)</f>
        <v>55131</v>
      </c>
      <c r="Z2294" s="203">
        <v>2.3992434865895973E-2</v>
      </c>
      <c r="AA2294" s="200">
        <v>2.3950060723683109E-2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55136</v>
      </c>
      <c r="Y2295" s="202">
        <f>_xll.qlInterestRateIndexValueDate(IborIndex,X2295,Trigger)</f>
        <v>55138</v>
      </c>
      <c r="Z2295" s="203">
        <v>2.3987438565470143E-2</v>
      </c>
      <c r="AA2295" s="200">
        <v>2.3945201687389783E-2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55143</v>
      </c>
      <c r="Y2296" s="202">
        <f>_xll.qlInterestRateIndexValueDate(IborIndex,X2296,Trigger)</f>
        <v>55145</v>
      </c>
      <c r="Z2296" s="203">
        <v>2.398242352729163E-2</v>
      </c>
      <c r="AA2296" s="200">
        <v>2.3938926975519692E-2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55150</v>
      </c>
      <c r="Y2297" s="202">
        <f>_xll.qlInterestRateIndexValueDate(IborIndex,X2297,Trigger)</f>
        <v>55152</v>
      </c>
      <c r="Z2297" s="203">
        <v>2.3977389751429712E-2</v>
      </c>
      <c r="AA2297" s="200">
        <v>2.3934726721774879E-2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55157</v>
      </c>
      <c r="Y2298" s="202">
        <f>_xll.qlInterestRateIndexValueDate(IborIndex,X2298,Trigger)</f>
        <v>55159</v>
      </c>
      <c r="Z2298" s="203">
        <v>2.3972337237956332E-2</v>
      </c>
      <c r="AA2298" s="200">
        <v>2.3930512778260749E-2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55164</v>
      </c>
      <c r="Y2299" s="202">
        <f>_xll.qlInterestRateIndexValueDate(IborIndex,X2299,Trigger)</f>
        <v>55166</v>
      </c>
      <c r="Z2299" s="203">
        <v>2.3967265986940767E-2</v>
      </c>
      <c r="AA2299" s="200">
        <v>2.3925579208468051E-2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55171</v>
      </c>
      <c r="Y2300" s="202">
        <f>_xll.qlInterestRateIndexValueDate(IborIndex,X2300,Trigger)</f>
        <v>55173</v>
      </c>
      <c r="Z2300" s="203">
        <v>2.396217599845496E-2</v>
      </c>
      <c r="AA2300" s="200">
        <v>2.3920627005180606E-2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55178</v>
      </c>
      <c r="Y2301" s="202">
        <f>_xll.qlInterestRateIndexValueDate(IborIndex,X2301,Trigger)</f>
        <v>55180</v>
      </c>
      <c r="Z2301" s="203">
        <v>2.3957067272569077E-2</v>
      </c>
      <c r="AA2301" s="200">
        <v>2.391565616847835E-2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55185</v>
      </c>
      <c r="Y2302" s="202">
        <f>_xll.qlInterestRateIndexValueDate(IborIndex,X2302,Trigger)</f>
        <v>55187</v>
      </c>
      <c r="Z2302" s="203">
        <v>2.3951514310663329E-2</v>
      </c>
      <c r="AA2302" s="200">
        <v>2.3910666698361283E-2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55192</v>
      </c>
      <c r="Y2303" s="202">
        <f>_xll.qlInterestRateIndexValueDate(IborIndex,X2303,Trigger)</f>
        <v>55194</v>
      </c>
      <c r="Z2303" s="203">
        <v>2.3946369789802781E-2</v>
      </c>
      <c r="AA2303" s="200">
        <v>2.3905658594829404E-2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55199</v>
      </c>
      <c r="Y2304" s="202">
        <f>_xll.qlInterestRateIndexValueDate(IborIndex,X2304,Trigger)</f>
        <v>55201</v>
      </c>
      <c r="Z2304" s="203">
        <v>2.3941206532921859E-2</v>
      </c>
      <c r="AA2304" s="200">
        <v>2.3900631857882715E-2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55206</v>
      </c>
      <c r="Y2305" s="202">
        <f>_xll.qlInterestRateIndexValueDate(IborIndex,X2305,Trigger)</f>
        <v>55208</v>
      </c>
      <c r="Z2305" s="203">
        <v>2.3936024540089716E-2</v>
      </c>
      <c r="AA2305" s="200">
        <v>2.389558648760115E-2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55213</v>
      </c>
      <c r="Y2306" s="202">
        <f>_xll.qlInterestRateIndexValueDate(IborIndex,X2306,Trigger)</f>
        <v>55215</v>
      </c>
      <c r="Z2306" s="203">
        <v>2.3932916256389609E-2</v>
      </c>
      <c r="AA2306" s="200">
        <v>2.3890522483824839E-2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55220</v>
      </c>
      <c r="Y2307" s="202">
        <f>_xll.qlInterestRateIndexValueDate(IborIndex,X2307,Trigger)</f>
        <v>55222</v>
      </c>
      <c r="Z2307" s="203">
        <v>2.3927688368677088E-2</v>
      </c>
      <c r="AA2307" s="200">
        <v>2.388543984655378E-2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55227</v>
      </c>
      <c r="Y2308" s="202">
        <f>_xll.qlInterestRateIndexValueDate(IborIndex,X2308,Trigger)</f>
        <v>55229</v>
      </c>
      <c r="Z2308" s="203">
        <v>2.3922441739425183E-2</v>
      </c>
      <c r="AA2308" s="200">
        <v>2.3880338576107718E-2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55234</v>
      </c>
      <c r="Y2309" s="202">
        <f>_xll.qlInterestRateIndexValueDate(IborIndex,X2309,Trigger)</f>
        <v>55236</v>
      </c>
      <c r="Z2309" s="203">
        <v>2.3917176368714679E-2</v>
      </c>
      <c r="AA2309" s="200">
        <v>2.3875218672086973E-2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55241</v>
      </c>
      <c r="Y2310" s="202">
        <f>_xll.qlInterestRateIndexValueDate(IborIndex,X2310,Trigger)</f>
        <v>55247</v>
      </c>
      <c r="Z2310" s="203">
        <v>2.3908043221927799E-2</v>
      </c>
      <c r="AA2310" s="200">
        <v>2.3868608558670346E-2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55248</v>
      </c>
      <c r="Y2311" s="202">
        <f>_xll.qlInterestRateIndexValueDate(IborIndex,X2311,Trigger)</f>
        <v>55250</v>
      </c>
      <c r="Z2311" s="203">
        <v>2.3905359669869893E-2</v>
      </c>
      <c r="AA2311" s="200">
        <v>2.386492296380105E-2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55255</v>
      </c>
      <c r="Y2312" s="202">
        <f>_xll.qlInterestRateIndexValueDate(IborIndex,X2312,Trigger)</f>
        <v>55257</v>
      </c>
      <c r="Z2312" s="203">
        <v>2.3900043147108519E-2</v>
      </c>
      <c r="AA2312" s="200">
        <v>2.3859747159695743E-2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55262</v>
      </c>
      <c r="Y2313" s="202">
        <f>_xll.qlInterestRateIndexValueDate(IborIndex,X2313,Trigger)</f>
        <v>55264</v>
      </c>
      <c r="Z2313" s="203">
        <v>2.3894707886666727E-2</v>
      </c>
      <c r="AA2313" s="200">
        <v>2.385455272209569E-2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55269</v>
      </c>
      <c r="Y2314" s="202">
        <f>_xll.qlInterestRateIndexValueDate(IborIndex,X2314,Trigger)</f>
        <v>55271</v>
      </c>
      <c r="Z2314" s="203">
        <v>2.3890568395946603E-2</v>
      </c>
      <c r="AA2314" s="200">
        <v>2.3848593405535468E-2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55276</v>
      </c>
      <c r="Y2315" s="202">
        <f>_xll.qlInterestRateIndexValueDate(IborIndex,X2315,Trigger)</f>
        <v>55278</v>
      </c>
      <c r="Z2315" s="203">
        <v>2.3885190578092588E-2</v>
      </c>
      <c r="AA2315" s="200">
        <v>2.384410794665115E-2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55283</v>
      </c>
      <c r="Y2316" s="202">
        <f>_xll.qlInterestRateIndexValueDate(IborIndex,X2316,Trigger)</f>
        <v>55285</v>
      </c>
      <c r="Z2316" s="203">
        <v>2.3879794019323369E-2</v>
      </c>
      <c r="AA2316" s="200">
        <v>2.3838857608886599E-2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55290</v>
      </c>
      <c r="Y2317" s="202">
        <f>_xll.qlInterestRateIndexValueDate(IborIndex,X2317,Trigger)</f>
        <v>55292</v>
      </c>
      <c r="Z2317" s="203">
        <v>2.3874378719715487E-2</v>
      </c>
      <c r="AA2317" s="200">
        <v>2.3833588637547365E-2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55297</v>
      </c>
      <c r="Y2318" s="202">
        <f>_xll.qlInterestRateIndexValueDate(IborIndex,X2318,Trigger)</f>
        <v>55299</v>
      </c>
      <c r="Z2318" s="203">
        <v>2.3869342442915508E-2</v>
      </c>
      <c r="AA2318" s="200">
        <v>2.3827544139845003E-2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55304</v>
      </c>
      <c r="Y2319" s="202">
        <f>_xll.qlInterestRateIndexValueDate(IborIndex,X2319,Trigger)</f>
        <v>55306</v>
      </c>
      <c r="Z2319" s="203">
        <v>2.3863887962790677E-2</v>
      </c>
      <c r="AA2319" s="200">
        <v>2.3822994794944208E-2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55311</v>
      </c>
      <c r="Y2320" s="202">
        <f>_xll.qlInterestRateIndexValueDate(IborIndex,X2320,Trigger)</f>
        <v>55313</v>
      </c>
      <c r="Z2320" s="203">
        <v>2.385802037665238E-2</v>
      </c>
      <c r="AA2320" s="200">
        <v>2.3817669923520413E-2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55318</v>
      </c>
      <c r="Y2321" s="202">
        <f>_xll.qlInterestRateIndexValueDate(IborIndex,X2321,Trigger)</f>
        <v>55320</v>
      </c>
      <c r="Z2321" s="203">
        <v>2.3852530114484079E-2</v>
      </c>
      <c r="AA2321" s="200">
        <v>2.3812326418681806E-2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55325</v>
      </c>
      <c r="Y2322" s="202">
        <f>_xll.qlInterestRateIndexValueDate(IborIndex,X2322,Trigger)</f>
        <v>55327</v>
      </c>
      <c r="Z2322" s="203">
        <v>2.3847021111875092E-2</v>
      </c>
      <c r="AA2322" s="200">
        <v>2.3806964280588261E-2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55332</v>
      </c>
      <c r="Y2323" s="202">
        <f>_xll.qlInterestRateIndexValueDate(IborIndex,X2323,Trigger)</f>
        <v>55334</v>
      </c>
      <c r="Z2323" s="203">
        <v>2.3840324726420871E-2</v>
      </c>
      <c r="AA2323" s="200">
        <v>2.3801583508920032E-2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55339</v>
      </c>
      <c r="Y2324" s="202">
        <f>_xll.qlInterestRateIndexValueDate(IborIndex,X2324,Trigger)</f>
        <v>55341</v>
      </c>
      <c r="Z2324" s="203">
        <v>2.3836334437518758E-2</v>
      </c>
      <c r="AA2324" s="200">
        <v>2.3796184103916929E-2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55346</v>
      </c>
      <c r="Y2325" s="202">
        <f>_xll.qlInterestRateIndexValueDate(IborIndex,X2325,Trigger)</f>
        <v>55348</v>
      </c>
      <c r="Z2325" s="203">
        <v>2.3830381662209309E-2</v>
      </c>
      <c r="AA2325" s="200">
        <v>2.3790766065419078E-2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55353</v>
      </c>
      <c r="Y2326" s="202">
        <f>_xll.qlInterestRateIndexValueDate(IborIndex,X2326,Trigger)</f>
        <v>55355</v>
      </c>
      <c r="Z2326" s="203">
        <v>2.3824797698643731E-2</v>
      </c>
      <c r="AA2326" s="200">
        <v>2.3785329393746224E-2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55360</v>
      </c>
      <c r="Y2327" s="202">
        <f>_xll.qlInterestRateIndexValueDate(IborIndex,X2327,Trigger)</f>
        <v>55362</v>
      </c>
      <c r="Z2327" s="203">
        <v>2.3819194995043095E-2</v>
      </c>
      <c r="AA2327" s="200">
        <v>2.3779874088498687E-2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55367</v>
      </c>
      <c r="Y2328" s="202">
        <f>_xll.qlInterestRateIndexValueDate(IborIndex,X2328,Trigger)</f>
        <v>55369</v>
      </c>
      <c r="Z2328" s="203">
        <v>2.3813573551489043E-2</v>
      </c>
      <c r="AA2328" s="200">
        <v>2.3774400149916275E-2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55374</v>
      </c>
      <c r="Y2329" s="202">
        <f>_xll.qlInterestRateIndexValueDate(IborIndex,X2329,Trigger)</f>
        <v>55376</v>
      </c>
      <c r="Z2329" s="203">
        <v>2.3807933368062358E-2</v>
      </c>
      <c r="AA2329" s="200">
        <v>2.3768907577919052E-2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55381</v>
      </c>
      <c r="Y2330" s="202">
        <f>_xll.qlInterestRateIndexValueDate(IborIndex,X2330,Trigger)</f>
        <v>55383</v>
      </c>
      <c r="Z2330" s="203">
        <v>2.3802274444844677E-2</v>
      </c>
      <c r="AA2330" s="200">
        <v>2.3763396372586953E-2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55388</v>
      </c>
      <c r="Y2331" s="202">
        <f>_xll.qlInterestRateIndexValueDate(IborIndex,X2331,Trigger)</f>
        <v>55390</v>
      </c>
      <c r="Z2331" s="203">
        <v>2.3796596781921888E-2</v>
      </c>
      <c r="AA2331" s="200">
        <v>2.3757075035852893E-2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55395</v>
      </c>
      <c r="Y2332" s="202">
        <f>_xll.qlInterestRateIndexValueDate(IborIndex,X2332,Trigger)</f>
        <v>55397</v>
      </c>
      <c r="Z2332" s="203">
        <v>2.3789777880431174E-2</v>
      </c>
      <c r="AA2332" s="200">
        <v>2.3752318061598388E-2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55402</v>
      </c>
      <c r="Y2333" s="202">
        <f>_xll.qlInterestRateIndexValueDate(IborIndex,X2333,Trigger)</f>
        <v>55404</v>
      </c>
      <c r="Z2333" s="203">
        <v>2.3784067882520195E-2</v>
      </c>
      <c r="AA2333" s="200">
        <v>2.3746750956181728E-2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55409</v>
      </c>
      <c r="Y2334" s="202">
        <f>_xll.qlInterestRateIndexValueDate(IborIndex,X2334,Trigger)</f>
        <v>55411</v>
      </c>
      <c r="Z2334" s="203">
        <v>2.3778339148566169E-2</v>
      </c>
      <c r="AA2334" s="200">
        <v>2.3741165217270321E-2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55416</v>
      </c>
      <c r="Y2335" s="202">
        <f>_xll.qlInterestRateIndexValueDate(IborIndex,X2335,Trigger)</f>
        <v>55418</v>
      </c>
      <c r="Z2335" s="203">
        <v>2.3772591678649032E-2</v>
      </c>
      <c r="AA2335" s="200">
        <v>2.3735560844864168E-2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55423</v>
      </c>
      <c r="Y2336" s="202">
        <f>_xll.qlInterestRateIndexValueDate(IborIndex,X2336,Trigger)</f>
        <v>55425</v>
      </c>
      <c r="Z2336" s="203">
        <v>2.3766825472850476E-2</v>
      </c>
      <c r="AA2336" s="200">
        <v>2.3729937839203075E-2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55430</v>
      </c>
      <c r="Y2337" s="202">
        <f>_xll.qlInterestRateIndexValueDate(IborIndex,X2337,Trigger)</f>
        <v>55432</v>
      </c>
      <c r="Z2337" s="203">
        <v>2.3762137275189544E-2</v>
      </c>
      <c r="AA2337" s="200">
        <v>2.3724296200127171E-2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55437</v>
      </c>
      <c r="Y2338" s="202">
        <f>_xll.qlInterestRateIndexValueDate(IborIndex,X2338,Trigger)</f>
        <v>55439</v>
      </c>
      <c r="Z2338" s="203">
        <v>2.3756692001113806E-2</v>
      </c>
      <c r="AA2338" s="200">
        <v>2.3718635927716392E-2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55444</v>
      </c>
      <c r="Y2339" s="202">
        <f>_xll.qlInterestRateIndexValueDate(IborIndex,X2339,Trigger)</f>
        <v>55446</v>
      </c>
      <c r="Z2339" s="203">
        <v>2.3750500859077161E-2</v>
      </c>
      <c r="AA2339" s="200">
        <v>2.3712957021810865E-2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55451</v>
      </c>
      <c r="Y2340" s="202">
        <f>_xll.qlInterestRateIndexValueDate(IborIndex,X2340,Trigger)</f>
        <v>55453</v>
      </c>
      <c r="Z2340" s="203">
        <v>2.3744654542550949E-2</v>
      </c>
      <c r="AA2340" s="200">
        <v>2.37072594826504E-2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55458</v>
      </c>
      <c r="Y2341" s="202">
        <f>_xll.qlInterestRateIndexValueDate(IborIndex,X2341,Trigger)</f>
        <v>55460</v>
      </c>
      <c r="Z2341" s="203">
        <v>2.3738789487157259E-2</v>
      </c>
      <c r="AA2341" s="200">
        <v>2.3701543310075124E-2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55465</v>
      </c>
      <c r="Y2342" s="202">
        <f>_xll.qlInterestRateIndexValueDate(IborIndex,X2342,Trigger)</f>
        <v>55470</v>
      </c>
      <c r="Z2342" s="203">
        <v>2.372966602288927E-2</v>
      </c>
      <c r="AA2342" s="200">
        <v>2.369498772496037E-2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55472</v>
      </c>
      <c r="Y2343" s="202">
        <f>_xll.qlInterestRateIndexValueDate(IborIndex,X2343,Trigger)</f>
        <v>55474</v>
      </c>
      <c r="Z2343" s="203">
        <v>2.3727358103689866E-2</v>
      </c>
      <c r="AA2343" s="200">
        <v>2.3690055064520266E-2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55479</v>
      </c>
      <c r="Y2344" s="202">
        <f>_xll.qlInterestRateIndexValueDate(IborIndex,X2344,Trigger)</f>
        <v>55481</v>
      </c>
      <c r="Z2344" s="203">
        <v>2.3721081888637856E-2</v>
      </c>
      <c r="AA2344" s="200">
        <v>2.3684282991940364E-2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55486</v>
      </c>
      <c r="Y2345" s="202">
        <f>_xll.qlInterestRateIndexValueDate(IborIndex,X2345,Trigger)</f>
        <v>55488</v>
      </c>
      <c r="Z2345" s="203">
        <v>2.3714086519503606E-2</v>
      </c>
      <c r="AA2345" s="200">
        <v>2.3678492285785779E-2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55493</v>
      </c>
      <c r="Y2346" s="202">
        <f>_xll.qlInterestRateIndexValueDate(IborIndex,X2346,Trigger)</f>
        <v>55495</v>
      </c>
      <c r="Z2346" s="203">
        <v>2.3708132959411213E-2</v>
      </c>
      <c r="AA2346" s="200">
        <v>2.3672682946216383E-2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55500</v>
      </c>
      <c r="Y2347" s="202">
        <f>_xll.qlInterestRateIndexValueDate(IborIndex,X2347,Trigger)</f>
        <v>55502</v>
      </c>
      <c r="Z2347" s="203">
        <v>2.3702160664346564E-2</v>
      </c>
      <c r="AA2347" s="200">
        <v>2.3666854973392049E-2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55507</v>
      </c>
      <c r="Y2348" s="202">
        <f>_xll.qlInterestRateIndexValueDate(IborIndex,X2348,Trigger)</f>
        <v>55509</v>
      </c>
      <c r="Z2348" s="203">
        <v>2.3696169634393992E-2</v>
      </c>
      <c r="AA2348" s="200">
        <v>2.3659334485799377E-2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55514</v>
      </c>
      <c r="Y2349" s="202">
        <f>_xll.qlInterestRateIndexValueDate(IborIndex,X2349,Trigger)</f>
        <v>55516</v>
      </c>
      <c r="Z2349" s="203">
        <v>2.3690159869640452E-2</v>
      </c>
      <c r="AA2349" s="200">
        <v>2.365430371511934E-2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55521</v>
      </c>
      <c r="Y2350" s="202">
        <f>_xll.qlInterestRateIndexValueDate(IborIndex,X2350,Trigger)</f>
        <v>55523</v>
      </c>
      <c r="Z2350" s="203">
        <v>2.3684131370169403E-2</v>
      </c>
      <c r="AA2350" s="200">
        <v>2.3649259254510113E-2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55528</v>
      </c>
      <c r="Y2351" s="202">
        <f>_xll.qlInterestRateIndexValueDate(IborIndex,X2351,Trigger)</f>
        <v>55530</v>
      </c>
      <c r="Z2351" s="203">
        <v>2.3678084136066046E-2</v>
      </c>
      <c r="AA2351" s="200">
        <v>2.3643356748186406E-2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55535</v>
      </c>
      <c r="Y2352" s="202">
        <f>_xll.qlInterestRateIndexValueDate(IborIndex,X2352,Trigger)</f>
        <v>55537</v>
      </c>
      <c r="Z2352" s="203">
        <v>2.3673376492295055E-2</v>
      </c>
      <c r="AA2352" s="200">
        <v>2.3637435608447888E-2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55542</v>
      </c>
      <c r="Y2353" s="202">
        <f>_xll.qlInterestRateIndexValueDate(IborIndex,X2353,Trigger)</f>
        <v>55544</v>
      </c>
      <c r="Z2353" s="203">
        <v>2.366593346430499E-2</v>
      </c>
      <c r="AA2353" s="200">
        <v>2.3631495835294558E-2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55549</v>
      </c>
      <c r="Y2354" s="202">
        <f>_xll.qlInterestRateIndexValueDate(IborIndex,X2354,Trigger)</f>
        <v>55551</v>
      </c>
      <c r="Z2354" s="203">
        <v>2.3659493543582322E-2</v>
      </c>
      <c r="AA2354" s="200">
        <v>2.362553742888629E-2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55556</v>
      </c>
      <c r="Y2355" s="202">
        <f>_xll.qlInterestRateIndexValueDate(IborIndex,X2355,Trigger)</f>
        <v>55558</v>
      </c>
      <c r="Z2355" s="203">
        <v>2.3653373110979814E-2</v>
      </c>
      <c r="AA2355" s="200">
        <v>2.361956038906321E-2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55563</v>
      </c>
      <c r="Y2356" s="202">
        <f>_xll.qlInterestRateIndexValueDate(IborIndex,X2356,Trigger)</f>
        <v>55565</v>
      </c>
      <c r="Z2356" s="203">
        <v>2.3647233945292889E-2</v>
      </c>
      <c r="AA2356" s="200">
        <v>2.3613564715825319E-2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55570</v>
      </c>
      <c r="Y2357" s="202">
        <f>_xll.qlInterestRateIndexValueDate(IborIndex,X2357,Trigger)</f>
        <v>55572</v>
      </c>
      <c r="Z2357" s="203">
        <v>2.3641076046605924E-2</v>
      </c>
      <c r="AA2357" s="200">
        <v>2.3607550409172617E-2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55577</v>
      </c>
      <c r="Y2358" s="202">
        <f>_xll.qlInterestRateIndexValueDate(IborIndex,X2358,Trigger)</f>
        <v>55579</v>
      </c>
      <c r="Z2358" s="203">
        <v>2.3636216582930761E-2</v>
      </c>
      <c r="AA2358" s="200">
        <v>2.360151746918504E-2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55584</v>
      </c>
      <c r="Y2359" s="202">
        <f>_xll.qlInterestRateIndexValueDate(IborIndex,X2359,Trigger)</f>
        <v>55586</v>
      </c>
      <c r="Z2359" s="203">
        <v>2.3630014242844978E-2</v>
      </c>
      <c r="AA2359" s="200">
        <v>2.3595465896022461E-2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55591</v>
      </c>
      <c r="Y2360" s="202">
        <f>_xll.qlInterestRateIndexValueDate(IborIndex,X2360,Trigger)</f>
        <v>55593</v>
      </c>
      <c r="Z2360" s="203">
        <v>2.3623793165565274E-2</v>
      </c>
      <c r="AA2360" s="200">
        <v>2.3589395689285197E-2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55598</v>
      </c>
      <c r="Y2361" s="202">
        <f>_xll.qlInterestRateIndexValueDate(IborIndex,X2361,Trigger)</f>
        <v>55600</v>
      </c>
      <c r="Z2361" s="203">
        <v>2.3617553351184338E-2</v>
      </c>
      <c r="AA2361" s="200">
        <v>2.3583306849213059E-2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55605</v>
      </c>
      <c r="Y2362" s="202">
        <f>_xll.qlInterestRateIndexValueDate(IborIndex,X2362,Trigger)</f>
        <v>55607</v>
      </c>
      <c r="Z2362" s="203">
        <v>2.3610328099831202E-2</v>
      </c>
      <c r="AA2362" s="200">
        <v>2.3577199375806046E-2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55612</v>
      </c>
      <c r="Y2363" s="202">
        <f>_xll.qlInterestRateIndexValueDate(IborIndex,X2363,Trigger)</f>
        <v>55614</v>
      </c>
      <c r="Z2363" s="203">
        <v>2.360405605688114E-2</v>
      </c>
      <c r="AA2363" s="200">
        <v>2.3571073269064158E-2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55619</v>
      </c>
      <c r="Y2364" s="202">
        <f>_xll.qlInterestRateIndexValueDate(IborIndex,X2364,Trigger)</f>
        <v>55621</v>
      </c>
      <c r="Z2364" s="203">
        <v>2.3597765280431053E-2</v>
      </c>
      <c r="AA2364" s="200">
        <v>2.3564928528907458E-2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55626</v>
      </c>
      <c r="Y2365" s="202">
        <f>_xll.qlInterestRateIndexValueDate(IborIndex,X2365,Trigger)</f>
        <v>55632</v>
      </c>
      <c r="Z2365" s="203">
        <v>2.3587841925475715E-2</v>
      </c>
      <c r="AA2365" s="200">
        <v>2.3557000769178771E-2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55633</v>
      </c>
      <c r="Y2366" s="202">
        <f>_xll.qlInterestRateIndexValueDate(IborIndex,X2366,Trigger)</f>
        <v>55635</v>
      </c>
      <c r="Z2366" s="203">
        <v>2.3585127527383048E-2</v>
      </c>
      <c r="AA2366" s="200">
        <v>2.355258314866937E-2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55640</v>
      </c>
      <c r="Y2367" s="202">
        <f>_xll.qlInterestRateIndexValueDate(IborIndex,X2367,Trigger)</f>
        <v>55642</v>
      </c>
      <c r="Z2367" s="203">
        <v>2.3579720990858127E-2</v>
      </c>
      <c r="AA2367" s="200">
        <v>2.3545495181576115E-2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55647</v>
      </c>
      <c r="Y2368" s="202">
        <f>_xll.qlInterestRateIndexValueDate(IborIndex,X2368,Trigger)</f>
        <v>55649</v>
      </c>
      <c r="Z2368" s="203">
        <v>2.3573350019323969E-2</v>
      </c>
      <c r="AA2368" s="200">
        <v>2.3540163234851974E-2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55654</v>
      </c>
      <c r="Y2369" s="202">
        <f>_xll.qlInterestRateIndexValueDate(IborIndex,X2369,Trigger)</f>
        <v>55656</v>
      </c>
      <c r="Z2369" s="203">
        <v>2.3566960311422455E-2</v>
      </c>
      <c r="AA2369" s="200">
        <v>2.3533925328020899E-2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55661</v>
      </c>
      <c r="Y2370" s="202">
        <f>_xll.qlInterestRateIndexValueDate(IborIndex,X2370,Trigger)</f>
        <v>55663</v>
      </c>
      <c r="Z2370" s="203">
        <v>2.3560859773563023E-2</v>
      </c>
      <c r="AA2370" s="200">
        <v>2.3526773475071039E-2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55668</v>
      </c>
      <c r="Y2371" s="202">
        <f>_xll.qlInterestRateIndexValueDate(IborIndex,X2371,Trigger)</f>
        <v>55670</v>
      </c>
      <c r="Z2371" s="203">
        <v>2.3553205314749786E-2</v>
      </c>
      <c r="AA2371" s="200">
        <v>2.3521393614194253E-2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55675</v>
      </c>
      <c r="Y2372" s="202">
        <f>_xll.qlInterestRateIndexValueDate(IborIndex,X2372,Trigger)</f>
        <v>55677</v>
      </c>
      <c r="Z2372" s="203">
        <v>2.3547678770452635E-2</v>
      </c>
      <c r="AA2372" s="200">
        <v>2.3515099807118744E-2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55682</v>
      </c>
      <c r="Y2373" s="202">
        <f>_xll.qlInterestRateIndexValueDate(IborIndex,X2373,Trigger)</f>
        <v>55684</v>
      </c>
      <c r="Z2373" s="203">
        <v>2.3541214118020543E-2</v>
      </c>
      <c r="AA2373" s="200">
        <v>2.3508787366788297E-2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55689</v>
      </c>
      <c r="Y2374" s="202">
        <f>_xll.qlInterestRateIndexValueDate(IborIndex,X2374,Trigger)</f>
        <v>55691</v>
      </c>
      <c r="Z2374" s="203">
        <v>2.353473072969051E-2</v>
      </c>
      <c r="AA2374" s="200">
        <v>2.3502456293122975E-2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55696</v>
      </c>
      <c r="Y2375" s="202">
        <f>_xll.qlInterestRateIndexValueDate(IborIndex,X2375,Trigger)</f>
        <v>55698</v>
      </c>
      <c r="Z2375" s="203">
        <v>2.3528228605557779E-2</v>
      </c>
      <c r="AA2375" s="200">
        <v>2.3496106586042842E-2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55703</v>
      </c>
      <c r="Y2376" s="202">
        <f>_xll.qlInterestRateIndexValueDate(IborIndex,X2376,Trigger)</f>
        <v>55705</v>
      </c>
      <c r="Z2376" s="203">
        <v>2.3521707745717598E-2</v>
      </c>
      <c r="AA2376" s="200">
        <v>2.348973824570777E-2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55710</v>
      </c>
      <c r="Y2377" s="202">
        <f>_xll.qlInterestRateIndexValueDate(IborIndex,X2377,Trigger)</f>
        <v>55712</v>
      </c>
      <c r="Z2377" s="203">
        <v>2.3515463729803572E-2</v>
      </c>
      <c r="AA2377" s="200">
        <v>2.3483351272037822E-2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55717</v>
      </c>
      <c r="Y2378" s="202">
        <f>_xll.qlInterestRateIndexValueDate(IborIndex,X2378,Trigger)</f>
        <v>55719</v>
      </c>
      <c r="Z2378" s="203">
        <v>2.3508609819292443E-2</v>
      </c>
      <c r="AA2378" s="200">
        <v>2.3476945665033E-2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55724</v>
      </c>
      <c r="Y2379" s="202">
        <f>_xll.qlInterestRateIndexValueDate(IborIndex,X2379,Trigger)</f>
        <v>55726</v>
      </c>
      <c r="Z2379" s="203">
        <v>2.3502032752900505E-2</v>
      </c>
      <c r="AA2379" s="200">
        <v>2.347052142453343E-2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55731</v>
      </c>
      <c r="Y2380" s="202">
        <f>_xll.qlInterestRateIndexValueDate(IborIndex,X2380,Trigger)</f>
        <v>55733</v>
      </c>
      <c r="Z2380" s="203">
        <v>2.3495436951180386E-2</v>
      </c>
      <c r="AA2380" s="200">
        <v>2.3464078550858858E-2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55738</v>
      </c>
      <c r="Y2381" s="202">
        <f>_xll.qlInterestRateIndexValueDate(IborIndex,X2381,Trigger)</f>
        <v>55740</v>
      </c>
      <c r="Z2381" s="203">
        <v>2.3489110925792176E-2</v>
      </c>
      <c r="AA2381" s="200">
        <v>2.3457617043769474E-2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55745</v>
      </c>
      <c r="Y2382" s="202">
        <f>_xll.qlInterestRateIndexValueDate(IborIndex,X2382,Trigger)</f>
        <v>55747</v>
      </c>
      <c r="Z2382" s="203">
        <v>2.3482189142151881E-2</v>
      </c>
      <c r="AA2382" s="200">
        <v>2.3451136903265279E-2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55752</v>
      </c>
      <c r="Y2383" s="202">
        <f>_xll.qlInterestRateIndexValueDate(IborIndex,X2383,Trigger)</f>
        <v>55754</v>
      </c>
      <c r="Z2383" s="203">
        <v>2.3475537135033978E-2</v>
      </c>
      <c r="AA2383" s="200">
        <v>2.3443708212242953E-2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55759</v>
      </c>
      <c r="Y2384" s="202">
        <f>_xll.qlInterestRateIndexValueDate(IborIndex,X2384,Trigger)</f>
        <v>55761</v>
      </c>
      <c r="Z2384" s="203">
        <v>2.3468015855020685E-2</v>
      </c>
      <c r="AA2384" s="200">
        <v>2.3438120722412137E-2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55766</v>
      </c>
      <c r="Y2385" s="202">
        <f>_xll.qlInterestRateIndexValueDate(IborIndex,X2385,Trigger)</f>
        <v>55768</v>
      </c>
      <c r="Z2385" s="203">
        <v>2.3461331695987825E-2</v>
      </c>
      <c r="AA2385" s="200">
        <v>2.3431584681983253E-2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55773</v>
      </c>
      <c r="Y2386" s="202">
        <f>_xll.qlInterestRateIndexValueDate(IborIndex,X2386,Trigger)</f>
        <v>55775</v>
      </c>
      <c r="Z2386" s="203">
        <v>2.3454628805469155E-2</v>
      </c>
      <c r="AA2386" s="200">
        <v>2.3425030008059622E-2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55780</v>
      </c>
      <c r="Y2387" s="202">
        <f>_xll.qlInterestRateIndexValueDate(IborIndex,X2387,Trigger)</f>
        <v>55782</v>
      </c>
      <c r="Z2387" s="203">
        <v>2.3447907183561295E-2</v>
      </c>
      <c r="AA2387" s="200">
        <v>2.3418456701040924E-2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55787</v>
      </c>
      <c r="Y2388" s="202">
        <f>_xll.qlInterestRateIndexValueDate(IborIndex,X2388,Trigger)</f>
        <v>55789</v>
      </c>
      <c r="Z2388" s="203">
        <v>2.3441166830356481E-2</v>
      </c>
      <c r="AA2388" s="200">
        <v>2.3411864760527479E-2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55794</v>
      </c>
      <c r="Y2389" s="202">
        <f>_xll.qlInterestRateIndexValueDate(IborIndex,X2389,Trigger)</f>
        <v>55796</v>
      </c>
      <c r="Z2389" s="203">
        <v>2.3435231662022066E-2</v>
      </c>
      <c r="AA2389" s="200">
        <v>2.3405254186759095E-2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55801</v>
      </c>
      <c r="Y2390" s="202">
        <f>_xll.qlInterestRateIndexValueDate(IborIndex,X2390,Trigger)</f>
        <v>55803</v>
      </c>
      <c r="Z2390" s="203">
        <v>2.3428448512384341E-2</v>
      </c>
      <c r="AA2390" s="200">
        <v>2.3398624979575899E-2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55808</v>
      </c>
      <c r="Y2391" s="202">
        <f>_xll.qlInterestRateIndexValueDate(IborIndex,X2391,Trigger)</f>
        <v>55810</v>
      </c>
      <c r="Z2391" s="203">
        <v>2.3421917393913402E-2</v>
      </c>
      <c r="AA2391" s="200">
        <v>2.3391977139137765E-2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55815</v>
      </c>
      <c r="Y2392" s="202">
        <f>_xll.qlInterestRateIndexValueDate(IborIndex,X2392,Trigger)</f>
        <v>55817</v>
      </c>
      <c r="Z2392" s="203">
        <v>2.3414826010451046E-2</v>
      </c>
      <c r="AA2392" s="200">
        <v>2.3385310665364756E-2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55822</v>
      </c>
      <c r="Y2393" s="202">
        <f>_xll.qlInterestRateIndexValueDate(IborIndex,X2393,Trigger)</f>
        <v>55824</v>
      </c>
      <c r="Z2393" s="203">
        <v>2.3407986658355317E-2</v>
      </c>
      <c r="AA2393" s="200">
        <v>2.3378625558176935E-2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55829</v>
      </c>
      <c r="Y2394" s="202">
        <f>_xll.qlInterestRateIndexValueDate(IborIndex,X2394,Trigger)</f>
        <v>55831</v>
      </c>
      <c r="Z2394" s="203">
        <v>2.3401128572306473E-2</v>
      </c>
      <c r="AA2394" s="200">
        <v>2.3371921817734176E-2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55836</v>
      </c>
      <c r="Y2395" s="202">
        <f>_xll.qlInterestRateIndexValueDate(IborIndex,X2395,Trigger)</f>
        <v>55838</v>
      </c>
      <c r="Z2395" s="203">
        <v>2.3394515389068844E-2</v>
      </c>
      <c r="AA2395" s="200">
        <v>2.3365199443956541E-2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55843</v>
      </c>
      <c r="Y2396" s="202">
        <f>_xll.qlInterestRateIndexValueDate(IborIndex,X2396,Trigger)</f>
        <v>55845</v>
      </c>
      <c r="Z2396" s="203">
        <v>2.3387356198747433E-2</v>
      </c>
      <c r="AA2396" s="200">
        <v>2.3358458436844032E-2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55850</v>
      </c>
      <c r="Y2397" s="202">
        <f>_xll.qlInterestRateIndexValueDate(IborIndex,X2397,Trigger)</f>
        <v>55852</v>
      </c>
      <c r="Z2397" s="203">
        <v>2.3379660759049653E-2</v>
      </c>
      <c r="AA2397" s="200">
        <v>2.3351698796316711E-2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55857</v>
      </c>
      <c r="Y2398" s="202">
        <f>_xll.qlInterestRateIndexValueDate(IborIndex,X2398,Trigger)</f>
        <v>55859</v>
      </c>
      <c r="Z2398" s="203">
        <v>2.3372474182136393E-2</v>
      </c>
      <c r="AA2398" s="200">
        <v>2.3344920522614387E-2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55864</v>
      </c>
      <c r="Y2399" s="202">
        <f>_xll.qlInterestRateIndexValueDate(IborIndex,X2399,Trigger)</f>
        <v>55866</v>
      </c>
      <c r="Z2399" s="203">
        <v>2.3365529578400768E-2</v>
      </c>
      <c r="AA2399" s="200">
        <v>2.3338123615577189E-2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55871</v>
      </c>
      <c r="Y2400" s="202">
        <f>_xll.qlInterestRateIndexValueDate(IborIndex,X2400,Trigger)</f>
        <v>55873</v>
      </c>
      <c r="Z2400" s="203">
        <v>2.3358566245601509E-2</v>
      </c>
      <c r="AA2400" s="200">
        <v>2.333184476797534E-2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55880</v>
      </c>
      <c r="Y2401" s="202">
        <f>_xll.qlInterestRateIndexValueDate(IborIndex,X2401,Trigger)</f>
        <v>55884</v>
      </c>
      <c r="Z2401" s="203">
        <v>2.3347586025368905E-2</v>
      </c>
      <c r="AA2401" s="200">
        <v>2.3322070889415514E-2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55887</v>
      </c>
      <c r="Y2402" s="202">
        <f>_xll.qlInterestRateIndexValueDate(IborIndex,X2402,Trigger)</f>
        <v>55891</v>
      </c>
      <c r="Z2402" s="203">
        <v>2.3340825269034624E-2</v>
      </c>
      <c r="AA2402" s="200">
        <v>2.3315659726987903E-2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55894</v>
      </c>
      <c r="Y2403" s="202">
        <f>_xll.qlInterestRateIndexValueDate(IborIndex,X2403,Trigger)</f>
        <v>55898</v>
      </c>
      <c r="Z2403" s="203">
        <v>2.3333544311050503E-2</v>
      </c>
      <c r="AA2403" s="200">
        <v>2.3308782962709884E-2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55901</v>
      </c>
      <c r="Y2404" s="202">
        <f>_xll.qlInterestRateIndexValueDate(IborIndex,X2404,Trigger)</f>
        <v>55905</v>
      </c>
      <c r="Z2404" s="203">
        <v>2.3326495360918464E-2</v>
      </c>
      <c r="AA2404" s="200">
        <v>2.3301887565176926E-2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55908</v>
      </c>
      <c r="Y2405" s="202">
        <f>_xll.qlInterestRateIndexValueDate(IborIndex,X2405,Trigger)</f>
        <v>55912</v>
      </c>
      <c r="Z2405" s="203">
        <v>2.3319427682267246E-2</v>
      </c>
      <c r="AA2405" s="200">
        <v>2.329497353438903E-2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55915</v>
      </c>
      <c r="Y2406" s="202">
        <f>_xll.qlInterestRateIndexValueDate(IborIndex,X2406,Trigger)</f>
        <v>55919</v>
      </c>
      <c r="Z2406" s="203">
        <v>2.3312584836234457E-2</v>
      </c>
      <c r="AA2406" s="200">
        <v>2.3288040870186322E-2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55922</v>
      </c>
      <c r="Y2407" s="202">
        <f>_xll.qlInterestRateIndexValueDate(IborIndex,X2407,Trigger)</f>
        <v>55926</v>
      </c>
      <c r="Z2407" s="203">
        <v>2.3305236139805174E-2</v>
      </c>
      <c r="AA2407" s="200">
        <v>2.3281089572808611E-2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55929</v>
      </c>
      <c r="Y2408" s="202">
        <f>_xll.qlInterestRateIndexValueDate(IborIndex,X2408,Trigger)</f>
        <v>55933</v>
      </c>
      <c r="Z2408" s="203">
        <v>2.3298112276194161E-2</v>
      </c>
      <c r="AA2408" s="200">
        <v>2.3274119642016089E-2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55936</v>
      </c>
      <c r="Y2409" s="202">
        <f>_xll.qlInterestRateIndexValueDate(IborIndex,X2409,Trigger)</f>
        <v>55940</v>
      </c>
      <c r="Z2409" s="203">
        <v>2.3291207852761411E-2</v>
      </c>
      <c r="AA2409" s="200">
        <v>2.3267131077968628E-2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55943</v>
      </c>
      <c r="Y2410" s="202">
        <f>_xll.qlInterestRateIndexValueDate(IborIndex,X2410,Trigger)</f>
        <v>55947</v>
      </c>
      <c r="Z2410" s="203">
        <v>2.3284280940348411E-2</v>
      </c>
      <c r="AA2410" s="200">
        <v>2.3260123880506356E-2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55950</v>
      </c>
      <c r="Y2411" s="202">
        <f>_xll.qlInterestRateIndexValueDate(IborIndex,X2411,Trigger)</f>
        <v>55954</v>
      </c>
      <c r="Z2411" s="203">
        <v>2.3277097290973058E-2</v>
      </c>
      <c r="AA2411" s="200">
        <v>2.3253098049709209E-2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55957</v>
      </c>
      <c r="Y2412" s="202">
        <f>_xll.qlInterestRateIndexValueDate(IborIndex,X2412,Trigger)</f>
        <v>55961</v>
      </c>
      <c r="Z2412" s="203">
        <v>2.3269894911660975E-2</v>
      </c>
      <c r="AA2412" s="200">
        <v>2.3246053585816995E-2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55964</v>
      </c>
      <c r="Y2413" s="202">
        <f>_xll.qlInterestRateIndexValueDate(IborIndex,X2413,Trigger)</f>
        <v>55968</v>
      </c>
      <c r="Z2413" s="203">
        <v>2.3262673802515552E-2</v>
      </c>
      <c r="AA2413" s="200">
        <v>2.3238990488430034E-2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55971</v>
      </c>
      <c r="Y2414" s="202">
        <f>_xll.qlInterestRateIndexValueDate(IborIndex,X2414,Trigger)</f>
        <v>55975</v>
      </c>
      <c r="Z2414" s="203">
        <v>2.3255204966697338E-2</v>
      </c>
      <c r="AA2414" s="200">
        <v>2.3232879726869271E-2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55982</v>
      </c>
      <c r="Y2415" s="202">
        <f>_xll.qlInterestRateIndexValueDate(IborIndex,X2415,Trigger)</f>
        <v>55984</v>
      </c>
      <c r="Z2415" s="203">
        <v>2.3245871402476054E-2</v>
      </c>
      <c r="AA2415" s="200">
        <v>2.3220742677008133E-2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55989</v>
      </c>
      <c r="Y2416" s="202">
        <f>_xll.qlInterestRateIndexValueDate(IborIndex,X2416,Trigger)</f>
        <v>55991</v>
      </c>
      <c r="Z2416" s="203">
        <v>2.3238590559693753E-2</v>
      </c>
      <c r="AA2416" s="200">
        <v>2.3213613032053715E-2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55996</v>
      </c>
      <c r="Y2417" s="202">
        <f>_xll.qlInterestRateIndexValueDate(IborIndex,X2417,Trigger)</f>
        <v>55998</v>
      </c>
      <c r="Z2417" s="203">
        <v>2.3231290988573888E-2</v>
      </c>
      <c r="AA2417" s="200">
        <v>2.3206464753924294E-2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56003</v>
      </c>
      <c r="Y2418" s="202">
        <f>_xll.qlInterestRateIndexValueDate(IborIndex,X2418,Trigger)</f>
        <v>56005</v>
      </c>
      <c r="Z2418" s="203">
        <v>2.322419394234513E-2</v>
      </c>
      <c r="AA2418" s="200">
        <v>2.3198272476907533E-2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56010</v>
      </c>
      <c r="Y2419" s="202">
        <f>_xll.qlInterestRateIndexValueDate(IborIndex,X2419,Trigger)</f>
        <v>56012</v>
      </c>
      <c r="Z2419" s="203">
        <v>2.3216855105192367E-2</v>
      </c>
      <c r="AA2419" s="200">
        <v>2.3192112297740763E-2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56017</v>
      </c>
      <c r="Y2420" s="202">
        <f>_xll.qlInterestRateIndexValueDate(IborIndex,X2420,Trigger)</f>
        <v>56019</v>
      </c>
      <c r="Z2420" s="203">
        <v>2.320949753896305E-2</v>
      </c>
      <c r="AA2420" s="200">
        <v>2.3184908119606717E-2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56024</v>
      </c>
      <c r="Y2421" s="202">
        <f>_xll.qlInterestRateIndexValueDate(IborIndex,X2421,Trigger)</f>
        <v>56026</v>
      </c>
      <c r="Z2421" s="203">
        <v>2.3202121243763189E-2</v>
      </c>
      <c r="AA2421" s="200">
        <v>2.3176651956893224E-2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56031</v>
      </c>
      <c r="Y2422" s="202">
        <f>_xll.qlInterestRateIndexValueDate(IborIndex,X2422,Trigger)</f>
        <v>56033</v>
      </c>
      <c r="Z2422" s="203">
        <v>2.3194726219697911E-2</v>
      </c>
      <c r="AA2422" s="200">
        <v>2.3170443863653745E-2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56038</v>
      </c>
      <c r="Y2423" s="202">
        <f>_xll.qlInterestRateIndexValueDate(IborIndex,X2423,Trigger)</f>
        <v>56040</v>
      </c>
      <c r="Z2423" s="203">
        <v>2.318731246687409E-2</v>
      </c>
      <c r="AA2423" s="200">
        <v>2.316318378559501E-2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56045</v>
      </c>
      <c r="Y2424" s="202">
        <f>_xll.qlInterestRateIndexValueDate(IborIndex,X2424,Trigger)</f>
        <v>56047</v>
      </c>
      <c r="Z2424" s="203">
        <v>2.3179879985395987E-2</v>
      </c>
      <c r="AA2424" s="200">
        <v>2.3155905074281335E-2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56052</v>
      </c>
      <c r="Y2425" s="202">
        <f>_xll.qlInterestRateIndexValueDate(IborIndex,X2425,Trigger)</f>
        <v>56054</v>
      </c>
      <c r="Z2425" s="203">
        <v>2.317242877536874E-2</v>
      </c>
      <c r="AA2425" s="200">
        <v>2.3148607729792658E-2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56059</v>
      </c>
      <c r="Y2426" s="202">
        <f>_xll.qlInterestRateIndexValueDate(IborIndex,X2426,Trigger)</f>
        <v>56061</v>
      </c>
      <c r="Z2426" s="203">
        <v>2.3164958836901822E-2</v>
      </c>
      <c r="AA2426" s="200">
        <v>2.314129175188917E-2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56066</v>
      </c>
      <c r="Y2427" s="202">
        <f>_xll.qlInterestRateIndexValueDate(IborIndex,X2427,Trigger)</f>
        <v>56068</v>
      </c>
      <c r="Z2427" s="203">
        <v>2.31574701700995E-2</v>
      </c>
      <c r="AA2427" s="200">
        <v>2.3133957140730743E-2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56073</v>
      </c>
      <c r="Y2428" s="202">
        <f>_xll.qlInterestRateIndexValueDate(IborIndex,X2428,Trigger)</f>
        <v>56075</v>
      </c>
      <c r="Z2428" s="203">
        <v>2.3149962775070382E-2</v>
      </c>
      <c r="AA2428" s="200">
        <v>2.3126603896317377E-2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56080</v>
      </c>
      <c r="Y2429" s="202">
        <f>_xll.qlInterestRateIndexValueDate(IborIndex,X2429,Trigger)</f>
        <v>56082</v>
      </c>
      <c r="Z2429" s="203">
        <v>2.3142436651920475E-2</v>
      </c>
      <c r="AA2429" s="200">
        <v>2.3119232018569136E-2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56087</v>
      </c>
      <c r="Y2430" s="202">
        <f>_xll.qlInterestRateIndexValueDate(IborIndex,X2430,Trigger)</f>
        <v>56089</v>
      </c>
      <c r="Z2430" s="203">
        <v>2.3134891800756643E-2</v>
      </c>
      <c r="AA2430" s="200">
        <v>2.3111841507565956E-2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56094</v>
      </c>
      <c r="Y2431" s="202">
        <f>_xll.qlInterestRateIndexValueDate(IborIndex,X2431,Trigger)</f>
        <v>56096</v>
      </c>
      <c r="Z2431" s="203">
        <v>2.3127328221688365E-2</v>
      </c>
      <c r="AA2431" s="200">
        <v>2.3104432363147964E-2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56101</v>
      </c>
      <c r="Y2432" s="202">
        <f>_xll.qlInterestRateIndexValueDate(IborIndex,X2432,Trigger)</f>
        <v>56103</v>
      </c>
      <c r="Z2432" s="203">
        <v>2.3119745914822513E-2</v>
      </c>
      <c r="AA2432" s="200">
        <v>2.3097004585634906E-2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56108</v>
      </c>
      <c r="Y2433" s="202">
        <f>_xll.qlInterestRateIndexValueDate(IborIndex,X2433,Trigger)</f>
        <v>56110</v>
      </c>
      <c r="Z2433" s="203">
        <v>2.3112144880268568E-2</v>
      </c>
      <c r="AA2433" s="200">
        <v>2.3089558174786973E-2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56115</v>
      </c>
      <c r="Y2434" s="202">
        <f>_xll.qlInterestRateIndexValueDate(IborIndex,X2434,Trigger)</f>
        <v>56117</v>
      </c>
      <c r="Z2434" s="203">
        <v>2.3104525118133396E-2</v>
      </c>
      <c r="AA2434" s="200">
        <v>2.3081025174640502E-2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56122</v>
      </c>
      <c r="Y2435" s="202">
        <f>_xll.qlInterestRateIndexValueDate(IborIndex,X2435,Trigger)</f>
        <v>56124</v>
      </c>
      <c r="Z2435" s="203">
        <v>2.3096886628527349E-2</v>
      </c>
      <c r="AA2435" s="200">
        <v>2.3074609453086481E-2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56129</v>
      </c>
      <c r="Y2436" s="202">
        <f>_xll.qlInterestRateIndexValueDate(IborIndex,X2436,Trigger)</f>
        <v>56131</v>
      </c>
      <c r="Z2436" s="203">
        <v>2.3089040891757374E-2</v>
      </c>
      <c r="AA2436" s="200">
        <v>2.3067107142393795E-2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56136</v>
      </c>
      <c r="Y2437" s="202">
        <f>_xll.qlInterestRateIndexValueDate(IborIndex,X2437,Trigger)</f>
        <v>56138</v>
      </c>
      <c r="Z2437" s="203">
        <v>2.3081366775880106E-2</v>
      </c>
      <c r="AA2437" s="200">
        <v>2.3059586198446169E-2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56143</v>
      </c>
      <c r="Y2438" s="202">
        <f>_xll.qlInterestRateIndexValueDate(IborIndex,X2438,Trigger)</f>
        <v>56145</v>
      </c>
      <c r="Z2438" s="203">
        <v>2.3073673933885912E-2</v>
      </c>
      <c r="AA2438" s="200">
        <v>2.3052046621003797E-2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56150</v>
      </c>
      <c r="Y2439" s="202">
        <f>_xll.qlInterestRateIndexValueDate(IborIndex,X2439,Trigger)</f>
        <v>56152</v>
      </c>
      <c r="Z2439" s="203">
        <v>2.3066693491440304E-2</v>
      </c>
      <c r="AA2439" s="200">
        <v>2.3044488410466357E-2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56157</v>
      </c>
      <c r="Y2440" s="202">
        <f>_xll.qlInterestRateIndexValueDate(IborIndex,X2440,Trigger)</f>
        <v>56159</v>
      </c>
      <c r="Z2440" s="203">
        <v>2.3058413272248265E-2</v>
      </c>
      <c r="AA2440" s="200">
        <v>2.3036911566673979E-2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56164</v>
      </c>
      <c r="Y2441" s="202">
        <f>_xll.qlInterestRateIndexValueDate(IborIndex,X2441,Trigger)</f>
        <v>56166</v>
      </c>
      <c r="Z2441" s="203">
        <v>2.30506624201125E-2</v>
      </c>
      <c r="AA2441" s="200">
        <v>2.3029316089466789E-2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56171</v>
      </c>
      <c r="Y2442" s="202">
        <f>_xll.qlInterestRateIndexValueDate(IborIndex,X2442,Trigger)</f>
        <v>56173</v>
      </c>
      <c r="Z2442" s="203">
        <v>2.3042892841275676E-2</v>
      </c>
      <c r="AA2442" s="200">
        <v>2.3021701979084597E-2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56178</v>
      </c>
      <c r="Y2443" s="202">
        <f>_xll.qlInterestRateIndexValueDate(IborIndex,X2443,Trigger)</f>
        <v>56180</v>
      </c>
      <c r="Z2443" s="203">
        <v>2.3035104535845532E-2</v>
      </c>
      <c r="AA2443" s="200">
        <v>2.3014069235367529E-2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56185</v>
      </c>
      <c r="Y2444" s="202">
        <f>_xll.qlInterestRateIndexValueDate(IborIndex,X2444,Trigger)</f>
        <v>56187</v>
      </c>
      <c r="Z2444" s="203">
        <v>2.3027297503935888E-2</v>
      </c>
      <c r="AA2444" s="200">
        <v>2.3006417858395523E-2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56192</v>
      </c>
      <c r="Y2445" s="202">
        <f>_xll.qlInterestRateIndexValueDate(IborIndex,X2445,Trigger)</f>
        <v>56194</v>
      </c>
      <c r="Z2445" s="203">
        <v>2.3019471745657098E-2</v>
      </c>
      <c r="AA2445" s="200">
        <v>2.2998747848088641E-2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56199</v>
      </c>
      <c r="Y2446" s="202">
        <f>_xll.qlInterestRateIndexValueDate(IborIndex,X2446,Trigger)</f>
        <v>56201</v>
      </c>
      <c r="Z2446" s="203">
        <v>2.3011627261122977E-2</v>
      </c>
      <c r="AA2446" s="200">
        <v>2.2991059204686692E-2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56206</v>
      </c>
      <c r="Y2447" s="202">
        <f>_xll.qlInterestRateIndexValueDate(IborIndex,X2447,Trigger)</f>
        <v>56208</v>
      </c>
      <c r="Z2447" s="203">
        <v>2.3003764050443003E-2</v>
      </c>
      <c r="AA2447" s="200">
        <v>2.2983351927869933E-2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56213</v>
      </c>
      <c r="Y2448" s="202">
        <f>_xll.qlInterestRateIndexValueDate(IborIndex,X2448,Trigger)</f>
        <v>56216</v>
      </c>
      <c r="Z2448" s="203">
        <v>2.2994588344792118E-2</v>
      </c>
      <c r="AA2448" s="200">
        <v>2.2974520795324693E-2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56220</v>
      </c>
      <c r="Y2449" s="202">
        <f>_xll.qlInterestRateIndexValueDate(IborIndex,X2449,Trigger)</f>
        <v>56222</v>
      </c>
      <c r="Z2449" s="203">
        <v>2.2987651939241793E-2</v>
      </c>
      <c r="AA2449" s="200">
        <v>2.2967881474471596E-2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56227</v>
      </c>
      <c r="Y2450" s="202">
        <f>_xll.qlInterestRateIndexValueDate(IborIndex,X2450,Trigger)</f>
        <v>56229</v>
      </c>
      <c r="Z2450" s="203">
        <v>2.2979736233804893E-2</v>
      </c>
      <c r="AA2450" s="200">
        <v>2.2960118297969956E-2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56234</v>
      </c>
      <c r="Y2451" s="202">
        <f>_xll.qlInterestRateIndexValueDate(IborIndex,X2451,Trigger)</f>
        <v>56236</v>
      </c>
      <c r="Z2451" s="203">
        <v>2.2971801804692937E-2</v>
      </c>
      <c r="AA2451" s="200">
        <v>2.295233648813344E-2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56241</v>
      </c>
      <c r="Y2452" s="202">
        <f>_xll.qlInterestRateIndexValueDate(IborIndex,X2452,Trigger)</f>
        <v>56247</v>
      </c>
      <c r="Z2452" s="203">
        <v>2.2959611935897687E-2</v>
      </c>
      <c r="AA2452" s="200">
        <v>2.2942476614336016E-2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56248</v>
      </c>
      <c r="Y2453" s="202">
        <f>_xll.qlInterestRateIndexValueDate(IborIndex,X2453,Trigger)</f>
        <v>56251</v>
      </c>
      <c r="Z2453" s="203">
        <v>2.2954736408009602E-2</v>
      </c>
      <c r="AA2453" s="200">
        <v>2.293559843670856E-2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56255</v>
      </c>
      <c r="Y2454" s="202">
        <f>_xll.qlInterestRateIndexValueDate(IborIndex,X2454,Trigger)</f>
        <v>56257</v>
      </c>
      <c r="Z2454" s="203">
        <v>2.2947886176428511E-2</v>
      </c>
      <c r="AA2454" s="200">
        <v>2.2928879259014323E-2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56262</v>
      </c>
      <c r="Y2455" s="202">
        <f>_xll.qlInterestRateIndexValueDate(IborIndex,X2455,Trigger)</f>
        <v>56264</v>
      </c>
      <c r="Z2455" s="203">
        <v>2.2939876853733665E-2</v>
      </c>
      <c r="AA2455" s="200">
        <v>2.2921022916158051E-2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56269</v>
      </c>
      <c r="Y2456" s="202">
        <f>_xll.qlInterestRateIndexValueDate(IborIndex,X2456,Trigger)</f>
        <v>56271</v>
      </c>
      <c r="Z2456" s="203">
        <v>2.2931848807922428E-2</v>
      </c>
      <c r="AA2456" s="200">
        <v>2.2913147939966905E-2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56276</v>
      </c>
      <c r="Y2457" s="202">
        <f>_xll.qlInterestRateIndexValueDate(IborIndex,X2457,Trigger)</f>
        <v>56278</v>
      </c>
      <c r="Z2457" s="203">
        <v>2.2923802039106711E-2</v>
      </c>
      <c r="AA2457" s="200">
        <v>2.2905254330600755E-2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56283</v>
      </c>
      <c r="Y2458" s="202">
        <f>_xll.qlInterestRateIndexValueDate(IborIndex,X2458,Trigger)</f>
        <v>56285</v>
      </c>
      <c r="Z2458" s="203">
        <v>2.291558814599336E-2</v>
      </c>
      <c r="AA2458" s="200">
        <v>2.289734208789973E-2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56290</v>
      </c>
      <c r="Y2459" s="202">
        <f>_xll.qlInterestRateIndexValueDate(IborIndex,X2459,Trigger)</f>
        <v>56292</v>
      </c>
      <c r="Z2459" s="203">
        <v>2.2907505781789832E-2</v>
      </c>
      <c r="AA2459" s="200">
        <v>2.2889411211943766E-2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56297</v>
      </c>
      <c r="Y2460" s="202">
        <f>_xll.qlInterestRateIndexValueDate(IborIndex,X2460,Trigger)</f>
        <v>56299</v>
      </c>
      <c r="Z2460" s="203">
        <v>2.2899404695919393E-2</v>
      </c>
      <c r="AA2460" s="200">
        <v>2.28814617028128E-2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56304</v>
      </c>
      <c r="Y2461" s="202">
        <f>_xll.qlInterestRateIndexValueDate(IborIndex,X2461,Trigger)</f>
        <v>56306</v>
      </c>
      <c r="Z2461" s="203">
        <v>2.2891284888491611E-2</v>
      </c>
      <c r="AA2461" s="200">
        <v>2.2873493560426894E-2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56311</v>
      </c>
      <c r="Y2462" s="202">
        <f>_xll.qlInterestRateIndexValueDate(IborIndex,X2462,Trigger)</f>
        <v>56313</v>
      </c>
      <c r="Z2462" s="203">
        <v>2.2883568829850005E-2</v>
      </c>
      <c r="AA2462" s="200">
        <v>2.2865506784706113E-2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56318</v>
      </c>
      <c r="Y2463" s="202">
        <f>_xll.qlInterestRateIndexValueDate(IborIndex,X2463,Trigger)</f>
        <v>56320</v>
      </c>
      <c r="Z2463" s="203">
        <v>2.2875406016304906E-2</v>
      </c>
      <c r="AA2463" s="200">
        <v>2.2857501375730394E-2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56325</v>
      </c>
      <c r="Y2464" s="202">
        <f>_xll.qlInterestRateIndexValueDate(IborIndex,X2464,Trigger)</f>
        <v>56327</v>
      </c>
      <c r="Z2464" s="203">
        <v>2.2867224478561092E-2</v>
      </c>
      <c r="AA2464" s="200">
        <v>2.2849477333579671E-2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56332</v>
      </c>
      <c r="Y2465" s="202">
        <f>_xll.qlInterestRateIndexValueDate(IborIndex,X2465,Trigger)</f>
        <v>56334</v>
      </c>
      <c r="Z2465" s="203">
        <v>2.2859024216733258E-2</v>
      </c>
      <c r="AA2465" s="200">
        <v>2.2839133328487193E-2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56339</v>
      </c>
      <c r="Y2466" s="202">
        <f>_xll.qlInterestRateIndexValueDate(IborIndex,X2466,Trigger)</f>
        <v>56341</v>
      </c>
      <c r="Z2466" s="203">
        <v>2.2850672002857463E-2</v>
      </c>
      <c r="AA2466" s="200">
        <v>2.2833373349593344E-2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56346</v>
      </c>
      <c r="Y2467" s="202">
        <f>_xll.qlInterestRateIndexValueDate(IborIndex,X2467,Trigger)</f>
        <v>56348</v>
      </c>
      <c r="Z2467" s="203">
        <v>2.2842436151806648E-2</v>
      </c>
      <c r="AA2467" s="200">
        <v>2.2825293407597869E-2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56353</v>
      </c>
      <c r="Y2468" s="202">
        <f>_xll.qlInterestRateIndexValueDate(IborIndex,X2468,Trigger)</f>
        <v>56355</v>
      </c>
      <c r="Z2468" s="203">
        <v>2.2834181578012043E-2</v>
      </c>
      <c r="AA2468" s="200">
        <v>2.2817194832507326E-2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56360</v>
      </c>
      <c r="Y2469" s="202">
        <f>_xll.qlInterestRateIndexValueDate(IborIndex,X2469,Trigger)</f>
        <v>56362</v>
      </c>
      <c r="Z2469" s="203">
        <v>2.2825908281593105E-2</v>
      </c>
      <c r="AA2469" s="200">
        <v>2.2809077624081908E-2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56367</v>
      </c>
      <c r="Y2470" s="202">
        <f>_xll.qlInterestRateIndexValueDate(IborIndex,X2470,Trigger)</f>
        <v>56369</v>
      </c>
      <c r="Z2470" s="203">
        <v>2.2817742050464364E-2</v>
      </c>
      <c r="AA2470" s="200">
        <v>2.2799777998212534E-2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56374</v>
      </c>
      <c r="Y2471" s="202">
        <f>_xll.qlInterestRateIndexValueDate(IborIndex,X2471,Trigger)</f>
        <v>56376</v>
      </c>
      <c r="Z2471" s="203">
        <v>2.2809429446609544E-2</v>
      </c>
      <c r="AA2471" s="200">
        <v>2.2792787307466256E-2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56381</v>
      </c>
      <c r="Y2472" s="202">
        <f>_xll.qlInterestRateIndexValueDate(IborIndex,X2472,Trigger)</f>
        <v>56383</v>
      </c>
      <c r="Z2472" s="203">
        <v>2.2801098119496127E-2</v>
      </c>
      <c r="AA2472" s="200">
        <v>2.2784614199355957E-2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56388</v>
      </c>
      <c r="Y2473" s="202">
        <f>_xll.qlInterestRateIndexValueDate(IborIndex,X2473,Trigger)</f>
        <v>56390</v>
      </c>
      <c r="Z2473" s="203">
        <v>2.279274806924576E-2</v>
      </c>
      <c r="AA2473" s="200">
        <v>2.277525068818953E-2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56395</v>
      </c>
      <c r="Y2474" s="202">
        <f>_xll.qlInterestRateIndexValueDate(IborIndex,X2474,Trigger)</f>
        <v>56397</v>
      </c>
      <c r="Z2474" s="203">
        <v>2.2784379295975734E-2</v>
      </c>
      <c r="AA2474" s="200">
        <v>2.2768212083370543E-2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56402</v>
      </c>
      <c r="Y2475" s="202">
        <f>_xll.qlInterestRateIndexValueDate(IborIndex,X2475,Trigger)</f>
        <v>56404</v>
      </c>
      <c r="Z2475" s="203">
        <v>2.2775991799805956E-2</v>
      </c>
      <c r="AA2475" s="200">
        <v>2.2759983075655299E-2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56409</v>
      </c>
      <c r="Y2476" s="202">
        <f>_xll.qlInterestRateIndexValueDate(IborIndex,X2476,Trigger)</f>
        <v>56411</v>
      </c>
      <c r="Z2476" s="203">
        <v>2.2767585580856328E-2</v>
      </c>
      <c r="AA2476" s="200">
        <v>2.2751735434525244E-2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56416</v>
      </c>
      <c r="Y2477" s="202">
        <f>_xll.qlInterestRateIndexValueDate(IborIndex,X2477,Trigger)</f>
        <v>56418</v>
      </c>
      <c r="Z2477" s="203">
        <v>2.2759160639245889E-2</v>
      </c>
      <c r="AA2477" s="200">
        <v>2.2743469160220187E-2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56423</v>
      </c>
      <c r="Y2478" s="202">
        <f>_xll.qlInterestRateIndexValueDate(IborIndex,X2478,Trigger)</f>
        <v>56425</v>
      </c>
      <c r="Z2478" s="203">
        <v>2.2750716975098017E-2</v>
      </c>
      <c r="AA2478" s="200">
        <v>2.2735184252580254E-2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56430</v>
      </c>
      <c r="Y2479" s="202">
        <f>_xll.qlInterestRateIndexValueDate(IborIndex,X2479,Trigger)</f>
        <v>56432</v>
      </c>
      <c r="Z2479" s="203">
        <v>2.2742254588529142E-2</v>
      </c>
      <c r="AA2479" s="200">
        <v>2.272688071192519E-2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56437</v>
      </c>
      <c r="Y2480" s="202">
        <f>_xll.qlInterestRateIndexValueDate(IborIndex,X2480,Trigger)</f>
        <v>56439</v>
      </c>
      <c r="Z2480" s="203">
        <v>2.2733773479662638E-2</v>
      </c>
      <c r="AA2480" s="200">
        <v>2.2718558537935252E-2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56444</v>
      </c>
      <c r="Y2481" s="202">
        <f>_xll.qlInterestRateIndexValueDate(IborIndex,X2481,Trigger)</f>
        <v>56446</v>
      </c>
      <c r="Z2481" s="203">
        <v>2.2725273648618413E-2</v>
      </c>
      <c r="AA2481" s="200">
        <v>2.2710217730610438E-2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56451</v>
      </c>
      <c r="Y2482" s="202">
        <f>_xll.qlInterestRateIndexValueDate(IborIndex,X2482,Trigger)</f>
        <v>56453</v>
      </c>
      <c r="Z2482" s="203">
        <v>2.2716755095520718E-2</v>
      </c>
      <c r="AA2482" s="200">
        <v>2.2701858290190557E-2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56458</v>
      </c>
      <c r="Y2483" s="202">
        <f>_xll.qlInterestRateIndexValueDate(IborIndex,X2483,Trigger)</f>
        <v>56460</v>
      </c>
      <c r="Z2483" s="203">
        <v>2.2708217820487715E-2</v>
      </c>
      <c r="AA2483" s="200">
        <v>2.2693480216595674E-2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56465</v>
      </c>
      <c r="Y2484" s="202">
        <f>_xll.qlInterestRateIndexValueDate(IborIndex,X2484,Trigger)</f>
        <v>56467</v>
      </c>
      <c r="Z2484" s="203">
        <v>2.2699661823642785E-2</v>
      </c>
      <c r="AA2484" s="200">
        <v>2.2685083509665915E-2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56472</v>
      </c>
      <c r="Y2485" s="202">
        <f>_xll.qlInterestRateIndexValueDate(IborIndex,X2485,Trigger)</f>
        <v>56474</v>
      </c>
      <c r="Z2485" s="203">
        <v>2.2691087105107571E-2</v>
      </c>
      <c r="AA2485" s="200">
        <v>2.2676668169481218E-2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56479</v>
      </c>
      <c r="Y2486" s="202">
        <f>_xll.qlInterestRateIndexValueDate(IborIndex,X2486,Trigger)</f>
        <v>56481</v>
      </c>
      <c r="Z2486" s="203">
        <v>2.2682493665004581E-2</v>
      </c>
      <c r="AA2486" s="200">
        <v>2.2668234196201453E-2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56486</v>
      </c>
      <c r="Y2487" s="202">
        <f>_xll.qlInterestRateIndexValueDate(IborIndex,X2487,Trigger)</f>
        <v>56488</v>
      </c>
      <c r="Z2487" s="203">
        <v>2.2673881503457196E-2</v>
      </c>
      <c r="AA2487" s="200">
        <v>2.2658572553275746E-2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56493</v>
      </c>
      <c r="Y2488" s="202">
        <f>_xll.qlInterestRateIndexValueDate(IborIndex,X2488,Trigger)</f>
        <v>56495</v>
      </c>
      <c r="Z2488" s="203">
        <v>2.2665158507766965E-2</v>
      </c>
      <c r="AA2488" s="200">
        <v>2.2651310349797171E-2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56500</v>
      </c>
      <c r="Y2489" s="202">
        <f>_xll.qlInterestRateIndexValueDate(IborIndex,X2489,Trigger)</f>
        <v>56502</v>
      </c>
      <c r="Z2489" s="203">
        <v>2.2656510783726814E-2</v>
      </c>
      <c r="AA2489" s="200">
        <v>2.264282047675259E-2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56507</v>
      </c>
      <c r="Y2490" s="202">
        <f>_xll.qlInterestRateIndexValueDate(IborIndex,X2490,Trigger)</f>
        <v>56509</v>
      </c>
      <c r="Z2490" s="203">
        <v>2.264784433957109E-2</v>
      </c>
      <c r="AA2490" s="200">
        <v>2.2634311970612941E-2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56514</v>
      </c>
      <c r="Y2491" s="202">
        <f>_xll.qlInterestRateIndexValueDate(IborIndex,X2491,Trigger)</f>
        <v>56516</v>
      </c>
      <c r="Z2491" s="203">
        <v>2.2639159175421905E-2</v>
      </c>
      <c r="AA2491" s="200">
        <v>2.2625784831218354E-2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56521</v>
      </c>
      <c r="Y2492" s="202">
        <f>_xll.qlInterestRateIndexValueDate(IborIndex,X2492,Trigger)</f>
        <v>56523</v>
      </c>
      <c r="Z2492" s="203">
        <v>2.2630792582482965E-2</v>
      </c>
      <c r="AA2492" s="200">
        <v>2.2617239058488892E-2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56528</v>
      </c>
      <c r="Y2493" s="202">
        <f>_xll.qlInterestRateIndexValueDate(IborIndex,X2493,Trigger)</f>
        <v>56530</v>
      </c>
      <c r="Z2493" s="203">
        <v>2.2621815390740305E-2</v>
      </c>
      <c r="AA2493" s="200">
        <v>2.2608674652744298E-2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56535</v>
      </c>
      <c r="Y2494" s="202">
        <f>_xll.qlInterestRateIndexValueDate(IborIndex,X2494,Trigger)</f>
        <v>56537</v>
      </c>
      <c r="Z2494" s="203">
        <v>2.2613072182537653E-2</v>
      </c>
      <c r="AA2494" s="200">
        <v>2.260009161366483E-2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56542</v>
      </c>
      <c r="Y2495" s="202">
        <f>_xll.qlInterestRateIndexValueDate(IborIndex,X2495,Trigger)</f>
        <v>56544</v>
      </c>
      <c r="Z2495" s="203">
        <v>2.2604310253881991E-2</v>
      </c>
      <c r="AA2495" s="200">
        <v>2.2591489941410359E-2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56549</v>
      </c>
      <c r="Y2496" s="202">
        <f>_xll.qlInterestRateIndexValueDate(IborIndex,X2496,Trigger)</f>
        <v>56551</v>
      </c>
      <c r="Z2496" s="203">
        <v>2.259552960489843E-2</v>
      </c>
      <c r="AA2496" s="200">
        <v>2.2582869635900948E-2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56556</v>
      </c>
      <c r="Y2497" s="202">
        <f>_xll.qlInterestRateIndexValueDate(IborIndex,X2497,Trigger)</f>
        <v>56558</v>
      </c>
      <c r="Z2497" s="203">
        <v>2.2586730689884441E-2</v>
      </c>
      <c r="AA2497" s="200">
        <v>2.2574230697216535E-2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56563</v>
      </c>
      <c r="Y2498" s="202">
        <f>_xll.qlInterestRateIndexValueDate(IborIndex,X2498,Trigger)</f>
        <v>56565</v>
      </c>
      <c r="Z2498" s="203">
        <v>2.257791577982169E-2</v>
      </c>
      <c r="AA2498" s="200">
        <v>2.2565573125357119E-2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56570</v>
      </c>
      <c r="Y2499" s="202">
        <f>_xll.qlInterestRateIndexValueDate(IborIndex,X2499,Trigger)</f>
        <v>56572</v>
      </c>
      <c r="Z2499" s="203">
        <v>2.2569087599841598E-2</v>
      </c>
      <c r="AA2499" s="200">
        <v>2.2556896920242764E-2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56577</v>
      </c>
      <c r="Y2500" s="202">
        <f>_xll.qlInterestRateIndexValueDate(IborIndex,X2500,Trigger)</f>
        <v>56580</v>
      </c>
      <c r="Z2500" s="203">
        <v>2.2558913369562374E-2</v>
      </c>
      <c r="AA2500" s="200">
        <v>2.254695844108312E-2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56584</v>
      </c>
      <c r="Y2501" s="202">
        <f>_xll.qlInterestRateIndexValueDate(IborIndex,X2501,Trigger)</f>
        <v>56586</v>
      </c>
      <c r="Z2501" s="203">
        <v>2.2551258821535747E-2</v>
      </c>
      <c r="AA2501" s="200">
        <v>2.2539488610409109E-2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56591</v>
      </c>
      <c r="Y2502" s="202">
        <f>_xll.qlInterestRateIndexValueDate(IborIndex,X2502,Trigger)</f>
        <v>56593</v>
      </c>
      <c r="Z2502" s="203">
        <v>2.25424076170615E-2</v>
      </c>
      <c r="AA2502" s="200">
        <v>2.2530756505689808E-2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56598</v>
      </c>
      <c r="Y2503" s="202">
        <f>_xll.qlInterestRateIndexValueDate(IborIndex,X2503,Trigger)</f>
        <v>56600</v>
      </c>
      <c r="Z2503" s="203">
        <v>2.25335536103346E-2</v>
      </c>
      <c r="AA2503" s="200">
        <v>2.2522005767875442E-2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56605</v>
      </c>
      <c r="Y2504" s="202">
        <f>_xll.qlInterestRateIndexValueDate(IborIndex,X2504,Trigger)</f>
        <v>56607</v>
      </c>
      <c r="Z2504" s="203">
        <v>2.2524699586574215E-2</v>
      </c>
      <c r="AA2504" s="200">
        <v>2.2510727439764011E-2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56612</v>
      </c>
      <c r="Y2505" s="202">
        <f>_xll.qlInterestRateIndexValueDate(IborIndex,X2505,Trigger)</f>
        <v>56614</v>
      </c>
      <c r="Z2505" s="203">
        <v>2.2515848330980859E-2</v>
      </c>
      <c r="AA2505" s="200">
        <v>2.250319144217805E-2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56619</v>
      </c>
      <c r="Y2506" s="202">
        <f>_xll.qlInterestRateIndexValueDate(IborIndex,X2506,Trigger)</f>
        <v>56621</v>
      </c>
      <c r="Z2506" s="203">
        <v>2.2507002628723072E-2</v>
      </c>
      <c r="AA2506" s="200">
        <v>2.2495641754902707E-2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56626</v>
      </c>
      <c r="Y2507" s="202">
        <f>_xll.qlInterestRateIndexValueDate(IborIndex,X2507,Trigger)</f>
        <v>56628</v>
      </c>
      <c r="Z2507" s="203">
        <v>2.2498165264949854E-2</v>
      </c>
      <c r="AA2507" s="200">
        <v>2.2486816484228456E-2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56633</v>
      </c>
      <c r="Y2508" s="202">
        <f>_xll.qlInterestRateIndexValueDate(IborIndex,X2508,Trigger)</f>
        <v>56635</v>
      </c>
      <c r="Z2508" s="203">
        <v>2.2489339024784449E-2</v>
      </c>
      <c r="AA2508" s="200">
        <v>2.2477972580459138E-2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56640</v>
      </c>
      <c r="Y2509" s="202">
        <f>_xll.qlInterestRateIndexValueDate(IborIndex,X2509,Trigger)</f>
        <v>56642</v>
      </c>
      <c r="Z2509" s="203">
        <v>2.2480526693324343E-2</v>
      </c>
      <c r="AA2509" s="200">
        <v>2.246911452504996E-2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56647</v>
      </c>
      <c r="Y2510" s="202">
        <f>_xll.qlInterestRateIndexValueDate(IborIndex,X2510,Trigger)</f>
        <v>56649</v>
      </c>
      <c r="Z2510" s="203">
        <v>2.2471655804784021E-2</v>
      </c>
      <c r="AA2510" s="200">
        <v>2.2460268966284502E-2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56654</v>
      </c>
      <c r="Y2511" s="202">
        <f>_xll.qlInterestRateIndexValueDate(IborIndex,X2511,Trigger)</f>
        <v>56656</v>
      </c>
      <c r="Z2511" s="203">
        <v>2.2462876290591523E-2</v>
      </c>
      <c r="AA2511" s="200">
        <v>2.2451440385697907E-2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56661</v>
      </c>
      <c r="Y2512" s="202">
        <f>_xll.qlInterestRateIndexValueDate(IborIndex,X2512,Trigger)</f>
        <v>56663</v>
      </c>
      <c r="Z2512" s="203">
        <v>2.2454113866570993E-2</v>
      </c>
      <c r="AA2512" s="200">
        <v>2.2442628783529983E-2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56668</v>
      </c>
      <c r="Y2513" s="202">
        <f>_xll.qlInterestRateIndexValueDate(IborIndex,X2513,Trigger)</f>
        <v>56670</v>
      </c>
      <c r="Z2513" s="203">
        <v>2.2445368532612867E-2</v>
      </c>
      <c r="AA2513" s="200">
        <v>2.243383415938105E-2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56675</v>
      </c>
      <c r="Y2514" s="202">
        <f>_xll.qlInterestRateIndexValueDate(IborIndex,X2514,Trigger)</f>
        <v>56677</v>
      </c>
      <c r="Z2514" s="203">
        <v>2.2436873484009547E-2</v>
      </c>
      <c r="AA2514" s="200">
        <v>2.2425056513570851E-2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56682</v>
      </c>
      <c r="Y2515" s="202">
        <f>_xll.qlInterestRateIndexValueDate(IborIndex,X2515,Trigger)</f>
        <v>56684</v>
      </c>
      <c r="Z2515" s="203">
        <v>2.2428164368664998E-2</v>
      </c>
      <c r="AA2515" s="200">
        <v>2.2416295846099388E-2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56689</v>
      </c>
      <c r="Y2516" s="202">
        <f>_xll.qlInterestRateIndexValueDate(IborIndex,X2516,Trigger)</f>
        <v>56691</v>
      </c>
      <c r="Z2516" s="203">
        <v>2.2419472346840094E-2</v>
      </c>
      <c r="AA2516" s="200">
        <v>2.2407552156806787E-2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56696</v>
      </c>
      <c r="Y2517" s="202">
        <f>_xll.qlInterestRateIndexValueDate(IborIndex,X2517,Trigger)</f>
        <v>56698</v>
      </c>
      <c r="Z2517" s="203">
        <v>2.2410797418423615E-2</v>
      </c>
      <c r="AA2517" s="200">
        <v>2.2398825445772985E-2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56703</v>
      </c>
      <c r="Y2518" s="202">
        <f>_xll.qlInterestRateIndexValueDate(IborIndex,X2518,Trigger)</f>
        <v>56705</v>
      </c>
      <c r="Z2518" s="203">
        <v>2.2402059056833661E-2</v>
      </c>
      <c r="AA2518" s="200">
        <v>2.2390115712997982E-2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56710</v>
      </c>
      <c r="Y2519" s="202">
        <f>_xll.qlInterestRateIndexValueDate(IborIndex,X2519,Trigger)</f>
        <v>56712</v>
      </c>
      <c r="Z2519" s="203">
        <v>2.2393417630098163E-2</v>
      </c>
      <c r="AA2519" s="200">
        <v>2.2381422958481778E-2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56717</v>
      </c>
      <c r="Y2520" s="202">
        <f>_xll.qlInterestRateIndexValueDate(IborIndex,X2520,Trigger)</f>
        <v>56719</v>
      </c>
      <c r="Z2520" s="203">
        <v>2.2384793295178101E-2</v>
      </c>
      <c r="AA2520" s="200">
        <v>2.2370271507359263E-2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56724</v>
      </c>
      <c r="Y2521" s="202">
        <f>_xll.qlInterestRateIndexValueDate(IborIndex,X2521,Trigger)</f>
        <v>56726</v>
      </c>
      <c r="Z2521" s="203">
        <v>2.2376186051957524E-2</v>
      </c>
      <c r="AA2521" s="200">
        <v>2.2364088384065894E-2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56731</v>
      </c>
      <c r="Y2522" s="202">
        <f>_xll.qlInterestRateIndexValueDate(IborIndex,X2522,Trigger)</f>
        <v>56733</v>
      </c>
      <c r="Z2522" s="203">
        <v>2.236759590032663E-2</v>
      </c>
      <c r="AA2522" s="200">
        <v>2.2354213404511825E-2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56738</v>
      </c>
      <c r="Y2523" s="202">
        <f>_xll.qlInterestRateIndexValueDate(IborIndex,X2523,Trigger)</f>
        <v>56740</v>
      </c>
      <c r="Z2523" s="203">
        <v>2.2359106803201557E-2</v>
      </c>
      <c r="AA2523" s="200">
        <v>2.2346821722765142E-2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56745</v>
      </c>
      <c r="Y2524" s="202">
        <f>_xll.qlInterestRateIndexValueDate(IborIndex,X2524,Trigger)</f>
        <v>56747</v>
      </c>
      <c r="Z2524" s="203">
        <v>2.2350551525495289E-2</v>
      </c>
      <c r="AA2524" s="200">
        <v>2.2338213859462996E-2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56752</v>
      </c>
      <c r="Y2525" s="202">
        <f>_xll.qlInterestRateIndexValueDate(IborIndex,X2525,Trigger)</f>
        <v>56754</v>
      </c>
      <c r="Z2525" s="203">
        <v>2.2342013340302513E-2</v>
      </c>
      <c r="AA2525" s="200">
        <v>2.2329622974339713E-2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56759</v>
      </c>
      <c r="Y2526" s="202">
        <f>_xll.qlInterestRateIndexValueDate(IborIndex,X2526,Trigger)</f>
        <v>56761</v>
      </c>
      <c r="Z2526" s="203">
        <v>2.2333492247507671E-2</v>
      </c>
      <c r="AA2526" s="200">
        <v>2.2319825609580235E-2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56766</v>
      </c>
      <c r="Y2527" s="202">
        <f>_xll.qlInterestRateIndexValueDate(IborIndex,X2527,Trigger)</f>
        <v>56768</v>
      </c>
      <c r="Z2527" s="203">
        <v>2.2324988247003016E-2</v>
      </c>
      <c r="AA2527" s="200">
        <v>2.231249213894948E-2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56773</v>
      </c>
      <c r="Y2528" s="202">
        <f>_xll.qlInterestRateIndexValueDate(IborIndex,X2528,Trigger)</f>
        <v>56775</v>
      </c>
      <c r="Z2528" s="203">
        <v>2.2316501338676471E-2</v>
      </c>
      <c r="AA2528" s="200">
        <v>2.2303952188522658E-2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56780</v>
      </c>
      <c r="Y2529" s="202">
        <f>_xll.qlInterestRateIndexValueDate(IborIndex,X2529,Trigger)</f>
        <v>56782</v>
      </c>
      <c r="Z2529" s="203">
        <v>2.2308031522418555E-2</v>
      </c>
      <c r="AA2529" s="200">
        <v>2.2295429216354634E-2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56787</v>
      </c>
      <c r="Y2530" s="202">
        <f>_xll.qlInterestRateIndexValueDate(IborIndex,X2530,Trigger)</f>
        <v>56789</v>
      </c>
      <c r="Z2530" s="203">
        <v>2.2299578798117187E-2</v>
      </c>
      <c r="AA2530" s="200">
        <v>2.2286923222525346E-2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56794</v>
      </c>
      <c r="Y2531" s="202">
        <f>_xll.qlInterestRateIndexValueDate(IborIndex,X2531,Trigger)</f>
        <v>56796</v>
      </c>
      <c r="Z2531" s="203">
        <v>2.2291143165662886E-2</v>
      </c>
      <c r="AA2531" s="200">
        <v>2.2278434206794984E-2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56801</v>
      </c>
      <c r="Y2532" s="202">
        <f>_xll.qlInterestRateIndexValueDate(IborIndex,X2532,Trigger)</f>
        <v>56803</v>
      </c>
      <c r="Z2532" s="203">
        <v>2.2282724624947913E-2</v>
      </c>
      <c r="AA2532" s="200">
        <v>2.2269962169403357E-2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56808</v>
      </c>
      <c r="Y2533" s="202">
        <f>_xll.qlInterestRateIndexValueDate(IborIndex,X2533,Trigger)</f>
        <v>56810</v>
      </c>
      <c r="Z2533" s="203">
        <v>2.2274323175859312E-2</v>
      </c>
      <c r="AA2533" s="200">
        <v>2.2261507110270529E-2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56815</v>
      </c>
      <c r="Y2534" s="202">
        <f>_xll.qlInterestRateIndexValueDate(IborIndex,X2534,Trigger)</f>
        <v>56817</v>
      </c>
      <c r="Z2534" s="203">
        <v>2.2265938818290219E-2</v>
      </c>
      <c r="AA2534" s="200">
        <v>2.2253069029236627E-2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56822</v>
      </c>
      <c r="Y2535" s="202">
        <f>_xll.qlInterestRateIndexValueDate(IborIndex,X2535,Trigger)</f>
        <v>56824</v>
      </c>
      <c r="Z2535" s="203">
        <v>2.225757155213115E-2</v>
      </c>
      <c r="AA2535" s="200">
        <v>2.2244647926381589E-2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56829</v>
      </c>
      <c r="Y2536" s="202">
        <f>_xll.qlInterestRateIndexValueDate(IborIndex,X2536,Trigger)</f>
        <v>56831</v>
      </c>
      <c r="Z2536" s="203">
        <v>2.2249221377272633E-2</v>
      </c>
      <c r="AA2536" s="200">
        <v>2.2236243801865285E-2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56836</v>
      </c>
      <c r="Y2537" s="202">
        <f>_xll.qlInterestRateIndexValueDate(IborIndex,X2537,Trigger)</f>
        <v>56838</v>
      </c>
      <c r="Z2537" s="203">
        <v>2.2240888293605186E-2</v>
      </c>
      <c r="AA2537" s="200">
        <v>2.2227856655607781E-2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56843</v>
      </c>
      <c r="Y2538" s="202">
        <f>_xll.qlInterestRateIndexValueDate(IborIndex,X2538,Trigger)</f>
        <v>56845</v>
      </c>
      <c r="Z2538" s="203">
        <v>2.2232572301021936E-2</v>
      </c>
      <c r="AA2538" s="200">
        <v>2.2219486487529139E-2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56850</v>
      </c>
      <c r="Y2539" s="202">
        <f>_xll.qlInterestRateIndexValueDate(IborIndex,X2539,Trigger)</f>
        <v>56852</v>
      </c>
      <c r="Z2539" s="203">
        <v>2.2224273399413411E-2</v>
      </c>
      <c r="AA2539" s="200">
        <v>2.2209941370832098E-2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56857</v>
      </c>
      <c r="Y2540" s="202">
        <f>_xll.qlInterestRateIndexValueDate(IborIndex,X2540,Trigger)</f>
        <v>56859</v>
      </c>
      <c r="Z2540" s="203">
        <v>2.2215895707900338E-2</v>
      </c>
      <c r="AA2540" s="200">
        <v>2.2202797085988379E-2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56864</v>
      </c>
      <c r="Y2541" s="202">
        <f>_xll.qlInterestRateIndexValueDate(IborIndex,X2541,Trigger)</f>
        <v>56866</v>
      </c>
      <c r="Z2541" s="203">
        <v>2.2207630275719013E-2</v>
      </c>
      <c r="AA2541" s="200">
        <v>2.2194477852686134E-2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56871</v>
      </c>
      <c r="Y2542" s="202">
        <f>_xll.qlInterestRateIndexValueDate(IborIndex,X2542,Trigger)</f>
        <v>56873</v>
      </c>
      <c r="Z2542" s="203">
        <v>2.2199381932958555E-2</v>
      </c>
      <c r="AA2542" s="200">
        <v>2.2186175597482816E-2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56878</v>
      </c>
      <c r="Y2543" s="202">
        <f>_xll.qlInterestRateIndexValueDate(IborIndex,X2543,Trigger)</f>
        <v>56880</v>
      </c>
      <c r="Z2543" s="203">
        <v>2.2191150679511801E-2</v>
      </c>
      <c r="AA2543" s="200">
        <v>2.2177890320378424E-2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56885</v>
      </c>
      <c r="Y2544" s="202">
        <f>_xll.qlInterestRateIndexValueDate(IborIndex,X2544,Trigger)</f>
        <v>56887</v>
      </c>
      <c r="Z2544" s="203">
        <v>2.2182936515271576E-2</v>
      </c>
      <c r="AA2544" s="200">
        <v>2.2169622021692703E-2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56892</v>
      </c>
      <c r="Y2545" s="202">
        <f>_xll.qlInterestRateIndexValueDate(IborIndex,X2545,Trigger)</f>
        <v>56894</v>
      </c>
      <c r="Z2545" s="203">
        <v>2.2174838894205816E-2</v>
      </c>
      <c r="AA2545" s="200">
        <v>2.2161370701105909E-2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56899</v>
      </c>
      <c r="Y2546" s="202">
        <f>_xll.qlInterestRateIndexValueDate(IborIndex,X2546,Trigger)</f>
        <v>56901</v>
      </c>
      <c r="Z2546" s="203">
        <v>2.2166659626410581E-2</v>
      </c>
      <c r="AA2546" s="200">
        <v>2.2153136358777914E-2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56906</v>
      </c>
      <c r="Y2547" s="202">
        <f>_xll.qlInterestRateIndexValueDate(IborIndex,X2547,Trigger)</f>
        <v>56908</v>
      </c>
      <c r="Z2547" s="203">
        <v>2.2158497448732495E-2</v>
      </c>
      <c r="AA2547" s="200">
        <v>2.2144918994628782E-2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56913</v>
      </c>
      <c r="Y2548" s="202">
        <f>_xll.qlInterestRateIndexValueDate(IborIndex,X2548,Trigger)</f>
        <v>56915</v>
      </c>
      <c r="Z2548" s="203">
        <v>2.2150352361063816E-2</v>
      </c>
      <c r="AA2548" s="200">
        <v>2.2136718608738448E-2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56920</v>
      </c>
      <c r="Y2549" s="202">
        <f>_xll.qlInterestRateIndexValueDate(IborIndex,X2549,Trigger)</f>
        <v>56922</v>
      </c>
      <c r="Z2549" s="203">
        <v>2.2142224363301148E-2</v>
      </c>
      <c r="AA2549" s="200">
        <v>2.2128535201026978E-2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56927</v>
      </c>
      <c r="Y2550" s="202">
        <f>_xll.qlInterestRateIndexValueDate(IborIndex,X2550,Trigger)</f>
        <v>56930</v>
      </c>
      <c r="Z2550" s="203">
        <v>2.2133162692397491E-2</v>
      </c>
      <c r="AA2550" s="200">
        <v>2.2119203524795239E-2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56934</v>
      </c>
      <c r="Y2551" s="202">
        <f>_xll.qlInterestRateIndexValueDate(IborIndex,X2551,Trigger)</f>
        <v>56936</v>
      </c>
      <c r="Z2551" s="203">
        <v>2.2126019637065494E-2</v>
      </c>
      <c r="AA2551" s="200">
        <v>2.2112219320220561E-2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56941</v>
      </c>
      <c r="Y2552" s="202">
        <f>_xll.qlInterestRateIndexValueDate(IborIndex,X2552,Trigger)</f>
        <v>56944</v>
      </c>
      <c r="Z2552" s="203">
        <v>2.2116999930048564E-2</v>
      </c>
      <c r="AA2552" s="200">
        <v>2.210292645134615E-2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56948</v>
      </c>
      <c r="Y2553" s="202">
        <f>_xll.qlInterestRateIndexValueDate(IborIndex,X2553,Trigger)</f>
        <v>56950</v>
      </c>
      <c r="Z2553" s="203">
        <v>2.210977803406711E-2</v>
      </c>
      <c r="AA2553" s="200">
        <v>2.2095971352289467E-2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56955</v>
      </c>
      <c r="Y2554" s="202">
        <f>_xll.qlInterestRateIndexValueDate(IborIndex,X2554,Trigger)</f>
        <v>56957</v>
      </c>
      <c r="Z2554" s="203">
        <v>2.2101734756119255E-2</v>
      </c>
      <c r="AA2554" s="200">
        <v>2.2087872835712119E-2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56962</v>
      </c>
      <c r="Y2555" s="202">
        <f>_xll.qlInterestRateIndexValueDate(IborIndex,X2555,Trigger)</f>
        <v>56964</v>
      </c>
      <c r="Z2555" s="203">
        <v>2.2093708566228085E-2</v>
      </c>
      <c r="AA2555" s="200">
        <v>2.2079791297233697E-2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56969</v>
      </c>
      <c r="Y2556" s="202">
        <f>_xll.qlInterestRateIndexValueDate(IborIndex,X2556,Trigger)</f>
        <v>56971</v>
      </c>
      <c r="Z2556" s="203">
        <v>2.2085699464289069E-2</v>
      </c>
      <c r="AA2556" s="200">
        <v>2.2069425695336875E-2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56977</v>
      </c>
      <c r="Y2557" s="202">
        <f>_xll.qlInterestRateIndexValueDate(IborIndex,X2557,Trigger)</f>
        <v>56983</v>
      </c>
      <c r="Z2557" s="203">
        <v>2.207200933059953E-2</v>
      </c>
      <c r="AA2557" s="200">
        <v>2.2060235388661198E-2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56984</v>
      </c>
      <c r="Y2558" s="202">
        <f>_xll.qlInterestRateIndexValueDate(IborIndex,X2558,Trigger)</f>
        <v>56986</v>
      </c>
      <c r="Z2558" s="203">
        <v>2.206859464357672E-2</v>
      </c>
      <c r="AA2558" s="200">
        <v>2.2054502707851142E-2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56991</v>
      </c>
      <c r="Y2559" s="202">
        <f>_xll.qlInterestRateIndexValueDate(IborIndex,X2559,Trigger)</f>
        <v>56993</v>
      </c>
      <c r="Z2559" s="203">
        <v>2.2060639245962205E-2</v>
      </c>
      <c r="AA2559" s="200">
        <v>2.2046491507747845E-2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56998</v>
      </c>
      <c r="Y2560" s="202">
        <f>_xll.qlInterestRateIndexValueDate(IborIndex,X2560,Trigger)</f>
        <v>57000</v>
      </c>
      <c r="Z2560" s="203">
        <v>2.2052700935872933E-2</v>
      </c>
      <c r="AA2560" s="200">
        <v>2.2038497285823411E-2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57005</v>
      </c>
      <c r="Y2561" s="202">
        <f>_xll.qlInterestRateIndexValueDate(IborIndex,X2561,Trigger)</f>
        <v>57007</v>
      </c>
      <c r="Z2561" s="203">
        <v>2.2044779713208763E-2</v>
      </c>
      <c r="AA2561" s="200">
        <v>2.2030520041997903E-2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57012</v>
      </c>
      <c r="Y2562" s="202">
        <f>_xll.qlInterestRateIndexValueDate(IborIndex,X2562,Trigger)</f>
        <v>57014</v>
      </c>
      <c r="Z2562" s="203">
        <v>2.2036763715502339E-2</v>
      </c>
      <c r="AA2562" s="200">
        <v>2.2022559776351258E-2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57019</v>
      </c>
      <c r="Y2563" s="202">
        <f>_xll.qlInterestRateIndexValueDate(IborIndex,X2563,Trigger)</f>
        <v>57021</v>
      </c>
      <c r="Z2563" s="203">
        <v>2.2028875928314484E-2</v>
      </c>
      <c r="AA2563" s="200">
        <v>2.2014616488883476E-2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57026</v>
      </c>
      <c r="Y2564" s="202">
        <f>_xll.qlInterestRateIndexValueDate(IborIndex,X2564,Trigger)</f>
        <v>57028</v>
      </c>
      <c r="Z2564" s="203">
        <v>2.2021005227037982E-2</v>
      </c>
      <c r="AA2564" s="200">
        <v>2.2006690179754429E-2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57033</v>
      </c>
      <c r="Y2565" s="202">
        <f>_xll.qlInterestRateIndexValueDate(IborIndex,X2565,Trigger)</f>
        <v>57035</v>
      </c>
      <c r="Z2565" s="203">
        <v>2.2013151611574244E-2</v>
      </c>
      <c r="AA2565" s="200">
        <v>2.1998780848724309E-2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57040</v>
      </c>
      <c r="Y2566" s="202">
        <f>_xll.qlInterestRateIndexValueDate(IborIndex,X2566,Trigger)</f>
        <v>57042</v>
      </c>
      <c r="Z2566" s="203">
        <v>2.2005774839356056E-2</v>
      </c>
      <c r="AA2566" s="200">
        <v>2.1990888495793115E-2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57047</v>
      </c>
      <c r="Y2567" s="202">
        <f>_xll.qlInterestRateIndexValueDate(IborIndex,X2567,Trigger)</f>
        <v>57049</v>
      </c>
      <c r="Z2567" s="203">
        <v>2.1997958371625964E-2</v>
      </c>
      <c r="AA2567" s="200">
        <v>2.1983013121280592E-2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57054</v>
      </c>
      <c r="Y2568" s="202">
        <f>_xll.qlInterestRateIndexValueDate(IborIndex,X2568,Trigger)</f>
        <v>57056</v>
      </c>
      <c r="Z2568" s="203">
        <v>2.1990158994219071E-2</v>
      </c>
      <c r="AA2568" s="200">
        <v>2.197515472478706E-2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57061</v>
      </c>
      <c r="Y2569" s="202">
        <f>_xll.qlInterestRateIndexValueDate(IborIndex,X2569,Trigger)</f>
        <v>57063</v>
      </c>
      <c r="Z2569" s="203">
        <v>2.1982376707029929E-2</v>
      </c>
      <c r="AA2569" s="200">
        <v>2.1967313306552327E-2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57068</v>
      </c>
      <c r="Y2570" s="202">
        <f>_xll.qlInterestRateIndexValueDate(IborIndex,X2570,Trigger)</f>
        <v>57074</v>
      </c>
      <c r="Z2570" s="203">
        <v>2.1969945073275141E-2</v>
      </c>
      <c r="AA2570" s="200">
        <v>2.195725643058033E-2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57075</v>
      </c>
      <c r="Y2571" s="202">
        <f>_xll.qlInterestRateIndexValueDate(IborIndex,X2571,Trigger)</f>
        <v>57077</v>
      </c>
      <c r="Z2571" s="203">
        <v>2.1966507272574303E-2</v>
      </c>
      <c r="AA2571" s="200">
        <v>2.195168140461945E-2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57082</v>
      </c>
      <c r="Y2572" s="202">
        <f>_xll.qlInterestRateIndexValueDate(IborIndex,X2572,Trigger)</f>
        <v>57084</v>
      </c>
      <c r="Z2572" s="203">
        <v>2.1958774004894457E-2</v>
      </c>
      <c r="AA2572" s="200">
        <v>2.1943890920841369E-2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57089</v>
      </c>
      <c r="Y2573" s="202">
        <f>_xll.qlInterestRateIndexValueDate(IborIndex,X2573,Trigger)</f>
        <v>57091</v>
      </c>
      <c r="Z2573" s="203">
        <v>2.1951057823429248E-2</v>
      </c>
      <c r="AA2573" s="200">
        <v>2.1936117415242151E-2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57096</v>
      </c>
      <c r="Y2574" s="202">
        <f>_xll.qlInterestRateIndexValueDate(IborIndex,X2574,Trigger)</f>
        <v>57098</v>
      </c>
      <c r="Z2574" s="203">
        <v>2.1943721620744872E-2</v>
      </c>
      <c r="AA2574" s="200">
        <v>2.1927254198601531E-2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57103</v>
      </c>
      <c r="Y2575" s="202">
        <f>_xll.qlInterestRateIndexValueDate(IborIndex,X2575,Trigger)</f>
        <v>57105</v>
      </c>
      <c r="Z2575" s="203">
        <v>2.1936041872699714E-2</v>
      </c>
      <c r="AA2575" s="200">
        <v>2.1920621338740176E-2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57110</v>
      </c>
      <c r="Y2576" s="202">
        <f>_xll.qlInterestRateIndexValueDate(IborIndex,X2576,Trigger)</f>
        <v>57112</v>
      </c>
      <c r="Z2576" s="203">
        <v>2.1928379214153738E-2</v>
      </c>
      <c r="AA2576" s="200">
        <v>2.1912898767837419E-2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57117</v>
      </c>
      <c r="Y2577" s="202">
        <f>_xll.qlInterestRateIndexValueDate(IborIndex,X2577,Trigger)</f>
        <v>57119</v>
      </c>
      <c r="Z2577" s="203">
        <v>2.1920733645004888E-2</v>
      </c>
      <c r="AA2577" s="200">
        <v>2.1905193175033588E-2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57124</v>
      </c>
      <c r="Y2578" s="202">
        <f>_xll.qlInterestRateIndexValueDate(IborIndex,X2578,Trigger)</f>
        <v>57126</v>
      </c>
      <c r="Z2578" s="203">
        <v>2.1913229306425076E-2</v>
      </c>
      <c r="AA2578" s="200">
        <v>2.1896407572787879E-2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57131</v>
      </c>
      <c r="Y2579" s="202">
        <f>_xll.qlInterestRateIndexValueDate(IborIndex,X2579,Trigger)</f>
        <v>57133</v>
      </c>
      <c r="Z2579" s="203">
        <v>2.1905618674579921E-2</v>
      </c>
      <c r="AA2579" s="200">
        <v>2.1889832924042452E-2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57138</v>
      </c>
      <c r="Y2580" s="202">
        <f>_xll.qlInterestRateIndexValueDate(IborIndex,X2580,Trigger)</f>
        <v>57140</v>
      </c>
      <c r="Z2580" s="203">
        <v>2.1897899472919823E-2</v>
      </c>
      <c r="AA2580" s="200">
        <v>2.1882178265695273E-2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57145</v>
      </c>
      <c r="Y2581" s="202">
        <f>_xll.qlInterestRateIndexValueDate(IborIndex,X2581,Trigger)</f>
        <v>57147</v>
      </c>
      <c r="Z2581" s="203">
        <v>2.1890322260342442E-2</v>
      </c>
      <c r="AA2581" s="200">
        <v>2.1874540585606894E-2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57152</v>
      </c>
      <c r="Y2582" s="202">
        <f>_xll.qlInterestRateIndexValueDate(IborIndex,X2582,Trigger)</f>
        <v>57154</v>
      </c>
      <c r="Z2582" s="203">
        <v>2.1882762136655364E-2</v>
      </c>
      <c r="AA2582" s="200">
        <v>2.1866919883697378E-2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57159</v>
      </c>
      <c r="Y2583" s="202">
        <f>_xll.qlInterestRateIndexValueDate(IborIndex,X2583,Trigger)</f>
        <v>57161</v>
      </c>
      <c r="Z2583" s="203">
        <v>2.1874835728843339E-2</v>
      </c>
      <c r="AA2583" s="200">
        <v>2.1859316159966724E-2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57166</v>
      </c>
      <c r="Y2584" s="202">
        <f>_xll.qlInterestRateIndexValueDate(IborIndex,X2584,Trigger)</f>
        <v>57168</v>
      </c>
      <c r="Z2584" s="203">
        <v>2.1867821867536576E-2</v>
      </c>
      <c r="AA2584" s="200">
        <v>2.1851729414255061E-2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57173</v>
      </c>
      <c r="Y2585" s="202">
        <f>_xll.qlInterestRateIndexValueDate(IborIndex,X2585,Trigger)</f>
        <v>57175</v>
      </c>
      <c r="Z2585" s="203">
        <v>2.1860184297929942E-2</v>
      </c>
      <c r="AA2585" s="200">
        <v>2.1844159646962069E-2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57180</v>
      </c>
      <c r="Y2586" s="202">
        <f>_xll.qlInterestRateIndexValueDate(IborIndex,X2586,Trigger)</f>
        <v>57182</v>
      </c>
      <c r="Z2586" s="203">
        <v>2.1852692528800621E-2</v>
      </c>
      <c r="AA2586" s="200">
        <v>2.1836606857768004E-2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57187</v>
      </c>
      <c r="Y2587" s="202">
        <f>_xll.qlInterestRateIndexValueDate(IborIndex,X2587,Trigger)</f>
        <v>57189</v>
      </c>
      <c r="Z2587" s="203">
        <v>2.1845217848061579E-2</v>
      </c>
      <c r="AA2587" s="200">
        <v>2.1829071046672865E-2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57194</v>
      </c>
      <c r="Y2588" s="202">
        <f>_xll.qlInterestRateIndexValueDate(IborIndex,X2588,Trigger)</f>
        <v>57196</v>
      </c>
      <c r="Z2588" s="203">
        <v>2.183776025561162E-2</v>
      </c>
      <c r="AA2588" s="200">
        <v>2.1821552213676654E-2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57201</v>
      </c>
      <c r="Y2589" s="202">
        <f>_xll.qlInterestRateIndexValueDate(IborIndex,X2589,Trigger)</f>
        <v>57203</v>
      </c>
      <c r="Z2589" s="203">
        <v>2.1830319751352946E-2</v>
      </c>
      <c r="AA2589" s="200">
        <v>2.1814050359019177E-2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57208</v>
      </c>
      <c r="Y2590" s="202">
        <f>_xll.qlInterestRateIndexValueDate(IborIndex,X2590,Trigger)</f>
        <v>57210</v>
      </c>
      <c r="Z2590" s="203">
        <v>2.1822896335186918E-2</v>
      </c>
      <c r="AA2590" s="200">
        <v>2.1806565482380691E-2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57215</v>
      </c>
      <c r="Y2591" s="202">
        <f>_xll.qlInterestRateIndexValueDate(IborIndex,X2591,Trigger)</f>
        <v>57217</v>
      </c>
      <c r="Z2591" s="203">
        <v>2.1815490007014885E-2</v>
      </c>
      <c r="AA2591" s="200">
        <v>2.1798032127477995E-2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57222</v>
      </c>
      <c r="Y2592" s="202">
        <f>_xll.qlInterestRateIndexValueDate(IborIndex,X2592,Trigger)</f>
        <v>57224</v>
      </c>
      <c r="Z2592" s="203">
        <v>2.1807696625571235E-2</v>
      </c>
      <c r="AA2592" s="200">
        <v>2.1791646663800179E-2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57229</v>
      </c>
      <c r="Y2593" s="202">
        <f>_xll.qlInterestRateIndexValueDate(IborIndex,X2593,Trigger)</f>
        <v>57231</v>
      </c>
      <c r="Z2593" s="203">
        <v>2.1800322147827171E-2</v>
      </c>
      <c r="AA2593" s="200">
        <v>2.1784212721698282E-2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57236</v>
      </c>
      <c r="Y2594" s="202">
        <f>_xll.qlInterestRateIndexValueDate(IborIndex,X2594,Trigger)</f>
        <v>57238</v>
      </c>
      <c r="Z2594" s="203">
        <v>2.1792964754259816E-2</v>
      </c>
      <c r="AA2594" s="200">
        <v>2.1776795757855183E-2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57243</v>
      </c>
      <c r="Y2595" s="202">
        <f>_xll.qlInterestRateIndexValueDate(IborIndex,X2595,Trigger)</f>
        <v>57245</v>
      </c>
      <c r="Z2595" s="203">
        <v>2.1785624444769912E-2</v>
      </c>
      <c r="AA2595" s="200">
        <v>2.1769395772031075E-2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57250</v>
      </c>
      <c r="Y2596" s="202">
        <f>_xll.qlInterestRateIndexValueDate(IborIndex,X2596,Trigger)</f>
        <v>57252</v>
      </c>
      <c r="Z2596" s="203">
        <v>2.1778301219266102E-2</v>
      </c>
      <c r="AA2596" s="200">
        <v>2.176201276438583E-2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57257</v>
      </c>
      <c r="Y2597" s="202">
        <f>_xll.qlInterestRateIndexValueDate(IborIndex,X2597,Trigger)</f>
        <v>57259</v>
      </c>
      <c r="Z2597" s="203">
        <v>2.1771410880340226E-2</v>
      </c>
      <c r="AA2597" s="200">
        <v>2.1754646734999383E-2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57264</v>
      </c>
      <c r="Y2598" s="202">
        <f>_xll.qlInterestRateIndexValueDate(IborIndex,X2598,Trigger)</f>
        <v>57266</v>
      </c>
      <c r="Z2598" s="203">
        <v>2.1764263707729967E-2</v>
      </c>
      <c r="AA2598" s="200">
        <v>2.1747297683711864E-2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57271</v>
      </c>
      <c r="Y2599" s="202">
        <f>_xll.qlInterestRateIndexValueDate(IborIndex,X2599,Trigger)</f>
        <v>57273</v>
      </c>
      <c r="Z2599" s="203">
        <v>2.1756854537623507E-2</v>
      </c>
      <c r="AA2599" s="200">
        <v>2.1739965610523271E-2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57278</v>
      </c>
      <c r="Y2600" s="202">
        <f>_xll.qlInterestRateIndexValueDate(IborIndex,X2600,Trigger)</f>
        <v>57280</v>
      </c>
      <c r="Z2600" s="203">
        <v>2.1749601996984821E-2</v>
      </c>
      <c r="AA2600" s="200">
        <v>2.1732650515673413E-2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57285</v>
      </c>
      <c r="Y2601" s="202">
        <f>_xll.qlInterestRateIndexValueDate(IborIndex,X2601,Trigger)</f>
        <v>57287</v>
      </c>
      <c r="Z2601" s="203">
        <v>2.1742366543364745E-2</v>
      </c>
      <c r="AA2601" s="200">
        <v>2.1725352398842546E-2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57292</v>
      </c>
      <c r="Y2602" s="202">
        <f>_xll.qlInterestRateIndexValueDate(IborIndex,X2602,Trigger)</f>
        <v>57297</v>
      </c>
      <c r="Z2602" s="203">
        <v>2.1731774031973013E-2</v>
      </c>
      <c r="AA2602" s="200">
        <v>2.1717032483525855E-2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57299</v>
      </c>
      <c r="Y2603" s="202">
        <f>_xll.qlInterestRateIndexValueDate(IborIndex,X2603,Trigger)</f>
        <v>57301</v>
      </c>
      <c r="Z2603" s="203">
        <v>2.1728090362837859E-2</v>
      </c>
      <c r="AA2603" s="200">
        <v>2.1710807099637464E-2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57306</v>
      </c>
      <c r="Y2604" s="202">
        <f>_xll.qlInterestRateIndexValueDate(IborIndex,X2604,Trigger)</f>
        <v>57308</v>
      </c>
      <c r="Z2604" s="203">
        <v>2.1720762703655232E-2</v>
      </c>
      <c r="AA2604" s="200">
        <v>2.1703559917263249E-2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57313</v>
      </c>
      <c r="Y2605" s="202">
        <f>_xll.qlInterestRateIndexValueDate(IborIndex,X2605,Trigger)</f>
        <v>57315</v>
      </c>
      <c r="Z2605" s="203">
        <v>2.1713016234794935E-2</v>
      </c>
      <c r="AA2605" s="200">
        <v>2.1696329712987961E-2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57320</v>
      </c>
      <c r="Y2606" s="202">
        <f>_xll.qlInterestRateIndexValueDate(IborIndex,X2606,Trigger)</f>
        <v>57322</v>
      </c>
      <c r="Z2606" s="203">
        <v>2.1705863053991692E-2</v>
      </c>
      <c r="AA2606" s="200">
        <v>2.1689116486971471E-2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57327</v>
      </c>
      <c r="Y2607" s="202">
        <f>_xll.qlInterestRateIndexValueDate(IborIndex,X2607,Trigger)</f>
        <v>57329</v>
      </c>
      <c r="Z2607" s="203">
        <v>2.1698726954988423E-2</v>
      </c>
      <c r="AA2607" s="200">
        <v>2.1681920239053909E-2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57334</v>
      </c>
      <c r="Y2608" s="202">
        <f>_xll.qlInterestRateIndexValueDate(IborIndex,X2608,Trigger)</f>
        <v>57336</v>
      </c>
      <c r="Z2608" s="203">
        <v>2.169160793769187E-2</v>
      </c>
      <c r="AA2608" s="200">
        <v>2.16726928677069E-2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57341</v>
      </c>
      <c r="Y2609" s="202">
        <f>_xll.qlInterestRateIndexValueDate(IborIndex,X2609,Trigger)</f>
        <v>57343</v>
      </c>
      <c r="Z2609" s="203">
        <v>2.1684653887746815E-2</v>
      </c>
      <c r="AA2609" s="200">
        <v>2.1666556879109677E-2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57348</v>
      </c>
      <c r="Y2610" s="202">
        <f>_xll.qlInterestRateIndexValueDate(IborIndex,X2610,Trigger)</f>
        <v>57350</v>
      </c>
      <c r="Z2610" s="203">
        <v>2.1677421147856535E-2</v>
      </c>
      <c r="AA2610" s="200">
        <v>2.1660433364214526E-2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57355</v>
      </c>
      <c r="Y2611" s="202">
        <f>_xll.qlInterestRateIndexValueDate(IborIndex,X2611,Trigger)</f>
        <v>57357</v>
      </c>
      <c r="Z2611" s="203">
        <v>2.1670353375140117E-2</v>
      </c>
      <c r="AA2611" s="200">
        <v>2.1653305028852543E-2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57362</v>
      </c>
      <c r="Y2612" s="202">
        <f>_xll.qlInterestRateIndexValueDate(IborIndex,X2612,Trigger)</f>
        <v>57364</v>
      </c>
      <c r="Z2612" s="203">
        <v>2.1663302683767149E-2</v>
      </c>
      <c r="AA2612" s="200">
        <v>2.1646193671669423E-2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57369</v>
      </c>
      <c r="Y2613" s="202">
        <f>_xll.qlInterestRateIndexValueDate(IborIndex,X2613,Trigger)</f>
        <v>57371</v>
      </c>
      <c r="Z2613" s="203">
        <v>2.1656269073650591E-2</v>
      </c>
      <c r="AA2613" s="200">
        <v>2.1639099292585229E-2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57376</v>
      </c>
      <c r="Y2614" s="202">
        <f>_xll.qlInterestRateIndexValueDate(IborIndex,X2614,Trigger)</f>
        <v>57378</v>
      </c>
      <c r="Z2614" s="203">
        <v>2.1649100756643967E-2</v>
      </c>
      <c r="AA2614" s="200">
        <v>2.1632021891679898E-2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57383</v>
      </c>
      <c r="Y2615" s="202">
        <f>_xll.qlInterestRateIndexValueDate(IborIndex,X2615,Trigger)</f>
        <v>57385</v>
      </c>
      <c r="Z2615" s="203">
        <v>2.1642100508493831E-2</v>
      </c>
      <c r="AA2615" s="200">
        <v>2.1624961468873494E-2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57390</v>
      </c>
      <c r="Y2616" s="202">
        <f>_xll.qlInterestRateIndexValueDate(IborIndex,X2616,Trigger)</f>
        <v>57392</v>
      </c>
      <c r="Z2616" s="203">
        <v>2.1635117340179668E-2</v>
      </c>
      <c r="AA2616" s="200">
        <v>2.1617918024166016E-2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57397</v>
      </c>
      <c r="Y2617" s="202">
        <f>_xll.qlInterestRateIndexValueDate(IborIndex,X2617,Trigger)</f>
        <v>57399</v>
      </c>
      <c r="Z2617" s="203">
        <v>2.1628151251612559E-2</v>
      </c>
      <c r="AA2617" s="200">
        <v>2.1610891557717338E-2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57404</v>
      </c>
      <c r="Y2618" s="202">
        <f>_xll.qlInterestRateIndexValueDate(IborIndex,X2618,Trigger)</f>
        <v>57406</v>
      </c>
      <c r="Z2618" s="203">
        <v>2.1621978053274669E-2</v>
      </c>
      <c r="AA2618" s="200">
        <v>2.1603882069367586E-2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57411</v>
      </c>
      <c r="Y2619" s="202">
        <f>_xll.qlInterestRateIndexValueDate(IborIndex,X2619,Trigger)</f>
        <v>57413</v>
      </c>
      <c r="Z2619" s="203">
        <v>2.1615050149749772E-2</v>
      </c>
      <c r="AA2619" s="200">
        <v>2.1596889559116761E-2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57418</v>
      </c>
      <c r="Y2620" s="202">
        <f>_xll.qlInterestRateIndexValueDate(IborIndex,X2620,Trigger)</f>
        <v>57420</v>
      </c>
      <c r="Z2620" s="203">
        <v>2.1608139331454276E-2</v>
      </c>
      <c r="AA2620" s="200">
        <v>2.1589914027044799E-2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57425</v>
      </c>
      <c r="Y2621" s="202">
        <f>_xll.qlInterestRateIndexValueDate(IborIndex,X2621,Trigger)</f>
        <v>57427</v>
      </c>
      <c r="Z2621" s="203">
        <v>2.1601245598292934E-2</v>
      </c>
      <c r="AA2621" s="200">
        <v>2.1582955473071763E-2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57432</v>
      </c>
      <c r="Y2622" s="202">
        <f>_xll.qlInterestRateIndexValueDate(IborIndex,X2622,Trigger)</f>
        <v>57434</v>
      </c>
      <c r="Z2622" s="203">
        <v>2.159389353048103E-2</v>
      </c>
      <c r="AA2622" s="200">
        <v>2.1576013897357527E-2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57439</v>
      </c>
      <c r="Y2623" s="202">
        <f>_xll.qlInterestRateIndexValueDate(IborIndex,X2623,Trigger)</f>
        <v>57441</v>
      </c>
      <c r="Z2623" s="203">
        <v>2.1587031537647738E-2</v>
      </c>
      <c r="AA2623" s="200">
        <v>2.1569089299582345E-2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57446</v>
      </c>
      <c r="Y2624" s="202">
        <f>_xll.qlInterestRateIndexValueDate(IborIndex,X2624,Trigger)</f>
        <v>57448</v>
      </c>
      <c r="Z2624" s="203">
        <v>2.1580186626240828E-2</v>
      </c>
      <c r="AA2624" s="200">
        <v>2.1562181679906089E-2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57453</v>
      </c>
      <c r="Y2625" s="202">
        <f>_xll.qlInterestRateIndexValueDate(IborIndex,X2625,Trigger)</f>
        <v>57459</v>
      </c>
      <c r="Z2625" s="203">
        <v>2.1569464848132845E-2</v>
      </c>
      <c r="AA2625" s="200">
        <v>2.1553325402354773E-2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57460</v>
      </c>
      <c r="Y2626" s="202">
        <f>_xll.qlInterestRateIndexValueDate(IborIndex,X2626,Trigger)</f>
        <v>57462</v>
      </c>
      <c r="Z2626" s="203">
        <v>2.1566548047359187E-2</v>
      </c>
      <c r="AA2626" s="200">
        <v>2.154841737525004E-2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57467</v>
      </c>
      <c r="Y2627" s="202">
        <f>_xll.qlInterestRateIndexValueDate(IborIndex,X2627,Trigger)</f>
        <v>57469</v>
      </c>
      <c r="Z2627" s="203">
        <v>2.1560241982085851E-2</v>
      </c>
      <c r="AA2627" s="200">
        <v>2.1540582549501863E-2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57474</v>
      </c>
      <c r="Y2628" s="202">
        <f>_xll.qlInterestRateIndexValueDate(IborIndex,X2628,Trigger)</f>
        <v>57476</v>
      </c>
      <c r="Z2628" s="203">
        <v>2.155346784232778E-2</v>
      </c>
      <c r="AA2628" s="200">
        <v>2.1534720982989697E-2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57481</v>
      </c>
      <c r="Y2629" s="202">
        <f>_xll.qlInterestRateIndexValueDate(IborIndex,X2629,Trigger)</f>
        <v>57483</v>
      </c>
      <c r="Z2629" s="203">
        <v>2.1546710786977636E-2</v>
      </c>
      <c r="AA2629" s="200">
        <v>2.152789825412782E-2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57488</v>
      </c>
      <c r="Y2630" s="202">
        <f>_xll.qlInterestRateIndexValueDate(IborIndex,X2630,Trigger)</f>
        <v>57490</v>
      </c>
      <c r="Z2630" s="203">
        <v>2.1540135969775401E-2</v>
      </c>
      <c r="AA2630" s="200">
        <v>2.1520121639175827E-2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57495</v>
      </c>
      <c r="Y2631" s="202">
        <f>_xll.qlInterestRateIndexValueDate(IborIndex,X2631,Trigger)</f>
        <v>57497</v>
      </c>
      <c r="Z2631" s="203">
        <v>2.1533413902278239E-2</v>
      </c>
      <c r="AA2631" s="200">
        <v>2.1514303730540973E-2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57502</v>
      </c>
      <c r="Y2632" s="202">
        <f>_xll.qlInterestRateIndexValueDate(IborIndex,X2632,Trigger)</f>
        <v>57504</v>
      </c>
      <c r="Z2632" s="203">
        <v>2.1526542126492097E-2</v>
      </c>
      <c r="AA2632" s="200">
        <v>2.1507531935975877E-2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57509</v>
      </c>
      <c r="Y2633" s="202">
        <f>_xll.qlInterestRateIndexValueDate(IborIndex,X2633,Trigger)</f>
        <v>57511</v>
      </c>
      <c r="Z2633" s="203">
        <v>2.151985340788503E-2</v>
      </c>
      <c r="AA2633" s="200">
        <v>2.1500777119669578E-2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57516</v>
      </c>
      <c r="Y2634" s="202">
        <f>_xll.qlInterestRateIndexValueDate(IborIndex,X2634,Trigger)</f>
        <v>57518</v>
      </c>
      <c r="Z2634" s="203">
        <v>2.1513181773241991E-2</v>
      </c>
      <c r="AA2634" s="200">
        <v>2.1494039281302335E-2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57523</v>
      </c>
      <c r="Y2635" s="202">
        <f>_xll.qlInterestRateIndexValueDate(IborIndex,X2635,Trigger)</f>
        <v>57525</v>
      </c>
      <c r="Z2635" s="203">
        <v>2.1506019949949388E-2</v>
      </c>
      <c r="AA2635" s="200">
        <v>2.1487318421034018E-2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57530</v>
      </c>
      <c r="Y2636" s="202">
        <f>_xll.qlInterestRateIndexValueDate(IborIndex,X2636,Trigger)</f>
        <v>57532</v>
      </c>
      <c r="Z2636" s="203">
        <v>2.150005984215388E-2</v>
      </c>
      <c r="AA2636" s="200">
        <v>2.1480614539024501E-2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57537</v>
      </c>
      <c r="Y2637" s="202">
        <f>_xll.qlInterestRateIndexValueDate(IborIndex,X2637,Trigger)</f>
        <v>57539</v>
      </c>
      <c r="Z2637" s="203">
        <v>2.1493269372195652E-2</v>
      </c>
      <c r="AA2637" s="200">
        <v>2.1473927635033974E-2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57544</v>
      </c>
      <c r="Y2638" s="202">
        <f>_xll.qlInterestRateIndexValueDate(IborIndex,X2638,Trigger)</f>
        <v>57546</v>
      </c>
      <c r="Z2638" s="203">
        <v>2.1486666072514985E-2</v>
      </c>
      <c r="AA2638" s="200">
        <v>2.1467257709222309E-2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57551</v>
      </c>
      <c r="Y2639" s="202">
        <f>_xll.qlInterestRateIndexValueDate(IborIndex,X2639,Trigger)</f>
        <v>57553</v>
      </c>
      <c r="Z2639" s="203">
        <v>2.1480079856355295E-2</v>
      </c>
      <c r="AA2639" s="200">
        <v>2.1460604761509572E-2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57558</v>
      </c>
      <c r="Y2640" s="202">
        <f>_xll.qlInterestRateIndexValueDate(IborIndex,X2640,Trigger)</f>
        <v>57560</v>
      </c>
      <c r="Z2640" s="203">
        <v>2.1473510723628148E-2</v>
      </c>
      <c r="AA2640" s="200">
        <v>2.1453968791895761E-2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57565</v>
      </c>
      <c r="Y2641" s="202">
        <f>_xll.qlInterestRateIndexValueDate(IborIndex,X2641,Trigger)</f>
        <v>57567</v>
      </c>
      <c r="Z2641" s="203">
        <v>2.1467132902772502E-2</v>
      </c>
      <c r="AA2641" s="200">
        <v>2.1447349800460813E-2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57572</v>
      </c>
      <c r="Y2642" s="202">
        <f>_xll.qlInterestRateIndexValueDate(IborIndex,X2642,Trigger)</f>
        <v>57574</v>
      </c>
      <c r="Z2642" s="203">
        <v>2.146042370812792E-2</v>
      </c>
      <c r="AA2642" s="200">
        <v>2.1440747787044856E-2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57579</v>
      </c>
      <c r="Y2643" s="202">
        <f>_xll.qlInterestRateIndexValueDate(IborIndex,X2643,Trigger)</f>
        <v>57581</v>
      </c>
      <c r="Z2643" s="203">
        <v>2.1453905825177113E-2</v>
      </c>
      <c r="AA2643" s="200">
        <v>2.1433223418316771E-2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57586</v>
      </c>
      <c r="Y2644" s="202">
        <f>_xll.qlInterestRateIndexValueDate(IborIndex,X2644,Trigger)</f>
        <v>57588</v>
      </c>
      <c r="Z2644" s="203">
        <v>2.1446875363802943E-2</v>
      </c>
      <c r="AA2644" s="200">
        <v>2.1427594694509722E-2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57593</v>
      </c>
      <c r="Y2645" s="202">
        <f>_xll.qlInterestRateIndexValueDate(IborIndex,X2645,Trigger)</f>
        <v>57595</v>
      </c>
      <c r="Z2645" s="203">
        <v>2.1440389142357283E-2</v>
      </c>
      <c r="AA2645" s="200">
        <v>2.1421043615550417E-2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57600</v>
      </c>
      <c r="Y2646" s="202">
        <f>_xll.qlInterestRateIndexValueDate(IborIndex,X2646,Trigger)</f>
        <v>57602</v>
      </c>
      <c r="Z2646" s="203">
        <v>2.1433920000450284E-2</v>
      </c>
      <c r="AA2646" s="200">
        <v>2.1414509514530167E-2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57607</v>
      </c>
      <c r="Y2647" s="202">
        <f>_xll.qlInterestRateIndexValueDate(IborIndex,X2647,Trigger)</f>
        <v>57609</v>
      </c>
      <c r="Z2647" s="203">
        <v>2.14274679379985E-2</v>
      </c>
      <c r="AA2647" s="200">
        <v>2.1407992391768715E-2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57614</v>
      </c>
      <c r="Y2648" s="202">
        <f>_xll.qlInterestRateIndexValueDate(IborIndex,X2648,Trigger)</f>
        <v>57616</v>
      </c>
      <c r="Z2648" s="203">
        <v>2.1421572654980552E-2</v>
      </c>
      <c r="AA2648" s="200">
        <v>2.1401492247106191E-2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57621</v>
      </c>
      <c r="Y2649" s="202">
        <f>_xll.qlInterestRateIndexValueDate(IborIndex,X2649,Trigger)</f>
        <v>57623</v>
      </c>
      <c r="Z2649" s="203">
        <v>2.1415157269249814E-2</v>
      </c>
      <c r="AA2649" s="200">
        <v>2.1395009080382721E-2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57628</v>
      </c>
      <c r="Y2650" s="202">
        <f>_xll.qlInterestRateIndexValueDate(IborIndex,X2650,Trigger)</f>
        <v>57630</v>
      </c>
      <c r="Z2650" s="203">
        <v>2.140875896608763E-2</v>
      </c>
      <c r="AA2650" s="200">
        <v>2.138854289191805E-2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57635</v>
      </c>
      <c r="Y2651" s="202">
        <f>_xll.qlInterestRateIndexValueDate(IborIndex,X2651,Trigger)</f>
        <v>57637</v>
      </c>
      <c r="Z2651" s="203">
        <v>2.1402560342123254E-2</v>
      </c>
      <c r="AA2651" s="200">
        <v>2.1382093681472369E-2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57642</v>
      </c>
      <c r="Y2652" s="202">
        <f>_xll.qlInterestRateIndexValueDate(IborIndex,X2652,Trigger)</f>
        <v>57644</v>
      </c>
      <c r="Z2652" s="203">
        <v>2.1396013607133862E-2</v>
      </c>
      <c r="AA2652" s="200">
        <v>2.1375661449205552E-2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57649</v>
      </c>
      <c r="Y2653" s="202">
        <f>_xll.qlInterestRateIndexValueDate(IborIndex,X2653,Trigger)</f>
        <v>57651</v>
      </c>
      <c r="Z2653" s="203">
        <v>2.1389666551172203E-2</v>
      </c>
      <c r="AA2653" s="200">
        <v>2.1369246194957725E-2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57656</v>
      </c>
      <c r="Y2654" s="202">
        <f>_xll.qlInterestRateIndexValueDate(IborIndex,X2654,Trigger)</f>
        <v>57658</v>
      </c>
      <c r="Z2654" s="203">
        <v>2.138333657743979E-2</v>
      </c>
      <c r="AA2654" s="200">
        <v>2.1362847918968697E-2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57663</v>
      </c>
      <c r="Y2655" s="202">
        <f>_xll.qlInterestRateIndexValueDate(IborIndex,X2655,Trigger)</f>
        <v>57665</v>
      </c>
      <c r="Z2655" s="203">
        <v>2.1377209661220562E-2</v>
      </c>
      <c r="AA2655" s="200">
        <v>2.1356466620918724E-2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57670</v>
      </c>
      <c r="Y2656" s="202">
        <f>_xll.qlInterestRateIndexValueDate(IborIndex,X2656,Trigger)</f>
        <v>57672</v>
      </c>
      <c r="Z2656" s="203">
        <v>2.1370727876333612E-2</v>
      </c>
      <c r="AA2656" s="200">
        <v>2.1350102301127549E-2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57677</v>
      </c>
      <c r="Y2657" s="202">
        <f>_xll.qlInterestRateIndexValueDate(IborIndex,X2657,Trigger)</f>
        <v>57679</v>
      </c>
      <c r="Z2657" s="203">
        <v>2.1363699347801024E-2</v>
      </c>
      <c r="AA2657" s="200">
        <v>2.1343754959275429E-2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57684</v>
      </c>
      <c r="Y2658" s="202">
        <f>_xll.qlInterestRateIndexValueDate(IborIndex,X2658,Trigger)</f>
        <v>57686</v>
      </c>
      <c r="Z2658" s="203">
        <v>2.1357434304798417E-2</v>
      </c>
      <c r="AA2658" s="200">
        <v>2.1337424595602172E-2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57691</v>
      </c>
      <c r="Y2659" s="202">
        <f>_xll.qlInterestRateIndexValueDate(IborIndex,X2659,Trigger)</f>
        <v>57693</v>
      </c>
      <c r="Z2659" s="203">
        <v>2.1351186339157557E-2</v>
      </c>
      <c r="AA2659" s="200">
        <v>2.1331111210027842E-2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57698</v>
      </c>
      <c r="Y2660" s="202">
        <f>_xll.qlInterestRateIndexValueDate(IborIndex,X2660,Trigger)</f>
        <v>57700</v>
      </c>
      <c r="Z2660" s="203">
        <v>2.134495545079762E-2</v>
      </c>
      <c r="AA2660" s="200">
        <v>2.132301894732791E-2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57706</v>
      </c>
      <c r="Y2661" s="202">
        <f>_xll.qlInterestRateIndexValueDate(IborIndex,X2661,Trigger)</f>
        <v>57710</v>
      </c>
      <c r="Z2661" s="203">
        <v>2.1335701899440996E-2</v>
      </c>
      <c r="AA2661" s="200">
        <v>2.1316744368871099E-2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57713</v>
      </c>
      <c r="Y2662" s="202">
        <f>_xll.qlInterestRateIndexValueDate(IborIndex,X2662,Trigger)</f>
        <v>57717</v>
      </c>
      <c r="Z2662" s="203">
        <v>2.1330086330657902E-2</v>
      </c>
      <c r="AA2662" s="200">
        <v>2.1311379671864472E-2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57720</v>
      </c>
      <c r="Y2663" s="202">
        <f>_xll.qlInterestRateIndexValueDate(IborIndex,X2663,Trigger)</f>
        <v>57724</v>
      </c>
      <c r="Z2663" s="203">
        <v>2.132410773254468E-2</v>
      </c>
      <c r="AA2663" s="200">
        <v>2.1305136624105714E-2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57727</v>
      </c>
      <c r="Y2664" s="202">
        <f>_xll.qlInterestRateIndexValueDate(IborIndex,X2664,Trigger)</f>
        <v>57732</v>
      </c>
      <c r="Z2664" s="203">
        <v>2.131668886146354E-2</v>
      </c>
      <c r="AA2664" s="200">
        <v>2.1298022501934355E-2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57734</v>
      </c>
      <c r="Y2665" s="202">
        <f>_xll.qlInterestRateIndexValueDate(IborIndex,X2665,Trigger)</f>
        <v>57738</v>
      </c>
      <c r="Z2665" s="203">
        <v>2.1311623115339962E-2</v>
      </c>
      <c r="AA2665" s="200">
        <v>2.1292701462725105E-2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57741</v>
      </c>
      <c r="Y2666" s="202">
        <f>_xll.qlInterestRateIndexValueDate(IborIndex,X2666,Trigger)</f>
        <v>57745</v>
      </c>
      <c r="Z2666" s="203">
        <v>2.130569832365346E-2</v>
      </c>
      <c r="AA2666" s="200">
        <v>2.1286509349343063E-2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57748</v>
      </c>
      <c r="Y2667" s="202">
        <f>_xll.qlInterestRateIndexValueDate(IborIndex,X2667,Trigger)</f>
        <v>57752</v>
      </c>
      <c r="Z2667" s="203">
        <v>2.1299399694666956E-2</v>
      </c>
      <c r="AA2667" s="200">
        <v>2.1280334213900076E-2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57755</v>
      </c>
      <c r="Y2668" s="202">
        <f>_xll.qlInterestRateIndexValueDate(IborIndex,X2668,Trigger)</f>
        <v>57760</v>
      </c>
      <c r="Z2668" s="203">
        <v>2.1292248341917563E-2</v>
      </c>
      <c r="AA2668" s="200">
        <v>2.1273297705803884E-2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57762</v>
      </c>
      <c r="Y2669" s="202">
        <f>_xll.qlInterestRateIndexValueDate(IborIndex,X2669,Trigger)</f>
        <v>57766</v>
      </c>
      <c r="Z2669" s="203">
        <v>2.1287442624935524E-2</v>
      </c>
      <c r="AA2669" s="200">
        <v>2.1268034877390818E-2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57769</v>
      </c>
      <c r="Y2670" s="202">
        <f>_xll.qlInterestRateIndexValueDate(IborIndex,X2670,Trigger)</f>
        <v>57773</v>
      </c>
      <c r="Z2670" s="203">
        <v>2.1281391549475694E-2</v>
      </c>
      <c r="AA2670" s="200">
        <v>2.1261910676324547E-2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57776</v>
      </c>
      <c r="Y2671" s="202">
        <f>_xll.qlInterestRateIndexValueDate(IborIndex,X2671,Trigger)</f>
        <v>57780</v>
      </c>
      <c r="Z2671" s="203">
        <v>2.1275357552607448E-2</v>
      </c>
      <c r="AA2671" s="200">
        <v>2.1255803453277267E-2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57783</v>
      </c>
      <c r="Y2672" s="202">
        <f>_xll.qlInterestRateIndexValueDate(IborIndex,X2672,Trigger)</f>
        <v>57787</v>
      </c>
      <c r="Z2672" s="203">
        <v>2.1269340634251718E-2</v>
      </c>
      <c r="AA2672" s="200">
        <v>2.1249713208248977E-2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57790</v>
      </c>
      <c r="Y2673" s="202">
        <f>_xll.qlInterestRateIndexValueDate(IborIndex,X2673,Trigger)</f>
        <v>57794</v>
      </c>
      <c r="Z2673" s="203">
        <v>2.1263340794332043E-2</v>
      </c>
      <c r="AA2673" s="200">
        <v>2.124363994139955E-2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57797</v>
      </c>
      <c r="Y2674" s="202">
        <f>_xll.qlInterestRateIndexValueDate(IborIndex,X2674,Trigger)</f>
        <v>57801</v>
      </c>
      <c r="Z2674" s="203">
        <v>2.1257155666512716E-2</v>
      </c>
      <c r="AA2674" s="200">
        <v>2.1237583652569114E-2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57804</v>
      </c>
      <c r="Y2675" s="202">
        <f>_xll.qlInterestRateIndexValueDate(IborIndex,X2675,Trigger)</f>
        <v>57808</v>
      </c>
      <c r="Z2675" s="203">
        <v>2.1251189114686042E-2</v>
      </c>
      <c r="AA2675" s="200">
        <v>2.1231544341837605E-2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57811</v>
      </c>
      <c r="Y2676" s="202">
        <f>_xll.qlInterestRateIndexValueDate(IborIndex,X2676,Trigger)</f>
        <v>57817</v>
      </c>
      <c r="Z2676" s="203">
        <v>2.1243542926641126E-2</v>
      </c>
      <c r="AA2676" s="200">
        <v>2.1224197495426367E-2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57818</v>
      </c>
      <c r="Y2677" s="202">
        <f>_xll.qlInterestRateIndexValueDate(IborIndex,X2677,Trigger)</f>
        <v>57822</v>
      </c>
      <c r="Z2677" s="203">
        <v>2.1239307242264697E-2</v>
      </c>
      <c r="AA2677" s="200">
        <v>2.1219516654671366E-2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57825</v>
      </c>
      <c r="Y2678" s="202">
        <f>_xll.qlInterestRateIndexValueDate(IborIndex,X2678,Trigger)</f>
        <v>57829</v>
      </c>
      <c r="Z2678" s="203">
        <v>2.1233391921518061E-2</v>
      </c>
      <c r="AA2678" s="200">
        <v>2.1213528278236637E-2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57832</v>
      </c>
      <c r="Y2679" s="202">
        <f>_xll.qlInterestRateIndexValueDate(IborIndex,X2679,Trigger)</f>
        <v>57837</v>
      </c>
      <c r="Z2679" s="203">
        <v>2.122685931013241E-2</v>
      </c>
      <c r="AA2679" s="200">
        <v>2.120670520892709E-2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57839</v>
      </c>
      <c r="Y2680" s="202">
        <f>_xll.qlInterestRateIndexValueDate(IborIndex,X2680,Trigger)</f>
        <v>57843</v>
      </c>
      <c r="Z2680" s="203">
        <v>2.1221820104529179E-2</v>
      </c>
      <c r="AA2680" s="200">
        <v>2.1201602459584024E-2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57846</v>
      </c>
      <c r="Y2681" s="202">
        <f>_xll.qlInterestRateIndexValueDate(IborIndex,X2681,Trigger)</f>
        <v>57850</v>
      </c>
      <c r="Z2681" s="203">
        <v>2.1215956889294115E-2</v>
      </c>
      <c r="AA2681" s="200">
        <v>2.1195665017286203E-2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57853</v>
      </c>
      <c r="Y2682" s="202">
        <f>_xll.qlInterestRateIndexValueDate(IborIndex,X2682,Trigger)</f>
        <v>57858</v>
      </c>
      <c r="Z2682" s="203">
        <v>2.120927698339526E-2</v>
      </c>
      <c r="AA2682" s="200">
        <v>2.1188900158533031E-2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57860</v>
      </c>
      <c r="Y2683" s="202">
        <f>_xll.qlInterestRateIndexValueDate(IborIndex,X2683,Trigger)</f>
        <v>57864</v>
      </c>
      <c r="Z2683" s="203">
        <v>2.1204281691966934E-2</v>
      </c>
      <c r="AA2683" s="200">
        <v>2.1183841066987341E-2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57867</v>
      </c>
      <c r="Y2684" s="202">
        <f>_xll.qlInterestRateIndexValueDate(IborIndex,X2684,Trigger)</f>
        <v>57871</v>
      </c>
      <c r="Z2684" s="203">
        <v>2.1198469709721893E-2</v>
      </c>
      <c r="AA2684" s="200">
        <v>2.1177954559066237E-2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57874</v>
      </c>
      <c r="Y2685" s="202">
        <f>_xll.qlInterestRateIndexValueDate(IborIndex,X2685,Trigger)</f>
        <v>57878</v>
      </c>
      <c r="Z2685" s="203">
        <v>2.1192674804989303E-2</v>
      </c>
      <c r="AA2685" s="200">
        <v>2.1172085029164123E-2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57881</v>
      </c>
      <c r="Y2686" s="202">
        <f>_xll.qlInterestRateIndexValueDate(IborIndex,X2686,Trigger)</f>
        <v>57885</v>
      </c>
      <c r="Z2686" s="203">
        <v>2.1186896977694436E-2</v>
      </c>
      <c r="AA2686" s="200">
        <v>2.1166232477360936E-2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57888</v>
      </c>
      <c r="Y2687" s="202">
        <f>_xll.qlInterestRateIndexValueDate(IborIndex,X2687,Trigger)</f>
        <v>57892</v>
      </c>
      <c r="Z2687" s="203">
        <v>2.1181136227759096E-2</v>
      </c>
      <c r="AA2687" s="200">
        <v>2.1160396903496803E-2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57895</v>
      </c>
      <c r="Y2688" s="202">
        <f>_xll.qlInterestRateIndexValueDate(IborIndex,X2688,Trigger)</f>
        <v>57899</v>
      </c>
      <c r="Z2688" s="203">
        <v>2.1175392555112034E-2</v>
      </c>
      <c r="AA2688" s="200">
        <v>2.1154578307811533E-2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57902</v>
      </c>
      <c r="Y2689" s="202">
        <f>_xll.qlInterestRateIndexValueDate(IborIndex,X2689,Trigger)</f>
        <v>57906</v>
      </c>
      <c r="Z2689" s="203">
        <v>2.1169665959675923E-2</v>
      </c>
      <c r="AA2689" s="200">
        <v>2.1148776690145255E-2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57909</v>
      </c>
      <c r="Y2690" s="202">
        <f>_xll.qlInterestRateIndexValueDate(IborIndex,X2690,Trigger)</f>
        <v>57913</v>
      </c>
      <c r="Z2690" s="203">
        <v>2.1163956441379514E-2</v>
      </c>
      <c r="AA2690" s="200">
        <v>2.1142992050657838E-2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57916</v>
      </c>
      <c r="Y2691" s="202">
        <f>_xll.qlInterestRateIndexValueDate(IborIndex,X2691,Trigger)</f>
        <v>57920</v>
      </c>
      <c r="Z2691" s="203">
        <v>2.1158264000142001E-2</v>
      </c>
      <c r="AA2691" s="200">
        <v>2.1137224389109477E-2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57923</v>
      </c>
      <c r="Y2692" s="202">
        <f>_xll.qlInterestRateIndexValueDate(IborIndex,X2692,Trigger)</f>
        <v>57927</v>
      </c>
      <c r="Z2692" s="203">
        <v>2.1152588635894747E-2</v>
      </c>
      <c r="AA2692" s="200">
        <v>2.1131473705739978E-2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57930</v>
      </c>
      <c r="Y2693" s="202">
        <f>_xll.qlInterestRateIndexValueDate(IborIndex,X2693,Trigger)</f>
        <v>57934</v>
      </c>
      <c r="Z2693" s="203">
        <v>2.1146930348562156E-2</v>
      </c>
      <c r="AA2693" s="200">
        <v>2.1125740000469406E-2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57937</v>
      </c>
      <c r="Y2694" s="202">
        <f>_xll.qlInterestRateIndexValueDate(IborIndex,X2694,Trigger)</f>
        <v>57941</v>
      </c>
      <c r="Z2694" s="203">
        <v>2.1141289138071246E-2</v>
      </c>
      <c r="AA2694" s="200">
        <v>2.1120023273137889E-2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57944</v>
      </c>
      <c r="Y2695" s="202">
        <f>_xll.qlInterestRateIndexValueDate(IborIndex,X2695,Trigger)</f>
        <v>57949</v>
      </c>
      <c r="Z2695" s="203">
        <v>2.1134862950692494E-2</v>
      </c>
      <c r="AA2695" s="200">
        <v>2.1113510659969137E-2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57951</v>
      </c>
      <c r="Y2696" s="202">
        <f>_xll.qlInterestRateIndexValueDate(IborIndex,X2696,Trigger)</f>
        <v>57956</v>
      </c>
      <c r="Z2696" s="203">
        <v>2.1129036479209495E-2</v>
      </c>
      <c r="AA2696" s="200">
        <v>2.1107830314335274E-2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57958</v>
      </c>
      <c r="Y2697" s="202">
        <f>_xll.qlInterestRateIndexValueDate(IborIndex,X2697,Trigger)</f>
        <v>57962</v>
      </c>
      <c r="Z2697" s="203">
        <v>2.1124245347865524E-2</v>
      </c>
      <c r="AA2697" s="200">
        <v>2.1102974959656962E-2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57965</v>
      </c>
      <c r="Y2698" s="202">
        <f>_xll.qlInterestRateIndexValueDate(IborIndex,X2698,Trigger)</f>
        <v>57969</v>
      </c>
      <c r="Z2698" s="203">
        <v>2.1118671550417321E-2</v>
      </c>
      <c r="AA2698" s="200">
        <v>2.1097326144561279E-2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57972</v>
      </c>
      <c r="Y2699" s="202">
        <f>_xll.qlInterestRateIndexValueDate(IborIndex,X2699,Trigger)</f>
        <v>57976</v>
      </c>
      <c r="Z2699" s="203">
        <v>2.1113114828367797E-2</v>
      </c>
      <c r="AA2699" s="200">
        <v>2.109169430764446E-2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57979</v>
      </c>
      <c r="Y2700" s="202">
        <f>_xll.qlInterestRateIndexValueDate(IborIndex,X2700,Trigger)</f>
        <v>57983</v>
      </c>
      <c r="Z2700" s="203">
        <v>2.1107800484693909E-2</v>
      </c>
      <c r="AA2700" s="200">
        <v>2.1086079448826567E-2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57986</v>
      </c>
      <c r="Y2701" s="202">
        <f>_xll.qlInterestRateIndexValueDate(IborIndex,X2701,Trigger)</f>
        <v>57990</v>
      </c>
      <c r="Z2701" s="203">
        <v>2.1102278810049439E-2</v>
      </c>
      <c r="AA2701" s="200">
        <v>2.1080481568027665E-2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57993</v>
      </c>
      <c r="Y2702" s="202">
        <f>_xll.qlInterestRateIndexValueDate(IborIndex,X2702,Trigger)</f>
        <v>57998</v>
      </c>
      <c r="Z2702" s="203">
        <v>2.1095989234441281E-2</v>
      </c>
      <c r="AA2702" s="200">
        <v>2.1074104779410519E-2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58000</v>
      </c>
      <c r="Y2703" s="202">
        <f>_xll.qlInterestRateIndexValueDate(IborIndex,X2703,Trigger)</f>
        <v>58004</v>
      </c>
      <c r="Z2703" s="203">
        <v>2.1091286689464382E-2</v>
      </c>
      <c r="AA2703" s="200">
        <v>2.1069336740566769E-2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58007</v>
      </c>
      <c r="Y2704" s="202">
        <f>_xll.qlInterestRateIndexValueDate(IborIndex,X2704,Trigger)</f>
        <v>58011</v>
      </c>
      <c r="Z2704" s="203">
        <v>2.1085816243383911E-2</v>
      </c>
      <c r="AA2704" s="200">
        <v>2.1063789793904775E-2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58014</v>
      </c>
      <c r="Y2705" s="202">
        <f>_xll.qlInterestRateIndexValueDate(IborIndex,X2705,Trigger)</f>
        <v>58018</v>
      </c>
      <c r="Z2705" s="203">
        <v>2.1080362873347493E-2</v>
      </c>
      <c r="AA2705" s="200">
        <v>2.1058259825261771E-2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58021</v>
      </c>
      <c r="Y2706" s="202">
        <f>_xll.qlInterestRateIndexValueDate(IborIndex,X2706,Trigger)</f>
        <v>58026</v>
      </c>
      <c r="Z2706" s="203">
        <v>2.1074151359803974E-2</v>
      </c>
      <c r="AA2706" s="200">
        <v>2.1051960650639856E-2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58028</v>
      </c>
      <c r="Y2707" s="202">
        <f>_xll.qlInterestRateIndexValueDate(IborIndex,X2707,Trigger)</f>
        <v>58032</v>
      </c>
      <c r="Z2707" s="203">
        <v>2.1069507361130536E-2</v>
      </c>
      <c r="AA2707" s="200">
        <v>2.1047250822352481E-2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58035</v>
      </c>
      <c r="Y2708" s="202">
        <f>_xll.qlInterestRateIndexValueDate(IborIndex,X2708,Trigger)</f>
        <v>58039</v>
      </c>
      <c r="Z2708" s="203">
        <v>2.1064105218807496E-2</v>
      </c>
      <c r="AA2708" s="200">
        <v>2.1041771787846386E-2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58042</v>
      </c>
      <c r="Y2709" s="202">
        <f>_xll.qlInterestRateIndexValueDate(IborIndex,X2709,Trigger)</f>
        <v>58046</v>
      </c>
      <c r="Z2709" s="203">
        <v>2.1058486739053264E-2</v>
      </c>
      <c r="AA2709" s="200">
        <v>2.1036309731519154E-2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58049</v>
      </c>
      <c r="Y2710" s="202">
        <f>_xll.qlInterestRateIndexValueDate(IborIndex,X2710,Trigger)</f>
        <v>58053</v>
      </c>
      <c r="Z2710" s="203">
        <v>2.1053117841694044E-2</v>
      </c>
      <c r="AA2710" s="200">
        <v>2.1030864653210912E-2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58056</v>
      </c>
      <c r="Y2711" s="202">
        <f>_xll.qlInterestRateIndexValueDate(IborIndex,X2711,Trigger)</f>
        <v>58060</v>
      </c>
      <c r="Z2711" s="203">
        <v>2.1047766018887585E-2</v>
      </c>
      <c r="AA2711" s="200">
        <v>2.1025436552921661E-2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58063</v>
      </c>
      <c r="Y2712" s="202">
        <f>_xll.qlInterestRateIndexValueDate(IborIndex,X2712,Trigger)</f>
        <v>58067</v>
      </c>
      <c r="Z2712" s="203">
        <v>2.1042431270563614E-2</v>
      </c>
      <c r="AA2712" s="200">
        <v>2.1018938782360053E-2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58071</v>
      </c>
      <c r="Y2713" s="202">
        <f>_xll.qlInterestRateIndexValueDate(IborIndex,X2713,Trigger)</f>
        <v>58075</v>
      </c>
      <c r="Z2713" s="203">
        <v>2.1035170885994291E-2</v>
      </c>
      <c r="AA2713" s="200">
        <v>2.1013551285617993E-2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58078</v>
      </c>
      <c r="Y2714" s="202">
        <f>_xll.qlInterestRateIndexValueDate(IborIndex,X2714,Trigger)</f>
        <v>58082</v>
      </c>
      <c r="Z2714" s="203">
        <v>2.1030819172108473E-2</v>
      </c>
      <c r="AA2714" s="200">
        <v>2.1008487339848614E-2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58085</v>
      </c>
      <c r="Y2715" s="202">
        <f>_xll.qlInterestRateIndexValueDate(IborIndex,X2715,Trigger)</f>
        <v>58089</v>
      </c>
      <c r="Z2715" s="203">
        <v>2.1025537174148567E-2</v>
      </c>
      <c r="AA2715" s="200">
        <v>2.1003129577294999E-2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58092</v>
      </c>
      <c r="Y2716" s="202">
        <f>_xll.qlInterestRateIndexValueDate(IborIndex,X2716,Trigger)</f>
        <v>58096</v>
      </c>
      <c r="Z2716" s="203">
        <v>2.102027224932268E-2</v>
      </c>
      <c r="AA2716" s="200">
        <v>2.0997788792760375E-2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58099</v>
      </c>
      <c r="Y2717" s="202">
        <f>_xll.qlInterestRateIndexValueDate(IborIndex,X2717,Trigger)</f>
        <v>58103</v>
      </c>
      <c r="Z2717" s="203">
        <v>2.1015024397563309E-2</v>
      </c>
      <c r="AA2717" s="200">
        <v>2.0992464986244741E-2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58106</v>
      </c>
      <c r="Y2718" s="202">
        <f>_xll.qlInterestRateIndexValueDate(IborIndex,X2718,Trigger)</f>
        <v>58110</v>
      </c>
      <c r="Z2718" s="203">
        <v>2.1010035262914822E-2</v>
      </c>
      <c r="AA2718" s="200">
        <v>2.0987158157828034E-2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58113</v>
      </c>
      <c r="Y2719" s="202">
        <f>_xll.qlInterestRateIndexValueDate(IborIndex,X2719,Trigger)</f>
        <v>58117</v>
      </c>
      <c r="Z2719" s="203">
        <v>2.1004579912978549E-2</v>
      </c>
      <c r="AA2719" s="200">
        <v>2.0981868307350382E-2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58120</v>
      </c>
      <c r="Y2720" s="202">
        <f>_xll.qlInterestRateIndexValueDate(IborIndex,X2720,Trigger)</f>
        <v>58124</v>
      </c>
      <c r="Z2720" s="203">
        <v>2.0999383280020822E-2</v>
      </c>
      <c r="AA2720" s="200">
        <v>2.0976595435051593E-2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58127</v>
      </c>
      <c r="Y2721" s="202">
        <f>_xll.qlInterestRateIndexValueDate(IborIndex,X2721,Trigger)</f>
        <v>58131</v>
      </c>
      <c r="Z2721" s="203">
        <v>2.09944481155117E-2</v>
      </c>
      <c r="AA2721" s="200">
        <v>2.0971339540691858E-2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58134</v>
      </c>
      <c r="Y2722" s="202">
        <f>_xll.qlInterestRateIndexValueDate(IborIndex,X2722,Trigger)</f>
        <v>58138</v>
      </c>
      <c r="Z2722" s="203">
        <v>2.0989531959674429E-2</v>
      </c>
      <c r="AA2722" s="200">
        <v>2.0966100624510986E-2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58141</v>
      </c>
      <c r="Y2723" s="202">
        <f>_xll.qlInterestRateIndexValueDate(IborIndex,X2723,Trigger)</f>
        <v>58145</v>
      </c>
      <c r="Z2723" s="203">
        <v>2.0984388385788488E-2</v>
      </c>
      <c r="AA2723" s="200">
        <v>2.0960878686269169E-2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58148</v>
      </c>
      <c r="Y2724" s="202">
        <f>_xll.qlInterestRateIndexValueDate(IborIndex,X2724,Trigger)</f>
        <v>58152</v>
      </c>
      <c r="Z2724" s="203">
        <v>2.0979261886628523E-2</v>
      </c>
      <c r="AA2724" s="200">
        <v>2.0955673726046342E-2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58155</v>
      </c>
      <c r="Y2725" s="202">
        <f>_xll.qlInterestRateIndexValueDate(IborIndex,X2725,Trigger)</f>
        <v>58159</v>
      </c>
      <c r="Z2725" s="203">
        <v>2.0974152462125903E-2</v>
      </c>
      <c r="AA2725" s="200">
        <v>2.09514451861601E-2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58166</v>
      </c>
      <c r="Y2726" s="202">
        <f>_xll.qlInterestRateIndexValueDate(IborIndex,X2726,Trigger)</f>
        <v>58168</v>
      </c>
      <c r="Z2726" s="203">
        <v>2.0967358926494914E-2</v>
      </c>
      <c r="AA2726" s="200">
        <v>2.0942367503122838E-2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58173</v>
      </c>
      <c r="Y2727" s="202">
        <f>_xll.qlInterestRateIndexValueDate(IborIndex,X2727,Trigger)</f>
        <v>58175</v>
      </c>
      <c r="Z2727" s="203">
        <v>2.0962287604493455E-2</v>
      </c>
      <c r="AA2727" s="200">
        <v>2.0937223178876252E-2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58180</v>
      </c>
      <c r="Y2728" s="202">
        <f>_xll.qlInterestRateIndexValueDate(IborIndex,X2728,Trigger)</f>
        <v>58182</v>
      </c>
      <c r="Z2728" s="203">
        <v>2.0957233355872948E-2</v>
      </c>
      <c r="AA2728" s="200">
        <v>2.0932095832648656E-2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58187</v>
      </c>
      <c r="Y2729" s="202">
        <f>_xll.qlInterestRateIndexValueDate(IborIndex,X2729,Trigger)</f>
        <v>58189</v>
      </c>
      <c r="Z2729" s="203">
        <v>2.0952196180572782E-2</v>
      </c>
      <c r="AA2729" s="200">
        <v>2.0926985464440051E-2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58194</v>
      </c>
      <c r="Y2730" s="202">
        <f>_xll.qlInterestRateIndexValueDate(IborIndex,X2730,Trigger)</f>
        <v>58196</v>
      </c>
      <c r="Z2730" s="203">
        <v>2.0947429149782041E-2</v>
      </c>
      <c r="AA2730" s="200">
        <v>2.0921165833023281E-2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58201</v>
      </c>
      <c r="Y2731" s="202">
        <f>_xll.qlInterestRateIndexValueDate(IborIndex,X2731,Trigger)</f>
        <v>58203</v>
      </c>
      <c r="Z2731" s="203">
        <v>2.0942427050190986E-2</v>
      </c>
      <c r="AA2731" s="200">
        <v>2.0916815662079813E-2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58208</v>
      </c>
      <c r="Y2732" s="202">
        <f>_xll.qlInterestRateIndexValueDate(IborIndex,X2732,Trigger)</f>
        <v>58210</v>
      </c>
      <c r="Z2732" s="203">
        <v>2.0937442024780262E-2</v>
      </c>
      <c r="AA2732" s="200">
        <v>2.0911756228008116E-2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58215</v>
      </c>
      <c r="Y2733" s="202">
        <f>_xll.qlInterestRateIndexValueDate(IborIndex,X2733,Trigger)</f>
        <v>58217</v>
      </c>
      <c r="Z2733" s="203">
        <v>2.0932474073482095E-2</v>
      </c>
      <c r="AA2733" s="200">
        <v>2.0905994806987849E-2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58222</v>
      </c>
      <c r="Y2734" s="202">
        <f>_xll.qlInterestRateIndexValueDate(IborIndex,X2734,Trigger)</f>
        <v>58224</v>
      </c>
      <c r="Z2734" s="203">
        <v>2.0927523196235667E-2</v>
      </c>
      <c r="AA2734" s="200">
        <v>2.0901688293761822E-2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58229</v>
      </c>
      <c r="Y2735" s="202">
        <f>_xll.qlInterestRateIndexValueDate(IborIndex,X2735,Trigger)</f>
        <v>58231</v>
      </c>
      <c r="Z2735" s="203">
        <v>2.0922589392971466E-2</v>
      </c>
      <c r="AA2735" s="200">
        <v>2.0896679793747097E-2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58236</v>
      </c>
      <c r="Y2736" s="202">
        <f>_xll.qlInterestRateIndexValueDate(IborIndex,X2736,Trigger)</f>
        <v>58238</v>
      </c>
      <c r="Z2736" s="203">
        <v>2.0917672663631277E-2</v>
      </c>
      <c r="AA2736" s="200">
        <v>2.0891688271831299E-2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58243</v>
      </c>
      <c r="Y2737" s="202">
        <f>_xll.qlInterestRateIndexValueDate(IborIndex,X2737,Trigger)</f>
        <v>58245</v>
      </c>
      <c r="Z2737" s="203">
        <v>2.0912773008145594E-2</v>
      </c>
      <c r="AA2737" s="200">
        <v>2.0886713727934492E-2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58250</v>
      </c>
      <c r="Y2738" s="202">
        <f>_xll.qlInterestRateIndexValueDate(IborIndex,X2738,Trigger)</f>
        <v>58252</v>
      </c>
      <c r="Z2738" s="203">
        <v>2.0907890426453597E-2</v>
      </c>
      <c r="AA2738" s="200">
        <v>2.0881756162056675E-2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58257</v>
      </c>
      <c r="Y2739" s="202">
        <f>_xll.qlInterestRateIndexValueDate(IborIndex,X2739,Trigger)</f>
        <v>58259</v>
      </c>
      <c r="Z2739" s="203">
        <v>2.0903024918490984E-2</v>
      </c>
      <c r="AA2739" s="200">
        <v>2.0876815574117913E-2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58264</v>
      </c>
      <c r="Y2740" s="202">
        <f>_xll.qlInterestRateIndexValueDate(IborIndex,X2740,Trigger)</f>
        <v>58266</v>
      </c>
      <c r="Z2740" s="203">
        <v>2.0898176484195199E-2</v>
      </c>
      <c r="AA2740" s="200">
        <v>2.0871891964278078E-2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58271</v>
      </c>
      <c r="Y2741" s="202">
        <f>_xll.qlInterestRateIndexValueDate(IborIndex,X2741,Trigger)</f>
        <v>58273</v>
      </c>
      <c r="Z2741" s="203">
        <v>2.0893345123502813E-2</v>
      </c>
      <c r="AA2741" s="200">
        <v>2.0866985332537169E-2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58278</v>
      </c>
      <c r="Y2742" s="202">
        <f>_xll.qlInterestRateIndexValueDate(IborIndex,X2742,Trigger)</f>
        <v>58280</v>
      </c>
      <c r="Z2742" s="203">
        <v>2.0888530836350405E-2</v>
      </c>
      <c r="AA2742" s="200">
        <v>2.0862095678815251E-2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58285</v>
      </c>
      <c r="Y2743" s="202">
        <f>_xll.qlInterestRateIndexValueDate(IborIndex,X2743,Trigger)</f>
        <v>58287</v>
      </c>
      <c r="Z2743" s="203">
        <v>2.0883733622674538E-2</v>
      </c>
      <c r="AA2743" s="200">
        <v>2.0857223003032388E-2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58292</v>
      </c>
      <c r="Y2744" s="202">
        <f>_xll.qlInterestRateIndexValueDate(IborIndex,X2744,Trigger)</f>
        <v>58294</v>
      </c>
      <c r="Z2744" s="203">
        <v>2.0878953482413528E-2</v>
      </c>
      <c r="AA2744" s="200">
        <v>2.0852367305268515E-2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58299</v>
      </c>
      <c r="Y2745" s="202">
        <f>_xll.qlInterestRateIndexValueDate(IborIndex,X2745,Trigger)</f>
        <v>58301</v>
      </c>
      <c r="Z2745" s="203">
        <v>2.0874190415507421E-2</v>
      </c>
      <c r="AA2745" s="200">
        <v>2.0847528585683506E-2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58306</v>
      </c>
      <c r="Y2746" s="202">
        <f>_xll.qlInterestRateIndexValueDate(IborIndex,X2746,Trigger)</f>
        <v>58308</v>
      </c>
      <c r="Z2746" s="203">
        <v>2.0869444421890187E-2</v>
      </c>
      <c r="AA2746" s="200">
        <v>2.0842019409768042E-2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58313</v>
      </c>
      <c r="Y2747" s="202">
        <f>_xll.qlInterestRateIndexValueDate(IborIndex,X2747,Trigger)</f>
        <v>58315</v>
      </c>
      <c r="Z2747" s="203">
        <v>2.0864715501502738E-2</v>
      </c>
      <c r="AA2747" s="200">
        <v>2.0837902080410586E-2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58320</v>
      </c>
      <c r="Y2748" s="202">
        <f>_xll.qlInterestRateIndexValueDate(IborIndex,X2748,Trigger)</f>
        <v>58322</v>
      </c>
      <c r="Z2748" s="203">
        <v>2.0859733695358079E-2</v>
      </c>
      <c r="AA2748" s="200">
        <v>2.0833114294722677E-2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58327</v>
      </c>
      <c r="Y2749" s="202">
        <f>_xll.qlInterestRateIndexValueDate(IborIndex,X2749,Trigger)</f>
        <v>58329</v>
      </c>
      <c r="Z2749" s="203">
        <v>2.085503797309167E-2</v>
      </c>
      <c r="AA2749" s="200">
        <v>2.082834348721363E-2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58334</v>
      </c>
      <c r="Y2750" s="202">
        <f>_xll.qlInterestRateIndexValueDate(IborIndex,X2750,Trigger)</f>
        <v>58336</v>
      </c>
      <c r="Z2750" s="203">
        <v>2.0850359322827097E-2</v>
      </c>
      <c r="AA2750" s="200">
        <v>2.0823589657723574E-2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58341</v>
      </c>
      <c r="Y2751" s="202">
        <f>_xll.qlInterestRateIndexValueDate(IborIndex,X2751,Trigger)</f>
        <v>58343</v>
      </c>
      <c r="Z2751" s="203">
        <v>2.0846789578217756E-2</v>
      </c>
      <c r="AA2751" s="200">
        <v>2.0818852806172572E-2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58348</v>
      </c>
      <c r="Y2752" s="202">
        <f>_xll.qlInterestRateIndexValueDate(IborIndex,X2752,Trigger)</f>
        <v>58350</v>
      </c>
      <c r="Z2752" s="203">
        <v>2.0841326995854014E-2</v>
      </c>
      <c r="AA2752" s="200">
        <v>2.0814132932640561E-2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58355</v>
      </c>
      <c r="Y2753" s="202">
        <f>_xll.qlInterestRateIndexValueDate(IborIndex,X2753,Trigger)</f>
        <v>58357</v>
      </c>
      <c r="Z2753" s="203">
        <v>2.0836700513555011E-2</v>
      </c>
      <c r="AA2753" s="200">
        <v>2.0809430037207477E-2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58362</v>
      </c>
      <c r="Y2754" s="202">
        <f>_xll.qlInterestRateIndexValueDate(IborIndex,X2754,Trigger)</f>
        <v>58364</v>
      </c>
      <c r="Z2754" s="203">
        <v>2.0832091104060046E-2</v>
      </c>
      <c r="AA2754" s="200">
        <v>2.0804744119793384E-2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58369</v>
      </c>
      <c r="Y2755" s="202">
        <f>_xll.qlInterestRateIndexValueDate(IborIndex,X2755,Trigger)</f>
        <v>58371</v>
      </c>
      <c r="Z2755" s="203">
        <v>2.0827498767307433E-2</v>
      </c>
      <c r="AA2755" s="200">
        <v>2.0800075180318345E-2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58376</v>
      </c>
      <c r="Y2756" s="202">
        <f>_xll.qlInterestRateIndexValueDate(IborIndex,X2756,Trigger)</f>
        <v>58378</v>
      </c>
      <c r="Z2756" s="203">
        <v>2.082292350323809E-2</v>
      </c>
      <c r="AA2756" s="200">
        <v>2.0795423218942233E-2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58383</v>
      </c>
      <c r="Y2757" s="202">
        <f>_xll.qlInterestRateIndexValueDate(IborIndex,X2757,Trigger)</f>
        <v>58385</v>
      </c>
      <c r="Z2757" s="203">
        <v>2.0818365311792927E-2</v>
      </c>
      <c r="AA2757" s="200">
        <v>2.0790788235585111E-2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58390</v>
      </c>
      <c r="Y2758" s="202">
        <f>_xll.qlInterestRateIndexValueDate(IborIndex,X2758,Trigger)</f>
        <v>58392</v>
      </c>
      <c r="Z2758" s="203">
        <v>2.0813824192910259E-2</v>
      </c>
      <c r="AA2758" s="200">
        <v>2.0786170230167045E-2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58397</v>
      </c>
      <c r="Y2759" s="202">
        <f>_xll.qlInterestRateIndexValueDate(IborIndex,X2759,Trigger)</f>
        <v>58399</v>
      </c>
      <c r="Z2759" s="203">
        <v>2.0809300146534478E-2</v>
      </c>
      <c r="AA2759" s="200">
        <v>2.0781569202847905E-2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58404</v>
      </c>
      <c r="Y2760" s="202">
        <f>_xll.qlInterestRateIndexValueDate(IborIndex,X2760,Trigger)</f>
        <v>58407</v>
      </c>
      <c r="Z2760" s="203">
        <v>2.0803869170247603E-2</v>
      </c>
      <c r="AA2760" s="200">
        <v>2.0776331675236293E-2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58411</v>
      </c>
      <c r="Y2761" s="202">
        <f>_xll.qlInterestRateIndexValueDate(IborIndex,X2761,Trigger)</f>
        <v>58413</v>
      </c>
      <c r="Z2761" s="203">
        <v>2.0800020905000917E-2</v>
      </c>
      <c r="AA2761" s="200">
        <v>2.0772418082186661E-2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58418</v>
      </c>
      <c r="Y2762" s="202">
        <f>_xll.qlInterestRateIndexValueDate(IborIndex,X2762,Trigger)</f>
        <v>58420</v>
      </c>
      <c r="Z2762" s="203">
        <v>2.0795547114129089E-2</v>
      </c>
      <c r="AA2762" s="200">
        <v>2.0767867988924493E-2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58425</v>
      </c>
      <c r="Y2763" s="202">
        <f>_xll.qlInterestRateIndexValueDate(IborIndex,X2763,Trigger)</f>
        <v>58427</v>
      </c>
      <c r="Z2763" s="203">
        <v>2.0791090394492239E-2</v>
      </c>
      <c r="AA2763" s="200">
        <v>2.0763334873681316E-2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58432</v>
      </c>
      <c r="Y2764" s="202">
        <f>_xll.qlInterestRateIndexValueDate(IborIndex,X2764,Trigger)</f>
        <v>58438</v>
      </c>
      <c r="Z2764" s="203">
        <v>2.0784121468648806E-2</v>
      </c>
      <c r="AA2764" s="200">
        <v>2.0757808407236844E-2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58439</v>
      </c>
      <c r="Y2765" s="202">
        <f>_xll.qlInterestRateIndexValueDate(IborIndex,X2765,Trigger)</f>
        <v>58442</v>
      </c>
      <c r="Z2765" s="203">
        <v>2.0781597765495537E-2</v>
      </c>
      <c r="AA2765" s="200">
        <v>2.0753678226119732E-2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58446</v>
      </c>
      <c r="Y2766" s="202">
        <f>_xll.qlInterestRateIndexValueDate(IborIndex,X2766,Trigger)</f>
        <v>58448</v>
      </c>
      <c r="Z2766" s="203">
        <v>2.0777822662428464E-2</v>
      </c>
      <c r="AA2766" s="200">
        <v>2.0749837395905857E-2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58453</v>
      </c>
      <c r="Y2767" s="202">
        <f>_xll.qlInterestRateIndexValueDate(IborIndex,X2767,Trigger)</f>
        <v>58455</v>
      </c>
      <c r="Z2767" s="203">
        <v>2.0773434227166689E-2</v>
      </c>
      <c r="AA2767" s="200">
        <v>2.0745372192738643E-2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58460</v>
      </c>
      <c r="Y2768" s="202">
        <f>_xll.qlInterestRateIndexValueDate(IborIndex,X2768,Trigger)</f>
        <v>58462</v>
      </c>
      <c r="Z2768" s="203">
        <v>2.0769062862854404E-2</v>
      </c>
      <c r="AA2768" s="200">
        <v>2.0740923967590419E-2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58467</v>
      </c>
      <c r="Y2769" s="202">
        <f>_xll.qlInterestRateIndexValueDate(IborIndex,X2769,Trigger)</f>
        <v>58469</v>
      </c>
      <c r="Z2769" s="203">
        <v>2.0764708569438902E-2</v>
      </c>
      <c r="AA2769" s="200">
        <v>2.0736492720301314E-2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58474</v>
      </c>
      <c r="Y2770" s="202">
        <f>_xll.qlInterestRateIndexValueDate(IborIndex,X2770,Trigger)</f>
        <v>58476</v>
      </c>
      <c r="Z2770" s="203">
        <v>2.0760080392463465E-2</v>
      </c>
      <c r="AA2770" s="200">
        <v>2.0732078451271008E-2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58481</v>
      </c>
      <c r="Y2771" s="202">
        <f>_xll.qlInterestRateIndexValueDate(IborIndex,X2771,Trigger)</f>
        <v>58483</v>
      </c>
      <c r="Z2771" s="203">
        <v>2.0755759269856178E-2</v>
      </c>
      <c r="AA2771" s="200">
        <v>2.0727681160179756E-2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58488</v>
      </c>
      <c r="Y2772" s="202">
        <f>_xll.qlInterestRateIndexValueDate(IborIndex,X2772,Trigger)</f>
        <v>58490</v>
      </c>
      <c r="Z2772" s="203">
        <v>2.0751455216946546E-2</v>
      </c>
      <c r="AA2772" s="200">
        <v>2.0723300846947623E-2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58495</v>
      </c>
      <c r="Y2773" s="202">
        <f>_xll.qlInterestRateIndexValueDate(IborIndex,X2773,Trigger)</f>
        <v>58497</v>
      </c>
      <c r="Z2773" s="203">
        <v>2.0747168233682167E-2</v>
      </c>
      <c r="AA2773" s="200">
        <v>2.0718937511814417E-2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58502</v>
      </c>
      <c r="Y2774" s="202">
        <f>_xll.qlInterestRateIndexValueDate(IborIndex,X2774,Trigger)</f>
        <v>58504</v>
      </c>
      <c r="Z2774" s="203">
        <v>2.074348811197246E-2</v>
      </c>
      <c r="AA2774" s="200">
        <v>2.0714591154780138E-2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58509</v>
      </c>
      <c r="Y2775" s="202">
        <f>_xll.qlInterestRateIndexValueDate(IborIndex,X2775,Trigger)</f>
        <v>58511</v>
      </c>
      <c r="Z2775" s="203">
        <v>2.0739237217817522E-2</v>
      </c>
      <c r="AA2775" s="200">
        <v>2.0710261775604977E-2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58516</v>
      </c>
      <c r="Y2776" s="202">
        <f>_xll.qlInterestRateIndexValueDate(IborIndex,X2776,Trigger)</f>
        <v>58518</v>
      </c>
      <c r="Z2776" s="203">
        <v>2.0735003395197203E-2</v>
      </c>
      <c r="AA2776" s="200">
        <v>2.0705949374528743E-2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58523</v>
      </c>
      <c r="Y2777" s="202">
        <f>_xll.qlInterestRateIndexValueDate(IborIndex,X2777,Trigger)</f>
        <v>58525</v>
      </c>
      <c r="Z2777" s="203">
        <v>2.0730786644057635E-2</v>
      </c>
      <c r="AA2777" s="200">
        <v>2.0701653951391563E-2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58530</v>
      </c>
      <c r="Y2778" s="202">
        <f>_xll.qlInterestRateIndexValueDate(IborIndex,X2778,Trigger)</f>
        <v>58532</v>
      </c>
      <c r="Z2778" s="203">
        <v>2.0726288109804925E-2</v>
      </c>
      <c r="AA2778" s="200">
        <v>2.069737550635331E-2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58537</v>
      </c>
      <c r="Y2779" s="202">
        <f>_xll.qlInterestRateIndexValueDate(IborIndex,X2779,Trigger)</f>
        <v>58539</v>
      </c>
      <c r="Z2779" s="203">
        <v>2.0722104522295094E-2</v>
      </c>
      <c r="AA2779" s="200">
        <v>2.0693114039254112E-2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58544</v>
      </c>
      <c r="Y2780" s="202">
        <f>_xll.qlInterestRateIndexValueDate(IborIndex,X2780,Trigger)</f>
        <v>58546</v>
      </c>
      <c r="Z2780" s="203">
        <v>2.0717938005075945E-2</v>
      </c>
      <c r="AA2780" s="200">
        <v>2.068765995742794E-2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58551</v>
      </c>
      <c r="Y2781" s="202">
        <f>_xll.qlInterestRateIndexValueDate(IborIndex,X2781,Trigger)</f>
        <v>58553</v>
      </c>
      <c r="Z2781" s="203">
        <v>2.0713788558092128E-2</v>
      </c>
      <c r="AA2781" s="200">
        <v>2.0684642039032752E-2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58558</v>
      </c>
      <c r="Y2782" s="202">
        <f>_xll.qlInterestRateIndexValueDate(IborIndex,X2782,Trigger)</f>
        <v>58560</v>
      </c>
      <c r="Z2782" s="203">
        <v>2.0709656181292696E-2</v>
      </c>
      <c r="AA2782" s="200">
        <v>2.0679831387235836E-2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58565</v>
      </c>
      <c r="Y2783" s="202">
        <f>_xll.qlInterestRateIndexValueDate(IborIndex,X2783,Trigger)</f>
        <v>58567</v>
      </c>
      <c r="Z2783" s="203">
        <v>2.0705844635214132E-2</v>
      </c>
      <c r="AA2783" s="200">
        <v>2.0676237951047227E-2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58572</v>
      </c>
      <c r="Y2784" s="202">
        <f>_xll.qlInterestRateIndexValueDate(IborIndex,X2784,Trigger)</f>
        <v>58574</v>
      </c>
      <c r="Z2784" s="203">
        <v>2.0701747382901918E-2</v>
      </c>
      <c r="AA2784" s="200">
        <v>2.067206137388311E-2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58579</v>
      </c>
      <c r="Y2785" s="202">
        <f>_xll.qlInterestRateIndexValueDate(IborIndex,X2785,Trigger)</f>
        <v>58581</v>
      </c>
      <c r="Z2785" s="203">
        <v>2.0697667201636891E-2</v>
      </c>
      <c r="AA2785" s="200">
        <v>2.0667901774897857E-2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58586</v>
      </c>
      <c r="Y2786" s="202">
        <f>_xll.qlInterestRateIndexValueDate(IborIndex,X2786,Trigger)</f>
        <v>58588</v>
      </c>
      <c r="Z2786" s="203">
        <v>2.0693604091363442E-2</v>
      </c>
      <c r="AA2786" s="200">
        <v>2.0663168736696491E-2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58593</v>
      </c>
      <c r="Y2787" s="202">
        <f>_xll.qlInterestRateIndexValueDate(IborIndex,X2787,Trigger)</f>
        <v>58595</v>
      </c>
      <c r="Z2787" s="203">
        <v>2.0689558052031171E-2</v>
      </c>
      <c r="AA2787" s="200">
        <v>2.0659633510744513E-2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58600</v>
      </c>
      <c r="Y2788" s="202">
        <f>_xll.qlInterestRateIndexValueDate(IborIndex,X2788,Trigger)</f>
        <v>58602</v>
      </c>
      <c r="Z2788" s="203">
        <v>2.0685529083586215E-2</v>
      </c>
      <c r="AA2788" s="200">
        <v>2.0655524845736295E-2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58607</v>
      </c>
      <c r="Y2789" s="202">
        <f>_xll.qlInterestRateIndexValueDate(IborIndex,X2789,Trigger)</f>
        <v>58609</v>
      </c>
      <c r="Z2789" s="203">
        <v>2.0681517185975572E-2</v>
      </c>
      <c r="AA2789" s="200">
        <v>2.0651433158747068E-2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58614</v>
      </c>
      <c r="Y2790" s="202">
        <f>_xll.qlInterestRateIndexValueDate(IborIndex,X2790,Trigger)</f>
        <v>58616</v>
      </c>
      <c r="Z2790" s="203">
        <v>2.0677522359148843E-2</v>
      </c>
      <c r="AA2790" s="200">
        <v>2.0647358449696895E-2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58621</v>
      </c>
      <c r="Y2791" s="202">
        <f>_xll.qlInterestRateIndexValueDate(IborIndex,X2791,Trigger)</f>
        <v>58623</v>
      </c>
      <c r="Z2791" s="203">
        <v>2.0673544603051295E-2</v>
      </c>
      <c r="AA2791" s="200">
        <v>2.0643300718585778E-2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58628</v>
      </c>
      <c r="Y2792" s="202">
        <f>_xll.qlInterestRateIndexValueDate(IborIndex,X2792,Trigger)</f>
        <v>58630</v>
      </c>
      <c r="Z2792" s="203">
        <v>2.0669583917634266E-2</v>
      </c>
      <c r="AA2792" s="200">
        <v>2.0639259965653522E-2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58635</v>
      </c>
      <c r="Y2793" s="202">
        <f>_xll.qlInterestRateIndexValueDate(IborIndex,X2793,Trigger)</f>
        <v>58637</v>
      </c>
      <c r="Z2793" s="203">
        <v>2.0665640302843888E-2</v>
      </c>
      <c r="AA2793" s="200">
        <v>2.0635236190660322E-2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58642</v>
      </c>
      <c r="Y2794" s="202">
        <f>_xll.qlInterestRateIndexValueDate(IborIndex,X2794,Trigger)</f>
        <v>58644</v>
      </c>
      <c r="Z2794" s="203">
        <v>2.0661713758631507E-2</v>
      </c>
      <c r="AA2794" s="200">
        <v>2.0631229393606176E-2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58649</v>
      </c>
      <c r="Y2795" s="202">
        <f>_xll.qlInterestRateIndexValueDate(IborIndex,X2795,Trigger)</f>
        <v>58651</v>
      </c>
      <c r="Z2795" s="203">
        <v>2.0657804284943248E-2</v>
      </c>
      <c r="AA2795" s="200">
        <v>2.0627239574491085E-2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58656</v>
      </c>
      <c r="Y2796" s="202">
        <f>_xll.qlInterestRateIndexValueDate(IborIndex,X2796,Trigger)</f>
        <v>58658</v>
      </c>
      <c r="Z2796" s="203">
        <v>2.0653911881727851E-2</v>
      </c>
      <c r="AA2796" s="200">
        <v>2.0623266733474921E-2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58663</v>
      </c>
      <c r="Y2797" s="202">
        <f>_xll.qlInterestRateIndexValueDate(IborIndex,X2797,Trigger)</f>
        <v>58665</v>
      </c>
      <c r="Z2797" s="203">
        <v>2.0650036548935793E-2</v>
      </c>
      <c r="AA2797" s="200">
        <v>2.0619310870397811E-2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58670</v>
      </c>
      <c r="Y2798" s="202">
        <f>_xll.qlInterestRateIndexValueDate(IborIndex,X2798,Trigger)</f>
        <v>58672</v>
      </c>
      <c r="Z2798" s="203">
        <v>2.0646178286519278E-2</v>
      </c>
      <c r="AA2798" s="200">
        <v>2.0615371985259756E-2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58677</v>
      </c>
      <c r="Y2799" s="202">
        <f>_xll.qlInterestRateIndexValueDate(IborIndex,X2799,Trigger)</f>
        <v>58679</v>
      </c>
      <c r="Z2799" s="203">
        <v>2.0642337094424444E-2</v>
      </c>
      <c r="AA2799" s="200">
        <v>2.0610891191763514E-2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58684</v>
      </c>
      <c r="Y2800" s="202">
        <f>_xll.qlInterestRateIndexValueDate(IborIndex,X2800,Trigger)</f>
        <v>58686</v>
      </c>
      <c r="Z2800" s="203">
        <v>2.0638192340721766E-2</v>
      </c>
      <c r="AA2800" s="200">
        <v>2.0607545149280426E-2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58691</v>
      </c>
      <c r="Y2801" s="202">
        <f>_xll.qlInterestRateIndexValueDate(IborIndex,X2801,Trigger)</f>
        <v>58693</v>
      </c>
      <c r="Z2801" s="203">
        <v>2.0634384287553143E-2</v>
      </c>
      <c r="AA2801" s="200">
        <v>2.0603657198119407E-2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58698</v>
      </c>
      <c r="Y2802" s="202">
        <f>_xll.qlInterestRateIndexValueDate(IborIndex,X2802,Trigger)</f>
        <v>58700</v>
      </c>
      <c r="Z2802" s="203">
        <v>2.0630593303545552E-2</v>
      </c>
      <c r="AA2802" s="200">
        <v>2.0599786225137251E-2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58705</v>
      </c>
      <c r="Y2803" s="202">
        <f>_xll.qlInterestRateIndexValueDate(IborIndex,X2803,Trigger)</f>
        <v>58707</v>
      </c>
      <c r="Z2803" s="203">
        <v>2.0626819388648923E-2</v>
      </c>
      <c r="AA2803" s="200">
        <v>2.0595932230014213E-2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58712</v>
      </c>
      <c r="Y2804" s="202">
        <f>_xll.qlInterestRateIndexValueDate(IborIndex,X2804,Trigger)</f>
        <v>58714</v>
      </c>
      <c r="Z2804" s="203">
        <v>2.0623062542818451E-2</v>
      </c>
      <c r="AA2804" s="200">
        <v>2.0592095212910166E-2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58719</v>
      </c>
      <c r="Y2805" s="202">
        <f>_xll.qlInterestRateIndexValueDate(IborIndex,X2805,Trigger)</f>
        <v>58721</v>
      </c>
      <c r="Z2805" s="203">
        <v>2.0619648415848534E-2</v>
      </c>
      <c r="AA2805" s="200">
        <v>2.0588275173745174E-2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58726</v>
      </c>
      <c r="Y2806" s="202">
        <f>_xll.qlInterestRateIndexValueDate(IborIndex,X2806,Trigger)</f>
        <v>58728</v>
      </c>
      <c r="Z2806" s="203">
        <v>2.061592671462481E-2</v>
      </c>
      <c r="AA2806" s="200">
        <v>2.0584472112679109E-2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58733</v>
      </c>
      <c r="Y2807" s="202">
        <f>_xll.qlInterestRateIndexValueDate(IborIndex,X2807,Trigger)</f>
        <v>58735</v>
      </c>
      <c r="Z2807" s="203">
        <v>2.0612222083330904E-2</v>
      </c>
      <c r="AA2807" s="200">
        <v>2.0580686029632034E-2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58740</v>
      </c>
      <c r="Y2808" s="202">
        <f>_xll.qlInterestRateIndexValueDate(IborIndex,X2808,Trigger)</f>
        <v>58742</v>
      </c>
      <c r="Z2808" s="203">
        <v>2.0608534521918156E-2</v>
      </c>
      <c r="AA2808" s="200">
        <v>2.0576916924524014E-2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58747</v>
      </c>
      <c r="Y2809" s="202">
        <f>_xll.qlInterestRateIndexValueDate(IborIndex,X2809,Trigger)</f>
        <v>58749</v>
      </c>
      <c r="Z2809" s="203">
        <v>2.0604864030337046E-2</v>
      </c>
      <c r="AA2809" s="200">
        <v>2.0573164797355048E-2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58754</v>
      </c>
      <c r="Y2810" s="202">
        <f>_xll.qlInterestRateIndexValueDate(IborIndex,X2810,Trigger)</f>
        <v>58757</v>
      </c>
      <c r="Z2810" s="203">
        <v>2.060135208701741E-2</v>
      </c>
      <c r="AA2810" s="200">
        <v>2.056889744144641E-2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58761</v>
      </c>
      <c r="Y2811" s="202">
        <f>_xll.qlInterestRateIndexValueDate(IborIndex,X2811,Trigger)</f>
        <v>58763</v>
      </c>
      <c r="Z2811" s="203">
        <v>2.0597574256485531E-2</v>
      </c>
      <c r="AA2811" s="200">
        <v>2.0565711477154025E-2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58768</v>
      </c>
      <c r="Y2812" s="202">
        <f>_xll.qlInterestRateIndexValueDate(IborIndex,X2812,Trigger)</f>
        <v>58771</v>
      </c>
      <c r="Z2812" s="203">
        <v>2.0594105379702337E-2</v>
      </c>
      <c r="AA2812" s="200">
        <v>2.0561482928043162E-2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58775</v>
      </c>
      <c r="Y2813" s="202">
        <f>_xll.qlInterestRateIndexValueDate(IborIndex,X2813,Trigger)</f>
        <v>58777</v>
      </c>
      <c r="Z2813" s="203">
        <v>2.058968540869266E-2</v>
      </c>
      <c r="AA2813" s="200">
        <v>2.0558326068709221E-2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58782</v>
      </c>
      <c r="Y2814" s="202">
        <f>_xll.qlInterestRateIndexValueDate(IborIndex,X2814,Trigger)</f>
        <v>58784</v>
      </c>
      <c r="Z2814" s="203">
        <v>2.0586098236320183E-2</v>
      </c>
      <c r="AA2814" s="200">
        <v>2.0554658831555273E-2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58789</v>
      </c>
      <c r="Y2815" s="202">
        <f>_xll.qlInterestRateIndexValueDate(IborIndex,X2815,Trigger)</f>
        <v>58791</v>
      </c>
      <c r="Z2815" s="203">
        <v>2.0582528131485311E-2</v>
      </c>
      <c r="AA2815" s="200">
        <v>2.0551008572340379E-2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58796</v>
      </c>
      <c r="Y2816" s="202">
        <f>_xll.qlInterestRateIndexValueDate(IborIndex,X2816,Trigger)</f>
        <v>58798</v>
      </c>
      <c r="Z2816" s="203">
        <v>2.0578975094144525E-2</v>
      </c>
      <c r="AA2816" s="200">
        <v>2.054634032918834E-2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58804</v>
      </c>
      <c r="Y2817" s="202">
        <f>_xll.qlInterestRateIndexValueDate(IborIndex,X2817,Trigger)</f>
        <v>58810</v>
      </c>
      <c r="Z2817" s="203">
        <v>2.0572923880901151E-2</v>
      </c>
      <c r="AA2817" s="200">
        <v>2.0542214340997234E-2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58811</v>
      </c>
      <c r="Y2818" s="202">
        <f>_xll.qlInterestRateIndexValueDate(IborIndex,X2818,Trigger)</f>
        <v>58813</v>
      </c>
      <c r="Z2818" s="203">
        <v>2.057141891465708E-2</v>
      </c>
      <c r="AA2818" s="200">
        <v>2.0539646859250027E-2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58818</v>
      </c>
      <c r="Y2819" s="202">
        <f>_xll.qlInterestRateIndexValueDate(IborIndex,X2819,Trigger)</f>
        <v>58820</v>
      </c>
      <c r="Z2819" s="203">
        <v>2.0567919517714195E-2</v>
      </c>
      <c r="AA2819" s="200">
        <v>2.0536066937530961E-2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58825</v>
      </c>
      <c r="Y2820" s="202">
        <f>_xll.qlInterestRateIndexValueDate(IborIndex,X2820,Trigger)</f>
        <v>58827</v>
      </c>
      <c r="Z2820" s="203">
        <v>2.05644371880771E-2</v>
      </c>
      <c r="AA2820" s="200">
        <v>2.0532503993671014E-2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58832</v>
      </c>
      <c r="Y2821" s="202">
        <f>_xll.qlInterestRateIndexValueDate(IborIndex,X2821,Trigger)</f>
        <v>58834</v>
      </c>
      <c r="Z2821" s="203">
        <v>2.0560971925703164E-2</v>
      </c>
      <c r="AA2821" s="200">
        <v>2.0528958027750122E-2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58839</v>
      </c>
      <c r="Y2822" s="202">
        <f>_xll.qlInterestRateIndexValueDate(IborIndex,X2822,Trigger)</f>
        <v>58841</v>
      </c>
      <c r="Z2822" s="203">
        <v>2.0557180906272433E-2</v>
      </c>
      <c r="AA2822" s="200">
        <v>2.052542903984822E-2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58846</v>
      </c>
      <c r="Y2823" s="202">
        <f>_xll.qlInterestRateIndexValueDate(IborIndex,X2823,Trigger)</f>
        <v>58848</v>
      </c>
      <c r="Z2823" s="203">
        <v>2.0553748754690168E-2</v>
      </c>
      <c r="AA2823" s="200">
        <v>2.0521917030045245E-2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58853</v>
      </c>
      <c r="Y2824" s="202">
        <f>_xll.qlInterestRateIndexValueDate(IborIndex,X2824,Trigger)</f>
        <v>58855</v>
      </c>
      <c r="Z2824" s="203">
        <v>2.0550333669236188E-2</v>
      </c>
      <c r="AA2824" s="200">
        <v>2.0518421998181324E-2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58860</v>
      </c>
      <c r="Y2825" s="202">
        <f>_xll.qlInterestRateIndexValueDate(IborIndex,X2825,Trigger)</f>
        <v>58862</v>
      </c>
      <c r="Z2825" s="203">
        <v>2.0546935649872772E-2</v>
      </c>
      <c r="AA2825" s="200">
        <v>2.0514943944176522E-2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58867</v>
      </c>
      <c r="Y2826" s="202">
        <f>_xll.qlInterestRateIndexValueDate(IborIndex,X2826,Trigger)</f>
        <v>58869</v>
      </c>
      <c r="Z2826" s="203">
        <v>2.0545290432102473E-2</v>
      </c>
      <c r="AA2826" s="200">
        <v>2.0511482868270647E-2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58874</v>
      </c>
      <c r="Y2827" s="202">
        <f>_xll.qlInterestRateIndexValueDate(IborIndex,X2827,Trigger)</f>
        <v>58876</v>
      </c>
      <c r="Z2827" s="203">
        <v>2.054193168411295E-2</v>
      </c>
      <c r="AA2827" s="200">
        <v>2.0508038770303827E-2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58881</v>
      </c>
      <c r="Y2828" s="202">
        <f>_xll.qlInterestRateIndexValueDate(IborIndex,X2828,Trigger)</f>
        <v>58883</v>
      </c>
      <c r="Z2828" s="203">
        <v>2.0538590007079992E-2</v>
      </c>
      <c r="AA2828" s="200">
        <v>2.0504611650276061E-2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58888</v>
      </c>
      <c r="Y2829" s="202">
        <f>_xll.qlInterestRateIndexValueDate(IborIndex,X2829,Trigger)</f>
        <v>58890</v>
      </c>
      <c r="Z2829" s="203">
        <v>2.0535265400957677E-2</v>
      </c>
      <c r="AA2829" s="200">
        <v>2.0501201508267286E-2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58895</v>
      </c>
      <c r="Y2830" s="202">
        <f>_xll.qlInterestRateIndexValueDate(IborIndex,X2830,Trigger)</f>
        <v>58897</v>
      </c>
      <c r="Z2830" s="203">
        <v>2.053090373674624E-2</v>
      </c>
      <c r="AA2830" s="200">
        <v>2.0497808344277502E-2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58902</v>
      </c>
      <c r="Y2831" s="202">
        <f>_xll.qlInterestRateIndexValueDate(IborIndex,X2831,Trigger)</f>
        <v>58908</v>
      </c>
      <c r="Z2831" s="203">
        <v>2.0525735804903775E-2</v>
      </c>
      <c r="AA2831" s="200">
        <v>2.0493470651912205E-2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58909</v>
      </c>
      <c r="Y2832" s="202">
        <f>_xll.qlInterestRateIndexValueDate(IborIndex,X2832,Trigger)</f>
        <v>58911</v>
      </c>
      <c r="Z2832" s="203">
        <v>2.0524333683708363E-2</v>
      </c>
      <c r="AA2832" s="200">
        <v>2.0491072950035161E-2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58916</v>
      </c>
      <c r="Y2833" s="202">
        <f>_xll.qlInterestRateIndexValueDate(IborIndex,X2833,Trigger)</f>
        <v>58918</v>
      </c>
      <c r="Z2833" s="203">
        <v>2.0521074258828913E-2</v>
      </c>
      <c r="AA2833" s="200">
        <v>2.0487730719942476E-2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58923</v>
      </c>
      <c r="Y2834" s="202">
        <f>_xll.qlInterestRateIndexValueDate(IborIndex,X2834,Trigger)</f>
        <v>58925</v>
      </c>
      <c r="Z2834" s="203">
        <v>2.0517831901648808E-2</v>
      </c>
      <c r="AA2834" s="200">
        <v>2.0483931817709689E-2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58930</v>
      </c>
      <c r="Y2835" s="202">
        <f>_xll.qlInterestRateIndexValueDate(IborIndex,X2835,Trigger)</f>
        <v>58932</v>
      </c>
      <c r="Z2835" s="203">
        <v>2.0515676250893913E-2</v>
      </c>
      <c r="AA2835" s="200">
        <v>2.048109719381408E-2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58937</v>
      </c>
      <c r="Y2836" s="202">
        <f>_xll.qlInterestRateIndexValueDate(IborIndex,X2836,Trigger)</f>
        <v>58939</v>
      </c>
      <c r="Z2836" s="203">
        <v>2.0512471139924094E-2</v>
      </c>
      <c r="AA2836" s="200">
        <v>2.0477805897538559E-2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58944</v>
      </c>
      <c r="Y2837" s="202">
        <f>_xll.qlInterestRateIndexValueDate(IborIndex,X2837,Trigger)</f>
        <v>58946</v>
      </c>
      <c r="Z2837" s="203">
        <v>2.050928309951711E-2</v>
      </c>
      <c r="AA2837" s="200">
        <v>2.0474531579361965E-2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58951</v>
      </c>
      <c r="Y2838" s="202">
        <f>_xll.qlInterestRateIndexValueDate(IborIndex,X2838,Trigger)</f>
        <v>58953</v>
      </c>
      <c r="Z2838" s="203">
        <v>2.0506472015484469E-2</v>
      </c>
      <c r="AA2838" s="200">
        <v>2.0470810290804664E-2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58958</v>
      </c>
      <c r="Y2839" s="202">
        <f>_xll.qlInterestRateIndexValueDate(IborIndex,X2839,Trigger)</f>
        <v>58960</v>
      </c>
      <c r="Z2839" s="203">
        <v>2.0503319156302317E-2</v>
      </c>
      <c r="AA2839" s="200">
        <v>2.0468033876905878E-2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58965</v>
      </c>
      <c r="Y2840" s="202">
        <f>_xll.qlInterestRateIndexValueDate(IborIndex,X2840,Trigger)</f>
        <v>58967</v>
      </c>
      <c r="Z2840" s="203">
        <v>2.0499821401255634E-2</v>
      </c>
      <c r="AA2840" s="200">
        <v>2.0464810492626384E-2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58972</v>
      </c>
      <c r="Y2841" s="202">
        <f>_xll.qlInterestRateIndexValueDate(IborIndex,X2841,Trigger)</f>
        <v>58974</v>
      </c>
      <c r="Z2841" s="203">
        <v>2.0496701642681601E-2</v>
      </c>
      <c r="AA2841" s="200">
        <v>2.0461604086445817E-2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58979</v>
      </c>
      <c r="Y2842" s="202">
        <f>_xll.qlInterestRateIndexValueDate(IborIndex,X2842,Trigger)</f>
        <v>58981</v>
      </c>
      <c r="Z2842" s="203">
        <v>2.0493598954461213E-2</v>
      </c>
      <c r="AA2842" s="200">
        <v>2.0458414658044433E-2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58986</v>
      </c>
      <c r="Y2843" s="202">
        <f>_xll.qlInterestRateIndexValueDate(IborIndex,X2843,Trigger)</f>
        <v>58988</v>
      </c>
      <c r="Z2843" s="203">
        <v>2.0490513336554498E-2</v>
      </c>
      <c r="AA2843" s="200">
        <v>2.0455242207662039E-2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58993</v>
      </c>
      <c r="Y2844" s="202">
        <f>_xll.qlInterestRateIndexValueDate(IborIndex,X2844,Trigger)</f>
        <v>58995</v>
      </c>
      <c r="Z2844" s="203">
        <v>2.0487810931020676E-2</v>
      </c>
      <c r="AA2844" s="200">
        <v>2.0452086735458508E-2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59000</v>
      </c>
      <c r="Y2845" s="202">
        <f>_xll.qlInterestRateIndexValueDate(IborIndex,X2845,Trigger)</f>
        <v>59002</v>
      </c>
      <c r="Z2845" s="203">
        <v>2.0484393311515411E-2</v>
      </c>
      <c r="AA2845" s="200">
        <v>2.0448948241114095E-2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59007</v>
      </c>
      <c r="Y2846" s="202">
        <f>_xll.qlInterestRateIndexValueDate(IborIndex,X2846,Trigger)</f>
        <v>59009</v>
      </c>
      <c r="Z2846" s="203">
        <v>2.0481358904300553E-2</v>
      </c>
      <c r="AA2846" s="200">
        <v>2.0445826724628802E-2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59014</v>
      </c>
      <c r="Y2847" s="202">
        <f>_xll.qlInterestRateIndexValueDate(IborIndex,X2847,Trigger)</f>
        <v>59016</v>
      </c>
      <c r="Z2847" s="203">
        <v>2.0478341567236092E-2</v>
      </c>
      <c r="AA2847" s="200">
        <v>2.0442722186082563E-2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59021</v>
      </c>
      <c r="Y2848" s="202">
        <f>_xll.qlInterestRateIndexValueDate(IborIndex,X2848,Trigger)</f>
        <v>59023</v>
      </c>
      <c r="Z2848" s="203">
        <v>2.0475341300280364E-2</v>
      </c>
      <c r="AA2848" s="200">
        <v>2.043963462563525E-2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59028</v>
      </c>
      <c r="Y2849" s="202">
        <f>_xll.qlInterestRateIndexValueDate(IborIndex,X2849,Trigger)</f>
        <v>59030</v>
      </c>
      <c r="Z2849" s="203">
        <v>2.0472358103395951E-2</v>
      </c>
      <c r="AA2849" s="200">
        <v>2.0436564043126992E-2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59035</v>
      </c>
      <c r="Y2850" s="202">
        <f>_xll.qlInterestRateIndexValueDate(IborIndex,X2850,Trigger)</f>
        <v>59037</v>
      </c>
      <c r="Z2850" s="203">
        <v>2.0469391976542881E-2</v>
      </c>
      <c r="AA2850" s="200">
        <v>2.0433510438557789E-2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59042</v>
      </c>
      <c r="Y2851" s="202">
        <f>_xll.qlInterestRateIndexValueDate(IborIndex,X2851,Trigger)</f>
        <v>59044</v>
      </c>
      <c r="Z2851" s="203">
        <v>2.046644291967864E-2</v>
      </c>
      <c r="AA2851" s="200">
        <v>2.0430041394225995E-2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59049</v>
      </c>
      <c r="Y2852" s="202">
        <f>_xll.qlInterestRateIndexValueDate(IborIndex,X2852,Trigger)</f>
        <v>59051</v>
      </c>
      <c r="Z2852" s="203">
        <v>2.0462388003023184E-2</v>
      </c>
      <c r="AA2852" s="200">
        <v>2.0427454163476355E-2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59056</v>
      </c>
      <c r="Y2853" s="202">
        <f>_xll.qlInterestRateIndexValueDate(IborIndex,X2853,Trigger)</f>
        <v>59058</v>
      </c>
      <c r="Z2853" s="203">
        <v>2.0459469924509414E-2</v>
      </c>
      <c r="AA2853" s="200">
        <v>2.0424451492884188E-2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59063</v>
      </c>
      <c r="Y2854" s="202">
        <f>_xll.qlInterestRateIndexValueDate(IborIndex,X2854,Trigger)</f>
        <v>59065</v>
      </c>
      <c r="Z2854" s="203">
        <v>2.0456568912903532E-2</v>
      </c>
      <c r="AA2854" s="200">
        <v>2.0421465800071203E-2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59070</v>
      </c>
      <c r="Y2855" s="202">
        <f>_xll.qlInterestRateIndexValueDate(IborIndex,X2855,Trigger)</f>
        <v>59072</v>
      </c>
      <c r="Z2855" s="203">
        <v>2.0453684968172153E-2</v>
      </c>
      <c r="AA2855" s="200">
        <v>2.0418497085437082E-2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59077</v>
      </c>
      <c r="Y2856" s="202">
        <f>_xll.qlInterestRateIndexValueDate(IborIndex,X2856,Trigger)</f>
        <v>59079</v>
      </c>
      <c r="Z2856" s="203">
        <v>2.0450818090273121E-2</v>
      </c>
      <c r="AA2856" s="200">
        <v>2.0415545348742015E-2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59084</v>
      </c>
      <c r="Y2857" s="202">
        <f>_xll.qlInterestRateIndexValueDate(IborIndex,X2857,Trigger)</f>
        <v>59086</v>
      </c>
      <c r="Z2857" s="203">
        <v>2.0449107046119835E-2</v>
      </c>
      <c r="AA2857" s="200">
        <v>2.0412610589906066E-2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59091</v>
      </c>
      <c r="Y2858" s="202">
        <f>_xll.qlInterestRateIndexValueDate(IborIndex,X2858,Trigger)</f>
        <v>59093</v>
      </c>
      <c r="Z2858" s="203">
        <v>2.0446658356827695E-2</v>
      </c>
      <c r="AA2858" s="200">
        <v>2.0409692809169044E-2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59098</v>
      </c>
      <c r="Y2859" s="202">
        <f>_xll.qlInterestRateIndexValueDate(IborIndex,X2859,Trigger)</f>
        <v>59100</v>
      </c>
      <c r="Z2859" s="203">
        <v>2.0443464979776348E-2</v>
      </c>
      <c r="AA2859" s="200">
        <v>2.0406792006371077E-2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59105</v>
      </c>
      <c r="Y2860" s="202">
        <f>_xll.qlInterestRateIndexValueDate(IborIndex,X2860,Trigger)</f>
        <v>59107</v>
      </c>
      <c r="Z2860" s="203">
        <v>2.0440669551091219E-2</v>
      </c>
      <c r="AA2860" s="200">
        <v>2.0403908181512165E-2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59112</v>
      </c>
      <c r="Y2861" s="202">
        <f>_xll.qlInterestRateIndexValueDate(IborIndex,X2861,Trigger)</f>
        <v>59114</v>
      </c>
      <c r="Z2861" s="203">
        <v>2.04378911920148E-2</v>
      </c>
      <c r="AA2861" s="200">
        <v>2.0401041334512371E-2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59119</v>
      </c>
      <c r="Y2862" s="202">
        <f>_xll.qlInterestRateIndexValueDate(IborIndex,X2862,Trigger)</f>
        <v>59124</v>
      </c>
      <c r="Z2862" s="203">
        <v>2.0433180905112043E-2</v>
      </c>
      <c r="AA2862" s="200">
        <v>2.0397785727448436E-2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59126</v>
      </c>
      <c r="Y2863" s="202">
        <f>_xll.qlInterestRateIndexValueDate(IborIndex,X2863,Trigger)</f>
        <v>59128</v>
      </c>
      <c r="Z2863" s="203">
        <v>2.0432771871243535E-2</v>
      </c>
      <c r="AA2863" s="200">
        <v>2.0395358574649691E-2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59133</v>
      </c>
      <c r="Y2864" s="202">
        <f>_xll.qlInterestRateIndexValueDate(IborIndex,X2864,Trigger)</f>
        <v>59135</v>
      </c>
      <c r="Z2864" s="203">
        <v>2.0429658532072098E-2</v>
      </c>
      <c r="AA2864" s="200">
        <v>2.0392542661706869E-2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59140</v>
      </c>
      <c r="Y2865" s="202">
        <f>_xll.qlInterestRateIndexValueDate(IborIndex,X2865,Trigger)</f>
        <v>59142</v>
      </c>
      <c r="Z2865" s="203">
        <v>2.0425396336712254E-2</v>
      </c>
      <c r="AA2865" s="200">
        <v>2.038974372654323E-2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59147</v>
      </c>
      <c r="Y2866" s="202">
        <f>_xll.qlInterestRateIndexValueDate(IborIndex,X2866,Trigger)</f>
        <v>59149</v>
      </c>
      <c r="Z2866" s="203">
        <v>2.0422699058777916E-2</v>
      </c>
      <c r="AA2866" s="200">
        <v>2.038696176963839E-2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59154</v>
      </c>
      <c r="Y2867" s="202">
        <f>_xll.qlInterestRateIndexValueDate(IborIndex,X2867,Trigger)</f>
        <v>59156</v>
      </c>
      <c r="Z2867" s="203">
        <v>2.0420018846301957E-2</v>
      </c>
      <c r="AA2867" s="200">
        <v>2.0384196790512732E-2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59161</v>
      </c>
      <c r="Y2868" s="202">
        <f>_xll.qlInterestRateIndexValueDate(IborIndex,X2868,Trigger)</f>
        <v>59163</v>
      </c>
      <c r="Z2868" s="203">
        <v>2.0417355699247963E-2</v>
      </c>
      <c r="AA2868" s="200">
        <v>2.0380666764561184E-2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59168</v>
      </c>
      <c r="Y2869" s="202">
        <f>_xll.qlInterestRateIndexValueDate(IborIndex,X2869,Trigger)</f>
        <v>59170</v>
      </c>
      <c r="Z2869" s="203">
        <v>2.0415101743071137E-2</v>
      </c>
      <c r="AA2869" s="200">
        <v>2.0378329005934503E-2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59175</v>
      </c>
      <c r="Y2870" s="202">
        <f>_xll.qlInterestRateIndexValueDate(IborIndex,X2870,Trigger)</f>
        <v>59177</v>
      </c>
      <c r="Z2870" s="203">
        <v>2.0412080601278859E-2</v>
      </c>
      <c r="AA2870" s="200">
        <v>2.0376003720929958E-2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59182</v>
      </c>
      <c r="Y2871" s="202">
        <f>_xll.qlInterestRateIndexValueDate(IborIndex,X2871,Trigger)</f>
        <v>59184</v>
      </c>
      <c r="Z2871" s="203">
        <v>2.0409468650293583E-2</v>
      </c>
      <c r="AA2871" s="200">
        <v>2.0373306653720391E-2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59189</v>
      </c>
      <c r="Y2872" s="202">
        <f>_xll.qlInterestRateIndexValueDate(IborIndex,X2872,Trigger)</f>
        <v>59191</v>
      </c>
      <c r="Z2872" s="203">
        <v>2.0406873764597933E-2</v>
      </c>
      <c r="AA2872" s="200">
        <v>2.0370626564369942E-2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59196</v>
      </c>
      <c r="Y2873" s="202">
        <f>_xll.qlInterestRateIndexValueDate(IborIndex,X2873,Trigger)</f>
        <v>59198</v>
      </c>
      <c r="Z2873" s="203">
        <v>2.0404295944158157E-2</v>
      </c>
      <c r="AA2873" s="200">
        <v>2.0367963453198357E-2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59203</v>
      </c>
      <c r="Y2874" s="202">
        <f>_xll.qlInterestRateIndexValueDate(IborIndex,X2874,Trigger)</f>
        <v>59205</v>
      </c>
      <c r="Z2874" s="203">
        <v>2.0401337819567305E-2</v>
      </c>
      <c r="AA2874" s="200">
        <v>2.0365317319726017E-2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59210</v>
      </c>
      <c r="Y2875" s="202">
        <f>_xll.qlInterestRateIndexValueDate(IborIndex,X2875,Trigger)</f>
        <v>59212</v>
      </c>
      <c r="Z2875" s="203">
        <v>2.0398793054448677E-2</v>
      </c>
      <c r="AA2875" s="200">
        <v>2.0362688164352605E-2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59217</v>
      </c>
      <c r="Y2876" s="202">
        <f>_xll.qlInterestRateIndexValueDate(IborIndex,X2876,Trigger)</f>
        <v>59219</v>
      </c>
      <c r="Z2876" s="203">
        <v>2.0396265353507533E-2</v>
      </c>
      <c r="AA2876" s="200">
        <v>2.0360075986838311E-2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59224</v>
      </c>
      <c r="Y2877" s="202">
        <f>_xll.qlInterestRateIndexValueDate(IborIndex,X2877,Trigger)</f>
        <v>59226</v>
      </c>
      <c r="Z2877" s="203">
        <v>2.0393754716712443E-2</v>
      </c>
      <c r="AA2877" s="200">
        <v>2.0357480787422944E-2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59231</v>
      </c>
      <c r="Y2878" s="202">
        <f>_xll.qlInterestRateIndexValueDate(IborIndex,X2878,Trigger)</f>
        <v>59233</v>
      </c>
      <c r="Z2878" s="203">
        <v>2.0393270702943528E-2</v>
      </c>
      <c r="AA2878" s="200">
        <v>2.0354902565786759E-2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59238</v>
      </c>
      <c r="Y2879" s="202">
        <f>_xll.qlInterestRateIndexValueDate(IborIndex,X2879,Trigger)</f>
        <v>59240</v>
      </c>
      <c r="Z2879" s="203">
        <v>2.0390799590726549E-2</v>
      </c>
      <c r="AA2879" s="200">
        <v>2.0352341322169565E-2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59245</v>
      </c>
      <c r="Y2880" s="202">
        <f>_xll.qlInterestRateIndexValueDate(IborIndex,X2880,Trigger)</f>
        <v>59247</v>
      </c>
      <c r="Z2880" s="203">
        <v>2.0388345547456676E-2</v>
      </c>
      <c r="AA2880" s="200">
        <v>2.0349797056651298E-2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59252</v>
      </c>
      <c r="Y2881" s="202">
        <f>_xll.qlInterestRateIndexValueDate(IborIndex,X2881,Trigger)</f>
        <v>59258</v>
      </c>
      <c r="Z2881" s="203">
        <v>2.0383711782554589E-2</v>
      </c>
      <c r="AA2881" s="200">
        <v>2.0346550805223629E-2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59259</v>
      </c>
      <c r="Y2882" s="202">
        <f>_xll.qlInterestRateIndexValueDate(IborIndex,X2882,Trigger)</f>
        <v>59261</v>
      </c>
      <c r="Z2882" s="203">
        <v>2.0382269607514932E-2</v>
      </c>
      <c r="AA2882" s="200">
        <v>2.0344759459351991E-2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59266</v>
      </c>
      <c r="Y2883" s="202">
        <f>_xll.qlInterestRateIndexValueDate(IborIndex,X2883,Trigger)</f>
        <v>59268</v>
      </c>
      <c r="Z2883" s="203">
        <v>2.0379863520924305E-2</v>
      </c>
      <c r="AA2883" s="200">
        <v>2.0342266127491015E-2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59273</v>
      </c>
      <c r="Y2884" s="202">
        <f>_xll.qlInterestRateIndexValueDate(IborIndex,X2884,Trigger)</f>
        <v>59275</v>
      </c>
      <c r="Z2884" s="203">
        <v>2.0377474500216451E-2</v>
      </c>
      <c r="AA2884" s="200">
        <v>2.0339789773728967E-2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59280</v>
      </c>
      <c r="Y2885" s="202">
        <f>_xll.qlInterestRateIndexValueDate(IborIndex,X2885,Trigger)</f>
        <v>59282</v>
      </c>
      <c r="Z2885" s="203">
        <v>2.0375102545363261E-2</v>
      </c>
      <c r="AA2885" s="200">
        <v>2.0337330397905973E-2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59287</v>
      </c>
      <c r="Y2886" s="202">
        <f>_xll.qlInterestRateIndexValueDate(IborIndex,X2886,Trigger)</f>
        <v>59289</v>
      </c>
      <c r="Z2886" s="203">
        <v>2.0373979733876255E-2</v>
      </c>
      <c r="AA2886" s="200">
        <v>2.0334540472015661E-2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59294</v>
      </c>
      <c r="Y2887" s="202">
        <f>_xll.qlInterestRateIndexValueDate(IborIndex,X2887,Trigger)</f>
        <v>59296</v>
      </c>
      <c r="Z2887" s="203">
        <v>2.037164517232197E-2</v>
      </c>
      <c r="AA2887" s="200">
        <v>2.0332462580077149E-2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59301</v>
      </c>
      <c r="Y2888" s="202">
        <f>_xll.qlInterestRateIndexValueDate(IborIndex,X2888,Trigger)</f>
        <v>59303</v>
      </c>
      <c r="Z2888" s="203">
        <v>2.0369327679459676E-2</v>
      </c>
      <c r="AA2888" s="200">
        <v>2.0330054138231191E-2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59308</v>
      </c>
      <c r="Y2889" s="202">
        <f>_xll.qlInterestRateIndexValueDate(IborIndex,X2889,Trigger)</f>
        <v>59310</v>
      </c>
      <c r="Z2889" s="203">
        <v>2.0367027255257908E-2</v>
      </c>
      <c r="AA2889" s="200">
        <v>2.0327662674164415E-2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59315</v>
      </c>
      <c r="Y2890" s="202">
        <f>_xll.qlInterestRateIndexValueDate(IborIndex,X2890,Trigger)</f>
        <v>59317</v>
      </c>
      <c r="Z2890" s="203">
        <v>2.0365159186381283E-2</v>
      </c>
      <c r="AA2890" s="200">
        <v>2.0324950361709782E-2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59322</v>
      </c>
      <c r="Y2891" s="202">
        <f>_xll.qlInterestRateIndexValueDate(IborIndex,X2891,Trigger)</f>
        <v>59324</v>
      </c>
      <c r="Z2891" s="203">
        <v>2.0362893990802385E-2</v>
      </c>
      <c r="AA2891" s="200">
        <v>2.03229306800079E-2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59329</v>
      </c>
      <c r="Y2892" s="202">
        <f>_xll.qlInterestRateIndexValueDate(IborIndex,X2892,Trigger)</f>
        <v>59331</v>
      </c>
      <c r="Z2892" s="203">
        <v>2.0360228394306231E-2</v>
      </c>
      <c r="AA2892" s="200">
        <v>2.0320590149838225E-2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59336</v>
      </c>
      <c r="Y2893" s="202">
        <f>_xll.qlInterestRateIndexValueDate(IborIndex,X2893,Trigger)</f>
        <v>59338</v>
      </c>
      <c r="Z2893" s="203">
        <v>2.0357996244440436E-2</v>
      </c>
      <c r="AA2893" s="200">
        <v>2.031826659768754E-2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59343</v>
      </c>
      <c r="Y2894" s="202">
        <f>_xll.qlInterestRateIndexValueDate(IborIndex,X2894,Trigger)</f>
        <v>59345</v>
      </c>
      <c r="Z2894" s="203">
        <v>2.03557811630838E-2</v>
      </c>
      <c r="AA2894" s="200">
        <v>2.0315960023395974E-2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59350</v>
      </c>
      <c r="Y2895" s="202">
        <f>_xll.qlInterestRateIndexValueDate(IborIndex,X2895,Trigger)</f>
        <v>59352</v>
      </c>
      <c r="Z2895" s="203">
        <v>2.035232161216978E-2</v>
      </c>
      <c r="AA2895" s="200">
        <v>2.0313670427123398E-2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59357</v>
      </c>
      <c r="Y2896" s="202">
        <f>_xll.qlInterestRateIndexValueDate(IborIndex,X2896,Trigger)</f>
        <v>59359</v>
      </c>
      <c r="Z2896" s="203">
        <v>2.0351824055461782E-2</v>
      </c>
      <c r="AA2896" s="200">
        <v>2.0311397808789877E-2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59364</v>
      </c>
      <c r="Y2897" s="202">
        <f>_xll.qlInterestRateIndexValueDate(IborIndex,X2897,Trigger)</f>
        <v>59366</v>
      </c>
      <c r="Z2897" s="203">
        <v>2.0349238329777166E-2</v>
      </c>
      <c r="AA2897" s="200">
        <v>2.0309142168395411E-2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59371</v>
      </c>
      <c r="Y2898" s="202">
        <f>_xll.qlInterestRateIndexValueDate(IborIndex,X2898,Trigger)</f>
        <v>59373</v>
      </c>
      <c r="Z2898" s="203">
        <v>2.0347091522163786E-2</v>
      </c>
      <c r="AA2898" s="200">
        <v>2.0306903505860063E-2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59378</v>
      </c>
      <c r="Y2899" s="202">
        <f>_xll.qlInterestRateIndexValueDate(IborIndex,X2899,Trigger)</f>
        <v>59380</v>
      </c>
      <c r="Z2899" s="203">
        <v>2.0344961782914998E-2</v>
      </c>
      <c r="AA2899" s="200">
        <v>2.0304681821583515E-2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59385</v>
      </c>
      <c r="Y2900" s="202">
        <f>_xll.qlInterestRateIndexValueDate(IborIndex,X2900,Trigger)</f>
        <v>59387</v>
      </c>
      <c r="Z2900" s="203">
        <v>2.0342849112005294E-2</v>
      </c>
      <c r="AA2900" s="200">
        <v>2.0302477115086148E-2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59392</v>
      </c>
      <c r="Y2901" s="202">
        <f>_xll.qlInterestRateIndexValueDate(IborIndex,X2901,Trigger)</f>
        <v>59394</v>
      </c>
      <c r="Z2901" s="203">
        <v>2.0340753509401507E-2</v>
      </c>
      <c r="AA2901" s="200">
        <v>2.0300289386367965E-2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59399</v>
      </c>
      <c r="Y2902" s="202">
        <f>_xll.qlInterestRateIndexValueDate(IborIndex,X2902,Trigger)</f>
        <v>59401</v>
      </c>
      <c r="Z2902" s="203">
        <v>2.0338674975076427E-2</v>
      </c>
      <c r="AA2902" s="200">
        <v>2.0298118635748708E-2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59406</v>
      </c>
      <c r="Y2903" s="202">
        <f>_xll.qlInterestRateIndexValueDate(IborIndex,X2903,Trigger)</f>
        <v>59408</v>
      </c>
      <c r="Z2903" s="203">
        <v>2.033661350900624E-2</v>
      </c>
      <c r="AA2903" s="200">
        <v>2.0295658567199837E-2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59413</v>
      </c>
      <c r="Y2904" s="202">
        <f>_xll.qlInterestRateIndexValueDate(IborIndex,X2904,Trigger)</f>
        <v>59415</v>
      </c>
      <c r="Z2904" s="203">
        <v>2.0333277876035366E-2</v>
      </c>
      <c r="AA2904" s="200">
        <v>2.0293828068407294E-2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59420</v>
      </c>
      <c r="Y2905" s="202">
        <f>_xll.qlInterestRateIndexValueDate(IborIndex,X2905,Trigger)</f>
        <v>59422</v>
      </c>
      <c r="Z2905" s="203">
        <v>2.0331247232133545E-2</v>
      </c>
      <c r="AA2905" s="200">
        <v>2.0291708251685137E-2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59427</v>
      </c>
      <c r="Y2906" s="202">
        <f>_xll.qlInterestRateIndexValueDate(IborIndex,X2906,Trigger)</f>
        <v>59429</v>
      </c>
      <c r="Z2906" s="203">
        <v>2.0329233653489067E-2</v>
      </c>
      <c r="AA2906" s="200">
        <v>2.0289605412822098E-2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59434</v>
      </c>
      <c r="Y2907" s="202">
        <f>_xll.qlInterestRateIndexValueDate(IborIndex,X2907,Trigger)</f>
        <v>59436</v>
      </c>
      <c r="Z2907" s="203">
        <v>2.0327237140078207E-2</v>
      </c>
      <c r="AA2907" s="200">
        <v>2.028751955197805E-2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59441</v>
      </c>
      <c r="Y2908" s="202">
        <f>_xll.qlInterestRateIndexValueDate(IborIndex,X2908,Trigger)</f>
        <v>59443</v>
      </c>
      <c r="Z2908" s="203">
        <v>2.0325257691873738E-2</v>
      </c>
      <c r="AA2908" s="200">
        <v>2.0285450668993121E-2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59448</v>
      </c>
      <c r="Y2909" s="202">
        <f>_xll.qlInterestRateIndexValueDate(IborIndex,X2909,Trigger)</f>
        <v>59450</v>
      </c>
      <c r="Z2909" s="203">
        <v>2.032460314435874E-2</v>
      </c>
      <c r="AA2909" s="200">
        <v>2.0283398764107119E-2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59455</v>
      </c>
      <c r="Y2910" s="202">
        <f>_xll.qlInterestRateIndexValueDate(IborIndex,X2910,Trigger)</f>
        <v>59457</v>
      </c>
      <c r="Z2910" s="203">
        <v>2.0323098454773769E-2</v>
      </c>
      <c r="AA2910" s="200">
        <v>2.0281363837080235E-2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59462</v>
      </c>
      <c r="Y2911" s="202">
        <f>_xll.qlInterestRateIndexValueDate(IborIndex,X2911,Trigger)</f>
        <v>59464</v>
      </c>
      <c r="Z2911" s="203">
        <v>2.0320736234277235E-2</v>
      </c>
      <c r="AA2911" s="200">
        <v>2.0279345887992406E-2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59469</v>
      </c>
      <c r="Y2912" s="202">
        <f>_xll.qlInterestRateIndexValueDate(IborIndex,X2912,Trigger)</f>
        <v>59471</v>
      </c>
      <c r="Z2912" s="203">
        <v>2.0318828381270596E-2</v>
      </c>
      <c r="AA2912" s="200">
        <v>2.0277344916843631E-2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59476</v>
      </c>
      <c r="Y2913" s="202">
        <f>_xll.qlInterestRateIndexValueDate(IborIndex,X2913,Trigger)</f>
        <v>59478</v>
      </c>
      <c r="Z2913" s="203">
        <v>2.0316937596252679E-2</v>
      </c>
      <c r="AA2913" s="200">
        <v>2.0275360923713848E-2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59483</v>
      </c>
      <c r="Y2914" s="202">
        <f>_xll.qlInterestRateIndexValueDate(IborIndex,X2914,Trigger)</f>
        <v>59488</v>
      </c>
      <c r="Z2914" s="203">
        <v>2.0313381998813468E-2</v>
      </c>
      <c r="AA2914" s="200">
        <v>2.0273114292272965E-2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59490</v>
      </c>
      <c r="Y2915" s="202">
        <f>_xll.qlInterestRateIndexValueDate(IborIndex,X2915,Trigger)</f>
        <v>59492</v>
      </c>
      <c r="Z2915" s="203">
        <v>2.0313650093430773E-2</v>
      </c>
      <c r="AA2915" s="200">
        <v>2.0271443871111572E-2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59497</v>
      </c>
      <c r="Y2916" s="202">
        <f>_xll.qlInterestRateIndexValueDate(IborIndex,X2916,Trigger)</f>
        <v>59499</v>
      </c>
      <c r="Z2916" s="203">
        <v>2.0311367648877011E-2</v>
      </c>
      <c r="AA2916" s="200">
        <v>2.0269510811798952E-2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59504</v>
      </c>
      <c r="Y2917" s="202">
        <f>_xll.qlInterestRateIndexValueDate(IborIndex,X2917,Trigger)</f>
        <v>59506</v>
      </c>
      <c r="Z2917" s="203">
        <v>2.03077659855877E-2</v>
      </c>
      <c r="AA2917" s="200">
        <v>2.0267594730425387E-2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59511</v>
      </c>
      <c r="Y2918" s="202">
        <f>_xll.qlInterestRateIndexValueDate(IborIndex,X2918,Trigger)</f>
        <v>59513</v>
      </c>
      <c r="Z2918" s="203">
        <v>2.030595607099972E-2</v>
      </c>
      <c r="AA2918" s="200">
        <v>2.0265695627070812E-2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59518</v>
      </c>
      <c r="Y2919" s="202">
        <f>_xll.qlInterestRateIndexValueDate(IborIndex,X2919,Trigger)</f>
        <v>59520</v>
      </c>
      <c r="Z2919" s="203">
        <v>2.0304163220384197E-2</v>
      </c>
      <c r="AA2919" s="200">
        <v>2.026381350149542E-2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59525</v>
      </c>
      <c r="Y2920" s="202">
        <f>_xll.qlInterestRateIndexValueDate(IborIndex,X2920,Trigger)</f>
        <v>59527</v>
      </c>
      <c r="Z2920" s="203">
        <v>2.0302387433714486E-2</v>
      </c>
      <c r="AA2920" s="200">
        <v>2.0261418572999901E-2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59532</v>
      </c>
      <c r="Y2921" s="202">
        <f>_xll.qlInterestRateIndexValueDate(IborIndex,X2921,Trigger)</f>
        <v>59534</v>
      </c>
      <c r="Z2921" s="203">
        <v>2.0301077787742042E-2</v>
      </c>
      <c r="AA2921" s="200">
        <v>2.0259837546010573E-2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59539</v>
      </c>
      <c r="Y2922" s="202">
        <f>_xll.qlInterestRateIndexValueDate(IborIndex,X2922,Trigger)</f>
        <v>59541</v>
      </c>
      <c r="Z2922" s="203">
        <v>2.029888705213434E-2</v>
      </c>
      <c r="AA2922" s="200">
        <v>2.025826899264338E-2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59546</v>
      </c>
      <c r="Y2923" s="202">
        <f>_xll.qlInterestRateIndexValueDate(IborIndex,X2923,Trigger)</f>
        <v>59548</v>
      </c>
      <c r="Z2923" s="203">
        <v>2.029716245717772E-2</v>
      </c>
      <c r="AA2923" s="200">
        <v>2.0256454778984079E-2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59553</v>
      </c>
      <c r="Y2924" s="202">
        <f>_xll.qlInterestRateIndexValueDate(IborIndex,X2924,Trigger)</f>
        <v>59555</v>
      </c>
      <c r="Z2924" s="203">
        <v>2.0295454926078094E-2</v>
      </c>
      <c r="AA2924" s="200">
        <v>2.0254657543263832E-2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59560</v>
      </c>
      <c r="Y2925" s="202">
        <f>_xll.qlInterestRateIndexValueDate(IborIndex,X2925,Trigger)</f>
        <v>59562</v>
      </c>
      <c r="Z2925" s="203">
        <v>2.0293764458817698E-2</v>
      </c>
      <c r="AA2925" s="200">
        <v>2.0252877285402704E-2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59567</v>
      </c>
      <c r="Y2926" s="202">
        <f>_xll.qlInterestRateIndexValueDate(IborIndex,X2926,Trigger)</f>
        <v>59569</v>
      </c>
      <c r="Z2926" s="203">
        <v>2.0291636488582707E-2</v>
      </c>
      <c r="AA2926" s="200">
        <v>2.0251114005400694E-2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59574</v>
      </c>
      <c r="Y2927" s="202">
        <f>_xll.qlInterestRateIndexValueDate(IborIndex,X2927,Trigger)</f>
        <v>59576</v>
      </c>
      <c r="Z2927" s="203">
        <v>2.0289979023280624E-2</v>
      </c>
      <c r="AA2927" s="200">
        <v>2.0249367703497612E-2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59581</v>
      </c>
      <c r="Y2928" s="202">
        <f>_xll.qlInterestRateIndexValueDate(IborIndex,X2928,Trigger)</f>
        <v>59583</v>
      </c>
      <c r="Z2928" s="203">
        <v>2.0288338620786332E-2</v>
      </c>
      <c r="AA2928" s="200">
        <v>2.0247638379533583E-2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59588</v>
      </c>
      <c r="Y2929" s="202">
        <f>_xll.qlInterestRateIndexValueDate(IborIndex,X2929,Trigger)</f>
        <v>59590</v>
      </c>
      <c r="Z2929" s="203">
        <v>2.0286715281080978E-2</v>
      </c>
      <c r="AA2929" s="200">
        <v>2.0245926033588546E-2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59595</v>
      </c>
      <c r="Y2930" s="202">
        <f>_xll.qlInterestRateIndexValueDate(IborIndex,X2930,Trigger)</f>
        <v>59597</v>
      </c>
      <c r="Z2930" s="203">
        <v>2.028740562967922E-2</v>
      </c>
      <c r="AA2930" s="200">
        <v>2.0244230665342755E-2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59602</v>
      </c>
      <c r="Y2931" s="202">
        <f>_xll.qlInterestRateIndexValueDate(IborIndex,X2931,Trigger)</f>
        <v>59604</v>
      </c>
      <c r="Z2931" s="203">
        <v>2.0285822064373103E-2</v>
      </c>
      <c r="AA2931" s="200">
        <v>2.0242552275355763E-2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59609</v>
      </c>
      <c r="Y2932" s="202">
        <f>_xll.qlInterestRateIndexValueDate(IborIndex,X2932,Trigger)</f>
        <v>59611</v>
      </c>
      <c r="Z2932" s="203">
        <v>2.0284255566616061E-2</v>
      </c>
      <c r="AA2932" s="200">
        <v>2.0240890862988081E-2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59616</v>
      </c>
      <c r="Y2933" s="202">
        <f>_xll.qlInterestRateIndexValueDate(IborIndex,X2933,Trigger)</f>
        <v>59618</v>
      </c>
      <c r="Z2933" s="203">
        <v>2.0282706136386833E-2</v>
      </c>
      <c r="AA2933" s="200">
        <v>2.0239246428719326E-2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59623</v>
      </c>
      <c r="Y2934" s="202">
        <f>_xll.qlInterestRateIndexValueDate(IborIndex,X2934,Trigger)</f>
        <v>59625</v>
      </c>
      <c r="Z2934" s="203">
        <v>2.0279781847163586E-2</v>
      </c>
      <c r="AA2934" s="200">
        <v>2.0237618972389626E-2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59630</v>
      </c>
      <c r="Y2935" s="202">
        <f>_xll.qlInterestRateIndexValueDate(IborIndex,X2935,Trigger)</f>
        <v>59632</v>
      </c>
      <c r="Z2935" s="203">
        <v>2.0278263150629781E-2</v>
      </c>
      <c r="AA2935" s="200">
        <v>2.023600849399898E-2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59637</v>
      </c>
      <c r="Y2936" s="202">
        <f>_xll.qlInterestRateIndexValueDate(IborIndex,X2936,Trigger)</f>
        <v>59643</v>
      </c>
      <c r="Z2936" s="203">
        <v>2.0275911104908517E-2</v>
      </c>
      <c r="AA2936" s="200">
        <v>2.023396282604395E-2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59644</v>
      </c>
      <c r="Y2937" s="202">
        <f>_xll.qlInterestRateIndexValueDate(IborIndex,X2937,Trigger)</f>
        <v>59646</v>
      </c>
      <c r="Z2937" s="203">
        <v>2.0275276951273419E-2</v>
      </c>
      <c r="AA2937" s="200">
        <v>2.0232838471034853E-2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59651</v>
      </c>
      <c r="Y2938" s="202">
        <f>_xll.qlInterestRateIndexValueDate(IborIndex,X2938,Trigger)</f>
        <v>59653</v>
      </c>
      <c r="Z2938" s="203">
        <v>2.0273809448409577E-2</v>
      </c>
      <c r="AA2938" s="200">
        <v>2.0231278926541307E-2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59658</v>
      </c>
      <c r="Y2939" s="202">
        <f>_xll.qlInterestRateIndexValueDate(IborIndex,X2939,Trigger)</f>
        <v>59660</v>
      </c>
      <c r="Z2939" s="203">
        <v>2.0273767971977372E-2</v>
      </c>
      <c r="AA2939" s="200">
        <v>2.022951737915335E-2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59665</v>
      </c>
      <c r="Y2940" s="202">
        <f>_xll.qlInterestRateIndexValueDate(IborIndex,X2940,Trigger)</f>
        <v>59667</v>
      </c>
      <c r="Z2940" s="203">
        <v>2.0272338013883309E-2</v>
      </c>
      <c r="AA2940" s="200">
        <v>2.0228210771131572E-2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59672</v>
      </c>
      <c r="Y2941" s="202">
        <f>_xll.qlInterestRateIndexValueDate(IborIndex,X2941,Trigger)</f>
        <v>59674</v>
      </c>
      <c r="Z2941" s="203">
        <v>2.0270925123161442E-2</v>
      </c>
      <c r="AA2941" s="200">
        <v>2.0226702160375254E-2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59679</v>
      </c>
      <c r="Y2942" s="202">
        <f>_xll.qlInterestRateIndexValueDate(IborIndex,X2942,Trigger)</f>
        <v>59681</v>
      </c>
      <c r="Z2942" s="203">
        <v>2.027000262560379E-2</v>
      </c>
      <c r="AA2942" s="200">
        <v>2.0224998823143991E-2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59686</v>
      </c>
      <c r="Y2943" s="202">
        <f>_xll.qlInterestRateIndexValueDate(IborIndex,X2943,Trigger)</f>
        <v>59688</v>
      </c>
      <c r="Z2943" s="203">
        <v>2.0268625011303262E-2</v>
      </c>
      <c r="AA2943" s="200">
        <v>2.0223735872839654E-2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59693</v>
      </c>
      <c r="Y2944" s="202">
        <f>_xll.qlInterestRateIndexValueDate(IborIndex,X2944,Trigger)</f>
        <v>59695</v>
      </c>
      <c r="Z2944" s="203">
        <v>2.0266788855028334E-2</v>
      </c>
      <c r="AA2944" s="200">
        <v>2.0222278195820564E-2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59700</v>
      </c>
      <c r="Y2945" s="202">
        <f>_xll.qlInterestRateIndexValueDate(IborIndex,X2945,Trigger)</f>
        <v>59702</v>
      </c>
      <c r="Z2945" s="203">
        <v>2.0265444233600514E-2</v>
      </c>
      <c r="AA2945" s="200">
        <v>2.0220837496820465E-2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59707</v>
      </c>
      <c r="Y2946" s="202">
        <f>_xll.qlInterestRateIndexValueDate(IborIndex,X2946,Trigger)</f>
        <v>59709</v>
      </c>
      <c r="Z2946" s="203">
        <v>2.0264116679452202E-2</v>
      </c>
      <c r="AA2946" s="200">
        <v>2.0219413775839357E-2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59714</v>
      </c>
      <c r="Y2947" s="202">
        <f>_xll.qlInterestRateIndexValueDate(IborIndex,X2947,Trigger)</f>
        <v>59716</v>
      </c>
      <c r="Z2947" s="203">
        <v>2.0261369823805331E-2</v>
      </c>
      <c r="AA2947" s="200">
        <v>2.0218007032637431E-2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59721</v>
      </c>
      <c r="Y2948" s="202">
        <f>_xll.qlInterestRateIndexValueDate(IborIndex,X2948,Trigger)</f>
        <v>59723</v>
      </c>
      <c r="Z2948" s="203">
        <v>2.0261992963588046E-2</v>
      </c>
      <c r="AA2948" s="200">
        <v>2.0216617267534431E-2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59728</v>
      </c>
      <c r="Y2949" s="202">
        <f>_xll.qlInterestRateIndexValueDate(IborIndex,X2949,Trigger)</f>
        <v>59730</v>
      </c>
      <c r="Z2949" s="203">
        <v>2.0260236420499754E-2</v>
      </c>
      <c r="AA2949" s="200">
        <v>2.0215244480290551E-2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59735</v>
      </c>
      <c r="Y2950" s="202">
        <f>_xll.qlInterestRateIndexValueDate(IborIndex,X2950,Trigger)</f>
        <v>59737</v>
      </c>
      <c r="Z2950" s="203">
        <v>2.0258977135288327E-2</v>
      </c>
      <c r="AA2950" s="200">
        <v>2.0213888671145597E-2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59742</v>
      </c>
      <c r="Y2951" s="202">
        <f>_xll.qlInterestRateIndexValueDate(IborIndex,X2951,Trigger)</f>
        <v>59744</v>
      </c>
      <c r="Z2951" s="203">
        <v>2.0257734917272216E-2</v>
      </c>
      <c r="AA2951" s="200">
        <v>2.0212549839699889E-2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59749</v>
      </c>
      <c r="Y2952" s="202">
        <f>_xll.qlInterestRateIndexValueDate(IborIndex,X2952,Trigger)</f>
        <v>59751</v>
      </c>
      <c r="Z2952" s="203">
        <v>2.0256509766431015E-2</v>
      </c>
      <c r="AA2952" s="200">
        <v>2.0211227986193236E-2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59756</v>
      </c>
      <c r="Y2953" s="202">
        <f>_xll.qlInterestRateIndexValueDate(IborIndex,X2953,Trigger)</f>
        <v>59758</v>
      </c>
      <c r="Z2953" s="203">
        <v>2.0255787620573878E-2</v>
      </c>
      <c r="AA2953" s="200">
        <v>2.0209923110865446E-2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59763</v>
      </c>
      <c r="Y2954" s="202">
        <f>_xll.qlInterestRateIndexValueDate(IborIndex,X2954,Trigger)</f>
        <v>59765</v>
      </c>
      <c r="Z2954" s="203">
        <v>2.0254110666211252E-2</v>
      </c>
      <c r="AA2954" s="200">
        <v>2.0208635213156967E-2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59770</v>
      </c>
      <c r="Y2955" s="202">
        <f>_xll.qlInterestRateIndexValueDate(IborIndex,X2955,Trigger)</f>
        <v>59772</v>
      </c>
      <c r="Z2955" s="203">
        <v>2.0252936716800379E-2</v>
      </c>
      <c r="AA2955" s="200">
        <v>2.0207184119751531E-2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59777</v>
      </c>
      <c r="Y2956" s="202">
        <f>_xll.qlInterestRateIndexValueDate(IborIndex,X2956,Trigger)</f>
        <v>59779</v>
      </c>
      <c r="Z2956" s="203">
        <v>2.0250312412382798E-2</v>
      </c>
      <c r="AA2956" s="200">
        <v>2.0206110352036788E-2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59784</v>
      </c>
      <c r="Y2957" s="202">
        <f>_xll.qlInterestRateIndexValueDate(IborIndex,X2957,Trigger)</f>
        <v>59786</v>
      </c>
      <c r="Z2957" s="203">
        <v>2.0249169132399585E-2</v>
      </c>
      <c r="AA2957" s="200">
        <v>2.0204873388225408E-2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59791</v>
      </c>
      <c r="Y2958" s="202">
        <f>_xll.qlInterestRateIndexValueDate(IborIndex,X2958,Trigger)</f>
        <v>59793</v>
      </c>
      <c r="Z2958" s="203">
        <v>2.0248042916618733E-2</v>
      </c>
      <c r="AA2958" s="200">
        <v>2.0203653402512955E-2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59798</v>
      </c>
      <c r="Y2959" s="202">
        <f>_xll.qlInterestRateIndexValueDate(IborIndex,X2959,Trigger)</f>
        <v>59800</v>
      </c>
      <c r="Z2959" s="203">
        <v>2.0246933765026183E-2</v>
      </c>
      <c r="AA2959" s="200">
        <v>2.0202450394659621E-2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59805</v>
      </c>
      <c r="Y2960" s="202">
        <f>_xll.qlInterestRateIndexValueDate(IborIndex,X2960,Trigger)</f>
        <v>59807</v>
      </c>
      <c r="Z2960" s="203">
        <v>2.0247322976128062E-2</v>
      </c>
      <c r="AA2960" s="200">
        <v>2.0201264364825278E-2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59812</v>
      </c>
      <c r="Y2961" s="202">
        <f>_xll.qlInterestRateIndexValueDate(IborIndex,X2961,Trigger)</f>
        <v>59814</v>
      </c>
      <c r="Z2961" s="203">
        <v>2.0246251429163711E-2</v>
      </c>
      <c r="AA2961" s="200">
        <v>2.0200095312929989E-2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59819</v>
      </c>
      <c r="Y2962" s="202">
        <f>_xll.qlInterestRateIndexValueDate(IborIndex,X2962,Trigger)</f>
        <v>59821</v>
      </c>
      <c r="Z2962" s="203">
        <v>2.0245196949223748E-2</v>
      </c>
      <c r="AA2962" s="200">
        <v>2.0198943238733946E-2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59826</v>
      </c>
      <c r="Y2963" s="202">
        <f>_xll.qlInterestRateIndexValueDate(IborIndex,X2963,Trigger)</f>
        <v>59828</v>
      </c>
      <c r="Z2963" s="203">
        <v>2.024465704045229E-2</v>
      </c>
      <c r="AA2963" s="200">
        <v>2.0197808142636831E-2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59833</v>
      </c>
      <c r="Y2964" s="202">
        <f>_xll.qlInterestRateIndexValueDate(IborIndex,X2964,Trigger)</f>
        <v>59835</v>
      </c>
      <c r="Z2964" s="203">
        <v>2.0243139190355766E-2</v>
      </c>
      <c r="AA2964" s="200">
        <v>2.0196690024558706E-2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59840</v>
      </c>
      <c r="Y2965" s="202">
        <f>_xll.qlInterestRateIndexValueDate(IborIndex,X2965,Trigger)</f>
        <v>59842</v>
      </c>
      <c r="Z2965" s="203">
        <v>2.0242135911403083E-2</v>
      </c>
      <c r="AA2965" s="200">
        <v>2.0195588884259763E-2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59847</v>
      </c>
      <c r="Y2966" s="202">
        <f>_xll.qlInterestRateIndexValueDate(IborIndex,X2966,Trigger)</f>
        <v>59849</v>
      </c>
      <c r="Z2966" s="203">
        <v>2.0241149699416965E-2</v>
      </c>
      <c r="AA2966" s="200">
        <v>2.0194504721979811E-2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59854</v>
      </c>
      <c r="Y2967" s="202">
        <f>_xll.qlInterestRateIndexValueDate(IborIndex,X2967,Trigger)</f>
        <v>59856</v>
      </c>
      <c r="Z2967" s="203">
        <v>2.0240682711947258E-2</v>
      </c>
      <c r="AA2967" s="200">
        <v>2.019343753771885E-2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59861</v>
      </c>
      <c r="Y2968" s="202">
        <f>_xll.qlInterestRateIndexValueDate(IborIndex,X2968,Trigger)</f>
        <v>59863</v>
      </c>
      <c r="Z2968" s="203">
        <v>2.0239228476298499E-2</v>
      </c>
      <c r="AA2968" s="200">
        <v>2.0192387331237072E-2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59868</v>
      </c>
      <c r="Y2969" s="202">
        <f>_xll.qlInterestRateIndexValueDate(IborIndex,X2969,Trigger)</f>
        <v>59870</v>
      </c>
      <c r="Z2969" s="203">
        <v>2.023678077635397E-2</v>
      </c>
      <c r="AA2969" s="200">
        <v>2.0191354102774284E-2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59875</v>
      </c>
      <c r="Y2970" s="202">
        <f>_xll.qlInterestRateIndexValueDate(IborIndex,X2970,Trigger)</f>
        <v>59877</v>
      </c>
      <c r="Z2970" s="203">
        <v>2.0235859329926241E-2</v>
      </c>
      <c r="AA2970" s="200">
        <v>2.0190337852250551E-2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59882</v>
      </c>
      <c r="Y2971" s="202">
        <f>_xll.qlInterestRateIndexValueDate(IborIndex,X2971,Trigger)</f>
        <v>59884</v>
      </c>
      <c r="Z2971" s="203">
        <v>2.0234954947528697E-2</v>
      </c>
      <c r="AA2971" s="200">
        <v>2.0189338579506E-2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59889</v>
      </c>
      <c r="Y2972" s="202">
        <f>_xll.qlInterestRateIndexValueDate(IborIndex,X2972,Trigger)</f>
        <v>59891</v>
      </c>
      <c r="Z2972" s="203">
        <v>2.0234067629149925E-2</v>
      </c>
      <c r="AA2972" s="200">
        <v>2.0188078747827021E-2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59897</v>
      </c>
      <c r="Y2973" s="202">
        <f>_xll.qlInterestRateIndexValueDate(IborIndex,X2973,Trigger)</f>
        <v>59901</v>
      </c>
      <c r="Z2973" s="203">
        <v>2.0232829632290613E-2</v>
      </c>
      <c r="AA2973" s="200">
        <v>2.0187118281800309E-2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59904</v>
      </c>
      <c r="Y2974" s="202">
        <f>_xll.qlInterestRateIndexValueDate(IborIndex,X2974,Trigger)</f>
        <v>59908</v>
      </c>
      <c r="Z2974" s="203">
        <v>2.023249420254114E-2</v>
      </c>
      <c r="AA2974" s="200">
        <v>2.0186308538328035E-2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59911</v>
      </c>
      <c r="Y2975" s="202">
        <f>_xll.qlInterestRateIndexValueDate(IborIndex,X2975,Trigger)</f>
        <v>59915</v>
      </c>
      <c r="Z2975" s="203">
        <v>2.0231154941796201E-2</v>
      </c>
      <c r="AA2975" s="200">
        <v>2.0185379602839504E-2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59918</v>
      </c>
      <c r="Y2976" s="202">
        <f>_xll.qlInterestRateIndexValueDate(IborIndex,X2976,Trigger)</f>
        <v>59923</v>
      </c>
      <c r="Z2976" s="203">
        <v>2.0230228621301603E-2</v>
      </c>
      <c r="AA2976" s="200">
        <v>2.0184338751754183E-2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59925</v>
      </c>
      <c r="Y2977" s="202">
        <f>_xll.qlInterestRateIndexValueDate(IborIndex,X2977,Trigger)</f>
        <v>59929</v>
      </c>
      <c r="Z2977" s="203">
        <v>2.0229548507181859E-2</v>
      </c>
      <c r="AA2977" s="200">
        <v>2.0183572665919414E-2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59932</v>
      </c>
      <c r="Y2978" s="202">
        <f>_xll.qlInterestRateIndexValueDate(IborIndex,X2978,Trigger)</f>
        <v>59936</v>
      </c>
      <c r="Z2978" s="203">
        <v>2.0229286028883974E-2</v>
      </c>
      <c r="AA2978" s="200">
        <v>2.0182694664248046E-2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59939</v>
      </c>
      <c r="Y2979" s="202">
        <f>_xll.qlInterestRateIndexValueDate(IborIndex,X2979,Trigger)</f>
        <v>59943</v>
      </c>
      <c r="Z2979" s="203">
        <v>2.0228010328361499E-2</v>
      </c>
      <c r="AA2979" s="200">
        <v>2.0181833640515734E-2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59946</v>
      </c>
      <c r="Y2980" s="202">
        <f>_xll.qlInterestRateIndexValueDate(IborIndex,X2980,Trigger)</f>
        <v>59951</v>
      </c>
      <c r="Z2980" s="203">
        <v>2.0226644481302181E-2</v>
      </c>
      <c r="AA2980" s="200">
        <v>2.0180870402786155E-2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59953</v>
      </c>
      <c r="Y2981" s="202">
        <f>_xll.qlInterestRateIndexValueDate(IborIndex,X2981,Trigger)</f>
        <v>59957</v>
      </c>
      <c r="Z2981" s="203">
        <v>2.0227059080091647E-2</v>
      </c>
      <c r="AA2981" s="200">
        <v>2.0180162526868273E-2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59960</v>
      </c>
      <c r="Y2982" s="202">
        <f>_xll.qlInterestRateIndexValueDate(IborIndex,X2982,Trigger)</f>
        <v>59964</v>
      </c>
      <c r="Z2982" s="203">
        <v>2.022635089357526E-2</v>
      </c>
      <c r="AA2982" s="200">
        <v>2.0179352436953124E-2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59967</v>
      </c>
      <c r="Y2983" s="202">
        <f>_xll.qlInterestRateIndexValueDate(IborIndex,X2983,Trigger)</f>
        <v>59971</v>
      </c>
      <c r="Z2983" s="203">
        <v>2.0225659771917096E-2</v>
      </c>
      <c r="AA2983" s="200">
        <v>2.0178559324897094E-2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59974</v>
      </c>
      <c r="Y2984" s="202">
        <f>_xll.qlInterestRateIndexValueDate(IborIndex,X2984,Trigger)</f>
        <v>59978</v>
      </c>
      <c r="Z2984" s="203">
        <v>2.0224985715107599E-2</v>
      </c>
      <c r="AA2984" s="200">
        <v>2.0177783191019927E-2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59981</v>
      </c>
      <c r="Y2985" s="202">
        <f>_xll.qlInterestRateIndexValueDate(IborIndex,X2985,Trigger)</f>
        <v>59985</v>
      </c>
      <c r="Z2985" s="203">
        <v>2.0224328723138944E-2</v>
      </c>
      <c r="AA2985" s="200">
        <v>2.0177024034842006E-2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59988</v>
      </c>
      <c r="Y2986" s="202">
        <f>_xll.qlInterestRateIndexValueDate(IborIndex,X2986,Trigger)</f>
        <v>59992</v>
      </c>
      <c r="Z2986" s="203">
        <v>2.0223164215783896E-2</v>
      </c>
      <c r="AA2986" s="200">
        <v>2.0176281856683076E-2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59995</v>
      </c>
      <c r="Y2987" s="202">
        <f>_xll.qlInterestRateIndexValueDate(IborIndex,X2987,Trigger)</f>
        <v>60001</v>
      </c>
      <c r="Z2987" s="203">
        <v>2.0222365004770045E-2</v>
      </c>
      <c r="AA2987" s="200">
        <v>2.0176381859062786E-2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60002</v>
      </c>
      <c r="Y2988" s="202">
        <f>_xll.qlInterestRateIndexValueDate(IborIndex,X2988,Trigger)</f>
        <v>60006</v>
      </c>
      <c r="Z2988" s="203">
        <v>2.0221933187121153E-2</v>
      </c>
      <c r="AA2988" s="200">
        <v>2.017484843418238E-2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60009</v>
      </c>
      <c r="Y2989" s="202">
        <f>_xll.qlInterestRateIndexValueDate(IborIndex,X2989,Trigger)</f>
        <v>60013</v>
      </c>
      <c r="Z2989" s="203">
        <v>2.0221343268570221E-2</v>
      </c>
      <c r="AA2989" s="200">
        <v>2.0174157189680741E-2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60016</v>
      </c>
      <c r="Y2990" s="202">
        <f>_xll.qlInterestRateIndexValueDate(IborIndex,X2990,Trigger)</f>
        <v>60020</v>
      </c>
      <c r="Z2990" s="203">
        <v>2.02207704138615E-2</v>
      </c>
      <c r="AA2990" s="200">
        <v>2.0173482923357966E-2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60023</v>
      </c>
      <c r="Y2991" s="202">
        <f>_xll.qlInterestRateIndexValueDate(IborIndex,X2991,Trigger)</f>
        <v>60028</v>
      </c>
      <c r="Z2991" s="203">
        <v>2.0220667296545723E-2</v>
      </c>
      <c r="AA2991" s="200">
        <v>2.0172733122416631E-2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60030</v>
      </c>
      <c r="Y2992" s="202">
        <f>_xll.qlInterestRateIndexValueDate(IborIndex,X2992,Trigger)</f>
        <v>60034</v>
      </c>
      <c r="Z2992" s="203">
        <v>2.0220207594203444E-2</v>
      </c>
      <c r="AA2992" s="200">
        <v>2.0172185324289771E-2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60037</v>
      </c>
      <c r="Y2993" s="202">
        <f>_xll.qlInterestRateIndexValueDate(IborIndex,X2993,Trigger)</f>
        <v>60041</v>
      </c>
      <c r="Z2993" s="203">
        <v>2.0219687120670477E-2</v>
      </c>
      <c r="AA2993" s="200">
        <v>2.0171561991624287E-2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60044</v>
      </c>
      <c r="Y2994" s="202">
        <f>_xll.qlInterestRateIndexValueDate(IborIndex,X2994,Trigger)</f>
        <v>60049</v>
      </c>
      <c r="Z2994" s="203">
        <v>2.0219113189413173E-2</v>
      </c>
      <c r="AA2994" s="200">
        <v>2.0170870400759711E-2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60051</v>
      </c>
      <c r="Y2995" s="202">
        <f>_xll.qlInterestRateIndexValueDate(IborIndex,X2995,Trigger)</f>
        <v>60055</v>
      </c>
      <c r="Z2995" s="203">
        <v>2.0218697367910727E-2</v>
      </c>
      <c r="AA2995" s="200">
        <v>2.0170366260270356E-2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60058</v>
      </c>
      <c r="Y2996" s="202">
        <f>_xll.qlInterestRateIndexValueDate(IborIndex,X2996,Trigger)</f>
        <v>60062</v>
      </c>
      <c r="Z2996" s="203">
        <v>2.0218228088672647E-2</v>
      </c>
      <c r="AA2996" s="200">
        <v>2.0169793861262164E-2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60065</v>
      </c>
      <c r="Y2997" s="202">
        <f>_xll.qlInterestRateIndexValueDate(IborIndex,X2997,Trigger)</f>
        <v>60069</v>
      </c>
      <c r="Z2997" s="203">
        <v>2.0217775874186789E-2</v>
      </c>
      <c r="AA2997" s="200">
        <v>2.0169238440352899E-2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60072</v>
      </c>
      <c r="Y2998" s="202">
        <f>_xll.qlInterestRateIndexValueDate(IborIndex,X2998,Trigger)</f>
        <v>60076</v>
      </c>
      <c r="Z2998" s="203">
        <v>2.0217340724447072E-2</v>
      </c>
      <c r="AA2998" s="200">
        <v>2.0168699997382689E-2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60079</v>
      </c>
      <c r="Y2999" s="202">
        <f>_xll.qlInterestRateIndexValueDate(IborIndex,X2999,Trigger)</f>
        <v>60083</v>
      </c>
      <c r="Z2999" s="203">
        <v>2.0216922639449145E-2</v>
      </c>
      <c r="AA2999" s="200">
        <v>2.0168178532431469E-2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60086</v>
      </c>
      <c r="Y3000" s="202">
        <f>_xll.qlInterestRateIndexValueDate(IborIndex,X3000,Trigger)</f>
        <v>60090</v>
      </c>
      <c r="Z3000" s="203">
        <v>2.0216521619187799E-2</v>
      </c>
      <c r="AA3000" s="200">
        <v>2.0167674045259432E-2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60093</v>
      </c>
      <c r="Y3001" s="202">
        <f>_xll.qlInterestRateIndexValueDate(IborIndex,X3001,Trigger)</f>
        <v>60097</v>
      </c>
      <c r="Z3001" s="203">
        <v>2.0216137663653475E-2</v>
      </c>
      <c r="AA3001" s="200">
        <v>2.0167186536106385E-2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60100</v>
      </c>
      <c r="Y3002" s="202">
        <f>_xll.qlInterestRateIndexValueDate(IborIndex,X3002,Trigger)</f>
        <v>60104</v>
      </c>
      <c r="Z3002" s="203">
        <v>2.0215770772847912E-2</v>
      </c>
      <c r="AA3002" s="200">
        <v>2.0166716004892393E-2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60107</v>
      </c>
      <c r="Y3003" s="202">
        <f>_xll.qlInterestRateIndexValueDate(IborIndex,X3003,Trigger)</f>
        <v>60111</v>
      </c>
      <c r="Z3003" s="203">
        <v>2.0215420946762423E-2</v>
      </c>
      <c r="AA3003" s="200">
        <v>2.0166262451457584E-2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60114</v>
      </c>
      <c r="Y3004" s="202">
        <f>_xll.qlInterestRateIndexValueDate(IborIndex,X3004,Trigger)</f>
        <v>60118</v>
      </c>
      <c r="Z3004" s="203">
        <v>2.021508818539092E-2</v>
      </c>
      <c r="AA3004" s="200">
        <v>2.0165825876041765E-2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60121</v>
      </c>
      <c r="Y3005" s="202">
        <f>_xll.qlInterestRateIndexValueDate(IborIndex,X3005,Trigger)</f>
        <v>60125</v>
      </c>
      <c r="Z3005" s="203">
        <v>2.0215319862578487E-2</v>
      </c>
      <c r="AA3005" s="200">
        <v>2.0165406278724873E-2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60128</v>
      </c>
      <c r="Y3006" s="202">
        <f>_xll.qlInterestRateIndexValueDate(IborIndex,X3006,Trigger)</f>
        <v>60132</v>
      </c>
      <c r="Z3006" s="203">
        <v>2.0214473856780331E-2</v>
      </c>
      <c r="AA3006" s="200">
        <v>2.0165003659187164E-2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60135</v>
      </c>
      <c r="Y3007" s="202">
        <f>_xll.qlInterestRateIndexValueDate(IborIndex,X3007,Trigger)</f>
        <v>60140</v>
      </c>
      <c r="Z3007" s="203">
        <v>2.0214153458679236E-2</v>
      </c>
      <c r="AA3007" s="200">
        <v>2.0164564311908606E-2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60142</v>
      </c>
      <c r="Y3008" s="202">
        <f>_xll.qlInterestRateIndexValueDate(IborIndex,X3008,Trigger)</f>
        <v>60147</v>
      </c>
      <c r="Z3008" s="203">
        <v>2.0213340373899751E-2</v>
      </c>
      <c r="AA3008" s="200">
        <v>2.0164198073588935E-2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60149</v>
      </c>
      <c r="Y3009" s="202">
        <f>_xll.qlInterestRateIndexValueDate(IborIndex,X3009,Trigger)</f>
        <v>60153</v>
      </c>
      <c r="Z3009" s="203">
        <v>2.0213128296191388E-2</v>
      </c>
      <c r="AA3009" s="200">
        <v>2.0163897668208364E-2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60156</v>
      </c>
      <c r="Y3010" s="202">
        <f>_xll.qlInterestRateIndexValueDate(IborIndex,X3010,Trigger)</f>
        <v>60160</v>
      </c>
      <c r="Z3010" s="203">
        <v>2.0212896717097025E-2</v>
      </c>
      <c r="AA3010" s="200">
        <v>2.0163562960426873E-2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60163</v>
      </c>
      <c r="Y3011" s="202">
        <f>_xll.qlInterestRateIndexValueDate(IborIndex,X3011,Trigger)</f>
        <v>60167</v>
      </c>
      <c r="Z3011" s="203">
        <v>2.0212682201738583E-2</v>
      </c>
      <c r="AA3011" s="200">
        <v>2.0163245230504501E-2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60170</v>
      </c>
      <c r="Y3012" s="202">
        <f>_xll.qlInterestRateIndexValueDate(IborIndex,X3012,Trigger)</f>
        <v>60174</v>
      </c>
      <c r="Z3012" s="203">
        <v>2.0212484750109908E-2</v>
      </c>
      <c r="AA3012" s="200">
        <v>2.0162944478601119E-2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60177</v>
      </c>
      <c r="Y3013" s="202">
        <f>_xll.qlInterestRateIndexValueDate(IborIndex,X3013,Trigger)</f>
        <v>60181</v>
      </c>
      <c r="Z3013" s="203">
        <v>2.0212861244636511E-2</v>
      </c>
      <c r="AA3013" s="200">
        <v>2.0162660704636792E-2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60184</v>
      </c>
      <c r="Y3014" s="202">
        <f>_xll.qlInterestRateIndexValueDate(IborIndex,X3014,Trigger)</f>
        <v>60189</v>
      </c>
      <c r="Z3014" s="203">
        <v>2.0212677364059659E-2</v>
      </c>
      <c r="AA3014" s="200">
        <v>2.0162357180790735E-2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60191</v>
      </c>
      <c r="Y3015" s="202">
        <f>_xll.qlInterestRateIndexValueDate(IborIndex,X3015,Trigger)</f>
        <v>60195</v>
      </c>
      <c r="Z3015" s="203">
        <v>2.0212554080493692E-2</v>
      </c>
      <c r="AA3015" s="200">
        <v>2.016214409036543E-2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60198</v>
      </c>
      <c r="Y3016" s="202">
        <f>_xll.qlInterestRateIndexValueDate(IborIndex,X3016,Trigger)</f>
        <v>60202</v>
      </c>
      <c r="Z3016" s="203">
        <v>2.0212426095442441E-2</v>
      </c>
      <c r="AA3016" s="200">
        <v>2.0161911250298203E-2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60205</v>
      </c>
      <c r="Y3017" s="202">
        <f>_xll.qlInterestRateIndexValueDate(IborIndex,X3017,Trigger)</f>
        <v>60209</v>
      </c>
      <c r="Z3017" s="203">
        <v>2.0212315134688814E-2</v>
      </c>
      <c r="AA3017" s="200">
        <v>2.0161695387930223E-2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60212</v>
      </c>
      <c r="Y3018" s="202">
        <f>_xll.qlInterestRateIndexValueDate(IborIndex,X3018,Trigger)</f>
        <v>60216</v>
      </c>
      <c r="Z3018" s="203">
        <v>2.0212220479633714E-2</v>
      </c>
      <c r="AA3018" s="200">
        <v>2.0161496503661169E-2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60219</v>
      </c>
      <c r="Y3019" s="202">
        <f>_xll.qlInterestRateIndexValueDate(IborIndex,X3019,Trigger)</f>
        <v>60223</v>
      </c>
      <c r="Z3019" s="203">
        <v>2.0212140848913436E-2</v>
      </c>
      <c r="AA3019" s="200">
        <v>2.0161314597171298E-2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60226</v>
      </c>
      <c r="Y3020" s="202">
        <f>_xll.qlInterestRateIndexValueDate(IborIndex,X3020,Trigger)</f>
        <v>60230</v>
      </c>
      <c r="Z3020" s="203">
        <v>2.0212074944124851E-2</v>
      </c>
      <c r="AA3020" s="200">
        <v>2.0161149668780354E-2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60233</v>
      </c>
      <c r="Y3021" s="202">
        <f>_xll.qlInterestRateIndexValueDate(IborIndex,X3021,Trigger)</f>
        <v>60237</v>
      </c>
      <c r="Z3021" s="203">
        <v>2.0211456552341224E-2</v>
      </c>
      <c r="AA3021" s="200">
        <v>2.0161001718088656E-2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60240</v>
      </c>
      <c r="Y3022" s="202">
        <f>_xll.qlInterestRateIndexValueDate(IborIndex,X3022,Trigger)</f>
        <v>60244</v>
      </c>
      <c r="Z3022" s="203">
        <v>2.021141374125468E-2</v>
      </c>
      <c r="AA3022" s="200">
        <v>2.0160870745575821E-2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60247</v>
      </c>
      <c r="Y3023" s="202">
        <f>_xll.qlInterestRateIndexValueDate(IborIndex,X3023,Trigger)</f>
        <v>60251</v>
      </c>
      <c r="Z3023" s="203">
        <v>2.0211380868376632E-2</v>
      </c>
      <c r="AA3023" s="200">
        <v>2.0160756750842168E-2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60254</v>
      </c>
      <c r="Y3024" s="202">
        <f>_xll.qlInterestRateIndexValueDate(IborIndex,X3024,Trigger)</f>
        <v>60258</v>
      </c>
      <c r="Z3024" s="203">
        <v>2.0211356621113976E-2</v>
      </c>
      <c r="AA3024" s="200">
        <v>2.0162893668764781E-2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60265</v>
      </c>
      <c r="Y3025" s="202">
        <f>_xll.qlInterestRateIndexValueDate(IborIndex,X3025,Trigger)</f>
        <v>60267</v>
      </c>
      <c r="Z3025" s="203">
        <v>2.0210769815213858E-2</v>
      </c>
      <c r="AA3025" s="200">
        <v>2.016053291940878E-2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60272</v>
      </c>
      <c r="Y3026" s="202">
        <f>_xll.qlInterestRateIndexValueDate(IborIndex,X3026,Trigger)</f>
        <v>60274</v>
      </c>
      <c r="Z3026" s="203">
        <v>2.0210760250138904E-2</v>
      </c>
      <c r="AA3026" s="200">
        <v>2.016162395768184E-2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60279</v>
      </c>
      <c r="Y3027" s="202">
        <f>_xll.qlInterestRateIndexValueDate(IborIndex,X3027,Trigger)</f>
        <v>60281</v>
      </c>
      <c r="Z3027" s="203">
        <v>2.0210755045544815E-2</v>
      </c>
      <c r="AA3027" s="200">
        <v>2.0161585146647454E-2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60286</v>
      </c>
      <c r="Y3028" s="202">
        <f>_xll.qlInterestRateIndexValueDate(IborIndex,X3028,Trigger)</f>
        <v>60288</v>
      </c>
      <c r="Z3028" s="203">
        <v>2.0210752874332272E-2</v>
      </c>
      <c r="AA3028" s="200">
        <v>2.0161563315390651E-2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60293</v>
      </c>
      <c r="Y3029" s="202">
        <f>_xll.qlInterestRateIndexValueDate(IborIndex,X3029,Trigger)</f>
        <v>60295</v>
      </c>
      <c r="Z3029" s="203">
        <v>2.0210752409393962E-2</v>
      </c>
      <c r="AA3029" s="200">
        <v>2.0161557944247122E-2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60300</v>
      </c>
      <c r="Y3030" s="202">
        <f>_xll.qlInterestRateIndexValueDate(IborIndex,X3030,Trigger)</f>
        <v>60302</v>
      </c>
      <c r="Z3030" s="203">
        <v>2.0210752404234533E-2</v>
      </c>
      <c r="AA3030" s="200">
        <v>2.0161557944273767E-2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60307</v>
      </c>
      <c r="Y3031" s="202">
        <f>_xll.qlInterestRateIndexValueDate(IborIndex,X3031,Trigger)</f>
        <v>60309</v>
      </c>
      <c r="Z3031" s="203">
        <v>2.0210186042199679E-2</v>
      </c>
      <c r="AA3031" s="200">
        <v>2.0161557944247122E-2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60314</v>
      </c>
      <c r="Y3032" s="202">
        <f>_xll.qlInterestRateIndexValueDate(IborIndex,X3032,Trigger)</f>
        <v>60316</v>
      </c>
      <c r="Z3032" s="203">
        <v>2.0210186042198781E-2</v>
      </c>
      <c r="AA3032" s="200">
        <v>2.0161557944247122E-2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60321</v>
      </c>
      <c r="Y3033" s="202">
        <f>_xll.qlInterestRateIndexValueDate(IborIndex,X3033,Trigger)</f>
        <v>60323</v>
      </c>
      <c r="Z3033" s="203">
        <v>2.0210752404235421E-2</v>
      </c>
      <c r="AA3033" s="200">
        <v>2.0161557944247122E-2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60328</v>
      </c>
      <c r="Y3034" s="202">
        <f>_xll.qlInterestRateIndexValueDate(IborIndex,X3034,Trigger)</f>
        <v>60330</v>
      </c>
      <c r="Z3034" s="203">
        <v>2.0211885191766678E-2</v>
      </c>
      <c r="AA3034" s="200">
        <v>2.0161557944247122E-2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60335</v>
      </c>
      <c r="Y3035" s="202">
        <f>_xll.qlInterestRateIndexValueDate(IborIndex,X3035,Trigger)</f>
        <v>60337</v>
      </c>
      <c r="Z3035" s="203">
        <v>2.0211885191767549E-2</v>
      </c>
      <c r="AA3035" s="200">
        <v>2.0161557944220476E-2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60342</v>
      </c>
      <c r="Y3036" s="202">
        <f>_xll.qlInterestRateIndexValueDate(IborIndex,X3036,Trigger)</f>
        <v>60344</v>
      </c>
      <c r="Z3036" s="203">
        <v>2.0211885191766678E-2</v>
      </c>
      <c r="AA3036" s="200">
        <v>2.0161557944247122E-2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60349</v>
      </c>
      <c r="Y3037" s="202">
        <f>_xll.qlInterestRateIndexValueDate(IborIndex,X3037,Trigger)</f>
        <v>60351</v>
      </c>
      <c r="Z3037" s="203">
        <v>2.0211885191767549E-2</v>
      </c>
      <c r="AA3037" s="200">
        <v>2.0160428915163564E-2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60357</v>
      </c>
      <c r="Y3038" s="202">
        <f>_xll.qlInterestRateIndexValueDate(IborIndex,X3038,Trigger)</f>
        <v>60359</v>
      </c>
      <c r="Z3038" s="203">
        <v>2.0211318787423507E-2</v>
      </c>
      <c r="AA3038" s="200">
        <v>2.01604289152435E-2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60364</v>
      </c>
      <c r="Y3039" s="202">
        <f>_xll.qlInterestRateIndexValueDate(IborIndex,X3039,Trigger)</f>
        <v>60366</v>
      </c>
      <c r="Z3039" s="203">
        <v>2.0211318787424385E-2</v>
      </c>
      <c r="AA3039" s="200">
        <v>2.0160428915083628E-2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60371</v>
      </c>
      <c r="Y3040" s="202">
        <f>_xll.qlInterestRateIndexValueDate(IborIndex,X3040,Trigger)</f>
        <v>60373</v>
      </c>
      <c r="Z3040" s="203">
        <v>2.0211318787423507E-2</v>
      </c>
      <c r="AA3040" s="200">
        <v>2.0160428915163564E-2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60378</v>
      </c>
      <c r="Y3041" s="202">
        <f>_xll.qlInterestRateIndexValueDate(IborIndex,X3041,Trigger)</f>
        <v>60380</v>
      </c>
      <c r="Z3041" s="203">
        <v>2.0211318787423507E-2</v>
      </c>
      <c r="AA3041" s="200">
        <v>2.0160428915163564E-2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60385</v>
      </c>
      <c r="Y3042" s="202">
        <f>_xll.qlInterestRateIndexValueDate(IborIndex,X3042,Trigger)</f>
        <v>60387</v>
      </c>
      <c r="Z3042" s="203">
        <v>2.0211885191767549E-2</v>
      </c>
      <c r="AA3042" s="200">
        <v>2.0160428915163564E-2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60392</v>
      </c>
      <c r="Y3043" s="202">
        <f>_xll.qlInterestRateIndexValueDate(IborIndex,X3043,Trigger)</f>
        <v>60394</v>
      </c>
      <c r="Z3043" s="203">
        <v>2.0211885191766678E-2</v>
      </c>
      <c r="AA3043" s="200">
        <v>2.0160428915083628E-2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60399</v>
      </c>
      <c r="Y3044" s="202">
        <f>_xll.qlInterestRateIndexValueDate(IborIndex,X3044,Trigger)</f>
        <v>60401</v>
      </c>
      <c r="Z3044" s="203">
        <v>2.0211885191767549E-2</v>
      </c>
      <c r="AA3044" s="200">
        <v>2.0160428915163564E-2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60406</v>
      </c>
      <c r="Y3045" s="202">
        <f>_xll.qlInterestRateIndexValueDate(IborIndex,X3045,Trigger)</f>
        <v>60408</v>
      </c>
      <c r="Z3045" s="203">
        <v>2.0211885191766678E-2</v>
      </c>
      <c r="AA3045" s="200">
        <v>2.0160428915083628E-2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60413</v>
      </c>
      <c r="Y3046" s="202">
        <f>_xll.qlInterestRateIndexValueDate(IborIndex,X3046,Trigger)</f>
        <v>60415</v>
      </c>
      <c r="Z3046" s="203">
        <v>2.0211885191766678E-2</v>
      </c>
      <c r="AA3046" s="200">
        <v>2.0160428915083628E-2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60420</v>
      </c>
      <c r="Y3047" s="202">
        <f>_xll.qlInterestRateIndexValueDate(IborIndex,X3047,Trigger)</f>
        <v>60422</v>
      </c>
      <c r="Z3047" s="203">
        <v>2.0211885191767549E-2</v>
      </c>
      <c r="AA3047" s="200">
        <v>2.0160428915083628E-2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60427</v>
      </c>
      <c r="Y3048" s="202">
        <f>_xll.qlInterestRateIndexValueDate(IborIndex,X3048,Trigger)</f>
        <v>60429</v>
      </c>
      <c r="Z3048" s="203">
        <v>2.0211885191766678E-2</v>
      </c>
      <c r="AA3048" s="200">
        <v>2.0160428915163564E-2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60434</v>
      </c>
      <c r="Y3049" s="202">
        <f>_xll.qlInterestRateIndexValueDate(IborIndex,X3049,Trigger)</f>
        <v>60436</v>
      </c>
      <c r="Z3049" s="203">
        <v>2.0211885191766678E-2</v>
      </c>
      <c r="AA3049" s="200">
        <v>2.0160428915083628E-2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60441</v>
      </c>
      <c r="Y3050" s="202">
        <f>_xll.qlInterestRateIndexValueDate(IborIndex,X3050,Trigger)</f>
        <v>60443</v>
      </c>
      <c r="Z3050" s="203">
        <v>2.0211885191766678E-2</v>
      </c>
      <c r="AA3050" s="200">
        <v>2.0160428915083628E-2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60448</v>
      </c>
      <c r="Y3051" s="202">
        <f>_xll.qlInterestRateIndexValueDate(IborIndex,X3051,Trigger)</f>
        <v>60450</v>
      </c>
      <c r="Z3051" s="203">
        <v>2.0211885191766678E-2</v>
      </c>
      <c r="AA3051" s="200">
        <v>2.0160428915163564E-2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60455</v>
      </c>
      <c r="Y3052" s="202">
        <f>_xll.qlInterestRateIndexValueDate(IborIndex,X3052,Trigger)</f>
        <v>60457</v>
      </c>
      <c r="Z3052" s="203">
        <v>2.0211885191766678E-2</v>
      </c>
      <c r="AA3052" s="200">
        <v>2.0160428915163564E-2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60462</v>
      </c>
      <c r="Y3053" s="202">
        <f>_xll.qlInterestRateIndexValueDate(IborIndex,X3053,Trigger)</f>
        <v>60464</v>
      </c>
      <c r="Z3053" s="203">
        <v>2.0211885191767549E-2</v>
      </c>
      <c r="AA3053" s="200">
        <v>2.0160428915163564E-2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60469</v>
      </c>
      <c r="Y3054" s="202">
        <f>_xll.qlInterestRateIndexValueDate(IborIndex,X3054,Trigger)</f>
        <v>60471</v>
      </c>
      <c r="Z3054" s="203">
        <v>2.0211885191766678E-2</v>
      </c>
      <c r="AA3054" s="200">
        <v>2.0160428915163564E-2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60476</v>
      </c>
      <c r="Y3055" s="202">
        <f>_xll.qlInterestRateIndexValueDate(IborIndex,X3055,Trigger)</f>
        <v>60478</v>
      </c>
      <c r="Z3055" s="203">
        <v>2.0211885191766678E-2</v>
      </c>
      <c r="AA3055" s="200">
        <v>2.0160428915163564E-2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60483</v>
      </c>
      <c r="Y3056" s="202">
        <f>_xll.qlInterestRateIndexValueDate(IborIndex,X3056,Trigger)</f>
        <v>60485</v>
      </c>
      <c r="Z3056" s="203">
        <v>2.0211885191766678E-2</v>
      </c>
      <c r="AA3056" s="200">
        <v>2.0160428915163564E-2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60490</v>
      </c>
      <c r="Y3057" s="202">
        <f>_xll.qlInterestRateIndexValueDate(IborIndex,X3057,Trigger)</f>
        <v>60492</v>
      </c>
      <c r="Z3057" s="203">
        <v>2.0211885191766678E-2</v>
      </c>
      <c r="AA3057" s="200">
        <v>2.0160428915163564E-2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60497</v>
      </c>
      <c r="Y3058" s="202">
        <f>_xll.qlInterestRateIndexValueDate(IborIndex,X3058,Trigger)</f>
        <v>60499</v>
      </c>
      <c r="Z3058" s="203">
        <v>2.0211885191767549E-2</v>
      </c>
      <c r="AA3058" s="200">
        <v>2.0160428915083628E-2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60504</v>
      </c>
      <c r="Y3059" s="202">
        <f>_xll.qlInterestRateIndexValueDate(IborIndex,X3059,Trigger)</f>
        <v>60506</v>
      </c>
      <c r="Z3059" s="203">
        <v>2.0211885191767549E-2</v>
      </c>
      <c r="AA3059" s="200">
        <v>2.0160428915083628E-2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60511</v>
      </c>
      <c r="Y3060" s="202">
        <f>_xll.qlInterestRateIndexValueDate(IborIndex,X3060,Trigger)</f>
        <v>60513</v>
      </c>
      <c r="Z3060" s="203">
        <v>2.0211318787424385E-2</v>
      </c>
      <c r="AA3060" s="200">
        <v>2.0160428915163564E-2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60518</v>
      </c>
      <c r="Y3061" s="202">
        <f>_xll.qlInterestRateIndexValueDate(IborIndex,X3061,Trigger)</f>
        <v>60520</v>
      </c>
      <c r="Z3061" s="203">
        <v>2.0211318787424385E-2</v>
      </c>
      <c r="AA3061" s="200">
        <v>2.0160428915083628E-2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60525</v>
      </c>
      <c r="Y3062" s="202">
        <f>_xll.qlInterestRateIndexValueDate(IborIndex,X3062,Trigger)</f>
        <v>60527</v>
      </c>
      <c r="Z3062" s="203">
        <v>2.0211318787423507E-2</v>
      </c>
      <c r="AA3062" s="200">
        <v>2.0160428915163564E-2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60532</v>
      </c>
      <c r="Y3063" s="202">
        <f>_xll.qlInterestRateIndexValueDate(IborIndex,X3063,Trigger)</f>
        <v>60534</v>
      </c>
      <c r="Z3063" s="203">
        <v>2.0211318787423507E-2</v>
      </c>
      <c r="AA3063" s="200">
        <v>2.0160428915163564E-2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60539</v>
      </c>
      <c r="Y3064" s="202">
        <f>_xll.qlInterestRateIndexValueDate(IborIndex,X3064,Trigger)</f>
        <v>60541</v>
      </c>
      <c r="Z3064" s="203">
        <v>2.0213584531730468E-2</v>
      </c>
      <c r="AA3064" s="200">
        <v>2.0160428915163564E-2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60546</v>
      </c>
      <c r="Y3065" s="202">
        <f>_xll.qlInterestRateIndexValueDate(IborIndex,X3065,Trigger)</f>
        <v>60548</v>
      </c>
      <c r="Z3065" s="203">
        <v>2.0211885191767549E-2</v>
      </c>
      <c r="AA3065" s="200">
        <v>2.0160428915083628E-2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60553</v>
      </c>
      <c r="Y3066" s="202">
        <f>_xll.qlInterestRateIndexValueDate(IborIndex,X3066,Trigger)</f>
        <v>60555</v>
      </c>
      <c r="Z3066" s="203">
        <v>2.0211885191766678E-2</v>
      </c>
      <c r="AA3066" s="200">
        <v>2.0160428915163564E-2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60560</v>
      </c>
      <c r="Y3067" s="202">
        <f>_xll.qlInterestRateIndexValueDate(IborIndex,X3067,Trigger)</f>
        <v>60562</v>
      </c>
      <c r="Z3067" s="203">
        <v>2.0211885191766678E-2</v>
      </c>
      <c r="AA3067" s="200">
        <v>2.0160428915163564E-2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60567</v>
      </c>
      <c r="Y3068" s="202">
        <f>_xll.qlInterestRateIndexValueDate(IborIndex,X3068,Trigger)</f>
        <v>60569</v>
      </c>
      <c r="Z3068" s="203">
        <v>2.0211885191767549E-2</v>
      </c>
      <c r="AA3068" s="200">
        <v>2.0160428915163564E-2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60574</v>
      </c>
      <c r="Y3069" s="202">
        <f>_xll.qlInterestRateIndexValueDate(IborIndex,X3069,Trigger)</f>
        <v>60576</v>
      </c>
      <c r="Z3069" s="203">
        <v>2.0211885191767549E-2</v>
      </c>
      <c r="AA3069" s="200">
        <v>2.0160428915083628E-2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60581</v>
      </c>
      <c r="Y3070" s="202">
        <f>_xll.qlInterestRateIndexValueDate(IborIndex,X3070,Trigger)</f>
        <v>60583</v>
      </c>
      <c r="Z3070" s="203">
        <v>2.0211885191767549E-2</v>
      </c>
      <c r="AA3070" s="200">
        <v>2.0160428915163564E-2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60588</v>
      </c>
      <c r="Y3071" s="202">
        <f>_xll.qlInterestRateIndexValueDate(IborIndex,X3071,Trigger)</f>
        <v>60590</v>
      </c>
      <c r="Z3071" s="203">
        <v>2.0211885191766678E-2</v>
      </c>
      <c r="AA3071" s="200">
        <v>2.0160428915163564E-2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60595</v>
      </c>
      <c r="Y3072" s="202">
        <f>_xll.qlInterestRateIndexValueDate(IborIndex,X3072,Trigger)</f>
        <v>60598</v>
      </c>
      <c r="Z3072" s="203">
        <v>2.0211318787423507E-2</v>
      </c>
      <c r="AA3072" s="200">
        <v>2.0160428915163564E-2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60602</v>
      </c>
      <c r="Y3073" s="202">
        <f>_xll.qlInterestRateIndexValueDate(IborIndex,X3073,Trigger)</f>
        <v>60604</v>
      </c>
      <c r="Z3073" s="203">
        <v>2.0210752404233645E-2</v>
      </c>
      <c r="AA3073" s="200">
        <v>2.0160428915163564E-2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60609</v>
      </c>
      <c r="Y3074" s="202">
        <f>_xll.qlInterestRateIndexValueDate(IborIndex,X3074,Trigger)</f>
        <v>60611</v>
      </c>
      <c r="Z3074" s="203">
        <v>2.0210752404234533E-2</v>
      </c>
      <c r="AA3074" s="200">
        <v>2.0160428915083628E-2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60616</v>
      </c>
      <c r="Y3075" s="202">
        <f>_xll.qlInterestRateIndexValueDate(IborIndex,X3075,Trigger)</f>
        <v>60618</v>
      </c>
      <c r="Z3075" s="203">
        <v>2.0210752404235421E-2</v>
      </c>
      <c r="AA3075" s="200">
        <v>2.0160428915083628E-2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60623</v>
      </c>
      <c r="Y3076" s="202">
        <f>_xll.qlInterestRateIndexValueDate(IborIndex,X3076,Trigger)</f>
        <v>60625</v>
      </c>
      <c r="Z3076" s="203">
        <v>2.0210752404234533E-2</v>
      </c>
      <c r="AA3076" s="200">
        <v>2.0160428915163564E-2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60630</v>
      </c>
      <c r="Y3077" s="202">
        <f>_xll.qlInterestRateIndexValueDate(IborIndex,X3077,Trigger)</f>
        <v>60632</v>
      </c>
      <c r="Z3077" s="203">
        <v>2.0210752404234533E-2</v>
      </c>
      <c r="AA3077" s="200">
        <v>2.0160428915083628E-2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60637</v>
      </c>
      <c r="Y3078" s="202">
        <f>_xll.qlInterestRateIndexValueDate(IborIndex,X3078,Trigger)</f>
        <v>60639</v>
      </c>
      <c r="Z3078" s="203">
        <v>2.0210752404234533E-2</v>
      </c>
      <c r="AA3078" s="200">
        <v>2.01604289152435E-2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60644</v>
      </c>
      <c r="Y3079" s="202">
        <f>_xll.qlInterestRateIndexValueDate(IborIndex,X3079,Trigger)</f>
        <v>60646</v>
      </c>
      <c r="Z3079" s="203">
        <v>2.0210752404234533E-2</v>
      </c>
      <c r="AA3079" s="200">
        <v>2.0160428915083628E-2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60651</v>
      </c>
      <c r="Y3080" s="202">
        <f>_xll.qlInterestRateIndexValueDate(IborIndex,X3080,Trigger)</f>
        <v>60653</v>
      </c>
      <c r="Z3080" s="203">
        <v>2.0210752404234533E-2</v>
      </c>
      <c r="AA3080" s="200">
        <v>2.0160428915163564E-2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60658</v>
      </c>
      <c r="Y3081" s="202">
        <f>_xll.qlInterestRateIndexValueDate(IborIndex,X3081,Trigger)</f>
        <v>60660</v>
      </c>
      <c r="Z3081" s="203">
        <v>2.0210752404234533E-2</v>
      </c>
      <c r="AA3081" s="200">
        <v>2.0160428915163564E-2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60665</v>
      </c>
      <c r="Y3082" s="202">
        <f>_xll.qlInterestRateIndexValueDate(IborIndex,X3082,Trigger)</f>
        <v>60667</v>
      </c>
      <c r="Z3082" s="203">
        <v>2.0210186042197882E-2</v>
      </c>
      <c r="AA3082" s="200">
        <v>2.0160428915163564E-2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60672</v>
      </c>
      <c r="Y3083" s="202">
        <f>_xll.qlInterestRateIndexValueDate(IborIndex,X3083,Trigger)</f>
        <v>60674</v>
      </c>
      <c r="Z3083" s="203">
        <v>2.0210186042199679E-2</v>
      </c>
      <c r="AA3083" s="200">
        <v>2.0160428915083628E-2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60679</v>
      </c>
      <c r="Y3084" s="202">
        <f>_xll.qlInterestRateIndexValueDate(IborIndex,X3084,Trigger)</f>
        <v>60681</v>
      </c>
      <c r="Z3084" s="203">
        <v>2.0210186042198781E-2</v>
      </c>
      <c r="AA3084" s="200">
        <v>2.0160428915163564E-2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60686</v>
      </c>
      <c r="Y3085" s="202">
        <f>_xll.qlInterestRateIndexValueDate(IborIndex,X3085,Trigger)</f>
        <v>60688</v>
      </c>
      <c r="Z3085" s="203">
        <v>2.0210186042198781E-2</v>
      </c>
      <c r="AA3085" s="200">
        <v>2.0160428915163564E-2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60693</v>
      </c>
      <c r="Y3086" s="202">
        <f>_xll.qlInterestRateIndexValueDate(IborIndex,X3086,Trigger)</f>
        <v>60695</v>
      </c>
      <c r="Z3086" s="203">
        <v>2.0211885191766678E-2</v>
      </c>
      <c r="AA3086" s="200">
        <v>2.0160428915083628E-2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60700</v>
      </c>
      <c r="Y3087" s="202">
        <f>_xll.qlInterestRateIndexValueDate(IborIndex,X3087,Trigger)</f>
        <v>60702</v>
      </c>
      <c r="Z3087" s="203">
        <v>2.0211885191767549E-2</v>
      </c>
      <c r="AA3087" s="200">
        <v>2.0160428915083628E-2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60707</v>
      </c>
      <c r="Y3088" s="202">
        <f>_xll.qlInterestRateIndexValueDate(IborIndex,X3088,Trigger)</f>
        <v>60709</v>
      </c>
      <c r="Z3088" s="203">
        <v>2.0211885191766678E-2</v>
      </c>
      <c r="AA3088" s="200">
        <v>2.01604289152435E-2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60714</v>
      </c>
      <c r="Y3089" s="202">
        <f>_xll.qlInterestRateIndexValueDate(IborIndex,X3089,Trigger)</f>
        <v>60716</v>
      </c>
      <c r="Z3089" s="203">
        <v>2.0211885191766678E-2</v>
      </c>
      <c r="AA3089" s="200">
        <v>2.0160428915083628E-2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60721</v>
      </c>
      <c r="Y3090" s="202">
        <f>_xll.qlInterestRateIndexValueDate(IborIndex,X3090,Trigger)</f>
        <v>60723</v>
      </c>
      <c r="Z3090" s="203">
        <v>2.0211318787424385E-2</v>
      </c>
      <c r="AA3090" s="200">
        <v>2.0160428915163564E-2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60728</v>
      </c>
      <c r="Y3091" s="202">
        <f>_xll.qlInterestRateIndexValueDate(IborIndex,X3091,Trigger)</f>
        <v>60730</v>
      </c>
      <c r="Z3091" s="203">
        <v>2.0211318787423507E-2</v>
      </c>
      <c r="AA3091" s="200">
        <v>2.0160428915163564E-2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60735</v>
      </c>
      <c r="Y3092" s="202">
        <f>_xll.qlInterestRateIndexValueDate(IborIndex,X3092,Trigger)</f>
        <v>60737</v>
      </c>
      <c r="Z3092" s="203">
        <v>2.021131878742263E-2</v>
      </c>
      <c r="AA3092" s="200">
        <v>2.0160428915163564E-2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60742</v>
      </c>
      <c r="Y3093" s="202">
        <f>_xll.qlInterestRateIndexValueDate(IborIndex,X3093,Trigger)</f>
        <v>60744</v>
      </c>
      <c r="Z3093" s="203">
        <v>2.0211318787423507E-2</v>
      </c>
      <c r="AA3093" s="200">
        <v>2.0160428915163564E-2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60749</v>
      </c>
      <c r="Y3094" s="202">
        <f>_xll.qlInterestRateIndexValueDate(IborIndex,X3094,Trigger)</f>
        <v>60751</v>
      </c>
      <c r="Z3094" s="203">
        <v>2.0211318787424385E-2</v>
      </c>
      <c r="AA3094" s="200">
        <v>2.01604289152435E-2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60756</v>
      </c>
      <c r="Y3095" s="202">
        <f>_xll.qlInterestRateIndexValueDate(IborIndex,X3095,Trigger)</f>
        <v>60758</v>
      </c>
      <c r="Z3095" s="203">
        <v>2.0211885191767549E-2</v>
      </c>
      <c r="AA3095" s="200">
        <v>2.0160428915163564E-2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60763</v>
      </c>
      <c r="Y3096" s="202">
        <f>_xll.qlInterestRateIndexValueDate(IborIndex,X3096,Trigger)</f>
        <v>60765</v>
      </c>
      <c r="Z3096" s="203">
        <v>2.0211885191766678E-2</v>
      </c>
      <c r="AA3096" s="200">
        <v>2.0160428915083628E-2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60770</v>
      </c>
      <c r="Y3097" s="202">
        <f>_xll.qlInterestRateIndexValueDate(IborIndex,X3097,Trigger)</f>
        <v>60772</v>
      </c>
      <c r="Z3097" s="203">
        <v>2.0211885191766678E-2</v>
      </c>
      <c r="AA3097" s="200">
        <v>2.0160428915083628E-2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60777</v>
      </c>
      <c r="Y3098" s="202">
        <f>_xll.qlInterestRateIndexValueDate(IborIndex,X3098,Trigger)</f>
        <v>60779</v>
      </c>
      <c r="Z3098" s="203">
        <v>2.0211885191767549E-2</v>
      </c>
      <c r="AA3098" s="200">
        <v>2.0160428915163564E-2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60784</v>
      </c>
      <c r="Y3099" s="202">
        <f>_xll.qlInterestRateIndexValueDate(IborIndex,X3099,Trigger)</f>
        <v>60786</v>
      </c>
      <c r="Z3099" s="203">
        <v>2.0211885191767549E-2</v>
      </c>
      <c r="AA3099" s="200">
        <v>2.0160428915163564E-2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60791</v>
      </c>
      <c r="Y3100" s="202">
        <f>_xll.qlInterestRateIndexValueDate(IborIndex,X3100,Trigger)</f>
        <v>60793</v>
      </c>
      <c r="Z3100" s="203">
        <v>2.0211885191766678E-2</v>
      </c>
      <c r="AA3100" s="200">
        <v>2.0160428915083628E-2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60798</v>
      </c>
      <c r="Y3101" s="202">
        <f>_xll.qlInterestRateIndexValueDate(IborIndex,X3101,Trigger)</f>
        <v>60800</v>
      </c>
      <c r="Z3101" s="203">
        <v>2.0211885191766678E-2</v>
      </c>
      <c r="AA3101" s="200">
        <v>2.0160428915083628E-2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60805</v>
      </c>
      <c r="Y3102" s="202">
        <f>_xll.qlInterestRateIndexValueDate(IborIndex,X3102,Trigger)</f>
        <v>60807</v>
      </c>
      <c r="Z3102" s="203">
        <v>2.0211885191767549E-2</v>
      </c>
      <c r="AA3102" s="200">
        <v>2.0160428915163564E-2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60812</v>
      </c>
      <c r="Y3103" s="202">
        <f>_xll.qlInterestRateIndexValueDate(IborIndex,X3103,Trigger)</f>
        <v>60814</v>
      </c>
      <c r="Z3103" s="203">
        <v>2.0211885191766678E-2</v>
      </c>
      <c r="AA3103" s="200">
        <v>2.01604289152435E-2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60819</v>
      </c>
      <c r="Y3104" s="202">
        <f>_xll.qlInterestRateIndexValueDate(IborIndex,X3104,Trigger)</f>
        <v>60821</v>
      </c>
      <c r="Z3104" s="203">
        <v>2.0211885191766678E-2</v>
      </c>
      <c r="AA3104" s="200">
        <v>2.0160428915083628E-2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60826</v>
      </c>
      <c r="Y3105" s="202">
        <f>_xll.qlInterestRateIndexValueDate(IborIndex,X3105,Trigger)</f>
        <v>60828</v>
      </c>
      <c r="Z3105" s="203">
        <v>2.0211885191767549E-2</v>
      </c>
      <c r="AA3105" s="200">
        <v>2.0160428915083628E-2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60833</v>
      </c>
      <c r="Y3106" s="202">
        <f>_xll.qlInterestRateIndexValueDate(IborIndex,X3106,Trigger)</f>
        <v>60835</v>
      </c>
      <c r="Z3106" s="203">
        <v>2.0211885191766678E-2</v>
      </c>
      <c r="AA3106" s="200">
        <v>2.0160428915163564E-2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60840</v>
      </c>
      <c r="Y3107" s="202">
        <f>_xll.qlInterestRateIndexValueDate(IborIndex,X3107,Trigger)</f>
        <v>60842</v>
      </c>
      <c r="Z3107" s="203">
        <v>2.0211885191766678E-2</v>
      </c>
      <c r="AA3107" s="200">
        <v>2.0160428915163564E-2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60847</v>
      </c>
      <c r="Y3108" s="202">
        <f>_xll.qlInterestRateIndexValueDate(IborIndex,X3108,Trigger)</f>
        <v>60849</v>
      </c>
      <c r="Z3108" s="203">
        <v>2.0211885191766678E-2</v>
      </c>
      <c r="AA3108" s="200">
        <v>2.0160428915083628E-2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60854</v>
      </c>
      <c r="Y3109" s="202">
        <f>_xll.qlInterestRateIndexValueDate(IborIndex,X3109,Trigger)</f>
        <v>60856</v>
      </c>
      <c r="Z3109" s="203">
        <v>2.0211885191767549E-2</v>
      </c>
      <c r="AA3109" s="200">
        <v>2.0160428915083628E-2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60861</v>
      </c>
      <c r="Y3110" s="202">
        <f>_xll.qlInterestRateIndexValueDate(IborIndex,X3110,Trigger)</f>
        <v>60863</v>
      </c>
      <c r="Z3110" s="203">
        <v>2.0211885191766678E-2</v>
      </c>
      <c r="AA3110" s="200">
        <v>2.01604289152435E-2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60868</v>
      </c>
      <c r="Y3111" s="202">
        <f>_xll.qlInterestRateIndexValueDate(IborIndex,X3111,Trigger)</f>
        <v>60870</v>
      </c>
      <c r="Z3111" s="203">
        <v>2.021188519176581E-2</v>
      </c>
      <c r="AA3111" s="200">
        <v>2.0160428915163564E-2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60875</v>
      </c>
      <c r="Y3112" s="202">
        <f>_xll.qlInterestRateIndexValueDate(IborIndex,X3112,Trigger)</f>
        <v>60877</v>
      </c>
      <c r="Z3112" s="203">
        <v>2.0211318787424385E-2</v>
      </c>
      <c r="AA3112" s="200">
        <v>2.0160428915083628E-2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60882</v>
      </c>
      <c r="Y3113" s="202">
        <f>_xll.qlInterestRateIndexValueDate(IborIndex,X3113,Trigger)</f>
        <v>60884</v>
      </c>
      <c r="Z3113" s="203">
        <v>2.0211318787424385E-2</v>
      </c>
      <c r="AA3113" s="200">
        <v>2.0160428915083628E-2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60889</v>
      </c>
      <c r="Y3114" s="202">
        <f>_xll.qlInterestRateIndexValueDate(IborIndex,X3114,Trigger)</f>
        <v>60891</v>
      </c>
      <c r="Z3114" s="203">
        <v>2.0211318787423507E-2</v>
      </c>
      <c r="AA3114" s="200">
        <v>2.0160428915163564E-2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60896</v>
      </c>
      <c r="Y3115" s="202">
        <f>_xll.qlInterestRateIndexValueDate(IborIndex,X3115,Trigger)</f>
        <v>60898</v>
      </c>
      <c r="Z3115" s="203">
        <v>2.0211318787424385E-2</v>
      </c>
      <c r="AA3115" s="200">
        <v>2.0160428915083628E-2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60903</v>
      </c>
      <c r="Y3116" s="202">
        <f>_xll.qlInterestRateIndexValueDate(IborIndex,X3116,Trigger)</f>
        <v>60905</v>
      </c>
      <c r="Z3116" s="203">
        <v>2.0211318787423507E-2</v>
      </c>
      <c r="AA3116" s="200">
        <v>2.0160428915083628E-2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60910</v>
      </c>
      <c r="Y3117" s="202">
        <f>_xll.qlInterestRateIndexValueDate(IborIndex,X3117,Trigger)</f>
        <v>60912</v>
      </c>
      <c r="Z3117" s="203">
        <v>2.0211885191766678E-2</v>
      </c>
      <c r="AA3117" s="200">
        <v>2.0160428915163564E-2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60917</v>
      </c>
      <c r="Y3118" s="202">
        <f>_xll.qlInterestRateIndexValueDate(IborIndex,X3118,Trigger)</f>
        <v>60919</v>
      </c>
      <c r="Z3118" s="203">
        <v>2.0211885191767549E-2</v>
      </c>
      <c r="AA3118" s="200">
        <v>2.0160428915163564E-2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60924</v>
      </c>
      <c r="Y3119" s="202">
        <f>_xll.qlInterestRateIndexValueDate(IborIndex,X3119,Trigger)</f>
        <v>60926</v>
      </c>
      <c r="Z3119" s="203">
        <v>2.0211885191766678E-2</v>
      </c>
      <c r="AA3119" s="200">
        <v>2.0160428915083628E-2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60931</v>
      </c>
      <c r="Y3120" s="202">
        <f>_xll.qlInterestRateIndexValueDate(IborIndex,X3120,Trigger)</f>
        <v>60933</v>
      </c>
      <c r="Z3120" s="203">
        <v>2.021188519176581E-2</v>
      </c>
      <c r="AA3120" s="200">
        <v>2.0160428915163564E-2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60938</v>
      </c>
      <c r="Y3121" s="202">
        <f>_xll.qlInterestRateIndexValueDate(IborIndex,X3121,Trigger)</f>
        <v>60940</v>
      </c>
      <c r="Z3121" s="203">
        <v>2.0211885191766678E-2</v>
      </c>
      <c r="AA3121" s="200">
        <v>2.0160428915163564E-2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60945</v>
      </c>
      <c r="Y3122" s="202">
        <f>_xll.qlInterestRateIndexValueDate(IborIndex,X3122,Trigger)</f>
        <v>60948</v>
      </c>
      <c r="Z3122" s="203">
        <v>2.0213018063919286E-2</v>
      </c>
      <c r="AA3122" s="200">
        <v>2.0160428915163564E-2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60952</v>
      </c>
      <c r="Y3123" s="202">
        <f>_xll.qlInterestRateIndexValueDate(IborIndex,X3123,Trigger)</f>
        <v>60954</v>
      </c>
      <c r="Z3123" s="203">
        <v>2.0211885191767549E-2</v>
      </c>
      <c r="AA3123" s="200">
        <v>2.0160428915163564E-2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60959</v>
      </c>
      <c r="Y3124" s="202">
        <f>_xll.qlInterestRateIndexValueDate(IborIndex,X3124,Trigger)</f>
        <v>60962</v>
      </c>
      <c r="Z3124" s="203">
        <v>2.0213018063920136E-2</v>
      </c>
      <c r="AA3124" s="200">
        <v>2.0160428915083628E-2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60966</v>
      </c>
      <c r="Y3125" s="202">
        <f>_xll.qlInterestRateIndexValueDate(IborIndex,X3125,Trigger)</f>
        <v>60968</v>
      </c>
      <c r="Z3125" s="203">
        <v>2.0210752404234533E-2</v>
      </c>
      <c r="AA3125" s="200">
        <v>2.0160428915163564E-2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60973</v>
      </c>
      <c r="Y3126" s="202">
        <f>_xll.qlInterestRateIndexValueDate(IborIndex,X3126,Trigger)</f>
        <v>60975</v>
      </c>
      <c r="Z3126" s="203">
        <v>2.0210752404234533E-2</v>
      </c>
      <c r="AA3126" s="200">
        <v>2.0160428915083628E-2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60980</v>
      </c>
      <c r="Y3127" s="202">
        <f>_xll.qlInterestRateIndexValueDate(IborIndex,X3127,Trigger)</f>
        <v>60982</v>
      </c>
      <c r="Z3127" s="203">
        <v>2.0210752404234533E-2</v>
      </c>
      <c r="AA3127" s="200">
        <v>2.0160428915163564E-2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60987</v>
      </c>
      <c r="Y3128" s="202">
        <f>_xll.qlInterestRateIndexValueDate(IborIndex,X3128,Trigger)</f>
        <v>60989</v>
      </c>
      <c r="Z3128" s="203">
        <v>2.0210752404234533E-2</v>
      </c>
      <c r="AA3128" s="200">
        <v>2.0160428915163564E-2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60995</v>
      </c>
      <c r="Y3129" s="202">
        <f>_xll.qlInterestRateIndexValueDate(IborIndex,X3129,Trigger)</f>
        <v>61001</v>
      </c>
      <c r="Z3129" s="203">
        <v>2.0211318787423507E-2</v>
      </c>
      <c r="AA3129" s="200">
        <v>2.0160428915163564E-2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61002</v>
      </c>
      <c r="Y3130" s="202">
        <f>_xll.qlInterestRateIndexValueDate(IborIndex,X3130,Trigger)</f>
        <v>61004</v>
      </c>
      <c r="Z3130" s="203">
        <v>2.0210752404234533E-2</v>
      </c>
      <c r="AA3130" s="200">
        <v>2.0160428915163564E-2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61009</v>
      </c>
      <c r="Y3131" s="202">
        <f>_xll.qlInterestRateIndexValueDate(IborIndex,X3131,Trigger)</f>
        <v>61011</v>
      </c>
      <c r="Z3131" s="203">
        <v>2.0210752404234533E-2</v>
      </c>
      <c r="AA3131" s="200">
        <v>2.0160428915083628E-2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61016</v>
      </c>
      <c r="Y3132" s="202">
        <f>_xll.qlInterestRateIndexValueDate(IborIndex,X3132,Trigger)</f>
        <v>61018</v>
      </c>
      <c r="Z3132" s="203">
        <v>2.0210752404235421E-2</v>
      </c>
      <c r="AA3132" s="200">
        <v>2.0160428915163564E-2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61023</v>
      </c>
      <c r="Y3133" s="202">
        <f>_xll.qlInterestRateIndexValueDate(IborIndex,X3133,Trigger)</f>
        <v>61025</v>
      </c>
      <c r="Z3133" s="203">
        <v>2.0210752404234533E-2</v>
      </c>
      <c r="AA3133" s="200">
        <v>2.0160428915163564E-2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61030</v>
      </c>
      <c r="Y3134" s="202">
        <f>_xll.qlInterestRateIndexValueDate(IborIndex,X3134,Trigger)</f>
        <v>61032</v>
      </c>
      <c r="Z3134" s="203">
        <v>2.0210186042197882E-2</v>
      </c>
      <c r="AA3134" s="200">
        <v>2.0160428915163564E-2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61037</v>
      </c>
      <c r="Y3135" s="202">
        <f>_xll.qlInterestRateIndexValueDate(IborIndex,X3135,Trigger)</f>
        <v>61039</v>
      </c>
      <c r="Z3135" s="203">
        <v>2.0210186042198781E-2</v>
      </c>
      <c r="AA3135" s="200">
        <v>2.0160428915083628E-2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61044</v>
      </c>
      <c r="Y3136" s="202">
        <f>_xll.qlInterestRateIndexValueDate(IborIndex,X3136,Trigger)</f>
        <v>61046</v>
      </c>
      <c r="Z3136" s="203">
        <v>2.0210186042198781E-2</v>
      </c>
      <c r="AA3136" s="200">
        <v>2.0160428915163564E-2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61051</v>
      </c>
      <c r="Y3137" s="202">
        <f>_xll.qlInterestRateIndexValueDate(IborIndex,X3137,Trigger)</f>
        <v>61053</v>
      </c>
      <c r="Z3137" s="203">
        <v>2.0210186042197882E-2</v>
      </c>
      <c r="AA3137" s="200">
        <v>2.0160428915163564E-2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61058</v>
      </c>
      <c r="Y3138" s="202">
        <f>_xll.qlInterestRateIndexValueDate(IborIndex,X3138,Trigger)</f>
        <v>61060</v>
      </c>
      <c r="Z3138" s="203">
        <v>2.0213018063919286E-2</v>
      </c>
      <c r="AA3138" s="200">
        <v>2.0160428915163564E-2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61065</v>
      </c>
      <c r="Y3139" s="202">
        <f>_xll.qlInterestRateIndexValueDate(IborIndex,X3139,Trigger)</f>
        <v>61067</v>
      </c>
      <c r="Z3139" s="203">
        <v>2.0213018063919286E-2</v>
      </c>
      <c r="AA3139" s="200">
        <v>2.0160428915163564E-2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61072</v>
      </c>
      <c r="Y3140" s="202">
        <f>_xll.qlInterestRateIndexValueDate(IborIndex,X3140,Trigger)</f>
        <v>61074</v>
      </c>
      <c r="Z3140" s="203">
        <v>2.0213018063919286E-2</v>
      </c>
      <c r="AA3140" s="200">
        <v>2.0160428915163564E-2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61079</v>
      </c>
      <c r="Y3141" s="202">
        <f>_xll.qlInterestRateIndexValueDate(IborIndex,X3141,Trigger)</f>
        <v>61081</v>
      </c>
      <c r="Z3141" s="203">
        <v>2.0213018063919286E-2</v>
      </c>
      <c r="AA3141" s="200">
        <v>2.0160428915163564E-2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61086</v>
      </c>
      <c r="Y3142" s="202">
        <f>_xll.qlInterestRateIndexValueDate(IborIndex,X3142,Trigger)</f>
        <v>61092</v>
      </c>
      <c r="Z3142" s="203">
        <v>2.0211318787423507E-2</v>
      </c>
      <c r="AA3142" s="200">
        <v>2.0160428915163564E-2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61093</v>
      </c>
      <c r="Y3143" s="202">
        <f>_xll.qlInterestRateIndexValueDate(IborIndex,X3143,Trigger)</f>
        <v>61095</v>
      </c>
      <c r="Z3143" s="203">
        <v>2.0211318787423507E-2</v>
      </c>
      <c r="AA3143" s="200">
        <v>2.01604289152435E-2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61100</v>
      </c>
      <c r="Y3144" s="202">
        <f>_xll.qlInterestRateIndexValueDate(IborIndex,X3144,Trigger)</f>
        <v>61102</v>
      </c>
      <c r="Z3144" s="203">
        <v>2.0211318787423507E-2</v>
      </c>
      <c r="AA3144" s="200">
        <v>2.0160428915083628E-2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61107</v>
      </c>
      <c r="Y3145" s="202">
        <f>_xll.qlInterestRateIndexValueDate(IborIndex,X3145,Trigger)</f>
        <v>61109</v>
      </c>
      <c r="Z3145" s="203">
        <v>2.0211318787424385E-2</v>
      </c>
      <c r="AA3145" s="200">
        <v>2.0160428915163564E-2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61114</v>
      </c>
      <c r="Y3146" s="202">
        <f>_xll.qlInterestRateIndexValueDate(IborIndex,X3146,Trigger)</f>
        <v>61116</v>
      </c>
      <c r="Z3146" s="203">
        <v>2.0211318787424385E-2</v>
      </c>
      <c r="AA3146" s="200">
        <v>2.01604289152435E-2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61121</v>
      </c>
      <c r="Y3147" s="202">
        <f>_xll.qlInterestRateIndexValueDate(IborIndex,X3147,Trigger)</f>
        <v>61123</v>
      </c>
      <c r="Z3147" s="203">
        <v>2.0213018063918436E-2</v>
      </c>
      <c r="AA3147" s="200">
        <v>2.0160428915163564E-2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61128</v>
      </c>
      <c r="Y3148" s="202">
        <f>_xll.qlInterestRateIndexValueDate(IborIndex,X3148,Trigger)</f>
        <v>61130</v>
      </c>
      <c r="Z3148" s="203">
        <v>2.0213018063918436E-2</v>
      </c>
      <c r="AA3148" s="200">
        <v>2.0160428915163564E-2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61135</v>
      </c>
      <c r="Y3149" s="202">
        <f>_xll.qlInterestRateIndexValueDate(IborIndex,X3149,Trigger)</f>
        <v>61137</v>
      </c>
      <c r="Z3149" s="203">
        <v>2.0213018063919286E-2</v>
      </c>
      <c r="AA3149" s="200">
        <v>2.0160428915083628E-2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61142</v>
      </c>
      <c r="Y3150" s="202">
        <f>_xll.qlInterestRateIndexValueDate(IborIndex,X3150,Trigger)</f>
        <v>61144</v>
      </c>
      <c r="Z3150" s="203">
        <v>2.0213584531729629E-2</v>
      </c>
      <c r="AA3150" s="200">
        <v>2.0160428915083628E-2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61149</v>
      </c>
      <c r="Y3151" s="202">
        <f>_xll.qlInterestRateIndexValueDate(IborIndex,X3151,Trigger)</f>
        <v>61151</v>
      </c>
      <c r="Z3151" s="203">
        <v>2.0213584531731311E-2</v>
      </c>
      <c r="AA3151" s="200">
        <v>2.0160428915083628E-2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61156</v>
      </c>
      <c r="Y3152" s="202">
        <f>_xll.qlInterestRateIndexValueDate(IborIndex,X3152,Trigger)</f>
        <v>61158</v>
      </c>
      <c r="Z3152" s="203">
        <v>2.0213018063919286E-2</v>
      </c>
      <c r="AA3152" s="200">
        <v>2.0160428915163564E-2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61163</v>
      </c>
      <c r="Y3153" s="202">
        <f>_xll.qlInterestRateIndexValueDate(IborIndex,X3153,Trigger)</f>
        <v>61165</v>
      </c>
      <c r="Z3153" s="203">
        <v>2.0213018063919286E-2</v>
      </c>
      <c r="AA3153" s="200">
        <v>2.0160428915083628E-2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61170</v>
      </c>
      <c r="Y3154" s="202">
        <f>_xll.qlInterestRateIndexValueDate(IborIndex,X3154,Trigger)</f>
        <v>61172</v>
      </c>
      <c r="Z3154" s="203">
        <v>2.0213018063919286E-2</v>
      </c>
      <c r="AA3154" s="200">
        <v>2.0160428915163564E-2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61177</v>
      </c>
      <c r="Y3155" s="202">
        <f>_xll.qlInterestRateIndexValueDate(IborIndex,X3155,Trigger)</f>
        <v>61179</v>
      </c>
      <c r="Z3155" s="203">
        <v>2.0213018063919286E-2</v>
      </c>
      <c r="AA3155" s="200">
        <v>2.0160428915083628E-2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61184</v>
      </c>
      <c r="Y3156" s="202">
        <f>_xll.qlInterestRateIndexValueDate(IborIndex,X3156,Trigger)</f>
        <v>61186</v>
      </c>
      <c r="Z3156" s="203">
        <v>2.0213584531730468E-2</v>
      </c>
      <c r="AA3156" s="200">
        <v>2.0160428915083628E-2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61191</v>
      </c>
      <c r="Y3157" s="202">
        <f>_xll.qlInterestRateIndexValueDate(IborIndex,X3157,Trigger)</f>
        <v>61193</v>
      </c>
      <c r="Z3157" s="203">
        <v>2.0213018063919286E-2</v>
      </c>
      <c r="AA3157" s="200">
        <v>2.0160428915083628E-2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61198</v>
      </c>
      <c r="Y3158" s="202">
        <f>_xll.qlInterestRateIndexValueDate(IborIndex,X3158,Trigger)</f>
        <v>61200</v>
      </c>
      <c r="Z3158" s="203">
        <v>2.0213018063918436E-2</v>
      </c>
      <c r="AA3158" s="200">
        <v>2.0160428915163564E-2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61205</v>
      </c>
      <c r="Y3159" s="202">
        <f>_xll.qlInterestRateIndexValueDate(IborIndex,X3159,Trigger)</f>
        <v>61207</v>
      </c>
      <c r="Z3159" s="203">
        <v>2.0213018063919286E-2</v>
      </c>
      <c r="AA3159" s="200">
        <v>2.0160428915163564E-2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61212</v>
      </c>
      <c r="Y3160" s="202">
        <f>_xll.qlInterestRateIndexValueDate(IborIndex,X3160,Trigger)</f>
        <v>61214</v>
      </c>
      <c r="Z3160" s="203">
        <v>2.0213018063920136E-2</v>
      </c>
      <c r="AA3160" s="200">
        <v>2.0160428915163564E-2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61219</v>
      </c>
      <c r="Y3161" s="202">
        <f>_xll.qlInterestRateIndexValueDate(IborIndex,X3161,Trigger)</f>
        <v>61221</v>
      </c>
      <c r="Z3161" s="203">
        <v>2.0213018063919286E-2</v>
      </c>
      <c r="AA3161" s="200">
        <v>2.0160428915163564E-2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61226</v>
      </c>
      <c r="Y3162" s="202">
        <f>_xll.qlInterestRateIndexValueDate(IborIndex,X3162,Trigger)</f>
        <v>61228</v>
      </c>
      <c r="Z3162" s="203">
        <v>2.0213018063920136E-2</v>
      </c>
      <c r="AA3162" s="200">
        <v>2.0160428915083628E-2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61233</v>
      </c>
      <c r="Y3163" s="202">
        <f>_xll.qlInterestRateIndexValueDate(IborIndex,X3163,Trigger)</f>
        <v>61235</v>
      </c>
      <c r="Z3163" s="203">
        <v>2.0213018063919286E-2</v>
      </c>
      <c r="AA3163" s="200">
        <v>2.0160428915163564E-2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61240</v>
      </c>
      <c r="Y3164" s="202">
        <f>_xll.qlInterestRateIndexValueDate(IborIndex,X3164,Trigger)</f>
        <v>61242</v>
      </c>
      <c r="Z3164" s="203">
        <v>2.0211318787424385E-2</v>
      </c>
      <c r="AA3164" s="200">
        <v>2.0160428915083628E-2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61247</v>
      </c>
      <c r="Y3165" s="202">
        <f>_xll.qlInterestRateIndexValueDate(IborIndex,X3165,Trigger)</f>
        <v>61249</v>
      </c>
      <c r="Z3165" s="203">
        <v>2.0211318787423507E-2</v>
      </c>
      <c r="AA3165" s="200">
        <v>2.0160428915083628E-2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61254</v>
      </c>
      <c r="Y3166" s="202">
        <f>_xll.qlInterestRateIndexValueDate(IborIndex,X3166,Trigger)</f>
        <v>61256</v>
      </c>
      <c r="Z3166" s="203">
        <v>2.0211318787423507E-2</v>
      </c>
      <c r="AA3166" s="200">
        <v>2.01604289152435E-2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61261</v>
      </c>
      <c r="Y3167" s="202">
        <f>_xll.qlInterestRateIndexValueDate(IborIndex,X3167,Trigger)</f>
        <v>61263</v>
      </c>
      <c r="Z3167" s="203">
        <v>2.0211318787424385E-2</v>
      </c>
      <c r="AA3167" s="200">
        <v>2.0160428915003692E-2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61268</v>
      </c>
      <c r="Y3168" s="202">
        <f>_xll.qlInterestRateIndexValueDate(IborIndex,X3168,Trigger)</f>
        <v>61270</v>
      </c>
      <c r="Z3168" s="203">
        <v>2.0211318787423507E-2</v>
      </c>
      <c r="AA3168" s="200">
        <v>2.0160428915083628E-2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61275</v>
      </c>
      <c r="Y3169" s="202">
        <f>_xll.qlInterestRateIndexValueDate(IborIndex,X3169,Trigger)</f>
        <v>61277</v>
      </c>
      <c r="Z3169" s="203">
        <v>2.0213018063918436E-2</v>
      </c>
      <c r="AA3169" s="200">
        <v>2.0160428915163564E-2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61282</v>
      </c>
      <c r="Y3170" s="202">
        <f>_xll.qlInterestRateIndexValueDate(IborIndex,X3170,Trigger)</f>
        <v>61284</v>
      </c>
      <c r="Z3170" s="203">
        <v>2.0213584531730468E-2</v>
      </c>
      <c r="AA3170" s="200">
        <v>2.0160428915163564E-2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61289</v>
      </c>
      <c r="Y3171" s="202">
        <f>_xll.qlInterestRateIndexValueDate(IborIndex,X3171,Trigger)</f>
        <v>61291</v>
      </c>
      <c r="Z3171" s="203">
        <v>2.0213018063920136E-2</v>
      </c>
      <c r="AA3171" s="200">
        <v>2.0160428915083628E-2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61296</v>
      </c>
      <c r="Y3172" s="202">
        <f>_xll.qlInterestRateIndexValueDate(IborIndex,X3172,Trigger)</f>
        <v>61298</v>
      </c>
      <c r="Z3172" s="203">
        <v>2.0213018063919286E-2</v>
      </c>
      <c r="AA3172" s="200">
        <v>2.0160428915163564E-2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61303</v>
      </c>
      <c r="Y3173" s="202">
        <f>_xll.qlInterestRateIndexValueDate(IborIndex,X3173,Trigger)</f>
        <v>61305</v>
      </c>
      <c r="Z3173" s="203">
        <v>2.0213018063918436E-2</v>
      </c>
      <c r="AA3173" s="200">
        <v>2.0160428915163564E-2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61310</v>
      </c>
      <c r="Y3174" s="202">
        <f>_xll.qlInterestRateIndexValueDate(IborIndex,X3174,Trigger)</f>
        <v>61315</v>
      </c>
      <c r="Z3174" s="203">
        <v>2.0211885191766678E-2</v>
      </c>
      <c r="AA3174" s="200">
        <v>2.0160428915083628E-2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61317</v>
      </c>
      <c r="Y3175" s="202">
        <f>_xll.qlInterestRateIndexValueDate(IborIndex,X3175,Trigger)</f>
        <v>61319</v>
      </c>
      <c r="Z3175" s="203">
        <v>2.0213584531730468E-2</v>
      </c>
      <c r="AA3175" s="200">
        <v>2.0160428915083628E-2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61324</v>
      </c>
      <c r="Y3176" s="202">
        <f>_xll.qlInterestRateIndexValueDate(IborIndex,X3176,Trigger)</f>
        <v>61326</v>
      </c>
      <c r="Z3176" s="203">
        <v>2.0213018063918436E-2</v>
      </c>
      <c r="AA3176" s="200">
        <v>2.0160428915163564E-2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61331</v>
      </c>
      <c r="Y3177" s="202">
        <f>_xll.qlInterestRateIndexValueDate(IborIndex,X3177,Trigger)</f>
        <v>61333</v>
      </c>
      <c r="Z3177" s="203">
        <v>2.021131878742263E-2</v>
      </c>
      <c r="AA3177" s="200">
        <v>2.0160428915163564E-2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61338</v>
      </c>
      <c r="Y3178" s="202">
        <f>_xll.qlInterestRateIndexValueDate(IborIndex,X3178,Trigger)</f>
        <v>61340</v>
      </c>
      <c r="Z3178" s="203">
        <v>2.0211318787423507E-2</v>
      </c>
      <c r="AA3178" s="200">
        <v>2.0160428915083628E-2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61345</v>
      </c>
      <c r="Y3179" s="202">
        <f>_xll.qlInterestRateIndexValueDate(IborIndex,X3179,Trigger)</f>
        <v>61347</v>
      </c>
      <c r="Z3179" s="203">
        <v>2.0211318787423507E-2</v>
      </c>
      <c r="AA3179" s="200">
        <v>2.0160428915163564E-2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61352</v>
      </c>
      <c r="Y3180" s="202">
        <f>_xll.qlInterestRateIndexValueDate(IborIndex,X3180,Trigger)</f>
        <v>61354</v>
      </c>
      <c r="Z3180" s="203">
        <v>2.0211318787423507E-2</v>
      </c>
      <c r="AA3180" s="200">
        <v>2.0160428915083628E-2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61359</v>
      </c>
      <c r="Y3181" s="202">
        <f>_xll.qlInterestRateIndexValueDate(IborIndex,X3181,Trigger)</f>
        <v>61361</v>
      </c>
      <c r="Z3181" s="203">
        <v>2.0211318787424385E-2</v>
      </c>
      <c r="AA3181" s="200">
        <v>2.0160428915163564E-2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61366</v>
      </c>
      <c r="Y3182" s="202">
        <f>_xll.qlInterestRateIndexValueDate(IborIndex,X3182,Trigger)</f>
        <v>61368</v>
      </c>
      <c r="Z3182" s="203">
        <v>2.0211318787423507E-2</v>
      </c>
      <c r="AA3182" s="200">
        <v>2.0160428915083628E-2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61373</v>
      </c>
      <c r="Y3183" s="202">
        <f>_xll.qlInterestRateIndexValueDate(IborIndex,X3183,Trigger)</f>
        <v>61375</v>
      </c>
      <c r="Z3183" s="203">
        <v>2.0211318787423507E-2</v>
      </c>
      <c r="AA3183" s="200">
        <v>2.0160428915163564E-2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61380</v>
      </c>
      <c r="Y3184" s="202">
        <f>_xll.qlInterestRateIndexValueDate(IborIndex,X3184,Trigger)</f>
        <v>61382</v>
      </c>
      <c r="Z3184" s="203">
        <v>2.0213584531730468E-2</v>
      </c>
      <c r="AA3184" s="200">
        <v>2.0160428915163564E-2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61387</v>
      </c>
      <c r="Y3185" s="202">
        <f>_xll.qlInterestRateIndexValueDate(IborIndex,X3185,Trigger)</f>
        <v>61389</v>
      </c>
      <c r="Z3185" s="203">
        <v>2.0211318787424385E-2</v>
      </c>
      <c r="AA3185" s="200">
        <v>2.0160428915083628E-2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61394</v>
      </c>
      <c r="Y3186" s="202">
        <f>_xll.qlInterestRateIndexValueDate(IborIndex,X3186,Trigger)</f>
        <v>61396</v>
      </c>
      <c r="Z3186" s="203">
        <v>2.0210752404234533E-2</v>
      </c>
      <c r="AA3186" s="200">
        <v>2.0160428915083628E-2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61401</v>
      </c>
      <c r="Y3187" s="202">
        <f>_xll.qlInterestRateIndexValueDate(IborIndex,X3187,Trigger)</f>
        <v>61403</v>
      </c>
      <c r="Z3187" s="203">
        <v>2.0210752404235421E-2</v>
      </c>
      <c r="AA3187" s="200">
        <v>2.01604289152435E-2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61408</v>
      </c>
      <c r="Y3188" s="202">
        <f>_xll.qlInterestRateIndexValueDate(IborIndex,X3188,Trigger)</f>
        <v>61410</v>
      </c>
      <c r="Z3188" s="203">
        <v>2.0210752404233645E-2</v>
      </c>
      <c r="AA3188" s="200">
        <v>2.0160428915163564E-2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61415</v>
      </c>
      <c r="Y3189" s="202">
        <f>_xll.qlInterestRateIndexValueDate(IborIndex,X3189,Trigger)</f>
        <v>61417</v>
      </c>
      <c r="Z3189" s="203">
        <v>2.0210752404233645E-2</v>
      </c>
      <c r="AA3189" s="200">
        <v>2.0160428915163564E-2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61422</v>
      </c>
      <c r="Y3190" s="202">
        <f>_xll.qlInterestRateIndexValueDate(IborIndex,X3190,Trigger)</f>
        <v>61424</v>
      </c>
      <c r="Z3190" s="203">
        <v>2.0213018063919286E-2</v>
      </c>
      <c r="AA3190" s="200">
        <v>2.0160428915163564E-2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61429</v>
      </c>
      <c r="Y3191" s="202">
        <f>_xll.qlInterestRateIndexValueDate(IborIndex,X3191,Trigger)</f>
        <v>61431</v>
      </c>
      <c r="Z3191" s="203">
        <v>2.0213018063918436E-2</v>
      </c>
      <c r="AA3191" s="200">
        <v>2.0160428915163564E-2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61436</v>
      </c>
      <c r="Y3192" s="202">
        <f>_xll.qlInterestRateIndexValueDate(IborIndex,X3192,Trigger)</f>
        <v>61438</v>
      </c>
      <c r="Z3192" s="203">
        <v>2.0213018063919286E-2</v>
      </c>
      <c r="AA3192" s="200">
        <v>2.0160428915163564E-2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61443</v>
      </c>
      <c r="Y3193" s="202">
        <f>_xll.qlInterestRateIndexValueDate(IborIndex,X3193,Trigger)</f>
        <v>61445</v>
      </c>
      <c r="Z3193" s="203">
        <v>2.0213018063920136E-2</v>
      </c>
      <c r="AA3193" s="200">
        <v>2.0160428915163564E-2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61450</v>
      </c>
      <c r="Y3194" s="202">
        <f>_xll.qlInterestRateIndexValueDate(IborIndex,X3194,Trigger)</f>
        <v>61452</v>
      </c>
      <c r="Z3194" s="203">
        <v>2.0211318787423507E-2</v>
      </c>
      <c r="AA3194" s="200">
        <v>2.0160428915163564E-2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61457</v>
      </c>
      <c r="Y3195" s="202">
        <f>_xll.qlInterestRateIndexValueDate(IborIndex,X3195,Trigger)</f>
        <v>61459</v>
      </c>
      <c r="Z3195" s="203">
        <v>2.0211318787423507E-2</v>
      </c>
      <c r="AA3195" s="200">
        <v>2.0160428915163564E-2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61464</v>
      </c>
      <c r="Y3196" s="202">
        <f>_xll.qlInterestRateIndexValueDate(IborIndex,X3196,Trigger)</f>
        <v>61466</v>
      </c>
      <c r="Z3196" s="203">
        <v>2.0211318787423507E-2</v>
      </c>
      <c r="AA3196" s="200">
        <v>2.0160428915083628E-2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61471</v>
      </c>
      <c r="Y3197" s="202">
        <f>_xll.qlInterestRateIndexValueDate(IborIndex,X3197,Trigger)</f>
        <v>61477</v>
      </c>
      <c r="Z3197" s="203">
        <v>2.0211318787423507E-2</v>
      </c>
      <c r="AA3197" s="200">
        <v>2.0160428915163564E-2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61478</v>
      </c>
      <c r="Y3198" s="202">
        <f>_xll.qlInterestRateIndexValueDate(IborIndex,X3198,Trigger)</f>
        <v>61480</v>
      </c>
      <c r="Z3198" s="203">
        <v>2.021131878742263E-2</v>
      </c>
      <c r="AA3198" s="200">
        <v>2.01604289152435E-2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61485</v>
      </c>
      <c r="Y3199" s="202">
        <f>_xll.qlInterestRateIndexValueDate(IborIndex,X3199,Trigger)</f>
        <v>61487</v>
      </c>
      <c r="Z3199" s="203">
        <v>2.0213018063919286E-2</v>
      </c>
      <c r="AA3199" s="200">
        <v>2.0160428915163564E-2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61492</v>
      </c>
      <c r="Y3200" s="202">
        <f>_xll.qlInterestRateIndexValueDate(IborIndex,X3200,Trigger)</f>
        <v>61494</v>
      </c>
      <c r="Z3200" s="203">
        <v>2.0213018063920136E-2</v>
      </c>
      <c r="AA3200" s="200">
        <v>2.0160428915083628E-2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61499</v>
      </c>
      <c r="Y3201" s="202">
        <f>_xll.qlInterestRateIndexValueDate(IborIndex,X3201,Trigger)</f>
        <v>61501</v>
      </c>
      <c r="Z3201" s="203">
        <v>2.0213018063919286E-2</v>
      </c>
      <c r="AA3201" s="200">
        <v>2.0160428915083628E-2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61506</v>
      </c>
      <c r="Y3202" s="202">
        <f>_xll.qlInterestRateIndexValueDate(IborIndex,X3202,Trigger)</f>
        <v>61508</v>
      </c>
      <c r="Z3202" s="203">
        <v>2.0213584531730468E-2</v>
      </c>
      <c r="AA3202" s="200">
        <v>2.0160428915083628E-2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61513</v>
      </c>
      <c r="Y3203" s="202">
        <f>_xll.qlInterestRateIndexValueDate(IborIndex,X3203,Trigger)</f>
        <v>61515</v>
      </c>
      <c r="Z3203" s="203">
        <v>2.0213584531729629E-2</v>
      </c>
      <c r="AA3203" s="200">
        <v>2.0160428915083628E-2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61520</v>
      </c>
      <c r="Y3204" s="202">
        <f>_xll.qlInterestRateIndexValueDate(IborIndex,X3204,Trigger)</f>
        <v>61522</v>
      </c>
      <c r="Z3204" s="203">
        <v>2.0213018063920136E-2</v>
      </c>
      <c r="AA3204" s="200">
        <v>2.0160428915083628E-2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61527</v>
      </c>
      <c r="Y3205" s="202">
        <f>_xll.qlInterestRateIndexValueDate(IborIndex,X3205,Trigger)</f>
        <v>61529</v>
      </c>
      <c r="Z3205" s="203">
        <v>2.0213018063920136E-2</v>
      </c>
      <c r="AA3205" s="200">
        <v>2.0160428915083628E-2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61534</v>
      </c>
      <c r="Y3206" s="202">
        <f>_xll.qlInterestRateIndexValueDate(IborIndex,X3206,Trigger)</f>
        <v>61536</v>
      </c>
      <c r="Z3206" s="203">
        <v>2.0213018063919286E-2</v>
      </c>
      <c r="AA3206" s="200">
        <v>2.0160428915163564E-2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61541</v>
      </c>
      <c r="Y3207" s="202">
        <f>_xll.qlInterestRateIndexValueDate(IborIndex,X3207,Trigger)</f>
        <v>61543</v>
      </c>
      <c r="Z3207" s="203">
        <v>2.0211318787423507E-2</v>
      </c>
      <c r="AA3207" s="200">
        <v>2.0160428915083628E-2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61548</v>
      </c>
      <c r="Y3208" s="202">
        <f>_xll.qlInterestRateIndexValueDate(IborIndex,X3208,Trigger)</f>
        <v>61550</v>
      </c>
      <c r="Z3208" s="203">
        <v>2.0213584531731311E-2</v>
      </c>
      <c r="AA3208" s="200">
        <v>2.0160428915083628E-2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61555</v>
      </c>
      <c r="Y3209" s="202">
        <f>_xll.qlInterestRateIndexValueDate(IborIndex,X3209,Trigger)</f>
        <v>61557</v>
      </c>
      <c r="Z3209" s="203">
        <v>2.0213018063919286E-2</v>
      </c>
      <c r="AA3209" s="200">
        <v>2.0160428915163564E-2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61562</v>
      </c>
      <c r="Y3210" s="202">
        <f>_xll.qlInterestRateIndexValueDate(IborIndex,X3210,Trigger)</f>
        <v>61564</v>
      </c>
      <c r="Z3210" s="203">
        <v>2.0213018063919286E-2</v>
      </c>
      <c r="AA3210" s="200">
        <v>2.0160428915163564E-2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61569</v>
      </c>
      <c r="Y3211" s="202">
        <f>_xll.qlInterestRateIndexValueDate(IborIndex,X3211,Trigger)</f>
        <v>61571</v>
      </c>
      <c r="Z3211" s="203">
        <v>2.0213018063919286E-2</v>
      </c>
      <c r="AA3211" s="200">
        <v>2.0160428915083628E-2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61576</v>
      </c>
      <c r="Y3212" s="202">
        <f>_xll.qlInterestRateIndexValueDate(IborIndex,X3212,Trigger)</f>
        <v>61578</v>
      </c>
      <c r="Z3212" s="203">
        <v>2.0213018063919286E-2</v>
      </c>
      <c r="AA3212" s="200">
        <v>2.01604289152435E-2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61583</v>
      </c>
      <c r="Y3213" s="202">
        <f>_xll.qlInterestRateIndexValueDate(IborIndex,X3213,Trigger)</f>
        <v>61585</v>
      </c>
      <c r="Z3213" s="203">
        <v>2.0213584531730468E-2</v>
      </c>
      <c r="AA3213" s="200">
        <v>2.0160428915163564E-2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61590</v>
      </c>
      <c r="Y3214" s="202">
        <f>_xll.qlInterestRateIndexValueDate(IborIndex,X3214,Trigger)</f>
        <v>61592</v>
      </c>
      <c r="Z3214" s="203">
        <v>2.0213018063919286E-2</v>
      </c>
      <c r="AA3214" s="200">
        <v>2.0160428915083628E-2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61597</v>
      </c>
      <c r="Y3215" s="202">
        <f>_xll.qlInterestRateIndexValueDate(IborIndex,X3215,Trigger)</f>
        <v>61599</v>
      </c>
      <c r="Z3215" s="203">
        <v>2.0213018063920136E-2</v>
      </c>
      <c r="AA3215" s="200">
        <v>2.0160428915163564E-2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61604</v>
      </c>
      <c r="Y3216" s="202">
        <f>_xll.qlInterestRateIndexValueDate(IborIndex,X3216,Trigger)</f>
        <v>61606</v>
      </c>
      <c r="Z3216" s="203">
        <v>2.0211318787423507E-2</v>
      </c>
      <c r="AA3216" s="200">
        <v>2.0160428915163564E-2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61611</v>
      </c>
      <c r="Y3217" s="202">
        <f>_xll.qlInterestRateIndexValueDate(IborIndex,X3217,Trigger)</f>
        <v>61613</v>
      </c>
      <c r="Z3217" s="203">
        <v>2.0211318787424385E-2</v>
      </c>
      <c r="AA3217" s="200">
        <v>2.0160428915083628E-2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61618</v>
      </c>
      <c r="Y3218" s="202">
        <f>_xll.qlInterestRateIndexValueDate(IborIndex,X3218,Trigger)</f>
        <v>61620</v>
      </c>
      <c r="Z3218" s="203">
        <v>2.0211318787424385E-2</v>
      </c>
      <c r="AA3218" s="200">
        <v>2.0160428915083628E-2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61625</v>
      </c>
      <c r="Y3219" s="202">
        <f>_xll.qlInterestRateIndexValueDate(IborIndex,X3219,Trigger)</f>
        <v>61627</v>
      </c>
      <c r="Z3219" s="203">
        <v>2.0211318787423507E-2</v>
      </c>
      <c r="AA3219" s="200">
        <v>2.0160428915163564E-2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61632</v>
      </c>
      <c r="Y3220" s="202">
        <f>_xll.qlInterestRateIndexValueDate(IborIndex,X3220,Trigger)</f>
        <v>61634</v>
      </c>
      <c r="Z3220" s="203">
        <v>2.0213018063918436E-2</v>
      </c>
      <c r="AA3220" s="200">
        <v>2.0160428915163564E-2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61639</v>
      </c>
      <c r="Y3221" s="202">
        <f>_xll.qlInterestRateIndexValueDate(IborIndex,X3221,Trigger)</f>
        <v>61641</v>
      </c>
      <c r="Z3221" s="203">
        <v>2.0213018063919286E-2</v>
      </c>
      <c r="AA3221" s="200">
        <v>2.0160428915083628E-2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61646</v>
      </c>
      <c r="Y3222" s="202">
        <f>_xll.qlInterestRateIndexValueDate(IborIndex,X3222,Trigger)</f>
        <v>61648</v>
      </c>
      <c r="Z3222" s="203">
        <v>2.0213018063920136E-2</v>
      </c>
      <c r="AA3222" s="200">
        <v>2.0160428915083628E-2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61653</v>
      </c>
      <c r="Y3223" s="202">
        <f>_xll.qlInterestRateIndexValueDate(IborIndex,X3223,Trigger)</f>
        <v>61655</v>
      </c>
      <c r="Z3223" s="203">
        <v>2.0213584531729629E-2</v>
      </c>
      <c r="AA3223" s="200">
        <v>2.0160428915163564E-2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61660</v>
      </c>
      <c r="Y3224" s="202">
        <f>_xll.qlInterestRateIndexValueDate(IborIndex,X3224,Trigger)</f>
        <v>61662</v>
      </c>
      <c r="Z3224" s="203">
        <v>2.0213018063918436E-2</v>
      </c>
      <c r="AA3224" s="200">
        <v>2.0160428915163564E-2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61667</v>
      </c>
      <c r="Y3225" s="202">
        <f>_xll.qlInterestRateIndexValueDate(IborIndex,X3225,Trigger)</f>
        <v>61669</v>
      </c>
      <c r="Z3225" s="203">
        <v>2.0213018063919286E-2</v>
      </c>
      <c r="AA3225" s="200">
        <v>2.0160428915083628E-2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61674</v>
      </c>
      <c r="Y3226" s="202">
        <f>_xll.qlInterestRateIndexValueDate(IborIndex,X3226,Trigger)</f>
        <v>61676</v>
      </c>
      <c r="Z3226" s="203">
        <v>2.0213018063919286E-2</v>
      </c>
      <c r="AA3226" s="200">
        <v>2.0160428915163564E-2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61681</v>
      </c>
      <c r="Y3227" s="202">
        <f>_xll.qlInterestRateIndexValueDate(IborIndex,X3227,Trigger)</f>
        <v>61683</v>
      </c>
      <c r="Z3227" s="203">
        <v>2.0213584531730468E-2</v>
      </c>
      <c r="AA3227" s="200">
        <v>2.01604289152435E-2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61688</v>
      </c>
      <c r="Y3228" s="202">
        <f>_xll.qlInterestRateIndexValueDate(IborIndex,X3228,Trigger)</f>
        <v>61690</v>
      </c>
      <c r="Z3228" s="203">
        <v>2.0213018063919286E-2</v>
      </c>
      <c r="AA3228" s="200">
        <v>2.0160428915163564E-2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61695</v>
      </c>
      <c r="Y3229" s="202">
        <f>_xll.qlInterestRateIndexValueDate(IborIndex,X3229,Trigger)</f>
        <v>61697</v>
      </c>
      <c r="Z3229" s="203">
        <v>2.0210752404234533E-2</v>
      </c>
      <c r="AA3229" s="200">
        <v>2.0160428915083628E-2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61702</v>
      </c>
      <c r="Y3230" s="202">
        <f>_xll.qlInterestRateIndexValueDate(IborIndex,X3230,Trigger)</f>
        <v>61704</v>
      </c>
      <c r="Z3230" s="203">
        <v>2.0210752404234533E-2</v>
      </c>
      <c r="AA3230" s="200">
        <v>2.0160428915163564E-2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61709</v>
      </c>
      <c r="Y3231" s="202">
        <f>_xll.qlInterestRateIndexValueDate(IborIndex,X3231,Trigger)</f>
        <v>61711</v>
      </c>
      <c r="Z3231" s="203">
        <v>2.0210752404234533E-2</v>
      </c>
      <c r="AA3231" s="200">
        <v>2.0160428915083628E-2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61716</v>
      </c>
      <c r="Y3232" s="202">
        <f>_xll.qlInterestRateIndexValueDate(IborIndex,X3232,Trigger)</f>
        <v>61718</v>
      </c>
      <c r="Z3232" s="203">
        <v>2.0210752404234533E-2</v>
      </c>
      <c r="AA3232" s="200">
        <v>2.0160428915083628E-2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61724</v>
      </c>
      <c r="Y3233" s="202">
        <f>_xll.qlInterestRateIndexValueDate(IborIndex,X3233,Trigger)</f>
        <v>61728</v>
      </c>
      <c r="Z3233" s="203">
        <v>2.0209619701316146E-2</v>
      </c>
      <c r="AA3233" s="200">
        <v>2.0160428915163564E-2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61731</v>
      </c>
      <c r="Y3234" s="202">
        <f>_xll.qlInterestRateIndexValueDate(IborIndex,X3234,Trigger)</f>
        <v>61735</v>
      </c>
      <c r="Z3234" s="203">
        <v>2.0211318787423507E-2</v>
      </c>
      <c r="AA3234" s="200">
        <v>2.0160428915083628E-2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61738</v>
      </c>
      <c r="Y3235" s="202">
        <f>_xll.qlInterestRateIndexValueDate(IborIndex,X3235,Trigger)</f>
        <v>61742</v>
      </c>
      <c r="Z3235" s="203">
        <v>2.0211885191766678E-2</v>
      </c>
      <c r="AA3235" s="200">
        <v>2.0160428915083628E-2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61745</v>
      </c>
      <c r="Y3236" s="202">
        <f>_xll.qlInterestRateIndexValueDate(IborIndex,X3236,Trigger)</f>
        <v>61750</v>
      </c>
      <c r="Z3236" s="203">
        <v>2.0210752404234533E-2</v>
      </c>
      <c r="AA3236" s="200">
        <v>2.0160428915083628E-2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61752</v>
      </c>
      <c r="Y3237" s="202">
        <f>_xll.qlInterestRateIndexValueDate(IborIndex,X3237,Trigger)</f>
        <v>61756</v>
      </c>
      <c r="Z3237" s="203">
        <v>2.0211318787423507E-2</v>
      </c>
      <c r="AA3237" s="200">
        <v>2.0160428915163564E-2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61759</v>
      </c>
      <c r="Y3238" s="202">
        <f>_xll.qlInterestRateIndexValueDate(IborIndex,X3238,Trigger)</f>
        <v>61763</v>
      </c>
      <c r="Z3238" s="203">
        <v>2.0211885191766678E-2</v>
      </c>
      <c r="AA3238" s="200">
        <v>2.0160428915163564E-2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61766</v>
      </c>
      <c r="Y3239" s="202">
        <f>_xll.qlInterestRateIndexValueDate(IborIndex,X3239,Trigger)</f>
        <v>61770</v>
      </c>
      <c r="Z3239" s="203">
        <v>2.0211318787424385E-2</v>
      </c>
      <c r="AA3239" s="200">
        <v>2.0160428915163564E-2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61773</v>
      </c>
      <c r="Y3240" s="202">
        <f>_xll.qlInterestRateIndexValueDate(IborIndex,X3240,Trigger)</f>
        <v>61778</v>
      </c>
      <c r="Z3240" s="203">
        <v>2.0210752404234533E-2</v>
      </c>
      <c r="AA3240" s="200">
        <v>2.0160428915163564E-2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61780</v>
      </c>
      <c r="Y3241" s="202">
        <f>_xll.qlInterestRateIndexValueDate(IborIndex,X3241,Trigger)</f>
        <v>61784</v>
      </c>
      <c r="Z3241" s="203">
        <v>2.0211885191767549E-2</v>
      </c>
      <c r="AA3241" s="200">
        <v>2.0160428915083628E-2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61787</v>
      </c>
      <c r="Y3242" s="202">
        <f>_xll.qlInterestRateIndexValueDate(IborIndex,X3242,Trigger)</f>
        <v>61791</v>
      </c>
      <c r="Z3242" s="203">
        <v>2.0211885191767549E-2</v>
      </c>
      <c r="AA3242" s="200">
        <v>2.0160428915083628E-2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61794</v>
      </c>
      <c r="Y3243" s="202">
        <f>_xll.qlInterestRateIndexValueDate(IborIndex,X3243,Trigger)</f>
        <v>61798</v>
      </c>
      <c r="Z3243" s="203">
        <v>2.0211885191766678E-2</v>
      </c>
      <c r="AA3243" s="200">
        <v>2.0160428915163564E-2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61801</v>
      </c>
      <c r="Y3244" s="202">
        <f>_xll.qlInterestRateIndexValueDate(IborIndex,X3244,Trigger)</f>
        <v>61805</v>
      </c>
      <c r="Z3244" s="203">
        <v>2.0211885191766678E-2</v>
      </c>
      <c r="AA3244" s="200">
        <v>2.0160428915083628E-2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61808</v>
      </c>
      <c r="Y3245" s="202">
        <f>_xll.qlInterestRateIndexValueDate(IborIndex,X3245,Trigger)</f>
        <v>61812</v>
      </c>
      <c r="Z3245" s="203">
        <v>2.0211885191766678E-2</v>
      </c>
      <c r="AA3245" s="200">
        <v>2.0160428915163564E-2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61815</v>
      </c>
      <c r="Y3246" s="202">
        <f>_xll.qlInterestRateIndexValueDate(IborIndex,X3246,Trigger)</f>
        <v>61819</v>
      </c>
      <c r="Z3246" s="203">
        <v>2.0211318787423507E-2</v>
      </c>
      <c r="AA3246" s="200">
        <v>2.0160428915083628E-2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61822</v>
      </c>
      <c r="Y3247" s="202">
        <f>_xll.qlInterestRateIndexValueDate(IborIndex,X3247,Trigger)</f>
        <v>61826</v>
      </c>
      <c r="Z3247" s="203">
        <v>2.0211318787423507E-2</v>
      </c>
      <c r="AA3247" s="200">
        <v>2.0160428915163564E-2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61829</v>
      </c>
      <c r="Y3248" s="202">
        <f>_xll.qlInterestRateIndexValueDate(IborIndex,X3248,Trigger)</f>
        <v>61835</v>
      </c>
      <c r="Z3248" s="203">
        <v>2.0211318787423507E-2</v>
      </c>
      <c r="AA3248" s="200">
        <v>2.0161557944247122E-2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61836</v>
      </c>
      <c r="Y3249" s="202">
        <f>_xll.qlInterestRateIndexValueDate(IborIndex,X3249,Trigger)</f>
        <v>61840</v>
      </c>
      <c r="Z3249" s="203">
        <v>2.0211318787423507E-2</v>
      </c>
      <c r="AA3249" s="200">
        <v>2.0160428915163564E-2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61843</v>
      </c>
      <c r="Y3250" s="202">
        <f>_xll.qlInterestRateIndexValueDate(IborIndex,X3250,Trigger)</f>
        <v>61847</v>
      </c>
      <c r="Z3250" s="203">
        <v>2.0211318787424385E-2</v>
      </c>
      <c r="AA3250" s="200">
        <v>2.0160428915083628E-2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61850</v>
      </c>
      <c r="Y3251" s="202">
        <f>_xll.qlInterestRateIndexValueDate(IborIndex,X3251,Trigger)</f>
        <v>61855</v>
      </c>
      <c r="Z3251" s="203">
        <v>2.0211885191766678E-2</v>
      </c>
      <c r="AA3251" s="200">
        <v>2.0160428915163564E-2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61857</v>
      </c>
      <c r="Y3252" s="202">
        <f>_xll.qlInterestRateIndexValueDate(IborIndex,X3252,Trigger)</f>
        <v>61861</v>
      </c>
      <c r="Z3252" s="203">
        <v>2.0211885191767549E-2</v>
      </c>
      <c r="AA3252" s="200">
        <v>2.0160428915083628E-2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61864</v>
      </c>
      <c r="Y3253" s="202">
        <f>_xll.qlInterestRateIndexValueDate(IborIndex,X3253,Trigger)</f>
        <v>61868</v>
      </c>
      <c r="Z3253" s="203">
        <v>2.0211885191766678E-2</v>
      </c>
      <c r="AA3253" s="200">
        <v>2.0160428915163564E-2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61871</v>
      </c>
      <c r="Y3254" s="202">
        <f>_xll.qlInterestRateIndexValueDate(IborIndex,X3254,Trigger)</f>
        <v>61876</v>
      </c>
      <c r="Z3254" s="203">
        <v>2.0211885191766678E-2</v>
      </c>
      <c r="AA3254" s="200">
        <v>2.0160428915163564E-2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61878</v>
      </c>
      <c r="Y3255" s="202">
        <f>_xll.qlInterestRateIndexValueDate(IborIndex,X3255,Trigger)</f>
        <v>61882</v>
      </c>
      <c r="Z3255" s="203">
        <v>2.0211885191767549E-2</v>
      </c>
      <c r="AA3255" s="200">
        <v>2.0160428915083628E-2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61885</v>
      </c>
      <c r="Y3256" s="202">
        <f>_xll.qlInterestRateIndexValueDate(IborIndex,X3256,Trigger)</f>
        <v>61889</v>
      </c>
      <c r="Z3256" s="203">
        <v>2.0211885191767549E-2</v>
      </c>
      <c r="AA3256" s="200">
        <v>2.0160428915083628E-2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61892</v>
      </c>
      <c r="Y3257" s="202">
        <f>_xll.qlInterestRateIndexValueDate(IborIndex,X3257,Trigger)</f>
        <v>61896</v>
      </c>
      <c r="Z3257" s="203">
        <v>2.0211885191767549E-2</v>
      </c>
      <c r="AA3257" s="200">
        <v>2.01604289152435E-2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61899</v>
      </c>
      <c r="Y3258" s="202">
        <f>_xll.qlInterestRateIndexValueDate(IborIndex,X3258,Trigger)</f>
        <v>61903</v>
      </c>
      <c r="Z3258" s="203">
        <v>2.0211885191766678E-2</v>
      </c>
      <c r="AA3258" s="200">
        <v>2.0160428915163564E-2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61906</v>
      </c>
      <c r="Y3259" s="202">
        <f>_xll.qlInterestRateIndexValueDate(IborIndex,X3259,Trigger)</f>
        <v>61910</v>
      </c>
      <c r="Z3259" s="203">
        <v>2.0211885191767549E-2</v>
      </c>
      <c r="AA3259" s="200">
        <v>2.0160428915083628E-2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61913</v>
      </c>
      <c r="Y3260" s="202">
        <f>_xll.qlInterestRateIndexValueDate(IborIndex,X3260,Trigger)</f>
        <v>61917</v>
      </c>
      <c r="Z3260" s="203">
        <v>2.0211885191767549E-2</v>
      </c>
      <c r="AA3260" s="200">
        <v>2.0160428915163564E-2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61920</v>
      </c>
      <c r="Y3261" s="202">
        <f>_xll.qlInterestRateIndexValueDate(IborIndex,X3261,Trigger)</f>
        <v>61924</v>
      </c>
      <c r="Z3261" s="203">
        <v>2.0211885191766678E-2</v>
      </c>
      <c r="AA3261" s="200">
        <v>2.0160428915083628E-2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61927</v>
      </c>
      <c r="Y3262" s="202">
        <f>_xll.qlInterestRateIndexValueDate(IborIndex,X3262,Trigger)</f>
        <v>61931</v>
      </c>
      <c r="Z3262" s="203">
        <v>2.0211885191766678E-2</v>
      </c>
      <c r="AA3262" s="200">
        <v>2.0160428915163564E-2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61934</v>
      </c>
      <c r="Y3263" s="202">
        <f>_xll.qlInterestRateIndexValueDate(IborIndex,X3263,Trigger)</f>
        <v>61938</v>
      </c>
      <c r="Z3263" s="203">
        <v>2.0211885191766678E-2</v>
      </c>
      <c r="AA3263" s="200">
        <v>2.0160428915083628E-2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61941</v>
      </c>
      <c r="Y3264" s="202">
        <f>_xll.qlInterestRateIndexValueDate(IborIndex,X3264,Trigger)</f>
        <v>61945</v>
      </c>
      <c r="Z3264" s="203">
        <v>2.0211885191766678E-2</v>
      </c>
      <c r="AA3264" s="200">
        <v>2.0160428915083628E-2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61948</v>
      </c>
      <c r="Y3265" s="202">
        <f>_xll.qlInterestRateIndexValueDate(IborIndex,X3265,Trigger)</f>
        <v>61952</v>
      </c>
      <c r="Z3265" s="203">
        <v>2.0211885191766678E-2</v>
      </c>
      <c r="AA3265" s="200">
        <v>2.0160428915163564E-2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61955</v>
      </c>
      <c r="Y3266" s="202">
        <f>_xll.qlInterestRateIndexValueDate(IborIndex,X3266,Trigger)</f>
        <v>61959</v>
      </c>
      <c r="Z3266" s="203">
        <v>2.0211885191766678E-2</v>
      </c>
      <c r="AA3266" s="200">
        <v>2.0160428915163564E-2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61962</v>
      </c>
      <c r="Y3267" s="202">
        <f>_xll.qlInterestRateIndexValueDate(IborIndex,X3267,Trigger)</f>
        <v>61967</v>
      </c>
      <c r="Z3267" s="203">
        <v>2.0211885191766678E-2</v>
      </c>
      <c r="AA3267" s="200">
        <v>2.0160428915163564E-2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61969</v>
      </c>
      <c r="Y3268" s="202">
        <f>_xll.qlInterestRateIndexValueDate(IborIndex,X3268,Trigger)</f>
        <v>61974</v>
      </c>
      <c r="Z3268" s="203">
        <v>2.0211318787423507E-2</v>
      </c>
      <c r="AA3268" s="200">
        <v>2.0160428915163564E-2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61976</v>
      </c>
      <c r="Y3269" s="202">
        <f>_xll.qlInterestRateIndexValueDate(IborIndex,X3269,Trigger)</f>
        <v>61980</v>
      </c>
      <c r="Z3269" s="203">
        <v>2.0211318787423507E-2</v>
      </c>
      <c r="AA3269" s="200">
        <v>2.0160428915083628E-2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61983</v>
      </c>
      <c r="Y3270" s="202">
        <f>_xll.qlInterestRateIndexValueDate(IborIndex,X3270,Trigger)</f>
        <v>61987</v>
      </c>
      <c r="Z3270" s="203">
        <v>2.0211318787423507E-2</v>
      </c>
      <c r="AA3270" s="200">
        <v>2.0160428915083628E-2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61990</v>
      </c>
      <c r="Y3271" s="202">
        <f>_xll.qlInterestRateIndexValueDate(IborIndex,X3271,Trigger)</f>
        <v>61994</v>
      </c>
      <c r="Z3271" s="203">
        <v>2.0211318787423507E-2</v>
      </c>
      <c r="AA3271" s="200">
        <v>2.0160428915083628E-2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61997</v>
      </c>
      <c r="Y3272" s="202">
        <f>_xll.qlInterestRateIndexValueDate(IborIndex,X3272,Trigger)</f>
        <v>62001</v>
      </c>
      <c r="Z3272" s="203">
        <v>2.0211885191766678E-2</v>
      </c>
      <c r="AA3272" s="200">
        <v>2.0160428915163564E-2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62004</v>
      </c>
      <c r="Y3273" s="202">
        <f>_xll.qlInterestRateIndexValueDate(IborIndex,X3273,Trigger)</f>
        <v>62008</v>
      </c>
      <c r="Z3273" s="203">
        <v>2.0211885191766678E-2</v>
      </c>
      <c r="AA3273" s="200">
        <v>2.0160428915083628E-2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62011</v>
      </c>
      <c r="Y3274" s="202">
        <f>_xll.qlInterestRateIndexValueDate(IborIndex,X3274,Trigger)</f>
        <v>62016</v>
      </c>
      <c r="Z3274" s="203">
        <v>2.0211885191766678E-2</v>
      </c>
      <c r="AA3274" s="200">
        <v>2.0160428915163564E-2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62018</v>
      </c>
      <c r="Y3275" s="202">
        <f>_xll.qlInterestRateIndexValueDate(IborIndex,X3275,Trigger)</f>
        <v>62022</v>
      </c>
      <c r="Z3275" s="203">
        <v>2.0211885191766678E-2</v>
      </c>
      <c r="AA3275" s="200">
        <v>2.0160428915163564E-2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62025</v>
      </c>
      <c r="Y3276" s="202">
        <f>_xll.qlInterestRateIndexValueDate(IborIndex,X3276,Trigger)</f>
        <v>62029</v>
      </c>
      <c r="Z3276" s="203">
        <v>2.0211885191766678E-2</v>
      </c>
      <c r="AA3276" s="200">
        <v>2.0160428915163564E-2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62032</v>
      </c>
      <c r="Y3277" s="202">
        <f>_xll.qlInterestRateIndexValueDate(IborIndex,X3277,Trigger)</f>
        <v>62036</v>
      </c>
      <c r="Z3277" s="203">
        <v>2.0211885191767549E-2</v>
      </c>
      <c r="AA3277" s="200">
        <v>2.0160428915163564E-2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62039</v>
      </c>
      <c r="Y3278" s="202">
        <f>_xll.qlInterestRateIndexValueDate(IborIndex,X3278,Trigger)</f>
        <v>62044</v>
      </c>
      <c r="Z3278" s="203">
        <v>2.0211885191766678E-2</v>
      </c>
      <c r="AA3278" s="200">
        <v>2.0160428915083628E-2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62046</v>
      </c>
      <c r="Y3279" s="202">
        <f>_xll.qlInterestRateIndexValueDate(IborIndex,X3279,Trigger)</f>
        <v>62050</v>
      </c>
      <c r="Z3279" s="203">
        <v>2.0211885191766678E-2</v>
      </c>
      <c r="AA3279" s="200">
        <v>2.01604289152435E-2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62053</v>
      </c>
      <c r="Y3280" s="202">
        <f>_xll.qlInterestRateIndexValueDate(IborIndex,X3280,Trigger)</f>
        <v>62057</v>
      </c>
      <c r="Z3280" s="203">
        <v>2.0211885191766678E-2</v>
      </c>
      <c r="AA3280" s="200">
        <v>2.0160428915163564E-2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62060</v>
      </c>
      <c r="Y3281" s="202">
        <f>_xll.qlInterestRateIndexValueDate(IborIndex,X3281,Trigger)</f>
        <v>62064</v>
      </c>
      <c r="Z3281" s="203">
        <v>2.021131878742263E-2</v>
      </c>
      <c r="AA3281" s="200">
        <v>2.0160428915163564E-2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62067</v>
      </c>
      <c r="Y3282" s="202">
        <f>_xll.qlInterestRateIndexValueDate(IborIndex,X3282,Trigger)</f>
        <v>62071</v>
      </c>
      <c r="Z3282" s="203">
        <v>2.0211318787423507E-2</v>
      </c>
      <c r="AA3282" s="200">
        <v>2.0160428915083628E-2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62074</v>
      </c>
      <c r="Y3283" s="202">
        <f>_xll.qlInterestRateIndexValueDate(IborIndex,X3283,Trigger)</f>
        <v>62078</v>
      </c>
      <c r="Z3283" s="203">
        <v>2.0211318787424385E-2</v>
      </c>
      <c r="AA3283" s="200">
        <v>2.0160428915083628E-2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62081</v>
      </c>
      <c r="Y3284" s="202">
        <f>_xll.qlInterestRateIndexValueDate(IborIndex,X3284,Trigger)</f>
        <v>62085</v>
      </c>
      <c r="Z3284" s="203">
        <v>2.0211318787424385E-2</v>
      </c>
      <c r="AA3284" s="200">
        <v>2.0161557944247122E-2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62089</v>
      </c>
      <c r="Y3285" s="202">
        <f>_xll.qlInterestRateIndexValueDate(IborIndex,X3285,Trigger)</f>
        <v>62093</v>
      </c>
      <c r="Z3285" s="203">
        <v>2.0208487083002311E-2</v>
      </c>
      <c r="AA3285" s="200">
        <v>2.0161557944273767E-2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62096</v>
      </c>
      <c r="Y3286" s="202">
        <f>_xll.qlInterestRateIndexValueDate(IborIndex,X3286,Trigger)</f>
        <v>62100</v>
      </c>
      <c r="Z3286" s="203">
        <v>2.0210752404234533E-2</v>
      </c>
      <c r="AA3286" s="200">
        <v>2.0160428915083628E-2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62103</v>
      </c>
      <c r="Y3287" s="202">
        <f>_xll.qlInterestRateIndexValueDate(IborIndex,X3287,Trigger)</f>
        <v>62107</v>
      </c>
      <c r="Z3287" s="203">
        <v>2.0210752404235421E-2</v>
      </c>
      <c r="AA3287" s="200">
        <v>2.0160428915163564E-2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62110</v>
      </c>
      <c r="Y3288" s="202">
        <f>_xll.qlInterestRateIndexValueDate(IborIndex,X3288,Trigger)</f>
        <v>62114</v>
      </c>
      <c r="Z3288" s="203">
        <v>2.0210752404234533E-2</v>
      </c>
      <c r="AA3288" s="200">
        <v>2.0160428915163564E-2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62117</v>
      </c>
      <c r="Y3289" s="202">
        <f>_xll.qlInterestRateIndexValueDate(IborIndex,X3289,Trigger)</f>
        <v>62121</v>
      </c>
      <c r="Z3289" s="203">
        <v>2.0210752404234533E-2</v>
      </c>
      <c r="AA3289" s="200">
        <v>2.0160428915083628E-2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62124</v>
      </c>
      <c r="Y3290" s="202">
        <f>_xll.qlInterestRateIndexValueDate(IborIndex,X3290,Trigger)</f>
        <v>62128</v>
      </c>
      <c r="Z3290" s="203">
        <v>2.0211318787423507E-2</v>
      </c>
      <c r="AA3290" s="200">
        <v>2.0160428915083628E-2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62131</v>
      </c>
      <c r="Y3291" s="202">
        <f>_xll.qlInterestRateIndexValueDate(IborIndex,X3291,Trigger)</f>
        <v>62135</v>
      </c>
      <c r="Z3291" s="203">
        <v>2.0210752404234533E-2</v>
      </c>
      <c r="AA3291" s="200">
        <v>2.0160428915083628E-2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62138</v>
      </c>
      <c r="Y3292" s="202">
        <f>_xll.qlInterestRateIndexValueDate(IborIndex,X3292,Trigger)</f>
        <v>62142</v>
      </c>
      <c r="Z3292" s="203">
        <v>2.0210752404235421E-2</v>
      </c>
      <c r="AA3292" s="200">
        <v>2.0160428915163564E-2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62145</v>
      </c>
      <c r="Y3293" s="202">
        <f>_xll.qlInterestRateIndexValueDate(IborIndex,X3293,Trigger)</f>
        <v>62149</v>
      </c>
      <c r="Z3293" s="203">
        <v>2.0211318787423507E-2</v>
      </c>
      <c r="AA3293" s="200">
        <v>2.0160428915163564E-2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62152</v>
      </c>
      <c r="Y3294" s="202">
        <f>_xll.qlInterestRateIndexValueDate(IborIndex,X3294,Trigger)</f>
        <v>62156</v>
      </c>
      <c r="Z3294" s="203">
        <v>2.021188519176581E-2</v>
      </c>
      <c r="AA3294" s="200">
        <v>2.0160428915163564E-2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62159</v>
      </c>
      <c r="Y3295" s="202">
        <f>_xll.qlInterestRateIndexValueDate(IborIndex,X3295,Trigger)</f>
        <v>62163</v>
      </c>
      <c r="Z3295" s="203">
        <v>2.0211885191767549E-2</v>
      </c>
      <c r="AA3295" s="200">
        <v>2.0160428915163564E-2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62166</v>
      </c>
      <c r="Y3296" s="202">
        <f>_xll.qlInterestRateIndexValueDate(IborIndex,X3296,Trigger)</f>
        <v>62170</v>
      </c>
      <c r="Z3296" s="203">
        <v>2.0211885191766678E-2</v>
      </c>
      <c r="AA3296" s="200">
        <v>2.0160428915163564E-2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62173</v>
      </c>
      <c r="Y3297" s="202">
        <f>_xll.qlInterestRateIndexValueDate(IborIndex,X3297,Trigger)</f>
        <v>62177</v>
      </c>
      <c r="Z3297" s="203">
        <v>2.0211885191766678E-2</v>
      </c>
      <c r="AA3297" s="200">
        <v>2.0162687057668549E-2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62184</v>
      </c>
      <c r="Y3298" s="202">
        <f>_xll.qlInterestRateIndexValueDate(IborIndex,X3298,Trigger)</f>
        <v>62186</v>
      </c>
      <c r="Z3298" s="203">
        <v>2.0211318787423507E-2</v>
      </c>
      <c r="AA3298" s="200">
        <v>2.0160428915163564E-2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62191</v>
      </c>
      <c r="Y3299" s="202">
        <f>_xll.qlInterestRateIndexValueDate(IborIndex,X3299,Trigger)</f>
        <v>62193</v>
      </c>
      <c r="Z3299" s="203">
        <v>2.0211318787424385E-2</v>
      </c>
      <c r="AA3299" s="200">
        <v>2.0160428915083628E-2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62198</v>
      </c>
      <c r="Y3300" s="202">
        <f>_xll.qlInterestRateIndexValueDate(IborIndex,X3300,Trigger)</f>
        <v>62200</v>
      </c>
      <c r="Z3300" s="203">
        <v>2.0211318787423507E-2</v>
      </c>
      <c r="AA3300" s="200">
        <v>2.0160428915163564E-2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62205</v>
      </c>
      <c r="Y3301" s="202">
        <f>_xll.qlInterestRateIndexValueDate(IborIndex,X3301,Trigger)</f>
        <v>62207</v>
      </c>
      <c r="Z3301" s="203">
        <v>2.0211318787423507E-2</v>
      </c>
      <c r="AA3301" s="200">
        <v>2.0160428915163564E-2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62212</v>
      </c>
      <c r="Y3302" s="202">
        <f>_xll.qlInterestRateIndexValueDate(IborIndex,X3302,Trigger)</f>
        <v>62214</v>
      </c>
      <c r="Z3302" s="203">
        <v>2.0211885191766678E-2</v>
      </c>
      <c r="AA3302" s="200">
        <v>2.0160428915163564E-2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62219</v>
      </c>
      <c r="Y3303" s="202">
        <f>_xll.qlInterestRateIndexValueDate(IborIndex,X3303,Trigger)</f>
        <v>62221</v>
      </c>
      <c r="Z3303" s="203">
        <v>2.0211885191767549E-2</v>
      </c>
      <c r="AA3303" s="200">
        <v>2.0160428915083628E-2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62226</v>
      </c>
      <c r="Y3304" s="202">
        <f>_xll.qlInterestRateIndexValueDate(IborIndex,X3304,Trigger)</f>
        <v>62228</v>
      </c>
      <c r="Z3304" s="203">
        <v>2.0211885191766678E-2</v>
      </c>
      <c r="AA3304" s="200">
        <v>2.0160428915163564E-2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62233</v>
      </c>
      <c r="Y3305" s="202">
        <f>_xll.qlInterestRateIndexValueDate(IborIndex,X3305,Trigger)</f>
        <v>62235</v>
      </c>
      <c r="Z3305" s="203">
        <v>2.0211885191766678E-2</v>
      </c>
      <c r="AA3305" s="200">
        <v>2.0160428915163564E-2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62240</v>
      </c>
      <c r="Y3306" s="202">
        <f>_xll.qlInterestRateIndexValueDate(IborIndex,X3306,Trigger)</f>
        <v>62242</v>
      </c>
      <c r="Z3306" s="203">
        <v>2.0211885191766678E-2</v>
      </c>
      <c r="AA3306" s="200">
        <v>2.0160428915083628E-2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62247</v>
      </c>
      <c r="Y3307" s="202">
        <f>_xll.qlInterestRateIndexValueDate(IborIndex,X3307,Trigger)</f>
        <v>62249</v>
      </c>
      <c r="Z3307" s="203">
        <v>2.0211885191766678E-2</v>
      </c>
      <c r="AA3307" s="200">
        <v>2.0160428915163564E-2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62254</v>
      </c>
      <c r="Y3308" s="202">
        <f>_xll.qlInterestRateIndexValueDate(IborIndex,X3308,Trigger)</f>
        <v>62256</v>
      </c>
      <c r="Z3308" s="203">
        <v>2.021188519176581E-2</v>
      </c>
      <c r="AA3308" s="200">
        <v>2.0160428915163564E-2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62261</v>
      </c>
      <c r="Y3309" s="202">
        <f>_xll.qlInterestRateIndexValueDate(IborIndex,X3309,Trigger)</f>
        <v>62263</v>
      </c>
      <c r="Z3309" s="203">
        <v>2.021188519176581E-2</v>
      </c>
      <c r="AA3309" s="200">
        <v>2.0160428915003692E-2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62268</v>
      </c>
      <c r="Y3310" s="202">
        <f>_xll.qlInterestRateIndexValueDate(IborIndex,X3310,Trigger)</f>
        <v>62270</v>
      </c>
      <c r="Z3310" s="203">
        <v>2.0211885191766678E-2</v>
      </c>
      <c r="AA3310" s="200">
        <v>2.0160428915163564E-2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62275</v>
      </c>
      <c r="Y3311" s="202">
        <f>_xll.qlInterestRateIndexValueDate(IborIndex,X3311,Trigger)</f>
        <v>62277</v>
      </c>
      <c r="Z3311" s="203">
        <v>2.0211885191766678E-2</v>
      </c>
      <c r="AA3311" s="200">
        <v>2.0160428915163564E-2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62282</v>
      </c>
      <c r="Y3312" s="202">
        <f>_xll.qlInterestRateIndexValueDate(IborIndex,X3312,Trigger)</f>
        <v>62284</v>
      </c>
      <c r="Z3312" s="203">
        <v>2.0211885191766678E-2</v>
      </c>
      <c r="AA3312" s="200">
        <v>2.0160428915083628E-2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62289</v>
      </c>
      <c r="Y3313" s="202">
        <f>_xll.qlInterestRateIndexValueDate(IborIndex,X3313,Trigger)</f>
        <v>62291</v>
      </c>
      <c r="Z3313" s="203">
        <v>2.0211885191766678E-2</v>
      </c>
      <c r="AA3313" s="200">
        <v>2.0160428915083628E-2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62296</v>
      </c>
      <c r="Y3314" s="202">
        <f>_xll.qlInterestRateIndexValueDate(IborIndex,X3314,Trigger)</f>
        <v>62298</v>
      </c>
      <c r="Z3314" s="203">
        <v>2.0211885191766678E-2</v>
      </c>
      <c r="AA3314" s="200">
        <v>2.01604289152435E-2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62303</v>
      </c>
      <c r="Y3315" s="202">
        <f>_xll.qlInterestRateIndexValueDate(IborIndex,X3315,Trigger)</f>
        <v>62305</v>
      </c>
      <c r="Z3315" s="203">
        <v>2.0211885191766678E-2</v>
      </c>
      <c r="AA3315" s="200">
        <v>2.01604289152435E-2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62310</v>
      </c>
      <c r="Y3316" s="202">
        <f>_xll.qlInterestRateIndexValueDate(IborIndex,X3316,Trigger)</f>
        <v>62312</v>
      </c>
      <c r="Z3316" s="203">
        <v>2.0211885191766678E-2</v>
      </c>
      <c r="AA3316" s="200">
        <v>2.0160428915163564E-2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62317</v>
      </c>
      <c r="Y3317" s="202">
        <f>_xll.qlInterestRateIndexValueDate(IborIndex,X3317,Trigger)</f>
        <v>62319</v>
      </c>
      <c r="Z3317" s="203">
        <v>2.0211885191768416E-2</v>
      </c>
      <c r="AA3317" s="200">
        <v>2.0160428915083628E-2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62324</v>
      </c>
      <c r="Y3318" s="202">
        <f>_xll.qlInterestRateIndexValueDate(IborIndex,X3318,Trigger)</f>
        <v>62326</v>
      </c>
      <c r="Z3318" s="203">
        <v>2.0211885191767549E-2</v>
      </c>
      <c r="AA3318" s="200">
        <v>2.0160428915163564E-2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62331</v>
      </c>
      <c r="Y3319" s="202">
        <f>_xll.qlInterestRateIndexValueDate(IborIndex,X3319,Trigger)</f>
        <v>62333</v>
      </c>
      <c r="Z3319" s="203">
        <v>2.0211885191766678E-2</v>
      </c>
      <c r="AA3319" s="200">
        <v>2.0160428915163564E-2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62338</v>
      </c>
      <c r="Y3320" s="202">
        <f>_xll.qlInterestRateIndexValueDate(IborIndex,X3320,Trigger)</f>
        <v>62340</v>
      </c>
      <c r="Z3320" s="203">
        <v>2.0211318787424385E-2</v>
      </c>
      <c r="AA3320" s="200">
        <v>2.0160428915163564E-2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62345</v>
      </c>
      <c r="Y3321" s="202">
        <f>_xll.qlInterestRateIndexValueDate(IborIndex,X3321,Trigger)</f>
        <v>62347</v>
      </c>
      <c r="Z3321" s="203">
        <v>2.0211318787424385E-2</v>
      </c>
      <c r="AA3321" s="200">
        <v>2.0160428915163564E-2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62352</v>
      </c>
      <c r="Y3322" s="202">
        <f>_xll.qlInterestRateIndexValueDate(IborIndex,X3322,Trigger)</f>
        <v>62354</v>
      </c>
      <c r="Z3322" s="203">
        <v>2.0211318787423507E-2</v>
      </c>
      <c r="AA3322" s="200">
        <v>2.0160428915163564E-2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62359</v>
      </c>
      <c r="Y3323" s="202">
        <f>_xll.qlInterestRateIndexValueDate(IborIndex,X3323,Trigger)</f>
        <v>62361</v>
      </c>
      <c r="Z3323" s="203">
        <v>2.0213584531730468E-2</v>
      </c>
      <c r="AA3323" s="200">
        <v>2.0160428915083628E-2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62366</v>
      </c>
      <c r="Y3324" s="202">
        <f>_xll.qlInterestRateIndexValueDate(IborIndex,X3324,Trigger)</f>
        <v>62368</v>
      </c>
      <c r="Z3324" s="203">
        <v>2.0211885191767549E-2</v>
      </c>
      <c r="AA3324" s="200">
        <v>2.0160428915083628E-2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62373</v>
      </c>
      <c r="Y3325" s="202">
        <f>_xll.qlInterestRateIndexValueDate(IborIndex,X3325,Trigger)</f>
        <v>62375</v>
      </c>
      <c r="Z3325" s="203">
        <v>2.0211885191766678E-2</v>
      </c>
      <c r="AA3325" s="200">
        <v>2.0160428915163564E-2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62380</v>
      </c>
      <c r="Y3326" s="202">
        <f>_xll.qlInterestRateIndexValueDate(IborIndex,X3326,Trigger)</f>
        <v>62382</v>
      </c>
      <c r="Z3326" s="203">
        <v>2.0211885191766678E-2</v>
      </c>
      <c r="AA3326" s="200">
        <v>2.0160428915163564E-2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62387</v>
      </c>
      <c r="Y3327" s="202">
        <f>_xll.qlInterestRateIndexValueDate(IborIndex,X3327,Trigger)</f>
        <v>62389</v>
      </c>
      <c r="Z3327" s="203">
        <v>2.0211885191766678E-2</v>
      </c>
      <c r="AA3327" s="200">
        <v>2.0160428915083628E-2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62394</v>
      </c>
      <c r="Y3328" s="202">
        <f>_xll.qlInterestRateIndexValueDate(IborIndex,X3328,Trigger)</f>
        <v>62396</v>
      </c>
      <c r="Z3328" s="203">
        <v>2.0211885191766678E-2</v>
      </c>
      <c r="AA3328" s="200">
        <v>2.0160428915083628E-2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62401</v>
      </c>
      <c r="Y3329" s="202">
        <f>_xll.qlInterestRateIndexValueDate(IborIndex,X3329,Trigger)</f>
        <v>62403</v>
      </c>
      <c r="Z3329" s="203">
        <v>2.0211885191767549E-2</v>
      </c>
      <c r="AA3329" s="200">
        <v>2.0160428915163564E-2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62408</v>
      </c>
      <c r="Y3330" s="202">
        <f>_xll.qlInterestRateIndexValueDate(IborIndex,X3330,Trigger)</f>
        <v>62410</v>
      </c>
      <c r="Z3330" s="203">
        <v>2.0211885191766678E-2</v>
      </c>
      <c r="AA3330" s="200">
        <v>2.0160428915163564E-2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62415</v>
      </c>
      <c r="Y3331" s="202">
        <f>_xll.qlInterestRateIndexValueDate(IborIndex,X3331,Trigger)</f>
        <v>62417</v>
      </c>
      <c r="Z3331" s="203">
        <v>2.0211885191767549E-2</v>
      </c>
      <c r="AA3331" s="200">
        <v>2.0160428915163564E-2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62422</v>
      </c>
      <c r="Y3332" s="202">
        <f>_xll.qlInterestRateIndexValueDate(IborIndex,X3332,Trigger)</f>
        <v>62425</v>
      </c>
      <c r="Z3332" s="203">
        <v>2.0211318787424385E-2</v>
      </c>
      <c r="AA3332" s="200">
        <v>2.0160428915163564E-2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62429</v>
      </c>
      <c r="Y3333" s="202">
        <f>_xll.qlInterestRateIndexValueDate(IborIndex,X3333,Trigger)</f>
        <v>62431</v>
      </c>
      <c r="Z3333" s="203">
        <v>2.0210752404234533E-2</v>
      </c>
      <c r="AA3333" s="200">
        <v>2.0160428915083628E-2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62436</v>
      </c>
      <c r="Y3334" s="202">
        <f>_xll.qlInterestRateIndexValueDate(IborIndex,X3334,Trigger)</f>
        <v>62438</v>
      </c>
      <c r="Z3334" s="203">
        <v>2.0210752404234533E-2</v>
      </c>
      <c r="AA3334" s="200">
        <v>2.0160428915163564E-2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62443</v>
      </c>
      <c r="Y3335" s="202">
        <f>_xll.qlInterestRateIndexValueDate(IborIndex,X3335,Trigger)</f>
        <v>62445</v>
      </c>
      <c r="Z3335" s="203">
        <v>2.0210752404234533E-2</v>
      </c>
      <c r="AA3335" s="200">
        <v>2.0160428915163564E-2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62450</v>
      </c>
      <c r="Y3336" s="202">
        <f>_xll.qlInterestRateIndexValueDate(IborIndex,X3336,Trigger)</f>
        <v>62456</v>
      </c>
      <c r="Z3336" s="203">
        <v>2.0211318787423507E-2</v>
      </c>
      <c r="AA3336" s="200">
        <v>2.0160993419167106E-2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62457</v>
      </c>
      <c r="Y3337" s="202">
        <f>_xll.qlInterestRateIndexValueDate(IborIndex,X3337,Trigger)</f>
        <v>62460</v>
      </c>
      <c r="Z3337" s="203">
        <v>2.0210752404234533E-2</v>
      </c>
      <c r="AA3337" s="200">
        <v>2.0160428915163564E-2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62464</v>
      </c>
      <c r="Y3338" s="202">
        <f>_xll.qlInterestRateIndexValueDate(IborIndex,X3338,Trigger)</f>
        <v>62466</v>
      </c>
      <c r="Z3338" s="203">
        <v>2.0210752404235421E-2</v>
      </c>
      <c r="AA3338" s="200">
        <v>2.0160428915083628E-2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62471</v>
      </c>
      <c r="Y3339" s="202">
        <f>_xll.qlInterestRateIndexValueDate(IborIndex,X3339,Trigger)</f>
        <v>62473</v>
      </c>
      <c r="Z3339" s="203">
        <v>2.0210752404234533E-2</v>
      </c>
      <c r="AA3339" s="200">
        <v>2.0160428915083628E-2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62478</v>
      </c>
      <c r="Y3340" s="202">
        <f>_xll.qlInterestRateIndexValueDate(IborIndex,X3340,Trigger)</f>
        <v>62480</v>
      </c>
      <c r="Z3340" s="203">
        <v>2.0210752404234533E-2</v>
      </c>
      <c r="AA3340" s="200">
        <v>2.0160428915163564E-2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62485</v>
      </c>
      <c r="Y3341" s="202">
        <f>_xll.qlInterestRateIndexValueDate(IborIndex,X3341,Trigger)</f>
        <v>62487</v>
      </c>
      <c r="Z3341" s="203">
        <v>2.0210752404234533E-2</v>
      </c>
      <c r="AA3341" s="200">
        <v>2.0160428915163564E-2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62492</v>
      </c>
      <c r="Y3342" s="202">
        <f>_xll.qlInterestRateIndexValueDate(IborIndex,X3342,Trigger)</f>
        <v>62494</v>
      </c>
      <c r="Z3342" s="203">
        <v>2.0210186042198781E-2</v>
      </c>
      <c r="AA3342" s="200">
        <v>2.0160428915083628E-2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62499</v>
      </c>
      <c r="Y3343" s="202">
        <f>_xll.qlInterestRateIndexValueDate(IborIndex,X3343,Trigger)</f>
        <v>62501</v>
      </c>
      <c r="Z3343" s="203">
        <v>2.0210186042199679E-2</v>
      </c>
      <c r="AA3343" s="200">
        <v>2.0160428915163564E-2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62506</v>
      </c>
      <c r="Y3344" s="202">
        <f>_xll.qlInterestRateIndexValueDate(IborIndex,X3344,Trigger)</f>
        <v>62508</v>
      </c>
      <c r="Z3344" s="203">
        <v>2.0210186042198781E-2</v>
      </c>
      <c r="AA3344" s="200">
        <v>2.01604289152435E-2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62513</v>
      </c>
      <c r="Y3345" s="202">
        <f>_xll.qlInterestRateIndexValueDate(IborIndex,X3345,Trigger)</f>
        <v>62515</v>
      </c>
      <c r="Z3345" s="203">
        <v>2.0210186042198781E-2</v>
      </c>
      <c r="AA3345" s="200">
        <v>2.0160428915083628E-2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62520</v>
      </c>
      <c r="Y3346" s="202">
        <f>_xll.qlInterestRateIndexValueDate(IborIndex,X3346,Trigger)</f>
        <v>62522</v>
      </c>
      <c r="Z3346" s="203">
        <v>2.0211885191767549E-2</v>
      </c>
      <c r="AA3346" s="200">
        <v>2.0160428915163564E-2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62527</v>
      </c>
      <c r="Y3347" s="202">
        <f>_xll.qlInterestRateIndexValueDate(IborIndex,X3347,Trigger)</f>
        <v>62529</v>
      </c>
      <c r="Z3347" s="203">
        <v>2.0211885191766678E-2</v>
      </c>
      <c r="AA3347" s="200">
        <v>2.0160428915163564E-2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62534</v>
      </c>
      <c r="Y3348" s="202">
        <f>_xll.qlInterestRateIndexValueDate(IborIndex,X3348,Trigger)</f>
        <v>62536</v>
      </c>
      <c r="Z3348" s="203">
        <v>2.0211885191766678E-2</v>
      </c>
      <c r="AA3348" s="200">
        <v>2.0160428915163564E-2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62541</v>
      </c>
      <c r="Y3349" s="202">
        <f>_xll.qlInterestRateIndexValueDate(IborIndex,X3349,Trigger)</f>
        <v>62543</v>
      </c>
      <c r="Z3349" s="203">
        <v>2.0211885191766678E-2</v>
      </c>
      <c r="AA3349" s="200">
        <v>2.0160428915163564E-2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62548</v>
      </c>
      <c r="Y3350" s="202">
        <f>_xll.qlInterestRateIndexValueDate(IborIndex,X3350,Trigger)</f>
        <v>62550</v>
      </c>
      <c r="Z3350" s="203">
        <v>2.0211318787423507E-2</v>
      </c>
      <c r="AA3350" s="200">
        <v>2.0160428915083628E-2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62555</v>
      </c>
      <c r="Y3351" s="202">
        <f>_xll.qlInterestRateIndexValueDate(IborIndex,X3351,Trigger)</f>
        <v>62557</v>
      </c>
      <c r="Z3351" s="203">
        <v>2.0211318787423507E-2</v>
      </c>
      <c r="AA3351" s="200">
        <v>2.0160428915163564E-2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62562</v>
      </c>
      <c r="Y3352" s="202">
        <f>_xll.qlInterestRateIndexValueDate(IborIndex,X3352,Trigger)</f>
        <v>62564</v>
      </c>
      <c r="Z3352" s="203">
        <v>2.0211318787423507E-2</v>
      </c>
      <c r="AA3352" s="200">
        <v>2.0160428915083628E-2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62569</v>
      </c>
      <c r="Y3353" s="202">
        <f>_xll.qlInterestRateIndexValueDate(IborIndex,X3353,Trigger)</f>
        <v>62571</v>
      </c>
      <c r="Z3353" s="203">
        <v>2.0211318787423507E-2</v>
      </c>
      <c r="AA3353" s="200">
        <v>2.0160428915083628E-2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62576</v>
      </c>
      <c r="Y3354" s="202">
        <f>_xll.qlInterestRateIndexValueDate(IborIndex,X3354,Trigger)</f>
        <v>62578</v>
      </c>
      <c r="Z3354" s="203">
        <v>2.0211885191766678E-2</v>
      </c>
      <c r="AA3354" s="200">
        <v>2.0160428915163564E-2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62583</v>
      </c>
      <c r="Y3355" s="202">
        <f>_xll.qlInterestRateIndexValueDate(IborIndex,X3355,Trigger)</f>
        <v>62585</v>
      </c>
      <c r="Z3355" s="203">
        <v>2.0211885191766678E-2</v>
      </c>
      <c r="AA3355" s="200">
        <v>2.0160428915163564E-2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62590</v>
      </c>
      <c r="Y3356" s="202">
        <f>_xll.qlInterestRateIndexValueDate(IborIndex,X3356,Trigger)</f>
        <v>62592</v>
      </c>
      <c r="Z3356" s="203">
        <v>2.0211885191767549E-2</v>
      </c>
      <c r="AA3356" s="200">
        <v>2.0160428915083628E-2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62597</v>
      </c>
      <c r="Y3357" s="202">
        <f>_xll.qlInterestRateIndexValueDate(IborIndex,X3357,Trigger)</f>
        <v>62599</v>
      </c>
      <c r="Z3357" s="203">
        <v>2.0211885191766678E-2</v>
      </c>
      <c r="AA3357" s="200">
        <v>2.0160428915163564E-2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62604</v>
      </c>
      <c r="Y3358" s="202">
        <f>_xll.qlInterestRateIndexValueDate(IborIndex,X3358,Trigger)</f>
        <v>62606</v>
      </c>
      <c r="Z3358" s="203">
        <v>2.0211885191766678E-2</v>
      </c>
      <c r="AA3358" s="200">
        <v>2.0160428915083628E-2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62611</v>
      </c>
      <c r="Y3359" s="202">
        <f>_xll.qlInterestRateIndexValueDate(IborIndex,X3359,Trigger)</f>
        <v>62613</v>
      </c>
      <c r="Z3359" s="203">
        <v>2.0211885191766678E-2</v>
      </c>
      <c r="AA3359" s="200">
        <v>2.0160428915083628E-2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62618</v>
      </c>
      <c r="Y3360" s="202">
        <f>_xll.qlInterestRateIndexValueDate(IborIndex,X3360,Trigger)</f>
        <v>62620</v>
      </c>
      <c r="Z3360" s="203">
        <v>2.0211885191766678E-2</v>
      </c>
      <c r="AA3360" s="200">
        <v>2.0160428915083628E-2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62625</v>
      </c>
      <c r="Y3361" s="202">
        <f>_xll.qlInterestRateIndexValueDate(IborIndex,X3361,Trigger)</f>
        <v>62627</v>
      </c>
      <c r="Z3361" s="203">
        <v>2.0211885191767549E-2</v>
      </c>
      <c r="AA3361" s="200">
        <v>2.0160428915163564E-2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62632</v>
      </c>
      <c r="Y3362" s="202">
        <f>_xll.qlInterestRateIndexValueDate(IborIndex,X3362,Trigger)</f>
        <v>62634</v>
      </c>
      <c r="Z3362" s="203">
        <v>2.0211885191766678E-2</v>
      </c>
      <c r="AA3362" s="200">
        <v>2.0160428915083628E-2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62639</v>
      </c>
      <c r="Y3363" s="202">
        <f>_xll.qlInterestRateIndexValueDate(IborIndex,X3363,Trigger)</f>
        <v>62641</v>
      </c>
      <c r="Z3363" s="203">
        <v>2.0211885191766678E-2</v>
      </c>
      <c r="AA3363" s="200">
        <v>2.0160428915163564E-2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62646</v>
      </c>
      <c r="Y3364" s="202">
        <f>_xll.qlInterestRateIndexValueDate(IborIndex,X3364,Trigger)</f>
        <v>62648</v>
      </c>
      <c r="Z3364" s="203">
        <v>2.0211885191767549E-2</v>
      </c>
      <c r="AA3364" s="200">
        <v>2.0160428915083628E-2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62653</v>
      </c>
      <c r="Y3365" s="202">
        <f>_xll.qlInterestRateIndexValueDate(IborIndex,X3365,Trigger)</f>
        <v>62655</v>
      </c>
      <c r="Z3365" s="203">
        <v>2.0211885191766678E-2</v>
      </c>
      <c r="AA3365" s="200">
        <v>2.01604289152435E-2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62660</v>
      </c>
      <c r="Y3366" s="202">
        <f>_xll.qlInterestRateIndexValueDate(IborIndex,X3366,Trigger)</f>
        <v>62662</v>
      </c>
      <c r="Z3366" s="203">
        <v>2.0211885191767549E-2</v>
      </c>
      <c r="AA3366" s="200">
        <v>2.0160428915163564E-2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62667</v>
      </c>
      <c r="Y3367" s="202">
        <f>_xll.qlInterestRateIndexValueDate(IborIndex,X3367,Trigger)</f>
        <v>62669</v>
      </c>
      <c r="Z3367" s="203">
        <v>2.0211885191766678E-2</v>
      </c>
      <c r="AA3367" s="200">
        <v>2.0160428915163564E-2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62674</v>
      </c>
      <c r="Y3368" s="202">
        <f>_xll.qlInterestRateIndexValueDate(IborIndex,X3368,Trigger)</f>
        <v>62676</v>
      </c>
      <c r="Z3368" s="203">
        <v>2.0211885191766678E-2</v>
      </c>
      <c r="AA3368" s="200">
        <v>2.0160428915083628E-2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62681</v>
      </c>
      <c r="Y3369" s="202">
        <f>_xll.qlInterestRateIndexValueDate(IborIndex,X3369,Trigger)</f>
        <v>62683</v>
      </c>
      <c r="Z3369" s="203">
        <v>2.0211885191766678E-2</v>
      </c>
      <c r="AA3369" s="200">
        <v>2.0160428915163564E-2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62688</v>
      </c>
      <c r="Y3370" s="202">
        <f>_xll.qlInterestRateIndexValueDate(IborIndex,X3370,Trigger)</f>
        <v>62690</v>
      </c>
      <c r="Z3370" s="203">
        <v>2.0211885191766678E-2</v>
      </c>
      <c r="AA3370" s="200">
        <v>2.0160428915163564E-2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62695</v>
      </c>
      <c r="Y3371" s="202">
        <f>_xll.qlInterestRateIndexValueDate(IborIndex,X3371,Trigger)</f>
        <v>62697</v>
      </c>
      <c r="Z3371" s="203">
        <v>2.0211885191766678E-2</v>
      </c>
      <c r="AA3371" s="200">
        <v>2.0160428915163564E-2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62702</v>
      </c>
      <c r="Y3372" s="202">
        <f>_xll.qlInterestRateIndexValueDate(IborIndex,X3372,Trigger)</f>
        <v>62704</v>
      </c>
      <c r="Z3372" s="203">
        <v>2.0211318787423507E-2</v>
      </c>
      <c r="AA3372" s="200">
        <v>2.0160428915083628E-2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62709</v>
      </c>
      <c r="Y3373" s="202">
        <f>_xll.qlInterestRateIndexValueDate(IborIndex,X3373,Trigger)</f>
        <v>62711</v>
      </c>
      <c r="Z3373" s="203">
        <v>2.0211318787423507E-2</v>
      </c>
      <c r="AA3373" s="200">
        <v>2.0160428915163564E-2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62716</v>
      </c>
      <c r="Y3374" s="202">
        <f>_xll.qlInterestRateIndexValueDate(IborIndex,X3374,Trigger)</f>
        <v>62718</v>
      </c>
      <c r="Z3374" s="203">
        <v>2.0211318787424385E-2</v>
      </c>
      <c r="AA3374" s="200">
        <v>2.0160428915083628E-2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62723</v>
      </c>
      <c r="Y3375" s="202">
        <f>_xll.qlInterestRateIndexValueDate(IborIndex,X3375,Trigger)</f>
        <v>62725</v>
      </c>
      <c r="Z3375" s="203">
        <v>2.0211318787424385E-2</v>
      </c>
      <c r="AA3375" s="200">
        <v>2.0160428915003692E-2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62730</v>
      </c>
      <c r="Y3376" s="202">
        <f>_xll.qlInterestRateIndexValueDate(IborIndex,X3376,Trigger)</f>
        <v>62732</v>
      </c>
      <c r="Z3376" s="203">
        <v>2.0213584531730468E-2</v>
      </c>
      <c r="AA3376" s="200">
        <v>2.0160428915163564E-2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62737</v>
      </c>
      <c r="Y3377" s="202">
        <f>_xll.qlInterestRateIndexValueDate(IborIndex,X3377,Trigger)</f>
        <v>62739</v>
      </c>
      <c r="Z3377" s="203">
        <v>2.0211885191766678E-2</v>
      </c>
      <c r="AA3377" s="200">
        <v>2.0160428915163564E-2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62744</v>
      </c>
      <c r="Y3378" s="202">
        <f>_xll.qlInterestRateIndexValueDate(IborIndex,X3378,Trigger)</f>
        <v>62746</v>
      </c>
      <c r="Z3378" s="203">
        <v>2.0211885191766678E-2</v>
      </c>
      <c r="AA3378" s="200">
        <v>2.0160428915163564E-2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62751</v>
      </c>
      <c r="Y3379" s="202">
        <f>_xll.qlInterestRateIndexValueDate(IborIndex,X3379,Trigger)</f>
        <v>62753</v>
      </c>
      <c r="Z3379" s="203">
        <v>2.0211885191766678E-2</v>
      </c>
      <c r="AA3379" s="200">
        <v>2.0160428915163564E-2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62758</v>
      </c>
      <c r="Y3380" s="202">
        <f>_xll.qlInterestRateIndexValueDate(IborIndex,X3380,Trigger)</f>
        <v>62760</v>
      </c>
      <c r="Z3380" s="203">
        <v>2.0211885191766678E-2</v>
      </c>
      <c r="AA3380" s="200">
        <v>2.0160428915163564E-2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62765</v>
      </c>
      <c r="Y3381" s="202">
        <f>_xll.qlInterestRateIndexValueDate(IborIndex,X3381,Trigger)</f>
        <v>62767</v>
      </c>
      <c r="Z3381" s="203">
        <v>2.0211885191766678E-2</v>
      </c>
      <c r="AA3381" s="200">
        <v>2.0160428915163564E-2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62772</v>
      </c>
      <c r="Y3382" s="202">
        <f>_xll.qlInterestRateIndexValueDate(IborIndex,X3382,Trigger)</f>
        <v>62774</v>
      </c>
      <c r="Z3382" s="203">
        <v>2.0211885191766678E-2</v>
      </c>
      <c r="AA3382" s="200">
        <v>2.0160428915163564E-2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62779</v>
      </c>
      <c r="Y3383" s="202">
        <f>_xll.qlInterestRateIndexValueDate(IborIndex,X3383,Trigger)</f>
        <v>62781</v>
      </c>
      <c r="Z3383" s="203">
        <v>2.0211885191766678E-2</v>
      </c>
      <c r="AA3383" s="200">
        <v>2.0160428915163564E-2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62786</v>
      </c>
      <c r="Y3384" s="202">
        <f>_xll.qlInterestRateIndexValueDate(IborIndex,X3384,Trigger)</f>
        <v>62789</v>
      </c>
      <c r="Z3384" s="203">
        <v>2.0213018063919286E-2</v>
      </c>
      <c r="AA3384" s="200">
        <v>2.0160428915163564E-2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62793</v>
      </c>
      <c r="Y3385" s="202">
        <f>_xll.qlInterestRateIndexValueDate(IborIndex,X3385,Trigger)</f>
        <v>62795</v>
      </c>
      <c r="Z3385" s="203">
        <v>2.0211318787423507E-2</v>
      </c>
      <c r="AA3385" s="200">
        <v>2.0160428915083628E-2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62800</v>
      </c>
      <c r="Y3386" s="202">
        <f>_xll.qlInterestRateIndexValueDate(IborIndex,X3386,Trigger)</f>
        <v>62802</v>
      </c>
      <c r="Z3386" s="203">
        <v>2.0211318787423507E-2</v>
      </c>
      <c r="AA3386" s="200">
        <v>2.0160428915083628E-2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62807</v>
      </c>
      <c r="Y3387" s="202">
        <f>_xll.qlInterestRateIndexValueDate(IborIndex,X3387,Trigger)</f>
        <v>62809</v>
      </c>
      <c r="Z3387" s="203">
        <v>2.0211318787423507E-2</v>
      </c>
      <c r="AA3387" s="200">
        <v>2.0160428915163564E-2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62814</v>
      </c>
      <c r="Y3388" s="202">
        <f>_xll.qlInterestRateIndexValueDate(IborIndex,X3388,Trigger)</f>
        <v>62816</v>
      </c>
      <c r="Z3388" s="203">
        <v>2.0211318787424385E-2</v>
      </c>
      <c r="AA3388" s="200">
        <v>2.0160428915083628E-2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62821</v>
      </c>
      <c r="Y3389" s="202">
        <f>_xll.qlInterestRateIndexValueDate(IborIndex,X3389,Trigger)</f>
        <v>62823</v>
      </c>
      <c r="Z3389" s="203">
        <v>2.0211318787423507E-2</v>
      </c>
      <c r="AA3389" s="200">
        <v>2.0160428915163564E-2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62828</v>
      </c>
      <c r="Y3390" s="202">
        <f>_xll.qlInterestRateIndexValueDate(IborIndex,X3390,Trigger)</f>
        <v>62830</v>
      </c>
      <c r="Z3390" s="203">
        <v>2.0211318787423507E-2</v>
      </c>
      <c r="AA3390" s="200">
        <v>2.0160428915163564E-2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62835</v>
      </c>
      <c r="Y3391" s="202">
        <f>_xll.qlInterestRateIndexValueDate(IborIndex,X3391,Trigger)</f>
        <v>62837</v>
      </c>
      <c r="Z3391" s="203">
        <v>2.0211318787423507E-2</v>
      </c>
      <c r="AA3391" s="200">
        <v>2.01604289152435E-2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62842</v>
      </c>
      <c r="Y3392" s="202">
        <f>_xll.qlInterestRateIndexValueDate(IborIndex,X3392,Trigger)</f>
        <v>62844</v>
      </c>
      <c r="Z3392" s="203">
        <v>2.0211318787423507E-2</v>
      </c>
      <c r="AA3392" s="200">
        <v>2.0160428915163564E-2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62849</v>
      </c>
      <c r="Y3393" s="202">
        <f>_xll.qlInterestRateIndexValueDate(IborIndex,X3393,Trigger)</f>
        <v>62851</v>
      </c>
      <c r="Z3393" s="203">
        <v>2.0211318787423507E-2</v>
      </c>
      <c r="AA3393" s="200">
        <v>2.0160428915083628E-2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62856</v>
      </c>
      <c r="Y3394" s="202">
        <f>_xll.qlInterestRateIndexValueDate(IborIndex,X3394,Trigger)</f>
        <v>62858</v>
      </c>
      <c r="Z3394" s="203">
        <v>2.0210752404234533E-2</v>
      </c>
      <c r="AA3394" s="200">
        <v>2.0160428915083628E-2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62863</v>
      </c>
      <c r="Y3395" s="202">
        <f>_xll.qlInterestRateIndexValueDate(IborIndex,X3395,Trigger)</f>
        <v>62865</v>
      </c>
      <c r="Z3395" s="203">
        <v>2.0210752404234533E-2</v>
      </c>
      <c r="AA3395" s="200">
        <v>2.0160428915163564E-2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62870</v>
      </c>
      <c r="Y3396" s="202">
        <f>_xll.qlInterestRateIndexValueDate(IborIndex,X3396,Trigger)</f>
        <v>62872</v>
      </c>
      <c r="Z3396" s="203">
        <v>2.0210752404234533E-2</v>
      </c>
      <c r="AA3396" s="200">
        <v>2.0160428915163564E-2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62877</v>
      </c>
      <c r="Y3397" s="202">
        <f>_xll.qlInterestRateIndexValueDate(IborIndex,X3397,Trigger)</f>
        <v>62879</v>
      </c>
      <c r="Z3397" s="203">
        <v>2.0210752404234533E-2</v>
      </c>
      <c r="AA3397" s="200">
        <v>2.0160428915083628E-2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62884</v>
      </c>
      <c r="Y3398" s="202">
        <f>_xll.qlInterestRateIndexValueDate(IborIndex,X3398,Trigger)</f>
        <v>62886</v>
      </c>
      <c r="Z3398" s="203">
        <v>2.0211885191767549E-2</v>
      </c>
      <c r="AA3398" s="200">
        <v>2.0160428915083628E-2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62891</v>
      </c>
      <c r="Y3399" s="202">
        <f>_xll.qlInterestRateIndexValueDate(IborIndex,X3399,Trigger)</f>
        <v>62893</v>
      </c>
      <c r="Z3399" s="203">
        <v>2.0211885191767549E-2</v>
      </c>
      <c r="AA3399" s="200">
        <v>2.0160428915163564E-2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62898</v>
      </c>
      <c r="Y3400" s="202">
        <f>_xll.qlInterestRateIndexValueDate(IborIndex,X3400,Trigger)</f>
        <v>62900</v>
      </c>
      <c r="Z3400" s="203">
        <v>2.0211885191767549E-2</v>
      </c>
      <c r="AA3400" s="200">
        <v>2.0160428915163564E-2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62905</v>
      </c>
      <c r="Y3401" s="202">
        <f>_xll.qlInterestRateIndexValueDate(IborIndex,X3401,Trigger)</f>
        <v>62907</v>
      </c>
      <c r="Z3401" s="203">
        <v>2.0211885191766678E-2</v>
      </c>
      <c r="AA3401" s="200">
        <v>2.01604289152435E-2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62912</v>
      </c>
      <c r="Y3402" s="202">
        <f>_xll.qlInterestRateIndexValueDate(IborIndex,X3402,Trigger)</f>
        <v>62914</v>
      </c>
      <c r="Z3402" s="203">
        <v>2.0211318787423507E-2</v>
      </c>
      <c r="AA3402" s="200">
        <v>2.0160428915083628E-2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62919</v>
      </c>
      <c r="Y3403" s="202">
        <f>_xll.qlInterestRateIndexValueDate(IborIndex,X3403,Trigger)</f>
        <v>62921</v>
      </c>
      <c r="Z3403" s="203">
        <v>2.0211318787424385E-2</v>
      </c>
      <c r="AA3403" s="200">
        <v>2.0160428915083628E-2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62926</v>
      </c>
      <c r="Y3404" s="202">
        <f>_xll.qlInterestRateIndexValueDate(IborIndex,X3404,Trigger)</f>
        <v>62928</v>
      </c>
      <c r="Z3404" s="203">
        <v>2.0211318787424385E-2</v>
      </c>
      <c r="AA3404" s="200">
        <v>2.0160428915163564E-2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62933</v>
      </c>
      <c r="Y3405" s="202">
        <f>_xll.qlInterestRateIndexValueDate(IborIndex,X3405,Trigger)</f>
        <v>62935</v>
      </c>
      <c r="Z3405" s="203">
        <v>2.0211318787423507E-2</v>
      </c>
      <c r="AA3405" s="200">
        <v>2.0160428915163564E-2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62940</v>
      </c>
      <c r="Y3406" s="202">
        <f>_xll.qlInterestRateIndexValueDate(IborIndex,X3406,Trigger)</f>
        <v>62942</v>
      </c>
      <c r="Z3406" s="203">
        <v>2.0211318787424385E-2</v>
      </c>
      <c r="AA3406" s="200">
        <v>2.0160428915163564E-2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62947</v>
      </c>
      <c r="Y3407" s="202">
        <f>_xll.qlInterestRateIndexValueDate(IborIndex,X3407,Trigger)</f>
        <v>62949</v>
      </c>
      <c r="Z3407" s="203">
        <v>2.0211885191766678E-2</v>
      </c>
      <c r="AA3407" s="200">
        <v>2.0160428915083628E-2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62954</v>
      </c>
      <c r="Y3408" s="202">
        <f>_xll.qlInterestRateIndexValueDate(IborIndex,X3408,Trigger)</f>
        <v>62956</v>
      </c>
      <c r="Z3408" s="203">
        <v>2.0211885191767549E-2</v>
      </c>
      <c r="AA3408" s="200">
        <v>2.0160428915163564E-2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62961</v>
      </c>
      <c r="Y3409" s="202">
        <f>_xll.qlInterestRateIndexValueDate(IborIndex,X3409,Trigger)</f>
        <v>62963</v>
      </c>
      <c r="Z3409" s="203">
        <v>2.0211885191766678E-2</v>
      </c>
      <c r="AA3409" s="200">
        <v>2.0160428915163564E-2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62968</v>
      </c>
      <c r="Y3410" s="202">
        <f>_xll.qlInterestRateIndexValueDate(IborIndex,X3410,Trigger)</f>
        <v>62970</v>
      </c>
      <c r="Z3410" s="203">
        <v>2.0211885191766678E-2</v>
      </c>
      <c r="AA3410" s="200">
        <v>2.0160428915163564E-2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62975</v>
      </c>
      <c r="Y3411" s="202">
        <f>_xll.qlInterestRateIndexValueDate(IborIndex,X3411,Trigger)</f>
        <v>62977</v>
      </c>
      <c r="Z3411" s="203">
        <v>2.0211885191767549E-2</v>
      </c>
      <c r="AA3411" s="200">
        <v>2.0160428915083628E-2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62982</v>
      </c>
      <c r="Y3412" s="202">
        <f>_xll.qlInterestRateIndexValueDate(IborIndex,X3412,Trigger)</f>
        <v>62984</v>
      </c>
      <c r="Z3412" s="203">
        <v>2.021188519176581E-2</v>
      </c>
      <c r="AA3412" s="200">
        <v>2.0160428915163564E-2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62989</v>
      </c>
      <c r="Y3413" s="202">
        <f>_xll.qlInterestRateIndexValueDate(IborIndex,X3413,Trigger)</f>
        <v>62991</v>
      </c>
      <c r="Z3413" s="203">
        <v>2.021188519176581E-2</v>
      </c>
      <c r="AA3413" s="200">
        <v>2.0160428915163564E-2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62996</v>
      </c>
      <c r="Y3414" s="202">
        <f>_xll.qlInterestRateIndexValueDate(IborIndex,X3414,Trigger)</f>
        <v>62998</v>
      </c>
      <c r="Z3414" s="203">
        <v>2.0211885191766678E-2</v>
      </c>
      <c r="AA3414" s="200">
        <v>2.0160428915083628E-2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63003</v>
      </c>
      <c r="Y3415" s="202">
        <f>_xll.qlInterestRateIndexValueDate(IborIndex,X3415,Trigger)</f>
        <v>63005</v>
      </c>
      <c r="Z3415" s="203">
        <v>2.0211885191766678E-2</v>
      </c>
      <c r="AA3415" s="200">
        <v>2.0160428915163564E-2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63010</v>
      </c>
      <c r="Y3416" s="202">
        <f>_xll.qlInterestRateIndexValueDate(IborIndex,X3416,Trigger)</f>
        <v>63012</v>
      </c>
      <c r="Z3416" s="203">
        <v>2.0211885191766678E-2</v>
      </c>
      <c r="AA3416" s="200">
        <v>2.0160428915163564E-2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63017</v>
      </c>
      <c r="Y3417" s="202">
        <f>_xll.qlInterestRateIndexValueDate(IborIndex,X3417,Trigger)</f>
        <v>63019</v>
      </c>
      <c r="Z3417" s="203">
        <v>2.0211885191766678E-2</v>
      </c>
      <c r="AA3417" s="200">
        <v>2.0160428915163564E-2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63024</v>
      </c>
      <c r="Y3418" s="202">
        <f>_xll.qlInterestRateIndexValueDate(IborIndex,X3418,Trigger)</f>
        <v>63026</v>
      </c>
      <c r="Z3418" s="203">
        <v>2.0211885191766678E-2</v>
      </c>
      <c r="AA3418" s="200">
        <v>2.0160428915083628E-2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63031</v>
      </c>
      <c r="Y3419" s="202">
        <f>_xll.qlInterestRateIndexValueDate(IborIndex,X3419,Trigger)</f>
        <v>63033</v>
      </c>
      <c r="Z3419" s="203">
        <v>2.0211885191766678E-2</v>
      </c>
      <c r="AA3419" s="200">
        <v>2.0160428915083628E-2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63038</v>
      </c>
      <c r="Y3420" s="202">
        <f>_xll.qlInterestRateIndexValueDate(IborIndex,X3420,Trigger)</f>
        <v>63040</v>
      </c>
      <c r="Z3420" s="203">
        <v>2.0211885191766678E-2</v>
      </c>
      <c r="AA3420" s="200">
        <v>2.0160428915163564E-2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63045</v>
      </c>
      <c r="Y3421" s="202">
        <f>_xll.qlInterestRateIndexValueDate(IborIndex,X3421,Trigger)</f>
        <v>63047</v>
      </c>
      <c r="Z3421" s="203">
        <v>2.0213584531730468E-2</v>
      </c>
      <c r="AA3421" s="200">
        <v>2.0160428915083628E-2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63052</v>
      </c>
      <c r="Y3422" s="202">
        <f>_xll.qlInterestRateIndexValueDate(IborIndex,X3422,Trigger)</f>
        <v>63054</v>
      </c>
      <c r="Z3422" s="203">
        <v>2.0211885191767549E-2</v>
      </c>
      <c r="AA3422" s="200">
        <v>2.0160428915163564E-2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63059</v>
      </c>
      <c r="Y3423" s="202">
        <f>_xll.qlInterestRateIndexValueDate(IborIndex,X3423,Trigger)</f>
        <v>63061</v>
      </c>
      <c r="Z3423" s="203">
        <v>2.021188519176581E-2</v>
      </c>
      <c r="AA3423" s="200">
        <v>2.0160428915083628E-2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63066</v>
      </c>
      <c r="Y3424" s="202">
        <f>_xll.qlInterestRateIndexValueDate(IborIndex,X3424,Trigger)</f>
        <v>63068</v>
      </c>
      <c r="Z3424" s="203">
        <v>2.0211318787424385E-2</v>
      </c>
      <c r="AA3424" s="200">
        <v>2.0160428915163564E-2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63073</v>
      </c>
      <c r="Y3425" s="202">
        <f>_xll.qlInterestRateIndexValueDate(IborIndex,X3425,Trigger)</f>
        <v>63075</v>
      </c>
      <c r="Z3425" s="203">
        <v>2.0211318787425266E-2</v>
      </c>
      <c r="AA3425" s="200">
        <v>2.0160428915083628E-2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63080</v>
      </c>
      <c r="Y3426" s="202">
        <f>_xll.qlInterestRateIndexValueDate(IborIndex,X3426,Trigger)</f>
        <v>63082</v>
      </c>
      <c r="Z3426" s="203">
        <v>2.0211318787423507E-2</v>
      </c>
      <c r="AA3426" s="200">
        <v>2.0160428915163564E-2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63087</v>
      </c>
      <c r="Y3427" s="202">
        <f>_xll.qlInterestRateIndexValueDate(IborIndex,X3427,Trigger)</f>
        <v>63089</v>
      </c>
      <c r="Z3427" s="203">
        <v>2.0211318787423507E-2</v>
      </c>
      <c r="AA3427" s="200">
        <v>2.0160428915163564E-2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63094</v>
      </c>
      <c r="Y3428" s="202">
        <f>_xll.qlInterestRateIndexValueDate(IborIndex,X3428,Trigger)</f>
        <v>63096</v>
      </c>
      <c r="Z3428" s="203">
        <v>2.0211318787423507E-2</v>
      </c>
      <c r="AA3428" s="200">
        <v>2.01604289152435E-2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63101</v>
      </c>
      <c r="Y3429" s="202">
        <f>_xll.qlInterestRateIndexValueDate(IborIndex,X3429,Trigger)</f>
        <v>63103</v>
      </c>
      <c r="Z3429" s="203">
        <v>2.0211885191767549E-2</v>
      </c>
      <c r="AA3429" s="200">
        <v>2.0160428915083628E-2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63108</v>
      </c>
      <c r="Y3430" s="202">
        <f>_xll.qlInterestRateIndexValueDate(IborIndex,X3430,Trigger)</f>
        <v>63110</v>
      </c>
      <c r="Z3430" s="203">
        <v>2.0211885191766678E-2</v>
      </c>
      <c r="AA3430" s="200">
        <v>2.0160428915083628E-2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63115</v>
      </c>
      <c r="Y3431" s="202">
        <f>_xll.qlInterestRateIndexValueDate(IborIndex,X3431,Trigger)</f>
        <v>63117</v>
      </c>
      <c r="Z3431" s="203">
        <v>2.0211885191766678E-2</v>
      </c>
      <c r="AA3431" s="200">
        <v>2.0160428915083628E-2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63122</v>
      </c>
      <c r="Y3432" s="202">
        <f>_xll.qlInterestRateIndexValueDate(IborIndex,X3432,Trigger)</f>
        <v>63124</v>
      </c>
      <c r="Z3432" s="203">
        <v>2.021188519176581E-2</v>
      </c>
      <c r="AA3432" s="200">
        <v>2.0160428915083628E-2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63129</v>
      </c>
      <c r="Y3433" s="202">
        <f>_xll.qlInterestRateIndexValueDate(IborIndex,X3433,Trigger)</f>
        <v>63131</v>
      </c>
      <c r="Z3433" s="203">
        <v>2.0211885191767549E-2</v>
      </c>
      <c r="AA3433" s="200">
        <v>2.0160428915083628E-2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63136</v>
      </c>
      <c r="Y3434" s="202">
        <f>_xll.qlInterestRateIndexValueDate(IborIndex,X3434,Trigger)</f>
        <v>63138</v>
      </c>
      <c r="Z3434" s="203">
        <v>2.0211885191766678E-2</v>
      </c>
      <c r="AA3434" s="200">
        <v>2.0160428915163564E-2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63143</v>
      </c>
      <c r="Y3435" s="202">
        <f>_xll.qlInterestRateIndexValueDate(IborIndex,X3435,Trigger)</f>
        <v>63145</v>
      </c>
      <c r="Z3435" s="203">
        <v>2.0211885191766678E-2</v>
      </c>
      <c r="AA3435" s="200">
        <v>2.01604289152435E-2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63150</v>
      </c>
      <c r="Y3436" s="202">
        <f>_xll.qlInterestRateIndexValueDate(IborIndex,X3436,Trigger)</f>
        <v>63153</v>
      </c>
      <c r="Z3436" s="203">
        <v>2.0213018063919286E-2</v>
      </c>
      <c r="AA3436" s="200">
        <v>2.0160428915163564E-2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63157</v>
      </c>
      <c r="Y3437" s="202">
        <f>_xll.qlInterestRateIndexValueDate(IborIndex,X3437,Trigger)</f>
        <v>63159</v>
      </c>
      <c r="Z3437" s="203">
        <v>2.0210752404234533E-2</v>
      </c>
      <c r="AA3437" s="200">
        <v>2.0160428915083628E-2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63164</v>
      </c>
      <c r="Y3438" s="202">
        <f>_xll.qlInterestRateIndexValueDate(IborIndex,X3438,Trigger)</f>
        <v>63166</v>
      </c>
      <c r="Z3438" s="203">
        <v>2.0210752404233645E-2</v>
      </c>
      <c r="AA3438" s="200">
        <v>2.0160428915083628E-2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63171</v>
      </c>
      <c r="Y3439" s="202">
        <f>_xll.qlInterestRateIndexValueDate(IborIndex,X3439,Trigger)</f>
        <v>63173</v>
      </c>
      <c r="Z3439" s="203">
        <v>2.0210752404235421E-2</v>
      </c>
      <c r="AA3439" s="200">
        <v>2.0160428915163564E-2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63178</v>
      </c>
      <c r="Y3440" s="202">
        <f>_xll.qlInterestRateIndexValueDate(IborIndex,X3440,Trigger)</f>
        <v>63180</v>
      </c>
      <c r="Z3440" s="203">
        <v>2.0210752404234533E-2</v>
      </c>
      <c r="AA3440" s="200">
        <v>2.0160428915163564E-2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63186</v>
      </c>
      <c r="Y3441" s="202">
        <f>_xll.qlInterestRateIndexValueDate(IborIndex,X3441,Trigger)</f>
        <v>63188</v>
      </c>
      <c r="Z3441" s="203">
        <v>2.0211318787423507E-2</v>
      </c>
      <c r="AA3441" s="200">
        <v>2.0160428915163564E-2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63193</v>
      </c>
      <c r="Y3442" s="202">
        <f>_xll.qlInterestRateIndexValueDate(IborIndex,X3442,Trigger)</f>
        <v>63195</v>
      </c>
      <c r="Z3442" s="203">
        <v>2.0210752404233645E-2</v>
      </c>
      <c r="AA3442" s="200">
        <v>2.0160428915083628E-2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63200</v>
      </c>
      <c r="Y3443" s="202">
        <f>_xll.qlInterestRateIndexValueDate(IborIndex,X3443,Trigger)</f>
        <v>63202</v>
      </c>
      <c r="Z3443" s="203">
        <v>2.0210752404234533E-2</v>
      </c>
      <c r="AA3443" s="200">
        <v>2.0160428915163564E-2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63207</v>
      </c>
      <c r="Y3444" s="202">
        <f>_xll.qlInterestRateIndexValueDate(IborIndex,X3444,Trigger)</f>
        <v>63209</v>
      </c>
      <c r="Z3444" s="203">
        <v>2.0210752404234533E-2</v>
      </c>
      <c r="AA3444" s="200">
        <v>2.0160428915163564E-2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63214</v>
      </c>
      <c r="Y3445" s="202">
        <f>_xll.qlInterestRateIndexValueDate(IborIndex,X3445,Trigger)</f>
        <v>63216</v>
      </c>
      <c r="Z3445" s="203">
        <v>2.0210752404234533E-2</v>
      </c>
      <c r="AA3445" s="200">
        <v>2.0160428915083628E-2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63221</v>
      </c>
      <c r="Y3446" s="202">
        <f>_xll.qlInterestRateIndexValueDate(IborIndex,X3446,Trigger)</f>
        <v>63223</v>
      </c>
      <c r="Z3446" s="203">
        <v>2.0210186042197882E-2</v>
      </c>
      <c r="AA3446" s="200">
        <v>2.0160428915163564E-2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63228</v>
      </c>
      <c r="Y3447" s="202">
        <f>_xll.qlInterestRateIndexValueDate(IborIndex,X3447,Trigger)</f>
        <v>63230</v>
      </c>
      <c r="Z3447" s="203">
        <v>2.0210186042198781E-2</v>
      </c>
      <c r="AA3447" s="200">
        <v>2.0160428915163564E-2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63235</v>
      </c>
      <c r="Y3448" s="202">
        <f>_xll.qlInterestRateIndexValueDate(IborIndex,X3448,Trigger)</f>
        <v>63237</v>
      </c>
      <c r="Z3448" s="203">
        <v>2.0210186042199679E-2</v>
      </c>
      <c r="AA3448" s="200">
        <v>2.0160428915163564E-2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63242</v>
      </c>
      <c r="Y3449" s="202">
        <f>_xll.qlInterestRateIndexValueDate(IborIndex,X3449,Trigger)</f>
        <v>63244</v>
      </c>
      <c r="Z3449" s="203">
        <v>2.0210186042199679E-2</v>
      </c>
      <c r="AA3449" s="200">
        <v>2.0160428915083628E-2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63249</v>
      </c>
      <c r="Y3450" s="202">
        <f>_xll.qlInterestRateIndexValueDate(IborIndex,X3450,Trigger)</f>
        <v>63251</v>
      </c>
      <c r="Z3450" s="203">
        <v>2.0213018063919286E-2</v>
      </c>
      <c r="AA3450" s="200">
        <v>2.0160428915083628E-2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63256</v>
      </c>
      <c r="Y3451" s="202">
        <f>_xll.qlInterestRateIndexValueDate(IborIndex,X3451,Trigger)</f>
        <v>63258</v>
      </c>
      <c r="Z3451" s="203">
        <v>2.0213018063919286E-2</v>
      </c>
      <c r="AA3451" s="200">
        <v>2.01604289152435E-2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63263</v>
      </c>
      <c r="Y3452" s="202">
        <f>_xll.qlInterestRateIndexValueDate(IborIndex,X3452,Trigger)</f>
        <v>63265</v>
      </c>
      <c r="Z3452" s="203">
        <v>2.0213018063920136E-2</v>
      </c>
      <c r="AA3452" s="200">
        <v>2.0160428915163564E-2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63270</v>
      </c>
      <c r="Y3453" s="202">
        <f>_xll.qlInterestRateIndexValueDate(IborIndex,X3453,Trigger)</f>
        <v>63276</v>
      </c>
      <c r="Z3453" s="203">
        <v>2.0211885191767549E-2</v>
      </c>
      <c r="AA3453" s="200">
        <v>2.0160428915163564E-2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63277</v>
      </c>
      <c r="Y3454" s="202">
        <f>_xll.qlInterestRateIndexValueDate(IborIndex,X3454,Trigger)</f>
        <v>63279</v>
      </c>
      <c r="Z3454" s="203">
        <v>2.0211318787423507E-2</v>
      </c>
      <c r="AA3454" s="200">
        <v>2.0160428915163564E-2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63284</v>
      </c>
      <c r="Y3455" s="202">
        <f>_xll.qlInterestRateIndexValueDate(IborIndex,X3455,Trigger)</f>
        <v>63286</v>
      </c>
      <c r="Z3455" s="203">
        <v>2.0211318787424385E-2</v>
      </c>
      <c r="AA3455" s="200">
        <v>2.0160428915163564E-2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63291</v>
      </c>
      <c r="Y3456" s="202">
        <f>_xll.qlInterestRateIndexValueDate(IborIndex,X3456,Trigger)</f>
        <v>63293</v>
      </c>
      <c r="Z3456" s="203">
        <v>2.0211318787423507E-2</v>
      </c>
      <c r="AA3456" s="200">
        <v>2.0160428915163564E-2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63298</v>
      </c>
      <c r="Y3457" s="202">
        <f>_xll.qlInterestRateIndexValueDate(IborIndex,X3457,Trigger)</f>
        <v>63300</v>
      </c>
      <c r="Z3457" s="203">
        <v>2.0211318787423507E-2</v>
      </c>
      <c r="AA3457" s="200">
        <v>2.0160428915163564E-2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63305</v>
      </c>
      <c r="Y3458" s="202">
        <f>_xll.qlInterestRateIndexValueDate(IborIndex,X3458,Trigger)</f>
        <v>63307</v>
      </c>
      <c r="Z3458" s="203">
        <v>2.0213018063918436E-2</v>
      </c>
      <c r="AA3458" s="200">
        <v>2.0160428915163564E-2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63312</v>
      </c>
      <c r="Y3459" s="202">
        <f>_xll.qlInterestRateIndexValueDate(IborIndex,X3459,Trigger)</f>
        <v>63314</v>
      </c>
      <c r="Z3459" s="203">
        <v>2.0213018063920136E-2</v>
      </c>
      <c r="AA3459" s="200">
        <v>2.0160428915003692E-2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63319</v>
      </c>
      <c r="Y3460" s="202">
        <f>_xll.qlInterestRateIndexValueDate(IborIndex,X3460,Trigger)</f>
        <v>63321</v>
      </c>
      <c r="Z3460" s="203">
        <v>2.0213018063919286E-2</v>
      </c>
      <c r="AA3460" s="200">
        <v>2.01604289152435E-2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63326</v>
      </c>
      <c r="Y3461" s="202">
        <f>_xll.qlInterestRateIndexValueDate(IborIndex,X3461,Trigger)</f>
        <v>63328</v>
      </c>
      <c r="Z3461" s="203">
        <v>2.0213018063919286E-2</v>
      </c>
      <c r="AA3461" s="200">
        <v>2.0160428915163564E-2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63333</v>
      </c>
      <c r="Y3462" s="202">
        <f>_xll.qlInterestRateIndexValueDate(IborIndex,X3462,Trigger)</f>
        <v>63335</v>
      </c>
      <c r="Z3462" s="203">
        <v>2.0213584531730468E-2</v>
      </c>
      <c r="AA3462" s="200">
        <v>2.0160428915163564E-2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63340</v>
      </c>
      <c r="Y3463" s="202">
        <f>_xll.qlInterestRateIndexValueDate(IborIndex,X3463,Trigger)</f>
        <v>63342</v>
      </c>
      <c r="Z3463" s="203">
        <v>2.0213584531730468E-2</v>
      </c>
      <c r="AA3463" s="200">
        <v>2.0160428915083628E-2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63347</v>
      </c>
      <c r="Y3464" s="202">
        <f>_xll.qlInterestRateIndexValueDate(IborIndex,X3464,Trigger)</f>
        <v>63349</v>
      </c>
      <c r="Z3464" s="203">
        <v>2.0213018063919286E-2</v>
      </c>
      <c r="AA3464" s="200">
        <v>2.0160428915163564E-2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63354</v>
      </c>
      <c r="Y3465" s="202">
        <f>_xll.qlInterestRateIndexValueDate(IborIndex,X3465,Trigger)</f>
        <v>63356</v>
      </c>
      <c r="Z3465" s="203">
        <v>2.0213018063918436E-2</v>
      </c>
      <c r="AA3465" s="200">
        <v>2.0160428915163564E-2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63361</v>
      </c>
      <c r="Y3466" s="202">
        <f>_xll.qlInterestRateIndexValueDate(IborIndex,X3466,Trigger)</f>
        <v>63363</v>
      </c>
      <c r="Z3466" s="203">
        <v>2.0213018063920136E-2</v>
      </c>
      <c r="AA3466" s="200">
        <v>2.0160428915163564E-2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63368</v>
      </c>
      <c r="Y3467" s="202">
        <f>_xll.qlInterestRateIndexValueDate(IborIndex,X3467,Trigger)</f>
        <v>63370</v>
      </c>
      <c r="Z3467" s="203">
        <v>2.0211318787423507E-2</v>
      </c>
      <c r="AA3467" s="200">
        <v>2.0160428915083628E-2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63375</v>
      </c>
      <c r="Y3468" s="202">
        <f>_xll.qlInterestRateIndexValueDate(IborIndex,X3468,Trigger)</f>
        <v>63377</v>
      </c>
      <c r="Z3468" s="203">
        <v>2.0213584531730468E-2</v>
      </c>
      <c r="AA3468" s="200">
        <v>2.0160428915163564E-2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63382</v>
      </c>
      <c r="Y3469" s="202">
        <f>_xll.qlInterestRateIndexValueDate(IborIndex,X3469,Trigger)</f>
        <v>63384</v>
      </c>
      <c r="Z3469" s="203">
        <v>2.0213018063919286E-2</v>
      </c>
      <c r="AA3469" s="200">
        <v>2.0160428915163564E-2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63389</v>
      </c>
      <c r="Y3470" s="202">
        <f>_xll.qlInterestRateIndexValueDate(IborIndex,X3470,Trigger)</f>
        <v>63391</v>
      </c>
      <c r="Z3470" s="203">
        <v>2.0213018063919286E-2</v>
      </c>
      <c r="AA3470" s="200">
        <v>2.0160428915083628E-2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63396</v>
      </c>
      <c r="Y3471" s="202">
        <f>_xll.qlInterestRateIndexValueDate(IborIndex,X3471,Trigger)</f>
        <v>63398</v>
      </c>
      <c r="Z3471" s="203">
        <v>2.0213018063919286E-2</v>
      </c>
      <c r="AA3471" s="200">
        <v>2.0160428915163564E-2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63403</v>
      </c>
      <c r="Y3472" s="202">
        <f>_xll.qlInterestRateIndexValueDate(IborIndex,X3472,Trigger)</f>
        <v>63405</v>
      </c>
      <c r="Z3472" s="203">
        <v>2.0213018063918436E-2</v>
      </c>
      <c r="AA3472" s="200">
        <v>2.0160428915163564E-2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63410</v>
      </c>
      <c r="Y3473" s="202">
        <f>_xll.qlInterestRateIndexValueDate(IborIndex,X3473,Trigger)</f>
        <v>63412</v>
      </c>
      <c r="Z3473" s="203">
        <v>2.0213018063919286E-2</v>
      </c>
      <c r="AA3473" s="200">
        <v>2.0160428915083628E-2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63417</v>
      </c>
      <c r="Y3474" s="202">
        <f>_xll.qlInterestRateIndexValueDate(IborIndex,X3474,Trigger)</f>
        <v>63419</v>
      </c>
      <c r="Z3474" s="203">
        <v>2.0213018063919286E-2</v>
      </c>
      <c r="AA3474" s="200">
        <v>2.0160428915163564E-2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63424</v>
      </c>
      <c r="Y3475" s="202">
        <f>_xll.qlInterestRateIndexValueDate(IborIndex,X3475,Trigger)</f>
        <v>63426</v>
      </c>
      <c r="Z3475" s="203">
        <v>2.0213018063919286E-2</v>
      </c>
      <c r="AA3475" s="200">
        <v>2.0160428915083628E-2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63431</v>
      </c>
      <c r="Y3476" s="202">
        <f>_xll.qlInterestRateIndexValueDate(IborIndex,X3476,Trigger)</f>
        <v>63433</v>
      </c>
      <c r="Z3476" s="203">
        <v>2.0211318787423507E-2</v>
      </c>
      <c r="AA3476" s="200">
        <v>2.0160428915163564E-2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63438</v>
      </c>
      <c r="Y3477" s="202">
        <f>_xll.qlInterestRateIndexValueDate(IborIndex,X3477,Trigger)</f>
        <v>63440</v>
      </c>
      <c r="Z3477" s="203">
        <v>2.0211318787424385E-2</v>
      </c>
      <c r="AA3477" s="200">
        <v>2.0160428915083628E-2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63445</v>
      </c>
      <c r="Y3478" s="202">
        <f>_xll.qlInterestRateIndexValueDate(IborIndex,X3478,Trigger)</f>
        <v>63447</v>
      </c>
      <c r="Z3478" s="203">
        <v>2.0211318787424385E-2</v>
      </c>
      <c r="AA3478" s="200">
        <v>2.0160428915163564E-2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63452</v>
      </c>
      <c r="Y3479" s="202">
        <f>_xll.qlInterestRateIndexValueDate(IborIndex,X3479,Trigger)</f>
        <v>63454</v>
      </c>
      <c r="Z3479" s="203">
        <v>2.021131878742263E-2</v>
      </c>
      <c r="AA3479" s="200">
        <v>2.0160428915083628E-2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63459</v>
      </c>
      <c r="Y3480" s="202">
        <f>_xll.qlInterestRateIndexValueDate(IborIndex,X3480,Trigger)</f>
        <v>63461</v>
      </c>
      <c r="Z3480" s="203">
        <v>2.0211318787424385E-2</v>
      </c>
      <c r="AA3480" s="200">
        <v>2.0160428915163564E-2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63466</v>
      </c>
      <c r="Y3481" s="202">
        <f>_xll.qlInterestRateIndexValueDate(IborIndex,X3481,Trigger)</f>
        <v>63468</v>
      </c>
      <c r="Z3481" s="203">
        <v>2.0213018063919286E-2</v>
      </c>
      <c r="AA3481" s="200">
        <v>2.0160428915083628E-2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63473</v>
      </c>
      <c r="Y3482" s="202">
        <f>_xll.qlInterestRateIndexValueDate(IborIndex,X3482,Trigger)</f>
        <v>63475</v>
      </c>
      <c r="Z3482" s="203">
        <v>2.0213584531730468E-2</v>
      </c>
      <c r="AA3482" s="200">
        <v>2.0160428915083628E-2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63480</v>
      </c>
      <c r="Y3483" s="202">
        <f>_xll.qlInterestRateIndexValueDate(IborIndex,X3483,Trigger)</f>
        <v>63482</v>
      </c>
      <c r="Z3483" s="203">
        <v>2.0213018063919286E-2</v>
      </c>
      <c r="AA3483" s="200">
        <v>2.0160428915163564E-2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63487</v>
      </c>
      <c r="Y3484" s="202">
        <f>_xll.qlInterestRateIndexValueDate(IborIndex,X3484,Trigger)</f>
        <v>63489</v>
      </c>
      <c r="Z3484" s="203">
        <v>2.0213018063919286E-2</v>
      </c>
      <c r="AA3484" s="200">
        <v>2.0160428915083628E-2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63494</v>
      </c>
      <c r="Y3485" s="202">
        <f>_xll.qlInterestRateIndexValueDate(IborIndex,X3485,Trigger)</f>
        <v>63496</v>
      </c>
      <c r="Z3485" s="203">
        <v>2.0213018063919286E-2</v>
      </c>
      <c r="AA3485" s="200">
        <v>2.0160428915163564E-2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63501</v>
      </c>
      <c r="Y3486" s="202">
        <f>_xll.qlInterestRateIndexValueDate(IborIndex,X3486,Trigger)</f>
        <v>63506</v>
      </c>
      <c r="Z3486" s="203">
        <v>2.0211885191767549E-2</v>
      </c>
      <c r="AA3486" s="200">
        <v>2.0160428915163564E-2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63508</v>
      </c>
      <c r="Y3487" s="202">
        <f>_xll.qlInterestRateIndexValueDate(IborIndex,X3487,Trigger)</f>
        <v>63510</v>
      </c>
      <c r="Z3487" s="203">
        <v>2.0213584531731311E-2</v>
      </c>
      <c r="AA3487" s="200">
        <v>2.0160428915163564E-2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63515</v>
      </c>
      <c r="Y3488" s="202">
        <f>_xll.qlInterestRateIndexValueDate(IborIndex,X3488,Trigger)</f>
        <v>63517</v>
      </c>
      <c r="Z3488" s="203">
        <v>2.0213018063920136E-2</v>
      </c>
      <c r="AA3488" s="200">
        <v>2.0160428915003692E-2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63522</v>
      </c>
      <c r="Y3489" s="202">
        <f>_xll.qlInterestRateIndexValueDate(IborIndex,X3489,Trigger)</f>
        <v>63524</v>
      </c>
      <c r="Z3489" s="203">
        <v>2.0210752404234533E-2</v>
      </c>
      <c r="AA3489" s="200">
        <v>2.0160428915083628E-2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63529</v>
      </c>
      <c r="Y3490" s="202">
        <f>_xll.qlInterestRateIndexValueDate(IborIndex,X3490,Trigger)</f>
        <v>63531</v>
      </c>
      <c r="Z3490" s="203">
        <v>2.0210752404234533E-2</v>
      </c>
      <c r="AA3490" s="200">
        <v>2.0160428915163564E-2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63536</v>
      </c>
      <c r="Y3491" s="202">
        <f>_xll.qlInterestRateIndexValueDate(IborIndex,X3491,Trigger)</f>
        <v>63538</v>
      </c>
      <c r="Z3491" s="203">
        <v>2.0210752404234533E-2</v>
      </c>
      <c r="AA3491" s="200">
        <v>2.0160428915083628E-2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63543</v>
      </c>
      <c r="Y3492" s="202">
        <f>_xll.qlInterestRateIndexValueDate(IborIndex,X3492,Trigger)</f>
        <v>63545</v>
      </c>
      <c r="Z3492" s="203">
        <v>2.0210752404235421E-2</v>
      </c>
      <c r="AA3492" s="200">
        <v>2.0160428915163564E-2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63550</v>
      </c>
      <c r="Y3493" s="202">
        <f>_xll.qlInterestRateIndexValueDate(IborIndex,X3493,Trigger)</f>
        <v>63552</v>
      </c>
      <c r="Z3493" s="203">
        <v>2.0211318787423507E-2</v>
      </c>
      <c r="AA3493" s="200">
        <v>2.0160428915083628E-2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63557</v>
      </c>
      <c r="Y3494" s="202">
        <f>_xll.qlInterestRateIndexValueDate(IborIndex,X3494,Trigger)</f>
        <v>63559</v>
      </c>
      <c r="Z3494" s="203">
        <v>2.0210752404233645E-2</v>
      </c>
      <c r="AA3494" s="200">
        <v>2.0160428915163564E-2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63564</v>
      </c>
      <c r="Y3495" s="202">
        <f>_xll.qlInterestRateIndexValueDate(IborIndex,X3495,Trigger)</f>
        <v>63566</v>
      </c>
      <c r="Z3495" s="203">
        <v>2.0210752404234533E-2</v>
      </c>
      <c r="AA3495" s="200">
        <v>2.0160428915083628E-2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63571</v>
      </c>
      <c r="Y3496" s="202">
        <f>_xll.qlInterestRateIndexValueDate(IborIndex,X3496,Trigger)</f>
        <v>63573</v>
      </c>
      <c r="Z3496" s="203">
        <v>2.0210752404234533E-2</v>
      </c>
      <c r="AA3496" s="200">
        <v>2.0160428915083628E-2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63578</v>
      </c>
      <c r="Y3497" s="202">
        <f>_xll.qlInterestRateIndexValueDate(IborIndex,X3497,Trigger)</f>
        <v>63580</v>
      </c>
      <c r="Z3497" s="203">
        <v>2.0210752404234533E-2</v>
      </c>
      <c r="AA3497" s="200">
        <v>2.0160428915163564E-2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63585</v>
      </c>
      <c r="Y3498" s="202">
        <f>_xll.qlInterestRateIndexValueDate(IborIndex,X3498,Trigger)</f>
        <v>63587</v>
      </c>
      <c r="Z3498" s="203">
        <v>2.0210186042198781E-2</v>
      </c>
      <c r="AA3498" s="200">
        <v>2.0160428915083628E-2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63592</v>
      </c>
      <c r="Y3499" s="202">
        <f>_xll.qlInterestRateIndexValueDate(IborIndex,X3499,Trigger)</f>
        <v>63594</v>
      </c>
      <c r="Z3499" s="203">
        <v>2.0210186042199679E-2</v>
      </c>
      <c r="AA3499" s="200">
        <v>2.0160428915083628E-2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63599</v>
      </c>
      <c r="Y3500" s="202">
        <f>_xll.qlInterestRateIndexValueDate(IborIndex,X3500,Trigger)</f>
        <v>63601</v>
      </c>
      <c r="Z3500" s="203">
        <v>2.0210186042198781E-2</v>
      </c>
      <c r="AA3500" s="200">
        <v>2.0160428915083628E-2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63606</v>
      </c>
      <c r="Y3501" s="202">
        <f>_xll.qlInterestRateIndexValueDate(IborIndex,X3501,Trigger)</f>
        <v>63608</v>
      </c>
      <c r="Z3501" s="203">
        <v>2.0210186042197882E-2</v>
      </c>
      <c r="AA3501" s="200">
        <v>2.0160428915163564E-2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63613</v>
      </c>
      <c r="Y3502" s="202">
        <f>_xll.qlInterestRateIndexValueDate(IborIndex,X3502,Trigger)</f>
        <v>63615</v>
      </c>
      <c r="Z3502" s="203">
        <v>2.0213018063919286E-2</v>
      </c>
      <c r="AA3502" s="200">
        <v>2.0160428915083628E-2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63620</v>
      </c>
      <c r="Y3503" s="202">
        <f>_xll.qlInterestRateIndexValueDate(IborIndex,X3503,Trigger)</f>
        <v>63622</v>
      </c>
      <c r="Z3503" s="203">
        <v>2.0213018063919286E-2</v>
      </c>
      <c r="AA3503" s="200">
        <v>2.0160428915163564E-2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63627</v>
      </c>
      <c r="Y3504" s="202">
        <f>_xll.qlInterestRateIndexValueDate(IborIndex,X3504,Trigger)</f>
        <v>63629</v>
      </c>
      <c r="Z3504" s="203">
        <v>2.0213018063919286E-2</v>
      </c>
      <c r="AA3504" s="200">
        <v>2.0160428915163564E-2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63634</v>
      </c>
      <c r="Y3505" s="202">
        <f>_xll.qlInterestRateIndexValueDate(IborIndex,X3505,Trigger)</f>
        <v>63636</v>
      </c>
      <c r="Z3505" s="203">
        <v>2.0213018063919286E-2</v>
      </c>
      <c r="AA3505" s="200">
        <v>2.0160428915163564E-2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63641</v>
      </c>
      <c r="Y3506" s="202">
        <f>_xll.qlInterestRateIndexValueDate(IborIndex,X3506,Trigger)</f>
        <v>63643</v>
      </c>
      <c r="Z3506" s="203">
        <v>2.0211318787423507E-2</v>
      </c>
      <c r="AA3506" s="200">
        <v>2.0160428915083628E-2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63648</v>
      </c>
      <c r="Y3507" s="202">
        <f>_xll.qlInterestRateIndexValueDate(IborIndex,X3507,Trigger)</f>
        <v>63650</v>
      </c>
      <c r="Z3507" s="203">
        <v>2.0211318787424385E-2</v>
      </c>
      <c r="AA3507" s="200">
        <v>2.0160428915163564E-2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63655</v>
      </c>
      <c r="Y3508" s="202">
        <f>_xll.qlInterestRateIndexValueDate(IborIndex,X3508,Trigger)</f>
        <v>63661</v>
      </c>
      <c r="Z3508" s="203">
        <v>2.0211318787424385E-2</v>
      </c>
      <c r="AA3508" s="200">
        <v>2.0160428915163564E-2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63662</v>
      </c>
      <c r="Y3509" s="202">
        <f>_xll.qlInterestRateIndexValueDate(IborIndex,X3509,Trigger)</f>
        <v>63664</v>
      </c>
      <c r="Z3509" s="203">
        <v>2.0211318787423507E-2</v>
      </c>
      <c r="AA3509" s="200">
        <v>2.0160428915163564E-2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63669</v>
      </c>
      <c r="Y3510" s="202">
        <f>_xll.qlInterestRateIndexValueDate(IborIndex,X3510,Trigger)</f>
        <v>63671</v>
      </c>
      <c r="Z3510" s="203">
        <v>2.0211318787423507E-2</v>
      </c>
      <c r="AA3510" s="200">
        <v>2.0160428915083628E-2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63676</v>
      </c>
      <c r="Y3511" s="202">
        <f>_xll.qlInterestRateIndexValueDate(IborIndex,X3511,Trigger)</f>
        <v>63678</v>
      </c>
      <c r="Z3511" s="203">
        <v>2.0213018063920136E-2</v>
      </c>
      <c r="AA3511" s="200">
        <v>2.0160428915163564E-2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63683</v>
      </c>
      <c r="Y3512" s="202">
        <f>_xll.qlInterestRateIndexValueDate(IborIndex,X3512,Trigger)</f>
        <v>63685</v>
      </c>
      <c r="Z3512" s="203">
        <v>2.0213018063919286E-2</v>
      </c>
      <c r="AA3512" s="200">
        <v>2.0160428915163564E-2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63690</v>
      </c>
      <c r="Y3513" s="202">
        <f>_xll.qlInterestRateIndexValueDate(IborIndex,X3513,Trigger)</f>
        <v>63692</v>
      </c>
      <c r="Z3513" s="203">
        <v>2.0213018063919286E-2</v>
      </c>
      <c r="AA3513" s="200">
        <v>2.0160428915083628E-2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63697</v>
      </c>
      <c r="Y3514" s="202">
        <f>_xll.qlInterestRateIndexValueDate(IborIndex,X3514,Trigger)</f>
        <v>63699</v>
      </c>
      <c r="Z3514" s="203">
        <v>2.0213584531730468E-2</v>
      </c>
      <c r="AA3514" s="200">
        <v>2.0160428915163564E-2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63704</v>
      </c>
      <c r="Y3515" s="202">
        <f>_xll.qlInterestRateIndexValueDate(IborIndex,X3515,Trigger)</f>
        <v>63706</v>
      </c>
      <c r="Z3515" s="203">
        <v>2.0213584531730468E-2</v>
      </c>
      <c r="AA3515" s="200">
        <v>2.0160428915083628E-2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63711</v>
      </c>
      <c r="Y3516" s="202">
        <f>_xll.qlInterestRateIndexValueDate(IborIndex,X3516,Trigger)</f>
        <v>63713</v>
      </c>
      <c r="Z3516" s="203">
        <v>2.0213018063919286E-2</v>
      </c>
      <c r="AA3516" s="200">
        <v>2.0160428915163564E-2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63718</v>
      </c>
      <c r="Y3517" s="202">
        <f>_xll.qlInterestRateIndexValueDate(IborIndex,X3517,Trigger)</f>
        <v>63720</v>
      </c>
      <c r="Z3517" s="203">
        <v>2.0213018063920136E-2</v>
      </c>
      <c r="AA3517" s="200">
        <v>2.0160428915083628E-2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63725</v>
      </c>
      <c r="Y3518" s="202">
        <f>_xll.qlInterestRateIndexValueDate(IborIndex,X3518,Trigger)</f>
        <v>63727</v>
      </c>
      <c r="Z3518" s="203">
        <v>2.0213018063919286E-2</v>
      </c>
      <c r="AA3518" s="200">
        <v>2.0160428915083628E-2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63732</v>
      </c>
      <c r="Y3519" s="202">
        <f>_xll.qlInterestRateIndexValueDate(IborIndex,X3519,Trigger)</f>
        <v>63734</v>
      </c>
      <c r="Z3519" s="203">
        <v>2.0211318787423507E-2</v>
      </c>
      <c r="AA3519" s="200">
        <v>2.0160428915163564E-2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63739</v>
      </c>
      <c r="Y3520" s="202">
        <f>_xll.qlInterestRateIndexValueDate(IborIndex,X3520,Trigger)</f>
        <v>63741</v>
      </c>
      <c r="Z3520" s="203">
        <v>2.0213584531729629E-2</v>
      </c>
      <c r="AA3520" s="200">
        <v>2.0160428915083628E-2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63746</v>
      </c>
      <c r="Y3521" s="202">
        <f>_xll.qlInterestRateIndexValueDate(IborIndex,X3521,Trigger)</f>
        <v>63748</v>
      </c>
      <c r="Z3521" s="203">
        <v>2.0213018063920136E-2</v>
      </c>
      <c r="AA3521" s="200">
        <v>2.0160428915083628E-2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63753</v>
      </c>
      <c r="Y3522" s="202">
        <f>_xll.qlInterestRateIndexValueDate(IborIndex,X3522,Trigger)</f>
        <v>63755</v>
      </c>
      <c r="Z3522" s="203">
        <v>2.0213018063919286E-2</v>
      </c>
      <c r="AA3522" s="200">
        <v>2.0160428915083628E-2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63760</v>
      </c>
      <c r="Y3523" s="202">
        <f>_xll.qlInterestRateIndexValueDate(IborIndex,X3523,Trigger)</f>
        <v>63762</v>
      </c>
      <c r="Z3523" s="203">
        <v>2.0213018063918436E-2</v>
      </c>
      <c r="AA3523" s="200">
        <v>2.0160428915163564E-2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63767</v>
      </c>
      <c r="Y3524" s="202">
        <f>_xll.qlInterestRateIndexValueDate(IborIndex,X3524,Trigger)</f>
        <v>63769</v>
      </c>
      <c r="Z3524" s="203">
        <v>2.0213018063920136E-2</v>
      </c>
      <c r="AA3524" s="200">
        <v>2.0160428915083628E-2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63774</v>
      </c>
      <c r="Y3525" s="202">
        <f>_xll.qlInterestRateIndexValueDate(IborIndex,X3525,Trigger)</f>
        <v>63776</v>
      </c>
      <c r="Z3525" s="203">
        <v>2.0213584531730468E-2</v>
      </c>
      <c r="AA3525" s="200">
        <v>2.01604289152435E-2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63781</v>
      </c>
      <c r="Y3526" s="202">
        <f>_xll.qlInterestRateIndexValueDate(IborIndex,X3526,Trigger)</f>
        <v>63783</v>
      </c>
      <c r="Z3526" s="203">
        <v>2.0213018063919286E-2</v>
      </c>
      <c r="AA3526" s="200">
        <v>2.0160428915163564E-2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63788</v>
      </c>
      <c r="Y3527" s="202">
        <f>_xll.qlInterestRateIndexValueDate(IborIndex,X3527,Trigger)</f>
        <v>63790</v>
      </c>
      <c r="Z3527" s="203">
        <v>2.0213018063920136E-2</v>
      </c>
      <c r="AA3527" s="200">
        <v>2.0160428915163564E-2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63795</v>
      </c>
      <c r="Y3528" s="202">
        <f>_xll.qlInterestRateIndexValueDate(IborIndex,X3528,Trigger)</f>
        <v>63797</v>
      </c>
      <c r="Z3528" s="203">
        <v>2.0211318787423507E-2</v>
      </c>
      <c r="AA3528" s="200">
        <v>2.0160428915163564E-2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63802</v>
      </c>
      <c r="Y3529" s="202">
        <f>_xll.qlInterestRateIndexValueDate(IborIndex,X3529,Trigger)</f>
        <v>63804</v>
      </c>
      <c r="Z3529" s="203">
        <v>2.021131878742263E-2</v>
      </c>
      <c r="AA3529" s="200">
        <v>2.0160428915163564E-2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63809</v>
      </c>
      <c r="Y3530" s="202">
        <f>_xll.qlInterestRateIndexValueDate(IborIndex,X3530,Trigger)</f>
        <v>63811</v>
      </c>
      <c r="Z3530" s="203">
        <v>2.021131878742263E-2</v>
      </c>
      <c r="AA3530" s="200">
        <v>2.0160428915083628E-2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63816</v>
      </c>
      <c r="Y3531" s="202">
        <f>_xll.qlInterestRateIndexValueDate(IborIndex,X3531,Trigger)</f>
        <v>63818</v>
      </c>
      <c r="Z3531" s="203">
        <v>2.0211318787423507E-2</v>
      </c>
      <c r="AA3531" s="200">
        <v>2.0160428915003692E-2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63823</v>
      </c>
      <c r="Y3532" s="202">
        <f>_xll.qlInterestRateIndexValueDate(IborIndex,X3532,Trigger)</f>
        <v>63825</v>
      </c>
      <c r="Z3532" s="203">
        <v>2.0213018063918436E-2</v>
      </c>
      <c r="AA3532" s="200">
        <v>2.0160428915083628E-2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63830</v>
      </c>
      <c r="Y3533" s="202">
        <f>_xll.qlInterestRateIndexValueDate(IborIndex,X3533,Trigger)</f>
        <v>63832</v>
      </c>
      <c r="Z3533" s="203">
        <v>2.0213018063919286E-2</v>
      </c>
      <c r="AA3533" s="200">
        <v>2.0160428915163564E-2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63837</v>
      </c>
      <c r="Y3534" s="202">
        <f>_xll.qlInterestRateIndexValueDate(IborIndex,X3534,Trigger)</f>
        <v>63839</v>
      </c>
      <c r="Z3534" s="203">
        <v>2.0213018063920136E-2</v>
      </c>
      <c r="AA3534" s="200">
        <v>2.0160428915163564E-2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63844</v>
      </c>
      <c r="Y3535" s="202">
        <f>_xll.qlInterestRateIndexValueDate(IborIndex,X3535,Trigger)</f>
        <v>63846</v>
      </c>
      <c r="Z3535" s="203">
        <v>2.0213584531730468E-2</v>
      </c>
      <c r="AA3535" s="200">
        <v>2.0160428915163564E-2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63851</v>
      </c>
      <c r="Y3536" s="202">
        <f>_xll.qlInterestRateIndexValueDate(IborIndex,X3536,Trigger)</f>
        <v>63853</v>
      </c>
      <c r="Z3536" s="203">
        <v>2.0213018063918436E-2</v>
      </c>
      <c r="AA3536" s="200">
        <v>2.0160428915083628E-2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63858</v>
      </c>
      <c r="Y3537" s="202">
        <f>_xll.qlInterestRateIndexValueDate(IborIndex,X3537,Trigger)</f>
        <v>63860</v>
      </c>
      <c r="Z3537" s="203">
        <v>2.0213018063919286E-2</v>
      </c>
      <c r="AA3537" s="200">
        <v>2.0160428915163564E-2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63865</v>
      </c>
      <c r="Y3538" s="202">
        <f>_xll.qlInterestRateIndexValueDate(IborIndex,X3538,Trigger)</f>
        <v>63867</v>
      </c>
      <c r="Z3538" s="203">
        <v>2.0213018063918436E-2</v>
      </c>
      <c r="AA3538" s="200">
        <v>2.0160428915083628E-2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63872</v>
      </c>
      <c r="Y3539" s="202">
        <f>_xll.qlInterestRateIndexValueDate(IborIndex,X3539,Trigger)</f>
        <v>63874</v>
      </c>
      <c r="Z3539" s="203">
        <v>2.0213584531730468E-2</v>
      </c>
      <c r="AA3539" s="200">
        <v>2.0160428915083628E-2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63879</v>
      </c>
      <c r="Y3540" s="202">
        <f>_xll.qlInterestRateIndexValueDate(IborIndex,X3540,Trigger)</f>
        <v>63881</v>
      </c>
      <c r="Z3540" s="203">
        <v>2.0213018063919286E-2</v>
      </c>
      <c r="AA3540" s="200">
        <v>2.0160428915163564E-2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63886</v>
      </c>
      <c r="Y3541" s="202">
        <f>_xll.qlInterestRateIndexValueDate(IborIndex,X3541,Trigger)</f>
        <v>63888</v>
      </c>
      <c r="Z3541" s="203">
        <v>2.0210752404234533E-2</v>
      </c>
      <c r="AA3541" s="200">
        <v>2.01604289152435E-2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63893</v>
      </c>
      <c r="Y3542" s="202">
        <f>_xll.qlInterestRateIndexValueDate(IborIndex,X3542,Trigger)</f>
        <v>63895</v>
      </c>
      <c r="Z3542" s="203">
        <v>2.0210752404235421E-2</v>
      </c>
      <c r="AA3542" s="200">
        <v>2.0160428915083628E-2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63900</v>
      </c>
      <c r="Y3543" s="202">
        <f>_xll.qlInterestRateIndexValueDate(IborIndex,X3543,Trigger)</f>
        <v>63902</v>
      </c>
      <c r="Z3543" s="203">
        <v>2.0210752404235421E-2</v>
      </c>
      <c r="AA3543" s="200">
        <v>2.0160428915083628E-2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63907</v>
      </c>
      <c r="Y3544" s="202">
        <f>_xll.qlInterestRateIndexValueDate(IborIndex,X3544,Trigger)</f>
        <v>63909</v>
      </c>
      <c r="Z3544" s="203">
        <v>2.0210752404235421E-2</v>
      </c>
      <c r="AA3544" s="200">
        <v>2.0160428915163564E-2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63915</v>
      </c>
      <c r="Y3545" s="202">
        <f>_xll.qlInterestRateIndexValueDate(IborIndex,X3545,Trigger)</f>
        <v>63919</v>
      </c>
      <c r="Z3545" s="203">
        <v>2.0209619701316146E-2</v>
      </c>
      <c r="AA3545" s="200">
        <v>2.0160428915163564E-2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63922</v>
      </c>
      <c r="Y3546" s="202">
        <f>_xll.qlInterestRateIndexValueDate(IborIndex,X3546,Trigger)</f>
        <v>63926</v>
      </c>
      <c r="Z3546" s="203">
        <v>2.0211885191766678E-2</v>
      </c>
      <c r="AA3546" s="200">
        <v>2.0160428915163564E-2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63929</v>
      </c>
      <c r="Y3547" s="202">
        <f>_xll.qlInterestRateIndexValueDate(IborIndex,X3547,Trigger)</f>
        <v>63933</v>
      </c>
      <c r="Z3547" s="203">
        <v>2.0211318787423507E-2</v>
      </c>
      <c r="AA3547" s="200">
        <v>2.0160428915163564E-2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63936</v>
      </c>
      <c r="Y3548" s="202">
        <f>_xll.qlInterestRateIndexValueDate(IborIndex,X3548,Trigger)</f>
        <v>63941</v>
      </c>
      <c r="Z3548" s="203">
        <v>2.0210752404235421E-2</v>
      </c>
      <c r="AA3548" s="200">
        <v>2.01604289152435E-2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63943</v>
      </c>
      <c r="Y3549" s="202">
        <f>_xll.qlInterestRateIndexValueDate(IborIndex,X3549,Trigger)</f>
        <v>63947</v>
      </c>
      <c r="Z3549" s="203">
        <v>2.0211318787424385E-2</v>
      </c>
      <c r="AA3549" s="200">
        <v>2.0160428915163564E-2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63950</v>
      </c>
      <c r="Y3550" s="202">
        <f>_xll.qlInterestRateIndexValueDate(IborIndex,X3550,Trigger)</f>
        <v>63954</v>
      </c>
      <c r="Z3550" s="203">
        <v>2.0211885191766678E-2</v>
      </c>
      <c r="AA3550" s="200">
        <v>2.0160428915083628E-2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63957</v>
      </c>
      <c r="Y3551" s="202">
        <f>_xll.qlInterestRateIndexValueDate(IborIndex,X3551,Trigger)</f>
        <v>63961</v>
      </c>
      <c r="Z3551" s="203">
        <v>2.0211318787423507E-2</v>
      </c>
      <c r="AA3551" s="200">
        <v>2.0160428915083628E-2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63964</v>
      </c>
      <c r="Y3552" s="202">
        <f>_xll.qlInterestRateIndexValueDate(IborIndex,X3552,Trigger)</f>
        <v>63969</v>
      </c>
      <c r="Z3552" s="204">
        <v>2.0210752404235421E-2</v>
      </c>
      <c r="AA3552" s="205">
        <v>2.0160428915083628E-2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2015-01-28T11:45:36Z</dcterms:modified>
</cp:coreProperties>
</file>